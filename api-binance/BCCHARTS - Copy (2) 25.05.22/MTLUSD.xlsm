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DFD1115D-5223-49A6-80EB-D1111B9AFF27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893" i="1"/>
  <c r="Q893" i="1" s="1"/>
  <c r="R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893" i="1"/>
  <c r="T893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22" i="5" s="1"/>
  <c r="C133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C136" i="4" s="1"/>
  <c r="C116" i="4"/>
  <c r="C116" i="5"/>
  <c r="C118" i="5"/>
  <c r="C122" i="3"/>
  <c r="C133" i="3" s="1"/>
  <c r="D136" i="3" s="1"/>
  <c r="C118" i="3"/>
  <c r="R892" i="1"/>
  <c r="D136" i="5"/>
  <c r="C136" i="5"/>
  <c r="D136" i="4" l="1"/>
  <c r="C138" i="4" s="1"/>
  <c r="C138" i="5"/>
  <c r="C136" i="3"/>
  <c r="C138" i="3" s="1"/>
  <c r="R891" i="1"/>
  <c r="S892" i="1"/>
  <c r="T892" i="1" s="1"/>
  <c r="R890" i="1" l="1"/>
  <c r="S891" i="1"/>
  <c r="T891" i="1" s="1"/>
  <c r="S890" i="1" l="1"/>
  <c r="T890" i="1" s="1"/>
  <c r="R889" i="1"/>
  <c r="R888" i="1" l="1"/>
  <c r="S889" i="1"/>
  <c r="T889" i="1" s="1"/>
  <c r="S888" i="1" l="1"/>
  <c r="T888" i="1" s="1"/>
  <c r="R887" i="1"/>
  <c r="R886" i="1" l="1"/>
  <c r="S887" i="1"/>
  <c r="T887" i="1" s="1"/>
  <c r="S886" i="1" l="1"/>
  <c r="T886" i="1" s="1"/>
  <c r="R885" i="1"/>
  <c r="R884" i="1" l="1"/>
  <c r="S885" i="1"/>
  <c r="T885" i="1" s="1"/>
  <c r="S884" i="1" l="1"/>
  <c r="T884" i="1" s="1"/>
  <c r="R883" i="1"/>
  <c r="R882" i="1" l="1"/>
  <c r="S883" i="1"/>
  <c r="T883" i="1" s="1"/>
  <c r="S882" i="1" l="1"/>
  <c r="T882" i="1" s="1"/>
  <c r="R881" i="1"/>
  <c r="R880" i="1" l="1"/>
  <c r="S881" i="1"/>
  <c r="T881" i="1" s="1"/>
  <c r="S880" i="1" l="1"/>
  <c r="T880" i="1" s="1"/>
  <c r="R879" i="1"/>
  <c r="R878" i="1" l="1"/>
  <c r="S879" i="1"/>
  <c r="T879" i="1" s="1"/>
  <c r="S878" i="1" l="1"/>
  <c r="T878" i="1" s="1"/>
  <c r="R877" i="1"/>
  <c r="R876" i="1" l="1"/>
  <c r="S877" i="1"/>
  <c r="T877" i="1" s="1"/>
  <c r="S876" i="1" l="1"/>
  <c r="T876" i="1" s="1"/>
  <c r="R875" i="1"/>
  <c r="R874" i="1" l="1"/>
  <c r="S875" i="1"/>
  <c r="T875" i="1" s="1"/>
  <c r="S874" i="1" l="1"/>
  <c r="T874" i="1" s="1"/>
  <c r="R873" i="1"/>
  <c r="R872" i="1" l="1"/>
  <c r="S873" i="1"/>
  <c r="T873" i="1" s="1"/>
  <c r="S872" i="1" l="1"/>
  <c r="T872" i="1" s="1"/>
  <c r="R871" i="1"/>
  <c r="R870" i="1" l="1"/>
  <c r="S871" i="1"/>
  <c r="T871" i="1" s="1"/>
  <c r="S870" i="1" l="1"/>
  <c r="T870" i="1" s="1"/>
  <c r="R869" i="1"/>
  <c r="R868" i="1" l="1"/>
  <c r="S869" i="1"/>
  <c r="T869" i="1" s="1"/>
  <c r="S868" i="1" l="1"/>
  <c r="T868" i="1" s="1"/>
  <c r="R867" i="1"/>
  <c r="R866" i="1" l="1"/>
  <c r="S867" i="1"/>
  <c r="T867" i="1" s="1"/>
  <c r="S866" i="1" l="1"/>
  <c r="T866" i="1" s="1"/>
  <c r="R865" i="1"/>
  <c r="R864" i="1" l="1"/>
  <c r="S865" i="1"/>
  <c r="T865" i="1" s="1"/>
  <c r="R863" i="1" l="1"/>
  <c r="S864" i="1"/>
  <c r="T864" i="1" s="1"/>
  <c r="R862" i="1" l="1"/>
  <c r="S863" i="1"/>
  <c r="T863" i="1" s="1"/>
  <c r="S862" i="1" l="1"/>
  <c r="T862" i="1" s="1"/>
  <c r="R861" i="1"/>
  <c r="S861" i="1" l="1"/>
  <c r="T861" i="1" s="1"/>
  <c r="R860" i="1"/>
  <c r="S860" i="1" l="1"/>
  <c r="T860" i="1" s="1"/>
  <c r="R859" i="1"/>
  <c r="R858" i="1" l="1"/>
  <c r="S859" i="1"/>
  <c r="T859" i="1" s="1"/>
  <c r="R857" i="1" l="1"/>
  <c r="S858" i="1"/>
  <c r="T858" i="1" s="1"/>
  <c r="R856" i="1" l="1"/>
  <c r="S857" i="1"/>
  <c r="T857" i="1" s="1"/>
  <c r="S856" i="1" l="1"/>
  <c r="T856" i="1" s="1"/>
  <c r="R855" i="1"/>
  <c r="S855" i="1" l="1"/>
  <c r="T855" i="1" s="1"/>
  <c r="R854" i="1"/>
  <c r="S854" i="1" l="1"/>
  <c r="T854" i="1" s="1"/>
  <c r="R853" i="1"/>
  <c r="S853" i="1" l="1"/>
  <c r="T853" i="1" s="1"/>
  <c r="R852" i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S848" i="1" l="1"/>
  <c r="T848" i="1" s="1"/>
  <c r="R847" i="1"/>
  <c r="R846" i="1" l="1"/>
  <c r="S847" i="1"/>
  <c r="T847" i="1" s="1"/>
  <c r="S846" i="1" l="1"/>
  <c r="T846" i="1" s="1"/>
  <c r="R845" i="1"/>
  <c r="R844" i="1" l="1"/>
  <c r="S845" i="1"/>
  <c r="T845" i="1" s="1"/>
  <c r="S844" i="1" l="1"/>
  <c r="T844" i="1" s="1"/>
  <c r="R843" i="1"/>
  <c r="R842" i="1" l="1"/>
  <c r="S843" i="1"/>
  <c r="T843" i="1" s="1"/>
  <c r="S842" i="1" l="1"/>
  <c r="T842" i="1" s="1"/>
  <c r="R841" i="1"/>
  <c r="R840" i="1" l="1"/>
  <c r="S841" i="1"/>
  <c r="T841" i="1" s="1"/>
  <c r="S840" i="1" l="1"/>
  <c r="T840" i="1" s="1"/>
  <c r="R839" i="1"/>
  <c r="R838" i="1" l="1"/>
  <c r="S839" i="1"/>
  <c r="T839" i="1" s="1"/>
  <c r="S838" i="1" l="1"/>
  <c r="T838" i="1" s="1"/>
  <c r="R837" i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S832" i="1" l="1"/>
  <c r="T832" i="1" s="1"/>
  <c r="R831" i="1"/>
  <c r="R830" i="1" l="1"/>
  <c r="S831" i="1"/>
  <c r="T831" i="1" s="1"/>
  <c r="S830" i="1" l="1"/>
  <c r="T830" i="1" s="1"/>
  <c r="R829" i="1"/>
  <c r="R828" i="1" l="1"/>
  <c r="S829" i="1"/>
  <c r="T829" i="1" s="1"/>
  <c r="S828" i="1" l="1"/>
  <c r="T828" i="1" s="1"/>
  <c r="R827" i="1"/>
  <c r="R826" i="1" l="1"/>
  <c r="S827" i="1"/>
  <c r="T827" i="1" s="1"/>
  <c r="R825" i="1" l="1"/>
  <c r="S826" i="1"/>
  <c r="T826" i="1" s="1"/>
  <c r="R824" i="1" l="1"/>
  <c r="S825" i="1"/>
  <c r="T825" i="1" s="1"/>
  <c r="S824" i="1" l="1"/>
  <c r="T824" i="1" s="1"/>
  <c r="R823" i="1"/>
  <c r="S823" i="1" l="1"/>
  <c r="T823" i="1" s="1"/>
  <c r="R822" i="1"/>
  <c r="S822" i="1" l="1"/>
  <c r="T822" i="1" s="1"/>
  <c r="R821" i="1"/>
  <c r="R820" i="1" l="1"/>
  <c r="S821" i="1"/>
  <c r="T821" i="1" s="1"/>
  <c r="R819" i="1" l="1"/>
  <c r="S820" i="1"/>
  <c r="T820" i="1" s="1"/>
  <c r="R818" i="1" l="1"/>
  <c r="S819" i="1"/>
  <c r="T819" i="1" s="1"/>
  <c r="S818" i="1" l="1"/>
  <c r="T818" i="1" s="1"/>
  <c r="R817" i="1"/>
  <c r="S817" i="1" l="1"/>
  <c r="T817" i="1" s="1"/>
  <c r="R816" i="1"/>
  <c r="S816" i="1" l="1"/>
  <c r="T816" i="1" s="1"/>
  <c r="R815" i="1"/>
  <c r="S815" i="1" l="1"/>
  <c r="T815" i="1" s="1"/>
  <c r="R814" i="1"/>
  <c r="R813" i="1" l="1"/>
  <c r="S814" i="1"/>
  <c r="T814" i="1" s="1"/>
  <c r="S813" i="1" l="1"/>
  <c r="T813" i="1" s="1"/>
  <c r="R812" i="1"/>
  <c r="R811" i="1" l="1"/>
  <c r="S812" i="1"/>
  <c r="T812" i="1" s="1"/>
  <c r="S811" i="1" l="1"/>
  <c r="T811" i="1" s="1"/>
  <c r="R810" i="1"/>
  <c r="S810" i="1" l="1"/>
  <c r="T810" i="1" s="1"/>
  <c r="R809" i="1"/>
  <c r="S809" i="1" l="1"/>
  <c r="T809" i="1" s="1"/>
  <c r="R808" i="1"/>
  <c r="R807" i="1" l="1"/>
  <c r="S808" i="1"/>
  <c r="T808" i="1" s="1"/>
  <c r="S807" i="1" l="1"/>
  <c r="T807" i="1" s="1"/>
  <c r="R806" i="1"/>
  <c r="R805" i="1" l="1"/>
  <c r="S806" i="1"/>
  <c r="T806" i="1" s="1"/>
  <c r="R804" i="1" l="1"/>
  <c r="S805" i="1"/>
  <c r="T805" i="1" s="1"/>
  <c r="R803" i="1" l="1"/>
  <c r="S804" i="1"/>
  <c r="T804" i="1" s="1"/>
  <c r="S803" i="1" l="1"/>
  <c r="T803" i="1" s="1"/>
  <c r="R802" i="1"/>
  <c r="R801" i="1" l="1"/>
  <c r="S802" i="1"/>
  <c r="T802" i="1" s="1"/>
  <c r="R800" i="1" l="1"/>
  <c r="S801" i="1"/>
  <c r="T801" i="1" s="1"/>
  <c r="R799" i="1" l="1"/>
  <c r="S800" i="1"/>
  <c r="T800" i="1" s="1"/>
  <c r="S799" i="1" l="1"/>
  <c r="T799" i="1" s="1"/>
  <c r="R798" i="1"/>
  <c r="R797" i="1" l="1"/>
  <c r="S798" i="1"/>
  <c r="T798" i="1" s="1"/>
  <c r="S797" i="1" l="1"/>
  <c r="T797" i="1" s="1"/>
  <c r="R796" i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S792" i="1" l="1"/>
  <c r="T792" i="1" s="1"/>
  <c r="R791" i="1"/>
  <c r="S791" i="1" l="1"/>
  <c r="T791" i="1" s="1"/>
  <c r="R790" i="1"/>
  <c r="R789" i="1" l="1"/>
  <c r="S790" i="1"/>
  <c r="T790" i="1" s="1"/>
  <c r="R788" i="1" l="1"/>
  <c r="S789" i="1"/>
  <c r="T789" i="1" s="1"/>
  <c r="R787" i="1" l="1"/>
  <c r="S788" i="1"/>
  <c r="T788" i="1" s="1"/>
  <c r="S787" i="1" l="1"/>
  <c r="T787" i="1" s="1"/>
  <c r="R786" i="1"/>
  <c r="S786" i="1" l="1"/>
  <c r="T786" i="1" s="1"/>
  <c r="R785" i="1"/>
  <c r="S785" i="1" l="1"/>
  <c r="T785" i="1" s="1"/>
  <c r="R784" i="1"/>
  <c r="R783" i="1" l="1"/>
  <c r="S784" i="1"/>
  <c r="T784" i="1" s="1"/>
  <c r="R782" i="1" l="1"/>
  <c r="S783" i="1"/>
  <c r="T783" i="1" s="1"/>
  <c r="R781" i="1" l="1"/>
  <c r="S782" i="1"/>
  <c r="T782" i="1" s="1"/>
  <c r="S781" i="1" l="1"/>
  <c r="T781" i="1" s="1"/>
  <c r="R780" i="1"/>
  <c r="S780" i="1" l="1"/>
  <c r="T780" i="1" s="1"/>
  <c r="R779" i="1"/>
  <c r="R778" i="1" l="1"/>
  <c r="S779" i="1"/>
  <c r="T779" i="1" s="1"/>
  <c r="R777" i="1" l="1"/>
  <c r="S778" i="1"/>
  <c r="T778" i="1" s="1"/>
  <c r="R776" i="1" l="1"/>
  <c r="S777" i="1"/>
  <c r="T777" i="1" s="1"/>
  <c r="S776" i="1" l="1"/>
  <c r="T776" i="1" s="1"/>
  <c r="R775" i="1"/>
  <c r="S775" i="1" l="1"/>
  <c r="T775" i="1" s="1"/>
  <c r="R774" i="1"/>
  <c r="S774" i="1" l="1"/>
  <c r="T774" i="1" s="1"/>
  <c r="R773" i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S769" i="1" l="1"/>
  <c r="T769" i="1" s="1"/>
  <c r="R768" i="1"/>
  <c r="S768" i="1" l="1"/>
  <c r="T768" i="1" s="1"/>
  <c r="R767" i="1"/>
  <c r="S767" i="1" l="1"/>
  <c r="T767" i="1" s="1"/>
  <c r="R766" i="1"/>
  <c r="R765" i="1" l="1"/>
  <c r="S766" i="1"/>
  <c r="T766" i="1" s="1"/>
  <c r="S765" i="1" l="1"/>
  <c r="T765" i="1" s="1"/>
  <c r="R764" i="1"/>
  <c r="R763" i="1" l="1"/>
  <c r="S764" i="1"/>
  <c r="T764" i="1" s="1"/>
  <c r="S763" i="1" l="1"/>
  <c r="T763" i="1" s="1"/>
  <c r="R762" i="1"/>
  <c r="R761" i="1" l="1"/>
  <c r="S762" i="1"/>
  <c r="T762" i="1" s="1"/>
  <c r="S761" i="1" l="1"/>
  <c r="T761" i="1" s="1"/>
  <c r="R760" i="1"/>
  <c r="R759" i="1" l="1"/>
  <c r="S760" i="1"/>
  <c r="T760" i="1" s="1"/>
  <c r="S759" i="1" l="1"/>
  <c r="T759" i="1" s="1"/>
  <c r="R758" i="1"/>
  <c r="S758" i="1" l="1"/>
  <c r="T758" i="1" s="1"/>
  <c r="R757" i="1"/>
  <c r="S757" i="1" l="1"/>
  <c r="T757" i="1" s="1"/>
  <c r="R756" i="1"/>
  <c r="R755" i="1" l="1"/>
  <c r="S756" i="1"/>
  <c r="T756" i="1" s="1"/>
  <c r="R754" i="1" l="1"/>
  <c r="S755" i="1"/>
  <c r="T755" i="1" s="1"/>
  <c r="R753" i="1" l="1"/>
  <c r="S754" i="1"/>
  <c r="T754" i="1" s="1"/>
  <c r="S753" i="1" l="1"/>
  <c r="T753" i="1" s="1"/>
  <c r="R752" i="1"/>
  <c r="S752" i="1" l="1"/>
  <c r="T752" i="1" s="1"/>
  <c r="R751" i="1"/>
  <c r="R750" i="1" l="1"/>
  <c r="S751" i="1"/>
  <c r="T751" i="1" s="1"/>
  <c r="R749" i="1" l="1"/>
  <c r="S750" i="1"/>
  <c r="T750" i="1" s="1"/>
  <c r="R748" i="1" l="1"/>
  <c r="S749" i="1"/>
  <c r="T749" i="1" s="1"/>
  <c r="S748" i="1" l="1"/>
  <c r="T748" i="1" s="1"/>
  <c r="R747" i="1"/>
  <c r="S747" i="1" l="1"/>
  <c r="T747" i="1" s="1"/>
  <c r="R746" i="1"/>
  <c r="S746" i="1" l="1"/>
  <c r="T746" i="1" s="1"/>
  <c r="R745" i="1"/>
  <c r="R744" i="1" l="1"/>
  <c r="S745" i="1"/>
  <c r="T745" i="1" s="1"/>
  <c r="S744" i="1" l="1"/>
  <c r="T744" i="1" s="1"/>
  <c r="R743" i="1"/>
  <c r="R742" i="1" l="1"/>
  <c r="S743" i="1"/>
  <c r="T743" i="1" s="1"/>
  <c r="S742" i="1" l="1"/>
  <c r="T742" i="1" s="1"/>
  <c r="R741" i="1"/>
  <c r="S741" i="1" l="1"/>
  <c r="T741" i="1" s="1"/>
  <c r="R740" i="1"/>
  <c r="R739" i="1" l="1"/>
  <c r="S740" i="1"/>
  <c r="T740" i="1" s="1"/>
  <c r="R738" i="1" l="1"/>
  <c r="S739" i="1"/>
  <c r="T739" i="1" s="1"/>
  <c r="R737" i="1" l="1"/>
  <c r="S738" i="1"/>
  <c r="T738" i="1" s="1"/>
  <c r="S737" i="1" l="1"/>
  <c r="T737" i="1" s="1"/>
  <c r="R736" i="1"/>
  <c r="S736" i="1" l="1"/>
  <c r="T736" i="1" s="1"/>
  <c r="R735" i="1"/>
  <c r="S735" i="1" l="1"/>
  <c r="T735" i="1" s="1"/>
  <c r="R734" i="1"/>
  <c r="R733" i="1" l="1"/>
  <c r="S734" i="1"/>
  <c r="T734" i="1" s="1"/>
  <c r="R732" i="1" l="1"/>
  <c r="S733" i="1"/>
  <c r="T733" i="1" s="1"/>
  <c r="R731" i="1" l="1"/>
  <c r="S732" i="1"/>
  <c r="T732" i="1" s="1"/>
  <c r="S731" i="1" l="1"/>
  <c r="T731" i="1" s="1"/>
  <c r="R730" i="1"/>
  <c r="R729" i="1" l="1"/>
  <c r="S730" i="1"/>
  <c r="T730" i="1" s="1"/>
  <c r="R728" i="1" l="1"/>
  <c r="S729" i="1"/>
  <c r="T729" i="1" s="1"/>
  <c r="R727" i="1" l="1"/>
  <c r="S728" i="1"/>
  <c r="T728" i="1" s="1"/>
  <c r="S727" i="1" l="1"/>
  <c r="T727" i="1" s="1"/>
  <c r="R726" i="1"/>
  <c r="R725" i="1" l="1"/>
  <c r="S726" i="1"/>
  <c r="T726" i="1" s="1"/>
  <c r="S725" i="1" l="1"/>
  <c r="T725" i="1" s="1"/>
  <c r="R724" i="1"/>
  <c r="S724" i="1" l="1"/>
  <c r="T724" i="1" s="1"/>
  <c r="R723" i="1"/>
  <c r="S723" i="1" l="1"/>
  <c r="T723" i="1" s="1"/>
  <c r="R722" i="1"/>
  <c r="R721" i="1" l="1"/>
  <c r="S722" i="1"/>
  <c r="T722" i="1" s="1"/>
  <c r="R720" i="1" l="1"/>
  <c r="S721" i="1"/>
  <c r="T721" i="1" s="1"/>
  <c r="R719" i="1" l="1"/>
  <c r="S720" i="1"/>
  <c r="T720" i="1" s="1"/>
  <c r="S719" i="1" l="1"/>
  <c r="T719" i="1" s="1"/>
  <c r="R718" i="1"/>
  <c r="S718" i="1" l="1"/>
  <c r="T718" i="1" s="1"/>
  <c r="R717" i="1"/>
  <c r="S717" i="1" l="1"/>
  <c r="T717" i="1" s="1"/>
  <c r="R716" i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S712" i="1" l="1"/>
  <c r="T712" i="1" s="1"/>
  <c r="R711" i="1"/>
  <c r="S711" i="1" l="1"/>
  <c r="T711" i="1" s="1"/>
  <c r="R710" i="1"/>
  <c r="S710" i="1" l="1"/>
  <c r="T710" i="1" s="1"/>
  <c r="R709" i="1"/>
  <c r="R708" i="1" l="1"/>
  <c r="S709" i="1"/>
  <c r="T709" i="1" s="1"/>
  <c r="R707" i="1" l="1"/>
  <c r="S708" i="1"/>
  <c r="T708" i="1" s="1"/>
  <c r="R706" i="1" l="1"/>
  <c r="S707" i="1"/>
  <c r="T707" i="1" s="1"/>
  <c r="S706" i="1" l="1"/>
  <c r="T706" i="1" s="1"/>
  <c r="R705" i="1"/>
  <c r="R704" i="1" l="1"/>
  <c r="S705" i="1"/>
  <c r="T705" i="1" s="1"/>
  <c r="S704" i="1" l="1"/>
  <c r="T704" i="1" s="1"/>
  <c r="R703" i="1"/>
  <c r="R702" i="1" l="1"/>
  <c r="S703" i="1"/>
  <c r="T703" i="1" s="1"/>
  <c r="S702" i="1" l="1"/>
  <c r="T702" i="1" s="1"/>
  <c r="R701" i="1"/>
  <c r="R700" i="1" l="1"/>
  <c r="S701" i="1"/>
  <c r="T701" i="1" s="1"/>
  <c r="R699" i="1" l="1"/>
  <c r="S700" i="1"/>
  <c r="T700" i="1" s="1"/>
  <c r="R698" i="1" l="1"/>
  <c r="S699" i="1"/>
  <c r="T699" i="1" s="1"/>
  <c r="S698" i="1" l="1"/>
  <c r="T698" i="1" s="1"/>
  <c r="R697" i="1"/>
  <c r="R696" i="1" l="1"/>
  <c r="S697" i="1"/>
  <c r="T697" i="1" s="1"/>
  <c r="S696" i="1" l="1"/>
  <c r="T696" i="1" s="1"/>
  <c r="R695" i="1"/>
  <c r="S695" i="1" l="1"/>
  <c r="T695" i="1" s="1"/>
  <c r="R694" i="1"/>
  <c r="S694" i="1" l="1"/>
  <c r="T694" i="1" s="1"/>
  <c r="R693" i="1"/>
  <c r="R692" i="1" l="1"/>
  <c r="S693" i="1"/>
  <c r="T693" i="1" s="1"/>
  <c r="S692" i="1" l="1"/>
  <c r="T692" i="1" s="1"/>
  <c r="R691" i="1"/>
  <c r="R690" i="1" l="1"/>
  <c r="S691" i="1"/>
  <c r="T691" i="1" s="1"/>
  <c r="R689" i="1" l="1"/>
  <c r="S690" i="1"/>
  <c r="T690" i="1" s="1"/>
  <c r="R688" i="1" l="1"/>
  <c r="S689" i="1"/>
  <c r="T689" i="1" s="1"/>
  <c r="S688" i="1" l="1"/>
  <c r="T688" i="1" s="1"/>
  <c r="R687" i="1"/>
  <c r="S687" i="1" l="1"/>
  <c r="T687" i="1" s="1"/>
  <c r="R686" i="1"/>
  <c r="S686" i="1" l="1"/>
  <c r="T686" i="1" s="1"/>
  <c r="R685" i="1"/>
  <c r="S685" i="1" l="1"/>
  <c r="T685" i="1" s="1"/>
  <c r="R684" i="1"/>
  <c r="R683" i="1" l="1"/>
  <c r="S684" i="1"/>
  <c r="T684" i="1" s="1"/>
  <c r="R682" i="1" l="1"/>
  <c r="S683" i="1"/>
  <c r="T683" i="1" s="1"/>
  <c r="R681" i="1" l="1"/>
  <c r="S682" i="1"/>
  <c r="T682" i="1" s="1"/>
  <c r="S681" i="1" l="1"/>
  <c r="T681" i="1" s="1"/>
  <c r="R680" i="1"/>
  <c r="S680" i="1" l="1"/>
  <c r="T680" i="1" s="1"/>
  <c r="R679" i="1"/>
  <c r="S679" i="1" l="1"/>
  <c r="T679" i="1" s="1"/>
  <c r="R678" i="1"/>
  <c r="R677" i="1" l="1"/>
  <c r="S678" i="1"/>
  <c r="T678" i="1" s="1"/>
  <c r="R676" i="1" l="1"/>
  <c r="S677" i="1"/>
  <c r="T677" i="1" s="1"/>
  <c r="R675" i="1" l="1"/>
  <c r="S676" i="1"/>
  <c r="T676" i="1" s="1"/>
  <c r="S675" i="1" l="1"/>
  <c r="T675" i="1" s="1"/>
  <c r="R674" i="1"/>
  <c r="S674" i="1" l="1"/>
  <c r="T674" i="1" s="1"/>
  <c r="R673" i="1"/>
  <c r="S673" i="1" l="1"/>
  <c r="T673" i="1" s="1"/>
  <c r="R672" i="1"/>
  <c r="S672" i="1" l="1"/>
  <c r="T672" i="1" s="1"/>
  <c r="R671" i="1"/>
  <c r="S671" i="1" l="1"/>
  <c r="T671" i="1" s="1"/>
  <c r="R670" i="1"/>
  <c r="S670" i="1" l="1"/>
  <c r="T670" i="1" s="1"/>
  <c r="R669" i="1"/>
  <c r="R668" i="1" l="1"/>
  <c r="S669" i="1"/>
  <c r="T669" i="1" s="1"/>
  <c r="R667" i="1" l="1"/>
  <c r="S668" i="1"/>
  <c r="T668" i="1" s="1"/>
  <c r="R666" i="1" l="1"/>
  <c r="S667" i="1"/>
  <c r="T667" i="1" s="1"/>
  <c r="S666" i="1" l="1"/>
  <c r="T666" i="1" s="1"/>
  <c r="R665" i="1"/>
  <c r="S665" i="1" l="1"/>
  <c r="T665" i="1" s="1"/>
  <c r="R664" i="1"/>
  <c r="S664" i="1" l="1"/>
  <c r="T664" i="1" s="1"/>
  <c r="R663" i="1"/>
  <c r="R662" i="1" l="1"/>
  <c r="S663" i="1"/>
  <c r="T663" i="1" s="1"/>
  <c r="R661" i="1" l="1"/>
  <c r="S662" i="1"/>
  <c r="T662" i="1" s="1"/>
  <c r="R660" i="1" l="1"/>
  <c r="S661" i="1"/>
  <c r="T661" i="1" s="1"/>
  <c r="S660" i="1" l="1"/>
  <c r="T660" i="1" s="1"/>
  <c r="R659" i="1"/>
  <c r="S659" i="1" l="1"/>
  <c r="T659" i="1" s="1"/>
  <c r="R658" i="1"/>
  <c r="R657" i="1" l="1"/>
  <c r="S658" i="1"/>
  <c r="T658" i="1" s="1"/>
  <c r="R656" i="1" l="1"/>
  <c r="S657" i="1"/>
  <c r="T657" i="1" s="1"/>
  <c r="S656" i="1" l="1"/>
  <c r="T656" i="1" s="1"/>
  <c r="R655" i="1"/>
  <c r="S655" i="1" l="1"/>
  <c r="T655" i="1" s="1"/>
  <c r="R654" i="1"/>
  <c r="S654" i="1" l="1"/>
  <c r="T654" i="1" s="1"/>
  <c r="R653" i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S648" i="1" l="1"/>
  <c r="T648" i="1" s="1"/>
  <c r="R647" i="1"/>
  <c r="R646" i="1" l="1"/>
  <c r="S647" i="1"/>
  <c r="T647" i="1" s="1"/>
  <c r="S646" i="1" l="1"/>
  <c r="T646" i="1" s="1"/>
  <c r="R645" i="1"/>
  <c r="S645" i="1" l="1"/>
  <c r="T645" i="1" s="1"/>
  <c r="R644" i="1"/>
  <c r="S644" i="1" l="1"/>
  <c r="T644" i="1" s="1"/>
  <c r="R643" i="1"/>
  <c r="R642" i="1" l="1"/>
  <c r="S643" i="1"/>
  <c r="T643" i="1" s="1"/>
  <c r="S642" i="1" l="1"/>
  <c r="T642" i="1" s="1"/>
  <c r="R641" i="1"/>
  <c r="R640" i="1" l="1"/>
  <c r="S641" i="1"/>
  <c r="T641" i="1" s="1"/>
  <c r="S640" i="1" l="1"/>
  <c r="T640" i="1" s="1"/>
  <c r="R639" i="1"/>
  <c r="S639" i="1" l="1"/>
  <c r="T639" i="1" s="1"/>
  <c r="R638" i="1"/>
  <c r="S638" i="1" l="1"/>
  <c r="T638" i="1" s="1"/>
  <c r="R637" i="1"/>
  <c r="R636" i="1" l="1"/>
  <c r="S637" i="1"/>
  <c r="T637" i="1" s="1"/>
  <c r="R635" i="1" l="1"/>
  <c r="S636" i="1"/>
  <c r="T636" i="1" s="1"/>
  <c r="R634" i="1" l="1"/>
  <c r="S635" i="1"/>
  <c r="T635" i="1" s="1"/>
  <c r="S634" i="1" l="1"/>
  <c r="T634" i="1" s="1"/>
  <c r="R633" i="1"/>
  <c r="R632" i="1" l="1"/>
  <c r="S633" i="1"/>
  <c r="T633" i="1" s="1"/>
  <c r="S632" i="1" l="1"/>
  <c r="T632" i="1" s="1"/>
  <c r="R631" i="1"/>
  <c r="S631" i="1" l="1"/>
  <c r="T631" i="1" s="1"/>
  <c r="R630" i="1"/>
  <c r="S630" i="1" l="1"/>
  <c r="T630" i="1" s="1"/>
  <c r="R629" i="1"/>
  <c r="S629" i="1" l="1"/>
  <c r="T629" i="1" s="1"/>
  <c r="R628" i="1"/>
  <c r="R627" i="1" l="1"/>
  <c r="S628" i="1"/>
  <c r="T628" i="1" s="1"/>
  <c r="S627" i="1" l="1"/>
  <c r="T627" i="1" s="1"/>
  <c r="R626" i="1"/>
  <c r="R625" i="1" l="1"/>
  <c r="S626" i="1"/>
  <c r="T626" i="1" s="1"/>
  <c r="S625" i="1" l="1"/>
  <c r="T625" i="1" s="1"/>
  <c r="R624" i="1"/>
  <c r="R623" i="1" l="1"/>
  <c r="S624" i="1"/>
  <c r="T624" i="1" s="1"/>
  <c r="S623" i="1" l="1"/>
  <c r="T623" i="1" s="1"/>
  <c r="R622" i="1"/>
  <c r="R621" i="1" l="1"/>
  <c r="S622" i="1"/>
  <c r="T622" i="1" s="1"/>
  <c r="S621" i="1" l="1"/>
  <c r="T621" i="1" s="1"/>
  <c r="R620" i="1"/>
  <c r="R619" i="1" l="1"/>
  <c r="S620" i="1"/>
  <c r="T620" i="1" s="1"/>
  <c r="S619" i="1" l="1"/>
  <c r="T619" i="1" s="1"/>
  <c r="R618" i="1"/>
  <c r="S618" i="1" l="1"/>
  <c r="T618" i="1" s="1"/>
  <c r="R617" i="1"/>
  <c r="S617" i="1" l="1"/>
  <c r="T617" i="1" s="1"/>
  <c r="R616" i="1"/>
  <c r="R615" i="1" l="1"/>
  <c r="S616" i="1"/>
  <c r="T616" i="1" s="1"/>
  <c r="R614" i="1" l="1"/>
  <c r="S615" i="1"/>
  <c r="T615" i="1" s="1"/>
  <c r="S614" i="1" l="1"/>
  <c r="T614" i="1" s="1"/>
  <c r="R613" i="1"/>
  <c r="S613" i="1" l="1"/>
  <c r="T613" i="1" s="1"/>
  <c r="R612" i="1"/>
  <c r="S612" i="1" l="1"/>
  <c r="T612" i="1" s="1"/>
  <c r="R611" i="1"/>
  <c r="R610" i="1" l="1"/>
  <c r="S611" i="1"/>
  <c r="T611" i="1" s="1"/>
  <c r="S610" i="1" l="1"/>
  <c r="T610" i="1" s="1"/>
  <c r="R609" i="1"/>
  <c r="R608" i="1" l="1"/>
  <c r="S609" i="1"/>
  <c r="T609" i="1" s="1"/>
  <c r="S608" i="1" l="1"/>
  <c r="T608" i="1" s="1"/>
  <c r="R607" i="1"/>
  <c r="R606" i="1" l="1"/>
  <c r="S607" i="1"/>
  <c r="T607" i="1" s="1"/>
  <c r="S606" i="1" l="1"/>
  <c r="T606" i="1" s="1"/>
  <c r="R605" i="1"/>
  <c r="R604" i="1" l="1"/>
  <c r="S605" i="1"/>
  <c r="T605" i="1" s="1"/>
  <c r="S604" i="1" l="1"/>
  <c r="T604" i="1" s="1"/>
  <c r="R603" i="1"/>
  <c r="R602" i="1" l="1"/>
  <c r="S603" i="1"/>
  <c r="T603" i="1" s="1"/>
  <c r="S602" i="1" l="1"/>
  <c r="T602" i="1" s="1"/>
  <c r="R601" i="1"/>
  <c r="R600" i="1" l="1"/>
  <c r="S601" i="1"/>
  <c r="T601" i="1" s="1"/>
  <c r="R599" i="1" l="1"/>
  <c r="S600" i="1"/>
  <c r="T600" i="1" s="1"/>
  <c r="R598" i="1" l="1"/>
  <c r="S599" i="1"/>
  <c r="T599" i="1" s="1"/>
  <c r="S598" i="1" l="1"/>
  <c r="T598" i="1" s="1"/>
  <c r="R597" i="1"/>
  <c r="S597" i="1" l="1"/>
  <c r="T597" i="1" s="1"/>
  <c r="R596" i="1"/>
  <c r="R595" i="1" l="1"/>
  <c r="S596" i="1"/>
  <c r="T596" i="1" s="1"/>
  <c r="S595" i="1" l="1"/>
  <c r="T595" i="1" s="1"/>
  <c r="R594" i="1"/>
  <c r="R593" i="1" l="1"/>
  <c r="S594" i="1"/>
  <c r="T594" i="1" s="1"/>
  <c r="S593" i="1" l="1"/>
  <c r="T593" i="1" s="1"/>
  <c r="R592" i="1"/>
  <c r="R591" i="1" l="1"/>
  <c r="S592" i="1"/>
  <c r="T592" i="1" s="1"/>
  <c r="S591" i="1" l="1"/>
  <c r="T591" i="1" s="1"/>
  <c r="R590" i="1"/>
  <c r="R589" i="1" l="1"/>
  <c r="S590" i="1"/>
  <c r="T590" i="1" s="1"/>
  <c r="S589" i="1" l="1"/>
  <c r="T589" i="1" s="1"/>
  <c r="R588" i="1"/>
  <c r="R587" i="1" l="1"/>
  <c r="S588" i="1"/>
  <c r="T588" i="1" s="1"/>
  <c r="S587" i="1" l="1"/>
  <c r="T587" i="1" s="1"/>
  <c r="R586" i="1"/>
  <c r="R585" i="1" l="1"/>
  <c r="S586" i="1"/>
  <c r="T586" i="1" s="1"/>
  <c r="S585" i="1" l="1"/>
  <c r="T585" i="1" s="1"/>
  <c r="R584" i="1"/>
  <c r="S584" i="1" l="1"/>
  <c r="T584" i="1" s="1"/>
  <c r="R583" i="1"/>
  <c r="S583" i="1" l="1"/>
  <c r="T583" i="1" s="1"/>
  <c r="R582" i="1"/>
  <c r="S582" i="1" l="1"/>
  <c r="T582" i="1" s="1"/>
  <c r="R581" i="1"/>
  <c r="R580" i="1" l="1"/>
  <c r="S581" i="1"/>
  <c r="T581" i="1" s="1"/>
  <c r="S580" i="1" l="1"/>
  <c r="T580" i="1" s="1"/>
  <c r="R579" i="1"/>
  <c r="S579" i="1" l="1"/>
  <c r="T579" i="1" s="1"/>
  <c r="R578" i="1"/>
  <c r="S578" i="1" l="1"/>
  <c r="T578" i="1" s="1"/>
  <c r="R577" i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S572" i="1" l="1"/>
  <c r="T572" i="1" s="1"/>
  <c r="R571" i="1"/>
  <c r="S571" i="1" l="1"/>
  <c r="T571" i="1" s="1"/>
  <c r="R570" i="1"/>
  <c r="S570" i="1" l="1"/>
  <c r="T570" i="1" s="1"/>
  <c r="R569" i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S565" i="1" l="1"/>
  <c r="T565" i="1" s="1"/>
  <c r="R564" i="1"/>
  <c r="S564" i="1" l="1"/>
  <c r="T564" i="1" s="1"/>
  <c r="R563" i="1"/>
  <c r="S563" i="1" l="1"/>
  <c r="T563" i="1" s="1"/>
  <c r="R562" i="1"/>
  <c r="R561" i="1" l="1"/>
  <c r="S562" i="1"/>
  <c r="T562" i="1" s="1"/>
  <c r="R560" i="1" l="1"/>
  <c r="S561" i="1"/>
  <c r="T561" i="1" s="1"/>
  <c r="S560" i="1" l="1"/>
  <c r="T560" i="1" s="1"/>
  <c r="R559" i="1"/>
  <c r="S559" i="1" l="1"/>
  <c r="T559" i="1" s="1"/>
  <c r="R558" i="1"/>
  <c r="S558" i="1" l="1"/>
  <c r="T558" i="1" s="1"/>
  <c r="R557" i="1"/>
  <c r="R556" i="1" l="1"/>
  <c r="S557" i="1"/>
  <c r="T557" i="1" s="1"/>
  <c r="R555" i="1" l="1"/>
  <c r="S556" i="1"/>
  <c r="T556" i="1" s="1"/>
  <c r="R554" i="1" l="1"/>
  <c r="S555" i="1"/>
  <c r="T555" i="1" s="1"/>
  <c r="S554" i="1" l="1"/>
  <c r="T554" i="1" s="1"/>
  <c r="R553" i="1"/>
  <c r="S553" i="1" l="1"/>
  <c r="T553" i="1" s="1"/>
  <c r="R552" i="1"/>
  <c r="S552" i="1" l="1"/>
  <c r="T552" i="1" s="1"/>
  <c r="R551" i="1"/>
  <c r="R550" i="1" l="1"/>
  <c r="S551" i="1"/>
  <c r="T551" i="1" s="1"/>
  <c r="R549" i="1" l="1"/>
  <c r="S550" i="1"/>
  <c r="T550" i="1" s="1"/>
  <c r="R548" i="1" l="1"/>
  <c r="S549" i="1"/>
  <c r="T549" i="1" s="1"/>
  <c r="S548" i="1" l="1"/>
  <c r="T548" i="1" s="1"/>
  <c r="R547" i="1"/>
  <c r="S547" i="1" l="1"/>
  <c r="T547" i="1" s="1"/>
  <c r="R546" i="1"/>
  <c r="S546" i="1" l="1"/>
  <c r="T546" i="1" s="1"/>
  <c r="R545" i="1"/>
  <c r="R544" i="1" l="1"/>
  <c r="S545" i="1"/>
  <c r="T545" i="1" s="1"/>
  <c r="R543" i="1" l="1"/>
  <c r="S544" i="1"/>
  <c r="T544" i="1" s="1"/>
  <c r="R542" i="1" l="1"/>
  <c r="S543" i="1"/>
  <c r="T543" i="1" s="1"/>
  <c r="S542" i="1" l="1"/>
  <c r="T542" i="1" s="1"/>
  <c r="R541" i="1"/>
  <c r="S541" i="1" l="1"/>
  <c r="T541" i="1" s="1"/>
  <c r="R540" i="1"/>
  <c r="S540" i="1" l="1"/>
  <c r="T540" i="1" s="1"/>
  <c r="R539" i="1"/>
  <c r="R538" i="1" l="1"/>
  <c r="S539" i="1"/>
  <c r="T539" i="1" s="1"/>
  <c r="R537" i="1" l="1"/>
  <c r="S538" i="1"/>
  <c r="T538" i="1" s="1"/>
  <c r="R536" i="1" l="1"/>
  <c r="S537" i="1"/>
  <c r="T537" i="1" s="1"/>
  <c r="S536" i="1" l="1"/>
  <c r="T536" i="1" s="1"/>
  <c r="R535" i="1"/>
  <c r="S535" i="1" l="1"/>
  <c r="T535" i="1" s="1"/>
  <c r="R534" i="1"/>
  <c r="S534" i="1" l="1"/>
  <c r="T534" i="1" s="1"/>
  <c r="R533" i="1"/>
  <c r="R532" i="1" l="1"/>
  <c r="S533" i="1"/>
  <c r="T533" i="1" s="1"/>
  <c r="R531" i="1" l="1"/>
  <c r="S532" i="1"/>
  <c r="T532" i="1" s="1"/>
  <c r="R530" i="1" l="1"/>
  <c r="S531" i="1"/>
  <c r="T531" i="1" s="1"/>
  <c r="S530" i="1" l="1"/>
  <c r="T530" i="1" s="1"/>
  <c r="R529" i="1"/>
  <c r="S529" i="1" l="1"/>
  <c r="T529" i="1" s="1"/>
  <c r="R528" i="1"/>
  <c r="S528" i="1" l="1"/>
  <c r="T528" i="1" s="1"/>
  <c r="R527" i="1"/>
  <c r="R526" i="1" l="1"/>
  <c r="S527" i="1"/>
  <c r="T527" i="1" s="1"/>
  <c r="R525" i="1" l="1"/>
  <c r="S526" i="1"/>
  <c r="T526" i="1" s="1"/>
  <c r="R524" i="1" l="1"/>
  <c r="S525" i="1"/>
  <c r="T525" i="1" s="1"/>
  <c r="S524" i="1" l="1"/>
  <c r="T524" i="1" s="1"/>
  <c r="R523" i="1"/>
  <c r="S523" i="1" l="1"/>
  <c r="T523" i="1" s="1"/>
  <c r="R522" i="1"/>
  <c r="S522" i="1" l="1"/>
  <c r="T522" i="1" s="1"/>
  <c r="R521" i="1"/>
  <c r="R520" i="1" l="1"/>
  <c r="S521" i="1"/>
  <c r="T521" i="1" s="1"/>
  <c r="S520" i="1" l="1"/>
  <c r="T520" i="1" s="1"/>
  <c r="R519" i="1"/>
  <c r="R518" i="1" l="1"/>
  <c r="S519" i="1"/>
  <c r="T519" i="1" s="1"/>
  <c r="S518" i="1" l="1"/>
  <c r="T518" i="1" s="1"/>
  <c r="R517" i="1"/>
  <c r="R516" i="1" l="1"/>
  <c r="S517" i="1"/>
  <c r="T517" i="1" s="1"/>
  <c r="S516" i="1" l="1"/>
  <c r="T516" i="1" s="1"/>
  <c r="R515" i="1"/>
  <c r="R514" i="1" l="1"/>
  <c r="S515" i="1"/>
  <c r="T515" i="1" s="1"/>
  <c r="S514" i="1" l="1"/>
  <c r="T514" i="1" s="1"/>
  <c r="R513" i="1"/>
  <c r="S513" i="1" l="1"/>
  <c r="T513" i="1" s="1"/>
  <c r="R512" i="1"/>
  <c r="S512" i="1" l="1"/>
  <c r="T512" i="1" s="1"/>
  <c r="R511" i="1"/>
  <c r="R510" i="1" l="1"/>
  <c r="S511" i="1"/>
  <c r="T511" i="1" s="1"/>
  <c r="S510" i="1" l="1"/>
  <c r="T510" i="1" s="1"/>
  <c r="R509" i="1"/>
  <c r="R508" i="1" l="1"/>
  <c r="S509" i="1"/>
  <c r="T509" i="1" s="1"/>
  <c r="R507" i="1" l="1"/>
  <c r="S508" i="1"/>
  <c r="T508" i="1" s="1"/>
  <c r="R506" i="1" l="1"/>
  <c r="S507" i="1"/>
  <c r="T507" i="1" s="1"/>
  <c r="S506" i="1" l="1"/>
  <c r="T506" i="1" s="1"/>
  <c r="R505" i="1"/>
  <c r="S505" i="1" l="1"/>
  <c r="T505" i="1" s="1"/>
  <c r="R504" i="1"/>
  <c r="S504" i="1" l="1"/>
  <c r="T504" i="1" s="1"/>
  <c r="R503" i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S498" i="1" l="1"/>
  <c r="T498" i="1" s="1"/>
  <c r="R497" i="1"/>
  <c r="R496" i="1" l="1"/>
  <c r="S497" i="1"/>
  <c r="T497" i="1" s="1"/>
  <c r="R495" i="1" l="1"/>
  <c r="S496" i="1"/>
  <c r="T496" i="1" s="1"/>
  <c r="S495" i="1" l="1"/>
  <c r="T495" i="1" s="1"/>
  <c r="R494" i="1"/>
  <c r="R493" i="1" l="1"/>
  <c r="S494" i="1"/>
  <c r="T494" i="1" s="1"/>
  <c r="S493" i="1" l="1"/>
  <c r="T493" i="1" s="1"/>
  <c r="R492" i="1"/>
  <c r="R491" i="1" l="1"/>
  <c r="S492" i="1"/>
  <c r="T492" i="1" s="1"/>
  <c r="S491" i="1" l="1"/>
  <c r="T491" i="1" s="1"/>
  <c r="R490" i="1"/>
  <c r="R489" i="1" l="1"/>
  <c r="S490" i="1"/>
  <c r="T490" i="1" s="1"/>
  <c r="S489" i="1" l="1"/>
  <c r="T489" i="1" s="1"/>
  <c r="R488" i="1"/>
  <c r="R487" i="1" l="1"/>
  <c r="S488" i="1"/>
  <c r="T488" i="1" s="1"/>
  <c r="S487" i="1" l="1"/>
  <c r="T487" i="1" s="1"/>
  <c r="R486" i="1"/>
  <c r="S486" i="1" l="1"/>
  <c r="T486" i="1" s="1"/>
  <c r="R485" i="1"/>
  <c r="S485" i="1" l="1"/>
  <c r="T485" i="1" s="1"/>
  <c r="R484" i="1"/>
  <c r="S484" i="1" l="1"/>
  <c r="T484" i="1" s="1"/>
  <c r="R483" i="1"/>
  <c r="R482" i="1" l="1"/>
  <c r="S483" i="1"/>
  <c r="T483" i="1" s="1"/>
  <c r="R481" i="1" l="1"/>
  <c r="S482" i="1"/>
  <c r="T482" i="1" s="1"/>
  <c r="R480" i="1" l="1"/>
  <c r="S481" i="1"/>
  <c r="T481" i="1" s="1"/>
  <c r="S480" i="1" l="1"/>
  <c r="T480" i="1" s="1"/>
  <c r="R479" i="1"/>
  <c r="S479" i="1" l="1"/>
  <c r="T479" i="1" s="1"/>
  <c r="R478" i="1"/>
  <c r="S478" i="1" l="1"/>
  <c r="T478" i="1" s="1"/>
  <c r="R477" i="1"/>
  <c r="R476" i="1" l="1"/>
  <c r="S477" i="1"/>
  <c r="T477" i="1" s="1"/>
  <c r="R475" i="1" l="1"/>
  <c r="S476" i="1"/>
  <c r="T476" i="1" s="1"/>
  <c r="R474" i="1" l="1"/>
  <c r="S475" i="1"/>
  <c r="T475" i="1" s="1"/>
  <c r="S474" i="1" l="1"/>
  <c r="T474" i="1" s="1"/>
  <c r="R473" i="1"/>
  <c r="R472" i="1" l="1"/>
  <c r="S473" i="1"/>
  <c r="T473" i="1" s="1"/>
  <c r="R471" i="1" l="1"/>
  <c r="S472" i="1"/>
  <c r="T472" i="1" s="1"/>
  <c r="R470" i="1" l="1"/>
  <c r="S471" i="1"/>
  <c r="T471" i="1" s="1"/>
  <c r="S470" i="1" l="1"/>
  <c r="T470" i="1" s="1"/>
  <c r="R469" i="1"/>
  <c r="S469" i="1" l="1"/>
  <c r="T469" i="1" s="1"/>
  <c r="R468" i="1"/>
  <c r="S468" i="1" l="1"/>
  <c r="T468" i="1" s="1"/>
  <c r="R467" i="1"/>
  <c r="R466" i="1" l="1"/>
  <c r="S467" i="1"/>
  <c r="T467" i="1" s="1"/>
  <c r="R465" i="1" l="1"/>
  <c r="S466" i="1"/>
  <c r="T466" i="1" s="1"/>
  <c r="R464" i="1" l="1"/>
  <c r="S465" i="1"/>
  <c r="T465" i="1" s="1"/>
  <c r="S464" i="1" l="1"/>
  <c r="T464" i="1" s="1"/>
  <c r="R463" i="1"/>
  <c r="S463" i="1" l="1"/>
  <c r="T463" i="1" s="1"/>
  <c r="R462" i="1"/>
  <c r="S462" i="1" l="1"/>
  <c r="T462" i="1" s="1"/>
  <c r="R461" i="1"/>
  <c r="S461" i="1" l="1"/>
  <c r="T461" i="1" s="1"/>
  <c r="R460" i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S455" i="1" l="1"/>
  <c r="T455" i="1" s="1"/>
  <c r="R454" i="1"/>
  <c r="S454" i="1" l="1"/>
  <c r="T454" i="1" s="1"/>
  <c r="R453" i="1"/>
  <c r="S453" i="1" l="1"/>
  <c r="T453" i="1" s="1"/>
  <c r="R452" i="1"/>
  <c r="R451" i="1" l="1"/>
  <c r="S452" i="1"/>
  <c r="T452" i="1" s="1"/>
  <c r="R450" i="1" l="1"/>
  <c r="S451" i="1"/>
  <c r="T451" i="1" s="1"/>
  <c r="R449" i="1" l="1"/>
  <c r="S450" i="1"/>
  <c r="T450" i="1" s="1"/>
  <c r="S449" i="1" l="1"/>
  <c r="T449" i="1" s="1"/>
  <c r="R448" i="1"/>
  <c r="S448" i="1" l="1"/>
  <c r="T448" i="1" s="1"/>
  <c r="R447" i="1"/>
  <c r="S447" i="1" l="1"/>
  <c r="T447" i="1" s="1"/>
  <c r="R446" i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S442" i="1" l="1"/>
  <c r="T442" i="1" s="1"/>
  <c r="R441" i="1"/>
  <c r="S441" i="1" l="1"/>
  <c r="T441" i="1" s="1"/>
  <c r="R440" i="1"/>
  <c r="S440" i="1" l="1"/>
  <c r="T440" i="1" s="1"/>
  <c r="R439" i="1"/>
  <c r="R438" i="1" l="1"/>
  <c r="S439" i="1"/>
  <c r="T439" i="1" s="1"/>
  <c r="R437" i="1" l="1"/>
  <c r="S438" i="1"/>
  <c r="T438" i="1" s="1"/>
  <c r="R436" i="1" l="1"/>
  <c r="S437" i="1"/>
  <c r="T437" i="1" s="1"/>
  <c r="S436" i="1" l="1"/>
  <c r="T436" i="1" s="1"/>
  <c r="R435" i="1"/>
  <c r="S435" i="1" l="1"/>
  <c r="T435" i="1" s="1"/>
  <c r="R434" i="1"/>
  <c r="S434" i="1" l="1"/>
  <c r="T434" i="1" s="1"/>
  <c r="R433" i="1"/>
  <c r="R432" i="1" l="1"/>
  <c r="S433" i="1"/>
  <c r="T433" i="1" s="1"/>
  <c r="S432" i="1" l="1"/>
  <c r="T432" i="1" s="1"/>
  <c r="R431" i="1"/>
  <c r="R430" i="1" l="1"/>
  <c r="S431" i="1"/>
  <c r="T431" i="1" s="1"/>
  <c r="S430" i="1" l="1"/>
  <c r="T430" i="1" s="1"/>
  <c r="R429" i="1"/>
  <c r="S429" i="1" l="1"/>
  <c r="T429" i="1" s="1"/>
  <c r="R428" i="1"/>
  <c r="S428" i="1" l="1"/>
  <c r="T428" i="1" s="1"/>
  <c r="R427" i="1"/>
  <c r="R426" i="1" l="1"/>
  <c r="S427" i="1"/>
  <c r="T427" i="1" s="1"/>
  <c r="R425" i="1" l="1"/>
  <c r="S426" i="1"/>
  <c r="T426" i="1" s="1"/>
  <c r="R424" i="1" l="1"/>
  <c r="S425" i="1"/>
  <c r="T425" i="1" s="1"/>
  <c r="S424" i="1" l="1"/>
  <c r="T424" i="1" s="1"/>
  <c r="R423" i="1"/>
  <c r="S423" i="1" l="1"/>
  <c r="T423" i="1" s="1"/>
  <c r="R422" i="1"/>
  <c r="S422" i="1" l="1"/>
  <c r="T422" i="1" s="1"/>
  <c r="R421" i="1"/>
  <c r="R420" i="1" l="1"/>
  <c r="S421" i="1"/>
  <c r="T421" i="1" s="1"/>
  <c r="R419" i="1" l="1"/>
  <c r="S420" i="1"/>
  <c r="T420" i="1" s="1"/>
  <c r="R418" i="1" l="1"/>
  <c r="S419" i="1"/>
  <c r="T419" i="1" s="1"/>
  <c r="S418" i="1" l="1"/>
  <c r="T418" i="1" s="1"/>
  <c r="R417" i="1"/>
  <c r="S417" i="1" l="1"/>
  <c r="T417" i="1" s="1"/>
  <c r="R416" i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S412" i="1" l="1"/>
  <c r="T412" i="1" s="1"/>
  <c r="R411" i="1"/>
  <c r="S411" i="1" l="1"/>
  <c r="T411" i="1" s="1"/>
  <c r="R410" i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S406" i="1" l="1"/>
  <c r="T406" i="1" s="1"/>
  <c r="R405" i="1"/>
  <c r="R404" i="1" l="1"/>
  <c r="S405" i="1"/>
  <c r="T405" i="1" s="1"/>
  <c r="S404" i="1" l="1"/>
  <c r="T404" i="1" s="1"/>
  <c r="R403" i="1"/>
  <c r="S403" i="1" l="1"/>
  <c r="T403" i="1" s="1"/>
  <c r="R402" i="1"/>
  <c r="R401" i="1" l="1"/>
  <c r="S402" i="1"/>
  <c r="T402" i="1" s="1"/>
  <c r="R400" i="1" l="1"/>
  <c r="S401" i="1"/>
  <c r="T401" i="1" s="1"/>
  <c r="R399" i="1" l="1"/>
  <c r="S400" i="1"/>
  <c r="T400" i="1" s="1"/>
  <c r="S399" i="1" l="1"/>
  <c r="T399" i="1" s="1"/>
  <c r="R398" i="1"/>
  <c r="R397" i="1" l="1"/>
  <c r="S398" i="1"/>
  <c r="T398" i="1" s="1"/>
  <c r="R396" i="1" l="1"/>
  <c r="S397" i="1"/>
  <c r="T397" i="1" s="1"/>
  <c r="R395" i="1" l="1"/>
  <c r="S396" i="1"/>
  <c r="T396" i="1" s="1"/>
  <c r="S395" i="1" l="1"/>
  <c r="T395" i="1" s="1"/>
  <c r="R394" i="1"/>
  <c r="S394" i="1" l="1"/>
  <c r="T394" i="1" s="1"/>
  <c r="R393" i="1"/>
  <c r="S393" i="1" l="1"/>
  <c r="T393" i="1" s="1"/>
  <c r="R392" i="1"/>
  <c r="R391" i="1" l="1"/>
  <c r="S392" i="1"/>
  <c r="T392" i="1" s="1"/>
  <c r="R390" i="1" l="1"/>
  <c r="S391" i="1"/>
  <c r="T391" i="1" s="1"/>
  <c r="R389" i="1" l="1"/>
  <c r="S390" i="1"/>
  <c r="T390" i="1" s="1"/>
  <c r="S389" i="1" l="1"/>
  <c r="T389" i="1" s="1"/>
  <c r="R388" i="1"/>
  <c r="R387" i="1" l="1"/>
  <c r="S388" i="1"/>
  <c r="T388" i="1" s="1"/>
  <c r="S387" i="1" l="1"/>
  <c r="T387" i="1" s="1"/>
  <c r="R386" i="1"/>
  <c r="R385" i="1" l="1"/>
  <c r="S386" i="1"/>
  <c r="T386" i="1" s="1"/>
  <c r="R384" i="1" l="1"/>
  <c r="S385" i="1"/>
  <c r="T385" i="1" s="1"/>
  <c r="R383" i="1" l="1"/>
  <c r="S384" i="1"/>
  <c r="T384" i="1" s="1"/>
  <c r="S383" i="1" l="1"/>
  <c r="T383" i="1" s="1"/>
  <c r="R382" i="1"/>
  <c r="S382" i="1" l="1"/>
  <c r="T382" i="1" s="1"/>
  <c r="R381" i="1"/>
  <c r="S381" i="1" l="1"/>
  <c r="T381" i="1" s="1"/>
  <c r="R380" i="1"/>
  <c r="R379" i="1" l="1"/>
  <c r="S380" i="1"/>
  <c r="T380" i="1" s="1"/>
  <c r="S379" i="1" l="1"/>
  <c r="T379" i="1" s="1"/>
  <c r="R378" i="1"/>
  <c r="R377" i="1" l="1"/>
  <c r="S378" i="1"/>
  <c r="T378" i="1" s="1"/>
  <c r="R376" i="1" l="1"/>
  <c r="S377" i="1"/>
  <c r="T377" i="1" s="1"/>
  <c r="R375" i="1" l="1"/>
  <c r="S376" i="1"/>
  <c r="T376" i="1" s="1"/>
  <c r="S375" i="1" l="1"/>
  <c r="T375" i="1" s="1"/>
  <c r="R374" i="1"/>
  <c r="S374" i="1" l="1"/>
  <c r="T374" i="1" s="1"/>
  <c r="R373" i="1"/>
  <c r="S373" i="1" l="1"/>
  <c r="T373" i="1" s="1"/>
  <c r="R372" i="1"/>
  <c r="S372" i="1" l="1"/>
  <c r="T372" i="1" s="1"/>
  <c r="R371" i="1"/>
  <c r="R370" i="1" l="1"/>
  <c r="S371" i="1"/>
  <c r="T371" i="1" s="1"/>
  <c r="S370" i="1" l="1"/>
  <c r="T370" i="1" s="1"/>
  <c r="R369" i="1"/>
  <c r="R368" i="1" l="1"/>
  <c r="S369" i="1"/>
  <c r="T369" i="1" s="1"/>
  <c r="S368" i="1" l="1"/>
  <c r="T368" i="1" s="1"/>
  <c r="R367" i="1"/>
  <c r="R366" i="1" l="1"/>
  <c r="S367" i="1"/>
  <c r="T367" i="1" s="1"/>
  <c r="R365" i="1" l="1"/>
  <c r="S366" i="1"/>
  <c r="T366" i="1" s="1"/>
  <c r="S365" i="1" l="1"/>
  <c r="T365" i="1" s="1"/>
  <c r="R364" i="1"/>
  <c r="S364" i="1" l="1"/>
  <c r="T364" i="1" s="1"/>
  <c r="R363" i="1"/>
  <c r="S363" i="1" l="1"/>
  <c r="T363" i="1" s="1"/>
  <c r="R362" i="1"/>
  <c r="S362" i="1" l="1"/>
  <c r="T362" i="1" s="1"/>
  <c r="R361" i="1"/>
  <c r="R360" i="1" l="1"/>
  <c r="S361" i="1"/>
  <c r="T361" i="1" s="1"/>
  <c r="R359" i="1" l="1"/>
  <c r="S360" i="1"/>
  <c r="T360" i="1" s="1"/>
  <c r="R358" i="1" l="1"/>
  <c r="S359" i="1"/>
  <c r="T359" i="1" s="1"/>
  <c r="S358" i="1" l="1"/>
  <c r="T358" i="1" s="1"/>
  <c r="R357" i="1"/>
  <c r="S357" i="1" l="1"/>
  <c r="T357" i="1" s="1"/>
  <c r="R356" i="1"/>
  <c r="S356" i="1" l="1"/>
  <c r="T356" i="1" s="1"/>
  <c r="R355" i="1"/>
  <c r="S355" i="1" l="1"/>
  <c r="T355" i="1" s="1"/>
  <c r="R354" i="1"/>
  <c r="R353" i="1" l="1"/>
  <c r="S354" i="1"/>
  <c r="T354" i="1" s="1"/>
  <c r="R352" i="1" l="1"/>
  <c r="S353" i="1"/>
  <c r="T353" i="1" s="1"/>
  <c r="R351" i="1" l="1"/>
  <c r="S352" i="1"/>
  <c r="T352" i="1" s="1"/>
  <c r="S351" i="1" l="1"/>
  <c r="T351" i="1" s="1"/>
  <c r="R350" i="1"/>
  <c r="S350" i="1" l="1"/>
  <c r="T350" i="1" s="1"/>
  <c r="R349" i="1"/>
  <c r="S349" i="1" l="1"/>
  <c r="T349" i="1" s="1"/>
  <c r="R348" i="1"/>
  <c r="S348" i="1" l="1"/>
  <c r="T348" i="1" s="1"/>
  <c r="R347" i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S343" i="1" l="1"/>
  <c r="T343" i="1" s="1"/>
  <c r="R342" i="1"/>
  <c r="S342" i="1" l="1"/>
  <c r="T342" i="1" s="1"/>
  <c r="R341" i="1"/>
  <c r="S341" i="1" l="1"/>
  <c r="T341" i="1" s="1"/>
  <c r="R340" i="1"/>
  <c r="S340" i="1" l="1"/>
  <c r="T340" i="1" s="1"/>
  <c r="R339" i="1"/>
  <c r="R338" i="1" l="1"/>
  <c r="S339" i="1"/>
  <c r="T339" i="1" s="1"/>
  <c r="S338" i="1" l="1"/>
  <c r="T338" i="1" s="1"/>
  <c r="R337" i="1"/>
  <c r="R336" i="1" l="1"/>
  <c r="S337" i="1"/>
  <c r="T337" i="1" s="1"/>
  <c r="S336" i="1" l="1"/>
  <c r="T336" i="1" s="1"/>
  <c r="R335" i="1"/>
  <c r="R334" i="1" l="1"/>
  <c r="S335" i="1"/>
  <c r="T335" i="1" s="1"/>
  <c r="S334" i="1" l="1"/>
  <c r="T334" i="1" s="1"/>
  <c r="R333" i="1"/>
  <c r="R332" i="1" l="1"/>
  <c r="S333" i="1"/>
  <c r="T333" i="1" s="1"/>
  <c r="S332" i="1" l="1"/>
  <c r="T332" i="1" s="1"/>
  <c r="R331" i="1"/>
  <c r="S331" i="1" l="1"/>
  <c r="T331" i="1" s="1"/>
  <c r="R330" i="1"/>
  <c r="S330" i="1" l="1"/>
  <c r="T330" i="1" s="1"/>
  <c r="R329" i="1"/>
  <c r="R328" i="1" l="1"/>
  <c r="S329" i="1"/>
  <c r="T329" i="1" s="1"/>
  <c r="S328" i="1" l="1"/>
  <c r="T328" i="1" s="1"/>
  <c r="R327" i="1"/>
  <c r="S327" i="1" l="1"/>
  <c r="T327" i="1" s="1"/>
  <c r="R326" i="1"/>
  <c r="R325" i="1" l="1"/>
  <c r="S326" i="1"/>
  <c r="T326" i="1" s="1"/>
  <c r="S325" i="1" l="1"/>
  <c r="T325" i="1" s="1"/>
  <c r="R324" i="1"/>
  <c r="S324" i="1" l="1"/>
  <c r="T324" i="1" s="1"/>
  <c r="R323" i="1"/>
  <c r="S323" i="1" l="1"/>
  <c r="T323" i="1" s="1"/>
  <c r="R322" i="1"/>
  <c r="R321" i="1" l="1"/>
  <c r="S322" i="1"/>
  <c r="T322" i="1" s="1"/>
  <c r="R320" i="1" l="1"/>
  <c r="S321" i="1"/>
  <c r="T321" i="1" s="1"/>
  <c r="R319" i="1" l="1"/>
  <c r="S320" i="1"/>
  <c r="T320" i="1" s="1"/>
  <c r="S319" i="1" l="1"/>
  <c r="T319" i="1" s="1"/>
  <c r="R318" i="1"/>
  <c r="S318" i="1" l="1"/>
  <c r="T318" i="1" s="1"/>
  <c r="R317" i="1"/>
  <c r="S317" i="1" l="1"/>
  <c r="T317" i="1" s="1"/>
  <c r="R316" i="1"/>
  <c r="S316" i="1" l="1"/>
  <c r="T316" i="1" s="1"/>
  <c r="R315" i="1"/>
  <c r="R314" i="1" l="1"/>
  <c r="S315" i="1"/>
  <c r="T315" i="1" s="1"/>
  <c r="R313" i="1" l="1"/>
  <c r="S314" i="1"/>
  <c r="T314" i="1" s="1"/>
  <c r="R312" i="1" l="1"/>
  <c r="S313" i="1"/>
  <c r="T313" i="1" s="1"/>
  <c r="S312" i="1" l="1"/>
  <c r="T312" i="1" s="1"/>
  <c r="R311" i="1"/>
  <c r="R310" i="1" l="1"/>
  <c r="S311" i="1"/>
  <c r="T311" i="1" s="1"/>
  <c r="S310" i="1" l="1"/>
  <c r="T310" i="1" s="1"/>
  <c r="R309" i="1"/>
  <c r="S309" i="1" l="1"/>
  <c r="T309" i="1" s="1"/>
  <c r="R308" i="1"/>
  <c r="S308" i="1" l="1"/>
  <c r="T308" i="1" s="1"/>
  <c r="R307" i="1"/>
  <c r="R306" i="1" l="1"/>
  <c r="S307" i="1"/>
  <c r="T307" i="1" s="1"/>
  <c r="R305" i="1" l="1"/>
  <c r="S306" i="1"/>
  <c r="T306" i="1" s="1"/>
  <c r="R304" i="1" l="1"/>
  <c r="S305" i="1"/>
  <c r="T305" i="1" s="1"/>
  <c r="S304" i="1" l="1"/>
  <c r="T304" i="1" s="1"/>
  <c r="R303" i="1"/>
  <c r="S303" i="1" l="1"/>
  <c r="T303" i="1" s="1"/>
  <c r="R302" i="1"/>
  <c r="S302" i="1" l="1"/>
  <c r="T302" i="1" s="1"/>
  <c r="R301" i="1"/>
  <c r="R300" i="1" l="1"/>
  <c r="S301" i="1"/>
  <c r="T301" i="1" s="1"/>
  <c r="R299" i="1" l="1"/>
  <c r="S300" i="1"/>
  <c r="T300" i="1" s="1"/>
  <c r="R298" i="1" l="1"/>
  <c r="S299" i="1"/>
  <c r="T299" i="1" s="1"/>
  <c r="S298" i="1" l="1"/>
  <c r="T298" i="1" s="1"/>
  <c r="R297" i="1"/>
  <c r="S297" i="1" l="1"/>
  <c r="T297" i="1" s="1"/>
  <c r="R296" i="1"/>
  <c r="R295" i="1" l="1"/>
  <c r="S296" i="1"/>
  <c r="T296" i="1" s="1"/>
  <c r="R294" i="1" l="1"/>
  <c r="S295" i="1"/>
  <c r="T295" i="1" s="1"/>
  <c r="R293" i="1" l="1"/>
  <c r="S294" i="1"/>
  <c r="T294" i="1" s="1"/>
  <c r="S293" i="1" l="1"/>
  <c r="T293" i="1" s="1"/>
  <c r="R292" i="1"/>
  <c r="S292" i="1" l="1"/>
  <c r="T292" i="1" s="1"/>
  <c r="R291" i="1"/>
  <c r="S291" i="1" l="1"/>
  <c r="T291" i="1" s="1"/>
  <c r="R290" i="1"/>
  <c r="R289" i="1" l="1"/>
  <c r="S290" i="1"/>
  <c r="T290" i="1" s="1"/>
  <c r="R288" i="1" l="1"/>
  <c r="S289" i="1"/>
  <c r="T289" i="1" s="1"/>
  <c r="R287" i="1" l="1"/>
  <c r="S288" i="1"/>
  <c r="T288" i="1" s="1"/>
  <c r="S287" i="1" l="1"/>
  <c r="T287" i="1" s="1"/>
  <c r="R286" i="1"/>
  <c r="S286" i="1" l="1"/>
  <c r="T286" i="1" s="1"/>
  <c r="R285" i="1"/>
  <c r="S285" i="1" l="1"/>
  <c r="T285" i="1" s="1"/>
  <c r="R284" i="1"/>
  <c r="R283" i="1" l="1"/>
  <c r="S284" i="1"/>
  <c r="T284" i="1" s="1"/>
  <c r="R282" i="1" l="1"/>
  <c r="S283" i="1"/>
  <c r="T283" i="1" s="1"/>
  <c r="S282" i="1" l="1"/>
  <c r="T282" i="1" s="1"/>
  <c r="R281" i="1"/>
  <c r="S281" i="1" l="1"/>
  <c r="T281" i="1" s="1"/>
  <c r="R280" i="1"/>
  <c r="S280" i="1" l="1"/>
  <c r="T280" i="1" s="1"/>
  <c r="R279" i="1"/>
  <c r="R278" i="1" l="1"/>
  <c r="S279" i="1"/>
  <c r="T279" i="1" s="1"/>
  <c r="R277" i="1" l="1"/>
  <c r="S278" i="1"/>
  <c r="T278" i="1" s="1"/>
  <c r="R276" i="1" l="1"/>
  <c r="S277" i="1"/>
  <c r="T277" i="1" s="1"/>
  <c r="S276" i="1" l="1"/>
  <c r="T276" i="1" s="1"/>
  <c r="R275" i="1"/>
  <c r="S275" i="1" l="1"/>
  <c r="T275" i="1" s="1"/>
  <c r="R274" i="1"/>
  <c r="S274" i="1" l="1"/>
  <c r="T274" i="1" s="1"/>
  <c r="R273" i="1"/>
  <c r="S273" i="1" l="1"/>
  <c r="T273" i="1" s="1"/>
  <c r="R272" i="1"/>
  <c r="R271" i="1" l="1"/>
  <c r="S272" i="1"/>
  <c r="T272" i="1" s="1"/>
  <c r="R270" i="1" l="1"/>
  <c r="S271" i="1"/>
  <c r="T271" i="1" s="1"/>
  <c r="R269" i="1" l="1"/>
  <c r="S270" i="1"/>
  <c r="T270" i="1" s="1"/>
  <c r="S269" i="1" l="1"/>
  <c r="T269" i="1" s="1"/>
  <c r="R268" i="1"/>
  <c r="S268" i="1" l="1"/>
  <c r="T268" i="1" s="1"/>
  <c r="R267" i="1"/>
  <c r="S267" i="1" l="1"/>
  <c r="T267" i="1" s="1"/>
  <c r="R266" i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S262" i="1" l="1"/>
  <c r="T262" i="1" s="1"/>
  <c r="R261" i="1"/>
  <c r="S261" i="1" l="1"/>
  <c r="T261" i="1" s="1"/>
  <c r="R260" i="1"/>
  <c r="R259" i="1" l="1"/>
  <c r="S260" i="1"/>
  <c r="T260" i="1" s="1"/>
  <c r="R258" i="1" l="1"/>
  <c r="S259" i="1"/>
  <c r="T259" i="1" s="1"/>
  <c r="R257" i="1" l="1"/>
  <c r="S258" i="1"/>
  <c r="T258" i="1" s="1"/>
  <c r="S257" i="1" l="1"/>
  <c r="T257" i="1" s="1"/>
  <c r="R256" i="1"/>
  <c r="S256" i="1" l="1"/>
  <c r="T256" i="1" s="1"/>
  <c r="R255" i="1"/>
  <c r="S255" i="1" l="1"/>
  <c r="T255" i="1" s="1"/>
  <c r="R254" i="1"/>
  <c r="R253" i="1" l="1"/>
  <c r="S254" i="1"/>
  <c r="T254" i="1" s="1"/>
  <c r="R252" i="1" l="1"/>
  <c r="S253" i="1"/>
  <c r="T253" i="1" s="1"/>
  <c r="R251" i="1" l="1"/>
  <c r="S252" i="1"/>
  <c r="T252" i="1" s="1"/>
  <c r="S251" i="1" l="1"/>
  <c r="T251" i="1" s="1"/>
  <c r="R250" i="1"/>
  <c r="S250" i="1" l="1"/>
  <c r="T250" i="1" s="1"/>
  <c r="R249" i="1"/>
  <c r="S249" i="1" l="1"/>
  <c r="T249" i="1" s="1"/>
  <c r="R248" i="1"/>
  <c r="S248" i="1" l="1"/>
  <c r="T248" i="1" s="1"/>
  <c r="R247" i="1"/>
  <c r="R246" i="1" l="1"/>
  <c r="S247" i="1"/>
  <c r="T247" i="1" s="1"/>
  <c r="R245" i="1" l="1"/>
  <c r="S246" i="1"/>
  <c r="T246" i="1" s="1"/>
  <c r="R244" i="1" l="1"/>
  <c r="S245" i="1"/>
  <c r="T245" i="1" s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S238" i="1" l="1"/>
  <c r="T238" i="1" s="1"/>
  <c r="R237" i="1"/>
  <c r="S237" i="1" l="1"/>
  <c r="T237" i="1" s="1"/>
  <c r="R236" i="1"/>
  <c r="S236" i="1" l="1"/>
  <c r="T236" i="1" s="1"/>
  <c r="R235" i="1"/>
  <c r="S235" i="1" l="1"/>
  <c r="T235" i="1" s="1"/>
  <c r="R234" i="1"/>
  <c r="S234" i="1" l="1"/>
  <c r="T234" i="1" s="1"/>
  <c r="R233" i="1"/>
  <c r="R232" i="1" l="1"/>
  <c r="S233" i="1"/>
  <c r="T233" i="1" s="1"/>
  <c r="R231" i="1" l="1"/>
  <c r="S232" i="1"/>
  <c r="T232" i="1" s="1"/>
  <c r="R230" i="1" l="1"/>
  <c r="S231" i="1"/>
  <c r="T231" i="1" s="1"/>
  <c r="S230" i="1" l="1"/>
  <c r="T230" i="1" s="1"/>
  <c r="R229" i="1"/>
  <c r="S229" i="1" l="1"/>
  <c r="T229" i="1" s="1"/>
  <c r="R228" i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S224" i="1" l="1"/>
  <c r="T224" i="1" s="1"/>
  <c r="R223" i="1"/>
  <c r="S223" i="1" l="1"/>
  <c r="T223" i="1" s="1"/>
  <c r="R222" i="1"/>
  <c r="R221" i="1" l="1"/>
  <c r="S222" i="1"/>
  <c r="T222" i="1" s="1"/>
  <c r="R220" i="1" l="1"/>
  <c r="S221" i="1"/>
  <c r="T221" i="1" s="1"/>
  <c r="S220" i="1" l="1"/>
  <c r="T220" i="1" s="1"/>
  <c r="R219" i="1"/>
  <c r="S219" i="1" l="1"/>
  <c r="T219" i="1" s="1"/>
  <c r="R218" i="1"/>
  <c r="S218" i="1" l="1"/>
  <c r="T218" i="1" s="1"/>
  <c r="R217" i="1"/>
  <c r="R216" i="1" l="1"/>
  <c r="S217" i="1"/>
  <c r="T217" i="1" s="1"/>
  <c r="R215" i="1" l="1"/>
  <c r="S216" i="1"/>
  <c r="T216" i="1" s="1"/>
  <c r="R214" i="1" l="1"/>
  <c r="S215" i="1"/>
  <c r="T215" i="1" s="1"/>
  <c r="S214" i="1" l="1"/>
  <c r="T214" i="1" s="1"/>
  <c r="R213" i="1"/>
  <c r="S213" i="1" l="1"/>
  <c r="T213" i="1" s="1"/>
  <c r="R212" i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S208" i="1" l="1"/>
  <c r="T208" i="1" s="1"/>
  <c r="R207" i="1"/>
  <c r="R206" i="1" l="1"/>
  <c r="S207" i="1"/>
  <c r="T207" i="1" s="1"/>
  <c r="R205" i="1" l="1"/>
  <c r="S206" i="1"/>
  <c r="T206" i="1" s="1"/>
  <c r="R204" i="1" l="1"/>
  <c r="S205" i="1"/>
  <c r="T205" i="1" s="1"/>
  <c r="S204" i="1" l="1"/>
  <c r="T204" i="1" s="1"/>
  <c r="R203" i="1"/>
  <c r="R202" i="1" l="1"/>
  <c r="S203" i="1"/>
  <c r="T203" i="1" s="1"/>
  <c r="S202" i="1" l="1"/>
  <c r="T202" i="1" s="1"/>
  <c r="R201" i="1"/>
  <c r="R200" i="1" l="1"/>
  <c r="S201" i="1"/>
  <c r="T201" i="1" s="1"/>
  <c r="S200" i="1" l="1"/>
  <c r="T200" i="1" s="1"/>
  <c r="R199" i="1"/>
  <c r="R198" i="1" l="1"/>
  <c r="S199" i="1"/>
  <c r="T199" i="1" s="1"/>
  <c r="S198" i="1" l="1"/>
  <c r="T198" i="1" s="1"/>
  <c r="R197" i="1"/>
  <c r="R196" i="1" l="1"/>
  <c r="S197" i="1"/>
  <c r="T197" i="1" s="1"/>
  <c r="S196" i="1" l="1"/>
  <c r="T196" i="1" s="1"/>
  <c r="R195" i="1"/>
  <c r="S195" i="1" l="1"/>
  <c r="T195" i="1" s="1"/>
  <c r="R194" i="1"/>
  <c r="S194" i="1" l="1"/>
  <c r="T194" i="1" s="1"/>
  <c r="R193" i="1"/>
  <c r="R192" i="1" l="1"/>
  <c r="S193" i="1"/>
  <c r="T193" i="1" s="1"/>
  <c r="S192" i="1" l="1"/>
  <c r="T192" i="1" s="1"/>
  <c r="R191" i="1"/>
  <c r="S191" i="1" l="1"/>
  <c r="T191" i="1" s="1"/>
  <c r="R190" i="1"/>
  <c r="S190" i="1" l="1"/>
  <c r="T190" i="1" s="1"/>
  <c r="R189" i="1"/>
  <c r="R188" i="1" l="1"/>
  <c r="S189" i="1"/>
  <c r="T189" i="1" s="1"/>
  <c r="R187" i="1" l="1"/>
  <c r="S188" i="1"/>
  <c r="T188" i="1" s="1"/>
  <c r="S187" i="1" l="1"/>
  <c r="T187" i="1" s="1"/>
  <c r="R186" i="1"/>
  <c r="S186" i="1" l="1"/>
  <c r="T186" i="1" s="1"/>
  <c r="R185" i="1"/>
  <c r="S185" i="1" l="1"/>
  <c r="T185" i="1" s="1"/>
  <c r="R184" i="1"/>
  <c r="R183" i="1" l="1"/>
  <c r="S184" i="1"/>
  <c r="T184" i="1" s="1"/>
  <c r="R182" i="1" l="1"/>
  <c r="S183" i="1"/>
  <c r="T183" i="1" s="1"/>
  <c r="R181" i="1" l="1"/>
  <c r="S182" i="1"/>
  <c r="T182" i="1" s="1"/>
  <c r="S181" i="1" l="1"/>
  <c r="T181" i="1" s="1"/>
  <c r="R180" i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S174" i="1" l="1"/>
  <c r="T174" i="1" s="1"/>
  <c r="R173" i="1"/>
  <c r="S173" i="1" l="1"/>
  <c r="T173" i="1" s="1"/>
  <c r="R172" i="1"/>
  <c r="R171" i="1" l="1"/>
  <c r="S172" i="1"/>
  <c r="T172" i="1" s="1"/>
  <c r="R170" i="1" l="1"/>
  <c r="S171" i="1"/>
  <c r="T171" i="1" s="1"/>
  <c r="S170" i="1" l="1"/>
  <c r="T170" i="1" s="1"/>
  <c r="R169" i="1"/>
  <c r="R168" i="1" l="1"/>
  <c r="S169" i="1"/>
  <c r="T169" i="1" s="1"/>
  <c r="S168" i="1" l="1"/>
  <c r="T168" i="1" s="1"/>
  <c r="R167" i="1"/>
  <c r="R166" i="1" l="1"/>
  <c r="S167" i="1"/>
  <c r="T167" i="1" s="1"/>
  <c r="S166" i="1" l="1"/>
  <c r="T166" i="1" s="1"/>
  <c r="R165" i="1"/>
  <c r="R164" i="1" l="1"/>
  <c r="S165" i="1"/>
  <c r="T165" i="1" s="1"/>
  <c r="S164" i="1" l="1"/>
  <c r="T164" i="1" s="1"/>
  <c r="R163" i="1"/>
  <c r="R162" i="1" l="1"/>
  <c r="S163" i="1"/>
  <c r="T163" i="1" s="1"/>
  <c r="S162" i="1" l="1"/>
  <c r="T162" i="1" s="1"/>
  <c r="R161" i="1"/>
  <c r="R160" i="1" l="1"/>
  <c r="S161" i="1"/>
  <c r="T161" i="1" s="1"/>
  <c r="S160" i="1" l="1"/>
  <c r="T160" i="1" s="1"/>
  <c r="R159" i="1"/>
  <c r="R158" i="1" l="1"/>
  <c r="S159" i="1"/>
  <c r="T159" i="1" s="1"/>
  <c r="S158" i="1" l="1"/>
  <c r="T158" i="1" s="1"/>
  <c r="R157" i="1"/>
  <c r="R156" i="1" l="1"/>
  <c r="S157" i="1"/>
  <c r="T157" i="1" s="1"/>
  <c r="S156" i="1" l="1"/>
  <c r="T156" i="1" s="1"/>
  <c r="R155" i="1"/>
  <c r="R154" i="1" l="1"/>
  <c r="S155" i="1"/>
  <c r="T155" i="1" s="1"/>
  <c r="S154" i="1" l="1"/>
  <c r="T154" i="1" s="1"/>
  <c r="R153" i="1"/>
  <c r="R152" i="1" l="1"/>
  <c r="S153" i="1"/>
  <c r="T153" i="1" s="1"/>
  <c r="S152" i="1" l="1"/>
  <c r="T152" i="1" s="1"/>
  <c r="R151" i="1"/>
  <c r="S151" i="1" l="1"/>
  <c r="T151" i="1" s="1"/>
  <c r="R150" i="1"/>
  <c r="S150" i="1" l="1"/>
  <c r="T150" i="1" s="1"/>
  <c r="R149" i="1"/>
  <c r="R148" i="1" l="1"/>
  <c r="S149" i="1"/>
  <c r="T149" i="1" s="1"/>
  <c r="R147" i="1" l="1"/>
  <c r="S148" i="1"/>
  <c r="T148" i="1" s="1"/>
  <c r="R146" i="1" l="1"/>
  <c r="S147" i="1"/>
  <c r="T147" i="1" s="1"/>
  <c r="S146" i="1" l="1"/>
  <c r="T146" i="1" s="1"/>
  <c r="R145" i="1"/>
  <c r="S145" i="1" l="1"/>
  <c r="T145" i="1" s="1"/>
  <c r="R144" i="1"/>
  <c r="S144" i="1" l="1"/>
  <c r="T144" i="1" s="1"/>
  <c r="R143" i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S138" i="1" l="1"/>
  <c r="T138" i="1" s="1"/>
  <c r="R137" i="1"/>
  <c r="R136" i="1" l="1"/>
  <c r="S137" i="1"/>
  <c r="T137" i="1" s="1"/>
  <c r="R135" i="1" l="1"/>
  <c r="S136" i="1"/>
  <c r="T136" i="1" s="1"/>
  <c r="R134" i="1" l="1"/>
  <c r="S135" i="1"/>
  <c r="T135" i="1" s="1"/>
  <c r="S134" i="1" l="1"/>
  <c r="T134" i="1" s="1"/>
  <c r="R133" i="1"/>
  <c r="S133" i="1" l="1"/>
  <c r="T133" i="1" s="1"/>
  <c r="R132" i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S128" i="1" l="1"/>
  <c r="T128" i="1" s="1"/>
  <c r="R127" i="1"/>
  <c r="S127" i="1" l="1"/>
  <c r="T127" i="1" s="1"/>
  <c r="R126" i="1"/>
  <c r="S126" i="1" l="1"/>
  <c r="T126" i="1" s="1"/>
  <c r="R125" i="1"/>
  <c r="R124" i="1" l="1"/>
  <c r="S125" i="1"/>
  <c r="T125" i="1" s="1"/>
  <c r="R123" i="1" l="1"/>
  <c r="S124" i="1"/>
  <c r="T124" i="1" s="1"/>
  <c r="R122" i="1" l="1"/>
  <c r="S123" i="1"/>
  <c r="T123" i="1" s="1"/>
  <c r="S122" i="1" l="1"/>
  <c r="T122" i="1" s="1"/>
  <c r="R121" i="1"/>
  <c r="S121" i="1" l="1"/>
  <c r="T121" i="1" s="1"/>
  <c r="R120" i="1"/>
  <c r="R119" i="1" l="1"/>
  <c r="S120" i="1"/>
  <c r="T120" i="1" s="1"/>
  <c r="R118" i="1" l="1"/>
  <c r="S119" i="1"/>
  <c r="T119" i="1" s="1"/>
  <c r="S118" i="1" l="1"/>
  <c r="T118" i="1" s="1"/>
  <c r="R117" i="1"/>
  <c r="S117" i="1" l="1"/>
  <c r="T117" i="1" s="1"/>
  <c r="R116" i="1"/>
  <c r="S116" i="1" l="1"/>
  <c r="T116" i="1" s="1"/>
  <c r="R115" i="1"/>
  <c r="R114" i="1" l="1"/>
  <c r="S115" i="1"/>
  <c r="T115" i="1" s="1"/>
  <c r="R113" i="1" l="1"/>
  <c r="S114" i="1"/>
  <c r="T114" i="1" s="1"/>
  <c r="R112" i="1" l="1"/>
  <c r="S113" i="1"/>
  <c r="T113" i="1" s="1"/>
  <c r="S112" i="1" l="1"/>
  <c r="T112" i="1" s="1"/>
  <c r="R111" i="1"/>
  <c r="S111" i="1" l="1"/>
  <c r="T111" i="1" s="1"/>
  <c r="R110" i="1"/>
  <c r="R109" i="1" l="1"/>
  <c r="S110" i="1"/>
  <c r="T110" i="1" s="1"/>
  <c r="R108" i="1" l="1"/>
  <c r="S109" i="1"/>
  <c r="T109" i="1" s="1"/>
  <c r="R107" i="1" l="1"/>
  <c r="S108" i="1"/>
  <c r="T108" i="1" s="1"/>
  <c r="S107" i="1" l="1"/>
  <c r="T107" i="1" s="1"/>
  <c r="R106" i="1"/>
  <c r="S106" i="1" l="1"/>
  <c r="T106" i="1" s="1"/>
  <c r="R105" i="1"/>
  <c r="S105" i="1" l="1"/>
  <c r="T105" i="1" s="1"/>
  <c r="R104" i="1"/>
  <c r="R103" i="1" l="1"/>
  <c r="S104" i="1"/>
  <c r="T104" i="1" s="1"/>
  <c r="R102" i="1" l="1"/>
  <c r="S103" i="1"/>
  <c r="T103" i="1" s="1"/>
  <c r="R101" i="1" l="1"/>
  <c r="S102" i="1"/>
  <c r="T102" i="1" s="1"/>
  <c r="S101" i="1" l="1"/>
  <c r="T101" i="1" s="1"/>
  <c r="R100" i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S93" i="1" l="1"/>
  <c r="T93" i="1" s="1"/>
  <c r="R92" i="1"/>
  <c r="R91" i="1" l="1"/>
  <c r="S92" i="1"/>
  <c r="T92" i="1" s="1"/>
  <c r="S91" i="1" l="1"/>
  <c r="T91" i="1" s="1"/>
  <c r="R90" i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S86" i="1" l="1"/>
  <c r="T86" i="1" s="1"/>
  <c r="R85" i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S79" i="1" l="1"/>
  <c r="T79" i="1" s="1"/>
  <c r="R78" i="1"/>
  <c r="S78" i="1" l="1"/>
  <c r="T78" i="1" s="1"/>
  <c r="R77" i="1"/>
  <c r="S77" i="1" l="1"/>
  <c r="T77" i="1" s="1"/>
  <c r="R76" i="1"/>
  <c r="R75" i="1" l="1"/>
  <c r="S76" i="1"/>
  <c r="T76" i="1" s="1"/>
  <c r="S75" i="1" l="1"/>
  <c r="T75" i="1" s="1"/>
  <c r="R74" i="1"/>
  <c r="R73" i="1" l="1"/>
  <c r="S74" i="1"/>
  <c r="T74" i="1" s="1"/>
  <c r="S73" i="1" l="1"/>
  <c r="T73" i="1" s="1"/>
  <c r="R72" i="1"/>
  <c r="R71" i="1" l="1"/>
  <c r="S72" i="1"/>
  <c r="T72" i="1" s="1"/>
  <c r="S71" i="1" l="1"/>
  <c r="T71" i="1" s="1"/>
  <c r="R70" i="1"/>
  <c r="R69" i="1" l="1"/>
  <c r="S70" i="1"/>
  <c r="T70" i="1" s="1"/>
  <c r="S69" i="1" l="1"/>
  <c r="T69" i="1" s="1"/>
  <c r="R68" i="1"/>
  <c r="R67" i="1" l="1"/>
  <c r="S68" i="1"/>
  <c r="T68" i="1" s="1"/>
  <c r="S67" i="1" l="1"/>
  <c r="T67" i="1" s="1"/>
  <c r="R66" i="1"/>
  <c r="R65" i="1" l="1"/>
  <c r="S66" i="1"/>
  <c r="T66" i="1" s="1"/>
  <c r="S65" i="1" l="1"/>
  <c r="T65" i="1" s="1"/>
  <c r="R64" i="1"/>
  <c r="R63" i="1" l="1"/>
  <c r="S64" i="1"/>
  <c r="T64" i="1" s="1"/>
  <c r="S63" i="1" l="1"/>
  <c r="T63" i="1" s="1"/>
  <c r="R62" i="1"/>
  <c r="R61" i="1" l="1"/>
  <c r="S62" i="1"/>
  <c r="T62" i="1" s="1"/>
  <c r="S61" i="1" l="1"/>
  <c r="T61" i="1" s="1"/>
  <c r="R60" i="1"/>
  <c r="R59" i="1" l="1"/>
  <c r="S60" i="1"/>
  <c r="T60" i="1" s="1"/>
  <c r="S59" i="1" l="1"/>
  <c r="T59" i="1" s="1"/>
  <c r="R58" i="1"/>
  <c r="S58" i="1" l="1"/>
  <c r="T58" i="1" s="1"/>
  <c r="R57" i="1"/>
  <c r="S57" i="1" l="1"/>
  <c r="T57" i="1" s="1"/>
  <c r="R56" i="1"/>
  <c r="R55" i="1" l="1"/>
  <c r="S56" i="1"/>
  <c r="T56" i="1" s="1"/>
  <c r="R54" i="1" l="1"/>
  <c r="S55" i="1"/>
  <c r="T55" i="1" s="1"/>
  <c r="R53" i="1" l="1"/>
  <c r="S54" i="1"/>
  <c r="T54" i="1" s="1"/>
  <c r="S53" i="1" l="1"/>
  <c r="T53" i="1" s="1"/>
  <c r="R52" i="1"/>
  <c r="S52" i="1" l="1"/>
  <c r="T52" i="1" s="1"/>
  <c r="R51" i="1"/>
  <c r="S51" i="1" l="1"/>
  <c r="T51" i="1" s="1"/>
  <c r="R50" i="1"/>
  <c r="R49" i="1" l="1"/>
  <c r="S50" i="1"/>
  <c r="T50" i="1" s="1"/>
  <c r="R48" i="1" l="1"/>
  <c r="S49" i="1"/>
  <c r="T49" i="1" s="1"/>
  <c r="R47" i="1" l="1"/>
  <c r="S48" i="1"/>
  <c r="T48" i="1" s="1"/>
  <c r="S47" i="1" l="1"/>
  <c r="T47" i="1" s="1"/>
  <c r="R46" i="1"/>
  <c r="R45" i="1" l="1"/>
  <c r="S46" i="1"/>
  <c r="T46" i="1" s="1"/>
  <c r="S45" i="1" l="1"/>
  <c r="T45" i="1" s="1"/>
  <c r="R44" i="1"/>
  <c r="R43" i="1" l="1"/>
  <c r="S44" i="1"/>
  <c r="T44" i="1" s="1"/>
  <c r="S43" i="1" l="1"/>
  <c r="T43" i="1" s="1"/>
  <c r="R42" i="1"/>
  <c r="S42" i="1" l="1"/>
  <c r="T42" i="1" s="1"/>
  <c r="R41" i="1"/>
  <c r="R40" i="1" l="1"/>
  <c r="S41" i="1"/>
  <c r="T41" i="1" s="1"/>
  <c r="R39" i="1" l="1"/>
  <c r="S40" i="1"/>
  <c r="T40" i="1" s="1"/>
  <c r="S39" i="1" l="1"/>
  <c r="T39" i="1" s="1"/>
  <c r="R38" i="1"/>
  <c r="R37" i="1" l="1"/>
  <c r="S38" i="1"/>
  <c r="T38" i="1" s="1"/>
  <c r="S37" i="1" l="1"/>
  <c r="T37" i="1" s="1"/>
  <c r="R36" i="1"/>
  <c r="R35" i="1" l="1"/>
  <c r="S36" i="1"/>
  <c r="T36" i="1" s="1"/>
  <c r="S35" i="1" l="1"/>
  <c r="T35" i="1" s="1"/>
  <c r="R34" i="1"/>
  <c r="R33" i="1" l="1"/>
  <c r="S34" i="1"/>
  <c r="T34" i="1" s="1"/>
  <c r="R32" i="1" l="1"/>
  <c r="S33" i="1"/>
  <c r="T33" i="1" s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<sst xmlns="http://schemas.openxmlformats.org/spreadsheetml/2006/main" count="8771" uniqueCount="34">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</sst>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1.37</c:v>
                </c:pt>
                <c:pt idx="1">
                  <c:v>1.401</c:v>
                </c:pt>
                <c:pt idx="2">
                  <c:v>1.425</c:v>
                </c:pt>
                <c:pt idx="3">
                  <c:v>1.474</c:v>
                </c:pt>
                <c:pt idx="4">
                  <c:v>1.421</c:v>
                </c:pt>
                <c:pt idx="5">
                  <c:v>1.3660000000000001</c:v>
                </c:pt>
                <c:pt idx="6">
                  <c:v>1.4450000000000001</c:v>
                </c:pt>
                <c:pt idx="7">
                  <c:v>1.679</c:v>
                </c:pt>
                <c:pt idx="8">
                  <c:v>1.7090000000000001</c:v>
                </c:pt>
                <c:pt idx="9">
                  <c:v>1.7949999999999999</c:v>
                </c:pt>
                <c:pt idx="10">
                  <c:v>1.829</c:v>
                </c:pt>
                <c:pt idx="11">
                  <c:v>1.91</c:v>
                </c:pt>
                <c:pt idx="12">
                  <c:v>1.875</c:v>
                </c:pt>
                <c:pt idx="13">
                  <c:v>1.853</c:v>
                </c:pt>
                <c:pt idx="14">
                  <c:v>1.823</c:v>
                </c:pt>
                <c:pt idx="15">
                  <c:v>1.905</c:v>
                </c:pt>
                <c:pt idx="16">
                  <c:v>1.86</c:v>
                </c:pt>
                <c:pt idx="17">
                  <c:v>1.7849999999999999</c:v>
                </c:pt>
                <c:pt idx="18">
                  <c:v>1.89</c:v>
                </c:pt>
                <c:pt idx="19">
                  <c:v>1.8859999999999999</c:v>
                </c:pt>
                <c:pt idx="20">
                  <c:v>1.857</c:v>
                </c:pt>
                <c:pt idx="21">
                  <c:v>2.0259999999999998</c:v>
                </c:pt>
                <c:pt idx="22">
                  <c:v>2.0790000000000002</c:v>
                </c:pt>
                <c:pt idx="23">
                  <c:v>2.2280000000000002</c:v>
                </c:pt>
                <c:pt idx="24">
                  <c:v>2.2650000000000001</c:v>
                </c:pt>
                <c:pt idx="25">
                  <c:v>2.2250000000000001</c:v>
                </c:pt>
                <c:pt idx="26">
                  <c:v>2.133</c:v>
                </c:pt>
                <c:pt idx="27">
                  <c:v>2.0579999999999998</c:v>
                </c:pt>
                <c:pt idx="28">
                  <c:v>2.0630000000000002</c:v>
                </c:pt>
                <c:pt idx="29">
                  <c:v>2.0150000000000001</c:v>
                </c:pt>
                <c:pt idx="30">
                  <c:v>2.1080000000000001</c:v>
                </c:pt>
                <c:pt idx="31">
                  <c:v>2.3370000000000002</c:v>
                </c:pt>
                <c:pt idx="32">
                  <c:v>2.2890000000000001</c:v>
                </c:pt>
                <c:pt idx="33">
                  <c:v>2.31</c:v>
                </c:pt>
                <c:pt idx="34">
                  <c:v>2.266</c:v>
                </c:pt>
                <c:pt idx="35">
                  <c:v>2.3340000000000001</c:v>
                </c:pt>
                <c:pt idx="36">
                  <c:v>2.2269999999999999</c:v>
                </c:pt>
                <c:pt idx="37">
                  <c:v>2.1280000000000001</c:v>
                </c:pt>
                <c:pt idx="38">
                  <c:v>2.04</c:v>
                </c:pt>
                <c:pt idx="39">
                  <c:v>2.1309999999999998</c:v>
                </c:pt>
                <c:pt idx="40">
                  <c:v>2.1480000000000001</c:v>
                </c:pt>
                <c:pt idx="41">
                  <c:v>2.1019999999999999</c:v>
                </c:pt>
                <c:pt idx="42">
                  <c:v>2.0779999999999998</c:v>
                </c:pt>
                <c:pt idx="43">
                  <c:v>2.109</c:v>
                </c:pt>
                <c:pt idx="44">
                  <c:v>2.1160000000000001</c:v>
                </c:pt>
                <c:pt idx="45">
                  <c:v>1.9530000000000001</c:v>
                </c:pt>
                <c:pt idx="46">
                  <c:v>2.2320000000000002</c:v>
                </c:pt>
                <c:pt idx="47">
                  <c:v>2.1469999999999998</c:v>
                </c:pt>
                <c:pt idx="48">
                  <c:v>2.1339999999999999</c:v>
                </c:pt>
                <c:pt idx="49">
                  <c:v>2.1989999999999998</c:v>
                </c:pt>
                <c:pt idx="50">
                  <c:v>2.4049999999999998</c:v>
                </c:pt>
                <c:pt idx="51">
                  <c:v>2.3119999999999998</c:v>
                </c:pt>
                <c:pt idx="52">
                  <c:v>2.274</c:v>
                </c:pt>
                <c:pt idx="53">
                  <c:v>2.1760000000000002</c:v>
                </c:pt>
                <c:pt idx="54">
                  <c:v>2.359</c:v>
                </c:pt>
                <c:pt idx="55">
                  <c:v>2.847</c:v>
                </c:pt>
                <c:pt idx="56">
                  <c:v>2.9649999999999999</c:v>
                </c:pt>
                <c:pt idx="57">
                  <c:v>2.9249999999999998</c:v>
                </c:pt>
                <c:pt idx="58">
                  <c:v>2.9159999999999999</c:v>
                </c:pt>
                <c:pt idx="59">
                  <c:v>2.9670000000000001</c:v>
                </c:pt>
                <c:pt idx="60">
                  <c:v>2.9550000000000001</c:v>
                </c:pt>
                <c:pt idx="61">
                  <c:v>2.9790000000000001</c:v>
                </c:pt>
                <c:pt idx="62">
                  <c:v>2.9279999999999999</c:v>
                </c:pt>
                <c:pt idx="63">
                  <c:v>3.1259999999999999</c:v>
                </c:pt>
                <c:pt idx="64">
                  <c:v>2.956</c:v>
                </c:pt>
                <c:pt idx="65">
                  <c:v>3.0449999999999999</c:v>
                </c:pt>
                <c:pt idx="66">
                  <c:v>3.0089999999999999</c:v>
                </c:pt>
                <c:pt idx="67">
                  <c:v>3.1120000000000001</c:v>
                </c:pt>
                <c:pt idx="68">
                  <c:v>3.125</c:v>
                </c:pt>
                <c:pt idx="69">
                  <c:v>3.0289999999999999</c:v>
                </c:pt>
                <c:pt idx="70">
                  <c:v>2.919</c:v>
                </c:pt>
                <c:pt idx="71">
                  <c:v>3.331</c:v>
                </c:pt>
                <c:pt idx="72">
                  <c:v>3.0419999999999998</c:v>
                </c:pt>
                <c:pt idx="73">
                  <c:v>3.2440000000000002</c:v>
                </c:pt>
                <c:pt idx="74">
                  <c:v>3.234</c:v>
                </c:pt>
                <c:pt idx="75">
                  <c:v>3.24</c:v>
                </c:pt>
                <c:pt idx="76">
                  <c:v>3.2040000000000002</c:v>
                </c:pt>
                <c:pt idx="77">
                  <c:v>3.28</c:v>
                </c:pt>
                <c:pt idx="78">
                  <c:v>3.1629999999999998</c:v>
                </c:pt>
                <c:pt idx="79">
                  <c:v>3.45</c:v>
                </c:pt>
                <c:pt idx="80">
                  <c:v>3.331</c:v>
                </c:pt>
                <c:pt idx="81">
                  <c:v>3.3479999999999999</c:v>
                </c:pt>
                <c:pt idx="82">
                  <c:v>3.3570000000000002</c:v>
                </c:pt>
                <c:pt idx="83">
                  <c:v>3.423</c:v>
                </c:pt>
                <c:pt idx="84">
                  <c:v>3.4580000000000002</c:v>
                </c:pt>
                <c:pt idx="85">
                  <c:v>3.375</c:v>
                </c:pt>
                <c:pt idx="86">
                  <c:v>3.5009999999999999</c:v>
                </c:pt>
                <c:pt idx="87">
                  <c:v>3.4740000000000002</c:v>
                </c:pt>
                <c:pt idx="88">
                  <c:v>3.448</c:v>
                </c:pt>
                <c:pt idx="89">
                  <c:v>3.347</c:v>
                </c:pt>
                <c:pt idx="90">
                  <c:v>3.2029999999999998</c:v>
                </c:pt>
                <c:pt idx="91">
                  <c:v>3.0720000000000001</c:v>
                </c:pt>
                <c:pt idx="92">
                  <c:v>2.88</c:v>
                </c:pt>
                <c:pt idx="93">
                  <c:v>3.274</c:v>
                </c:pt>
                <c:pt idx="94">
                  <c:v>3.32</c:v>
                </c:pt>
                <c:pt idx="95">
                  <c:v>3.2440000000000002</c:v>
                </c:pt>
                <c:pt idx="96">
                  <c:v>3.3210000000000002</c:v>
                </c:pt>
                <c:pt idx="97">
                  <c:v>3.234</c:v>
                </c:pt>
                <c:pt idx="98">
                  <c:v>3.125</c:v>
                </c:pt>
                <c:pt idx="99">
                  <c:v>3.2879999999999998</c:v>
                </c:pt>
                <c:pt idx="100">
                  <c:v>3.173</c:v>
                </c:pt>
                <c:pt idx="101">
                  <c:v>3.1110000000000002</c:v>
                </c:pt>
                <c:pt idx="102">
                  <c:v>3.1539999999999999</c:v>
                </c:pt>
                <c:pt idx="103">
                  <c:v>3.2309999999999999</c:v>
                </c:pt>
                <c:pt idx="104">
                  <c:v>3.2570000000000001</c:v>
                </c:pt>
                <c:pt idx="105">
                  <c:v>3.5310000000000001</c:v>
                </c:pt>
                <c:pt idx="106">
                  <c:v>3.4420000000000002</c:v>
                </c:pt>
                <c:pt idx="107">
                  <c:v>3.3559999999999999</c:v>
                </c:pt>
                <c:pt idx="108">
                  <c:v>3.4940000000000002</c:v>
                </c:pt>
                <c:pt idx="109">
                  <c:v>3.617</c:v>
                </c:pt>
                <c:pt idx="110">
                  <c:v>3.472</c:v>
                </c:pt>
                <c:pt idx="111">
                  <c:v>3.6339999999999999</c:v>
                </c:pt>
                <c:pt idx="112">
                  <c:v>3.4489999999999998</c:v>
                </c:pt>
                <c:pt idx="113">
                  <c:v>3.5459999999999998</c:v>
                </c:pt>
                <c:pt idx="114">
                  <c:v>3.4809999999999999</c:v>
                </c:pt>
                <c:pt idx="115">
                  <c:v>3.3780000000000001</c:v>
                </c:pt>
                <c:pt idx="116">
                  <c:v>3.2879999999999998</c:v>
                </c:pt>
                <c:pt idx="117">
                  <c:v>3.218</c:v>
                </c:pt>
                <c:pt idx="118">
                  <c:v>3.1789999999999998</c:v>
                </c:pt>
                <c:pt idx="119">
                  <c:v>2.9140000000000001</c:v>
                </c:pt>
                <c:pt idx="120">
                  <c:v>2.714</c:v>
                </c:pt>
                <c:pt idx="121">
                  <c:v>2.6989999999999998</c:v>
                </c:pt>
                <c:pt idx="122">
                  <c:v>2.7229999999999999</c:v>
                </c:pt>
                <c:pt idx="123">
                  <c:v>2.8050000000000002</c:v>
                </c:pt>
                <c:pt idx="124">
                  <c:v>2.9159999999999999</c:v>
                </c:pt>
                <c:pt idx="125">
                  <c:v>2.8519999999999999</c:v>
                </c:pt>
                <c:pt idx="126">
                  <c:v>3.1269999999999998</c:v>
                </c:pt>
                <c:pt idx="127">
                  <c:v>3.0939999999999999</c:v>
                </c:pt>
                <c:pt idx="128">
                  <c:v>2.8159999999999998</c:v>
                </c:pt>
                <c:pt idx="129">
                  <c:v>3.1520000000000001</c:v>
                </c:pt>
                <c:pt idx="130">
                  <c:v>3.6389999999999998</c:v>
                </c:pt>
                <c:pt idx="131">
                  <c:v>3.5150000000000001</c:v>
                </c:pt>
                <c:pt idx="132">
                  <c:v>3.42</c:v>
                </c:pt>
                <c:pt idx="133">
                  <c:v>3.4249999999999998</c:v>
                </c:pt>
                <c:pt idx="134">
                  <c:v>3.5190000000000001</c:v>
                </c:pt>
                <c:pt idx="135">
                  <c:v>3.335</c:v>
                </c:pt>
                <c:pt idx="136">
                  <c:v>3.2170000000000001</c:v>
                </c:pt>
                <c:pt idx="137">
                  <c:v>3.4209999999999998</c:v>
                </c:pt>
                <c:pt idx="138">
                  <c:v>3.343</c:v>
                </c:pt>
                <c:pt idx="139">
                  <c:v>3.21</c:v>
                </c:pt>
                <c:pt idx="140">
                  <c:v>3.4980000000000002</c:v>
                </c:pt>
                <c:pt idx="141">
                  <c:v>3.371</c:v>
                </c:pt>
                <c:pt idx="142">
                  <c:v>3.2509999999999999</c:v>
                </c:pt>
                <c:pt idx="143">
                  <c:v>4.0949999999999998</c:v>
                </c:pt>
                <c:pt idx="144">
                  <c:v>4.1420000000000003</c:v>
                </c:pt>
                <c:pt idx="145">
                  <c:v>4.165</c:v>
                </c:pt>
                <c:pt idx="146">
                  <c:v>4.2729999999999997</c:v>
                </c:pt>
                <c:pt idx="147">
                  <c:v>4.2990000000000004</c:v>
                </c:pt>
                <c:pt idx="148">
                  <c:v>4.62</c:v>
                </c:pt>
                <c:pt idx="149">
                  <c:v>4.8419999999999996</c:v>
                </c:pt>
                <c:pt idx="150">
                  <c:v>2.6930000000000001</c:v>
                </c:pt>
                <c:pt idx="151">
                  <c:v>2.8</c:v>
                </c:pt>
                <c:pt idx="152">
                  <c:v>2.8140000000000001</c:v>
                </c:pt>
                <c:pt idx="153">
                  <c:v>2.851</c:v>
                </c:pt>
                <c:pt idx="154">
                  <c:v>2.6960000000000002</c:v>
                </c:pt>
                <c:pt idx="155">
                  <c:v>2.9413999999999998</c:v>
                </c:pt>
                <c:pt idx="156">
                  <c:v>2.8138000000000001</c:v>
                </c:pt>
                <c:pt idx="157">
                  <c:v>3.0402999999999998</c:v>
                </c:pt>
                <c:pt idx="158">
                  <c:v>3.0423</c:v>
                </c:pt>
                <c:pt idx="159">
                  <c:v>2.9218000000000002</c:v>
                </c:pt>
                <c:pt idx="160">
                  <c:v>2.9723999999999999</c:v>
                </c:pt>
                <c:pt idx="161">
                  <c:v>2.9037000000000002</c:v>
                </c:pt>
                <c:pt idx="162">
                  <c:v>2.6692999999999998</c:v>
                </c:pt>
                <c:pt idx="163">
                  <c:v>2.7328999999999999</c:v>
                </c:pt>
                <c:pt idx="164">
                  <c:v>2.9790999999999999</c:v>
                </c:pt>
                <c:pt idx="165">
                  <c:v>3.1547000000000001</c:v>
                </c:pt>
                <c:pt idx="166">
                  <c:v>3.1015000000000001</c:v>
                </c:pt>
                <c:pt idx="167">
                  <c:v>2.9355000000000002</c:v>
                </c:pt>
                <c:pt idx="168">
                  <c:v>2.7711000000000001</c:v>
                </c:pt>
                <c:pt idx="169">
                  <c:v>2.9409000000000001</c:v>
                </c:pt>
                <c:pt idx="170">
                  <c:v>2.3704000000000001</c:v>
                </c:pt>
                <c:pt idx="171">
                  <c:v>2.3502000000000001</c:v>
                </c:pt>
                <c:pt idx="172">
                  <c:v>2.2970000000000002</c:v>
                </c:pt>
                <c:pt idx="173">
                  <c:v>2.1989000000000001</c:v>
                </c:pt>
                <c:pt idx="174">
                  <c:v>2.0895999999999999</c:v>
                </c:pt>
                <c:pt idx="175">
                  <c:v>2.0488</c:v>
                </c:pt>
                <c:pt idx="176">
                  <c:v>1.9984999999999999</c:v>
                </c:pt>
                <c:pt idx="177">
                  <c:v>1.9433</c:v>
                </c:pt>
                <c:pt idx="178">
                  <c:v>1.9927999999999999</c:v>
                </c:pt>
                <c:pt idx="179">
                  <c:v>1.9933000000000001</c:v>
                </c:pt>
                <c:pt idx="180">
                  <c:v>2.2652999999999999</c:v>
                </c:pt>
                <c:pt idx="181">
                  <c:v>1.9535</c:v>
                </c:pt>
                <c:pt idx="182">
                  <c:v>1.8293999999999999</c:v>
                </c:pt>
                <c:pt idx="183">
                  <c:v>1.7265999999999999</c:v>
                </c:pt>
                <c:pt idx="184">
                  <c:v>1.7464</c:v>
                </c:pt>
                <c:pt idx="185">
                  <c:v>1.6850000000000001</c:v>
                </c:pt>
                <c:pt idx="186">
                  <c:v>1.6873</c:v>
                </c:pt>
                <c:pt idx="187">
                  <c:v>1.6189</c:v>
                </c:pt>
                <c:pt idx="188">
                  <c:v>1.5722</c:v>
                </c:pt>
                <c:pt idx="189">
                  <c:v>1.4783999999999999</c:v>
                </c:pt>
                <c:pt idx="190">
                  <c:v>1.4065000000000001</c:v>
                </c:pt>
                <c:pt idx="191">
                  <c:v>1.3003</c:v>
                </c:pt>
                <c:pt idx="192">
                  <c:v>1.3868</c:v>
                </c:pt>
                <c:pt idx="193">
                  <c:v>1.5009999999999999</c:v>
                </c:pt>
                <c:pt idx="194">
                  <c:v>1.5529999999999999</c:v>
                </c:pt>
                <c:pt idx="195">
                  <c:v>1.4464999999999999</c:v>
                </c:pt>
                <c:pt idx="196">
                  <c:v>1.6186</c:v>
                </c:pt>
                <c:pt idx="197">
                  <c:v>1.7060999999999999</c:v>
                </c:pt>
                <c:pt idx="198">
                  <c:v>1.8361000000000001</c:v>
                </c:pt>
                <c:pt idx="199">
                  <c:v>2.0585</c:v>
                </c:pt>
                <c:pt idx="200">
                  <c:v>1.6243000000000001</c:v>
                </c:pt>
                <c:pt idx="201">
                  <c:v>1.532</c:v>
                </c:pt>
                <c:pt idx="202">
                  <c:v>1.5826</c:v>
                </c:pt>
                <c:pt idx="203">
                  <c:v>1.5692999999999999</c:v>
                </c:pt>
                <c:pt idx="204">
                  <c:v>1.8204</c:v>
                </c:pt>
                <c:pt idx="205">
                  <c:v>1.8041</c:v>
                </c:pt>
                <c:pt idx="206">
                  <c:v>1.7884</c:v>
                </c:pt>
                <c:pt idx="207">
                  <c:v>1.8712</c:v>
                </c:pt>
                <c:pt idx="208">
                  <c:v>1.8653</c:v>
                </c:pt>
                <c:pt idx="209">
                  <c:v>1.742</c:v>
                </c:pt>
                <c:pt idx="210">
                  <c:v>1.6272</c:v>
                </c:pt>
                <c:pt idx="211">
                  <c:v>1.7561</c:v>
                </c:pt>
                <c:pt idx="212">
                  <c:v>1.5766</c:v>
                </c:pt>
                <c:pt idx="213">
                  <c:v>1.4568000000000001</c:v>
                </c:pt>
                <c:pt idx="214">
                  <c:v>1.3392999999999999</c:v>
                </c:pt>
                <c:pt idx="215">
                  <c:v>1.2553000000000001</c:v>
                </c:pt>
                <c:pt idx="216">
                  <c:v>1.2616000000000001</c:v>
                </c:pt>
                <c:pt idx="217">
                  <c:v>1.3046</c:v>
                </c:pt>
                <c:pt idx="218">
                  <c:v>1.1416999999999999</c:v>
                </c:pt>
                <c:pt idx="219">
                  <c:v>1.0461</c:v>
                </c:pt>
                <c:pt idx="220">
                  <c:v>1.1717</c:v>
                </c:pt>
                <c:pt idx="221">
                  <c:v>1.6872</c:v>
                </c:pt>
                <c:pt idx="222">
                  <c:v>1.7516</c:v>
                </c:pt>
                <c:pt idx="223">
                  <c:v>1.8429</c:v>
                </c:pt>
                <c:pt idx="224">
                  <c:v>2.0514999999999999</c:v>
                </c:pt>
                <c:pt idx="225">
                  <c:v>2.0653000000000001</c:v>
                </c:pt>
                <c:pt idx="226">
                  <c:v>2.1774</c:v>
                </c:pt>
                <c:pt idx="227">
                  <c:v>2.2422</c:v>
                </c:pt>
                <c:pt idx="228">
                  <c:v>2.1840000000000002</c:v>
                </c:pt>
                <c:pt idx="229">
                  <c:v>2.1025</c:v>
                </c:pt>
                <c:pt idx="230">
                  <c:v>2.2608000000000001</c:v>
                </c:pt>
                <c:pt idx="231">
                  <c:v>2.6230000000000002</c:v>
                </c:pt>
                <c:pt idx="232">
                  <c:v>2.5499000000000001</c:v>
                </c:pt>
                <c:pt idx="233">
                  <c:v>2.6488</c:v>
                </c:pt>
                <c:pt idx="234">
                  <c:v>2.8944999999999999</c:v>
                </c:pt>
                <c:pt idx="235">
                  <c:v>2.4558</c:v>
                </c:pt>
                <c:pt idx="236">
                  <c:v>2.2155</c:v>
                </c:pt>
                <c:pt idx="237">
                  <c:v>2.2604000000000002</c:v>
                </c:pt>
                <c:pt idx="238">
                  <c:v>2.46</c:v>
                </c:pt>
                <c:pt idx="239">
                  <c:v>2.4034</c:v>
                </c:pt>
                <c:pt idx="240">
                  <c:v>2.2252000000000001</c:v>
                </c:pt>
                <c:pt idx="241">
                  <c:v>2.2551000000000001</c:v>
                </c:pt>
                <c:pt idx="242">
                  <c:v>2.1267999999999998</c:v>
                </c:pt>
                <c:pt idx="243">
                  <c:v>2.1461999999999999</c:v>
                </c:pt>
                <c:pt idx="244">
                  <c:v>2.2599999999999998</c:v>
                </c:pt>
                <c:pt idx="245">
                  <c:v>2.5253999999999999</c:v>
                </c:pt>
                <c:pt idx="246">
                  <c:v>2.6345999999999998</c:v>
                </c:pt>
                <c:pt idx="247">
                  <c:v>2.4344999999999999</c:v>
                </c:pt>
                <c:pt idx="248">
                  <c:v>2.3936999999999999</c:v>
                </c:pt>
                <c:pt idx="249">
                  <c:v>2.1116000000000001</c:v>
                </c:pt>
                <c:pt idx="250">
                  <c:v>2.5929000000000002</c:v>
                </c:pt>
                <c:pt idx="251">
                  <c:v>2.6042000000000001</c:v>
                </c:pt>
                <c:pt idx="252">
                  <c:v>2.58</c:v>
                </c:pt>
                <c:pt idx="253">
                  <c:v>2.1141000000000001</c:v>
                </c:pt>
                <c:pt idx="254">
                  <c:v>3.1151</c:v>
                </c:pt>
                <c:pt idx="255">
                  <c:v>2.9910999999999999</c:v>
                </c:pt>
                <c:pt idx="256">
                  <c:v>3.3936999999999999</c:v>
                </c:pt>
                <c:pt idx="257">
                  <c:v>3.1301000000000001</c:v>
                </c:pt>
                <c:pt idx="258">
                  <c:v>3.4485000000000001</c:v>
                </c:pt>
                <c:pt idx="259">
                  <c:v>3.2930000000000001</c:v>
                </c:pt>
                <c:pt idx="260">
                  <c:v>3.2385999999999999</c:v>
                </c:pt>
                <c:pt idx="261">
                  <c:v>3.8961999999999999</c:v>
                </c:pt>
                <c:pt idx="262">
                  <c:v>3.6177000000000001</c:v>
                </c:pt>
                <c:pt idx="263">
                  <c:v>3.9603999999999999</c:v>
                </c:pt>
                <c:pt idx="264">
                  <c:v>4.1830999999999996</c:v>
                </c:pt>
                <c:pt idx="265">
                  <c:v>4.0080999999999998</c:v>
                </c:pt>
                <c:pt idx="266">
                  <c:v>3.8355999999999999</c:v>
                </c:pt>
                <c:pt idx="267">
                  <c:v>3.9750000000000001</c:v>
                </c:pt>
                <c:pt idx="268">
                  <c:v>3.714</c:v>
                </c:pt>
                <c:pt idx="269">
                  <c:v>4.2397999999999998</c:v>
                </c:pt>
                <c:pt idx="270">
                  <c:v>4.0087000000000002</c:v>
                </c:pt>
                <c:pt idx="271">
                  <c:v>4.0838999999999999</c:v>
                </c:pt>
                <c:pt idx="272">
                  <c:v>4.0345000000000004</c:v>
                </c:pt>
                <c:pt idx="273">
                  <c:v>3.9144999999999999</c:v>
                </c:pt>
                <c:pt idx="274">
                  <c:v>3.8713000000000002</c:v>
                </c:pt>
                <c:pt idx="275">
                  <c:v>3.9699</c:v>
                </c:pt>
                <c:pt idx="276">
                  <c:v>3.7101000000000002</c:v>
                </c:pt>
                <c:pt idx="277">
                  <c:v>3.2366000000000001</c:v>
                </c:pt>
                <c:pt idx="278">
                  <c:v>3.0632999999999999</c:v>
                </c:pt>
                <c:pt idx="279">
                  <c:v>3.3765999999999998</c:v>
                </c:pt>
                <c:pt idx="280">
                  <c:v>3.6509999999999998</c:v>
                </c:pt>
                <c:pt idx="281">
                  <c:v>4.5430000000000001</c:v>
                </c:pt>
                <c:pt idx="282">
                  <c:v>3.7204000000000002</c:v>
                </c:pt>
                <c:pt idx="283">
                  <c:v>3.6606999999999998</c:v>
                </c:pt>
                <c:pt idx="284">
                  <c:v>3.6246999999999998</c:v>
                </c:pt>
                <c:pt idx="285">
                  <c:v>4.2702999999999998</c:v>
                </c:pt>
                <c:pt idx="286">
                  <c:v>4.2678000000000003</c:v>
                </c:pt>
                <c:pt idx="287">
                  <c:v>4.7012</c:v>
                </c:pt>
                <c:pt idx="288">
                  <c:v>4.5872999999999999</c:v>
                </c:pt>
                <c:pt idx="289">
                  <c:v>4.8563999999999998</c:v>
                </c:pt>
                <c:pt idx="290">
                  <c:v>4.8707000000000003</c:v>
                </c:pt>
                <c:pt idx="291">
                  <c:v>4.6878000000000002</c:v>
                </c:pt>
                <c:pt idx="292">
                  <c:v>4.9104000000000001</c:v>
                </c:pt>
                <c:pt idx="293">
                  <c:v>5.2854000000000001</c:v>
                </c:pt>
                <c:pt idx="294">
                  <c:v>5.1420000000000003</c:v>
                </c:pt>
                <c:pt idx="295">
                  <c:v>4.3963999999999999</c:v>
                </c:pt>
                <c:pt idx="296">
                  <c:v>5.1990999999999996</c:v>
                </c:pt>
                <c:pt idx="297">
                  <c:v>5.61</c:v>
                </c:pt>
                <c:pt idx="298">
                  <c:v>6.8788999999999998</c:v>
                </c:pt>
                <c:pt idx="299">
                  <c:v>6.7766000000000002</c:v>
                </c:pt>
                <c:pt idx="300">
                  <c:v>5.1195000000000004</c:v>
                </c:pt>
                <c:pt idx="301">
                  <c:v>5.5439999999999996</c:v>
                </c:pt>
                <c:pt idx="302">
                  <c:v>5.9513999999999996</c:v>
                </c:pt>
                <c:pt idx="303">
                  <c:v>6.6910999999999996</c:v>
                </c:pt>
                <c:pt idx="304">
                  <c:v>6.0244</c:v>
                </c:pt>
                <c:pt idx="305">
                  <c:v>1.889</c:v>
                </c:pt>
                <c:pt idx="306">
                  <c:v>1.7758</c:v>
                </c:pt>
                <c:pt idx="307">
                  <c:v>1.7188000000000001</c:v>
                </c:pt>
                <c:pt idx="308">
                  <c:v>1.5423</c:v>
                </c:pt>
                <c:pt idx="309">
                  <c:v>1.6315</c:v>
                </c:pt>
                <c:pt idx="310">
                  <c:v>1.9565999999999999</c:v>
                </c:pt>
                <c:pt idx="311">
                  <c:v>1.7376</c:v>
                </c:pt>
                <c:pt idx="312">
                  <c:v>1.5519000000000001</c:v>
                </c:pt>
                <c:pt idx="313">
                  <c:v>1.4592000000000001</c:v>
                </c:pt>
                <c:pt idx="314">
                  <c:v>1.5350999999999999</c:v>
                </c:pt>
                <c:pt idx="315">
                  <c:v>1.4149</c:v>
                </c:pt>
                <c:pt idx="316">
                  <c:v>1.425</c:v>
                </c:pt>
                <c:pt idx="317">
                  <c:v>1.5325</c:v>
                </c:pt>
                <c:pt idx="318">
                  <c:v>1.3694</c:v>
                </c:pt>
                <c:pt idx="319">
                  <c:v>1.4361999999999999</c:v>
                </c:pt>
                <c:pt idx="320">
                  <c:v>1.5054000000000001</c:v>
                </c:pt>
                <c:pt idx="321">
                  <c:v>1.5624</c:v>
                </c:pt>
                <c:pt idx="322">
                  <c:v>1.2977000000000001</c:v>
                </c:pt>
                <c:pt idx="323">
                  <c:v>1.2811999999999999</c:v>
                </c:pt>
                <c:pt idx="324">
                  <c:v>1.34</c:v>
                </c:pt>
                <c:pt idx="325">
                  <c:v>1.3079000000000001</c:v>
                </c:pt>
                <c:pt idx="326">
                  <c:v>1.3325</c:v>
                </c:pt>
                <c:pt idx="327">
                  <c:v>1.2846</c:v>
                </c:pt>
                <c:pt idx="328">
                  <c:v>1.2349000000000001</c:v>
                </c:pt>
                <c:pt idx="329">
                  <c:v>1.256</c:v>
                </c:pt>
                <c:pt idx="330">
                  <c:v>1.3288</c:v>
                </c:pt>
                <c:pt idx="331">
                  <c:v>1.3089</c:v>
                </c:pt>
                <c:pt idx="332">
                  <c:v>1.383</c:v>
                </c:pt>
                <c:pt idx="333">
                  <c:v>1.2928999999999999</c:v>
                </c:pt>
                <c:pt idx="334">
                  <c:v>1.1394</c:v>
                </c:pt>
                <c:pt idx="335">
                  <c:v>0.88329999999999997</c:v>
                </c:pt>
                <c:pt idx="336">
                  <c:v>0.79679999999999995</c:v>
                </c:pt>
                <c:pt idx="337">
                  <c:v>0.81930000000000003</c:v>
                </c:pt>
                <c:pt idx="338">
                  <c:v>0.7601</c:v>
                </c:pt>
                <c:pt idx="339">
                  <c:v>0.99109999999999998</c:v>
                </c:pt>
                <c:pt idx="340">
                  <c:v>1.1005</c:v>
                </c:pt>
                <c:pt idx="341">
                  <c:v>0.97030000000000005</c:v>
                </c:pt>
                <c:pt idx="342">
                  <c:v>1.0303</c:v>
                </c:pt>
                <c:pt idx="343">
                  <c:v>1.012</c:v>
                </c:pt>
                <c:pt idx="344">
                  <c:v>0.84730000000000005</c:v>
                </c:pt>
                <c:pt idx="345">
                  <c:v>0.80869999999999997</c:v>
                </c:pt>
                <c:pt idx="346">
                  <c:v>0.78739999999999999</c:v>
                </c:pt>
                <c:pt idx="347">
                  <c:v>0.82599999999999996</c:v>
                </c:pt>
                <c:pt idx="348">
                  <c:v>0.874</c:v>
                </c:pt>
                <c:pt idx="349">
                  <c:v>0.88880000000000003</c:v>
                </c:pt>
                <c:pt idx="350">
                  <c:v>0.7732</c:v>
                </c:pt>
                <c:pt idx="351">
                  <c:v>0.69689999999999996</c:v>
                </c:pt>
                <c:pt idx="352">
                  <c:v>0.71140000000000003</c:v>
                </c:pt>
                <c:pt idx="353">
                  <c:v>0.66600000000000004</c:v>
                </c:pt>
                <c:pt idx="354">
                  <c:v>0.65469999999999995</c:v>
                </c:pt>
                <c:pt idx="355">
                  <c:v>0.69589999999999996</c:v>
                </c:pt>
                <c:pt idx="356">
                  <c:v>0.80110000000000003</c:v>
                </c:pt>
                <c:pt idx="357">
                  <c:v>0.52910000000000001</c:v>
                </c:pt>
                <c:pt idx="358">
                  <c:v>0.47210000000000002</c:v>
                </c:pt>
                <c:pt idx="359">
                  <c:v>0.4451</c:v>
                </c:pt>
                <c:pt idx="360">
                  <c:v>0.41770000000000002</c:v>
                </c:pt>
                <c:pt idx="361">
                  <c:v>0.41889999999999999</c:v>
                </c:pt>
                <c:pt idx="362">
                  <c:v>0.42399999999999999</c:v>
                </c:pt>
                <c:pt idx="363">
                  <c:v>0.41639999999999999</c:v>
                </c:pt>
                <c:pt idx="364">
                  <c:v>0.4148</c:v>
                </c:pt>
                <c:pt idx="365">
                  <c:v>0.38669999999999999</c:v>
                </c:pt>
                <c:pt idx="366">
                  <c:v>0.42980000000000002</c:v>
                </c:pt>
                <c:pt idx="367">
                  <c:v>0.39489999999999997</c:v>
                </c:pt>
                <c:pt idx="368">
                  <c:v>0.41049999999999998</c:v>
                </c:pt>
                <c:pt idx="369">
                  <c:v>0.39529999999999998</c:v>
                </c:pt>
                <c:pt idx="370">
                  <c:v>0.39889999999999998</c:v>
                </c:pt>
                <c:pt idx="371">
                  <c:v>0.37959999999999999</c:v>
                </c:pt>
                <c:pt idx="372">
                  <c:v>0.43740000000000001</c:v>
                </c:pt>
                <c:pt idx="373">
                  <c:v>0.4375</c:v>
                </c:pt>
                <c:pt idx="374">
                  <c:v>0.44750000000000001</c:v>
                </c:pt>
                <c:pt idx="375">
                  <c:v>0.44690000000000002</c:v>
                </c:pt>
                <c:pt idx="376">
                  <c:v>0.45600000000000002</c:v>
                </c:pt>
                <c:pt idx="377">
                  <c:v>0.41870000000000002</c:v>
                </c:pt>
                <c:pt idx="378">
                  <c:v>0.42009999999999997</c:v>
                </c:pt>
                <c:pt idx="379">
                  <c:v>0.39179999999999998</c:v>
                </c:pt>
                <c:pt idx="380">
                  <c:v>0.37159999999999999</c:v>
                </c:pt>
                <c:pt idx="381">
                  <c:v>0.37080000000000002</c:v>
                </c:pt>
                <c:pt idx="382">
                  <c:v>0.41670000000000001</c:v>
                </c:pt>
                <c:pt idx="383">
                  <c:v>0.4446</c:v>
                </c:pt>
                <c:pt idx="384">
                  <c:v>0.43230000000000002</c:v>
                </c:pt>
                <c:pt idx="385">
                  <c:v>0.41560000000000002</c:v>
                </c:pt>
                <c:pt idx="386">
                  <c:v>0.39889999999999998</c:v>
                </c:pt>
                <c:pt idx="387">
                  <c:v>0.37840000000000001</c:v>
                </c:pt>
                <c:pt idx="388">
                  <c:v>0.36670000000000003</c:v>
                </c:pt>
                <c:pt idx="389">
                  <c:v>0.39069999999999999</c:v>
                </c:pt>
                <c:pt idx="390">
                  <c:v>0.38979999999999998</c:v>
                </c:pt>
                <c:pt idx="391">
                  <c:v>0.40039999999999998</c:v>
                </c:pt>
                <c:pt idx="392">
                  <c:v>0.40649999999999997</c:v>
                </c:pt>
                <c:pt idx="393">
                  <c:v>0.3659</c:v>
                </c:pt>
                <c:pt idx="394">
                  <c:v>0.3548</c:v>
                </c:pt>
                <c:pt idx="395">
                  <c:v>0.36559999999999998</c:v>
                </c:pt>
                <c:pt idx="396">
                  <c:v>0.373</c:v>
                </c:pt>
                <c:pt idx="397">
                  <c:v>0.36109999999999998</c:v>
                </c:pt>
                <c:pt idx="398">
                  <c:v>0.36699999999999999</c:v>
                </c:pt>
                <c:pt idx="399">
                  <c:v>0.34089999999999998</c:v>
                </c:pt>
                <c:pt idx="400">
                  <c:v>0.3175</c:v>
                </c:pt>
                <c:pt idx="401">
                  <c:v>0.36799999999999999</c:v>
                </c:pt>
                <c:pt idx="402">
                  <c:v>0.36649999999999999</c:v>
                </c:pt>
                <c:pt idx="403">
                  <c:v>0.3785</c:v>
                </c:pt>
                <c:pt idx="404">
                  <c:v>0.4047</c:v>
                </c:pt>
                <c:pt idx="405">
                  <c:v>0.37980000000000003</c:v>
                </c:pt>
                <c:pt idx="406">
                  <c:v>0.3614</c:v>
                </c:pt>
                <c:pt idx="407">
                  <c:v>0.37169999999999997</c:v>
                </c:pt>
                <c:pt idx="408">
                  <c:v>0.36880000000000002</c:v>
                </c:pt>
                <c:pt idx="409">
                  <c:v>0.36330000000000001</c:v>
                </c:pt>
                <c:pt idx="410">
                  <c:v>0.36980000000000002</c:v>
                </c:pt>
                <c:pt idx="411">
                  <c:v>0.35410000000000003</c:v>
                </c:pt>
                <c:pt idx="412">
                  <c:v>0.3402</c:v>
                </c:pt>
                <c:pt idx="413">
                  <c:v>0.3649</c:v>
                </c:pt>
                <c:pt idx="414">
                  <c:v>0.38519999999999999</c:v>
                </c:pt>
                <c:pt idx="415">
                  <c:v>0.39629999999999999</c:v>
                </c:pt>
                <c:pt idx="416">
                  <c:v>0.36940000000000001</c:v>
                </c:pt>
                <c:pt idx="417">
                  <c:v>0.35909999999999997</c:v>
                </c:pt>
                <c:pt idx="418">
                  <c:v>0.37219999999999998</c:v>
                </c:pt>
                <c:pt idx="419">
                  <c:v>0.34849999999999998</c:v>
                </c:pt>
                <c:pt idx="420">
                  <c:v>0.39410000000000001</c:v>
                </c:pt>
                <c:pt idx="421">
                  <c:v>0.37269999999999998</c:v>
                </c:pt>
                <c:pt idx="422">
                  <c:v>0.36030000000000001</c:v>
                </c:pt>
                <c:pt idx="423">
                  <c:v>0.34810000000000002</c:v>
                </c:pt>
                <c:pt idx="424">
                  <c:v>0.34150000000000003</c:v>
                </c:pt>
                <c:pt idx="425">
                  <c:v>0.3407</c:v>
                </c:pt>
                <c:pt idx="426">
                  <c:v>0.3337</c:v>
                </c:pt>
                <c:pt idx="427">
                  <c:v>0.32690000000000002</c:v>
                </c:pt>
                <c:pt idx="428">
                  <c:v>0.36820000000000003</c:v>
                </c:pt>
                <c:pt idx="429">
                  <c:v>0.35370000000000001</c:v>
                </c:pt>
                <c:pt idx="430">
                  <c:v>0.32350000000000001</c:v>
                </c:pt>
                <c:pt idx="431">
                  <c:v>0.31730000000000003</c:v>
                </c:pt>
                <c:pt idx="432">
                  <c:v>0.3196</c:v>
                </c:pt>
                <c:pt idx="433">
                  <c:v>0.30430000000000001</c:v>
                </c:pt>
                <c:pt idx="434">
                  <c:v>0.3009</c:v>
                </c:pt>
                <c:pt idx="435">
                  <c:v>0.30049999999999999</c:v>
                </c:pt>
                <c:pt idx="436">
                  <c:v>0.30680000000000002</c:v>
                </c:pt>
                <c:pt idx="437">
                  <c:v>0.31130000000000002</c:v>
                </c:pt>
                <c:pt idx="438">
                  <c:v>0.30890000000000001</c:v>
                </c:pt>
                <c:pt idx="439">
                  <c:v>0.31740000000000002</c:v>
                </c:pt>
                <c:pt idx="440">
                  <c:v>0.30680000000000002</c:v>
                </c:pt>
                <c:pt idx="441">
                  <c:v>0.29620000000000002</c:v>
                </c:pt>
                <c:pt idx="442">
                  <c:v>0.30549999999999999</c:v>
                </c:pt>
                <c:pt idx="443">
                  <c:v>0.30669999999999997</c:v>
                </c:pt>
                <c:pt idx="444">
                  <c:v>0.2959</c:v>
                </c:pt>
                <c:pt idx="445">
                  <c:v>0.29499999999999998</c:v>
                </c:pt>
                <c:pt idx="446">
                  <c:v>0.28499999999999998</c:v>
                </c:pt>
                <c:pt idx="447">
                  <c:v>0.30249999999999999</c:v>
                </c:pt>
                <c:pt idx="448">
                  <c:v>0.2863</c:v>
                </c:pt>
                <c:pt idx="449">
                  <c:v>0.27579999999999999</c:v>
                </c:pt>
                <c:pt idx="450">
                  <c:v>0.27989999999999998</c:v>
                </c:pt>
                <c:pt idx="451">
                  <c:v>0.30099999999999999</c:v>
                </c:pt>
                <c:pt idx="452">
                  <c:v>0.28249999999999997</c:v>
                </c:pt>
                <c:pt idx="453">
                  <c:v>0.2838</c:v>
                </c:pt>
                <c:pt idx="454">
                  <c:v>0.27879999999999999</c:v>
                </c:pt>
                <c:pt idx="455">
                  <c:v>0.29570000000000002</c:v>
                </c:pt>
                <c:pt idx="456">
                  <c:v>0.29620000000000002</c:v>
                </c:pt>
                <c:pt idx="457">
                  <c:v>0.3085</c:v>
                </c:pt>
                <c:pt idx="458">
                  <c:v>0.3039</c:v>
                </c:pt>
                <c:pt idx="459">
                  <c:v>0.312</c:v>
                </c:pt>
                <c:pt idx="460">
                  <c:v>0.32400000000000001</c:v>
                </c:pt>
                <c:pt idx="461">
                  <c:v>0.3231</c:v>
                </c:pt>
                <c:pt idx="462">
                  <c:v>0.31409999999999999</c:v>
                </c:pt>
                <c:pt idx="463">
                  <c:v>0.31409999999999999</c:v>
                </c:pt>
                <c:pt idx="464">
                  <c:v>0.29970000000000002</c:v>
                </c:pt>
                <c:pt idx="465">
                  <c:v>0.30919999999999997</c:v>
                </c:pt>
                <c:pt idx="466">
                  <c:v>0.31590000000000001</c:v>
                </c:pt>
                <c:pt idx="467">
                  <c:v>0.31590000000000001</c:v>
                </c:pt>
                <c:pt idx="468">
                  <c:v>0.31109999999999999</c:v>
                </c:pt>
                <c:pt idx="469">
                  <c:v>0.3266</c:v>
                </c:pt>
                <c:pt idx="470">
                  <c:v>0.32190000000000002</c:v>
                </c:pt>
                <c:pt idx="471">
                  <c:v>0.32540000000000002</c:v>
                </c:pt>
                <c:pt idx="472">
                  <c:v>0.33079999999999998</c:v>
                </c:pt>
                <c:pt idx="473">
                  <c:v>0.3291</c:v>
                </c:pt>
                <c:pt idx="474">
                  <c:v>0.32629999999999998</c:v>
                </c:pt>
                <c:pt idx="475">
                  <c:v>0.34039999999999998</c:v>
                </c:pt>
                <c:pt idx="476">
                  <c:v>0.31659999999999999</c:v>
                </c:pt>
                <c:pt idx="477">
                  <c:v>0.29870000000000002</c:v>
                </c:pt>
                <c:pt idx="478">
                  <c:v>0.29680000000000001</c:v>
                </c:pt>
                <c:pt idx="479">
                  <c:v>0.30220000000000002</c:v>
                </c:pt>
                <c:pt idx="480">
                  <c:v>0.30180000000000001</c:v>
                </c:pt>
                <c:pt idx="481">
                  <c:v>0.29780000000000001</c:v>
                </c:pt>
                <c:pt idx="482">
                  <c:v>0.29880000000000001</c:v>
                </c:pt>
                <c:pt idx="483">
                  <c:v>0.30399999999999999</c:v>
                </c:pt>
                <c:pt idx="484">
                  <c:v>0.31209999999999999</c:v>
                </c:pt>
                <c:pt idx="485">
                  <c:v>0.31709999999999999</c:v>
                </c:pt>
                <c:pt idx="486">
                  <c:v>0.31609999999999999</c:v>
                </c:pt>
                <c:pt idx="487">
                  <c:v>0.3029</c:v>
                </c:pt>
                <c:pt idx="488">
                  <c:v>0.30009999999999998</c:v>
                </c:pt>
                <c:pt idx="489">
                  <c:v>0.30480000000000002</c:v>
                </c:pt>
                <c:pt idx="490">
                  <c:v>0.29559999999999997</c:v>
                </c:pt>
                <c:pt idx="491">
                  <c:v>0.2828</c:v>
                </c:pt>
                <c:pt idx="492">
                  <c:v>0.29189999999999999</c:v>
                </c:pt>
                <c:pt idx="493">
                  <c:v>0.2863</c:v>
                </c:pt>
                <c:pt idx="494">
                  <c:v>0.30030000000000001</c:v>
                </c:pt>
                <c:pt idx="495">
                  <c:v>0.30649999999999999</c:v>
                </c:pt>
                <c:pt idx="496">
                  <c:v>0.30969999999999998</c:v>
                </c:pt>
                <c:pt idx="497">
                  <c:v>0.31419999999999998</c:v>
                </c:pt>
                <c:pt idx="498">
                  <c:v>0.3165</c:v>
                </c:pt>
                <c:pt idx="499">
                  <c:v>0.31019999999999998</c:v>
                </c:pt>
                <c:pt idx="500">
                  <c:v>0.33139999999999997</c:v>
                </c:pt>
                <c:pt idx="501">
                  <c:v>0.33189999999999997</c:v>
                </c:pt>
                <c:pt idx="502">
                  <c:v>0.3322</c:v>
                </c:pt>
                <c:pt idx="503">
                  <c:v>0.33040000000000003</c:v>
                </c:pt>
                <c:pt idx="504">
                  <c:v>0.31669999999999998</c:v>
                </c:pt>
                <c:pt idx="505">
                  <c:v>0.29930000000000001</c:v>
                </c:pt>
                <c:pt idx="506">
                  <c:v>0.29099999999999998</c:v>
                </c:pt>
                <c:pt idx="507">
                  <c:v>0.29899999999999999</c:v>
                </c:pt>
                <c:pt idx="508">
                  <c:v>0.30059999999999998</c:v>
                </c:pt>
                <c:pt idx="509">
                  <c:v>0.30399999999999999</c:v>
                </c:pt>
                <c:pt idx="510">
                  <c:v>0.30070000000000002</c:v>
                </c:pt>
                <c:pt idx="511">
                  <c:v>0.28610000000000002</c:v>
                </c:pt>
                <c:pt idx="512">
                  <c:v>0.34610000000000002</c:v>
                </c:pt>
                <c:pt idx="513">
                  <c:v>0.36630000000000001</c:v>
                </c:pt>
                <c:pt idx="514">
                  <c:v>0.37319999999999998</c:v>
                </c:pt>
                <c:pt idx="515">
                  <c:v>0.37969999999999998</c:v>
                </c:pt>
                <c:pt idx="516">
                  <c:v>0.37880000000000003</c:v>
                </c:pt>
                <c:pt idx="517">
                  <c:v>0.3705</c:v>
                </c:pt>
                <c:pt idx="518">
                  <c:v>0.36209999999999998</c:v>
                </c:pt>
                <c:pt idx="519">
                  <c:v>0.38379999999999997</c:v>
                </c:pt>
                <c:pt idx="520">
                  <c:v>0.37519999999999998</c:v>
                </c:pt>
                <c:pt idx="521">
                  <c:v>0.40820000000000001</c:v>
                </c:pt>
                <c:pt idx="522">
                  <c:v>0.40229999999999999</c:v>
                </c:pt>
                <c:pt idx="523">
                  <c:v>0.40970000000000001</c:v>
                </c:pt>
                <c:pt idx="524">
                  <c:v>0.38390000000000002</c:v>
                </c:pt>
                <c:pt idx="525">
                  <c:v>0.37209999999999999</c:v>
                </c:pt>
                <c:pt idx="526">
                  <c:v>0.35010000000000002</c:v>
                </c:pt>
                <c:pt idx="527">
                  <c:v>0.37569999999999998</c:v>
                </c:pt>
                <c:pt idx="528">
                  <c:v>0.39319999999999999</c:v>
                </c:pt>
                <c:pt idx="529">
                  <c:v>0.38669999999999999</c:v>
                </c:pt>
                <c:pt idx="530">
                  <c:v>0.39300000000000002</c:v>
                </c:pt>
                <c:pt idx="531">
                  <c:v>0.37330000000000002</c:v>
                </c:pt>
                <c:pt idx="532">
                  <c:v>0.373</c:v>
                </c:pt>
                <c:pt idx="533">
                  <c:v>0.36880000000000002</c:v>
                </c:pt>
                <c:pt idx="534">
                  <c:v>0.37069999999999997</c:v>
                </c:pt>
                <c:pt idx="535">
                  <c:v>0.3579</c:v>
                </c:pt>
                <c:pt idx="536">
                  <c:v>0.35709999999999997</c:v>
                </c:pt>
                <c:pt idx="537">
                  <c:v>0.35039999999999999</c:v>
                </c:pt>
                <c:pt idx="538">
                  <c:v>0.33939999999999998</c:v>
                </c:pt>
                <c:pt idx="539">
                  <c:v>0.33679999999999999</c:v>
                </c:pt>
                <c:pt idx="540">
                  <c:v>0.33279999999999998</c:v>
                </c:pt>
                <c:pt idx="541">
                  <c:v>0.33450000000000002</c:v>
                </c:pt>
                <c:pt idx="542">
                  <c:v>0.32900000000000001</c:v>
                </c:pt>
                <c:pt idx="543">
                  <c:v>0.32840000000000003</c:v>
                </c:pt>
                <c:pt idx="544">
                  <c:v>0.33400000000000002</c:v>
                </c:pt>
                <c:pt idx="545">
                  <c:v>0.32650000000000001</c:v>
                </c:pt>
                <c:pt idx="546">
                  <c:v>0.3362</c:v>
                </c:pt>
                <c:pt idx="547">
                  <c:v>0.3357</c:v>
                </c:pt>
                <c:pt idx="548">
                  <c:v>0.3296</c:v>
                </c:pt>
                <c:pt idx="549">
                  <c:v>0.32150000000000001</c:v>
                </c:pt>
                <c:pt idx="550">
                  <c:v>0.3422</c:v>
                </c:pt>
                <c:pt idx="551">
                  <c:v>0.34720000000000001</c:v>
                </c:pt>
                <c:pt idx="552">
                  <c:v>0.35349999999999998</c:v>
                </c:pt>
                <c:pt idx="553">
                  <c:v>0.36549999999999999</c:v>
                </c:pt>
                <c:pt idx="554">
                  <c:v>0.37359999999999999</c:v>
                </c:pt>
                <c:pt idx="555">
                  <c:v>0.35220000000000001</c:v>
                </c:pt>
                <c:pt idx="556">
                  <c:v>0.34320000000000001</c:v>
                </c:pt>
                <c:pt idx="557">
                  <c:v>0.34</c:v>
                </c:pt>
                <c:pt idx="558">
                  <c:v>0.34100000000000003</c:v>
                </c:pt>
                <c:pt idx="559">
                  <c:v>0.34310000000000002</c:v>
                </c:pt>
                <c:pt idx="560">
                  <c:v>0.32529999999999998</c:v>
                </c:pt>
                <c:pt idx="561">
                  <c:v>0.3226</c:v>
                </c:pt>
                <c:pt idx="562">
                  <c:v>0.32969999999999999</c:v>
                </c:pt>
                <c:pt idx="563">
                  <c:v>0.32519999999999999</c:v>
                </c:pt>
                <c:pt idx="564">
                  <c:v>0.33329999999999999</c:v>
                </c:pt>
                <c:pt idx="565">
                  <c:v>0.33479999999999999</c:v>
                </c:pt>
                <c:pt idx="566">
                  <c:v>0.33410000000000001</c:v>
                </c:pt>
                <c:pt idx="567">
                  <c:v>0.32750000000000001</c:v>
                </c:pt>
                <c:pt idx="568">
                  <c:v>0.32600000000000001</c:v>
                </c:pt>
                <c:pt idx="569">
                  <c:v>0.31269999999999998</c:v>
                </c:pt>
                <c:pt idx="570">
                  <c:v>0.31609999999999999</c:v>
                </c:pt>
                <c:pt idx="571">
                  <c:v>0.30570000000000003</c:v>
                </c:pt>
                <c:pt idx="572">
                  <c:v>0.30690000000000001</c:v>
                </c:pt>
                <c:pt idx="573">
                  <c:v>0.30640000000000001</c:v>
                </c:pt>
                <c:pt idx="574">
                  <c:v>0.30270000000000002</c:v>
                </c:pt>
                <c:pt idx="575">
                  <c:v>0.31940000000000002</c:v>
                </c:pt>
                <c:pt idx="576">
                  <c:v>0.3125</c:v>
                </c:pt>
                <c:pt idx="577">
                  <c:v>0.30580000000000002</c:v>
                </c:pt>
                <c:pt idx="578">
                  <c:v>0.3024</c:v>
                </c:pt>
                <c:pt idx="579">
                  <c:v>0.29570000000000002</c:v>
                </c:pt>
                <c:pt idx="580">
                  <c:v>0.316</c:v>
                </c:pt>
                <c:pt idx="581">
                  <c:v>0.31</c:v>
                </c:pt>
                <c:pt idx="582">
                  <c:v>0.31159999999999999</c:v>
                </c:pt>
                <c:pt idx="583">
                  <c:v>0.3256</c:v>
                </c:pt>
                <c:pt idx="584">
                  <c:v>0.32740000000000002</c:v>
                </c:pt>
                <c:pt idx="585">
                  <c:v>0.32240000000000002</c:v>
                </c:pt>
                <c:pt idx="586">
                  <c:v>0.32579999999999998</c:v>
                </c:pt>
                <c:pt idx="587">
                  <c:v>0.3286</c:v>
                </c:pt>
                <c:pt idx="588">
                  <c:v>0.33179999999999998</c:v>
                </c:pt>
                <c:pt idx="589">
                  <c:v>0.32400000000000001</c:v>
                </c:pt>
                <c:pt idx="590">
                  <c:v>0.32640000000000002</c:v>
                </c:pt>
                <c:pt idx="591">
                  <c:v>0.31069999999999998</c:v>
                </c:pt>
                <c:pt idx="592">
                  <c:v>0.30880000000000002</c:v>
                </c:pt>
                <c:pt idx="593">
                  <c:v>0.3256</c:v>
                </c:pt>
                <c:pt idx="594">
                  <c:v>0.31730000000000003</c:v>
                </c:pt>
                <c:pt idx="595">
                  <c:v>0.30680000000000002</c:v>
                </c:pt>
                <c:pt idx="596">
                  <c:v>0.34739999999999999</c:v>
                </c:pt>
                <c:pt idx="597">
                  <c:v>0.34179999999999999</c:v>
                </c:pt>
                <c:pt idx="598">
                  <c:v>0.34110000000000001</c:v>
                </c:pt>
                <c:pt idx="599">
                  <c:v>0.32800000000000001</c:v>
                </c:pt>
                <c:pt idx="600">
                  <c:v>0.3301</c:v>
                </c:pt>
                <c:pt idx="601">
                  <c:v>0.31590000000000001</c:v>
                </c:pt>
                <c:pt idx="602">
                  <c:v>0.3165</c:v>
                </c:pt>
                <c:pt idx="603">
                  <c:v>0.31419999999999998</c:v>
                </c:pt>
                <c:pt idx="604">
                  <c:v>0.30830000000000002</c:v>
                </c:pt>
                <c:pt idx="605">
                  <c:v>0.31709999999999999</c:v>
                </c:pt>
                <c:pt idx="606">
                  <c:v>0.31469999999999998</c:v>
                </c:pt>
                <c:pt idx="607">
                  <c:v>0.32119999999999999</c:v>
                </c:pt>
                <c:pt idx="608">
                  <c:v>0.31480000000000002</c:v>
                </c:pt>
                <c:pt idx="609">
                  <c:v>0.315</c:v>
                </c:pt>
                <c:pt idx="610">
                  <c:v>0.30880000000000002</c:v>
                </c:pt>
                <c:pt idx="611">
                  <c:v>0.32600000000000001</c:v>
                </c:pt>
                <c:pt idx="612">
                  <c:v>0.31090000000000001</c:v>
                </c:pt>
                <c:pt idx="613">
                  <c:v>0.29139999999999999</c:v>
                </c:pt>
                <c:pt idx="614">
                  <c:v>0.31190000000000001</c:v>
                </c:pt>
                <c:pt idx="615">
                  <c:v>0.31530000000000002</c:v>
                </c:pt>
                <c:pt idx="616">
                  <c:v>0.30690000000000001</c:v>
                </c:pt>
                <c:pt idx="617">
                  <c:v>0.3</c:v>
                </c:pt>
                <c:pt idx="618">
                  <c:v>0.29670000000000002</c:v>
                </c:pt>
                <c:pt idx="619">
                  <c:v>0.2928</c:v>
                </c:pt>
                <c:pt idx="620">
                  <c:v>0.28710000000000002</c:v>
                </c:pt>
                <c:pt idx="621">
                  <c:v>0.28560000000000002</c:v>
                </c:pt>
                <c:pt idx="622">
                  <c:v>0.28000000000000003</c:v>
                </c:pt>
                <c:pt idx="623">
                  <c:v>0.28970000000000001</c:v>
                </c:pt>
                <c:pt idx="624">
                  <c:v>0.28270000000000001</c:v>
                </c:pt>
                <c:pt idx="625">
                  <c:v>0.27750000000000002</c:v>
                </c:pt>
                <c:pt idx="626">
                  <c:v>0.27150000000000002</c:v>
                </c:pt>
                <c:pt idx="627">
                  <c:v>0.28039999999999998</c:v>
                </c:pt>
                <c:pt idx="628">
                  <c:v>0.29680000000000001</c:v>
                </c:pt>
                <c:pt idx="629">
                  <c:v>0.3054</c:v>
                </c:pt>
                <c:pt idx="630">
                  <c:v>0.29249999999999998</c:v>
                </c:pt>
                <c:pt idx="631">
                  <c:v>0.28939999999999999</c:v>
                </c:pt>
                <c:pt idx="632">
                  <c:v>0.29509999999999997</c:v>
                </c:pt>
                <c:pt idx="633">
                  <c:v>0.29559999999999997</c:v>
                </c:pt>
                <c:pt idx="634">
                  <c:v>0.29709999999999998</c:v>
                </c:pt>
                <c:pt idx="635">
                  <c:v>0.3085</c:v>
                </c:pt>
                <c:pt idx="636">
                  <c:v>0.31219999999999998</c:v>
                </c:pt>
                <c:pt idx="637">
                  <c:v>0.30559999999999998</c:v>
                </c:pt>
                <c:pt idx="638">
                  <c:v>0.3236</c:v>
                </c:pt>
                <c:pt idx="639">
                  <c:v>0.31059999999999999</c:v>
                </c:pt>
                <c:pt idx="640">
                  <c:v>0.30609999999999998</c:v>
                </c:pt>
                <c:pt idx="641">
                  <c:v>0.3</c:v>
                </c:pt>
                <c:pt idx="642">
                  <c:v>0.30020000000000002</c:v>
                </c:pt>
                <c:pt idx="643">
                  <c:v>0.29120000000000001</c:v>
                </c:pt>
                <c:pt idx="644">
                  <c:v>0.28839999999999999</c:v>
                </c:pt>
                <c:pt idx="645">
                  <c:v>0.29220000000000002</c:v>
                </c:pt>
                <c:pt idx="646">
                  <c:v>0.29160000000000003</c:v>
                </c:pt>
                <c:pt idx="647">
                  <c:v>0.32</c:v>
                </c:pt>
                <c:pt idx="648">
                  <c:v>0.28520000000000001</c:v>
                </c:pt>
                <c:pt idx="649">
                  <c:v>0.25700000000000001</c:v>
                </c:pt>
                <c:pt idx="650">
                  <c:v>0.25109999999999999</c:v>
                </c:pt>
                <c:pt idx="651">
                  <c:v>0.253</c:v>
                </c:pt>
                <c:pt idx="652">
                  <c:v>0.2432</c:v>
                </c:pt>
                <c:pt idx="653">
                  <c:v>0.25369999999999998</c:v>
                </c:pt>
                <c:pt idx="654">
                  <c:v>0.25019999999999998</c:v>
                </c:pt>
                <c:pt idx="655">
                  <c:v>0.254</c:v>
                </c:pt>
                <c:pt idx="656">
                  <c:v>0.25119999999999998</c:v>
                </c:pt>
                <c:pt idx="657">
                  <c:v>0.24610000000000001</c:v>
                </c:pt>
                <c:pt idx="658">
                  <c:v>0.27779999999999999</c:v>
                </c:pt>
                <c:pt idx="659">
                  <c:v>0.28449999999999998</c:v>
                </c:pt>
                <c:pt idx="660">
                  <c:v>0.27839999999999998</c:v>
                </c:pt>
                <c:pt idx="661">
                  <c:v>0.2848</c:v>
                </c:pt>
                <c:pt idx="662">
                  <c:v>0.27379999999999999</c:v>
                </c:pt>
                <c:pt idx="663">
                  <c:v>0.28760000000000002</c:v>
                </c:pt>
                <c:pt idx="664">
                  <c:v>0.28799999999999998</c:v>
                </c:pt>
                <c:pt idx="665">
                  <c:v>0.28029999999999999</c:v>
                </c:pt>
                <c:pt idx="666">
                  <c:v>0.28460000000000002</c:v>
                </c:pt>
                <c:pt idx="667">
                  <c:v>0.29849999999999999</c:v>
                </c:pt>
                <c:pt idx="668">
                  <c:v>0.31569999999999998</c:v>
                </c:pt>
                <c:pt idx="669">
                  <c:v>0.3896</c:v>
                </c:pt>
                <c:pt idx="670">
                  <c:v>0.3533</c:v>
                </c:pt>
                <c:pt idx="671">
                  <c:v>0.33910000000000001</c:v>
                </c:pt>
                <c:pt idx="672">
                  <c:v>0.30159999999999998</c:v>
                </c:pt>
                <c:pt idx="673">
                  <c:v>0.32129999999999997</c:v>
                </c:pt>
                <c:pt idx="674">
                  <c:v>0.2059</c:v>
                </c:pt>
                <c:pt idx="675">
                  <c:v>0.2016</c:v>
                </c:pt>
                <c:pt idx="676">
                  <c:v>0.18629999999999999</c:v>
                </c:pt>
                <c:pt idx="677">
                  <c:v>0.20649999999999999</c:v>
                </c:pt>
                <c:pt idx="678">
                  <c:v>0.2014</c:v>
                </c:pt>
                <c:pt idx="679">
                  <c:v>0.21079999999999999</c:v>
                </c:pt>
                <c:pt idx="680">
                  <c:v>0.18229999999999999</c:v>
                </c:pt>
                <c:pt idx="681">
                  <c:v>0.16109999999999999</c:v>
                </c:pt>
                <c:pt idx="682">
                  <c:v>0.15010000000000001</c:v>
                </c:pt>
                <c:pt idx="683">
                  <c:v>0.1779</c:v>
                </c:pt>
                <c:pt idx="684">
                  <c:v>0.17119999999999999</c:v>
                </c:pt>
                <c:pt idx="685">
                  <c:v>0.1729</c:v>
                </c:pt>
                <c:pt idx="686">
                  <c:v>0.1469</c:v>
                </c:pt>
                <c:pt idx="687">
                  <c:v>0.2555</c:v>
                </c:pt>
                <c:pt idx="688">
                  <c:v>0.2666</c:v>
                </c:pt>
                <c:pt idx="689">
                  <c:v>0.2712</c:v>
                </c:pt>
                <c:pt idx="690">
                  <c:v>0.25469999999999998</c:v>
                </c:pt>
                <c:pt idx="691">
                  <c:v>0.31</c:v>
                </c:pt>
                <c:pt idx="692">
                  <c:v>0.32400000000000001</c:v>
                </c:pt>
                <c:pt idx="693">
                  <c:v>0.32069999999999999</c:v>
                </c:pt>
                <c:pt idx="694">
                  <c:v>0.31119999999999998</c:v>
                </c:pt>
                <c:pt idx="695">
                  <c:v>0.33110000000000001</c:v>
                </c:pt>
                <c:pt idx="696">
                  <c:v>0.3145</c:v>
                </c:pt>
                <c:pt idx="697">
                  <c:v>0.29859999999999998</c:v>
                </c:pt>
                <c:pt idx="698">
                  <c:v>0.28810000000000002</c:v>
                </c:pt>
                <c:pt idx="699">
                  <c:v>0.28789999999999999</c:v>
                </c:pt>
                <c:pt idx="700">
                  <c:v>0.28949999999999998</c:v>
                </c:pt>
                <c:pt idx="701">
                  <c:v>0.26929999999999998</c:v>
                </c:pt>
                <c:pt idx="702">
                  <c:v>0.29959999999999998</c:v>
                </c:pt>
                <c:pt idx="703">
                  <c:v>0.33350000000000002</c:v>
                </c:pt>
                <c:pt idx="704">
                  <c:v>0.35570000000000002</c:v>
                </c:pt>
                <c:pt idx="705">
                  <c:v>0.3412</c:v>
                </c:pt>
                <c:pt idx="706">
                  <c:v>0.36049999999999999</c:v>
                </c:pt>
                <c:pt idx="707">
                  <c:v>0.35139999999999999</c:v>
                </c:pt>
                <c:pt idx="708">
                  <c:v>0.34010000000000001</c:v>
                </c:pt>
                <c:pt idx="709">
                  <c:v>0.3765</c:v>
                </c:pt>
                <c:pt idx="710">
                  <c:v>0.36959999999999998</c:v>
                </c:pt>
                <c:pt idx="711">
                  <c:v>0.38969999999999999</c:v>
                </c:pt>
                <c:pt idx="712">
                  <c:v>0.4264</c:v>
                </c:pt>
                <c:pt idx="713">
                  <c:v>0.45100000000000001</c:v>
                </c:pt>
                <c:pt idx="714">
                  <c:v>0.39629999999999999</c:v>
                </c:pt>
                <c:pt idx="715">
                  <c:v>0.36070000000000002</c:v>
                </c:pt>
                <c:pt idx="716">
                  <c:v>0.35410000000000003</c:v>
                </c:pt>
                <c:pt idx="717">
                  <c:v>0.35639999999999999</c:v>
                </c:pt>
                <c:pt idx="718">
                  <c:v>0.33579999999999999</c:v>
                </c:pt>
                <c:pt idx="719">
                  <c:v>0.31590000000000001</c:v>
                </c:pt>
                <c:pt idx="720">
                  <c:v>0.32800000000000001</c:v>
                </c:pt>
                <c:pt idx="721">
                  <c:v>0.33289999999999997</c:v>
                </c:pt>
                <c:pt idx="722">
                  <c:v>0.3221</c:v>
                </c:pt>
                <c:pt idx="723">
                  <c:v>0.34429999999999999</c:v>
                </c:pt>
                <c:pt idx="724">
                  <c:v>0.26669999999999999</c:v>
                </c:pt>
                <c:pt idx="725">
                  <c:v>0.2555</c:v>
                </c:pt>
                <c:pt idx="726">
                  <c:v>0.27429999999999999</c:v>
                </c:pt>
                <c:pt idx="727">
                  <c:v>0.2407</c:v>
                </c:pt>
                <c:pt idx="728">
                  <c:v>0.2404</c:v>
                </c:pt>
                <c:pt idx="729">
                  <c:v>0.2374</c:v>
                </c:pt>
                <c:pt idx="730">
                  <c:v>0.24690000000000001</c:v>
                </c:pt>
                <c:pt idx="731">
                  <c:v>0.24299999999999999</c:v>
                </c:pt>
                <c:pt idx="732">
                  <c:v>0.24490000000000001</c:v>
                </c:pt>
                <c:pt idx="733">
                  <c:v>0.24410000000000001</c:v>
                </c:pt>
                <c:pt idx="734">
                  <c:v>0.23139999999999999</c:v>
                </c:pt>
                <c:pt idx="735">
                  <c:v>0.23549999999999999</c:v>
                </c:pt>
                <c:pt idx="736">
                  <c:v>0.24629999999999999</c:v>
                </c:pt>
                <c:pt idx="737">
                  <c:v>0.25180000000000002</c:v>
                </c:pt>
                <c:pt idx="738">
                  <c:v>0.25430000000000003</c:v>
                </c:pt>
                <c:pt idx="739">
                  <c:v>0.25059999999999999</c:v>
                </c:pt>
                <c:pt idx="740">
                  <c:v>0.26479999999999998</c:v>
                </c:pt>
                <c:pt idx="741">
                  <c:v>0.28100000000000003</c:v>
                </c:pt>
                <c:pt idx="742">
                  <c:v>0.28160000000000002</c:v>
                </c:pt>
                <c:pt idx="743">
                  <c:v>0.246</c:v>
                </c:pt>
                <c:pt idx="744">
                  <c:v>0.219</c:v>
                </c:pt>
                <c:pt idx="745">
                  <c:v>0.21790000000000001</c:v>
                </c:pt>
                <c:pt idx="746">
                  <c:v>0.221</c:v>
                </c:pt>
                <c:pt idx="747">
                  <c:v>0.21529999999999999</c:v>
                </c:pt>
                <c:pt idx="748">
                  <c:v>0.21540000000000001</c:v>
                </c:pt>
                <c:pt idx="749">
                  <c:v>0.2172</c:v>
                </c:pt>
                <c:pt idx="750">
                  <c:v>0.22500000000000001</c:v>
                </c:pt>
                <c:pt idx="751">
                  <c:v>0.22939999999999999</c:v>
                </c:pt>
                <c:pt idx="752">
                  <c:v>0.2301</c:v>
                </c:pt>
                <c:pt idx="753">
                  <c:v>0.2288</c:v>
                </c:pt>
                <c:pt idx="754">
                  <c:v>0.23269999999999999</c:v>
                </c:pt>
                <c:pt idx="755">
                  <c:v>0.22259999999999999</c:v>
                </c:pt>
                <c:pt idx="756">
                  <c:v>0.21560000000000001</c:v>
                </c:pt>
                <c:pt idx="757">
                  <c:v>0.22770000000000001</c:v>
                </c:pt>
                <c:pt idx="758">
                  <c:v>0.22950000000000001</c:v>
                </c:pt>
                <c:pt idx="759">
                  <c:v>0.2412</c:v>
                </c:pt>
                <c:pt idx="760">
                  <c:v>0.24490000000000001</c:v>
                </c:pt>
                <c:pt idx="761">
                  <c:v>0.24379999999999999</c:v>
                </c:pt>
                <c:pt idx="762">
                  <c:v>0.24399999999999999</c:v>
                </c:pt>
                <c:pt idx="763">
                  <c:v>0.24079999999999999</c:v>
                </c:pt>
                <c:pt idx="764">
                  <c:v>0.24510000000000001</c:v>
                </c:pt>
                <c:pt idx="765">
                  <c:v>0.24540000000000001</c:v>
                </c:pt>
                <c:pt idx="766">
                  <c:v>0.24</c:v>
                </c:pt>
                <c:pt idx="767">
                  <c:v>0.254</c:v>
                </c:pt>
                <c:pt idx="768">
                  <c:v>0.24979999999999999</c:v>
                </c:pt>
                <c:pt idx="769">
                  <c:v>0.2535</c:v>
                </c:pt>
                <c:pt idx="770">
                  <c:v>0.25019999999999998</c:v>
                </c:pt>
                <c:pt idx="771">
                  <c:v>0.26050000000000001</c:v>
                </c:pt>
                <c:pt idx="772">
                  <c:v>0.24229999999999999</c:v>
                </c:pt>
                <c:pt idx="773">
                  <c:v>0.25609999999999999</c:v>
                </c:pt>
                <c:pt idx="774">
                  <c:v>0.2702</c:v>
                </c:pt>
                <c:pt idx="775">
                  <c:v>0.26590000000000003</c:v>
                </c:pt>
                <c:pt idx="776">
                  <c:v>0.26929999999999998</c:v>
                </c:pt>
                <c:pt idx="777">
                  <c:v>0.27589999999999998</c:v>
                </c:pt>
                <c:pt idx="778">
                  <c:v>0.28410000000000002</c:v>
                </c:pt>
                <c:pt idx="779">
                  <c:v>0.2823</c:v>
                </c:pt>
                <c:pt idx="780">
                  <c:v>0.29920000000000002</c:v>
                </c:pt>
                <c:pt idx="781">
                  <c:v>0.31040000000000001</c:v>
                </c:pt>
                <c:pt idx="782">
                  <c:v>0.30570000000000003</c:v>
                </c:pt>
                <c:pt idx="783">
                  <c:v>0.30620000000000003</c:v>
                </c:pt>
                <c:pt idx="784">
                  <c:v>0.30099999999999999</c:v>
                </c:pt>
                <c:pt idx="785">
                  <c:v>0.29099999999999998</c:v>
                </c:pt>
                <c:pt idx="786">
                  <c:v>0.29859999999999998</c:v>
                </c:pt>
                <c:pt idx="787">
                  <c:v>0.29260000000000003</c:v>
                </c:pt>
                <c:pt idx="788">
                  <c:v>0.29299999999999998</c:v>
                </c:pt>
                <c:pt idx="789">
                  <c:v>0.30170000000000002</c:v>
                </c:pt>
                <c:pt idx="790">
                  <c:v>0.31780000000000003</c:v>
                </c:pt>
                <c:pt idx="791">
                  <c:v>0.31230000000000002</c:v>
                </c:pt>
                <c:pt idx="792">
                  <c:v>0.32629999999999998</c:v>
                </c:pt>
                <c:pt idx="793">
                  <c:v>0.29630000000000001</c:v>
                </c:pt>
                <c:pt idx="794">
                  <c:v>0.27639999999999998</c:v>
                </c:pt>
                <c:pt idx="795">
                  <c:v>0.26889999999999997</c:v>
                </c:pt>
                <c:pt idx="796">
                  <c:v>0.29849999999999999</c:v>
                </c:pt>
                <c:pt idx="797">
                  <c:v>0.29120000000000001</c:v>
                </c:pt>
                <c:pt idx="798">
                  <c:v>0.30640000000000001</c:v>
                </c:pt>
                <c:pt idx="799">
                  <c:v>0.3241</c:v>
                </c:pt>
                <c:pt idx="800">
                  <c:v>0.33079999999999998</c:v>
                </c:pt>
                <c:pt idx="801">
                  <c:v>0.3407</c:v>
                </c:pt>
                <c:pt idx="802">
                  <c:v>0.35099999999999998</c:v>
                </c:pt>
                <c:pt idx="803">
                  <c:v>0.35749999999999998</c:v>
                </c:pt>
                <c:pt idx="804">
                  <c:v>0.35659999999999997</c:v>
                </c:pt>
                <c:pt idx="805">
                  <c:v>0.34289999999999998</c:v>
                </c:pt>
                <c:pt idx="806">
                  <c:v>0.34660000000000002</c:v>
                </c:pt>
                <c:pt idx="807">
                  <c:v>0.3503</c:v>
                </c:pt>
                <c:pt idx="808">
                  <c:v>0.34810000000000002</c:v>
                </c:pt>
                <c:pt idx="809">
                  <c:v>0.35730000000000001</c:v>
                </c:pt>
                <c:pt idx="810">
                  <c:v>0.35299999999999998</c:v>
                </c:pt>
                <c:pt idx="811">
                  <c:v>0.34920000000000001</c:v>
                </c:pt>
                <c:pt idx="812">
                  <c:v>0.36020000000000002</c:v>
                </c:pt>
                <c:pt idx="813">
                  <c:v>0.37740000000000001</c:v>
                </c:pt>
                <c:pt idx="814">
                  <c:v>0.38519999999999999</c:v>
                </c:pt>
                <c:pt idx="815">
                  <c:v>0.3805</c:v>
                </c:pt>
                <c:pt idx="816">
                  <c:v>0.4047</c:v>
                </c:pt>
                <c:pt idx="817">
                  <c:v>0.41520000000000001</c:v>
                </c:pt>
                <c:pt idx="818">
                  <c:v>0.37019999999999997</c:v>
                </c:pt>
                <c:pt idx="819">
                  <c:v>0.36580000000000001</c:v>
                </c:pt>
                <c:pt idx="820">
                  <c:v>0.35089999999999999</c:v>
                </c:pt>
                <c:pt idx="821">
                  <c:v>0.34039999999999998</c:v>
                </c:pt>
                <c:pt idx="822">
                  <c:v>0.35599999999999998</c:v>
                </c:pt>
                <c:pt idx="823">
                  <c:v>0.31609999999999999</c:v>
                </c:pt>
                <c:pt idx="824">
                  <c:v>0.30109999999999998</c:v>
                </c:pt>
                <c:pt idx="825">
                  <c:v>0.31190000000000001</c:v>
                </c:pt>
                <c:pt idx="826">
                  <c:v>0.29170000000000001</c:v>
                </c:pt>
                <c:pt idx="827">
                  <c:v>0.27500000000000002</c:v>
                </c:pt>
                <c:pt idx="828">
                  <c:v>0.30590000000000001</c:v>
                </c:pt>
                <c:pt idx="829">
                  <c:v>0.30680000000000002</c:v>
                </c:pt>
                <c:pt idx="830">
                  <c:v>0.30520000000000003</c:v>
                </c:pt>
                <c:pt idx="831">
                  <c:v>0.29980000000000001</c:v>
                </c:pt>
                <c:pt idx="832">
                  <c:v>0.30570000000000003</c:v>
                </c:pt>
                <c:pt idx="833">
                  <c:v>0.31840000000000002</c:v>
                </c:pt>
                <c:pt idx="834">
                  <c:v>0.31240000000000001</c:v>
                </c:pt>
                <c:pt idx="835">
                  <c:v>0.33410000000000001</c:v>
                </c:pt>
                <c:pt idx="836">
                  <c:v>0.35070000000000001</c:v>
                </c:pt>
                <c:pt idx="837">
                  <c:v>0.34279999999999999</c:v>
                </c:pt>
                <c:pt idx="838">
                  <c:v>0.3458</c:v>
                </c:pt>
                <c:pt idx="839">
                  <c:v>0.33860000000000001</c:v>
                </c:pt>
                <c:pt idx="840">
                  <c:v>0.36159999999999998</c:v>
                </c:pt>
                <c:pt idx="841">
                  <c:v>0.38300000000000001</c:v>
                </c:pt>
                <c:pt idx="842">
                  <c:v>0.3821</c:v>
                </c:pt>
                <c:pt idx="843">
                  <c:v>0.37180000000000002</c:v>
                </c:pt>
                <c:pt idx="844">
                  <c:v>0.36120000000000002</c:v>
                </c:pt>
                <c:pt idx="845">
                  <c:v>0.4093</c:v>
                </c:pt>
                <c:pt idx="846">
                  <c:v>0.43380000000000002</c:v>
                </c:pt>
                <c:pt idx="847">
                  <c:v>0.4955</c:v>
                </c:pt>
                <c:pt idx="848">
                  <c:v>0.47170000000000001</c:v>
                </c:pt>
                <c:pt idx="849">
                  <c:v>0.36080000000000001</c:v>
                </c:pt>
                <c:pt idx="850">
                  <c:v>0.34339999999999998</c:v>
                </c:pt>
                <c:pt idx="851">
                  <c:v>0.32219999999999999</c:v>
                </c:pt>
                <c:pt idx="852">
                  <c:v>0.32269999999999999</c:v>
                </c:pt>
                <c:pt idx="853">
                  <c:v>0.3095</c:v>
                </c:pt>
                <c:pt idx="854">
                  <c:v>0.25979999999999998</c:v>
                </c:pt>
                <c:pt idx="855">
                  <c:v>0.23080000000000001</c:v>
                </c:pt>
                <c:pt idx="856">
                  <c:v>0.2238</c:v>
                </c:pt>
                <c:pt idx="857">
                  <c:v>0.28810000000000002</c:v>
                </c:pt>
                <c:pt idx="858">
                  <c:v>0.3029</c:v>
                </c:pt>
                <c:pt idx="859">
                  <c:v>0.3145</c:v>
                </c:pt>
                <c:pt idx="860">
                  <c:v>0.31409999999999999</c:v>
                </c:pt>
                <c:pt idx="861">
                  <c:v>0.31690000000000002</c:v>
                </c:pt>
                <c:pt idx="862">
                  <c:v>0.33279999999999998</c:v>
                </c:pt>
                <c:pt idx="863">
                  <c:v>0.30590000000000001</c:v>
                </c:pt>
                <c:pt idx="864">
                  <c:v>0.31990000000000002</c:v>
                </c:pt>
                <c:pt idx="865">
                  <c:v>0.32879999999999998</c:v>
                </c:pt>
                <c:pt idx="866">
                  <c:v>0.33550000000000002</c:v>
                </c:pt>
                <c:pt idx="867">
                  <c:v>0.32869999999999999</c:v>
                </c:pt>
                <c:pt idx="868">
                  <c:v>0.34160000000000001</c:v>
                </c:pt>
                <c:pt idx="869">
                  <c:v>0.37319999999999998</c:v>
                </c:pt>
                <c:pt idx="870">
                  <c:v>0.37359999999999999</c:v>
                </c:pt>
                <c:pt idx="871">
                  <c:v>0.38519999999999999</c:v>
                </c:pt>
                <c:pt idx="872">
                  <c:v>0.3866</c:v>
                </c:pt>
                <c:pt idx="873">
                  <c:v>0.38590000000000002</c:v>
                </c:pt>
                <c:pt idx="874">
                  <c:v>0.38240000000000002</c:v>
                </c:pt>
                <c:pt idx="875">
                  <c:v>0.41160000000000002</c:v>
                </c:pt>
                <c:pt idx="876">
                  <c:v>0.42699999999999999</c:v>
                </c:pt>
                <c:pt idx="877">
                  <c:v>0.40479999999999999</c:v>
                </c:pt>
                <c:pt idx="878">
                  <c:v>0.39360000000000001</c:v>
                </c:pt>
                <c:pt idx="879">
                  <c:v>0.38019999999999998</c:v>
                </c:pt>
                <c:pt idx="880">
                  <c:v>0.40649999999999997</c:v>
                </c:pt>
                <c:pt idx="881">
                  <c:v>0.3977</c:v>
                </c:pt>
                <c:pt idx="882">
                  <c:v>0.38800000000000001</c:v>
                </c:pt>
                <c:pt idx="883">
                  <c:v>0.37930000000000003</c:v>
                </c:pt>
                <c:pt idx="884">
                  <c:v>0.42080000000000001</c:v>
                </c:pt>
                <c:pt idx="885">
                  <c:v>0.44500000000000001</c:v>
                </c:pt>
                <c:pt idx="886">
                  <c:v>0.35659999999999997</c:v>
                </c:pt>
                <c:pt idx="887">
                  <c:v>0.39250000000000002</c:v>
                </c:pt>
                <c:pt idx="888">
                  <c:v>0.41089999999999999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5-4E4F-BE39-8066D2CAE8C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-1.1923181802764831</c:v>
                </c:pt>
                <c:pt idx="1">
                  <c:v>-1.1910822881401191</c:v>
                </c:pt>
                <c:pt idx="2">
                  <c:v>-1.1805003355292818</c:v>
                </c:pt>
                <c:pt idx="3">
                  <c:v>-1.1814680178201908</c:v>
                </c:pt>
                <c:pt idx="4">
                  <c:v>-1.2066113586236593</c:v>
                </c:pt>
                <c:pt idx="5">
                  <c:v>-1.2135528848981689</c:v>
                </c:pt>
                <c:pt idx="6">
                  <c:v>-1.2276061399201204</c:v>
                </c:pt>
                <c:pt idx="7">
                  <c:v>-1.2150988321775671</c:v>
                </c:pt>
                <c:pt idx="8">
                  <c:v>-1.2072407947534831</c:v>
                </c:pt>
                <c:pt idx="9">
                  <c:v>-1.2028862015198383</c:v>
                </c:pt>
                <c:pt idx="10">
                  <c:v>-1.2037967204305526</c:v>
                </c:pt>
                <c:pt idx="11">
                  <c:v>-1.2028969930621316</c:v>
                </c:pt>
                <c:pt idx="12">
                  <c:v>-1.2047488308121317</c:v>
                </c:pt>
                <c:pt idx="13">
                  <c:v>-1.2043446979315346</c:v>
                </c:pt>
                <c:pt idx="14">
                  <c:v>-1.2083887925315346</c:v>
                </c:pt>
                <c:pt idx="15">
                  <c:v>-1.2009523048588073</c:v>
                </c:pt>
                <c:pt idx="16">
                  <c:v>-1.2042460298945217</c:v>
                </c:pt>
                <c:pt idx="17">
                  <c:v>-1.2115943841802359</c:v>
                </c:pt>
                <c:pt idx="18">
                  <c:v>-1.2077004663891913</c:v>
                </c:pt>
                <c:pt idx="19">
                  <c:v>-1.2069492134236739</c:v>
                </c:pt>
                <c:pt idx="20">
                  <c:v>-1.1921744664962997</c:v>
                </c:pt>
                <c:pt idx="21">
                  <c:v>-1.1873483290579436</c:v>
                </c:pt>
                <c:pt idx="22">
                  <c:v>-1.1869430790369644</c:v>
                </c:pt>
                <c:pt idx="23">
                  <c:v>-1.1729389907092334</c:v>
                </c:pt>
                <c:pt idx="24">
                  <c:v>-1.1749189982712773</c:v>
                </c:pt>
                <c:pt idx="25">
                  <c:v>-1.1673327008780188</c:v>
                </c:pt>
                <c:pt idx="26">
                  <c:v>-1.1669283105775705</c:v>
                </c:pt>
                <c:pt idx="27">
                  <c:v>-1.1694527842361069</c:v>
                </c:pt>
                <c:pt idx="28">
                  <c:v>-1.1663473592916624</c:v>
                </c:pt>
                <c:pt idx="29">
                  <c:v>-1.1680599976676023</c:v>
                </c:pt>
                <c:pt idx="30">
                  <c:v>-1.1595829252366632</c:v>
                </c:pt>
                <c:pt idx="31">
                  <c:v>-1.1464738614726182</c:v>
                </c:pt>
                <c:pt idx="32">
                  <c:v>-1.1417212175495415</c:v>
                </c:pt>
                <c:pt idx="33">
                  <c:v>-1.1483032516893266</c:v>
                </c:pt>
                <c:pt idx="34">
                  <c:v>-1.151004049131187</c:v>
                </c:pt>
                <c:pt idx="35">
                  <c:v>-1.1451309363311868</c:v>
                </c:pt>
                <c:pt idx="36">
                  <c:v>-1.1525495262135399</c:v>
                </c:pt>
                <c:pt idx="37">
                  <c:v>-1.1542831069714345</c:v>
                </c:pt>
                <c:pt idx="38">
                  <c:v>-1.1583870279979247</c:v>
                </c:pt>
                <c:pt idx="39">
                  <c:v>-1.1565237730748477</c:v>
                </c:pt>
                <c:pt idx="40">
                  <c:v>-1.1525100518948475</c:v>
                </c:pt>
                <c:pt idx="41">
                  <c:v>-1.1544142033654359</c:v>
                </c:pt>
                <c:pt idx="42">
                  <c:v>-1.149554645256345</c:v>
                </c:pt>
                <c:pt idx="43">
                  <c:v>-1.1268394487356348</c:v>
                </c:pt>
                <c:pt idx="44">
                  <c:v>-1.1399783095887155</c:v>
                </c:pt>
                <c:pt idx="45">
                  <c:v>-1.1239421112922146</c:v>
                </c:pt>
                <c:pt idx="46">
                  <c:v>-1.114188195379171</c:v>
                </c:pt>
                <c:pt idx="47">
                  <c:v>-1.1160293416916711</c:v>
                </c:pt>
                <c:pt idx="48">
                  <c:v>-1.1164177183050044</c:v>
                </c:pt>
                <c:pt idx="49">
                  <c:v>-1.1065622010564837</c:v>
                </c:pt>
                <c:pt idx="50">
                  <c:v>-1.0922801350327547</c:v>
                </c:pt>
                <c:pt idx="51">
                  <c:v>-1.0914349644445194</c:v>
                </c:pt>
                <c:pt idx="52">
                  <c:v>-1.0862397850327548</c:v>
                </c:pt>
                <c:pt idx="53">
                  <c:v>-1.097427374940581</c:v>
                </c:pt>
                <c:pt idx="54">
                  <c:v>-1.0893996039207789</c:v>
                </c:pt>
                <c:pt idx="55">
                  <c:v>-1.0932679834189338</c:v>
                </c:pt>
                <c:pt idx="56">
                  <c:v>-1.0882286387552169</c:v>
                </c:pt>
                <c:pt idx="57">
                  <c:v>-1.094860867271346</c:v>
                </c:pt>
                <c:pt idx="58">
                  <c:v>-1.0869503546196606</c:v>
                </c:pt>
                <c:pt idx="59">
                  <c:v>-1.0831973248596605</c:v>
                </c:pt>
                <c:pt idx="60">
                  <c:v>-1.0868351021887743</c:v>
                </c:pt>
                <c:pt idx="61">
                  <c:v>-1.0957374120459171</c:v>
                </c:pt>
                <c:pt idx="62">
                  <c:v>-1.0929932153492348</c:v>
                </c:pt>
                <c:pt idx="63">
                  <c:v>-1.085197401379538</c:v>
                </c:pt>
                <c:pt idx="64">
                  <c:v>-1.09426731261748</c:v>
                </c:pt>
                <c:pt idx="65">
                  <c:v>-1.0927089370422589</c:v>
                </c:pt>
                <c:pt idx="66">
                  <c:v>-1.0994654555685748</c:v>
                </c:pt>
                <c:pt idx="67">
                  <c:v>-1.0951192167383861</c:v>
                </c:pt>
                <c:pt idx="68">
                  <c:v>-1.0913155784050528</c:v>
                </c:pt>
                <c:pt idx="69">
                  <c:v>-1.0991453049534399</c:v>
                </c:pt>
                <c:pt idx="70">
                  <c:v>-1.1079762880153867</c:v>
                </c:pt>
                <c:pt idx="71">
                  <c:v>-1.0926250036743015</c:v>
                </c:pt>
                <c:pt idx="72">
                  <c:v>-1.1035322392148421</c:v>
                </c:pt>
                <c:pt idx="73">
                  <c:v>-1.1045957459545681</c:v>
                </c:pt>
                <c:pt idx="74">
                  <c:v>-1.1096904600695106</c:v>
                </c:pt>
                <c:pt idx="75">
                  <c:v>-1.1128197637768278</c:v>
                </c:pt>
                <c:pt idx="76">
                  <c:v>-1.118127310450985</c:v>
                </c:pt>
                <c:pt idx="77">
                  <c:v>-1.1188065689629851</c:v>
                </c:pt>
                <c:pt idx="78">
                  <c:v>-1.1267988411269196</c:v>
                </c:pt>
                <c:pt idx="79">
                  <c:v>-1.1230058079756282</c:v>
                </c:pt>
                <c:pt idx="80">
                  <c:v>-1.1241977297787775</c:v>
                </c:pt>
                <c:pt idx="81">
                  <c:v>-1.1196219833633931</c:v>
                </c:pt>
                <c:pt idx="82">
                  <c:v>-1.1200047028000129</c:v>
                </c:pt>
                <c:pt idx="83">
                  <c:v>-1.1218825441223268</c:v>
                </c:pt>
                <c:pt idx="84">
                  <c:v>-1.1180797491734897</c:v>
                </c:pt>
                <c:pt idx="85">
                  <c:v>-1.1234356961781846</c:v>
                </c:pt>
                <c:pt idx="86">
                  <c:v>-1.1231275926323678</c:v>
                </c:pt>
                <c:pt idx="87">
                  <c:v>-1.1267161399021353</c:v>
                </c:pt>
                <c:pt idx="88">
                  <c:v>-1.1403646086294079</c:v>
                </c:pt>
                <c:pt idx="89">
                  <c:v>-1.1497086239494081</c:v>
                </c:pt>
                <c:pt idx="90">
                  <c:v>-1.1569597243801772</c:v>
                </c:pt>
                <c:pt idx="91">
                  <c:v>-1.1621845941728037</c:v>
                </c:pt>
                <c:pt idx="92">
                  <c:v>-1.1707124787367136</c:v>
                </c:pt>
                <c:pt idx="93">
                  <c:v>-1.1623605570252566</c:v>
                </c:pt>
                <c:pt idx="94">
                  <c:v>-1.1512588890252569</c:v>
                </c:pt>
                <c:pt idx="95">
                  <c:v>-1.1557161141456755</c:v>
                </c:pt>
                <c:pt idx="96">
                  <c:v>-1.1422827949192607</c:v>
                </c:pt>
                <c:pt idx="97">
                  <c:v>-1.1474549341740379</c:v>
                </c:pt>
                <c:pt idx="98">
                  <c:v>-1.1514643249652465</c:v>
                </c:pt>
                <c:pt idx="99">
                  <c:v>-1.1439735861259608</c:v>
                </c:pt>
                <c:pt idx="100">
                  <c:v>-1.1533280559094661</c:v>
                </c:pt>
                <c:pt idx="101">
                  <c:v>-1.1596903147329953</c:v>
                </c:pt>
                <c:pt idx="102">
                  <c:v>-1.1645527927781567</c:v>
                </c:pt>
                <c:pt idx="103">
                  <c:v>-1.1580174309704645</c:v>
                </c:pt>
                <c:pt idx="104">
                  <c:v>-1.1550449031243106</c:v>
                </c:pt>
                <c:pt idx="105">
                  <c:v>-1.1362661787330062</c:v>
                </c:pt>
                <c:pt idx="106">
                  <c:v>-1.1237783449148246</c:v>
                </c:pt>
                <c:pt idx="107">
                  <c:v>-1.1411849389862532</c:v>
                </c:pt>
                <c:pt idx="108">
                  <c:v>-1.145363513507992</c:v>
                </c:pt>
                <c:pt idx="109">
                  <c:v>-1.1386531054882878</c:v>
                </c:pt>
                <c:pt idx="110">
                  <c:v>-1.1414117736515532</c:v>
                </c:pt>
                <c:pt idx="111">
                  <c:v>-1.1174099378524662</c:v>
                </c:pt>
                <c:pt idx="112">
                  <c:v>-1.1356362139433753</c:v>
                </c:pt>
                <c:pt idx="113">
                  <c:v>-1.12886552788883</c:v>
                </c:pt>
                <c:pt idx="114">
                  <c:v>-1.0926614721561008</c:v>
                </c:pt>
                <c:pt idx="115">
                  <c:v>-1.1090332151914988</c:v>
                </c:pt>
                <c:pt idx="116">
                  <c:v>-1.1142257313541655</c:v>
                </c:pt>
                <c:pt idx="117">
                  <c:v>-1.112590507181255</c:v>
                </c:pt>
                <c:pt idx="118">
                  <c:v>-1.1018136623836361</c:v>
                </c:pt>
                <c:pt idx="119">
                  <c:v>-1.1241650951306239</c:v>
                </c:pt>
                <c:pt idx="120">
                  <c:v>-1.1375346396062793</c:v>
                </c:pt>
                <c:pt idx="121">
                  <c:v>-1.1285403282516975</c:v>
                </c:pt>
                <c:pt idx="122">
                  <c:v>-1.1020991759936329</c:v>
                </c:pt>
                <c:pt idx="123">
                  <c:v>-1.0869895042533733</c:v>
                </c:pt>
                <c:pt idx="124">
                  <c:v>-1.0874067639959475</c:v>
                </c:pt>
                <c:pt idx="125">
                  <c:v>-1.0753020683589494</c:v>
                </c:pt>
                <c:pt idx="126">
                  <c:v>-1.0730934116729027</c:v>
                </c:pt>
                <c:pt idx="127">
                  <c:v>-1.0876385046932073</c:v>
                </c:pt>
                <c:pt idx="128">
                  <c:v>-1.1002622131965185</c:v>
                </c:pt>
                <c:pt idx="129">
                  <c:v>-1.0297899096313012</c:v>
                </c:pt>
                <c:pt idx="130">
                  <c:v>-1.0108786328161441</c:v>
                </c:pt>
                <c:pt idx="131">
                  <c:v>-0.99822300552202636</c:v>
                </c:pt>
                <c:pt idx="132">
                  <c:v>-1.0054607338166002</c:v>
                </c:pt>
                <c:pt idx="133">
                  <c:v>-0.97141360462305171</c:v>
                </c:pt>
                <c:pt idx="134">
                  <c:v>-0.96954787399279951</c:v>
                </c:pt>
                <c:pt idx="135">
                  <c:v>-0.97973200318049192</c:v>
                </c:pt>
                <c:pt idx="136">
                  <c:v>-0.98949225608958269</c:v>
                </c:pt>
                <c:pt idx="137">
                  <c:v>-0.99023960519484588</c:v>
                </c:pt>
                <c:pt idx="138">
                  <c:v>-0.99576465023929028</c:v>
                </c:pt>
                <c:pt idx="139">
                  <c:v>-1.0067919891703248</c:v>
                </c:pt>
                <c:pt idx="140">
                  <c:v>-0.9940195518236582</c:v>
                </c:pt>
                <c:pt idx="141">
                  <c:v>-1.0096833174631139</c:v>
                </c:pt>
                <c:pt idx="142">
                  <c:v>-1.0365059695118153</c:v>
                </c:pt>
                <c:pt idx="143">
                  <c:v>-0.98873039218125502</c:v>
                </c:pt>
                <c:pt idx="144">
                  <c:v>-0.99712955755593213</c:v>
                </c:pt>
                <c:pt idx="145">
                  <c:v>-1.0117866878182271</c:v>
                </c:pt>
                <c:pt idx="146">
                  <c:v>-1.009304417026148</c:v>
                </c:pt>
                <c:pt idx="147">
                  <c:v>-1.0058352954806933</c:v>
                </c:pt>
                <c:pt idx="148">
                  <c:v>-0.96214528374683816</c:v>
                </c:pt>
                <c:pt idx="149">
                  <c:v>-0.79891252616359443</c:v>
                </c:pt>
                <c:pt idx="150">
                  <c:v>-1.12962584901583</c:v>
                </c:pt>
                <c:pt idx="151">
                  <c:v>-1.1153638684888838</c:v>
                </c:pt>
                <c:pt idx="152">
                  <c:v>-1.1250477804607146</c:v>
                </c:pt>
                <c:pt idx="153">
                  <c:v>-1.119957388775898</c:v>
                </c:pt>
                <c:pt idx="154">
                  <c:v>-1.143298662411016</c:v>
                </c:pt>
                <c:pt idx="155">
                  <c:v>-1.1319130675390674</c:v>
                </c:pt>
                <c:pt idx="156">
                  <c:v>-1.1483490990488168</c:v>
                </c:pt>
                <c:pt idx="157">
                  <c:v>-1.1163272204073897</c:v>
                </c:pt>
                <c:pt idx="158">
                  <c:v>-1.1138944744210897</c:v>
                </c:pt>
                <c:pt idx="159">
                  <c:v>-1.1204054313682277</c:v>
                </c:pt>
                <c:pt idx="160">
                  <c:v>-1.1237060180594287</c:v>
                </c:pt>
                <c:pt idx="161">
                  <c:v>-1.1441728450179527</c:v>
                </c:pt>
                <c:pt idx="162">
                  <c:v>-1.1764643748011654</c:v>
                </c:pt>
                <c:pt idx="163">
                  <c:v>-1.174321993269841</c:v>
                </c:pt>
                <c:pt idx="164">
                  <c:v>-1.1462677433561486</c:v>
                </c:pt>
                <c:pt idx="165">
                  <c:v>-1.1267475816065806</c:v>
                </c:pt>
                <c:pt idx="166">
                  <c:v>-1.1390107722282095</c:v>
                </c:pt>
                <c:pt idx="167">
                  <c:v>-1.1156050533231492</c:v>
                </c:pt>
                <c:pt idx="168">
                  <c:v>-1.1218434581233567</c:v>
                </c:pt>
                <c:pt idx="169">
                  <c:v>-1.0562063284723213</c:v>
                </c:pt>
                <c:pt idx="170">
                  <c:v>-1.115923228197637</c:v>
                </c:pt>
                <c:pt idx="171">
                  <c:v>-1.1156173928732058</c:v>
                </c:pt>
                <c:pt idx="172">
                  <c:v>-1.1342968590554874</c:v>
                </c:pt>
                <c:pt idx="173">
                  <c:v>-1.1645324128982801</c:v>
                </c:pt>
                <c:pt idx="174">
                  <c:v>-1.1834039169208452</c:v>
                </c:pt>
                <c:pt idx="175">
                  <c:v>-1.1728993828045884</c:v>
                </c:pt>
                <c:pt idx="176">
                  <c:v>-1.190929121006127</c:v>
                </c:pt>
                <c:pt idx="177">
                  <c:v>-1.2005690371587585</c:v>
                </c:pt>
                <c:pt idx="178">
                  <c:v>-1.1980303626899098</c:v>
                </c:pt>
                <c:pt idx="179">
                  <c:v>-1.2055675750072006</c:v>
                </c:pt>
                <c:pt idx="180">
                  <c:v>-1.1764124764685362</c:v>
                </c:pt>
                <c:pt idx="181">
                  <c:v>-1.1923511503634365</c:v>
                </c:pt>
                <c:pt idx="182">
                  <c:v>-1.2154267328142576</c:v>
                </c:pt>
                <c:pt idx="183">
                  <c:v>-1.2376402467500673</c:v>
                </c:pt>
                <c:pt idx="184">
                  <c:v>-1.2415889912063851</c:v>
                </c:pt>
                <c:pt idx="185">
                  <c:v>-1.256711292930929</c:v>
                </c:pt>
                <c:pt idx="186">
                  <c:v>-1.2395233880534455</c:v>
                </c:pt>
                <c:pt idx="187">
                  <c:v>-1.2576673340469604</c:v>
                </c:pt>
                <c:pt idx="188">
                  <c:v>-1.2606527080937753</c:v>
                </c:pt>
                <c:pt idx="189">
                  <c:v>-1.2658232778443401</c:v>
                </c:pt>
                <c:pt idx="190">
                  <c:v>-1.2579013253892943</c:v>
                </c:pt>
                <c:pt idx="191">
                  <c:v>-1.2798724318379016</c:v>
                </c:pt>
                <c:pt idx="192">
                  <c:v>-1.2700942701185316</c:v>
                </c:pt>
                <c:pt idx="193">
                  <c:v>-1.2593189712933679</c:v>
                </c:pt>
                <c:pt idx="194">
                  <c:v>-1.2532845479976598</c:v>
                </c:pt>
                <c:pt idx="195">
                  <c:v>-1.2661749720613524</c:v>
                </c:pt>
                <c:pt idx="196">
                  <c:v>-1.2488614448656523</c:v>
                </c:pt>
                <c:pt idx="197">
                  <c:v>-1.236027756653316</c:v>
                </c:pt>
                <c:pt idx="198">
                  <c:v>-1.2283655427323816</c:v>
                </c:pt>
                <c:pt idx="199">
                  <c:v>-1.1838796829709681</c:v>
                </c:pt>
                <c:pt idx="200">
                  <c:v>-1.3011954410092115</c:v>
                </c:pt>
                <c:pt idx="201">
                  <c:v>-1.3081283984481868</c:v>
                </c:pt>
                <c:pt idx="202">
                  <c:v>-1.3042631315681257</c:v>
                </c:pt>
                <c:pt idx="203">
                  <c:v>-1.3329543347196537</c:v>
                </c:pt>
                <c:pt idx="204">
                  <c:v>-1.319475899455222</c:v>
                </c:pt>
                <c:pt idx="205">
                  <c:v>-1.3301795244026173</c:v>
                </c:pt>
                <c:pt idx="206">
                  <c:v>-1.33837251724867</c:v>
                </c:pt>
                <c:pt idx="207">
                  <c:v>-1.3420935502707356</c:v>
                </c:pt>
                <c:pt idx="208">
                  <c:v>-1.3544790547308496</c:v>
                </c:pt>
                <c:pt idx="209">
                  <c:v>-1.3746315224572705</c:v>
                </c:pt>
                <c:pt idx="210">
                  <c:v>-1.3993306752035515</c:v>
                </c:pt>
                <c:pt idx="211">
                  <c:v>-1.3914162905027072</c:v>
                </c:pt>
                <c:pt idx="212">
                  <c:v>-1.411740553134254</c:v>
                </c:pt>
                <c:pt idx="213">
                  <c:v>-1.4353744943672815</c:v>
                </c:pt>
                <c:pt idx="214">
                  <c:v>-1.4560563789525152</c:v>
                </c:pt>
                <c:pt idx="215">
                  <c:v>-1.4867588937520344</c:v>
                </c:pt>
                <c:pt idx="216">
                  <c:v>-1.5046403342276107</c:v>
                </c:pt>
                <c:pt idx="217">
                  <c:v>-1.3834373161084261</c:v>
                </c:pt>
                <c:pt idx="218">
                  <c:v>-1.4420452143231273</c:v>
                </c:pt>
                <c:pt idx="219">
                  <c:v>-1.4801331255177761</c:v>
                </c:pt>
                <c:pt idx="220">
                  <c:v>-1.4543371580456614</c:v>
                </c:pt>
                <c:pt idx="221">
                  <c:v>-1.3880268342049626</c:v>
                </c:pt>
                <c:pt idx="222">
                  <c:v>-1.38933740548864</c:v>
                </c:pt>
                <c:pt idx="223">
                  <c:v>-1.3691654044215593</c:v>
                </c:pt>
                <c:pt idx="224">
                  <c:v>-1.3522104813358451</c:v>
                </c:pt>
                <c:pt idx="225">
                  <c:v>-1.3449056585621313</c:v>
                </c:pt>
                <c:pt idx="226">
                  <c:v>-1.3279712898454359</c:v>
                </c:pt>
                <c:pt idx="227">
                  <c:v>-1.3209575614635063</c:v>
                </c:pt>
                <c:pt idx="228">
                  <c:v>-1.3809028924307474</c:v>
                </c:pt>
                <c:pt idx="229">
                  <c:v>-1.3882101835728036</c:v>
                </c:pt>
                <c:pt idx="230">
                  <c:v>-1.3732559279051564</c:v>
                </c:pt>
                <c:pt idx="231">
                  <c:v>-1.328917785512111</c:v>
                </c:pt>
                <c:pt idx="232">
                  <c:v>-1.3395546716531486</c:v>
                </c:pt>
                <c:pt idx="233">
                  <c:v>-1.3524792872299176</c:v>
                </c:pt>
                <c:pt idx="234">
                  <c:v>-1.3747294979518121</c:v>
                </c:pt>
                <c:pt idx="235">
                  <c:v>-1.3059773223814217</c:v>
                </c:pt>
                <c:pt idx="236">
                  <c:v>-1.262629914913965</c:v>
                </c:pt>
                <c:pt idx="237">
                  <c:v>-1.259559469993965</c:v>
                </c:pt>
                <c:pt idx="238">
                  <c:v>-1.2567492204331348</c:v>
                </c:pt>
                <c:pt idx="239">
                  <c:v>-1.2645398143731126</c:v>
                </c:pt>
                <c:pt idx="240">
                  <c:v>-1.2784994254269744</c:v>
                </c:pt>
                <c:pt idx="241">
                  <c:v>-1.283011831835938</c:v>
                </c:pt>
                <c:pt idx="242">
                  <c:v>-1.2921081804558585</c:v>
                </c:pt>
                <c:pt idx="243">
                  <c:v>-1.2967326557110215</c:v>
                </c:pt>
                <c:pt idx="244">
                  <c:v>-1.2909944215808489</c:v>
                </c:pt>
                <c:pt idx="245">
                  <c:v>-1.2847229352911385</c:v>
                </c:pt>
                <c:pt idx="246">
                  <c:v>-1.2849328263933217</c:v>
                </c:pt>
                <c:pt idx="247">
                  <c:v>-1.3118260192737754</c:v>
                </c:pt>
                <c:pt idx="248">
                  <c:v>-1.3096956705779923</c:v>
                </c:pt>
                <c:pt idx="249">
                  <c:v>-1.3435931001567689</c:v>
                </c:pt>
                <c:pt idx="250">
                  <c:v>-1.3399943356056006</c:v>
                </c:pt>
                <c:pt idx="251">
                  <c:v>-1.3256360738756225</c:v>
                </c:pt>
                <c:pt idx="252">
                  <c:v>-1.3311619061839131</c:v>
                </c:pt>
                <c:pt idx="253">
                  <c:v>-1.3637038060152993</c:v>
                </c:pt>
                <c:pt idx="254">
                  <c:v>-1.3259382003772324</c:v>
                </c:pt>
                <c:pt idx="255">
                  <c:v>-1.3250628066480745</c:v>
                </c:pt>
                <c:pt idx="256">
                  <c:v>-1.3130292093865674</c:v>
                </c:pt>
                <c:pt idx="257">
                  <c:v>-1.3275644299727187</c:v>
                </c:pt>
                <c:pt idx="258">
                  <c:v>-1.3101877146077212</c:v>
                </c:pt>
                <c:pt idx="259">
                  <c:v>-1.3149587332130432</c:v>
                </c:pt>
                <c:pt idx="260">
                  <c:v>-1.317646569986904</c:v>
                </c:pt>
                <c:pt idx="261">
                  <c:v>-1.29383274097346</c:v>
                </c:pt>
                <c:pt idx="262">
                  <c:v>-1.3128415076700111</c:v>
                </c:pt>
                <c:pt idx="263">
                  <c:v>-1.2870208587530789</c:v>
                </c:pt>
                <c:pt idx="264">
                  <c:v>-1.281153651089709</c:v>
                </c:pt>
                <c:pt idx="265">
                  <c:v>-1.2730991761793609</c:v>
                </c:pt>
                <c:pt idx="266">
                  <c:v>-1.2718805739234242</c:v>
                </c:pt>
                <c:pt idx="267">
                  <c:v>-1.2669321450381887</c:v>
                </c:pt>
                <c:pt idx="268">
                  <c:v>-1.2995227977208157</c:v>
                </c:pt>
                <c:pt idx="269">
                  <c:v>-1.2448640695820319</c:v>
                </c:pt>
                <c:pt idx="270">
                  <c:v>-1.190066472781127</c:v>
                </c:pt>
                <c:pt idx="271">
                  <c:v>-1.1975092827850944</c:v>
                </c:pt>
                <c:pt idx="272">
                  <c:v>-1.2177457886662986</c:v>
                </c:pt>
                <c:pt idx="273">
                  <c:v>-1.239694220533984</c:v>
                </c:pt>
                <c:pt idx="274">
                  <c:v>-1.2368863148442473</c:v>
                </c:pt>
                <c:pt idx="275">
                  <c:v>-1.2238197932127577</c:v>
                </c:pt>
                <c:pt idx="276">
                  <c:v>-1.2588324515551703</c:v>
                </c:pt>
                <c:pt idx="277">
                  <c:v>-1.2990972397636915</c:v>
                </c:pt>
                <c:pt idx="278">
                  <c:v>-1.270460996999472</c:v>
                </c:pt>
                <c:pt idx="279">
                  <c:v>-1.2456956293775383</c:v>
                </c:pt>
                <c:pt idx="280">
                  <c:v>-1.2907574659897312</c:v>
                </c:pt>
                <c:pt idx="281">
                  <c:v>-1.2048121743591023</c:v>
                </c:pt>
                <c:pt idx="282">
                  <c:v>-1.136887149667364</c:v>
                </c:pt>
                <c:pt idx="283">
                  <c:v>-1.1400325049099624</c:v>
                </c:pt>
                <c:pt idx="284">
                  <c:v>-1.0545325893635737</c:v>
                </c:pt>
                <c:pt idx="285">
                  <c:v>-1.0500204685707384</c:v>
                </c:pt>
                <c:pt idx="286">
                  <c:v>-1.0394816615252085</c:v>
                </c:pt>
                <c:pt idx="287">
                  <c:v>-1.0260831756439008</c:v>
                </c:pt>
                <c:pt idx="288">
                  <c:v>-1.0366442290859736</c:v>
                </c:pt>
                <c:pt idx="289">
                  <c:v>-1.0414842072037607</c:v>
                </c:pt>
                <c:pt idx="290">
                  <c:v>-1.0531144309641698</c:v>
                </c:pt>
                <c:pt idx="291">
                  <c:v>-1.0131704628174725</c:v>
                </c:pt>
                <c:pt idx="292">
                  <c:v>-1.0108632943044051</c:v>
                </c:pt>
                <c:pt idx="293">
                  <c:v>-1.0049590904692189</c:v>
                </c:pt>
                <c:pt idx="294">
                  <c:v>-1.0191826721141268</c:v>
                </c:pt>
                <c:pt idx="295">
                  <c:v>-1.0568728387320501</c:v>
                </c:pt>
                <c:pt idx="296">
                  <c:v>-1.0262627083689888</c:v>
                </c:pt>
                <c:pt idx="297">
                  <c:v>-1.0064883184054594</c:v>
                </c:pt>
                <c:pt idx="298">
                  <c:v>-0.94141440533946263</c:v>
                </c:pt>
                <c:pt idx="299">
                  <c:v>-1.1049775941019695</c:v>
                </c:pt>
                <c:pt idx="300">
                  <c:v>-1.2470516818730648</c:v>
                </c:pt>
                <c:pt idx="301">
                  <c:v>-1.1839657587532364</c:v>
                </c:pt>
                <c:pt idx="302">
                  <c:v>-1.0745392802629683</c:v>
                </c:pt>
                <c:pt idx="303">
                  <c:v>-0.95155599473723862</c:v>
                </c:pt>
                <c:pt idx="304">
                  <c:v>-0.79184484916034403</c:v>
                </c:pt>
                <c:pt idx="305">
                  <c:v>-0.75586361848161598</c:v>
                </c:pt>
                <c:pt idx="306">
                  <c:v>-0.73455817172023674</c:v>
                </c:pt>
                <c:pt idx="307">
                  <c:v>-0.74717287857474823</c:v>
                </c:pt>
                <c:pt idx="308">
                  <c:v>-0.75719475140874426</c:v>
                </c:pt>
                <c:pt idx="309">
                  <c:v>-0.75002594077264118</c:v>
                </c:pt>
                <c:pt idx="310">
                  <c:v>-0.71603985055953934</c:v>
                </c:pt>
                <c:pt idx="311">
                  <c:v>-0.72803850576057549</c:v>
                </c:pt>
                <c:pt idx="312">
                  <c:v>-0.72793329796563355</c:v>
                </c:pt>
                <c:pt idx="313">
                  <c:v>-0.75107200690844955</c:v>
                </c:pt>
                <c:pt idx="314">
                  <c:v>-0.69284626087710333</c:v>
                </c:pt>
                <c:pt idx="315">
                  <c:v>-0.70953841608787249</c:v>
                </c:pt>
                <c:pt idx="316">
                  <c:v>-0.70241412982587637</c:v>
                </c:pt>
                <c:pt idx="317">
                  <c:v>-0.70221758371455567</c:v>
                </c:pt>
                <c:pt idx="318">
                  <c:v>-0.74641824171106219</c:v>
                </c:pt>
                <c:pt idx="319">
                  <c:v>-0.74199425575365563</c:v>
                </c:pt>
                <c:pt idx="320">
                  <c:v>-0.73785242794391848</c:v>
                </c:pt>
                <c:pt idx="321">
                  <c:v>-0.6795611793803672</c:v>
                </c:pt>
                <c:pt idx="322">
                  <c:v>-0.6694058249195689</c:v>
                </c:pt>
                <c:pt idx="323">
                  <c:v>-0.67755614843397671</c:v>
                </c:pt>
                <c:pt idx="324">
                  <c:v>-0.67468455041600617</c:v>
                </c:pt>
                <c:pt idx="325">
                  <c:v>-0.68761995951600619</c:v>
                </c:pt>
                <c:pt idx="326">
                  <c:v>-0.69243726638653935</c:v>
                </c:pt>
                <c:pt idx="327">
                  <c:v>-0.69670218715762811</c:v>
                </c:pt>
                <c:pt idx="328">
                  <c:v>-0.69211409889982789</c:v>
                </c:pt>
                <c:pt idx="329">
                  <c:v>-0.69928624350364477</c:v>
                </c:pt>
                <c:pt idx="330">
                  <c:v>-0.69640577181523677</c:v>
                </c:pt>
                <c:pt idx="331">
                  <c:v>-0.70337772270449295</c:v>
                </c:pt>
                <c:pt idx="332">
                  <c:v>-0.70431729524517639</c:v>
                </c:pt>
                <c:pt idx="333">
                  <c:v>-0.73173063024667107</c:v>
                </c:pt>
                <c:pt idx="334">
                  <c:v>-0.71142149422113599</c:v>
                </c:pt>
                <c:pt idx="335">
                  <c:v>-0.49769978891018957</c:v>
                </c:pt>
                <c:pt idx="336">
                  <c:v>-0.50929898109757699</c:v>
                </c:pt>
                <c:pt idx="337">
                  <c:v>-0.4883602156426719</c:v>
                </c:pt>
                <c:pt idx="338">
                  <c:v>-0.502008551403756</c:v>
                </c:pt>
                <c:pt idx="339">
                  <c:v>-0.49285060744218895</c:v>
                </c:pt>
                <c:pt idx="340">
                  <c:v>-0.49519430341826864</c:v>
                </c:pt>
                <c:pt idx="341">
                  <c:v>-0.48871446242234401</c:v>
                </c:pt>
                <c:pt idx="342">
                  <c:v>-0.48122065621932786</c:v>
                </c:pt>
                <c:pt idx="343">
                  <c:v>-0.51037591605447563</c:v>
                </c:pt>
                <c:pt idx="344">
                  <c:v>-0.4772559714897821</c:v>
                </c:pt>
                <c:pt idx="345">
                  <c:v>-0.4921701846778862</c:v>
                </c:pt>
                <c:pt idx="346">
                  <c:v>-0.47182543777969055</c:v>
                </c:pt>
                <c:pt idx="347">
                  <c:v>-0.47861433632921258</c:v>
                </c:pt>
                <c:pt idx="348">
                  <c:v>-0.46983026666464561</c:v>
                </c:pt>
                <c:pt idx="349">
                  <c:v>-0.47628533242073928</c:v>
                </c:pt>
                <c:pt idx="350">
                  <c:v>-0.50337888200678593</c:v>
                </c:pt>
                <c:pt idx="351">
                  <c:v>-0.50285112805947707</c:v>
                </c:pt>
                <c:pt idx="352">
                  <c:v>-0.50989553216988037</c:v>
                </c:pt>
                <c:pt idx="353">
                  <c:v>-0.54083838567524267</c:v>
                </c:pt>
                <c:pt idx="354">
                  <c:v>-0.55800845613687799</c:v>
                </c:pt>
                <c:pt idx="355">
                  <c:v>-0.54732230914187785</c:v>
                </c:pt>
                <c:pt idx="356">
                  <c:v>-0.51662985544187778</c:v>
                </c:pt>
                <c:pt idx="357">
                  <c:v>-0.55933492659017059</c:v>
                </c:pt>
                <c:pt idx="358">
                  <c:v>-0.55762227134831022</c:v>
                </c:pt>
                <c:pt idx="359">
                  <c:v>-0.56204523155954988</c:v>
                </c:pt>
                <c:pt idx="360">
                  <c:v>-0.57574424489288312</c:v>
                </c:pt>
                <c:pt idx="361">
                  <c:v>-0.58079380289288318</c:v>
                </c:pt>
                <c:pt idx="362">
                  <c:v>-0.58443396166013983</c:v>
                </c:pt>
                <c:pt idx="363">
                  <c:v>-0.59067540550256414</c:v>
                </c:pt>
                <c:pt idx="364">
                  <c:v>-0.59596075228584589</c:v>
                </c:pt>
                <c:pt idx="365">
                  <c:v>-0.59494918330520064</c:v>
                </c:pt>
                <c:pt idx="366">
                  <c:v>-0.57714275932477355</c:v>
                </c:pt>
                <c:pt idx="367">
                  <c:v>-0.63183781232477376</c:v>
                </c:pt>
                <c:pt idx="368">
                  <c:v>-0.62637451333743188</c:v>
                </c:pt>
                <c:pt idx="369">
                  <c:v>-0.63565891903424032</c:v>
                </c:pt>
                <c:pt idx="370">
                  <c:v>-0.63593310480915555</c:v>
                </c:pt>
                <c:pt idx="371">
                  <c:v>-0.64263911900023829</c:v>
                </c:pt>
                <c:pt idx="372">
                  <c:v>-0.63321699211875682</c:v>
                </c:pt>
                <c:pt idx="373">
                  <c:v>-0.64191757008633799</c:v>
                </c:pt>
                <c:pt idx="374">
                  <c:v>-0.61776394182123284</c:v>
                </c:pt>
                <c:pt idx="375">
                  <c:v>-0.62405280652336059</c:v>
                </c:pt>
                <c:pt idx="376">
                  <c:v>-0.63782645724633935</c:v>
                </c:pt>
                <c:pt idx="377">
                  <c:v>-0.65727350828205378</c:v>
                </c:pt>
                <c:pt idx="378">
                  <c:v>-0.67393144849648667</c:v>
                </c:pt>
                <c:pt idx="379">
                  <c:v>-0.68153548618472204</c:v>
                </c:pt>
                <c:pt idx="380">
                  <c:v>-0.69099934270130969</c:v>
                </c:pt>
                <c:pt idx="381">
                  <c:v>-0.69428131354363054</c:v>
                </c:pt>
                <c:pt idx="382">
                  <c:v>-0.69211536554550412</c:v>
                </c:pt>
                <c:pt idx="383">
                  <c:v>-0.6844871687922951</c:v>
                </c:pt>
                <c:pt idx="384">
                  <c:v>-0.68945257757521317</c:v>
                </c:pt>
                <c:pt idx="385">
                  <c:v>-0.68966202342458816</c:v>
                </c:pt>
                <c:pt idx="386">
                  <c:v>-0.68971721781763529</c:v>
                </c:pt>
                <c:pt idx="387">
                  <c:v>-0.70169813707931195</c:v>
                </c:pt>
                <c:pt idx="388">
                  <c:v>-0.71800075890604453</c:v>
                </c:pt>
                <c:pt idx="389">
                  <c:v>-0.7100738899245731</c:v>
                </c:pt>
                <c:pt idx="390">
                  <c:v>-0.71296044351931009</c:v>
                </c:pt>
                <c:pt idx="391">
                  <c:v>-0.71355576884738026</c:v>
                </c:pt>
                <c:pt idx="392">
                  <c:v>-0.7167203259122078</c:v>
                </c:pt>
                <c:pt idx="393">
                  <c:v>-0.72595930921220786</c:v>
                </c:pt>
                <c:pt idx="394">
                  <c:v>-0.72788166031786816</c:v>
                </c:pt>
                <c:pt idx="395">
                  <c:v>-0.72882602227263849</c:v>
                </c:pt>
                <c:pt idx="396">
                  <c:v>-0.72709088982208903</c:v>
                </c:pt>
                <c:pt idx="397">
                  <c:v>-0.72994813540952375</c:v>
                </c:pt>
                <c:pt idx="398">
                  <c:v>-0.73201456746406912</c:v>
                </c:pt>
                <c:pt idx="399">
                  <c:v>-0.7366580288898642</c:v>
                </c:pt>
                <c:pt idx="400">
                  <c:v>-0.74058578680125664</c:v>
                </c:pt>
                <c:pt idx="401">
                  <c:v>-0.72924859078805593</c:v>
                </c:pt>
                <c:pt idx="402">
                  <c:v>-0.73467428034488413</c:v>
                </c:pt>
                <c:pt idx="403">
                  <c:v>-0.73568626328110864</c:v>
                </c:pt>
                <c:pt idx="404">
                  <c:v>-0.72721245562936598</c:v>
                </c:pt>
                <c:pt idx="405">
                  <c:v>-0.64456491591456866</c:v>
                </c:pt>
                <c:pt idx="406">
                  <c:v>-0.64730028269064521</c:v>
                </c:pt>
                <c:pt idx="407">
                  <c:v>-0.64622251501935812</c:v>
                </c:pt>
                <c:pt idx="408">
                  <c:v>-0.65709560851935822</c:v>
                </c:pt>
                <c:pt idx="409">
                  <c:v>-0.65826180937367906</c:v>
                </c:pt>
                <c:pt idx="410">
                  <c:v>-0.66085890947259807</c:v>
                </c:pt>
                <c:pt idx="411">
                  <c:v>-0.66845190067259808</c:v>
                </c:pt>
                <c:pt idx="412">
                  <c:v>-0.66622180651607632</c:v>
                </c:pt>
                <c:pt idx="413">
                  <c:v>-0.66133761148159353</c:v>
                </c:pt>
                <c:pt idx="414">
                  <c:v>-0.65761468938494916</c:v>
                </c:pt>
                <c:pt idx="415">
                  <c:v>-0.68357594238494912</c:v>
                </c:pt>
                <c:pt idx="416">
                  <c:v>-0.53241208207168012</c:v>
                </c:pt>
                <c:pt idx="417">
                  <c:v>-0.53049220697978816</c:v>
                </c:pt>
                <c:pt idx="418">
                  <c:v>-0.53031458150882038</c:v>
                </c:pt>
                <c:pt idx="419">
                  <c:v>-0.53210468278397194</c:v>
                </c:pt>
                <c:pt idx="420">
                  <c:v>-0.52675143339575903</c:v>
                </c:pt>
                <c:pt idx="421">
                  <c:v>-0.52336331387470636</c:v>
                </c:pt>
                <c:pt idx="422">
                  <c:v>-0.52748946956283138</c:v>
                </c:pt>
                <c:pt idx="423">
                  <c:v>-0.53146027048446154</c:v>
                </c:pt>
                <c:pt idx="424">
                  <c:v>-0.53244836342554036</c:v>
                </c:pt>
                <c:pt idx="425">
                  <c:v>-0.53215094596642443</c:v>
                </c:pt>
                <c:pt idx="426">
                  <c:v>-0.53403799840845334</c:v>
                </c:pt>
                <c:pt idx="427">
                  <c:v>-0.53619252588821043</c:v>
                </c:pt>
                <c:pt idx="428">
                  <c:v>-0.53357444687558908</c:v>
                </c:pt>
                <c:pt idx="429">
                  <c:v>-0.52012589426335498</c:v>
                </c:pt>
                <c:pt idx="430">
                  <c:v>-0.5300052121809109</c:v>
                </c:pt>
                <c:pt idx="431">
                  <c:v>-0.53296923000948226</c:v>
                </c:pt>
                <c:pt idx="432">
                  <c:v>-0.53279812923675507</c:v>
                </c:pt>
                <c:pt idx="433">
                  <c:v>-0.53531116962246927</c:v>
                </c:pt>
                <c:pt idx="434">
                  <c:v>-0.53559568456437412</c:v>
                </c:pt>
                <c:pt idx="435">
                  <c:v>-0.53573645742544285</c:v>
                </c:pt>
                <c:pt idx="436">
                  <c:v>-0.53484623289308986</c:v>
                </c:pt>
                <c:pt idx="437">
                  <c:v>-0.53033491220660334</c:v>
                </c:pt>
                <c:pt idx="438">
                  <c:v>-0.53097232244605286</c:v>
                </c:pt>
                <c:pt idx="439">
                  <c:v>-0.52936016396921071</c:v>
                </c:pt>
                <c:pt idx="440">
                  <c:v>-0.52758582026117218</c:v>
                </c:pt>
                <c:pt idx="441">
                  <c:v>-0.5283394722046505</c:v>
                </c:pt>
                <c:pt idx="442">
                  <c:v>-0.52728063843378958</c:v>
                </c:pt>
                <c:pt idx="443">
                  <c:v>-0.52602954195108287</c:v>
                </c:pt>
                <c:pt idx="444">
                  <c:v>-0.52751031320006236</c:v>
                </c:pt>
                <c:pt idx="445">
                  <c:v>-0.52810986354810707</c:v>
                </c:pt>
                <c:pt idx="446">
                  <c:v>-0.52863869950506914</c:v>
                </c:pt>
                <c:pt idx="447">
                  <c:v>-0.52390120951135843</c:v>
                </c:pt>
                <c:pt idx="448">
                  <c:v>-0.52585492307731574</c:v>
                </c:pt>
                <c:pt idx="449">
                  <c:v>-0.52729835007731585</c:v>
                </c:pt>
                <c:pt idx="450">
                  <c:v>-0.52816243302277044</c:v>
                </c:pt>
                <c:pt idx="451">
                  <c:v>-0.51800422197375073</c:v>
                </c:pt>
                <c:pt idx="452">
                  <c:v>-0.5224759910693848</c:v>
                </c:pt>
                <c:pt idx="453">
                  <c:v>-0.52273140460989109</c:v>
                </c:pt>
                <c:pt idx="454">
                  <c:v>-0.52346854504818896</c:v>
                </c:pt>
                <c:pt idx="455">
                  <c:v>-0.52141348031045309</c:v>
                </c:pt>
                <c:pt idx="456">
                  <c:v>-0.52124925054661131</c:v>
                </c:pt>
                <c:pt idx="457">
                  <c:v>-0.52057979268681753</c:v>
                </c:pt>
                <c:pt idx="458">
                  <c:v>-0.52070574124281743</c:v>
                </c:pt>
                <c:pt idx="459">
                  <c:v>-0.51994168951807529</c:v>
                </c:pt>
                <c:pt idx="460">
                  <c:v>-0.51891875316513403</c:v>
                </c:pt>
                <c:pt idx="461">
                  <c:v>-0.51889675214944786</c:v>
                </c:pt>
                <c:pt idx="462">
                  <c:v>-0.51941408127676481</c:v>
                </c:pt>
                <c:pt idx="463">
                  <c:v>-0.51905109074555467</c:v>
                </c:pt>
                <c:pt idx="464">
                  <c:v>-0.52009300247734946</c:v>
                </c:pt>
                <c:pt idx="465">
                  <c:v>-0.51863264507734952</c:v>
                </c:pt>
                <c:pt idx="466">
                  <c:v>-0.51772571854644034</c:v>
                </c:pt>
                <c:pt idx="467">
                  <c:v>-0.51090802177661498</c:v>
                </c:pt>
                <c:pt idx="468">
                  <c:v>-0.51097308855843315</c:v>
                </c:pt>
                <c:pt idx="469">
                  <c:v>-0.50892466313269058</c:v>
                </c:pt>
                <c:pt idx="470">
                  <c:v>-0.50755457182742747</c:v>
                </c:pt>
                <c:pt idx="471">
                  <c:v>-0.50756594437868796</c:v>
                </c:pt>
                <c:pt idx="472">
                  <c:v>-0.50734578093986438</c:v>
                </c:pt>
                <c:pt idx="473">
                  <c:v>-0.50835430208490262</c:v>
                </c:pt>
                <c:pt idx="474">
                  <c:v>-0.50810835551021905</c:v>
                </c:pt>
                <c:pt idx="475">
                  <c:v>-0.5031260293025267</c:v>
                </c:pt>
                <c:pt idx="476">
                  <c:v>-0.50614942339328584</c:v>
                </c:pt>
                <c:pt idx="477">
                  <c:v>-0.50842845547934157</c:v>
                </c:pt>
                <c:pt idx="478">
                  <c:v>-0.50927827546823046</c:v>
                </c:pt>
                <c:pt idx="479">
                  <c:v>-0.50742923446823041</c:v>
                </c:pt>
                <c:pt idx="480">
                  <c:v>-0.50769666476998487</c:v>
                </c:pt>
                <c:pt idx="481">
                  <c:v>-0.50846437088079566</c:v>
                </c:pt>
                <c:pt idx="482">
                  <c:v>-0.50796365880579564</c:v>
                </c:pt>
                <c:pt idx="483">
                  <c:v>-0.50763665635779553</c:v>
                </c:pt>
                <c:pt idx="484">
                  <c:v>-0.50513925680258087</c:v>
                </c:pt>
                <c:pt idx="485">
                  <c:v>-0.5048742978712677</c:v>
                </c:pt>
                <c:pt idx="486">
                  <c:v>-0.5058003734443447</c:v>
                </c:pt>
                <c:pt idx="487">
                  <c:v>-0.50629591723222334</c:v>
                </c:pt>
                <c:pt idx="488">
                  <c:v>-0.50711757427666782</c:v>
                </c:pt>
                <c:pt idx="489">
                  <c:v>-0.50687216080394049</c:v>
                </c:pt>
                <c:pt idx="490">
                  <c:v>-0.50816117398855587</c:v>
                </c:pt>
                <c:pt idx="491">
                  <c:v>-0.50998641333739314</c:v>
                </c:pt>
                <c:pt idx="492">
                  <c:v>-0.50870023599069258</c:v>
                </c:pt>
                <c:pt idx="493">
                  <c:v>-0.50985802905432898</c:v>
                </c:pt>
                <c:pt idx="494">
                  <c:v>-0.50639771082187612</c:v>
                </c:pt>
                <c:pt idx="495">
                  <c:v>-0.50209192412538495</c:v>
                </c:pt>
                <c:pt idx="496">
                  <c:v>-0.50168057534277621</c:v>
                </c:pt>
                <c:pt idx="497">
                  <c:v>-0.50093798585706195</c:v>
                </c:pt>
                <c:pt idx="498">
                  <c:v>-0.50080969830101096</c:v>
                </c:pt>
                <c:pt idx="499">
                  <c:v>-0.50210798879358731</c:v>
                </c:pt>
                <c:pt idx="500">
                  <c:v>-0.49745112275133385</c:v>
                </c:pt>
                <c:pt idx="501">
                  <c:v>-0.50055004691054439</c:v>
                </c:pt>
                <c:pt idx="502">
                  <c:v>-0.4911322419434041</c:v>
                </c:pt>
                <c:pt idx="503">
                  <c:v>-0.49111261336810041</c:v>
                </c:pt>
                <c:pt idx="504">
                  <c:v>-0.49282593616810044</c:v>
                </c:pt>
                <c:pt idx="505">
                  <c:v>-0.49479162793476716</c:v>
                </c:pt>
                <c:pt idx="506">
                  <c:v>-0.4975449979776243</c:v>
                </c:pt>
                <c:pt idx="507">
                  <c:v>-0.4967600137810389</c:v>
                </c:pt>
                <c:pt idx="508">
                  <c:v>-0.50170337680088628</c:v>
                </c:pt>
                <c:pt idx="509">
                  <c:v>-0.50326543133092916</c:v>
                </c:pt>
                <c:pt idx="510">
                  <c:v>-0.48840918148304557</c:v>
                </c:pt>
                <c:pt idx="511">
                  <c:v>-0.49019554204541116</c:v>
                </c:pt>
                <c:pt idx="512">
                  <c:v>-0.48343242099437839</c:v>
                </c:pt>
                <c:pt idx="513">
                  <c:v>-0.48072742908987398</c:v>
                </c:pt>
                <c:pt idx="514">
                  <c:v>-0.47462493134651118</c:v>
                </c:pt>
                <c:pt idx="515">
                  <c:v>-0.47349742299706066</c:v>
                </c:pt>
                <c:pt idx="516">
                  <c:v>-0.47228456304106065</c:v>
                </c:pt>
                <c:pt idx="517">
                  <c:v>-0.47587146510022299</c:v>
                </c:pt>
                <c:pt idx="518">
                  <c:v>-0.47599902172295028</c:v>
                </c:pt>
                <c:pt idx="519">
                  <c:v>-0.47524055027430162</c:v>
                </c:pt>
                <c:pt idx="520">
                  <c:v>-0.48595226095720118</c:v>
                </c:pt>
                <c:pt idx="521">
                  <c:v>-0.48141317160666741</c:v>
                </c:pt>
                <c:pt idx="522">
                  <c:v>-0.48459936890666738</c:v>
                </c:pt>
                <c:pt idx="523">
                  <c:v>-0.473788809756018</c:v>
                </c:pt>
                <c:pt idx="524">
                  <c:v>-0.46124330230387445</c:v>
                </c:pt>
                <c:pt idx="525">
                  <c:v>-0.46099408275604836</c:v>
                </c:pt>
                <c:pt idx="526">
                  <c:v>-0.46593015613944755</c:v>
                </c:pt>
                <c:pt idx="527">
                  <c:v>-0.45807941830839344</c:v>
                </c:pt>
                <c:pt idx="528">
                  <c:v>-0.45525740544833515</c:v>
                </c:pt>
                <c:pt idx="529">
                  <c:v>-0.45520580642790498</c:v>
                </c:pt>
                <c:pt idx="530">
                  <c:v>-0.45900423227888532</c:v>
                </c:pt>
                <c:pt idx="531">
                  <c:v>-0.4711375951869935</c:v>
                </c:pt>
                <c:pt idx="532">
                  <c:v>-0.46516730373232684</c:v>
                </c:pt>
                <c:pt idx="533">
                  <c:v>-0.47783511667647099</c:v>
                </c:pt>
                <c:pt idx="534">
                  <c:v>-0.48181053430980436</c:v>
                </c:pt>
                <c:pt idx="535">
                  <c:v>-0.48649459624206237</c:v>
                </c:pt>
                <c:pt idx="536">
                  <c:v>-0.49931309968224502</c:v>
                </c:pt>
                <c:pt idx="537">
                  <c:v>-0.50635053115124506</c:v>
                </c:pt>
                <c:pt idx="538">
                  <c:v>-0.51227874153165742</c:v>
                </c:pt>
                <c:pt idx="539">
                  <c:v>-0.51439263608620278</c:v>
                </c:pt>
                <c:pt idx="540">
                  <c:v>-0.51782998333887453</c:v>
                </c:pt>
                <c:pt idx="541">
                  <c:v>-0.5192106546113745</c:v>
                </c:pt>
                <c:pt idx="542">
                  <c:v>-0.52047715514950388</c:v>
                </c:pt>
                <c:pt idx="543">
                  <c:v>-0.52161161527901223</c:v>
                </c:pt>
                <c:pt idx="544">
                  <c:v>-0.52103327666911115</c:v>
                </c:pt>
                <c:pt idx="545">
                  <c:v>-0.52412449023381713</c:v>
                </c:pt>
                <c:pt idx="546">
                  <c:v>-0.52164214260881714</c:v>
                </c:pt>
                <c:pt idx="547">
                  <c:v>-0.51863278986030226</c:v>
                </c:pt>
                <c:pt idx="548">
                  <c:v>-0.51776752102331169</c:v>
                </c:pt>
                <c:pt idx="549">
                  <c:v>-0.52117010525814311</c:v>
                </c:pt>
                <c:pt idx="550">
                  <c:v>-0.51935673642101332</c:v>
                </c:pt>
                <c:pt idx="551">
                  <c:v>-0.51520605146820431</c:v>
                </c:pt>
                <c:pt idx="552">
                  <c:v>-0.50797926593790133</c:v>
                </c:pt>
                <c:pt idx="553">
                  <c:v>-0.50361746347025427</c:v>
                </c:pt>
                <c:pt idx="554">
                  <c:v>-0.49604693415407775</c:v>
                </c:pt>
                <c:pt idx="555">
                  <c:v>-0.49881472756917206</c:v>
                </c:pt>
                <c:pt idx="556">
                  <c:v>-0.50623062973615773</c:v>
                </c:pt>
                <c:pt idx="557">
                  <c:v>-0.50342990830343048</c:v>
                </c:pt>
                <c:pt idx="558">
                  <c:v>-0.50245359922778943</c:v>
                </c:pt>
                <c:pt idx="559">
                  <c:v>-0.49615515106028957</c:v>
                </c:pt>
                <c:pt idx="560">
                  <c:v>-0.50313358838057121</c:v>
                </c:pt>
                <c:pt idx="561">
                  <c:v>-0.50604377394922795</c:v>
                </c:pt>
                <c:pt idx="562">
                  <c:v>-0.50446796598816601</c:v>
                </c:pt>
                <c:pt idx="563">
                  <c:v>-0.50600552903200158</c:v>
                </c:pt>
                <c:pt idx="564">
                  <c:v>-0.50527999294063097</c:v>
                </c:pt>
                <c:pt idx="565">
                  <c:v>-0.50514682113502352</c:v>
                </c:pt>
                <c:pt idx="566">
                  <c:v>-0.50508871945540568</c:v>
                </c:pt>
                <c:pt idx="567">
                  <c:v>-0.50453960115228069</c:v>
                </c:pt>
                <c:pt idx="568">
                  <c:v>-0.50673913014815697</c:v>
                </c:pt>
                <c:pt idx="569">
                  <c:v>-0.50939871191275876</c:v>
                </c:pt>
                <c:pt idx="570">
                  <c:v>-0.50902477435346682</c:v>
                </c:pt>
                <c:pt idx="571">
                  <c:v>-0.51331677325971681</c:v>
                </c:pt>
                <c:pt idx="572">
                  <c:v>-0.51410116424079788</c:v>
                </c:pt>
                <c:pt idx="573">
                  <c:v>-0.51337126976079783</c:v>
                </c:pt>
                <c:pt idx="574">
                  <c:v>-0.51352928384144303</c:v>
                </c:pt>
                <c:pt idx="575">
                  <c:v>-0.51162811273507935</c:v>
                </c:pt>
                <c:pt idx="576">
                  <c:v>-0.5130040704140918</c:v>
                </c:pt>
                <c:pt idx="577">
                  <c:v>-0.51315119502242512</c:v>
                </c:pt>
                <c:pt idx="578">
                  <c:v>-0.51543046400152948</c:v>
                </c:pt>
                <c:pt idx="579">
                  <c:v>-0.51681253593999099</c:v>
                </c:pt>
                <c:pt idx="580">
                  <c:v>-0.51350563924784443</c:v>
                </c:pt>
                <c:pt idx="581">
                  <c:v>-0.51470825860409442</c:v>
                </c:pt>
                <c:pt idx="582">
                  <c:v>-0.51616516358657627</c:v>
                </c:pt>
                <c:pt idx="583">
                  <c:v>-0.51471124105636346</c:v>
                </c:pt>
                <c:pt idx="584">
                  <c:v>-0.51571584341002197</c:v>
                </c:pt>
                <c:pt idx="585">
                  <c:v>-0.51760970067121603</c:v>
                </c:pt>
                <c:pt idx="586">
                  <c:v>-0.51484302237121604</c:v>
                </c:pt>
                <c:pt idx="587">
                  <c:v>-0.51281265478626026</c:v>
                </c:pt>
                <c:pt idx="588">
                  <c:v>-0.5123431642684031</c:v>
                </c:pt>
                <c:pt idx="589">
                  <c:v>-0.51360932873674481</c:v>
                </c:pt>
                <c:pt idx="590">
                  <c:v>-0.51405046976174484</c:v>
                </c:pt>
                <c:pt idx="591">
                  <c:v>-0.51771138390050075</c:v>
                </c:pt>
                <c:pt idx="592">
                  <c:v>-0.5228058886440905</c:v>
                </c:pt>
                <c:pt idx="593">
                  <c:v>-0.52087095025947505</c:v>
                </c:pt>
                <c:pt idx="594">
                  <c:v>-0.52291062622469253</c:v>
                </c:pt>
                <c:pt idx="595">
                  <c:v>-0.52465294735653623</c:v>
                </c:pt>
                <c:pt idx="596">
                  <c:v>-0.51455585715430496</c:v>
                </c:pt>
                <c:pt idx="597">
                  <c:v>-0.51774745640430486</c:v>
                </c:pt>
                <c:pt idx="598">
                  <c:v>-0.51779449710144776</c:v>
                </c:pt>
                <c:pt idx="599">
                  <c:v>-0.50147108107062732</c:v>
                </c:pt>
                <c:pt idx="600">
                  <c:v>-0.50678273421405362</c:v>
                </c:pt>
                <c:pt idx="601">
                  <c:v>-0.51257705941207343</c:v>
                </c:pt>
                <c:pt idx="602">
                  <c:v>-0.51347237491905029</c:v>
                </c:pt>
                <c:pt idx="603">
                  <c:v>-0.51607621688705019</c:v>
                </c:pt>
                <c:pt idx="604">
                  <c:v>-0.51936284606352079</c:v>
                </c:pt>
                <c:pt idx="605">
                  <c:v>-0.51969029186940319</c:v>
                </c:pt>
                <c:pt idx="606">
                  <c:v>-0.51972966647391938</c:v>
                </c:pt>
                <c:pt idx="607">
                  <c:v>-0.51558400214058597</c:v>
                </c:pt>
                <c:pt idx="608">
                  <c:v>-0.51650467635725272</c:v>
                </c:pt>
                <c:pt idx="609">
                  <c:v>-0.51964466575725266</c:v>
                </c:pt>
                <c:pt idx="610">
                  <c:v>-0.5230314880848389</c:v>
                </c:pt>
                <c:pt idx="611">
                  <c:v>-0.51520688808483894</c:v>
                </c:pt>
                <c:pt idx="612">
                  <c:v>-0.52213184015112246</c:v>
                </c:pt>
                <c:pt idx="613">
                  <c:v>-0.52720377639192251</c:v>
                </c:pt>
                <c:pt idx="614">
                  <c:v>-0.51819389449192255</c:v>
                </c:pt>
                <c:pt idx="615">
                  <c:v>-0.51882761848213221</c:v>
                </c:pt>
                <c:pt idx="616">
                  <c:v>-0.52686519228638762</c:v>
                </c:pt>
                <c:pt idx="617">
                  <c:v>-0.53316411382995188</c:v>
                </c:pt>
                <c:pt idx="618">
                  <c:v>-0.52865693174695871</c:v>
                </c:pt>
                <c:pt idx="619">
                  <c:v>-0.53158908838906405</c:v>
                </c:pt>
                <c:pt idx="620">
                  <c:v>-0.53462327896383877</c:v>
                </c:pt>
                <c:pt idx="621">
                  <c:v>-0.53240695259292969</c:v>
                </c:pt>
                <c:pt idx="622">
                  <c:v>-0.53371888800756384</c:v>
                </c:pt>
                <c:pt idx="623">
                  <c:v>-0.53072871630960472</c:v>
                </c:pt>
                <c:pt idx="624">
                  <c:v>-0.52842982293483831</c:v>
                </c:pt>
                <c:pt idx="625">
                  <c:v>-0.52958608184122136</c:v>
                </c:pt>
                <c:pt idx="626">
                  <c:v>-0.53024717009866806</c:v>
                </c:pt>
                <c:pt idx="627">
                  <c:v>-0.53043352027104174</c:v>
                </c:pt>
                <c:pt idx="628">
                  <c:v>-0.53006168626824846</c:v>
                </c:pt>
                <c:pt idx="629">
                  <c:v>-0.52193322556824839</c:v>
                </c:pt>
                <c:pt idx="630">
                  <c:v>-0.52292405032569522</c:v>
                </c:pt>
                <c:pt idx="631">
                  <c:v>-0.52566466133152046</c:v>
                </c:pt>
                <c:pt idx="632">
                  <c:v>-0.52289911968197922</c:v>
                </c:pt>
                <c:pt idx="633">
                  <c:v>-0.52141834339810811</c:v>
                </c:pt>
                <c:pt idx="634">
                  <c:v>-0.51821828619810817</c:v>
                </c:pt>
                <c:pt idx="635">
                  <c:v>-0.51291199240419949</c:v>
                </c:pt>
                <c:pt idx="636">
                  <c:v>-0.51282003794247111</c:v>
                </c:pt>
                <c:pt idx="637">
                  <c:v>-0.51215553870540209</c:v>
                </c:pt>
                <c:pt idx="638">
                  <c:v>-0.49683487796065079</c:v>
                </c:pt>
                <c:pt idx="639">
                  <c:v>-0.4800833147371365</c:v>
                </c:pt>
                <c:pt idx="640">
                  <c:v>-0.48121636963454578</c:v>
                </c:pt>
                <c:pt idx="641">
                  <c:v>-0.47037909218306068</c:v>
                </c:pt>
                <c:pt idx="642">
                  <c:v>-0.47545421876190674</c:v>
                </c:pt>
                <c:pt idx="643">
                  <c:v>-0.4702644080716345</c:v>
                </c:pt>
                <c:pt idx="644">
                  <c:v>-0.46700176392163456</c:v>
                </c:pt>
                <c:pt idx="645">
                  <c:v>-0.45656861830443707</c:v>
                </c:pt>
                <c:pt idx="646">
                  <c:v>-0.44870361563740419</c:v>
                </c:pt>
                <c:pt idx="647">
                  <c:v>-0.41366120119686967</c:v>
                </c:pt>
                <c:pt idx="648">
                  <c:v>-0.40808241622699187</c:v>
                </c:pt>
                <c:pt idx="649">
                  <c:v>-0.4451454778846663</c:v>
                </c:pt>
                <c:pt idx="650">
                  <c:v>-0.44813082335989574</c:v>
                </c:pt>
                <c:pt idx="651">
                  <c:v>-0.44339305016288072</c:v>
                </c:pt>
                <c:pt idx="652">
                  <c:v>-0.44814776071310702</c:v>
                </c:pt>
                <c:pt idx="653">
                  <c:v>-0.44073571207674334</c:v>
                </c:pt>
                <c:pt idx="654">
                  <c:v>-0.44000111077674331</c:v>
                </c:pt>
                <c:pt idx="655">
                  <c:v>-0.4427707710053147</c:v>
                </c:pt>
                <c:pt idx="656">
                  <c:v>-0.43807002865253697</c:v>
                </c:pt>
                <c:pt idx="657">
                  <c:v>-0.43658552414472446</c:v>
                </c:pt>
                <c:pt idx="658">
                  <c:v>-0.4233473157426626</c:v>
                </c:pt>
                <c:pt idx="659">
                  <c:v>-0.41949834162564126</c:v>
                </c:pt>
                <c:pt idx="660">
                  <c:v>-0.42978585448278417</c:v>
                </c:pt>
                <c:pt idx="661">
                  <c:v>-0.42398981401135544</c:v>
                </c:pt>
                <c:pt idx="662">
                  <c:v>-0.43690523391008962</c:v>
                </c:pt>
                <c:pt idx="663">
                  <c:v>-0.41632285971008964</c:v>
                </c:pt>
                <c:pt idx="664">
                  <c:v>-0.39449926748151831</c:v>
                </c:pt>
                <c:pt idx="665">
                  <c:v>-0.3921084413080243</c:v>
                </c:pt>
                <c:pt idx="666">
                  <c:v>-0.39744448656103615</c:v>
                </c:pt>
                <c:pt idx="667">
                  <c:v>-0.40606800658960762</c:v>
                </c:pt>
                <c:pt idx="668">
                  <c:v>-0.35413259566271943</c:v>
                </c:pt>
                <c:pt idx="669">
                  <c:v>-0.20959108805365906</c:v>
                </c:pt>
                <c:pt idx="670">
                  <c:v>-0.23555548825134243</c:v>
                </c:pt>
                <c:pt idx="671">
                  <c:v>-0.23859130212634244</c:v>
                </c:pt>
                <c:pt idx="672">
                  <c:v>-0.23575704300510034</c:v>
                </c:pt>
                <c:pt idx="673">
                  <c:v>-6.9534255922853561E-2</c:v>
                </c:pt>
                <c:pt idx="674">
                  <c:v>-0.12298604792388444</c:v>
                </c:pt>
                <c:pt idx="675">
                  <c:v>-0.12355168460388444</c:v>
                </c:pt>
                <c:pt idx="676">
                  <c:v>-0.12545389929138445</c:v>
                </c:pt>
                <c:pt idx="677">
                  <c:v>-0.12395095108768074</c:v>
                </c:pt>
                <c:pt idx="678">
                  <c:v>-0.1255536177815938</c:v>
                </c:pt>
                <c:pt idx="679">
                  <c:v>-0.122452903375021</c:v>
                </c:pt>
                <c:pt idx="680">
                  <c:v>-0.1267730009216097</c:v>
                </c:pt>
                <c:pt idx="681">
                  <c:v>-0.12786685887024532</c:v>
                </c:pt>
                <c:pt idx="682">
                  <c:v>-0.12937244714945326</c:v>
                </c:pt>
                <c:pt idx="683">
                  <c:v>-0.12771946465496883</c:v>
                </c:pt>
                <c:pt idx="684">
                  <c:v>-0.12721351093152386</c:v>
                </c:pt>
                <c:pt idx="685">
                  <c:v>-0.1266245315928142</c:v>
                </c:pt>
                <c:pt idx="686">
                  <c:v>-0.13385041694313346</c:v>
                </c:pt>
                <c:pt idx="687">
                  <c:v>-0.12219542119466112</c:v>
                </c:pt>
                <c:pt idx="688">
                  <c:v>-0.12140485975860166</c:v>
                </c:pt>
                <c:pt idx="689">
                  <c:v>-0.12244877874321705</c:v>
                </c:pt>
                <c:pt idx="690">
                  <c:v>-0.1274728908940107</c:v>
                </c:pt>
                <c:pt idx="691">
                  <c:v>-0.1235411835129032</c:v>
                </c:pt>
                <c:pt idx="692">
                  <c:v>-0.12334442229020817</c:v>
                </c:pt>
                <c:pt idx="693">
                  <c:v>-0.13295166379020817</c:v>
                </c:pt>
                <c:pt idx="694">
                  <c:v>-0.13157437867891783</c:v>
                </c:pt>
                <c:pt idx="695">
                  <c:v>-0.12854167784768358</c:v>
                </c:pt>
                <c:pt idx="696">
                  <c:v>-0.12996886735205995</c:v>
                </c:pt>
                <c:pt idx="697">
                  <c:v>-0.13214709157060833</c:v>
                </c:pt>
                <c:pt idx="698">
                  <c:v>-0.13209219948324372</c:v>
                </c:pt>
                <c:pt idx="699">
                  <c:v>-0.13102370013172859</c:v>
                </c:pt>
                <c:pt idx="700">
                  <c:v>-0.13149739058993754</c:v>
                </c:pt>
                <c:pt idx="701">
                  <c:v>-0.13484077935158137</c:v>
                </c:pt>
                <c:pt idx="702">
                  <c:v>-0.13015257613756073</c:v>
                </c:pt>
                <c:pt idx="703">
                  <c:v>-0.1198468277897649</c:v>
                </c:pt>
                <c:pt idx="704">
                  <c:v>-0.11619228554117335</c:v>
                </c:pt>
                <c:pt idx="705">
                  <c:v>-0.11914008023717336</c:v>
                </c:pt>
                <c:pt idx="706">
                  <c:v>-0.1156187975978291</c:v>
                </c:pt>
                <c:pt idx="707">
                  <c:v>-0.11900344743964728</c:v>
                </c:pt>
                <c:pt idx="708">
                  <c:v>-0.11789503752646398</c:v>
                </c:pt>
                <c:pt idx="709">
                  <c:v>-0.11335018744135761</c:v>
                </c:pt>
                <c:pt idx="710">
                  <c:v>-0.11904226988738499</c:v>
                </c:pt>
                <c:pt idx="711">
                  <c:v>-0.12256018089387849</c:v>
                </c:pt>
                <c:pt idx="712">
                  <c:v>-0.12085118986926913</c:v>
                </c:pt>
                <c:pt idx="713">
                  <c:v>-0.10274386037721671</c:v>
                </c:pt>
                <c:pt idx="714">
                  <c:v>-0.10883568225022446</c:v>
                </c:pt>
                <c:pt idx="715">
                  <c:v>-0.12262283655148495</c:v>
                </c:pt>
                <c:pt idx="716">
                  <c:v>-0.11297258993749898</c:v>
                </c:pt>
                <c:pt idx="717">
                  <c:v>-0.1187962483280182</c:v>
                </c:pt>
                <c:pt idx="718">
                  <c:v>-0.12849478024714389</c:v>
                </c:pt>
                <c:pt idx="719">
                  <c:v>-0.1327215218993178</c:v>
                </c:pt>
                <c:pt idx="720">
                  <c:v>-0.12977999345640281</c:v>
                </c:pt>
                <c:pt idx="721">
                  <c:v>-0.12450764807570107</c:v>
                </c:pt>
                <c:pt idx="722">
                  <c:v>-0.12435978378458992</c:v>
                </c:pt>
                <c:pt idx="723">
                  <c:v>-9.9893438915878277E-2</c:v>
                </c:pt>
                <c:pt idx="724">
                  <c:v>-0.1046375081333924</c:v>
                </c:pt>
                <c:pt idx="725">
                  <c:v>-0.11114691518484872</c:v>
                </c:pt>
                <c:pt idx="726">
                  <c:v>-8.8266829906382641E-2</c:v>
                </c:pt>
                <c:pt idx="727">
                  <c:v>-9.9128292602362542E-2</c:v>
                </c:pt>
                <c:pt idx="728">
                  <c:v>-9.6694950994199294E-2</c:v>
                </c:pt>
                <c:pt idx="729">
                  <c:v>-9.8802296058715419E-2</c:v>
                </c:pt>
                <c:pt idx="730">
                  <c:v>-8.8548199506233161E-2</c:v>
                </c:pt>
                <c:pt idx="731">
                  <c:v>-9.2875880714341275E-2</c:v>
                </c:pt>
                <c:pt idx="732">
                  <c:v>-8.9424550769725872E-2</c:v>
                </c:pt>
                <c:pt idx="733">
                  <c:v>-9.0875871024725885E-2</c:v>
                </c:pt>
                <c:pt idx="734">
                  <c:v>-9.6686504604253473E-2</c:v>
                </c:pt>
                <c:pt idx="735">
                  <c:v>-9.7846243161164026E-2</c:v>
                </c:pt>
                <c:pt idx="736">
                  <c:v>-9.5445116027085802E-2</c:v>
                </c:pt>
                <c:pt idx="737">
                  <c:v>-9.2762348969942954E-2</c:v>
                </c:pt>
                <c:pt idx="738">
                  <c:v>-9.3805541419583277E-2</c:v>
                </c:pt>
                <c:pt idx="739">
                  <c:v>-9.6549091690667638E-2</c:v>
                </c:pt>
                <c:pt idx="740">
                  <c:v>-9.289263970798213E-2</c:v>
                </c:pt>
                <c:pt idx="741">
                  <c:v>-8.191733687813596E-2</c:v>
                </c:pt>
                <c:pt idx="742">
                  <c:v>-7.3539830342421689E-2</c:v>
                </c:pt>
                <c:pt idx="743">
                  <c:v>-7.279555546979298E-2</c:v>
                </c:pt>
                <c:pt idx="744">
                  <c:v>-8.5523202969792975E-2</c:v>
                </c:pt>
                <c:pt idx="745">
                  <c:v>-8.7834523763081568E-2</c:v>
                </c:pt>
                <c:pt idx="746">
                  <c:v>-8.5844911428568302E-2</c:v>
                </c:pt>
                <c:pt idx="747">
                  <c:v>-9.2514890732377814E-2</c:v>
                </c:pt>
                <c:pt idx="748">
                  <c:v>-8.9305484812377794E-2</c:v>
                </c:pt>
                <c:pt idx="749">
                  <c:v>-8.6838014021201365E-2</c:v>
                </c:pt>
                <c:pt idx="750">
                  <c:v>-8.3018485777133583E-2</c:v>
                </c:pt>
                <c:pt idx="751">
                  <c:v>-8.2865220548562157E-2</c:v>
                </c:pt>
                <c:pt idx="752">
                  <c:v>-8.0381296111976794E-2</c:v>
                </c:pt>
                <c:pt idx="753">
                  <c:v>-7.5379482787652469E-2</c:v>
                </c:pt>
                <c:pt idx="754">
                  <c:v>-6.7897618950303051E-2</c:v>
                </c:pt>
                <c:pt idx="755">
                  <c:v>-7.1457067830303048E-2</c:v>
                </c:pt>
                <c:pt idx="756">
                  <c:v>-7.8058679052525268E-2</c:v>
                </c:pt>
                <c:pt idx="757">
                  <c:v>-7.1709950224747521E-2</c:v>
                </c:pt>
                <c:pt idx="758">
                  <c:v>-6.7740720161826209E-2</c:v>
                </c:pt>
                <c:pt idx="759">
                  <c:v>-5.7216271766081551E-2</c:v>
                </c:pt>
                <c:pt idx="760">
                  <c:v>-5.2191548090609871E-2</c:v>
                </c:pt>
                <c:pt idx="761">
                  <c:v>-5.2270139141403542E-2</c:v>
                </c:pt>
                <c:pt idx="762">
                  <c:v>-5.0994321654169478E-2</c:v>
                </c:pt>
                <c:pt idx="763">
                  <c:v>-5.1948136964849075E-2</c:v>
                </c:pt>
                <c:pt idx="764">
                  <c:v>-4.8839095537189493E-2</c:v>
                </c:pt>
                <c:pt idx="765">
                  <c:v>-5.0099794503043173E-2</c:v>
                </c:pt>
                <c:pt idx="766">
                  <c:v>-5.1066742503043182E-2</c:v>
                </c:pt>
                <c:pt idx="767">
                  <c:v>-4.7861742448069351E-2</c:v>
                </c:pt>
                <c:pt idx="768">
                  <c:v>-4.8243831173069344E-2</c:v>
                </c:pt>
                <c:pt idx="769">
                  <c:v>-4.708949055042784E-2</c:v>
                </c:pt>
                <c:pt idx="770">
                  <c:v>-4.4982677347725118E-2</c:v>
                </c:pt>
                <c:pt idx="771">
                  <c:v>-4.2907528070755402E-2</c:v>
                </c:pt>
                <c:pt idx="772">
                  <c:v>-4.6601870138432179E-2</c:v>
                </c:pt>
                <c:pt idx="773">
                  <c:v>-4.1127056438432175E-2</c:v>
                </c:pt>
                <c:pt idx="774">
                  <c:v>-2.0237270904411533E-2</c:v>
                </c:pt>
                <c:pt idx="775">
                  <c:v>-2.2202088305141456E-2</c:v>
                </c:pt>
                <c:pt idx="776">
                  <c:v>-2.2130812949847346E-2</c:v>
                </c:pt>
                <c:pt idx="777">
                  <c:v>-1.9073479338736193E-2</c:v>
                </c:pt>
                <c:pt idx="778">
                  <c:v>-1.8021035903021856E-2</c:v>
                </c:pt>
                <c:pt idx="779">
                  <c:v>-2.0685404038870928E-2</c:v>
                </c:pt>
                <c:pt idx="780">
                  <c:v>-2.0254352943980418E-2</c:v>
                </c:pt>
                <c:pt idx="781">
                  <c:v>-1.6887719986837569E-2</c:v>
                </c:pt>
                <c:pt idx="782">
                  <c:v>-1.7897679586837571E-2</c:v>
                </c:pt>
                <c:pt idx="783">
                  <c:v>-1.7530460511427776E-2</c:v>
                </c:pt>
                <c:pt idx="784">
                  <c:v>-1.4835557716636114E-2</c:v>
                </c:pt>
                <c:pt idx="785">
                  <c:v>-1.4969605036053588E-2</c:v>
                </c:pt>
                <c:pt idx="786">
                  <c:v>-1.4516754996801247E-2</c:v>
                </c:pt>
                <c:pt idx="787">
                  <c:v>-1.4500874496293626E-2</c:v>
                </c:pt>
                <c:pt idx="788">
                  <c:v>-1.4896498129188383E-2</c:v>
                </c:pt>
                <c:pt idx="789">
                  <c:v>-1.4008323461558317E-2</c:v>
                </c:pt>
                <c:pt idx="790">
                  <c:v>-9.9721988615583176E-3</c:v>
                </c:pt>
                <c:pt idx="791">
                  <c:v>-9.9950411711235386E-3</c:v>
                </c:pt>
                <c:pt idx="792">
                  <c:v>-7.6991839740012434E-3</c:v>
                </c:pt>
                <c:pt idx="793">
                  <c:v>-1.5820927405580179E-2</c:v>
                </c:pt>
                <c:pt idx="794">
                  <c:v>-1.7296084063755088E-2</c:v>
                </c:pt>
                <c:pt idx="795">
                  <c:v>-1.823278189326798E-2</c:v>
                </c:pt>
                <c:pt idx="796">
                  <c:v>-1.584274159326798E-2</c:v>
                </c:pt>
                <c:pt idx="797">
                  <c:v>-1.6212707551073888E-2</c:v>
                </c:pt>
                <c:pt idx="798">
                  <c:v>-1.337213506158791E-2</c:v>
                </c:pt>
                <c:pt idx="799">
                  <c:v>-1.2306887056794884E-2</c:v>
                </c:pt>
                <c:pt idx="800">
                  <c:v>-1.1735479700038123E-2</c:v>
                </c:pt>
                <c:pt idx="801">
                  <c:v>-1.2602856103250973E-2</c:v>
                </c:pt>
                <c:pt idx="802">
                  <c:v>-1.1776900478250972E-2</c:v>
                </c:pt>
                <c:pt idx="803">
                  <c:v>-1.0592621931654113E-2</c:v>
                </c:pt>
                <c:pt idx="804">
                  <c:v>-1.0097072966705655E-2</c:v>
                </c:pt>
                <c:pt idx="805">
                  <c:v>-1.3336482283111888E-2</c:v>
                </c:pt>
                <c:pt idx="806">
                  <c:v>-1.3496286196155362E-2</c:v>
                </c:pt>
                <c:pt idx="807">
                  <c:v>-1.1247867484290981E-2</c:v>
                </c:pt>
                <c:pt idx="808">
                  <c:v>-1.1789079534290982E-2</c:v>
                </c:pt>
                <c:pt idx="809">
                  <c:v>-1.1762377815844381E-2</c:v>
                </c:pt>
                <c:pt idx="810">
                  <c:v>-1.2573173581177719E-2</c:v>
                </c:pt>
                <c:pt idx="811">
                  <c:v>-1.2020789841367287E-2</c:v>
                </c:pt>
                <c:pt idx="812">
                  <c:v>-1.3119132959158704E-2</c:v>
                </c:pt>
                <c:pt idx="813">
                  <c:v>-1.0497863755806778E-2</c:v>
                </c:pt>
                <c:pt idx="814">
                  <c:v>-5.6386923370567825E-3</c:v>
                </c:pt>
                <c:pt idx="815">
                  <c:v>-9.2076505325669761E-3</c:v>
                </c:pt>
                <c:pt idx="816">
                  <c:v>-5.8908736776219269E-3</c:v>
                </c:pt>
                <c:pt idx="817">
                  <c:v>-7.4336235326371205E-3</c:v>
                </c:pt>
                <c:pt idx="818">
                  <c:v>-9.2309056642376763E-3</c:v>
                </c:pt>
                <c:pt idx="819">
                  <c:v>-1.2811375585666236E-2</c:v>
                </c:pt>
                <c:pt idx="820">
                  <c:v>-1.3054039730032435E-2</c:v>
                </c:pt>
                <c:pt idx="821">
                  <c:v>-1.1724952105856603E-2</c:v>
                </c:pt>
                <c:pt idx="822">
                  <c:v>-8.6432339374355356E-3</c:v>
                </c:pt>
                <c:pt idx="823">
                  <c:v>-1.3005842285261618E-2</c:v>
                </c:pt>
                <c:pt idx="824">
                  <c:v>-1.375503285948842E-2</c:v>
                </c:pt>
                <c:pt idx="825">
                  <c:v>-1.0716259945819337E-2</c:v>
                </c:pt>
                <c:pt idx="826">
                  <c:v>-1.4640846452486009E-2</c:v>
                </c:pt>
                <c:pt idx="827">
                  <c:v>-1.7115504083292862E-2</c:v>
                </c:pt>
                <c:pt idx="828">
                  <c:v>-1.3844471161633886E-2</c:v>
                </c:pt>
                <c:pt idx="829">
                  <c:v>-1.5633536681633892E-2</c:v>
                </c:pt>
                <c:pt idx="830">
                  <c:v>-1.8261926340023153E-2</c:v>
                </c:pt>
                <c:pt idx="831">
                  <c:v>-1.8945079743115937E-2</c:v>
                </c:pt>
                <c:pt idx="832">
                  <c:v>-1.874649646811594E-2</c:v>
                </c:pt>
                <c:pt idx="833">
                  <c:v>-1.7435834762279383E-2</c:v>
                </c:pt>
                <c:pt idx="834">
                  <c:v>-1.7945526083134999E-2</c:v>
                </c:pt>
                <c:pt idx="835">
                  <c:v>-1.6074071397184593E-2</c:v>
                </c:pt>
                <c:pt idx="836">
                  <c:v>-1.3766741696421248E-2</c:v>
                </c:pt>
                <c:pt idx="837">
                  <c:v>-1.6174852763842073E-2</c:v>
                </c:pt>
                <c:pt idx="838">
                  <c:v>-1.5852573192827582E-2</c:v>
                </c:pt>
                <c:pt idx="839">
                  <c:v>-1.6034232750224031E-2</c:v>
                </c:pt>
                <c:pt idx="840">
                  <c:v>-1.1815786299004526E-2</c:v>
                </c:pt>
                <c:pt idx="841">
                  <c:v>-6.200736048184839E-3</c:v>
                </c:pt>
                <c:pt idx="842">
                  <c:v>-1.3821288135983836E-3</c:v>
                </c:pt>
                <c:pt idx="843">
                  <c:v>-2.0610060338556195E-3</c:v>
                </c:pt>
                <c:pt idx="844">
                  <c:v>-3.0789011710587871E-3</c:v>
                </c:pt>
                <c:pt idx="845">
                  <c:v>2.3902005642579072E-3</c:v>
                </c:pt>
                <c:pt idx="846">
                  <c:v>5.0879022720878896E-3</c:v>
                </c:pt>
                <c:pt idx="847">
                  <c:v>1.6949250525073675E-2</c:v>
                </c:pt>
                <c:pt idx="848">
                  <c:v>1.4505262771297241E-2</c:v>
                </c:pt>
                <c:pt idx="849">
                  <c:v>-7.0733467940693713E-3</c:v>
                </c:pt>
                <c:pt idx="850">
                  <c:v>-6.8191586897215408E-3</c:v>
                </c:pt>
                <c:pt idx="851">
                  <c:v>-1.2181160392814326E-2</c:v>
                </c:pt>
                <c:pt idx="852">
                  <c:v>-1.1774110296980986E-2</c:v>
                </c:pt>
                <c:pt idx="853">
                  <c:v>-1.5552928569556241E-2</c:v>
                </c:pt>
                <c:pt idx="854">
                  <c:v>-2.2772049025426677E-2</c:v>
                </c:pt>
                <c:pt idx="855">
                  <c:v>-2.4946937095696935E-2</c:v>
                </c:pt>
                <c:pt idx="856">
                  <c:v>-2.7046911006987258E-2</c:v>
                </c:pt>
                <c:pt idx="857">
                  <c:v>-2.5186939178876655E-2</c:v>
                </c:pt>
                <c:pt idx="858">
                  <c:v>-2.3584871818516304E-2</c:v>
                </c:pt>
                <c:pt idx="859">
                  <c:v>-2.2632963472771626E-2</c:v>
                </c:pt>
                <c:pt idx="860">
                  <c:v>-2.2993449761431421E-2</c:v>
                </c:pt>
                <c:pt idx="861">
                  <c:v>-2.3192079776356799E-2</c:v>
                </c:pt>
                <c:pt idx="862">
                  <c:v>-2.250878231876368E-2</c:v>
                </c:pt>
                <c:pt idx="863">
                  <c:v>-2.7016598146932681E-2</c:v>
                </c:pt>
                <c:pt idx="864">
                  <c:v>-2.5639887337795635E-2</c:v>
                </c:pt>
                <c:pt idx="865">
                  <c:v>-2.7060063715825946E-2</c:v>
                </c:pt>
                <c:pt idx="866">
                  <c:v>-2.5983255720998358E-2</c:v>
                </c:pt>
                <c:pt idx="867">
                  <c:v>-2.7942102971631279E-2</c:v>
                </c:pt>
                <c:pt idx="868">
                  <c:v>-2.6699884006925394E-2</c:v>
                </c:pt>
                <c:pt idx="869">
                  <c:v>-2.27975727218621E-2</c:v>
                </c:pt>
                <c:pt idx="870">
                  <c:v>-2.4607490506990268E-2</c:v>
                </c:pt>
                <c:pt idx="871">
                  <c:v>-2.345138412866327E-2</c:v>
                </c:pt>
                <c:pt idx="872">
                  <c:v>-2.4969893417234688E-2</c:v>
                </c:pt>
                <c:pt idx="873">
                  <c:v>-2.6094696995568024E-2</c:v>
                </c:pt>
                <c:pt idx="874">
                  <c:v>-2.5986165761669754E-2</c:v>
                </c:pt>
                <c:pt idx="875">
                  <c:v>-1.7099898110111016E-2</c:v>
                </c:pt>
                <c:pt idx="876">
                  <c:v>-4.8900903565840519E-3</c:v>
                </c:pt>
                <c:pt idx="877">
                  <c:v>-1.951186823927635E-2</c:v>
                </c:pt>
                <c:pt idx="878">
                  <c:v>-1.8658432744763084E-2</c:v>
                </c:pt>
                <c:pt idx="879">
                  <c:v>-2.9847004338640661E-2</c:v>
                </c:pt>
                <c:pt idx="880">
                  <c:v>-2.3735325097899919E-2</c:v>
                </c:pt>
                <c:pt idx="881">
                  <c:v>-2.079838959442501E-2</c:v>
                </c:pt>
                <c:pt idx="882">
                  <c:v>-2.1504868638869461E-2</c:v>
                </c:pt>
                <c:pt idx="883">
                  <c:v>-2.5206312959642405E-2</c:v>
                </c:pt>
                <c:pt idx="884">
                  <c:v>-2.1500975761762551E-2</c:v>
                </c:pt>
                <c:pt idx="885">
                  <c:v>-1.4681703298773227E-2</c:v>
                </c:pt>
                <c:pt idx="886">
                  <c:v>-2.5724694370201806E-2</c:v>
                </c:pt>
                <c:pt idx="887">
                  <c:v>-1.1920187350028892E-2</c:v>
                </c:pt>
                <c:pt idx="888">
                  <c:v>-1.1304828865103202E-2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85-4E4F-BE39-8066D2CAE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4449664"/>
        <c:axId val="904448832"/>
      </c:lineChart>
      <c:dateAx>
        <c:axId val="9044496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448832"/>
        <c:crosses val="autoZero"/>
        <c:auto val="1"/>
        <c:lblOffset val="100"/>
        <c:baseTimeUnit val="days"/>
      </c:dateAx>
      <c:valAx>
        <c:axId val="90444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449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2A3D795-71A6-4EE4-AB98-6CAA21548031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09345D-5C18-4408-84EC-F59DC1617FE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10.3637</v>
      </c>
      <c r="D2" s="4">
        <f>MIN(D3:D1912)</f>
        <v>0.1047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1.401</v>
      </c>
      <c r="C5">
        <v>1.411</v>
      </c>
      <c r="D5">
        <v>1.367</v>
      </c>
      <c r="E5">
        <v>1.37</v>
      </c>
      <c r="F5">
        <v>143103.29999999999</v>
      </c>
      <c r="G5">
        <v>1.37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-0.86363636363635854</v>
      </c>
      <c r="Q5">
        <f t="shared" ref="Q5" si="1">F5*P5</f>
        <v>-123589.2136363629</v>
      </c>
      <c r="R5">
        <f t="shared" ref="R5" si="2">R6+Q5</f>
        <v>-119231818.02764829</v>
      </c>
      <c r="S5">
        <f t="shared" ref="S5" si="3">R5/100000</f>
        <v>-1192.318180276483</v>
      </c>
      <c r="T5">
        <f t="shared" ref="T5" si="4">S5/1000</f>
        <v>-1.1923181802764831</v>
      </c>
    </row>
    <row r="6" spans="1:20" x14ac:dyDescent="0.25">
      <c r="A6" s="5">
        <v>44587</v>
      </c>
      <c r="B6">
        <v>1.425</v>
      </c>
      <c r="C6">
        <v>1.5580000000000001</v>
      </c>
      <c r="D6">
        <v>1.355</v>
      </c>
      <c r="E6">
        <v>1.401</v>
      </c>
      <c r="F6">
        <v>1935258</v>
      </c>
      <c r="G6">
        <v>1.401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-0.54679802955665002</v>
      </c>
      <c r="Q6">
        <f t="shared" ref="Q6" si="6">F6*P6</f>
        <v>-1058195.2610837433</v>
      </c>
      <c r="R6">
        <f t="shared" ref="R6" si="7">R7+Q6</f>
        <v>-119108228.81401192</v>
      </c>
      <c r="S6">
        <f t="shared" ref="S6" si="8">R6/100000</f>
        <v>-1191.0822881401191</v>
      </c>
      <c r="T6">
        <f t="shared" ref="T6" si="9">S6/1000</f>
        <v>-1.1910822881401191</v>
      </c>
    </row>
    <row r="7" spans="1:20" x14ac:dyDescent="0.25">
      <c r="A7" s="5">
        <v>44586</v>
      </c>
      <c r="B7">
        <v>1.474</v>
      </c>
      <c r="C7">
        <v>1.474</v>
      </c>
      <c r="D7">
        <v>1.3640000000000001</v>
      </c>
      <c r="E7">
        <v>1.425</v>
      </c>
      <c r="F7">
        <v>887042.1</v>
      </c>
      <c r="G7">
        <v>1.425</v>
      </c>
      <c r="L7" t="s">
        <v>7</v>
      </c>
      <c r="M7" t="s">
        <v>8</v>
      </c>
      <c r="N7" t="s">
        <v>7</v>
      </c>
      <c r="P7">
        <f t="shared" ref="P7" si="10">IF(C7=D7,0,((E7-D7)-(C7-E7))/(C7-D7))</f>
        <v>0.10909090909090931</v>
      </c>
      <c r="Q7">
        <f t="shared" ref="Q7" si="11">F7*P7</f>
        <v>96768.229090909284</v>
      </c>
      <c r="R7">
        <f t="shared" ref="R7" si="12">R8+Q7</f>
        <v>-118050033.55292818</v>
      </c>
      <c r="S7">
        <f t="shared" ref="S7" si="13">R7/100000</f>
        <v>-1180.5003355292818</v>
      </c>
      <c r="T7">
        <f t="shared" ref="T7" si="14">S7/1000</f>
        <v>-1.1805003355292818</v>
      </c>
    </row>
    <row r="8" spans="1:20" x14ac:dyDescent="0.25">
      <c r="A8" s="5">
        <v>44585</v>
      </c>
      <c r="B8">
        <v>1.421</v>
      </c>
      <c r="C8">
        <v>1.5049999999999999</v>
      </c>
      <c r="D8">
        <v>1.3320000000000001</v>
      </c>
      <c r="E8">
        <v>1.474</v>
      </c>
      <c r="F8">
        <v>3918736.9</v>
      </c>
      <c r="G8">
        <v>1.474</v>
      </c>
      <c r="L8" t="s">
        <v>8</v>
      </c>
      <c r="M8" t="s">
        <v>8</v>
      </c>
      <c r="N8" t="s">
        <v>7</v>
      </c>
      <c r="P8">
        <f t="shared" ref="P8" si="15">IF(C8=D8,0,((E8-D8)-(C8-E8))/(C8-D8))</f>
        <v>0.64161849710982721</v>
      </c>
      <c r="Q8">
        <f t="shared" ref="Q8" si="16">F8*P8</f>
        <v>2514334.0803468232</v>
      </c>
      <c r="R8">
        <f t="shared" ref="R8" si="17">R9+Q8</f>
        <v>-118146801.78201909</v>
      </c>
      <c r="S8">
        <f t="shared" ref="S8" si="18">R8/100000</f>
        <v>-1181.4680178201909</v>
      </c>
      <c r="T8">
        <f t="shared" ref="T8" si="19">S8/1000</f>
        <v>-1.1814680178201908</v>
      </c>
    </row>
    <row r="9" spans="1:20" x14ac:dyDescent="0.25">
      <c r="A9" s="5">
        <v>44584</v>
      </c>
      <c r="B9">
        <v>1.365</v>
      </c>
      <c r="C9">
        <v>1.4490000000000001</v>
      </c>
      <c r="D9">
        <v>1.347</v>
      </c>
      <c r="E9">
        <v>1.421</v>
      </c>
      <c r="F9">
        <v>1539208</v>
      </c>
      <c r="G9">
        <v>1.421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0.45098039215686275</v>
      </c>
      <c r="Q9">
        <f t="shared" ref="Q9" si="21">F9*P9</f>
        <v>694152.62745098036</v>
      </c>
      <c r="R9">
        <f t="shared" ref="R9" si="22">R10+Q9</f>
        <v>-120661135.86236592</v>
      </c>
      <c r="S9">
        <f t="shared" ref="S9" si="23">R9/100000</f>
        <v>-1206.6113586236593</v>
      </c>
      <c r="T9">
        <f t="shared" ref="T9" si="24">S9/1000</f>
        <v>-1.2066113586236593</v>
      </c>
    </row>
    <row r="10" spans="1:20" x14ac:dyDescent="0.25">
      <c r="A10" s="5">
        <v>44583</v>
      </c>
      <c r="B10">
        <v>1.4450000000000001</v>
      </c>
      <c r="C10">
        <v>1.464</v>
      </c>
      <c r="D10">
        <v>1.177</v>
      </c>
      <c r="E10">
        <v>1.3660000000000001</v>
      </c>
      <c r="F10">
        <v>4432180.43</v>
      </c>
      <c r="G10">
        <v>1.3660000000000001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0.3170731707317081</v>
      </c>
      <c r="Q10">
        <f t="shared" ref="Q10" si="26">F10*P10</f>
        <v>1405325.5021951252</v>
      </c>
      <c r="R10">
        <f t="shared" ref="R10" si="27">R11+Q10</f>
        <v>-121355288.4898169</v>
      </c>
      <c r="S10">
        <f t="shared" ref="S10" si="28">R10/100000</f>
        <v>-1213.5528848981689</v>
      </c>
      <c r="T10">
        <f t="shared" ref="T10" si="29">S10/1000</f>
        <v>-1.2135528848981689</v>
      </c>
    </row>
    <row r="11" spans="1:20" x14ac:dyDescent="0.25">
      <c r="A11" s="5">
        <v>44582</v>
      </c>
      <c r="B11">
        <v>1.6739999999999999</v>
      </c>
      <c r="C11">
        <v>1.6850000000000001</v>
      </c>
      <c r="D11">
        <v>1.403</v>
      </c>
      <c r="E11">
        <v>1.4450000000000001</v>
      </c>
      <c r="F11">
        <v>1781343.83</v>
      </c>
      <c r="G11">
        <v>1.4450000000000001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-0.70212765957446788</v>
      </c>
      <c r="Q11">
        <f t="shared" ref="Q11" si="31">F11*P11</f>
        <v>-1250730.7742553188</v>
      </c>
      <c r="R11">
        <f t="shared" ref="R11" si="32">R12+Q11</f>
        <v>-122760613.99201202</v>
      </c>
      <c r="S11">
        <f t="shared" ref="S11" si="33">R11/100000</f>
        <v>-1227.6061399201203</v>
      </c>
      <c r="T11">
        <f t="shared" ref="T11" si="34">S11/1000</f>
        <v>-1.2276061399201204</v>
      </c>
    </row>
    <row r="12" spans="1:20" x14ac:dyDescent="0.25">
      <c r="A12" s="5">
        <v>44581</v>
      </c>
      <c r="B12">
        <v>1.71</v>
      </c>
      <c r="C12">
        <v>1.855</v>
      </c>
      <c r="D12">
        <v>1.6639999999999999</v>
      </c>
      <c r="E12">
        <v>1.679</v>
      </c>
      <c r="F12">
        <v>932226.8</v>
      </c>
      <c r="G12">
        <v>1.679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-0.84293193717277359</v>
      </c>
      <c r="Q12">
        <f t="shared" ref="Q12" si="36">F12*P12</f>
        <v>-785803.74240837584</v>
      </c>
      <c r="R12">
        <f t="shared" ref="R12" si="37">R13+Q12</f>
        <v>-121509883.2177567</v>
      </c>
      <c r="S12">
        <f t="shared" ref="S12" si="38">R12/100000</f>
        <v>-1215.0988321775671</v>
      </c>
      <c r="T12">
        <f t="shared" ref="T12" si="39">S12/1000</f>
        <v>-1.2150988321775671</v>
      </c>
    </row>
    <row r="13" spans="1:20" x14ac:dyDescent="0.25">
      <c r="A13" s="5">
        <v>44580</v>
      </c>
      <c r="B13">
        <v>1.7949999999999999</v>
      </c>
      <c r="C13">
        <v>1.798</v>
      </c>
      <c r="D13">
        <v>1.6910000000000001</v>
      </c>
      <c r="E13">
        <v>1.7090000000000001</v>
      </c>
      <c r="F13">
        <v>656255.6</v>
      </c>
      <c r="G13">
        <v>1.7090000000000001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-0.66355140186915851</v>
      </c>
      <c r="Q13">
        <f t="shared" ref="Q13" si="41">F13*P13</f>
        <v>-435459.3233644857</v>
      </c>
      <c r="R13">
        <f t="shared" ref="R13" si="42">R14+Q13</f>
        <v>-120724079.47534832</v>
      </c>
      <c r="S13">
        <f t="shared" ref="S13" si="43">R13/100000</f>
        <v>-1207.2407947534832</v>
      </c>
      <c r="T13">
        <f t="shared" ref="T13" si="44">S13/1000</f>
        <v>-1.2072407947534831</v>
      </c>
    </row>
    <row r="14" spans="1:20" x14ac:dyDescent="0.25">
      <c r="A14" s="5">
        <v>44579</v>
      </c>
      <c r="B14">
        <v>1.833</v>
      </c>
      <c r="C14">
        <v>1.84</v>
      </c>
      <c r="D14">
        <v>1.728</v>
      </c>
      <c r="E14">
        <v>1.7949999999999999</v>
      </c>
      <c r="F14">
        <v>463536.9</v>
      </c>
      <c r="G14">
        <v>1.7949999999999999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0.19642857142856945</v>
      </c>
      <c r="Q14">
        <f t="shared" ref="Q14" si="46">F14*P14</f>
        <v>91051.891071427657</v>
      </c>
      <c r="R14">
        <f t="shared" ref="R14" si="47">R15+Q14</f>
        <v>-120288620.15198384</v>
      </c>
      <c r="S14">
        <f t="shared" ref="S14" si="48">R14/100000</f>
        <v>-1202.8862015198383</v>
      </c>
      <c r="T14">
        <f t="shared" ref="T14" si="49">S14/1000</f>
        <v>-1.2028862015198383</v>
      </c>
    </row>
    <row r="15" spans="1:20" x14ac:dyDescent="0.25">
      <c r="A15" s="5">
        <v>44578</v>
      </c>
      <c r="B15">
        <v>1.9159999999999999</v>
      </c>
      <c r="C15">
        <v>1.9159999999999999</v>
      </c>
      <c r="D15">
        <v>1.802</v>
      </c>
      <c r="E15">
        <v>1.829</v>
      </c>
      <c r="F15">
        <v>170948.2</v>
      </c>
      <c r="G15">
        <v>1.829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-0.52631578947368518</v>
      </c>
      <c r="Q15">
        <f t="shared" ref="Q15" si="51">F15*P15</f>
        <v>-89972.736842105442</v>
      </c>
      <c r="R15">
        <f t="shared" ref="R15" si="52">R16+Q15</f>
        <v>-120379672.04305527</v>
      </c>
      <c r="S15">
        <f t="shared" ref="S15" si="53">R15/100000</f>
        <v>-1203.7967204305526</v>
      </c>
      <c r="T15">
        <f t="shared" ref="T15" si="54">S15/1000</f>
        <v>-1.2037967204305526</v>
      </c>
    </row>
    <row r="16" spans="1:20" x14ac:dyDescent="0.25">
      <c r="A16" s="5">
        <v>44577</v>
      </c>
      <c r="B16">
        <v>1.8740000000000001</v>
      </c>
      <c r="C16">
        <v>1.921</v>
      </c>
      <c r="D16">
        <v>1.857</v>
      </c>
      <c r="E16">
        <v>1.91</v>
      </c>
      <c r="F16">
        <v>282184.8</v>
      </c>
      <c r="G16">
        <v>1.91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0.65624999999999656</v>
      </c>
      <c r="Q16">
        <f t="shared" ref="Q16" si="56">F16*P16</f>
        <v>185183.77499999903</v>
      </c>
      <c r="R16">
        <f t="shared" ref="R16" si="57">R17+Q16</f>
        <v>-120289699.30621316</v>
      </c>
      <c r="S16">
        <f t="shared" ref="S16" si="58">R16/100000</f>
        <v>-1202.8969930621315</v>
      </c>
      <c r="T16">
        <f t="shared" ref="T16" si="59">S16/1000</f>
        <v>-1.2028969930621316</v>
      </c>
    </row>
    <row r="17" spans="1:20" x14ac:dyDescent="0.25">
      <c r="A17" s="5">
        <v>44576</v>
      </c>
      <c r="B17">
        <v>1.853</v>
      </c>
      <c r="C17">
        <v>1.9119999999999999</v>
      </c>
      <c r="D17">
        <v>1.845</v>
      </c>
      <c r="E17">
        <v>1.875</v>
      </c>
      <c r="F17">
        <v>386812.9</v>
      </c>
      <c r="G17">
        <v>1.875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-0.10447761194029702</v>
      </c>
      <c r="Q17">
        <f t="shared" ref="Q17" si="61">F17*P17</f>
        <v>-40413.288059700921</v>
      </c>
      <c r="R17">
        <f t="shared" ref="R17" si="62">R18+Q17</f>
        <v>-120474883.08121316</v>
      </c>
      <c r="S17">
        <f t="shared" ref="S17" si="63">R17/100000</f>
        <v>-1204.7488308121317</v>
      </c>
      <c r="T17">
        <f t="shared" ref="T17" si="64">S17/1000</f>
        <v>-1.2047488308121317</v>
      </c>
    </row>
    <row r="18" spans="1:20" x14ac:dyDescent="0.25">
      <c r="A18" s="5">
        <v>44575</v>
      </c>
      <c r="B18">
        <v>1.825</v>
      </c>
      <c r="C18">
        <v>1.86</v>
      </c>
      <c r="D18">
        <v>1.8</v>
      </c>
      <c r="E18">
        <v>1.853</v>
      </c>
      <c r="F18">
        <v>527490.6</v>
      </c>
      <c r="G18">
        <v>1.853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0.76666666666666294</v>
      </c>
      <c r="Q18">
        <f t="shared" ref="Q18" si="66">F18*P18</f>
        <v>404409.45999999804</v>
      </c>
      <c r="R18">
        <f t="shared" ref="R18" si="67">R19+Q18</f>
        <v>-120434469.79315346</v>
      </c>
      <c r="S18">
        <f t="shared" ref="S18" si="68">R18/100000</f>
        <v>-1204.3446979315347</v>
      </c>
      <c r="T18">
        <f t="shared" ref="T18" si="69">S18/1000</f>
        <v>-1.2043446979315346</v>
      </c>
    </row>
    <row r="19" spans="1:20" x14ac:dyDescent="0.25">
      <c r="A19" s="5">
        <v>44574</v>
      </c>
      <c r="B19">
        <v>1.9079999999999999</v>
      </c>
      <c r="C19">
        <v>1.927</v>
      </c>
      <c r="D19">
        <v>1.8169999999999999</v>
      </c>
      <c r="E19">
        <v>1.823</v>
      </c>
      <c r="F19">
        <v>834707.8</v>
      </c>
      <c r="G19">
        <v>1.823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-0.89090909090909087</v>
      </c>
      <c r="Q19">
        <f t="shared" ref="Q19" si="71">F19*P19</f>
        <v>-743648.76727272733</v>
      </c>
      <c r="R19">
        <f t="shared" ref="R19" si="72">R20+Q19</f>
        <v>-120838879.25315346</v>
      </c>
      <c r="S19">
        <f t="shared" ref="S19" si="73">R19/100000</f>
        <v>-1208.3887925315346</v>
      </c>
      <c r="T19">
        <f t="shared" ref="T19" si="74">S19/1000</f>
        <v>-1.2083887925315346</v>
      </c>
    </row>
    <row r="20" spans="1:20" x14ac:dyDescent="0.25">
      <c r="A20" s="5">
        <v>44573</v>
      </c>
      <c r="B20">
        <v>1.857</v>
      </c>
      <c r="C20">
        <v>1.948</v>
      </c>
      <c r="D20">
        <v>1.8360000000000001</v>
      </c>
      <c r="E20">
        <v>1.905</v>
      </c>
      <c r="F20">
        <v>1418835.4</v>
      </c>
      <c r="G20">
        <v>1.905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0.23214285714285759</v>
      </c>
      <c r="Q20">
        <f t="shared" ref="Q20" si="76">F20*P20</f>
        <v>329372.50357142917</v>
      </c>
      <c r="R20">
        <f t="shared" ref="R20" si="77">R21+Q20</f>
        <v>-120095230.48588073</v>
      </c>
      <c r="S20">
        <f t="shared" ref="S20" si="78">R20/100000</f>
        <v>-1200.9523048588073</v>
      </c>
      <c r="T20">
        <f t="shared" ref="T20" si="79">S20/1000</f>
        <v>-1.2009523048588073</v>
      </c>
    </row>
    <row r="21" spans="1:20" x14ac:dyDescent="0.25">
      <c r="A21" s="5">
        <v>44572</v>
      </c>
      <c r="B21">
        <v>1.7849999999999999</v>
      </c>
      <c r="C21">
        <v>1.875</v>
      </c>
      <c r="D21">
        <v>1.77</v>
      </c>
      <c r="E21">
        <v>1.86</v>
      </c>
      <c r="F21">
        <v>1028769.6</v>
      </c>
      <c r="G21">
        <v>1.86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0.71428571428571608</v>
      </c>
      <c r="Q21">
        <f t="shared" ref="Q21" si="81">F21*P21</f>
        <v>734835.42857143038</v>
      </c>
      <c r="R21">
        <f t="shared" ref="R21" si="82">R22+Q21</f>
        <v>-120424602.98945217</v>
      </c>
      <c r="S21">
        <f t="shared" ref="S21" si="83">R21/100000</f>
        <v>-1204.2460298945216</v>
      </c>
      <c r="T21">
        <f t="shared" ref="T21" si="84">S21/1000</f>
        <v>-1.2042460298945217</v>
      </c>
    </row>
    <row r="22" spans="1:20" x14ac:dyDescent="0.25">
      <c r="A22" s="5">
        <v>44571</v>
      </c>
      <c r="B22">
        <v>1.891</v>
      </c>
      <c r="C22">
        <v>1.9610000000000001</v>
      </c>
      <c r="D22">
        <v>1.6930000000000001</v>
      </c>
      <c r="E22">
        <v>1.7849999999999999</v>
      </c>
      <c r="F22">
        <v>1242345.2</v>
      </c>
      <c r="G22">
        <v>1.7849999999999999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-0.31343283582089659</v>
      </c>
      <c r="Q22">
        <f t="shared" ref="Q22" si="86">F22*P22</f>
        <v>-389391.77910447895</v>
      </c>
      <c r="R22">
        <f t="shared" ref="R22" si="87">R23+Q22</f>
        <v>-121159438.4180236</v>
      </c>
      <c r="S22">
        <f t="shared" ref="S22" si="88">R22/100000</f>
        <v>-1211.5943841802359</v>
      </c>
      <c r="T22">
        <f t="shared" ref="T22" si="89">S22/1000</f>
        <v>-1.2115943841802359</v>
      </c>
    </row>
    <row r="23" spans="1:20" x14ac:dyDescent="0.25">
      <c r="A23" s="5">
        <v>44570</v>
      </c>
      <c r="B23">
        <v>1.8839999999999999</v>
      </c>
      <c r="C23">
        <v>1.9379999999999999</v>
      </c>
      <c r="D23">
        <v>1.851</v>
      </c>
      <c r="E23">
        <v>1.89</v>
      </c>
      <c r="F23">
        <v>726211.2</v>
      </c>
      <c r="G23">
        <v>1.89</v>
      </c>
      <c r="L23" t="s">
        <v>7</v>
      </c>
      <c r="M23" t="s">
        <v>7</v>
      </c>
      <c r="N23" t="s">
        <v>8</v>
      </c>
      <c r="P23">
        <f t="shared" ref="P23" si="90">IF(C23=D23,0,((E23-D23)-(C23-E23))/(C23-D23))</f>
        <v>-0.10344827586207038</v>
      </c>
      <c r="Q23">
        <f t="shared" ref="Q23" si="91">F23*P23</f>
        <v>-75125.296551725158</v>
      </c>
      <c r="R23">
        <f t="shared" ref="R23" si="92">R24+Q23</f>
        <v>-120770046.63891912</v>
      </c>
      <c r="S23">
        <f t="shared" ref="S23" si="93">R23/100000</f>
        <v>-1207.7004663891912</v>
      </c>
      <c r="T23">
        <f t="shared" ref="T23" si="94">S23/1000</f>
        <v>-1.2077004663891913</v>
      </c>
    </row>
    <row r="24" spans="1:20" x14ac:dyDescent="0.25">
      <c r="A24" s="5">
        <v>44569</v>
      </c>
      <c r="B24">
        <v>1.8640000000000001</v>
      </c>
      <c r="C24">
        <v>2.0339999999999998</v>
      </c>
      <c r="D24">
        <v>1.855</v>
      </c>
      <c r="E24">
        <v>1.8859999999999999</v>
      </c>
      <c r="F24">
        <v>2260410</v>
      </c>
      <c r="G24">
        <v>1.8859999999999999</v>
      </c>
      <c r="L24" t="s">
        <v>8</v>
      </c>
      <c r="M24" t="s">
        <v>7</v>
      </c>
      <c r="N24" t="s">
        <v>8</v>
      </c>
      <c r="P24">
        <f t="shared" ref="P24" si="95">IF(C24=D24,0,((E24-D24)-(C24-E24))/(C24-D24))</f>
        <v>-0.6536312849162017</v>
      </c>
      <c r="Q24">
        <f t="shared" ref="Q24" si="96">F24*P24</f>
        <v>-1477474.6927374315</v>
      </c>
      <c r="R24">
        <f t="shared" ref="R24" si="97">R25+Q24</f>
        <v>-120694921.3423674</v>
      </c>
      <c r="S24">
        <f t="shared" ref="S24" si="98">R24/100000</f>
        <v>-1206.9492134236739</v>
      </c>
      <c r="T24">
        <f t="shared" ref="T24" si="99">S24/1000</f>
        <v>-1.2069492134236739</v>
      </c>
    </row>
    <row r="25" spans="1:20" x14ac:dyDescent="0.25">
      <c r="A25" s="5">
        <v>44568</v>
      </c>
      <c r="B25">
        <v>2.0289999999999999</v>
      </c>
      <c r="C25">
        <v>2.0299999999999998</v>
      </c>
      <c r="D25">
        <v>1.8109999999999999</v>
      </c>
      <c r="E25">
        <v>1.857</v>
      </c>
      <c r="F25">
        <v>832223.7</v>
      </c>
      <c r="G25">
        <v>1.857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-0.57990867579908612</v>
      </c>
      <c r="Q25">
        <f t="shared" ref="Q25" si="101">F25*P25</f>
        <v>-482613.74383561587</v>
      </c>
      <c r="R25">
        <f t="shared" ref="R25" si="102">R26+Q25</f>
        <v>-119217446.64962997</v>
      </c>
      <c r="S25">
        <f t="shared" ref="S25" si="103">R25/100000</f>
        <v>-1192.1744664962996</v>
      </c>
      <c r="T25">
        <f t="shared" ref="T25" si="104">S25/1000</f>
        <v>-1.1921744664962997</v>
      </c>
    </row>
    <row r="26" spans="1:20" x14ac:dyDescent="0.25">
      <c r="A26" s="5">
        <v>44567</v>
      </c>
      <c r="B26">
        <v>2.0819999999999999</v>
      </c>
      <c r="C26">
        <v>2.101</v>
      </c>
      <c r="D26">
        <v>1.958</v>
      </c>
      <c r="E26">
        <v>2.0259999999999998</v>
      </c>
      <c r="F26">
        <v>827867.9</v>
      </c>
      <c r="G26">
        <v>2.0259999999999998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-4.8951048951051318E-2</v>
      </c>
      <c r="Q26">
        <f t="shared" ref="Q26" si="106">F26*P26</f>
        <v>-40525.002097904056</v>
      </c>
      <c r="R26">
        <f t="shared" ref="R26" si="107">R27+Q26</f>
        <v>-118734832.90579435</v>
      </c>
      <c r="S26">
        <f t="shared" ref="S26" si="108">R26/100000</f>
        <v>-1187.3483290579436</v>
      </c>
      <c r="T26">
        <f t="shared" ref="T26" si="109">S26/1000</f>
        <v>-1.1873483290579436</v>
      </c>
    </row>
    <row r="27" spans="1:20" x14ac:dyDescent="0.25">
      <c r="A27" s="5">
        <v>44566</v>
      </c>
      <c r="B27">
        <v>2.2229999999999999</v>
      </c>
      <c r="C27">
        <v>2.4590000000000001</v>
      </c>
      <c r="D27">
        <v>1.9830000000000001</v>
      </c>
      <c r="E27">
        <v>2.0790000000000002</v>
      </c>
      <c r="F27">
        <v>2347164.1</v>
      </c>
      <c r="G27">
        <v>2.0790000000000002</v>
      </c>
      <c r="L27" t="s">
        <v>7</v>
      </c>
      <c r="M27" t="s">
        <v>8</v>
      </c>
      <c r="N27" t="s">
        <v>8</v>
      </c>
      <c r="P27">
        <f t="shared" ref="P27" si="110">IF(C27=D27,0,((E27-D27)-(C27-E27))/(C27-D27))</f>
        <v>-0.59663865546218453</v>
      </c>
      <c r="Q27">
        <f t="shared" ref="Q27" si="111">F27*P27</f>
        <v>-1400408.8327731085</v>
      </c>
      <c r="R27">
        <f t="shared" ref="R27" si="112">R28+Q27</f>
        <v>-118694307.90369645</v>
      </c>
      <c r="S27">
        <f t="shared" ref="S27" si="113">R27/100000</f>
        <v>-1186.9430790369645</v>
      </c>
      <c r="T27">
        <f t="shared" ref="T27" si="114">S27/1000</f>
        <v>-1.1869430790369644</v>
      </c>
    </row>
    <row r="28" spans="1:20" x14ac:dyDescent="0.25">
      <c r="A28" s="5">
        <v>44565</v>
      </c>
      <c r="B28">
        <v>2.2610000000000001</v>
      </c>
      <c r="C28">
        <v>2.2810000000000001</v>
      </c>
      <c r="D28">
        <v>2.1440000000000001</v>
      </c>
      <c r="E28">
        <v>2.2280000000000002</v>
      </c>
      <c r="F28">
        <v>875035.6</v>
      </c>
      <c r="G28">
        <v>2.2280000000000002</v>
      </c>
      <c r="L28" t="s">
        <v>7</v>
      </c>
      <c r="M28" t="s">
        <v>8</v>
      </c>
      <c r="N28" t="s">
        <v>8</v>
      </c>
      <c r="P28">
        <f t="shared" ref="P28" si="115">IF(C28=D28,0,((E28-D28)-(C28-E28))/(C28-D28))</f>
        <v>0.22627737226277472</v>
      </c>
      <c r="Q28">
        <f t="shared" ref="Q28" si="116">F28*P28</f>
        <v>198000.75620438042</v>
      </c>
      <c r="R28">
        <f t="shared" ref="R28" si="117">R29+Q28</f>
        <v>-117293899.07092334</v>
      </c>
      <c r="S28">
        <f t="shared" ref="S28" si="118">R28/100000</f>
        <v>-1172.9389907092334</v>
      </c>
      <c r="T28">
        <f t="shared" ref="T28" si="119">S28/1000</f>
        <v>-1.1729389907092334</v>
      </c>
    </row>
    <row r="29" spans="1:20" x14ac:dyDescent="0.25">
      <c r="A29" s="5">
        <v>44564</v>
      </c>
      <c r="B29">
        <v>2.2240000000000002</v>
      </c>
      <c r="C29">
        <v>2.39</v>
      </c>
      <c r="D29">
        <v>2.2120000000000002</v>
      </c>
      <c r="E29">
        <v>2.2650000000000001</v>
      </c>
      <c r="F29">
        <v>1875501.3</v>
      </c>
      <c r="G29">
        <v>2.2650000000000001</v>
      </c>
      <c r="L29" t="s">
        <v>8</v>
      </c>
      <c r="M29" t="s">
        <v>8</v>
      </c>
      <c r="N29" t="s">
        <v>8</v>
      </c>
      <c r="P29">
        <f t="shared" ref="P29" si="120">IF(C29=D29,0,((E29-D29)-(C29-E29))/(C29-D29))</f>
        <v>-0.4044943820224724</v>
      </c>
      <c r="Q29">
        <f t="shared" ref="Q29" si="121">F29*P29</f>
        <v>-758629.73932584364</v>
      </c>
      <c r="R29">
        <f t="shared" ref="R29" si="122">R30+Q29</f>
        <v>-117491899.82712772</v>
      </c>
      <c r="S29">
        <f t="shared" ref="S29" si="123">R29/100000</f>
        <v>-1174.9189982712774</v>
      </c>
      <c r="T29">
        <f t="shared" ref="T29" si="124">S29/1000</f>
        <v>-1.1749189982712773</v>
      </c>
    </row>
    <row r="30" spans="1:20" x14ac:dyDescent="0.25">
      <c r="A30" s="5">
        <v>44563</v>
      </c>
      <c r="B30">
        <v>2.1309999999999998</v>
      </c>
      <c r="C30">
        <v>2.3410000000000002</v>
      </c>
      <c r="D30">
        <v>2.1179999999999999</v>
      </c>
      <c r="E30">
        <v>2.2250000000000001</v>
      </c>
      <c r="F30">
        <v>1001989.3</v>
      </c>
      <c r="G30">
        <v>2.2250000000000001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-4.0358744394618319E-2</v>
      </c>
      <c r="Q30">
        <f t="shared" ref="Q30" si="126">F30*P30</f>
        <v>-40439.030044842533</v>
      </c>
      <c r="R30">
        <f t="shared" ref="R30" si="127">R31+Q30</f>
        <v>-116733270.08780189</v>
      </c>
      <c r="S30">
        <f t="shared" ref="S30" si="128">R30/100000</f>
        <v>-1167.3327008780188</v>
      </c>
      <c r="T30">
        <f t="shared" ref="T30" si="129">S30/1000</f>
        <v>-1.1673327008780188</v>
      </c>
    </row>
    <row r="31" spans="1:20" x14ac:dyDescent="0.25">
      <c r="A31" s="5">
        <v>44562</v>
      </c>
      <c r="B31">
        <v>2.0590000000000002</v>
      </c>
      <c r="C31">
        <v>2.1379999999999999</v>
      </c>
      <c r="D31">
        <v>2.056</v>
      </c>
      <c r="E31">
        <v>2.133</v>
      </c>
      <c r="F31">
        <v>287509.5</v>
      </c>
      <c r="G31">
        <v>2.133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0.87804878048780721</v>
      </c>
      <c r="Q31">
        <f t="shared" ref="Q31" si="131">F31*P31</f>
        <v>252447.3658536592</v>
      </c>
      <c r="R31">
        <f t="shared" ref="R31" si="132">R32+Q31</f>
        <v>-116692831.05775705</v>
      </c>
      <c r="S31">
        <f t="shared" ref="S31" si="133">R31/100000</f>
        <v>-1166.9283105775705</v>
      </c>
      <c r="T31">
        <f t="shared" ref="T31" si="134">S31/1000</f>
        <v>-1.1669283105775705</v>
      </c>
    </row>
    <row r="32" spans="1:20" x14ac:dyDescent="0.25">
      <c r="A32" s="5">
        <v>44561</v>
      </c>
      <c r="B32">
        <v>2.0619999999999998</v>
      </c>
      <c r="C32">
        <v>2.1640000000000001</v>
      </c>
      <c r="D32">
        <v>2.02</v>
      </c>
      <c r="E32">
        <v>2.0579999999999998</v>
      </c>
      <c r="F32">
        <v>657619.4</v>
      </c>
      <c r="G32">
        <v>2.0579999999999998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-0.47222222222222532</v>
      </c>
      <c r="Q32">
        <f t="shared" ref="Q32" si="136">F32*P32</f>
        <v>-310542.49444444646</v>
      </c>
      <c r="R32">
        <f t="shared" ref="R32" si="137">R33+Q32</f>
        <v>-116945278.4236107</v>
      </c>
      <c r="S32">
        <f t="shared" ref="S32" si="138">R32/100000</f>
        <v>-1169.4527842361069</v>
      </c>
      <c r="T32">
        <f t="shared" ref="T32" si="139">S32/1000</f>
        <v>-1.1694527842361069</v>
      </c>
    </row>
    <row r="33" spans="1:20" x14ac:dyDescent="0.25">
      <c r="A33" s="5">
        <v>44560</v>
      </c>
      <c r="B33">
        <v>2.0150000000000001</v>
      </c>
      <c r="C33">
        <v>2.11</v>
      </c>
      <c r="D33">
        <v>1.9770000000000001</v>
      </c>
      <c r="E33">
        <v>2.0630000000000002</v>
      </c>
      <c r="F33">
        <v>584053.6</v>
      </c>
      <c r="G33">
        <v>2.0630000000000002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0.29323308270677018</v>
      </c>
      <c r="Q33">
        <f t="shared" ref="Q33" si="141">F33*P33</f>
        <v>171263.83759398686</v>
      </c>
      <c r="R33">
        <f t="shared" ref="R33" si="142">R34+Q33</f>
        <v>-116634735.92916626</v>
      </c>
      <c r="S33">
        <f t="shared" ref="S33" si="143">R33/100000</f>
        <v>-1166.3473592916625</v>
      </c>
      <c r="T33">
        <f t="shared" ref="T33" si="144">S33/1000</f>
        <v>-1.1663473592916624</v>
      </c>
    </row>
    <row r="34" spans="1:20" x14ac:dyDescent="0.25">
      <c r="A34" s="5">
        <v>44559</v>
      </c>
      <c r="B34">
        <v>2.1059999999999999</v>
      </c>
      <c r="C34">
        <v>2.1749999999999998</v>
      </c>
      <c r="D34">
        <v>1.994</v>
      </c>
      <c r="E34">
        <v>2.0150000000000001</v>
      </c>
      <c r="F34">
        <v>1103849</v>
      </c>
      <c r="G34">
        <v>2.0150000000000001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-0.76795580110497075</v>
      </c>
      <c r="Q34">
        <f t="shared" ref="Q34" si="146">F34*P34</f>
        <v>-847707.24309392087</v>
      </c>
      <c r="R34">
        <f t="shared" ref="R34" si="147">R35+Q34</f>
        <v>-116805999.76676024</v>
      </c>
      <c r="S34">
        <f t="shared" ref="S34" si="148">R34/100000</f>
        <v>-1168.0599976676024</v>
      </c>
      <c r="T34">
        <f t="shared" ref="T34" si="149">S34/1000</f>
        <v>-1.1680599976676023</v>
      </c>
    </row>
    <row r="35" spans="1:20" x14ac:dyDescent="0.25">
      <c r="A35" s="5">
        <v>44558</v>
      </c>
      <c r="B35">
        <v>2.335</v>
      </c>
      <c r="C35">
        <v>2.3540000000000001</v>
      </c>
      <c r="D35">
        <v>2.0870000000000002</v>
      </c>
      <c r="E35">
        <v>2.1080000000000001</v>
      </c>
      <c r="F35">
        <v>1555608.9</v>
      </c>
      <c r="G35">
        <v>2.1080000000000001</v>
      </c>
      <c r="L35" t="s">
        <v>7</v>
      </c>
      <c r="M35" t="s">
        <v>8</v>
      </c>
      <c r="N35" t="s">
        <v>8</v>
      </c>
      <c r="P35">
        <f t="shared" ref="P35" si="150">IF(C35=D35,0,((E35-D35)-(C35-E35))/(C35-D35))</f>
        <v>-0.84269662921348376</v>
      </c>
      <c r="Q35">
        <f t="shared" ref="Q35" si="151">F35*P35</f>
        <v>-1310906.3764044952</v>
      </c>
      <c r="R35">
        <f t="shared" ref="R35" si="152">R36+Q35</f>
        <v>-115958292.52366632</v>
      </c>
      <c r="S35">
        <f t="shared" ref="S35" si="153">R35/100000</f>
        <v>-1159.5829252366632</v>
      </c>
      <c r="T35">
        <f t="shared" ref="T35" si="154">S35/1000</f>
        <v>-1.1595829252366632</v>
      </c>
    </row>
    <row r="36" spans="1:20" x14ac:dyDescent="0.25">
      <c r="A36" s="5">
        <v>44557</v>
      </c>
      <c r="B36">
        <v>2.2919999999999998</v>
      </c>
      <c r="C36">
        <v>2.4209999999999998</v>
      </c>
      <c r="D36">
        <v>2.2909999999999999</v>
      </c>
      <c r="E36">
        <v>2.3370000000000002</v>
      </c>
      <c r="F36">
        <v>1625904.5</v>
      </c>
      <c r="G36">
        <v>2.3370000000000002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-0.29230769230768766</v>
      </c>
      <c r="Q36">
        <f t="shared" ref="Q36" si="156">F36*P36</f>
        <v>-475264.39230768476</v>
      </c>
      <c r="R36">
        <f t="shared" ref="R36" si="157">R37+Q36</f>
        <v>-114647386.14726183</v>
      </c>
      <c r="S36">
        <f t="shared" ref="S36" si="158">R36/100000</f>
        <v>-1146.4738614726182</v>
      </c>
      <c r="T36">
        <f t="shared" ref="T36" si="159">S36/1000</f>
        <v>-1.1464738614726182</v>
      </c>
    </row>
    <row r="37" spans="1:20" x14ac:dyDescent="0.25">
      <c r="A37" s="5">
        <v>44556</v>
      </c>
      <c r="B37">
        <v>2.3090000000000002</v>
      </c>
      <c r="C37">
        <v>2.3119999999999998</v>
      </c>
      <c r="D37">
        <v>2.2189999999999999</v>
      </c>
      <c r="E37">
        <v>2.2890000000000001</v>
      </c>
      <c r="F37">
        <v>1302402.5</v>
      </c>
      <c r="G37">
        <v>2.2890000000000001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0.50537634408602805</v>
      </c>
      <c r="Q37">
        <f t="shared" ref="Q37" si="161">F37*P37</f>
        <v>658203.4139785032</v>
      </c>
      <c r="R37">
        <f t="shared" ref="R37" si="162">R38+Q37</f>
        <v>-114172121.75495414</v>
      </c>
      <c r="S37">
        <f t="shared" ref="S37" si="163">R37/100000</f>
        <v>-1141.7212175495415</v>
      </c>
      <c r="T37">
        <f t="shared" ref="T37" si="164">S37/1000</f>
        <v>-1.1417212175495415</v>
      </c>
    </row>
    <row r="38" spans="1:20" x14ac:dyDescent="0.25">
      <c r="A38" s="5">
        <v>44555</v>
      </c>
      <c r="B38">
        <v>2.2679999999999998</v>
      </c>
      <c r="C38">
        <v>2.335</v>
      </c>
      <c r="D38">
        <v>2.2490000000000001</v>
      </c>
      <c r="E38">
        <v>2.31</v>
      </c>
      <c r="F38">
        <v>645190.5</v>
      </c>
      <c r="G38">
        <v>2.31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0.41860465116279177</v>
      </c>
      <c r="Q38">
        <f t="shared" ref="Q38" si="166">F38*P38</f>
        <v>270079.74418604723</v>
      </c>
      <c r="R38">
        <f t="shared" ref="R38" si="167">R39+Q38</f>
        <v>-114830325.16893265</v>
      </c>
      <c r="S38">
        <f t="shared" ref="S38" si="168">R38/100000</f>
        <v>-1148.3032516893265</v>
      </c>
      <c r="T38">
        <f t="shared" ref="T38" si="169">S38/1000</f>
        <v>-1.1483032516893266</v>
      </c>
    </row>
    <row r="39" spans="1:20" x14ac:dyDescent="0.25">
      <c r="A39" s="5">
        <v>44554</v>
      </c>
      <c r="B39">
        <v>2.3319999999999999</v>
      </c>
      <c r="C39">
        <v>2.36</v>
      </c>
      <c r="D39">
        <v>2.2450000000000001</v>
      </c>
      <c r="E39">
        <v>2.266</v>
      </c>
      <c r="F39">
        <v>925216.4</v>
      </c>
      <c r="G39">
        <v>2.266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-0.63478260869565306</v>
      </c>
      <c r="Q39">
        <f t="shared" ref="Q39" si="171">F39*P39</f>
        <v>-587311.28000000084</v>
      </c>
      <c r="R39">
        <f t="shared" ref="R39" si="172">R40+Q39</f>
        <v>-115100404.91311869</v>
      </c>
      <c r="S39">
        <f t="shared" ref="S39" si="173">R39/100000</f>
        <v>-1151.004049131187</v>
      </c>
      <c r="T39">
        <f t="shared" ref="T39" si="174">S39/1000</f>
        <v>-1.151004049131187</v>
      </c>
    </row>
    <row r="40" spans="1:20" x14ac:dyDescent="0.25">
      <c r="A40" s="5">
        <v>44553</v>
      </c>
      <c r="B40">
        <v>2.2280000000000002</v>
      </c>
      <c r="C40">
        <v>2.359</v>
      </c>
      <c r="D40">
        <v>2.1890000000000001</v>
      </c>
      <c r="E40">
        <v>2.3340000000000001</v>
      </c>
      <c r="F40">
        <v>1050966.8999999999</v>
      </c>
      <c r="G40">
        <v>2.3340000000000001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0.7058823529411774</v>
      </c>
      <c r="Q40">
        <f t="shared" ref="Q40" si="176">F40*P40</f>
        <v>741858.98823529505</v>
      </c>
      <c r="R40">
        <f t="shared" ref="R40" si="177">R41+Q40</f>
        <v>-114513093.63311869</v>
      </c>
      <c r="S40">
        <f t="shared" ref="S40" si="178">R40/100000</f>
        <v>-1145.1309363311868</v>
      </c>
      <c r="T40">
        <f t="shared" ref="T40" si="179">S40/1000</f>
        <v>-1.1451309363311868</v>
      </c>
    </row>
    <row r="41" spans="1:20" x14ac:dyDescent="0.25">
      <c r="A41" s="5">
        <v>44552</v>
      </c>
      <c r="B41">
        <v>2.13</v>
      </c>
      <c r="C41">
        <v>2.3130000000000002</v>
      </c>
      <c r="D41">
        <v>2.1230000000000002</v>
      </c>
      <c r="E41">
        <v>2.2269999999999999</v>
      </c>
      <c r="F41">
        <v>1829890.8</v>
      </c>
      <c r="G41">
        <v>2.2269999999999999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9.4736842105259761E-2</v>
      </c>
      <c r="Q41">
        <f t="shared" ref="Q41" si="181">F41*P41</f>
        <v>173358.07578946746</v>
      </c>
      <c r="R41">
        <f t="shared" ref="R41" si="182">R42+Q41</f>
        <v>-115254952.62135398</v>
      </c>
      <c r="S41">
        <f t="shared" ref="S41" si="183">R41/100000</f>
        <v>-1152.5495262135398</v>
      </c>
      <c r="T41">
        <f t="shared" ref="T41" si="184">S41/1000</f>
        <v>-1.1525495262135399</v>
      </c>
    </row>
    <row r="42" spans="1:20" x14ac:dyDescent="0.25">
      <c r="A42" s="5">
        <v>44551</v>
      </c>
      <c r="B42">
        <v>2.0409999999999999</v>
      </c>
      <c r="C42">
        <v>2.1779999999999999</v>
      </c>
      <c r="D42">
        <v>2.0270000000000001</v>
      </c>
      <c r="E42">
        <v>2.1280000000000001</v>
      </c>
      <c r="F42">
        <v>1215082.5</v>
      </c>
      <c r="G42">
        <v>2.1280000000000001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0.33774834437086243</v>
      </c>
      <c r="Q42">
        <f t="shared" ref="Q42" si="186">F42*P42</f>
        <v>410392.10264900845</v>
      </c>
      <c r="R42">
        <f t="shared" ref="R42" si="187">R43+Q42</f>
        <v>-115428310.69714345</v>
      </c>
      <c r="S42">
        <f t="shared" ref="S42" si="188">R42/100000</f>
        <v>-1154.2831069714346</v>
      </c>
      <c r="T42">
        <f t="shared" ref="T42" si="189">S42/1000</f>
        <v>-1.1542831069714345</v>
      </c>
    </row>
    <row r="43" spans="1:20" x14ac:dyDescent="0.25">
      <c r="A43" s="5">
        <v>44550</v>
      </c>
      <c r="B43">
        <v>2.13</v>
      </c>
      <c r="C43">
        <v>2.13</v>
      </c>
      <c r="D43">
        <v>1.974</v>
      </c>
      <c r="E43">
        <v>2.04</v>
      </c>
      <c r="F43">
        <v>1211115.7</v>
      </c>
      <c r="G43">
        <v>2.04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-0.15384615384615263</v>
      </c>
      <c r="Q43">
        <f t="shared" ref="Q43" si="191">F43*P43</f>
        <v>-186325.49230769085</v>
      </c>
      <c r="R43">
        <f t="shared" ref="R43" si="192">R44+Q43</f>
        <v>-115838702.79979245</v>
      </c>
      <c r="S43">
        <f t="shared" ref="S43" si="193">R43/100000</f>
        <v>-1158.3870279979246</v>
      </c>
      <c r="T43">
        <f t="shared" ref="T43" si="194">S43/1000</f>
        <v>-1.1583870279979247</v>
      </c>
    </row>
    <row r="44" spans="1:20" x14ac:dyDescent="0.25">
      <c r="A44" s="5">
        <v>44549</v>
      </c>
      <c r="B44">
        <v>2.1469999999999998</v>
      </c>
      <c r="C44">
        <v>2.2080000000000002</v>
      </c>
      <c r="D44">
        <v>2.1080000000000001</v>
      </c>
      <c r="E44">
        <v>2.1309999999999998</v>
      </c>
      <c r="F44">
        <v>743281.7</v>
      </c>
      <c r="G44">
        <v>2.1309999999999998</v>
      </c>
      <c r="L44" t="s">
        <v>8</v>
      </c>
      <c r="M44" t="s">
        <v>7</v>
      </c>
      <c r="N44" t="s">
        <v>8</v>
      </c>
      <c r="P44">
        <f t="shared" ref="P44" si="195">IF(C44=D44,0,((E44-D44)-(C44-E44))/(C44-D44))</f>
        <v>-0.5400000000000067</v>
      </c>
      <c r="Q44">
        <f t="shared" ref="Q44" si="196">F44*P44</f>
        <v>-401372.11800000496</v>
      </c>
      <c r="R44">
        <f t="shared" ref="R44" si="197">R45+Q44</f>
        <v>-115652377.30748476</v>
      </c>
      <c r="S44">
        <f t="shared" ref="S44" si="198">R44/100000</f>
        <v>-1156.5237730748477</v>
      </c>
      <c r="T44">
        <f t="shared" ref="T44" si="199">S44/1000</f>
        <v>-1.1565237730748477</v>
      </c>
    </row>
    <row r="45" spans="1:20" x14ac:dyDescent="0.25">
      <c r="A45" s="5">
        <v>44548</v>
      </c>
      <c r="B45">
        <v>2.1040000000000001</v>
      </c>
      <c r="C45">
        <v>2.1960000000000002</v>
      </c>
      <c r="D45">
        <v>2.06</v>
      </c>
      <c r="E45">
        <v>2.1480000000000001</v>
      </c>
      <c r="F45">
        <v>647411.5</v>
      </c>
      <c r="G45">
        <v>2.1480000000000001</v>
      </c>
      <c r="L45" t="s">
        <v>8</v>
      </c>
      <c r="M45" t="s">
        <v>7</v>
      </c>
      <c r="N45" t="s">
        <v>8</v>
      </c>
      <c r="P45">
        <f t="shared" ref="P45" si="200">IF(C45=D45,0,((E45-D45)-(C45-E45))/(C45-D45))</f>
        <v>0.29411764705882354</v>
      </c>
      <c r="Q45">
        <f t="shared" ref="Q45" si="201">F45*P45</f>
        <v>190415.14705882352</v>
      </c>
      <c r="R45">
        <f t="shared" ref="R45" si="202">R46+Q45</f>
        <v>-115251005.18948476</v>
      </c>
      <c r="S45">
        <f t="shared" ref="S45" si="203">R45/100000</f>
        <v>-1152.5100518948475</v>
      </c>
      <c r="T45">
        <f t="shared" ref="T45" si="204">S45/1000</f>
        <v>-1.1525100518948475</v>
      </c>
    </row>
    <row r="46" spans="1:20" x14ac:dyDescent="0.25">
      <c r="A46" s="5">
        <v>44547</v>
      </c>
      <c r="B46">
        <v>2.0790000000000002</v>
      </c>
      <c r="C46">
        <v>2.2440000000000002</v>
      </c>
      <c r="D46">
        <v>2.024</v>
      </c>
      <c r="E46">
        <v>2.1019999999999999</v>
      </c>
      <c r="F46">
        <v>1670473.1</v>
      </c>
      <c r="G46">
        <v>2.1019999999999999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-0.29090909090909295</v>
      </c>
      <c r="Q46">
        <f t="shared" ref="Q46" si="206">F46*P46</f>
        <v>-485955.81090909435</v>
      </c>
      <c r="R46">
        <f t="shared" ref="R46" si="207">R47+Q46</f>
        <v>-115441420.33654359</v>
      </c>
      <c r="S46">
        <f t="shared" ref="S46" si="208">R46/100000</f>
        <v>-1154.4142033654359</v>
      </c>
      <c r="T46">
        <f t="shared" ref="T46" si="209">S46/1000</f>
        <v>-1.1544142033654359</v>
      </c>
    </row>
    <row r="47" spans="1:20" x14ac:dyDescent="0.25">
      <c r="A47" s="5">
        <v>44546</v>
      </c>
      <c r="B47">
        <v>2.109</v>
      </c>
      <c r="C47">
        <v>2.411</v>
      </c>
      <c r="D47">
        <v>2.073</v>
      </c>
      <c r="E47">
        <v>2.0779999999999998</v>
      </c>
      <c r="F47">
        <v>2340773.2999999998</v>
      </c>
      <c r="G47">
        <v>2.0779999999999998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-0.97041420118343258</v>
      </c>
      <c r="Q47">
        <f t="shared" ref="Q47" si="211">F47*P47</f>
        <v>-2271519.6520710071</v>
      </c>
      <c r="R47">
        <f t="shared" ref="R47" si="212">R48+Q47</f>
        <v>-114955464.5256345</v>
      </c>
      <c r="S47">
        <f t="shared" ref="S47" si="213">R47/100000</f>
        <v>-1149.5546452563449</v>
      </c>
      <c r="T47">
        <f t="shared" ref="T47" si="214">S47/1000</f>
        <v>-1.149554645256345</v>
      </c>
    </row>
    <row r="48" spans="1:20" x14ac:dyDescent="0.25">
      <c r="A48" s="5">
        <v>44545</v>
      </c>
      <c r="B48">
        <v>2.1160000000000001</v>
      </c>
      <c r="C48">
        <v>2.1320000000000001</v>
      </c>
      <c r="D48">
        <v>1.921</v>
      </c>
      <c r="E48">
        <v>2.109</v>
      </c>
      <c r="F48">
        <v>1680181.6</v>
      </c>
      <c r="G48">
        <v>2.109</v>
      </c>
      <c r="L48" t="s">
        <v>7</v>
      </c>
      <c r="M48" t="s">
        <v>7</v>
      </c>
      <c r="N48" t="s">
        <v>8</v>
      </c>
      <c r="P48">
        <f t="shared" ref="P48" si="215">IF(C48=D48,0,((E48-D48)-(C48-E48))/(C48-D48))</f>
        <v>0.78199052132701308</v>
      </c>
      <c r="Q48">
        <f t="shared" ref="Q48" si="216">F48*P48</f>
        <v>1313886.0853080549</v>
      </c>
      <c r="R48">
        <f t="shared" ref="R48" si="217">R49+Q48</f>
        <v>-112683944.87356348</v>
      </c>
      <c r="S48">
        <f t="shared" ref="S48" si="218">R48/100000</f>
        <v>-1126.8394487356347</v>
      </c>
      <c r="T48">
        <f t="shared" ref="T48" si="219">S48/1000</f>
        <v>-1.1268394487356348</v>
      </c>
    </row>
    <row r="49" spans="1:20" x14ac:dyDescent="0.25">
      <c r="A49" s="5">
        <v>44544</v>
      </c>
      <c r="B49">
        <v>1.954</v>
      </c>
      <c r="C49">
        <v>2.4660000000000002</v>
      </c>
      <c r="D49">
        <v>1.923</v>
      </c>
      <c r="E49">
        <v>2.1160000000000001</v>
      </c>
      <c r="F49">
        <v>5546277.5</v>
      </c>
      <c r="G49">
        <v>2.1160000000000001</v>
      </c>
      <c r="L49" t="s">
        <v>8</v>
      </c>
      <c r="M49" t="s">
        <v>8</v>
      </c>
      <c r="N49" t="s">
        <v>8</v>
      </c>
      <c r="P49">
        <f t="shared" ref="P49" si="220">IF(C49=D49,0,((E49-D49)-(C49-E49))/(C49-D49))</f>
        <v>-0.28913443830570901</v>
      </c>
      <c r="Q49">
        <f t="shared" ref="Q49" si="221">F49*P49</f>
        <v>-1603619.8296500919</v>
      </c>
      <c r="R49">
        <f t="shared" ref="R49" si="222">R50+Q49</f>
        <v>-113997830.95887154</v>
      </c>
      <c r="S49">
        <f t="shared" ref="S49" si="223">R49/100000</f>
        <v>-1139.9783095887155</v>
      </c>
      <c r="T49">
        <f t="shared" ref="T49" si="224">S49/1000</f>
        <v>-1.1399783095887155</v>
      </c>
    </row>
    <row r="50" spans="1:20" x14ac:dyDescent="0.25">
      <c r="A50" s="5">
        <v>44543</v>
      </c>
      <c r="B50">
        <v>2.2290000000000001</v>
      </c>
      <c r="C50">
        <v>2.2400000000000002</v>
      </c>
      <c r="D50">
        <v>1.9179999999999999</v>
      </c>
      <c r="E50">
        <v>1.9530000000000001</v>
      </c>
      <c r="F50">
        <v>1246333.7</v>
      </c>
      <c r="G50">
        <v>1.9530000000000001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-0.78260869565217317</v>
      </c>
      <c r="Q50">
        <f t="shared" ref="Q50" si="226">F50*P50</f>
        <v>-975391.59130434692</v>
      </c>
      <c r="R50">
        <f t="shared" ref="R50" si="227">R51+Q50</f>
        <v>-112394211.12922145</v>
      </c>
      <c r="S50">
        <f t="shared" ref="S50" si="228">R50/100000</f>
        <v>-1123.9421112922146</v>
      </c>
      <c r="T50">
        <f t="shared" ref="T50" si="229">S50/1000</f>
        <v>-1.1239421112922146</v>
      </c>
    </row>
    <row r="51" spans="1:20" x14ac:dyDescent="0.25">
      <c r="A51" s="5">
        <v>44542</v>
      </c>
      <c r="B51">
        <v>2.258</v>
      </c>
      <c r="C51">
        <v>2.2610000000000001</v>
      </c>
      <c r="D51">
        <v>2.165</v>
      </c>
      <c r="E51">
        <v>2.2320000000000002</v>
      </c>
      <c r="F51">
        <v>465131.7</v>
      </c>
      <c r="G51">
        <v>2.2320000000000002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0.39583333333333565</v>
      </c>
      <c r="Q51">
        <f t="shared" ref="Q51" si="231">F51*P51</f>
        <v>184114.63125000108</v>
      </c>
      <c r="R51">
        <f t="shared" ref="R51" si="232">R52+Q51</f>
        <v>-111418819.53791711</v>
      </c>
      <c r="S51">
        <f t="shared" ref="S51" si="233">R51/100000</f>
        <v>-1114.188195379171</v>
      </c>
      <c r="T51">
        <f t="shared" ref="T51" si="234">S51/1000</f>
        <v>-1.114188195379171</v>
      </c>
    </row>
    <row r="52" spans="1:20" x14ac:dyDescent="0.25">
      <c r="A52" s="5">
        <v>44541</v>
      </c>
      <c r="B52">
        <v>2.1339999999999999</v>
      </c>
      <c r="C52">
        <v>2.16</v>
      </c>
      <c r="D52">
        <v>2.085</v>
      </c>
      <c r="E52">
        <v>2.1469999999999998</v>
      </c>
      <c r="F52">
        <v>59445.4</v>
      </c>
      <c r="G52">
        <v>2.1469999999999998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0.65333333333332499</v>
      </c>
      <c r="Q52">
        <f t="shared" ref="Q52" si="236">F52*P52</f>
        <v>38837.661333332835</v>
      </c>
      <c r="R52">
        <f t="shared" ref="R52" si="237">R53+Q52</f>
        <v>-111602934.1691671</v>
      </c>
      <c r="S52">
        <f t="shared" ref="S52" si="238">R52/100000</f>
        <v>-1116.0293416916711</v>
      </c>
      <c r="T52">
        <f t="shared" ref="T52" si="239">S52/1000</f>
        <v>-1.1160293416916711</v>
      </c>
    </row>
    <row r="53" spans="1:20" x14ac:dyDescent="0.25">
      <c r="A53" s="5">
        <v>44540</v>
      </c>
      <c r="B53">
        <v>2.1930000000000001</v>
      </c>
      <c r="C53">
        <v>2.2959999999999998</v>
      </c>
      <c r="D53">
        <v>2.1269999999999998</v>
      </c>
      <c r="E53">
        <v>2.1339999999999999</v>
      </c>
      <c r="F53">
        <v>1074569.3</v>
      </c>
      <c r="G53">
        <v>2.1339999999999999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-0.91715976331360805</v>
      </c>
      <c r="Q53">
        <f t="shared" ref="Q53" si="241">F53*P53</f>
        <v>-985551.72485206951</v>
      </c>
      <c r="R53">
        <f t="shared" ref="R53" si="242">R54+Q53</f>
        <v>-111641771.83050044</v>
      </c>
      <c r="S53">
        <f t="shared" ref="S53" si="243">R53/100000</f>
        <v>-1116.4177183050044</v>
      </c>
      <c r="T53">
        <f t="shared" ref="T53" si="244">S53/1000</f>
        <v>-1.1164177183050044</v>
      </c>
    </row>
    <row r="54" spans="1:20" x14ac:dyDescent="0.25">
      <c r="A54" s="5">
        <v>44539</v>
      </c>
      <c r="B54">
        <v>2.407</v>
      </c>
      <c r="C54">
        <v>2.4670000000000001</v>
      </c>
      <c r="D54">
        <v>2.1720000000000002</v>
      </c>
      <c r="E54">
        <v>2.1989999999999998</v>
      </c>
      <c r="F54">
        <v>1748219.7</v>
      </c>
      <c r="G54">
        <v>2.1989999999999998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-0.81694915254237488</v>
      </c>
      <c r="Q54">
        <f t="shared" ref="Q54" si="246">F54*P54</f>
        <v>-1428206.6023728848</v>
      </c>
      <c r="R54">
        <f t="shared" ref="R54" si="247">R55+Q54</f>
        <v>-110656220.10564837</v>
      </c>
      <c r="S54">
        <f t="shared" ref="S54" si="248">R54/100000</f>
        <v>-1106.5622010564837</v>
      </c>
      <c r="T54">
        <f t="shared" ref="T54" si="249">S54/1000</f>
        <v>-1.1065622010564837</v>
      </c>
    </row>
    <row r="55" spans="1:20" x14ac:dyDescent="0.25">
      <c r="A55" s="5">
        <v>44538</v>
      </c>
      <c r="B55">
        <v>2.3180000000000001</v>
      </c>
      <c r="C55">
        <v>2.5449999999999999</v>
      </c>
      <c r="D55">
        <v>2.2730000000000001</v>
      </c>
      <c r="E55">
        <v>2.4049999999999998</v>
      </c>
      <c r="F55">
        <v>2873580</v>
      </c>
      <c r="G55">
        <v>2.4049999999999998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-2.9411764705884035E-2</v>
      </c>
      <c r="Q55">
        <f t="shared" ref="Q55" si="251">F55*P55</f>
        <v>-84517.058823534244</v>
      </c>
      <c r="R55">
        <f t="shared" ref="R55" si="252">R56+Q55</f>
        <v>-109228013.50327548</v>
      </c>
      <c r="S55">
        <f t="shared" ref="S55" si="253">R55/100000</f>
        <v>-1092.2801350327547</v>
      </c>
      <c r="T55">
        <f t="shared" ref="T55" si="254">S55/1000</f>
        <v>-1.0922801350327547</v>
      </c>
    </row>
    <row r="56" spans="1:20" x14ac:dyDescent="0.25">
      <c r="A56" s="5">
        <v>44537</v>
      </c>
      <c r="B56">
        <v>2.2719999999999998</v>
      </c>
      <c r="C56">
        <v>2.4049999999999998</v>
      </c>
      <c r="D56">
        <v>2.2690000000000001</v>
      </c>
      <c r="E56">
        <v>2.3119999999999998</v>
      </c>
      <c r="F56">
        <v>1413088.8</v>
      </c>
      <c r="G56">
        <v>2.3119999999999998</v>
      </c>
      <c r="L56" t="s">
        <v>7</v>
      </c>
      <c r="M56" t="s">
        <v>8</v>
      </c>
      <c r="N56" t="s">
        <v>8</v>
      </c>
      <c r="P56">
        <f t="shared" ref="P56" si="255">IF(C56=D56,0,((E56-D56)-(C56-E56))/(C56-D56))</f>
        <v>-0.36764705882353227</v>
      </c>
      <c r="Q56">
        <f t="shared" ref="Q56" si="256">F56*P56</f>
        <v>-519517.94117647462</v>
      </c>
      <c r="R56">
        <f t="shared" ref="R56" si="257">R57+Q56</f>
        <v>-109143496.44445194</v>
      </c>
      <c r="S56">
        <f t="shared" ref="S56" si="258">R56/100000</f>
        <v>-1091.4349644445194</v>
      </c>
      <c r="T56">
        <f t="shared" ref="T56" si="259">S56/1000</f>
        <v>-1.0914349644445194</v>
      </c>
    </row>
    <row r="57" spans="1:20" x14ac:dyDescent="0.25">
      <c r="A57" s="5">
        <v>44536</v>
      </c>
      <c r="B57">
        <v>2.1779999999999999</v>
      </c>
      <c r="C57">
        <v>2.5169999999999999</v>
      </c>
      <c r="D57">
        <v>1.9419999999999999</v>
      </c>
      <c r="E57">
        <v>2.274</v>
      </c>
      <c r="F57">
        <v>7227937.2999999998</v>
      </c>
      <c r="G57">
        <v>2.274</v>
      </c>
      <c r="L57" t="s">
        <v>8</v>
      </c>
      <c r="M57" t="s">
        <v>7</v>
      </c>
      <c r="N57" t="s">
        <v>8</v>
      </c>
      <c r="P57">
        <f t="shared" ref="P57" si="260">IF(C57=D57,0,((E57-D57)-(C57-E57))/(C57-D57))</f>
        <v>0.15478260869565252</v>
      </c>
      <c r="Q57">
        <f t="shared" ref="Q57" si="261">F57*P57</f>
        <v>1118758.9907826113</v>
      </c>
      <c r="R57">
        <f t="shared" ref="R57" si="262">R58+Q57</f>
        <v>-108623978.50327547</v>
      </c>
      <c r="S57">
        <f t="shared" ref="S57" si="263">R57/100000</f>
        <v>-1086.2397850327548</v>
      </c>
      <c r="T57">
        <f t="shared" ref="T57" si="264">S57/1000</f>
        <v>-1.0862397850327548</v>
      </c>
    </row>
    <row r="58" spans="1:20" x14ac:dyDescent="0.25">
      <c r="A58" s="5">
        <v>44535</v>
      </c>
      <c r="B58">
        <v>2.36</v>
      </c>
      <c r="C58">
        <v>2.411</v>
      </c>
      <c r="D58">
        <v>2.1080000000000001</v>
      </c>
      <c r="E58">
        <v>2.1760000000000002</v>
      </c>
      <c r="F58">
        <v>1456535.7</v>
      </c>
      <c r="G58">
        <v>2.1760000000000002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-0.55115511551155061</v>
      </c>
      <c r="Q58">
        <f t="shared" ref="Q58" si="266">F58*P58</f>
        <v>-802777.10198019724</v>
      </c>
      <c r="R58">
        <f t="shared" ref="R58" si="267">R59+Q58</f>
        <v>-109742737.49405809</v>
      </c>
      <c r="S58">
        <f t="shared" ref="S58" si="268">R58/100000</f>
        <v>-1097.4273749405809</v>
      </c>
      <c r="T58">
        <f t="shared" ref="T58" si="269">S58/1000</f>
        <v>-1.097427374940581</v>
      </c>
    </row>
    <row r="59" spans="1:20" x14ac:dyDescent="0.25">
      <c r="A59" s="5">
        <v>44534</v>
      </c>
      <c r="B59">
        <v>2.843</v>
      </c>
      <c r="C59">
        <v>2.8460000000000001</v>
      </c>
      <c r="D59">
        <v>1.762</v>
      </c>
      <c r="E59">
        <v>2.359</v>
      </c>
      <c r="F59">
        <v>3812112.16</v>
      </c>
      <c r="G59">
        <v>2.359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0.10147601476014748</v>
      </c>
      <c r="Q59">
        <f t="shared" ref="Q59" si="271">F59*P59</f>
        <v>386837.94981549768</v>
      </c>
      <c r="R59">
        <f t="shared" ref="R59" si="272">R60+Q59</f>
        <v>-108939960.39207789</v>
      </c>
      <c r="S59">
        <f t="shared" ref="S59" si="273">R59/100000</f>
        <v>-1089.3996039207789</v>
      </c>
      <c r="T59">
        <f t="shared" ref="T59" si="274">S59/1000</f>
        <v>-1.0893996039207789</v>
      </c>
    </row>
    <row r="60" spans="1:20" x14ac:dyDescent="0.25">
      <c r="A60" s="5">
        <v>44533</v>
      </c>
      <c r="B60">
        <v>2.9660000000000002</v>
      </c>
      <c r="C60">
        <v>3.1160000000000001</v>
      </c>
      <c r="D60">
        <v>2.6640000000000001</v>
      </c>
      <c r="E60">
        <v>2.847</v>
      </c>
      <c r="F60">
        <v>2648585.7999999998</v>
      </c>
      <c r="G60">
        <v>2.847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-0.1902654867256644</v>
      </c>
      <c r="Q60">
        <f t="shared" ref="Q60" si="276">F60*P60</f>
        <v>-503934.46637168317</v>
      </c>
      <c r="R60">
        <f t="shared" ref="R60" si="277">R61+Q60</f>
        <v>-109326798.34189339</v>
      </c>
      <c r="S60">
        <f t="shared" ref="S60" si="278">R60/100000</f>
        <v>-1093.2679834189339</v>
      </c>
      <c r="T60">
        <f t="shared" ref="T60" si="279">S60/1000</f>
        <v>-1.0932679834189338</v>
      </c>
    </row>
    <row r="61" spans="1:20" x14ac:dyDescent="0.25">
      <c r="A61" s="5">
        <v>44532</v>
      </c>
      <c r="B61">
        <v>2.9239999999999999</v>
      </c>
      <c r="C61">
        <v>3.0049999999999999</v>
      </c>
      <c r="D61">
        <v>2.819</v>
      </c>
      <c r="E61">
        <v>2.9649999999999999</v>
      </c>
      <c r="F61">
        <v>1163768.3999999999</v>
      </c>
      <c r="G61">
        <v>2.9649999999999999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0.56989247311827906</v>
      </c>
      <c r="Q61">
        <f t="shared" ref="Q61" si="281">F61*P61</f>
        <v>663222.8516129026</v>
      </c>
      <c r="R61">
        <f t="shared" ref="R61" si="282">R62+Q61</f>
        <v>-108822863.8755217</v>
      </c>
      <c r="S61">
        <f t="shared" ref="S61" si="283">R61/100000</f>
        <v>-1088.2286387552169</v>
      </c>
      <c r="T61">
        <f t="shared" ref="T61" si="284">S61/1000</f>
        <v>-1.0882286387552169</v>
      </c>
    </row>
    <row r="62" spans="1:20" x14ac:dyDescent="0.25">
      <c r="A62" s="5">
        <v>44531</v>
      </c>
      <c r="B62">
        <v>2.915</v>
      </c>
      <c r="C62">
        <v>3.1320000000000001</v>
      </c>
      <c r="D62">
        <v>2.8650000000000002</v>
      </c>
      <c r="E62">
        <v>2.9249999999999998</v>
      </c>
      <c r="F62">
        <v>1436807.4</v>
      </c>
      <c r="G62">
        <v>2.9249999999999998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-0.55056179775281178</v>
      </c>
      <c r="Q62">
        <f t="shared" ref="Q62" si="286">F62*P62</f>
        <v>-791051.26516854332</v>
      </c>
      <c r="R62">
        <f t="shared" ref="R62" si="287">R63+Q62</f>
        <v>-109486086.7271346</v>
      </c>
      <c r="S62">
        <f t="shared" ref="S62" si="288">R62/100000</f>
        <v>-1094.860867271346</v>
      </c>
      <c r="T62">
        <f t="shared" ref="T62" si="289">S62/1000</f>
        <v>-1.094860867271346</v>
      </c>
    </row>
    <row r="63" spans="1:20" x14ac:dyDescent="0.25">
      <c r="A63" s="5">
        <v>44530</v>
      </c>
      <c r="B63">
        <v>2.9660000000000002</v>
      </c>
      <c r="C63">
        <v>3.0150000000000001</v>
      </c>
      <c r="D63">
        <v>2.8650000000000002</v>
      </c>
      <c r="E63">
        <v>2.9159999999999999</v>
      </c>
      <c r="F63">
        <v>1172821.8</v>
      </c>
      <c r="G63">
        <v>2.9159999999999999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-0.32000000000000345</v>
      </c>
      <c r="Q63">
        <f t="shared" ref="Q63" si="291">F63*P63</f>
        <v>-375302.97600000404</v>
      </c>
      <c r="R63">
        <f t="shared" ref="R63" si="292">R64+Q63</f>
        <v>-108695035.46196605</v>
      </c>
      <c r="S63">
        <f t="shared" ref="S63" si="293">R63/100000</f>
        <v>-1086.9503546196606</v>
      </c>
      <c r="T63">
        <f t="shared" ref="T63" si="294">S63/1000</f>
        <v>-1.0869503546196606</v>
      </c>
    </row>
    <row r="64" spans="1:20" x14ac:dyDescent="0.25">
      <c r="A64" s="5">
        <v>44529</v>
      </c>
      <c r="B64">
        <v>2.9550000000000001</v>
      </c>
      <c r="C64">
        <v>3.0190000000000001</v>
      </c>
      <c r="D64">
        <v>2.8610000000000002</v>
      </c>
      <c r="E64">
        <v>2.9670000000000001</v>
      </c>
      <c r="F64">
        <v>1064386.7</v>
      </c>
      <c r="G64">
        <v>2.9670000000000001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0.34177215189873328</v>
      </c>
      <c r="Q64">
        <f t="shared" ref="Q64" si="296">F64*P64</f>
        <v>363777.73291139142</v>
      </c>
      <c r="R64">
        <f t="shared" ref="R64" si="297">R65+Q64</f>
        <v>-108319732.48596604</v>
      </c>
      <c r="S64">
        <f t="shared" ref="S64" si="298">R64/100000</f>
        <v>-1083.1973248596605</v>
      </c>
      <c r="T64">
        <f t="shared" ref="T64" si="299">S64/1000</f>
        <v>-1.0831973248596605</v>
      </c>
    </row>
    <row r="65" spans="1:20" x14ac:dyDescent="0.25">
      <c r="A65" s="5">
        <v>44528</v>
      </c>
      <c r="B65">
        <v>2.9790000000000001</v>
      </c>
      <c r="C65">
        <v>2.9790000000000001</v>
      </c>
      <c r="D65">
        <v>2.7269999999999999</v>
      </c>
      <c r="E65">
        <v>2.9550000000000001</v>
      </c>
      <c r="F65">
        <v>1099697.1000000001</v>
      </c>
      <c r="G65">
        <v>2.9550000000000001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0.80952380952380953</v>
      </c>
      <c r="Q65">
        <f t="shared" ref="Q65" si="301">F65*P65</f>
        <v>890230.98571428575</v>
      </c>
      <c r="R65">
        <f t="shared" ref="R65" si="302">R66+Q65</f>
        <v>-108683510.21887743</v>
      </c>
      <c r="S65">
        <f t="shared" ref="S65" si="303">R65/100000</f>
        <v>-1086.8351021887743</v>
      </c>
      <c r="T65">
        <f t="shared" ref="T65" si="304">S65/1000</f>
        <v>-1.0868351021887743</v>
      </c>
    </row>
    <row r="66" spans="1:20" x14ac:dyDescent="0.25">
      <c r="A66" s="5">
        <v>44527</v>
      </c>
      <c r="B66">
        <v>2.9289999999999998</v>
      </c>
      <c r="C66">
        <v>3.0979999999999999</v>
      </c>
      <c r="D66">
        <v>2.887</v>
      </c>
      <c r="E66">
        <v>2.9790000000000001</v>
      </c>
      <c r="F66">
        <v>2144538.9</v>
      </c>
      <c r="G66">
        <v>2.9790000000000001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-0.1279620853080555</v>
      </c>
      <c r="Q66">
        <f t="shared" ref="Q66" si="306">F66*P66</f>
        <v>-274419.6696682435</v>
      </c>
      <c r="R66">
        <f t="shared" ref="R66" si="307">R67+Q66</f>
        <v>-109573741.20459172</v>
      </c>
      <c r="S66">
        <f t="shared" ref="S66" si="308">R66/100000</f>
        <v>-1095.7374120459172</v>
      </c>
      <c r="T66">
        <f t="shared" ref="T66" si="309">S66/1000</f>
        <v>-1.0957374120459171</v>
      </c>
    </row>
    <row r="67" spans="1:20" x14ac:dyDescent="0.25">
      <c r="A67" s="5">
        <v>44526</v>
      </c>
      <c r="B67">
        <v>3.1309999999999998</v>
      </c>
      <c r="C67">
        <v>3.2410000000000001</v>
      </c>
      <c r="D67">
        <v>2.746</v>
      </c>
      <c r="E67">
        <v>2.9279999999999999</v>
      </c>
      <c r="F67">
        <v>2945746.5</v>
      </c>
      <c r="G67">
        <v>2.9279999999999999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-0.26464646464646507</v>
      </c>
      <c r="Q67">
        <f t="shared" ref="Q67" si="311">F67*P67</f>
        <v>-779581.39696969825</v>
      </c>
      <c r="R67">
        <f t="shared" ref="R67" si="312">R68+Q67</f>
        <v>-109299321.53492348</v>
      </c>
      <c r="S67">
        <f t="shared" ref="S67" si="313">R67/100000</f>
        <v>-1092.9932153492348</v>
      </c>
      <c r="T67">
        <f t="shared" ref="T67" si="314">S67/1000</f>
        <v>-1.0929932153492348</v>
      </c>
    </row>
    <row r="68" spans="1:20" x14ac:dyDescent="0.25">
      <c r="A68" s="5">
        <v>44525</v>
      </c>
      <c r="B68">
        <v>2.9420000000000002</v>
      </c>
      <c r="C68">
        <v>3.22</v>
      </c>
      <c r="D68">
        <v>2.9089999999999998</v>
      </c>
      <c r="E68">
        <v>3.1259999999999999</v>
      </c>
      <c r="F68">
        <v>2293286.5</v>
      </c>
      <c r="G68">
        <v>3.1259999999999999</v>
      </c>
      <c r="L68" t="s">
        <v>8</v>
      </c>
      <c r="M68" t="s">
        <v>7</v>
      </c>
      <c r="N68" t="s">
        <v>7</v>
      </c>
      <c r="P68">
        <f t="shared" ref="P68" si="315">IF(C68=D68,0,((E68-D68)-(C68-E68))/(C68-D68))</f>
        <v>0.39549839228295697</v>
      </c>
      <c r="Q68">
        <f t="shared" ref="Q68" si="316">F68*P68</f>
        <v>906991.12379420944</v>
      </c>
      <c r="R68">
        <f t="shared" ref="R68" si="317">R69+Q68</f>
        <v>-108519740.13795379</v>
      </c>
      <c r="S68">
        <f t="shared" ref="S68" si="318">R68/100000</f>
        <v>-1085.197401379538</v>
      </c>
      <c r="T68">
        <f t="shared" ref="T68" si="319">S68/1000</f>
        <v>-1.085197401379538</v>
      </c>
    </row>
    <row r="69" spans="1:20" x14ac:dyDescent="0.25">
      <c r="A69" s="5">
        <v>44524</v>
      </c>
      <c r="B69">
        <v>3.0449999999999999</v>
      </c>
      <c r="C69">
        <v>3.0449999999999999</v>
      </c>
      <c r="D69">
        <v>2.9319999999999999</v>
      </c>
      <c r="E69">
        <v>2.956</v>
      </c>
      <c r="F69">
        <v>270917.59999999998</v>
      </c>
      <c r="G69">
        <v>2.956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-0.57522123893805266</v>
      </c>
      <c r="Q69">
        <f t="shared" ref="Q69" si="321">F69*P69</f>
        <v>-155837.55752212377</v>
      </c>
      <c r="R69">
        <f t="shared" ref="R69" si="322">R70+Q69</f>
        <v>-109426731.261748</v>
      </c>
      <c r="S69">
        <f t="shared" ref="S69" si="323">R69/100000</f>
        <v>-1094.26731261748</v>
      </c>
      <c r="T69">
        <f t="shared" ref="T69" si="324">S69/1000</f>
        <v>-1.09426731261748</v>
      </c>
    </row>
    <row r="70" spans="1:20" x14ac:dyDescent="0.25">
      <c r="A70" s="5">
        <v>44523</v>
      </c>
      <c r="B70">
        <v>3.0089999999999999</v>
      </c>
      <c r="C70">
        <v>3.0619999999999998</v>
      </c>
      <c r="D70">
        <v>2.91</v>
      </c>
      <c r="E70">
        <v>3.0449999999999999</v>
      </c>
      <c r="F70">
        <v>870331.2</v>
      </c>
      <c r="G70">
        <v>3.0449999999999999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0.77631578947368507</v>
      </c>
      <c r="Q70">
        <f t="shared" ref="Q70" si="326">F70*P70</f>
        <v>675651.85263157962</v>
      </c>
      <c r="R70">
        <f t="shared" ref="R70" si="327">R71+Q70</f>
        <v>-109270893.70422588</v>
      </c>
      <c r="S70">
        <f t="shared" ref="S70" si="328">R70/100000</f>
        <v>-1092.7089370422589</v>
      </c>
      <c r="T70">
        <f t="shared" ref="T70" si="329">S70/1000</f>
        <v>-1.0927089370422589</v>
      </c>
    </row>
    <row r="71" spans="1:20" x14ac:dyDescent="0.25">
      <c r="A71" s="5">
        <v>44522</v>
      </c>
      <c r="B71">
        <v>3.113</v>
      </c>
      <c r="C71">
        <v>3.1230000000000002</v>
      </c>
      <c r="D71">
        <v>2.964</v>
      </c>
      <c r="E71">
        <v>3.0089999999999999</v>
      </c>
      <c r="F71">
        <v>1001524.6</v>
      </c>
      <c r="G71">
        <v>3.0089999999999999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-0.43396226415094519</v>
      </c>
      <c r="Q71">
        <f t="shared" ref="Q71" si="331">F71*P71</f>
        <v>-434623.88301886973</v>
      </c>
      <c r="R71">
        <f t="shared" ref="R71" si="332">R72+Q71</f>
        <v>-109946545.55685747</v>
      </c>
      <c r="S71">
        <f t="shared" ref="S71" si="333">R71/100000</f>
        <v>-1099.4654555685747</v>
      </c>
      <c r="T71">
        <f t="shared" ref="T71" si="334">S71/1000</f>
        <v>-1.0994654555685748</v>
      </c>
    </row>
    <row r="72" spans="1:20" x14ac:dyDescent="0.25">
      <c r="A72" s="5">
        <v>44521</v>
      </c>
      <c r="B72">
        <v>3.125</v>
      </c>
      <c r="C72">
        <v>3.2160000000000002</v>
      </c>
      <c r="D72">
        <v>3.06</v>
      </c>
      <c r="E72">
        <v>3.1120000000000001</v>
      </c>
      <c r="F72">
        <v>1141091.5</v>
      </c>
      <c r="G72">
        <v>3.1120000000000001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-0.33333333333333331</v>
      </c>
      <c r="Q72">
        <f t="shared" ref="Q72" si="336">F72*P72</f>
        <v>-380363.83333333331</v>
      </c>
      <c r="R72">
        <f t="shared" ref="R72" si="337">R73+Q72</f>
        <v>-109511921.6738386</v>
      </c>
      <c r="S72">
        <f t="shared" ref="S72" si="338">R72/100000</f>
        <v>-1095.1192167383861</v>
      </c>
      <c r="T72">
        <f t="shared" ref="T72" si="339">S72/1000</f>
        <v>-1.0951192167383861</v>
      </c>
    </row>
    <row r="73" spans="1:20" x14ac:dyDescent="0.25">
      <c r="A73" s="5">
        <v>44520</v>
      </c>
      <c r="B73">
        <v>3.0289999999999999</v>
      </c>
      <c r="C73">
        <v>3.1469999999999998</v>
      </c>
      <c r="D73">
        <v>2.9609999999999999</v>
      </c>
      <c r="E73">
        <v>3.125</v>
      </c>
      <c r="F73">
        <v>1025583.9</v>
      </c>
      <c r="G73">
        <v>3.125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0.76344086021505586</v>
      </c>
      <c r="Q73">
        <f t="shared" ref="Q73" si="341">F73*P73</f>
        <v>782972.65483871184</v>
      </c>
      <c r="R73">
        <f t="shared" ref="R73" si="342">R74+Q73</f>
        <v>-109131557.84050527</v>
      </c>
      <c r="S73">
        <f t="shared" ref="S73" si="343">R73/100000</f>
        <v>-1091.3155784050527</v>
      </c>
      <c r="T73">
        <f t="shared" ref="T73" si="344">S73/1000</f>
        <v>-1.0913155784050528</v>
      </c>
    </row>
    <row r="74" spans="1:20" x14ac:dyDescent="0.25">
      <c r="A74" s="5">
        <v>44519</v>
      </c>
      <c r="B74">
        <v>2.9159999999999999</v>
      </c>
      <c r="C74">
        <v>3.048</v>
      </c>
      <c r="D74">
        <v>2.8220000000000001</v>
      </c>
      <c r="E74">
        <v>3.0289999999999999</v>
      </c>
      <c r="F74">
        <v>1061596.8999999999</v>
      </c>
      <c r="G74">
        <v>3.0289999999999999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0.83185840707964487</v>
      </c>
      <c r="Q74">
        <f t="shared" ref="Q74" si="346">F74*P74</f>
        <v>883098.30619468901</v>
      </c>
      <c r="R74">
        <f t="shared" ref="R74" si="347">R75+Q74</f>
        <v>-109914530.49534398</v>
      </c>
      <c r="S74">
        <f t="shared" ref="S74" si="348">R74/100000</f>
        <v>-1099.1453049534398</v>
      </c>
      <c r="T74">
        <f t="shared" ref="T74" si="349">S74/1000</f>
        <v>-1.0991453049534399</v>
      </c>
    </row>
    <row r="75" spans="1:20" x14ac:dyDescent="0.25">
      <c r="A75" s="5">
        <v>44518</v>
      </c>
      <c r="B75">
        <v>3.3370000000000002</v>
      </c>
      <c r="C75">
        <v>3.3370000000000002</v>
      </c>
      <c r="D75">
        <v>2.8210000000000002</v>
      </c>
      <c r="E75">
        <v>2.919</v>
      </c>
      <c r="F75">
        <v>2475394.6</v>
      </c>
      <c r="G75">
        <v>2.919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-0.62015503875969047</v>
      </c>
      <c r="Q75">
        <f t="shared" ref="Q75" si="351">F75*P75</f>
        <v>-1535128.4341085285</v>
      </c>
      <c r="R75">
        <f t="shared" ref="R75" si="352">R76+Q75</f>
        <v>-110797628.80153868</v>
      </c>
      <c r="S75">
        <f t="shared" ref="S75" si="353">R75/100000</f>
        <v>-1107.9762880153867</v>
      </c>
      <c r="T75">
        <f t="shared" ref="T75" si="354">S75/1000</f>
        <v>-1.1079762880153867</v>
      </c>
    </row>
    <row r="76" spans="1:20" x14ac:dyDescent="0.25">
      <c r="A76" s="5">
        <v>44517</v>
      </c>
      <c r="B76">
        <v>3.0459999999999998</v>
      </c>
      <c r="C76">
        <v>3.5489999999999999</v>
      </c>
      <c r="D76">
        <v>3.0310000000000001</v>
      </c>
      <c r="E76">
        <v>3.331</v>
      </c>
      <c r="F76">
        <v>6890180.5</v>
      </c>
      <c r="G76">
        <v>3.331</v>
      </c>
      <c r="L76" t="s">
        <v>8</v>
      </c>
      <c r="M76" t="s">
        <v>8</v>
      </c>
      <c r="N76" t="s">
        <v>7</v>
      </c>
      <c r="P76">
        <f t="shared" ref="P76" si="355">IF(C76=D76,0,((E76-D76)-(C76-E76))/(C76-D76))</f>
        <v>0.15830115830115807</v>
      </c>
      <c r="Q76">
        <f t="shared" ref="Q76" si="356">F76*P76</f>
        <v>1090723.5540540523</v>
      </c>
      <c r="R76">
        <f t="shared" ref="R76" si="357">R77+Q76</f>
        <v>-109262500.36743015</v>
      </c>
      <c r="S76">
        <f t="shared" ref="S76" si="358">R76/100000</f>
        <v>-1092.6250036743015</v>
      </c>
      <c r="T76">
        <f t="shared" ref="T76" si="359">S76/1000</f>
        <v>-1.0926250036743015</v>
      </c>
    </row>
    <row r="77" spans="1:20" x14ac:dyDescent="0.25">
      <c r="A77" s="5">
        <v>44516</v>
      </c>
      <c r="B77">
        <v>3.2469999999999999</v>
      </c>
      <c r="C77">
        <v>3.2469999999999999</v>
      </c>
      <c r="D77">
        <v>2.8090000000000002</v>
      </c>
      <c r="E77">
        <v>3.0419999999999998</v>
      </c>
      <c r="F77">
        <v>1663628.4</v>
      </c>
      <c r="G77">
        <v>3.0419999999999998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6.3926940639268487E-2</v>
      </c>
      <c r="Q77">
        <f t="shared" ref="Q77" si="361">F77*P77</f>
        <v>106350.6739726012</v>
      </c>
      <c r="R77">
        <f t="shared" ref="R77" si="362">R78+Q77</f>
        <v>-110353223.9214842</v>
      </c>
      <c r="S77">
        <f t="shared" ref="S77" si="363">R77/100000</f>
        <v>-1103.5322392148421</v>
      </c>
      <c r="T77">
        <f t="shared" ref="T77" si="364">S77/1000</f>
        <v>-1.1035322392148421</v>
      </c>
    </row>
    <row r="78" spans="1:20" x14ac:dyDescent="0.25">
      <c r="A78" s="5">
        <v>44515</v>
      </c>
      <c r="B78">
        <v>3.2360000000000002</v>
      </c>
      <c r="C78">
        <v>3.2989999999999999</v>
      </c>
      <c r="D78">
        <v>3.125</v>
      </c>
      <c r="E78">
        <v>3.2440000000000002</v>
      </c>
      <c r="F78">
        <v>1385125.4</v>
      </c>
      <c r="G78">
        <v>3.2440000000000002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0.36781609195402604</v>
      </c>
      <c r="Q78">
        <f t="shared" ref="Q78" si="366">F78*P78</f>
        <v>509471.41149425704</v>
      </c>
      <c r="R78">
        <f t="shared" ref="R78" si="367">R79+Q78</f>
        <v>-110459574.59545681</v>
      </c>
      <c r="S78">
        <f t="shared" ref="S78" si="368">R78/100000</f>
        <v>-1104.5957459545682</v>
      </c>
      <c r="T78">
        <f t="shared" ref="T78" si="369">S78/1000</f>
        <v>-1.1045957459545681</v>
      </c>
    </row>
    <row r="79" spans="1:20" x14ac:dyDescent="0.25">
      <c r="A79" s="5">
        <v>44514</v>
      </c>
      <c r="B79">
        <v>3.2370000000000001</v>
      </c>
      <c r="C79">
        <v>3.2669999999999999</v>
      </c>
      <c r="D79">
        <v>3.1440000000000001</v>
      </c>
      <c r="E79">
        <v>3.234</v>
      </c>
      <c r="F79">
        <v>675270.8</v>
      </c>
      <c r="G79">
        <v>3.234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0.46341463414634182</v>
      </c>
      <c r="Q79">
        <f t="shared" ref="Q79" si="371">F79*P79</f>
        <v>312930.3707317076</v>
      </c>
      <c r="R79">
        <f t="shared" ref="R79" si="372">R80+Q79</f>
        <v>-110969046.00695106</v>
      </c>
      <c r="S79">
        <f t="shared" ref="S79" si="373">R79/100000</f>
        <v>-1109.6904600695107</v>
      </c>
      <c r="T79">
        <f t="shared" ref="T79" si="374">S79/1000</f>
        <v>-1.1096904600695106</v>
      </c>
    </row>
    <row r="80" spans="1:20" x14ac:dyDescent="0.25">
      <c r="A80" s="5">
        <v>44513</v>
      </c>
      <c r="B80">
        <v>3.2010000000000001</v>
      </c>
      <c r="C80">
        <v>3.2559999999999998</v>
      </c>
      <c r="D80">
        <v>3.1669999999999998</v>
      </c>
      <c r="E80">
        <v>3.24</v>
      </c>
      <c r="F80">
        <v>828722.2</v>
      </c>
      <c r="G80">
        <v>3.24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0.64044943820225675</v>
      </c>
      <c r="Q80">
        <f t="shared" ref="Q80" si="376">F80*P80</f>
        <v>530754.66741573822</v>
      </c>
      <c r="R80">
        <f t="shared" ref="R80" si="377">R81+Q80</f>
        <v>-111281976.37768278</v>
      </c>
      <c r="S80">
        <f t="shared" ref="S80" si="378">R80/100000</f>
        <v>-1112.8197637768278</v>
      </c>
      <c r="T80">
        <f t="shared" ref="T80" si="379">S80/1000</f>
        <v>-1.1128197637768278</v>
      </c>
    </row>
    <row r="81" spans="1:20" x14ac:dyDescent="0.25">
      <c r="A81" s="5">
        <v>44512</v>
      </c>
      <c r="B81">
        <v>3.2730000000000001</v>
      </c>
      <c r="C81">
        <v>3.323</v>
      </c>
      <c r="D81">
        <v>3.073</v>
      </c>
      <c r="E81">
        <v>3.2040000000000002</v>
      </c>
      <c r="F81">
        <v>1415121.9</v>
      </c>
      <c r="G81">
        <v>3.2040000000000002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4.8000000000001819E-2</v>
      </c>
      <c r="Q81">
        <f t="shared" ref="Q81" si="381">F81*P81</f>
        <v>67925.851200002566</v>
      </c>
      <c r="R81">
        <f t="shared" ref="R81" si="382">R82+Q81</f>
        <v>-111812731.04509851</v>
      </c>
      <c r="S81">
        <f t="shared" ref="S81" si="383">R81/100000</f>
        <v>-1118.1273104509851</v>
      </c>
      <c r="T81">
        <f t="shared" ref="T81" si="384">S81/1000</f>
        <v>-1.118127310450985</v>
      </c>
    </row>
    <row r="82" spans="1:20" x14ac:dyDescent="0.25">
      <c r="A82" s="5">
        <v>44511</v>
      </c>
      <c r="B82">
        <v>3.1629999999999998</v>
      </c>
      <c r="C82">
        <v>3.3109999999999999</v>
      </c>
      <c r="D82">
        <v>3.1280000000000001</v>
      </c>
      <c r="E82">
        <v>3.28</v>
      </c>
      <c r="F82">
        <v>1208748.6000000001</v>
      </c>
      <c r="G82">
        <v>3.28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0.66120218579234791</v>
      </c>
      <c r="Q82">
        <f t="shared" ref="Q82" si="386">F82*P82</f>
        <v>799227.2163934405</v>
      </c>
      <c r="R82">
        <f t="shared" ref="R82" si="387">R83+Q82</f>
        <v>-111880656.89629851</v>
      </c>
      <c r="S82">
        <f t="shared" ref="S82" si="388">R82/100000</f>
        <v>-1118.8065689629852</v>
      </c>
      <c r="T82">
        <f t="shared" ref="T82" si="389">S82/1000</f>
        <v>-1.1188065689629851</v>
      </c>
    </row>
    <row r="83" spans="1:20" x14ac:dyDescent="0.25">
      <c r="A83" s="5">
        <v>44510</v>
      </c>
      <c r="B83">
        <v>3.45</v>
      </c>
      <c r="C83">
        <v>3.4780000000000002</v>
      </c>
      <c r="D83">
        <v>2.9359999999999999</v>
      </c>
      <c r="E83">
        <v>3.1629999999999998</v>
      </c>
      <c r="F83">
        <v>2336163.6</v>
      </c>
      <c r="G83">
        <v>3.1629999999999998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-0.16236162361623704</v>
      </c>
      <c r="Q83">
        <f t="shared" ref="Q83" si="391">F83*P83</f>
        <v>-379303.31512915337</v>
      </c>
      <c r="R83">
        <f t="shared" ref="R83" si="392">R84+Q83</f>
        <v>-112679884.11269195</v>
      </c>
      <c r="S83">
        <f t="shared" ref="S83" si="393">R83/100000</f>
        <v>-1126.7988411269196</v>
      </c>
      <c r="T83">
        <f t="shared" ref="T83" si="394">S83/1000</f>
        <v>-1.1267988411269196</v>
      </c>
    </row>
    <row r="84" spans="1:20" x14ac:dyDescent="0.25">
      <c r="A84" s="5">
        <v>44509</v>
      </c>
      <c r="B84">
        <v>3.331</v>
      </c>
      <c r="C84">
        <v>3.5680000000000001</v>
      </c>
      <c r="D84">
        <v>3.3140000000000001</v>
      </c>
      <c r="E84">
        <v>3.45</v>
      </c>
      <c r="F84">
        <v>1681934.1</v>
      </c>
      <c r="G84">
        <v>3.45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7.0866141732284407E-2</v>
      </c>
      <c r="Q84">
        <f t="shared" ref="Q84" si="396">F84*P84</f>
        <v>119192.18031496223</v>
      </c>
      <c r="R84">
        <f t="shared" ref="R84" si="397">R85+Q84</f>
        <v>-112300580.79756281</v>
      </c>
      <c r="S84">
        <f t="shared" ref="S84" si="398">R84/100000</f>
        <v>-1123.0058079756282</v>
      </c>
      <c r="T84">
        <f t="shared" ref="T84" si="399">S84/1000</f>
        <v>-1.1230058079756282</v>
      </c>
    </row>
    <row r="85" spans="1:20" x14ac:dyDescent="0.25">
      <c r="A85" s="5">
        <v>44508</v>
      </c>
      <c r="B85">
        <v>3.35</v>
      </c>
      <c r="C85">
        <v>3.4750000000000001</v>
      </c>
      <c r="D85">
        <v>3.28</v>
      </c>
      <c r="E85">
        <v>3.331</v>
      </c>
      <c r="F85">
        <v>959430.7</v>
      </c>
      <c r="G85">
        <v>3.331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-0.47692307692307606</v>
      </c>
      <c r="Q85">
        <f t="shared" ref="Q85" si="401">F85*P85</f>
        <v>-457574.64153846068</v>
      </c>
      <c r="R85">
        <f t="shared" ref="R85" si="402">R86+Q85</f>
        <v>-112419772.97787777</v>
      </c>
      <c r="S85">
        <f t="shared" ref="S85" si="403">R85/100000</f>
        <v>-1124.1977297787776</v>
      </c>
      <c r="T85">
        <f t="shared" ref="T85" si="404">S85/1000</f>
        <v>-1.1241977297787775</v>
      </c>
    </row>
    <row r="86" spans="1:20" x14ac:dyDescent="0.25">
      <c r="A86" s="5">
        <v>44507</v>
      </c>
      <c r="B86">
        <v>3.3570000000000002</v>
      </c>
      <c r="C86">
        <v>3.3809999999999998</v>
      </c>
      <c r="D86">
        <v>3.31</v>
      </c>
      <c r="E86">
        <v>3.3479999999999999</v>
      </c>
      <c r="F86">
        <v>543461.6</v>
      </c>
      <c r="G86">
        <v>3.3479999999999999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7.0422535211266374E-2</v>
      </c>
      <c r="Q86">
        <f t="shared" ref="Q86" si="406">F86*P86</f>
        <v>38271.943661971163</v>
      </c>
      <c r="R86">
        <f t="shared" ref="R86" si="407">R87+Q86</f>
        <v>-111962198.33633931</v>
      </c>
      <c r="S86">
        <f t="shared" ref="S86" si="408">R86/100000</f>
        <v>-1119.6219833633932</v>
      </c>
      <c r="T86">
        <f t="shared" ref="T86" si="409">S86/1000</f>
        <v>-1.1196219833633931</v>
      </c>
    </row>
    <row r="87" spans="1:20" x14ac:dyDescent="0.25">
      <c r="A87" s="5">
        <v>44506</v>
      </c>
      <c r="B87">
        <v>3.423</v>
      </c>
      <c r="C87">
        <v>3.4540000000000002</v>
      </c>
      <c r="D87">
        <v>3.2120000000000002</v>
      </c>
      <c r="E87">
        <v>3.3570000000000002</v>
      </c>
      <c r="F87">
        <v>946745</v>
      </c>
      <c r="G87">
        <v>3.3570000000000002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0.1983471074380167</v>
      </c>
      <c r="Q87">
        <f t="shared" ref="Q87" si="411">F87*P87</f>
        <v>187784.13223140512</v>
      </c>
      <c r="R87">
        <f t="shared" ref="R87" si="412">R88+Q87</f>
        <v>-112000470.28000128</v>
      </c>
      <c r="S87">
        <f t="shared" ref="S87" si="413">R87/100000</f>
        <v>-1120.0047028000129</v>
      </c>
      <c r="T87">
        <f t="shared" ref="T87" si="414">S87/1000</f>
        <v>-1.1200047028000129</v>
      </c>
    </row>
    <row r="88" spans="1:20" x14ac:dyDescent="0.25">
      <c r="A88" s="5">
        <v>44505</v>
      </c>
      <c r="B88">
        <v>3.4580000000000002</v>
      </c>
      <c r="C88">
        <v>3.5489999999999999</v>
      </c>
      <c r="D88">
        <v>3.3340000000000001</v>
      </c>
      <c r="E88">
        <v>3.423</v>
      </c>
      <c r="F88">
        <v>2209732.2000000002</v>
      </c>
      <c r="G88">
        <v>3.423</v>
      </c>
      <c r="L88" t="s">
        <v>8</v>
      </c>
      <c r="M88" t="s">
        <v>8</v>
      </c>
      <c r="N88" t="s">
        <v>7</v>
      </c>
      <c r="P88">
        <f t="shared" ref="P88" si="415">IF(C88=D88,0,((E88-D88)-(C88-E88))/(C88-D88))</f>
        <v>-0.17209302325581372</v>
      </c>
      <c r="Q88">
        <f t="shared" ref="Q88" si="416">F88*P88</f>
        <v>-380279.49488372041</v>
      </c>
      <c r="R88">
        <f t="shared" ref="R88" si="417">R89+Q88</f>
        <v>-112188254.41223268</v>
      </c>
      <c r="S88">
        <f t="shared" ref="S88" si="418">R88/100000</f>
        <v>-1121.8825441223269</v>
      </c>
      <c r="T88">
        <f t="shared" ref="T88" si="419">S88/1000</f>
        <v>-1.1218825441223268</v>
      </c>
    </row>
    <row r="89" spans="1:20" x14ac:dyDescent="0.25">
      <c r="A89" s="5">
        <v>44504</v>
      </c>
      <c r="B89">
        <v>3.3759999999999999</v>
      </c>
      <c r="C89">
        <v>3.5409999999999999</v>
      </c>
      <c r="D89">
        <v>3.3279999999999998</v>
      </c>
      <c r="E89">
        <v>3.4580000000000002</v>
      </c>
      <c r="F89">
        <v>2427269.6</v>
      </c>
      <c r="G89">
        <v>3.4580000000000002</v>
      </c>
      <c r="L89" t="s">
        <v>8</v>
      </c>
      <c r="M89" t="s">
        <v>8</v>
      </c>
      <c r="N89" t="s">
        <v>7</v>
      </c>
      <c r="P89">
        <f t="shared" ref="P89" si="420">IF(C89=D89,0,((E89-D89)-(C89-E89))/(C89-D89))</f>
        <v>0.22065727699530788</v>
      </c>
      <c r="Q89">
        <f t="shared" ref="Q89" si="421">F89*P89</f>
        <v>535594.70046949014</v>
      </c>
      <c r="R89">
        <f t="shared" ref="R89" si="422">R90+Q89</f>
        <v>-111807974.91734897</v>
      </c>
      <c r="S89">
        <f t="shared" ref="S89" si="423">R89/100000</f>
        <v>-1118.0797491734897</v>
      </c>
      <c r="T89">
        <f t="shared" ref="T89" si="424">S89/1000</f>
        <v>-1.1180797491734897</v>
      </c>
    </row>
    <row r="90" spans="1:20" x14ac:dyDescent="0.25">
      <c r="A90" s="5">
        <v>44503</v>
      </c>
      <c r="B90">
        <v>3.5019999999999998</v>
      </c>
      <c r="C90">
        <v>3.5030000000000001</v>
      </c>
      <c r="D90">
        <v>3.2519999999999998</v>
      </c>
      <c r="E90">
        <v>3.375</v>
      </c>
      <c r="F90">
        <v>1546679.8</v>
      </c>
      <c r="G90">
        <v>3.375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-1.992031872509915E-2</v>
      </c>
      <c r="Q90">
        <f t="shared" ref="Q90" si="426">F90*P90</f>
        <v>-30810.354581672611</v>
      </c>
      <c r="R90">
        <f t="shared" ref="R90" si="427">R91+Q90</f>
        <v>-112343569.61781846</v>
      </c>
      <c r="S90">
        <f t="shared" ref="S90" si="428">R90/100000</f>
        <v>-1123.4356961781846</v>
      </c>
      <c r="T90">
        <f t="shared" ref="T90" si="429">S90/1000</f>
        <v>-1.1234356961781846</v>
      </c>
    </row>
    <row r="91" spans="1:20" x14ac:dyDescent="0.25">
      <c r="A91" s="5">
        <v>44502</v>
      </c>
      <c r="B91">
        <v>3.4740000000000002</v>
      </c>
      <c r="C91">
        <v>3.589</v>
      </c>
      <c r="D91">
        <v>3.3740000000000001</v>
      </c>
      <c r="E91">
        <v>3.5009999999999999</v>
      </c>
      <c r="F91">
        <v>1978301.7</v>
      </c>
      <c r="G91">
        <v>3.5009999999999999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0.18139534883720804</v>
      </c>
      <c r="Q91">
        <f t="shared" ref="Q91" si="431">F91*P91</f>
        <v>358854.72697674169</v>
      </c>
      <c r="R91">
        <f t="shared" ref="R91" si="432">R92+Q91</f>
        <v>-112312759.26323679</v>
      </c>
      <c r="S91">
        <f t="shared" ref="S91" si="433">R91/100000</f>
        <v>-1123.1275926323679</v>
      </c>
      <c r="T91">
        <f t="shared" ref="T91" si="434">S91/1000</f>
        <v>-1.1231275926323678</v>
      </c>
    </row>
    <row r="92" spans="1:20" x14ac:dyDescent="0.25">
      <c r="A92" s="5">
        <v>44501</v>
      </c>
      <c r="B92">
        <v>3.4489999999999998</v>
      </c>
      <c r="C92">
        <v>3.5150000000000001</v>
      </c>
      <c r="D92">
        <v>3.2069999999999999</v>
      </c>
      <c r="E92">
        <v>3.4740000000000002</v>
      </c>
      <c r="F92">
        <v>1860056.8</v>
      </c>
      <c r="G92">
        <v>3.4740000000000002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0.73376623376623451</v>
      </c>
      <c r="Q92">
        <f t="shared" ref="Q92" si="436">F92*P92</f>
        <v>1364846.8727272742</v>
      </c>
      <c r="R92">
        <f t="shared" ref="R92" si="437">R93+Q92</f>
        <v>-112671613.99021353</v>
      </c>
      <c r="S92">
        <f t="shared" ref="S92" si="438">R92/100000</f>
        <v>-1126.7161399021352</v>
      </c>
      <c r="T92">
        <f t="shared" ref="T92" si="439">S92/1000</f>
        <v>-1.1267161399021353</v>
      </c>
    </row>
    <row r="93" spans="1:20" x14ac:dyDescent="0.25">
      <c r="A93" s="5">
        <v>44500</v>
      </c>
      <c r="B93">
        <v>3.343</v>
      </c>
      <c r="C93">
        <v>3.5720000000000001</v>
      </c>
      <c r="D93">
        <v>3.1720000000000002</v>
      </c>
      <c r="E93">
        <v>3.448</v>
      </c>
      <c r="F93">
        <v>2458951.4</v>
      </c>
      <c r="G93">
        <v>3.448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0.37999999999999934</v>
      </c>
      <c r="Q93">
        <f t="shared" ref="Q93" si="441">F93*P93</f>
        <v>934401.53199999838</v>
      </c>
      <c r="R93">
        <f t="shared" ref="R93" si="442">R94+Q93</f>
        <v>-114036460.8629408</v>
      </c>
      <c r="S93">
        <f t="shared" ref="S93" si="443">R93/100000</f>
        <v>-1140.3646086294079</v>
      </c>
      <c r="T93">
        <f t="shared" ref="T93" si="444">S93/1000</f>
        <v>-1.1403646086294079</v>
      </c>
    </row>
    <row r="94" spans="1:20" x14ac:dyDescent="0.25">
      <c r="A94" s="5">
        <v>44499</v>
      </c>
      <c r="B94">
        <v>3.2040000000000002</v>
      </c>
      <c r="C94">
        <v>3.4289999999999998</v>
      </c>
      <c r="D94">
        <v>3.169</v>
      </c>
      <c r="E94">
        <v>3.347</v>
      </c>
      <c r="F94">
        <v>1963839.7</v>
      </c>
      <c r="G94">
        <v>3.347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0.36923076923076986</v>
      </c>
      <c r="Q94">
        <f t="shared" ref="Q94" si="446">F94*P94</f>
        <v>725110.04307692428</v>
      </c>
      <c r="R94">
        <f t="shared" ref="R94" si="447">R95+Q94</f>
        <v>-114970862.39494081</v>
      </c>
      <c r="S94">
        <f t="shared" ref="S94" si="448">R94/100000</f>
        <v>-1149.7086239494081</v>
      </c>
      <c r="T94">
        <f t="shared" ref="T94" si="449">S94/1000</f>
        <v>-1.1497086239494081</v>
      </c>
    </row>
    <row r="95" spans="1:20" x14ac:dyDescent="0.25">
      <c r="A95" s="5">
        <v>44498</v>
      </c>
      <c r="B95">
        <v>3.0720000000000001</v>
      </c>
      <c r="C95">
        <v>3.2570000000000001</v>
      </c>
      <c r="D95">
        <v>3.04</v>
      </c>
      <c r="E95">
        <v>3.2029999999999998</v>
      </c>
      <c r="F95">
        <v>1040180.5</v>
      </c>
      <c r="G95">
        <v>3.2029999999999998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0.5023041474654355</v>
      </c>
      <c r="Q95">
        <f t="shared" ref="Q95" si="451">F95*P95</f>
        <v>522486.97926267044</v>
      </c>
      <c r="R95">
        <f t="shared" ref="R95" si="452">R96+Q95</f>
        <v>-115695972.43801773</v>
      </c>
      <c r="S95">
        <f t="shared" ref="S95" si="453">R95/100000</f>
        <v>-1156.9597243801772</v>
      </c>
      <c r="T95">
        <f t="shared" ref="T95" si="454">S95/1000</f>
        <v>-1.1569597243801772</v>
      </c>
    </row>
    <row r="96" spans="1:20" x14ac:dyDescent="0.25">
      <c r="A96" s="5">
        <v>44497</v>
      </c>
      <c r="B96">
        <v>2.8809999999999998</v>
      </c>
      <c r="C96">
        <v>3.1059999999999999</v>
      </c>
      <c r="D96">
        <v>2.84</v>
      </c>
      <c r="E96">
        <v>3.0720000000000001</v>
      </c>
      <c r="F96">
        <v>1145665.3</v>
      </c>
      <c r="G96">
        <v>3.0720000000000001</v>
      </c>
      <c r="L96" t="s">
        <v>8</v>
      </c>
      <c r="M96" t="s">
        <v>8</v>
      </c>
      <c r="N96" t="s">
        <v>7</v>
      </c>
      <c r="P96">
        <f t="shared" ref="P96" si="455">IF(C96=D96,0,((E96-D96)-(C96-E96))/(C96-D96))</f>
        <v>0.74436090225564056</v>
      </c>
      <c r="Q96">
        <f t="shared" ref="Q96" si="456">F96*P96</f>
        <v>852788.45639097912</v>
      </c>
      <c r="R96">
        <f t="shared" ref="R96" si="457">R97+Q96</f>
        <v>-116218459.41728039</v>
      </c>
      <c r="S96">
        <f t="shared" ref="S96" si="458">R96/100000</f>
        <v>-1162.1845941728038</v>
      </c>
      <c r="T96">
        <f t="shared" ref="T96" si="459">S96/1000</f>
        <v>-1.1621845941728037</v>
      </c>
    </row>
    <row r="97" spans="1:20" x14ac:dyDescent="0.25">
      <c r="A97" s="5">
        <v>44496</v>
      </c>
      <c r="B97">
        <v>3.274</v>
      </c>
      <c r="C97">
        <v>3.3460000000000001</v>
      </c>
      <c r="D97">
        <v>2.6389999999999998</v>
      </c>
      <c r="E97">
        <v>2.88</v>
      </c>
      <c r="F97">
        <v>2624359.4</v>
      </c>
      <c r="G97">
        <v>2.88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-0.31824611032531824</v>
      </c>
      <c r="Q97">
        <f t="shared" ref="Q97" si="461">F97*P97</f>
        <v>-835192.17114568595</v>
      </c>
      <c r="R97">
        <f t="shared" ref="R97" si="462">R98+Q97</f>
        <v>-117071247.87367137</v>
      </c>
      <c r="S97">
        <f t="shared" ref="S97" si="463">R97/100000</f>
        <v>-1170.7124787367136</v>
      </c>
      <c r="T97">
        <f t="shared" ref="T97" si="464">S97/1000</f>
        <v>-1.1707124787367136</v>
      </c>
    </row>
    <row r="98" spans="1:20" x14ac:dyDescent="0.25">
      <c r="A98" s="5">
        <v>44495</v>
      </c>
      <c r="B98">
        <v>3.3170000000000002</v>
      </c>
      <c r="C98">
        <v>3.4769999999999999</v>
      </c>
      <c r="D98">
        <v>3.2389999999999999</v>
      </c>
      <c r="E98">
        <v>3.274</v>
      </c>
      <c r="F98">
        <v>1572736.3</v>
      </c>
      <c r="G98">
        <v>3.274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-0.7058823529411753</v>
      </c>
      <c r="Q98">
        <f t="shared" ref="Q98" si="466">F98*P98</f>
        <v>-1110166.7999999982</v>
      </c>
      <c r="R98">
        <f t="shared" ref="R98" si="467">R99+Q98</f>
        <v>-116236055.70252568</v>
      </c>
      <c r="S98">
        <f t="shared" ref="S98" si="468">R98/100000</f>
        <v>-1162.3605570252566</v>
      </c>
      <c r="T98">
        <f t="shared" ref="T98" si="469">S98/1000</f>
        <v>-1.1623605570252566</v>
      </c>
    </row>
    <row r="99" spans="1:20" x14ac:dyDescent="0.25">
      <c r="A99" s="5">
        <v>44494</v>
      </c>
      <c r="B99">
        <v>3.2389999999999999</v>
      </c>
      <c r="C99">
        <v>3.3860000000000001</v>
      </c>
      <c r="D99">
        <v>3.1949999999999998</v>
      </c>
      <c r="E99">
        <v>3.32</v>
      </c>
      <c r="F99">
        <v>1442932.2</v>
      </c>
      <c r="G99">
        <v>3.32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0.30890052356020747</v>
      </c>
      <c r="Q99">
        <f t="shared" ref="Q99" si="471">F99*P99</f>
        <v>445722.51204188197</v>
      </c>
      <c r="R99">
        <f t="shared" ref="R99" si="472">R100+Q99</f>
        <v>-115125888.90252568</v>
      </c>
      <c r="S99">
        <f t="shared" ref="S99" si="473">R99/100000</f>
        <v>-1151.2588890252568</v>
      </c>
      <c r="T99">
        <f t="shared" ref="T99" si="474">S99/1000</f>
        <v>-1.1512588890252569</v>
      </c>
    </row>
    <row r="100" spans="1:20" x14ac:dyDescent="0.25">
      <c r="A100" s="5">
        <v>44493</v>
      </c>
      <c r="B100">
        <v>3.319</v>
      </c>
      <c r="C100">
        <v>3.53</v>
      </c>
      <c r="D100">
        <v>3.1589999999999998</v>
      </c>
      <c r="E100">
        <v>3.2440000000000002</v>
      </c>
      <c r="F100">
        <v>2479483.2999999998</v>
      </c>
      <c r="G100">
        <v>3.2440000000000002</v>
      </c>
      <c r="L100" t="s">
        <v>8</v>
      </c>
      <c r="M100" t="s">
        <v>7</v>
      </c>
      <c r="N100" t="s">
        <v>8</v>
      </c>
      <c r="P100">
        <f t="shared" ref="P100" si="475">IF(C100=D100,0,((E100-D100)-(C100-E100))/(C100-D100))</f>
        <v>-0.54177897574123768</v>
      </c>
      <c r="Q100">
        <f t="shared" ref="Q100" si="476">F100*P100</f>
        <v>-1343331.9226415039</v>
      </c>
      <c r="R100">
        <f t="shared" ref="R100" si="477">R101+Q100</f>
        <v>-115571611.41456756</v>
      </c>
      <c r="S100">
        <f t="shared" ref="S100" si="478">R100/100000</f>
        <v>-1155.7161141456756</v>
      </c>
      <c r="T100">
        <f t="shared" ref="T100" si="479">S100/1000</f>
        <v>-1.1557161141456755</v>
      </c>
    </row>
    <row r="101" spans="1:20" x14ac:dyDescent="0.25">
      <c r="A101" s="5">
        <v>44492</v>
      </c>
      <c r="B101">
        <v>3.234</v>
      </c>
      <c r="C101">
        <v>3.3660000000000001</v>
      </c>
      <c r="D101">
        <v>3.2090000000000001</v>
      </c>
      <c r="E101">
        <v>3.3210000000000002</v>
      </c>
      <c r="F101">
        <v>1211978.8999999999</v>
      </c>
      <c r="G101">
        <v>3.3210000000000002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0.42675159235668891</v>
      </c>
      <c r="Q101">
        <f t="shared" ref="Q101" si="481">F101*P101</f>
        <v>517213.92547770822</v>
      </c>
      <c r="R101">
        <f t="shared" ref="R101" si="482">R102+Q101</f>
        <v>-114228279.49192606</v>
      </c>
      <c r="S101">
        <f t="shared" ref="S101" si="483">R101/100000</f>
        <v>-1142.2827949192606</v>
      </c>
      <c r="T101">
        <f t="shared" ref="T101" si="484">S101/1000</f>
        <v>-1.1422827949192607</v>
      </c>
    </row>
    <row r="102" spans="1:20" x14ac:dyDescent="0.25">
      <c r="A102" s="5">
        <v>44491</v>
      </c>
      <c r="B102">
        <v>3.125</v>
      </c>
      <c r="C102">
        <v>3.294</v>
      </c>
      <c r="D102">
        <v>3.1120000000000001</v>
      </c>
      <c r="E102">
        <v>3.234</v>
      </c>
      <c r="F102">
        <v>1176950.2</v>
      </c>
      <c r="G102">
        <v>3.234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0.34065934065933984</v>
      </c>
      <c r="Q102">
        <f t="shared" ref="Q102" si="486">F102*P102</f>
        <v>400939.07912087813</v>
      </c>
      <c r="R102">
        <f t="shared" ref="R102" si="487">R103+Q102</f>
        <v>-114745493.41740377</v>
      </c>
      <c r="S102">
        <f t="shared" ref="S102" si="488">R102/100000</f>
        <v>-1147.4549341740378</v>
      </c>
      <c r="T102">
        <f t="shared" ref="T102" si="489">S102/1000</f>
        <v>-1.1474549341740379</v>
      </c>
    </row>
    <row r="103" spans="1:20" x14ac:dyDescent="0.25">
      <c r="A103" s="5">
        <v>44490</v>
      </c>
      <c r="B103">
        <v>3.29</v>
      </c>
      <c r="C103">
        <v>3.3220000000000001</v>
      </c>
      <c r="D103">
        <v>3.0979999999999999</v>
      </c>
      <c r="E103">
        <v>3.125</v>
      </c>
      <c r="F103">
        <v>987015</v>
      </c>
      <c r="G103">
        <v>3.125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-0.7589285714285704</v>
      </c>
      <c r="Q103">
        <f t="shared" ref="Q103" si="491">F103*P103</f>
        <v>-749073.88392857043</v>
      </c>
      <c r="R103">
        <f t="shared" ref="R103" si="492">R104+Q103</f>
        <v>-115146432.49652465</v>
      </c>
      <c r="S103">
        <f t="shared" ref="S103" si="493">R103/100000</f>
        <v>-1151.4643249652465</v>
      </c>
      <c r="T103">
        <f t="shared" ref="T103" si="494">S103/1000</f>
        <v>-1.1514643249652465</v>
      </c>
    </row>
    <row r="104" spans="1:20" x14ac:dyDescent="0.25">
      <c r="A104" s="5">
        <v>44489</v>
      </c>
      <c r="B104">
        <v>3.173</v>
      </c>
      <c r="C104">
        <v>3.2959999999999998</v>
      </c>
      <c r="D104">
        <v>3.1019999999999999</v>
      </c>
      <c r="E104">
        <v>3.2879999999999998</v>
      </c>
      <c r="F104">
        <v>1019532.1</v>
      </c>
      <c r="G104">
        <v>3.2879999999999998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0.91752577319587625</v>
      </c>
      <c r="Q104">
        <f t="shared" ref="Q104" si="496">F104*P104</f>
        <v>935446.97835051536</v>
      </c>
      <c r="R104">
        <f t="shared" ref="R104" si="497">R105+Q104</f>
        <v>-114397358.61259608</v>
      </c>
      <c r="S104">
        <f t="shared" ref="S104" si="498">R104/100000</f>
        <v>-1143.9735861259608</v>
      </c>
      <c r="T104">
        <f t="shared" ref="T104" si="499">S104/1000</f>
        <v>-1.1439735861259608</v>
      </c>
    </row>
    <row r="105" spans="1:20" x14ac:dyDescent="0.25">
      <c r="A105" s="5">
        <v>44488</v>
      </c>
      <c r="B105">
        <v>3.1070000000000002</v>
      </c>
      <c r="C105">
        <v>3.1869999999999998</v>
      </c>
      <c r="D105">
        <v>3.085</v>
      </c>
      <c r="E105">
        <v>3.173</v>
      </c>
      <c r="F105">
        <v>876960</v>
      </c>
      <c r="G105">
        <v>3.173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0.72549019607843512</v>
      </c>
      <c r="Q105">
        <f t="shared" ref="Q105" si="501">F105*P105</f>
        <v>636225.88235294446</v>
      </c>
      <c r="R105">
        <f t="shared" ref="R105" si="502">R106+Q105</f>
        <v>-115332805.5909466</v>
      </c>
      <c r="S105">
        <f t="shared" ref="S105" si="503">R105/100000</f>
        <v>-1153.328055909466</v>
      </c>
      <c r="T105">
        <f t="shared" ref="T105" si="504">S105/1000</f>
        <v>-1.1533280559094661</v>
      </c>
    </row>
    <row r="106" spans="1:20" x14ac:dyDescent="0.25">
      <c r="A106" s="5">
        <v>44487</v>
      </c>
      <c r="B106">
        <v>3.1549999999999998</v>
      </c>
      <c r="C106">
        <v>3.1579999999999999</v>
      </c>
      <c r="D106">
        <v>3.0030000000000001</v>
      </c>
      <c r="E106">
        <v>3.1110000000000002</v>
      </c>
      <c r="F106">
        <v>1235547.7</v>
      </c>
      <c r="G106">
        <v>3.1110000000000002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0.3935483870967772</v>
      </c>
      <c r="Q106">
        <f t="shared" ref="Q106" si="506">F106*P106</f>
        <v>486247.80451613275</v>
      </c>
      <c r="R106">
        <f t="shared" ref="R106" si="507">R107+Q106</f>
        <v>-115969031.47329955</v>
      </c>
      <c r="S106">
        <f t="shared" ref="S106" si="508">R106/100000</f>
        <v>-1159.6903147329954</v>
      </c>
      <c r="T106">
        <f t="shared" ref="T106" si="509">S106/1000</f>
        <v>-1.1596903147329953</v>
      </c>
    </row>
    <row r="107" spans="1:20" x14ac:dyDescent="0.25">
      <c r="A107" s="5">
        <v>44486</v>
      </c>
      <c r="B107">
        <v>3.2330000000000001</v>
      </c>
      <c r="C107">
        <v>3.3519999999999999</v>
      </c>
      <c r="D107">
        <v>3.04</v>
      </c>
      <c r="E107">
        <v>3.1539999999999999</v>
      </c>
      <c r="F107">
        <v>2427420.1</v>
      </c>
      <c r="G107">
        <v>3.1539999999999999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-0.26923076923076961</v>
      </c>
      <c r="Q107">
        <f t="shared" ref="Q107" si="511">F107*P107</f>
        <v>-653536.18076923175</v>
      </c>
      <c r="R107">
        <f t="shared" ref="R107" si="512">R108+Q107</f>
        <v>-116455279.27781568</v>
      </c>
      <c r="S107">
        <f t="shared" ref="S107" si="513">R107/100000</f>
        <v>-1164.5527927781568</v>
      </c>
      <c r="T107">
        <f t="shared" ref="T107" si="514">S107/1000</f>
        <v>-1.1645527927781567</v>
      </c>
    </row>
    <row r="108" spans="1:20" x14ac:dyDescent="0.25">
      <c r="A108" s="5">
        <v>44485</v>
      </c>
      <c r="B108">
        <v>3.2570000000000001</v>
      </c>
      <c r="C108">
        <v>3.3029999999999999</v>
      </c>
      <c r="D108">
        <v>3.1859999999999999</v>
      </c>
      <c r="E108">
        <v>3.2309999999999999</v>
      </c>
      <c r="F108">
        <v>1288095.3999999999</v>
      </c>
      <c r="G108">
        <v>3.2309999999999999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-0.23076923076923195</v>
      </c>
      <c r="Q108">
        <f t="shared" ref="Q108" si="516">F108*P108</f>
        <v>-297252.7846153861</v>
      </c>
      <c r="R108">
        <f t="shared" ref="R108" si="517">R109+Q108</f>
        <v>-115801743.09704645</v>
      </c>
      <c r="S108">
        <f t="shared" ref="S108" si="518">R108/100000</f>
        <v>-1158.0174309704646</v>
      </c>
      <c r="T108">
        <f t="shared" ref="T108" si="519">S108/1000</f>
        <v>-1.1580174309704645</v>
      </c>
    </row>
    <row r="109" spans="1:20" x14ac:dyDescent="0.25">
      <c r="A109" s="5">
        <v>44484</v>
      </c>
      <c r="B109">
        <v>3.532</v>
      </c>
      <c r="C109">
        <v>3.5449999999999999</v>
      </c>
      <c r="D109">
        <v>3.177</v>
      </c>
      <c r="E109">
        <v>3.2570000000000001</v>
      </c>
      <c r="F109">
        <v>3322389.7</v>
      </c>
      <c r="G109">
        <v>3.2570000000000001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-0.56521739130434734</v>
      </c>
      <c r="Q109">
        <f t="shared" ref="Q109" si="521">F109*P109</f>
        <v>-1877872.4391304334</v>
      </c>
      <c r="R109">
        <f t="shared" ref="R109" si="522">R110+Q109</f>
        <v>-115504490.31243107</v>
      </c>
      <c r="S109">
        <f t="shared" ref="S109" si="523">R109/100000</f>
        <v>-1155.0449031243106</v>
      </c>
      <c r="T109">
        <f t="shared" ref="T109" si="524">S109/1000</f>
        <v>-1.1550449031243106</v>
      </c>
    </row>
    <row r="110" spans="1:20" x14ac:dyDescent="0.25">
      <c r="A110" s="5">
        <v>44483</v>
      </c>
      <c r="B110">
        <v>3.4420000000000002</v>
      </c>
      <c r="C110">
        <v>3.7480000000000002</v>
      </c>
      <c r="D110">
        <v>3.44</v>
      </c>
      <c r="E110">
        <v>3.5310000000000001</v>
      </c>
      <c r="F110">
        <v>3052581.6</v>
      </c>
      <c r="G110">
        <v>3.5310000000000001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-0.40909090909090839</v>
      </c>
      <c r="Q110">
        <f t="shared" ref="Q110" si="526">F110*P110</f>
        <v>-1248783.3818181797</v>
      </c>
      <c r="R110">
        <f t="shared" ref="R110" si="527">R111+Q110</f>
        <v>-113626617.87330063</v>
      </c>
      <c r="S110">
        <f t="shared" ref="S110" si="528">R110/100000</f>
        <v>-1136.2661787330062</v>
      </c>
      <c r="T110">
        <f t="shared" ref="T110" si="529">S110/1000</f>
        <v>-1.1362661787330062</v>
      </c>
    </row>
    <row r="111" spans="1:20" x14ac:dyDescent="0.25">
      <c r="A111" s="5">
        <v>44482</v>
      </c>
      <c r="B111">
        <v>3.3540000000000001</v>
      </c>
      <c r="C111">
        <v>3.4660000000000002</v>
      </c>
      <c r="D111">
        <v>3.242</v>
      </c>
      <c r="E111">
        <v>3.4420000000000002</v>
      </c>
      <c r="F111">
        <v>2215384.7000000002</v>
      </c>
      <c r="G111">
        <v>3.4420000000000002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0.7857142857142857</v>
      </c>
      <c r="Q111">
        <f t="shared" ref="Q111" si="531">F111*P111</f>
        <v>1740659.4071428573</v>
      </c>
      <c r="R111">
        <f t="shared" ref="R111" si="532">R112+Q111</f>
        <v>-112377834.49148245</v>
      </c>
      <c r="S111">
        <f t="shared" ref="S111" si="533">R111/100000</f>
        <v>-1123.7783449148246</v>
      </c>
      <c r="T111">
        <f t="shared" ref="T111" si="534">S111/1000</f>
        <v>-1.1237783449148246</v>
      </c>
    </row>
    <row r="112" spans="1:20" x14ac:dyDescent="0.25">
      <c r="A112" s="5">
        <v>44481</v>
      </c>
      <c r="B112">
        <v>3.4940000000000002</v>
      </c>
      <c r="C112">
        <v>3.512</v>
      </c>
      <c r="D112">
        <v>3.1440000000000001</v>
      </c>
      <c r="E112">
        <v>3.3559999999999999</v>
      </c>
      <c r="F112">
        <v>2745920.4</v>
      </c>
      <c r="G112">
        <v>3.3559999999999999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0.15217391304347724</v>
      </c>
      <c r="Q112">
        <f t="shared" ref="Q112" si="536">F112*P112</f>
        <v>417857.45217391022</v>
      </c>
      <c r="R112">
        <f t="shared" ref="R112" si="537">R113+Q112</f>
        <v>-114118493.89862531</v>
      </c>
      <c r="S112">
        <f t="shared" ref="S112" si="538">R112/100000</f>
        <v>-1141.1849389862532</v>
      </c>
      <c r="T112">
        <f t="shared" ref="T112" si="539">S112/1000</f>
        <v>-1.1411849389862532</v>
      </c>
    </row>
    <row r="113" spans="1:20" x14ac:dyDescent="0.25">
      <c r="A113" s="5">
        <v>44480</v>
      </c>
      <c r="B113">
        <v>3.62</v>
      </c>
      <c r="C113">
        <v>3.7730000000000001</v>
      </c>
      <c r="D113">
        <v>3.367</v>
      </c>
      <c r="E113">
        <v>3.4940000000000002</v>
      </c>
      <c r="F113">
        <v>1792385.3</v>
      </c>
      <c r="G113">
        <v>3.4940000000000002</v>
      </c>
      <c r="L113" t="s">
        <v>8</v>
      </c>
      <c r="M113" t="s">
        <v>7</v>
      </c>
      <c r="N113" t="s">
        <v>8</v>
      </c>
      <c r="P113">
        <f t="shared" ref="P113" si="540">IF(C113=D113,0,((E113-D113)-(C113-E113))/(C113-D113))</f>
        <v>-0.37438423645320107</v>
      </c>
      <c r="Q113">
        <f t="shared" ref="Q113" si="541">F113*P113</f>
        <v>-671040.80197044171</v>
      </c>
      <c r="R113">
        <f t="shared" ref="R113" si="542">R114+Q113</f>
        <v>-114536351.35079922</v>
      </c>
      <c r="S113">
        <f t="shared" ref="S113" si="543">R113/100000</f>
        <v>-1145.3635135079921</v>
      </c>
      <c r="T113">
        <f t="shared" ref="T113" si="544">S113/1000</f>
        <v>-1.145363513507992</v>
      </c>
    </row>
    <row r="114" spans="1:20" x14ac:dyDescent="0.25">
      <c r="A114" s="5">
        <v>44479</v>
      </c>
      <c r="B114">
        <v>3.4740000000000002</v>
      </c>
      <c r="C114">
        <v>3.8029999999999999</v>
      </c>
      <c r="D114">
        <v>3.411</v>
      </c>
      <c r="E114">
        <v>3.617</v>
      </c>
      <c r="F114">
        <v>5406989.5999999996</v>
      </c>
      <c r="G114">
        <v>3.617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5.1020408163265363E-2</v>
      </c>
      <c r="Q114">
        <f t="shared" ref="Q114" si="546">F114*P114</f>
        <v>275866.81632653088</v>
      </c>
      <c r="R114">
        <f t="shared" ref="R114" si="547">R115+Q114</f>
        <v>-113865310.54882878</v>
      </c>
      <c r="S114">
        <f t="shared" ref="S114" si="548">R114/100000</f>
        <v>-1138.6531054882878</v>
      </c>
      <c r="T114">
        <f t="shared" ref="T114" si="549">S114/1000</f>
        <v>-1.1386531054882878</v>
      </c>
    </row>
    <row r="115" spans="1:20" x14ac:dyDescent="0.25">
      <c r="A115" s="5">
        <v>44478</v>
      </c>
      <c r="B115">
        <v>3.6419999999999999</v>
      </c>
      <c r="C115">
        <v>3.839</v>
      </c>
      <c r="D115">
        <v>3.4009999999999998</v>
      </c>
      <c r="E115">
        <v>3.472</v>
      </c>
      <c r="F115">
        <v>3551623</v>
      </c>
      <c r="G115">
        <v>3.472</v>
      </c>
      <c r="L115" t="s">
        <v>8</v>
      </c>
      <c r="M115" t="s">
        <v>7</v>
      </c>
      <c r="N115" t="s">
        <v>8</v>
      </c>
      <c r="P115">
        <f t="shared" ref="P115" si="550">IF(C115=D115,0,((E115-D115)-(C115-E115))/(C115-D115))</f>
        <v>-0.67579908675799016</v>
      </c>
      <c r="Q115">
        <f t="shared" ref="Q115" si="551">F115*P115</f>
        <v>-2400183.5799086732</v>
      </c>
      <c r="R115">
        <f t="shared" ref="R115" si="552">R116+Q115</f>
        <v>-114141177.36515531</v>
      </c>
      <c r="S115">
        <f t="shared" ref="S115" si="553">R115/100000</f>
        <v>-1141.4117736515532</v>
      </c>
      <c r="T115">
        <f t="shared" ref="T115" si="554">S115/1000</f>
        <v>-1.1414117736515532</v>
      </c>
    </row>
    <row r="116" spans="1:20" x14ac:dyDescent="0.25">
      <c r="A116" s="5">
        <v>44477</v>
      </c>
      <c r="B116">
        <v>3.4489999999999998</v>
      </c>
      <c r="C116">
        <v>3.69</v>
      </c>
      <c r="D116">
        <v>3.3820000000000001</v>
      </c>
      <c r="E116">
        <v>3.6339999999999999</v>
      </c>
      <c r="F116">
        <v>2864129.1</v>
      </c>
      <c r="G116">
        <v>3.6339999999999999</v>
      </c>
      <c r="L116" t="s">
        <v>8</v>
      </c>
      <c r="M116" t="s">
        <v>7</v>
      </c>
      <c r="N116" t="s">
        <v>8</v>
      </c>
      <c r="P116">
        <f t="shared" ref="P116" si="555">IF(C116=D116,0,((E116-D116)-(C116-E116))/(C116-D116))</f>
        <v>0.6363636363636358</v>
      </c>
      <c r="Q116">
        <f t="shared" ref="Q116" si="556">F116*P116</f>
        <v>1822627.6090909075</v>
      </c>
      <c r="R116">
        <f t="shared" ref="R116" si="557">R117+Q116</f>
        <v>-111740993.78524664</v>
      </c>
      <c r="S116">
        <f t="shared" ref="S116" si="558">R116/100000</f>
        <v>-1117.4099378524663</v>
      </c>
      <c r="T116">
        <f t="shared" ref="T116" si="559">S116/1000</f>
        <v>-1.1174099378524662</v>
      </c>
    </row>
    <row r="117" spans="1:20" x14ac:dyDescent="0.25">
      <c r="A117" s="5">
        <v>44476</v>
      </c>
      <c r="B117">
        <v>3.548</v>
      </c>
      <c r="C117">
        <v>3.5819999999999999</v>
      </c>
      <c r="D117">
        <v>3.3620000000000001</v>
      </c>
      <c r="E117">
        <v>3.4489999999999998</v>
      </c>
      <c r="F117">
        <v>3238154.2</v>
      </c>
      <c r="G117">
        <v>3.4489999999999998</v>
      </c>
      <c r="L117" t="s">
        <v>7</v>
      </c>
      <c r="M117" t="s">
        <v>7</v>
      </c>
      <c r="N117" t="s">
        <v>8</v>
      </c>
      <c r="P117">
        <f t="shared" ref="P117" si="560">IF(C117=D117,0,((E117-D117)-(C117-E117))/(C117-D117))</f>
        <v>-0.20909090909091052</v>
      </c>
      <c r="Q117">
        <f t="shared" ref="Q117" si="561">F117*P117</f>
        <v>-677068.60545455012</v>
      </c>
      <c r="R117">
        <f t="shared" ref="R117" si="562">R118+Q117</f>
        <v>-113563621.39433755</v>
      </c>
      <c r="S117">
        <f t="shared" ref="S117" si="563">R117/100000</f>
        <v>-1135.6362139433754</v>
      </c>
      <c r="T117">
        <f t="shared" ref="T117" si="564">S117/1000</f>
        <v>-1.1356362139433753</v>
      </c>
    </row>
    <row r="118" spans="1:20" x14ac:dyDescent="0.25">
      <c r="A118" s="5">
        <v>44475</v>
      </c>
      <c r="B118">
        <v>3.4809999999999999</v>
      </c>
      <c r="C118">
        <v>4.1580000000000004</v>
      </c>
      <c r="D118">
        <v>3.2749999999999999</v>
      </c>
      <c r="E118">
        <v>3.5459999999999998</v>
      </c>
      <c r="F118">
        <v>9374833.1999999993</v>
      </c>
      <c r="G118">
        <v>3.5459999999999998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-0.38618346545866417</v>
      </c>
      <c r="Q118">
        <f t="shared" ref="Q118" si="566">F118*P118</f>
        <v>-3620405.5732729379</v>
      </c>
      <c r="R118">
        <f t="shared" ref="R118" si="567">R119+Q118</f>
        <v>-112886552.788883</v>
      </c>
      <c r="S118">
        <f t="shared" ref="S118" si="568">R118/100000</f>
        <v>-1128.86552788883</v>
      </c>
      <c r="T118">
        <f t="shared" ref="T118" si="569">S118/1000</f>
        <v>-1.12886552788883</v>
      </c>
    </row>
    <row r="119" spans="1:20" x14ac:dyDescent="0.25">
      <c r="A119" s="5">
        <v>44474</v>
      </c>
      <c r="B119">
        <v>3.3849999999999998</v>
      </c>
      <c r="C119">
        <v>3.5329999999999999</v>
      </c>
      <c r="D119">
        <v>3.3069999999999999</v>
      </c>
      <c r="E119">
        <v>3.4809999999999999</v>
      </c>
      <c r="F119">
        <v>3032798.3</v>
      </c>
      <c r="G119">
        <v>3.4809999999999999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0.53982300884955703</v>
      </c>
      <c r="Q119">
        <f t="shared" ref="Q119" si="571">F119*P119</f>
        <v>1637174.3035398214</v>
      </c>
      <c r="R119">
        <f t="shared" ref="R119" si="572">R120+Q119</f>
        <v>-109266147.21561006</v>
      </c>
      <c r="S119">
        <f t="shared" ref="S119" si="573">R119/100000</f>
        <v>-1092.6614721561007</v>
      </c>
      <c r="T119">
        <f t="shared" ref="T119" si="574">S119/1000</f>
        <v>-1.0926614721561008</v>
      </c>
    </row>
    <row r="120" spans="1:20" x14ac:dyDescent="0.25">
      <c r="A120" s="5">
        <v>44473</v>
      </c>
      <c r="B120">
        <v>3.2909999999999999</v>
      </c>
      <c r="C120">
        <v>3.5470000000000002</v>
      </c>
      <c r="D120">
        <v>3.1720000000000002</v>
      </c>
      <c r="E120">
        <v>3.3780000000000001</v>
      </c>
      <c r="F120">
        <v>5262685.3</v>
      </c>
      <c r="G120">
        <v>3.3780000000000001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9.8666666666666458E-2</v>
      </c>
      <c r="Q120">
        <f t="shared" ref="Q120" si="576">F120*P120</f>
        <v>519251.61626666557</v>
      </c>
      <c r="R120">
        <f t="shared" ref="R120" si="577">R121+Q120</f>
        <v>-110903321.51914988</v>
      </c>
      <c r="S120">
        <f t="shared" ref="S120" si="578">R120/100000</f>
        <v>-1109.0332151914988</v>
      </c>
      <c r="T120">
        <f t="shared" ref="T120" si="579">S120/1000</f>
        <v>-1.1090332151914988</v>
      </c>
    </row>
    <row r="121" spans="1:20" x14ac:dyDescent="0.25">
      <c r="A121" s="5">
        <v>44472</v>
      </c>
      <c r="B121">
        <v>3.2170000000000001</v>
      </c>
      <c r="C121">
        <v>3.4729999999999999</v>
      </c>
      <c r="D121">
        <v>3.1259999999999999</v>
      </c>
      <c r="E121">
        <v>3.2879999999999998</v>
      </c>
      <c r="F121">
        <v>2467055.6</v>
      </c>
      <c r="G121">
        <v>3.2879999999999998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-6.6282420749279924E-2</v>
      </c>
      <c r="Q121">
        <f t="shared" ref="Q121" si="581">F121*P121</f>
        <v>-163522.41729106725</v>
      </c>
      <c r="R121">
        <f t="shared" ref="R121" si="582">R122+Q121</f>
        <v>-111422573.13541655</v>
      </c>
      <c r="S121">
        <f t="shared" ref="S121" si="583">R121/100000</f>
        <v>-1114.2257313541654</v>
      </c>
      <c r="T121">
        <f t="shared" ref="T121" si="584">S121/1000</f>
        <v>-1.1142257313541655</v>
      </c>
    </row>
    <row r="122" spans="1:20" x14ac:dyDescent="0.25">
      <c r="A122" s="5">
        <v>44471</v>
      </c>
      <c r="B122">
        <v>3.1789999999999998</v>
      </c>
      <c r="C122">
        <v>3.448</v>
      </c>
      <c r="D122">
        <v>3.1120000000000001</v>
      </c>
      <c r="E122">
        <v>3.218</v>
      </c>
      <c r="F122">
        <v>2920177.3</v>
      </c>
      <c r="G122">
        <v>3.218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-0.36904761904761951</v>
      </c>
      <c r="Q122">
        <f t="shared" ref="Q122" si="586">F122*P122</f>
        <v>-1077684.479761906</v>
      </c>
      <c r="R122">
        <f t="shared" ref="R122" si="587">R123+Q122</f>
        <v>-111259050.71812549</v>
      </c>
      <c r="S122">
        <f t="shared" ref="S122" si="588">R122/100000</f>
        <v>-1112.5905071812549</v>
      </c>
      <c r="T122">
        <f t="shared" ref="T122" si="589">S122/1000</f>
        <v>-1.112590507181255</v>
      </c>
    </row>
    <row r="123" spans="1:20" x14ac:dyDescent="0.25">
      <c r="A123" s="5">
        <v>44470</v>
      </c>
      <c r="B123">
        <v>2.9129999999999998</v>
      </c>
      <c r="C123">
        <v>3.2290000000000001</v>
      </c>
      <c r="D123">
        <v>2.8969999999999998</v>
      </c>
      <c r="E123">
        <v>3.1789999999999998</v>
      </c>
      <c r="F123">
        <v>3198567.1</v>
      </c>
      <c r="G123">
        <v>3.1789999999999998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0.69879518072289026</v>
      </c>
      <c r="Q123">
        <f t="shared" ref="Q123" si="591">F123*P123</f>
        <v>2235143.2746987911</v>
      </c>
      <c r="R123">
        <f t="shared" ref="R123" si="592">R124+Q123</f>
        <v>-110181366.23836359</v>
      </c>
      <c r="S123">
        <f t="shared" ref="S123" si="593">R123/100000</f>
        <v>-1101.813662383636</v>
      </c>
      <c r="T123">
        <f t="shared" ref="T123" si="594">S123/1000</f>
        <v>-1.1018136623836361</v>
      </c>
    </row>
    <row r="124" spans="1:20" x14ac:dyDescent="0.25">
      <c r="A124" s="5">
        <v>44469</v>
      </c>
      <c r="B124">
        <v>2.7130000000000001</v>
      </c>
      <c r="C124">
        <v>2.96</v>
      </c>
      <c r="D124">
        <v>2.6930000000000001</v>
      </c>
      <c r="E124">
        <v>2.9140000000000001</v>
      </c>
      <c r="F124">
        <v>2039810.5</v>
      </c>
      <c r="G124">
        <v>2.9140000000000001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0.65543071161048816</v>
      </c>
      <c r="Q124">
        <f t="shared" ref="Q124" si="596">F124*P124</f>
        <v>1336954.4475655456</v>
      </c>
      <c r="R124">
        <f t="shared" ref="R124" si="597">R125+Q124</f>
        <v>-112416509.51306239</v>
      </c>
      <c r="S124">
        <f t="shared" ref="S124" si="598">R124/100000</f>
        <v>-1124.165095130624</v>
      </c>
      <c r="T124">
        <f t="shared" ref="T124" si="599">S124/1000</f>
        <v>-1.1241650951306239</v>
      </c>
    </row>
    <row r="125" spans="1:20" x14ac:dyDescent="0.25">
      <c r="A125" s="5">
        <v>44468</v>
      </c>
      <c r="B125">
        <v>2.6970000000000001</v>
      </c>
      <c r="C125">
        <v>2.91</v>
      </c>
      <c r="D125">
        <v>2.6589999999999998</v>
      </c>
      <c r="E125">
        <v>2.714</v>
      </c>
      <c r="F125">
        <v>1601115</v>
      </c>
      <c r="G125">
        <v>2.714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-0.56175298804780804</v>
      </c>
      <c r="Q125">
        <f t="shared" ref="Q125" si="601">F125*P125</f>
        <v>-899431.13545816613</v>
      </c>
      <c r="R125">
        <f t="shared" ref="R125" si="602">R126+Q125</f>
        <v>-113753463.96062793</v>
      </c>
      <c r="S125">
        <f t="shared" ref="S125" si="603">R125/100000</f>
        <v>-1137.5346396062794</v>
      </c>
      <c r="T125">
        <f t="shared" ref="T125" si="604">S125/1000</f>
        <v>-1.1375346396062793</v>
      </c>
    </row>
    <row r="126" spans="1:20" x14ac:dyDescent="0.25">
      <c r="A126" s="5">
        <v>44467</v>
      </c>
      <c r="B126">
        <v>2.72</v>
      </c>
      <c r="C126">
        <v>2.9390000000000001</v>
      </c>
      <c r="D126">
        <v>2.6909999999999998</v>
      </c>
      <c r="E126">
        <v>2.6989999999999998</v>
      </c>
      <c r="F126">
        <v>2826468</v>
      </c>
      <c r="G126">
        <v>2.6989999999999998</v>
      </c>
      <c r="L126" t="s">
        <v>8</v>
      </c>
      <c r="M126" t="s">
        <v>7</v>
      </c>
      <c r="N126" t="s">
        <v>7</v>
      </c>
      <c r="P126">
        <f t="shared" ref="P126" si="605">IF(C126=D126,0,((E126-D126)-(C126-E126))/(C126-D126))</f>
        <v>-0.93548387096774188</v>
      </c>
      <c r="Q126">
        <f t="shared" ref="Q126" si="606">F126*P126</f>
        <v>-2644115.2258064514</v>
      </c>
      <c r="R126">
        <f t="shared" ref="R126" si="607">R127+Q126</f>
        <v>-112854032.82516976</v>
      </c>
      <c r="S126">
        <f t="shared" ref="S126" si="608">R126/100000</f>
        <v>-1128.5403282516975</v>
      </c>
      <c r="T126">
        <f t="shared" ref="T126" si="609">S126/1000</f>
        <v>-1.1285403282516975</v>
      </c>
    </row>
    <row r="127" spans="1:20" x14ac:dyDescent="0.25">
      <c r="A127" s="5">
        <v>44466</v>
      </c>
      <c r="B127">
        <v>2.7989999999999999</v>
      </c>
      <c r="C127">
        <v>2.8740000000000001</v>
      </c>
      <c r="D127">
        <v>2.72</v>
      </c>
      <c r="E127">
        <v>2.7229999999999999</v>
      </c>
      <c r="F127">
        <v>1572222.6</v>
      </c>
      <c r="G127">
        <v>2.7229999999999999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-0.96103896103896536</v>
      </c>
      <c r="Q127">
        <f t="shared" ref="Q127" si="611">F127*P127</f>
        <v>-1510967.174025981</v>
      </c>
      <c r="R127">
        <f t="shared" ref="R127" si="612">R128+Q127</f>
        <v>-110209917.59936331</v>
      </c>
      <c r="S127">
        <f t="shared" ref="S127" si="613">R127/100000</f>
        <v>-1102.099175993633</v>
      </c>
      <c r="T127">
        <f t="shared" ref="T127" si="614">S127/1000</f>
        <v>-1.1020991759936329</v>
      </c>
    </row>
    <row r="128" spans="1:20" x14ac:dyDescent="0.25">
      <c r="A128" s="5">
        <v>44465</v>
      </c>
      <c r="B128">
        <v>2.915</v>
      </c>
      <c r="C128">
        <v>2.9529999999999998</v>
      </c>
      <c r="D128">
        <v>2.65</v>
      </c>
      <c r="E128">
        <v>2.8050000000000002</v>
      </c>
      <c r="F128">
        <v>1806138.6</v>
      </c>
      <c r="G128">
        <v>2.8050000000000002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2.310231023102496E-2</v>
      </c>
      <c r="Q128">
        <f t="shared" ref="Q128" si="616">F128*P128</f>
        <v>41725.974257429101</v>
      </c>
      <c r="R128">
        <f t="shared" ref="R128" si="617">R129+Q128</f>
        <v>-108698950.42533733</v>
      </c>
      <c r="S128">
        <f t="shared" ref="S128" si="618">R128/100000</f>
        <v>-1086.9895042533733</v>
      </c>
      <c r="T128">
        <f t="shared" ref="T128" si="619">S128/1000</f>
        <v>-1.0869895042533733</v>
      </c>
    </row>
    <row r="129" spans="1:20" x14ac:dyDescent="0.25">
      <c r="A129" s="5">
        <v>44464</v>
      </c>
      <c r="B129">
        <v>2.8530000000000002</v>
      </c>
      <c r="C129">
        <v>3.29</v>
      </c>
      <c r="D129">
        <v>2.7170000000000001</v>
      </c>
      <c r="E129">
        <v>2.9159999999999999</v>
      </c>
      <c r="F129">
        <v>3963423.2</v>
      </c>
      <c r="G129">
        <v>2.9159999999999999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-0.30541012216404934</v>
      </c>
      <c r="Q129">
        <f t="shared" ref="Q129" si="621">F129*P129</f>
        <v>-1210469.5636998273</v>
      </c>
      <c r="R129">
        <f t="shared" ref="R129" si="622">R130+Q129</f>
        <v>-108740676.39959475</v>
      </c>
      <c r="S129">
        <f t="shared" ref="S129" si="623">R129/100000</f>
        <v>-1087.4067639959476</v>
      </c>
      <c r="T129">
        <f t="shared" ref="T129" si="624">S129/1000</f>
        <v>-1.0874067639959475</v>
      </c>
    </row>
    <row r="130" spans="1:20" x14ac:dyDescent="0.25">
      <c r="A130" s="5">
        <v>44463</v>
      </c>
      <c r="B130">
        <v>3.1280000000000001</v>
      </c>
      <c r="C130">
        <v>3.1349999999999998</v>
      </c>
      <c r="D130">
        <v>2.6190000000000002</v>
      </c>
      <c r="E130">
        <v>2.8519999999999999</v>
      </c>
      <c r="F130">
        <v>2279333.7000000002</v>
      </c>
      <c r="G130">
        <v>2.8519999999999999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-9.6899224806202153E-2</v>
      </c>
      <c r="Q130">
        <f t="shared" ref="Q130" si="626">F130*P130</f>
        <v>-220865.66860465254</v>
      </c>
      <c r="R130">
        <f t="shared" ref="R130" si="627">R131+Q130</f>
        <v>-107530206.83589493</v>
      </c>
      <c r="S130">
        <f t="shared" ref="S130" si="628">R130/100000</f>
        <v>-1075.3020683589493</v>
      </c>
      <c r="T130">
        <f t="shared" ref="T130" si="629">S130/1000</f>
        <v>-1.0753020683589494</v>
      </c>
    </row>
    <row r="131" spans="1:20" x14ac:dyDescent="0.25">
      <c r="A131" s="5">
        <v>44462</v>
      </c>
      <c r="B131">
        <v>3.089</v>
      </c>
      <c r="C131">
        <v>3.1379999999999999</v>
      </c>
      <c r="D131">
        <v>2.9409999999999998</v>
      </c>
      <c r="E131">
        <v>3.1269999999999998</v>
      </c>
      <c r="F131">
        <v>1637361.9</v>
      </c>
      <c r="G131">
        <v>3.1269999999999998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0.88832487309644548</v>
      </c>
      <c r="Q131">
        <f t="shared" ref="Q131" si="631">F131*P131</f>
        <v>1454509.3020304549</v>
      </c>
      <c r="R131">
        <f t="shared" ref="R131" si="632">R132+Q131</f>
        <v>-107309341.16729027</v>
      </c>
      <c r="S131">
        <f t="shared" ref="S131" si="633">R131/100000</f>
        <v>-1073.0934116729027</v>
      </c>
      <c r="T131">
        <f t="shared" ref="T131" si="634">S131/1000</f>
        <v>-1.0730934116729027</v>
      </c>
    </row>
    <row r="132" spans="1:20" x14ac:dyDescent="0.25">
      <c r="A132" s="5">
        <v>44461</v>
      </c>
      <c r="B132">
        <v>2.8210000000000002</v>
      </c>
      <c r="C132">
        <v>3.3</v>
      </c>
      <c r="D132">
        <v>2.6960000000000002</v>
      </c>
      <c r="E132">
        <v>3.0939999999999999</v>
      </c>
      <c r="F132">
        <v>3971208.3</v>
      </c>
      <c r="G132">
        <v>3.0939999999999999</v>
      </c>
      <c r="L132" t="s">
        <v>7</v>
      </c>
      <c r="M132" t="s">
        <v>8</v>
      </c>
      <c r="N132" t="s">
        <v>7</v>
      </c>
      <c r="P132">
        <f t="shared" ref="P132" si="635">IF(C132=D132,0,((E132-D132)-(C132-E132))/(C132-D132))</f>
        <v>0.31788079470198649</v>
      </c>
      <c r="Q132">
        <f t="shared" ref="Q132" si="636">F132*P132</f>
        <v>1262370.8503311246</v>
      </c>
      <c r="R132">
        <f t="shared" ref="R132" si="637">R133+Q132</f>
        <v>-108763850.46932073</v>
      </c>
      <c r="S132">
        <f t="shared" ref="S132" si="638">R132/100000</f>
        <v>-1087.6385046932073</v>
      </c>
      <c r="T132">
        <f t="shared" ref="T132" si="639">S132/1000</f>
        <v>-1.0876385046932073</v>
      </c>
    </row>
    <row r="133" spans="1:20" x14ac:dyDescent="0.25">
      <c r="A133" s="5">
        <v>44460</v>
      </c>
      <c r="B133">
        <v>3.0049999999999999</v>
      </c>
      <c r="C133">
        <v>3.5089999999999999</v>
      </c>
      <c r="D133">
        <v>2.75</v>
      </c>
      <c r="E133">
        <v>2.8159999999999998</v>
      </c>
      <c r="F133">
        <v>8530857.8000000007</v>
      </c>
      <c r="G133">
        <v>2.8159999999999998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-0.82608695652173958</v>
      </c>
      <c r="Q133">
        <f t="shared" ref="Q133" si="641">F133*P133</f>
        <v>-7047230.3565217433</v>
      </c>
      <c r="R133">
        <f t="shared" ref="R133" si="642">R134+Q133</f>
        <v>-110026221.31965186</v>
      </c>
      <c r="S133">
        <f t="shared" ref="S133" si="643">R133/100000</f>
        <v>-1100.2622131965186</v>
      </c>
      <c r="T133">
        <f t="shared" ref="T133" si="644">S133/1000</f>
        <v>-1.1002622131965185</v>
      </c>
    </row>
    <row r="134" spans="1:20" x14ac:dyDescent="0.25">
      <c r="A134" s="5">
        <v>44459</v>
      </c>
      <c r="B134">
        <v>3.6389999999999998</v>
      </c>
      <c r="C134">
        <v>3.6619999999999999</v>
      </c>
      <c r="D134">
        <v>3.121</v>
      </c>
      <c r="E134">
        <v>3.1520000000000001</v>
      </c>
      <c r="F134">
        <v>2135908.2999999998</v>
      </c>
      <c r="G134">
        <v>3.1520000000000001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-0.88539741219962975</v>
      </c>
      <c r="Q134">
        <f t="shared" ref="Q134" si="646">F134*P134</f>
        <v>-1891127.6815157102</v>
      </c>
      <c r="R134">
        <f t="shared" ref="R134" si="647">R135+Q134</f>
        <v>-102978990.96313012</v>
      </c>
      <c r="S134">
        <f t="shared" ref="S134" si="648">R134/100000</f>
        <v>-1029.7899096313013</v>
      </c>
      <c r="T134">
        <f t="shared" ref="T134" si="649">S134/1000</f>
        <v>-1.0297899096313012</v>
      </c>
    </row>
    <row r="135" spans="1:20" x14ac:dyDescent="0.25">
      <c r="A135" s="5">
        <v>44458</v>
      </c>
      <c r="B135">
        <v>3.5179999999999998</v>
      </c>
      <c r="C135">
        <v>3.891</v>
      </c>
      <c r="D135">
        <v>3.4830000000000001</v>
      </c>
      <c r="E135">
        <v>3.6389999999999998</v>
      </c>
      <c r="F135">
        <v>5378641.5999999996</v>
      </c>
      <c r="G135">
        <v>3.6389999999999998</v>
      </c>
      <c r="L135" t="s">
        <v>8</v>
      </c>
      <c r="M135" t="s">
        <v>8</v>
      </c>
      <c r="N135" t="s">
        <v>7</v>
      </c>
      <c r="P135">
        <f t="shared" ref="P135" si="650">IF(C135=D135,0,((E135-D135)-(C135-E135))/(C135-D135))</f>
        <v>-0.23529411764706018</v>
      </c>
      <c r="Q135">
        <f t="shared" ref="Q135" si="651">F135*P135</f>
        <v>-1265562.729411772</v>
      </c>
      <c r="R135">
        <f t="shared" ref="R135" si="652">R136+Q135</f>
        <v>-101087863.28161441</v>
      </c>
      <c r="S135">
        <f t="shared" ref="S135" si="653">R135/100000</f>
        <v>-1010.8786328161441</v>
      </c>
      <c r="T135">
        <f t="shared" ref="T135" si="654">S135/1000</f>
        <v>-1.0108786328161441</v>
      </c>
    </row>
    <row r="136" spans="1:20" x14ac:dyDescent="0.25">
      <c r="A136" s="5">
        <v>44457</v>
      </c>
      <c r="B136">
        <v>3.419</v>
      </c>
      <c r="C136">
        <v>3.5939999999999999</v>
      </c>
      <c r="D136">
        <v>3.3359999999999999</v>
      </c>
      <c r="E136">
        <v>3.5150000000000001</v>
      </c>
      <c r="F136">
        <v>1867333.9</v>
      </c>
      <c r="G136">
        <v>3.5150000000000001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0.38759689922480828</v>
      </c>
      <c r="Q136">
        <f t="shared" ref="Q136" si="656">F136*P136</f>
        <v>723772.82945736824</v>
      </c>
      <c r="R136">
        <f t="shared" ref="R136" si="657">R137+Q136</f>
        <v>-99822300.552202642</v>
      </c>
      <c r="S136">
        <f t="shared" ref="S136" si="658">R136/100000</f>
        <v>-998.22300552202637</v>
      </c>
      <c r="T136">
        <f t="shared" ref="T136" si="659">S136/1000</f>
        <v>-0.99822300552202636</v>
      </c>
    </row>
    <row r="137" spans="1:20" x14ac:dyDescent="0.25">
      <c r="A137" s="5">
        <v>44456</v>
      </c>
      <c r="B137">
        <v>3.4319999999999999</v>
      </c>
      <c r="C137">
        <v>3.8479999999999999</v>
      </c>
      <c r="D137">
        <v>3.3519999999999999</v>
      </c>
      <c r="E137">
        <v>3.42</v>
      </c>
      <c r="F137">
        <v>4690937.8</v>
      </c>
      <c r="G137">
        <v>3.42</v>
      </c>
      <c r="L137" t="s">
        <v>8</v>
      </c>
      <c r="M137" t="s">
        <v>8</v>
      </c>
      <c r="N137" t="s">
        <v>7</v>
      </c>
      <c r="P137">
        <f t="shared" ref="P137" si="660">IF(C137=D137,0,((E137-D137)-(C137-E137))/(C137-D137))</f>
        <v>-0.72580645161290303</v>
      </c>
      <c r="Q137">
        <f t="shared" ref="Q137" si="661">F137*P137</f>
        <v>-3404712.9193548379</v>
      </c>
      <c r="R137">
        <f t="shared" ref="R137" si="662">R138+Q137</f>
        <v>-100546073.38166001</v>
      </c>
      <c r="S137">
        <f t="shared" ref="S137" si="663">R137/100000</f>
        <v>-1005.4607338166002</v>
      </c>
      <c r="T137">
        <f t="shared" ref="T137" si="664">S137/1000</f>
        <v>-1.0054607338166002</v>
      </c>
    </row>
    <row r="138" spans="1:20" x14ac:dyDescent="0.25">
      <c r="A138" s="5">
        <v>44455</v>
      </c>
      <c r="B138">
        <v>3.5179999999999998</v>
      </c>
      <c r="C138">
        <v>3.5590000000000002</v>
      </c>
      <c r="D138">
        <v>3.3210000000000002</v>
      </c>
      <c r="E138">
        <v>3.4249999999999998</v>
      </c>
      <c r="F138">
        <v>1480146.3</v>
      </c>
      <c r="G138">
        <v>3.4249999999999998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-0.12605042016807014</v>
      </c>
      <c r="Q138">
        <f t="shared" ref="Q138" si="666">F138*P138</f>
        <v>-186573.06302521439</v>
      </c>
      <c r="R138">
        <f t="shared" ref="R138" si="667">R139+Q138</f>
        <v>-97141360.462305173</v>
      </c>
      <c r="S138">
        <f t="shared" ref="S138" si="668">R138/100000</f>
        <v>-971.4136046230517</v>
      </c>
      <c r="T138">
        <f t="shared" ref="T138" si="669">S138/1000</f>
        <v>-0.97141360462305171</v>
      </c>
    </row>
    <row r="139" spans="1:20" x14ac:dyDescent="0.25">
      <c r="A139" s="5">
        <v>44454</v>
      </c>
      <c r="B139">
        <v>3.331</v>
      </c>
      <c r="C139">
        <v>3.621</v>
      </c>
      <c r="D139">
        <v>3.2959999999999998</v>
      </c>
      <c r="E139">
        <v>3.5190000000000001</v>
      </c>
      <c r="F139">
        <v>2735406.6</v>
      </c>
      <c r="G139">
        <v>3.5190000000000001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0.37230769230769345</v>
      </c>
      <c r="Q139">
        <f t="shared" ref="Q139" si="671">F139*P139</f>
        <v>1018412.918769234</v>
      </c>
      <c r="R139">
        <f t="shared" ref="R139" si="672">R140+Q139</f>
        <v>-96954787.399279952</v>
      </c>
      <c r="S139">
        <f t="shared" ref="S139" si="673">R139/100000</f>
        <v>-969.54787399279951</v>
      </c>
      <c r="T139">
        <f t="shared" ref="T139" si="674">S139/1000</f>
        <v>-0.96954787399279951</v>
      </c>
    </row>
    <row r="140" spans="1:20" x14ac:dyDescent="0.25">
      <c r="A140" s="5">
        <v>44453</v>
      </c>
      <c r="B140">
        <v>3.2160000000000002</v>
      </c>
      <c r="C140">
        <v>3.3530000000000002</v>
      </c>
      <c r="D140">
        <v>3.1549999999999998</v>
      </c>
      <c r="E140">
        <v>3.335</v>
      </c>
      <c r="F140">
        <v>1192919.8</v>
      </c>
      <c r="G140">
        <v>3.335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0.81818181818181612</v>
      </c>
      <c r="Q140">
        <f t="shared" ref="Q140" si="676">F140*P140</f>
        <v>976025.29090908845</v>
      </c>
      <c r="R140">
        <f t="shared" ref="R140" si="677">R141+Q140</f>
        <v>-97973200.318049192</v>
      </c>
      <c r="S140">
        <f t="shared" ref="S140" si="678">R140/100000</f>
        <v>-979.73200318049192</v>
      </c>
      <c r="T140">
        <f t="shared" ref="T140" si="679">S140/1000</f>
        <v>-0.97973200318049192</v>
      </c>
    </row>
    <row r="141" spans="1:20" x14ac:dyDescent="0.25">
      <c r="A141" s="5">
        <v>44452</v>
      </c>
      <c r="B141">
        <v>3.419</v>
      </c>
      <c r="C141">
        <v>3.4249999999999998</v>
      </c>
      <c r="D141">
        <v>2.988</v>
      </c>
      <c r="E141">
        <v>3.2170000000000001</v>
      </c>
      <c r="F141">
        <v>1555197.9</v>
      </c>
      <c r="G141">
        <v>3.2170000000000001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4.8054919908467643E-2</v>
      </c>
      <c r="Q141">
        <f t="shared" ref="Q141" si="681">F141*P141</f>
        <v>74734.910526317064</v>
      </c>
      <c r="R141">
        <f t="shared" ref="R141" si="682">R142+Q141</f>
        <v>-98949225.608958274</v>
      </c>
      <c r="S141">
        <f t="shared" ref="S141" si="683">R141/100000</f>
        <v>-989.49225608958272</v>
      </c>
      <c r="T141">
        <f t="shared" ref="T141" si="684">S141/1000</f>
        <v>-0.98949225608958269</v>
      </c>
    </row>
    <row r="142" spans="1:20" x14ac:dyDescent="0.25">
      <c r="A142" s="5">
        <v>44451</v>
      </c>
      <c r="B142">
        <v>3.3479999999999999</v>
      </c>
      <c r="C142">
        <v>3.4990000000000001</v>
      </c>
      <c r="D142">
        <v>3.2290000000000001</v>
      </c>
      <c r="E142">
        <v>3.4209999999999998</v>
      </c>
      <c r="F142">
        <v>1308563.3</v>
      </c>
      <c r="G142">
        <v>3.4209999999999998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0.42222222222222011</v>
      </c>
      <c r="Q142">
        <f t="shared" ref="Q142" si="686">F142*P142</f>
        <v>552504.50444444176</v>
      </c>
      <c r="R142">
        <f t="shared" ref="R142" si="687">R143+Q142</f>
        <v>-99023960.519484594</v>
      </c>
      <c r="S142">
        <f t="shared" ref="S142" si="688">R142/100000</f>
        <v>-990.23960519484592</v>
      </c>
      <c r="T142">
        <f t="shared" ref="T142" si="689">S142/1000</f>
        <v>-0.99023960519484588</v>
      </c>
    </row>
    <row r="143" spans="1:20" x14ac:dyDescent="0.25">
      <c r="A143" s="5">
        <v>44450</v>
      </c>
      <c r="B143">
        <v>3.2149999999999999</v>
      </c>
      <c r="C143">
        <v>3.3660000000000001</v>
      </c>
      <c r="D143">
        <v>3.1629999999999998</v>
      </c>
      <c r="E143">
        <v>3.343</v>
      </c>
      <c r="F143">
        <v>1425827.9</v>
      </c>
      <c r="G143">
        <v>3.343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0.77339901477832418</v>
      </c>
      <c r="Q143">
        <f t="shared" ref="Q143" si="691">F143*P143</f>
        <v>1102733.8931034468</v>
      </c>
      <c r="R143">
        <f t="shared" ref="R143" si="692">R144+Q143</f>
        <v>-99576465.02392903</v>
      </c>
      <c r="S143">
        <f t="shared" ref="S143" si="693">R143/100000</f>
        <v>-995.76465023929029</v>
      </c>
      <c r="T143">
        <f t="shared" ref="T143" si="694">S143/1000</f>
        <v>-0.99576465023929028</v>
      </c>
    </row>
    <row r="144" spans="1:20" x14ac:dyDescent="0.25">
      <c r="A144" s="5">
        <v>44449</v>
      </c>
      <c r="B144">
        <v>3.4950000000000001</v>
      </c>
      <c r="C144">
        <v>3.5640000000000001</v>
      </c>
      <c r="D144">
        <v>3.1139999999999999</v>
      </c>
      <c r="E144">
        <v>3.21</v>
      </c>
      <c r="F144">
        <v>2227750.7000000002</v>
      </c>
      <c r="G144">
        <v>3.21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-0.57333333333333314</v>
      </c>
      <c r="Q144">
        <f t="shared" ref="Q144" si="696">F144*P144</f>
        <v>-1277243.7346666662</v>
      </c>
      <c r="R144">
        <f t="shared" ref="R144" si="697">R145+Q144</f>
        <v>-100679198.91703248</v>
      </c>
      <c r="S144">
        <f t="shared" ref="S144" si="698">R144/100000</f>
        <v>-1006.7919891703248</v>
      </c>
      <c r="T144">
        <f t="shared" ref="T144" si="699">S144/1000</f>
        <v>-1.0067919891703248</v>
      </c>
    </row>
    <row r="145" spans="1:20" x14ac:dyDescent="0.25">
      <c r="A145" s="5">
        <v>44448</v>
      </c>
      <c r="B145">
        <v>3.37</v>
      </c>
      <c r="C145">
        <v>3.5419999999999998</v>
      </c>
      <c r="D145">
        <v>3.2480000000000002</v>
      </c>
      <c r="E145">
        <v>3.4980000000000002</v>
      </c>
      <c r="F145">
        <v>2235508.2999999998</v>
      </c>
      <c r="G145">
        <v>3.4980000000000002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0.70068027210884587</v>
      </c>
      <c r="Q145">
        <f t="shared" ref="Q145" si="701">F145*P145</f>
        <v>1566376.5639455833</v>
      </c>
      <c r="R145">
        <f t="shared" ref="R145" si="702">R146+Q145</f>
        <v>-99401955.18236582</v>
      </c>
      <c r="S145">
        <f t="shared" ref="S145" si="703">R145/100000</f>
        <v>-994.01955182365816</v>
      </c>
      <c r="T145">
        <f t="shared" ref="T145" si="704">S145/1000</f>
        <v>-0.9940195518236582</v>
      </c>
    </row>
    <row r="146" spans="1:20" x14ac:dyDescent="0.25">
      <c r="A146" s="5">
        <v>44447</v>
      </c>
      <c r="B146">
        <v>3.2509999999999999</v>
      </c>
      <c r="C146">
        <v>3.5259999999999998</v>
      </c>
      <c r="D146">
        <v>2.91</v>
      </c>
      <c r="E146">
        <v>3.371</v>
      </c>
      <c r="F146">
        <v>5399592.7000000002</v>
      </c>
      <c r="G146">
        <v>3.371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0.49675324675324711</v>
      </c>
      <c r="Q146">
        <f t="shared" ref="Q146" si="706">F146*P146</f>
        <v>2682265.2048701318</v>
      </c>
      <c r="R146">
        <f t="shared" ref="R146" si="707">R147+Q146</f>
        <v>-100968331.7463114</v>
      </c>
      <c r="S146">
        <f t="shared" ref="S146" si="708">R146/100000</f>
        <v>-1009.683317463114</v>
      </c>
      <c r="T146">
        <f t="shared" ref="T146" si="709">S146/1000</f>
        <v>-1.0096833174631139</v>
      </c>
    </row>
    <row r="147" spans="1:20" x14ac:dyDescent="0.25">
      <c r="A147" s="5">
        <v>44446</v>
      </c>
      <c r="B147">
        <v>4.0979999999999999</v>
      </c>
      <c r="C147">
        <v>4.6890000000000001</v>
      </c>
      <c r="D147">
        <v>2.8860000000000001</v>
      </c>
      <c r="E147">
        <v>3.2509999999999999</v>
      </c>
      <c r="F147">
        <v>8027899.9000000004</v>
      </c>
      <c r="G147">
        <v>3.2509999999999999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-0.59511924570160868</v>
      </c>
      <c r="Q147">
        <f t="shared" ref="Q147" si="711">F147*P147</f>
        <v>-4777557.73305602</v>
      </c>
      <c r="R147">
        <f t="shared" ref="R147" si="712">R148+Q147</f>
        <v>-103650596.95118153</v>
      </c>
      <c r="S147">
        <f t="shared" ref="S147" si="713">R147/100000</f>
        <v>-1036.5059695118152</v>
      </c>
      <c r="T147">
        <f t="shared" ref="T147" si="714">S147/1000</f>
        <v>-1.0365059695118153</v>
      </c>
    </row>
    <row r="148" spans="1:20" x14ac:dyDescent="0.25">
      <c r="A148" s="5">
        <v>44445</v>
      </c>
      <c r="B148">
        <v>4.1470000000000002</v>
      </c>
      <c r="C148">
        <v>4.226</v>
      </c>
      <c r="D148">
        <v>3.839</v>
      </c>
      <c r="E148">
        <v>4.0949999999999998</v>
      </c>
      <c r="F148">
        <v>2600381.6</v>
      </c>
      <c r="G148">
        <v>4.0949999999999998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0.32299741602067067</v>
      </c>
      <c r="Q148">
        <f t="shared" ref="Q148" si="716">F148*P148</f>
        <v>839916.53746769729</v>
      </c>
      <c r="R148">
        <f t="shared" ref="R148" si="717">R149+Q148</f>
        <v>-98873039.218125507</v>
      </c>
      <c r="S148">
        <f t="shared" ref="S148" si="718">R148/100000</f>
        <v>-988.73039218125507</v>
      </c>
      <c r="T148">
        <f t="shared" ref="T148" si="719">S148/1000</f>
        <v>-0.98873039218125502</v>
      </c>
    </row>
    <row r="149" spans="1:20" x14ac:dyDescent="0.25">
      <c r="A149" s="5">
        <v>44444</v>
      </c>
      <c r="B149">
        <v>4.17</v>
      </c>
      <c r="C149">
        <v>4.1900000000000004</v>
      </c>
      <c r="D149">
        <v>3.9460000000000002</v>
      </c>
      <c r="E149">
        <v>4.1420000000000003</v>
      </c>
      <c r="F149">
        <v>2416445.7999999998</v>
      </c>
      <c r="G149">
        <v>4.1420000000000003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0.60655737704918034</v>
      </c>
      <c r="Q149">
        <f t="shared" ref="Q149" si="721">F149*P149</f>
        <v>1465713.026229508</v>
      </c>
      <c r="R149">
        <f t="shared" ref="R149" si="722">R150+Q149</f>
        <v>-99712955.75559321</v>
      </c>
      <c r="S149">
        <f t="shared" ref="S149" si="723">R149/100000</f>
        <v>-997.12955755593214</v>
      </c>
      <c r="T149">
        <f t="shared" ref="T149" si="724">S149/1000</f>
        <v>-0.99712955755593213</v>
      </c>
    </row>
    <row r="150" spans="1:20" x14ac:dyDescent="0.25">
      <c r="A150" s="5">
        <v>44443</v>
      </c>
      <c r="B150">
        <v>4.274</v>
      </c>
      <c r="C150">
        <v>4.2759999999999998</v>
      </c>
      <c r="D150">
        <v>4.0739999999999998</v>
      </c>
      <c r="E150">
        <v>4.165</v>
      </c>
      <c r="F150">
        <v>2507093.5</v>
      </c>
      <c r="G150">
        <v>4.165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-9.9009900990096919E-2</v>
      </c>
      <c r="Q150">
        <f t="shared" ref="Q150" si="726">F150*P150</f>
        <v>-248227.07920791555</v>
      </c>
      <c r="R150">
        <f t="shared" ref="R150" si="727">R151+Q150</f>
        <v>-101178668.78182271</v>
      </c>
      <c r="S150">
        <f t="shared" ref="S150" si="728">R150/100000</f>
        <v>-1011.7866878182272</v>
      </c>
      <c r="T150">
        <f t="shared" ref="T150" si="729">S150/1000</f>
        <v>-1.0117866878182271</v>
      </c>
    </row>
    <row r="151" spans="1:20" x14ac:dyDescent="0.25">
      <c r="A151" s="5">
        <v>44442</v>
      </c>
      <c r="B151">
        <v>4.2969999999999997</v>
      </c>
      <c r="C151">
        <v>4.4470000000000001</v>
      </c>
      <c r="D151">
        <v>4.1280000000000001</v>
      </c>
      <c r="E151">
        <v>4.2729999999999997</v>
      </c>
      <c r="F151">
        <v>3816033.7</v>
      </c>
      <c r="G151">
        <v>4.2729999999999997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-9.0909090909093437E-2</v>
      </c>
      <c r="Q151">
        <f t="shared" ref="Q151" si="731">F151*P151</f>
        <v>-346912.1545454642</v>
      </c>
      <c r="R151">
        <f t="shared" ref="R151" si="732">R152+Q151</f>
        <v>-100930441.7026148</v>
      </c>
      <c r="S151">
        <f t="shared" ref="S151" si="733">R151/100000</f>
        <v>-1009.304417026148</v>
      </c>
      <c r="T151">
        <f t="shared" ref="T151" si="734">S151/1000</f>
        <v>-1.009304417026148</v>
      </c>
    </row>
    <row r="152" spans="1:20" x14ac:dyDescent="0.25">
      <c r="A152" s="5">
        <v>44441</v>
      </c>
      <c r="B152">
        <v>4.62</v>
      </c>
      <c r="C152">
        <v>4.7249999999999996</v>
      </c>
      <c r="D152">
        <v>4.2140000000000004</v>
      </c>
      <c r="E152">
        <v>4.2990000000000004</v>
      </c>
      <c r="F152">
        <v>6547095.5999999996</v>
      </c>
      <c r="G152">
        <v>4.2990000000000004</v>
      </c>
      <c r="L152" t="s">
        <v>7</v>
      </c>
      <c r="M152" t="s">
        <v>7</v>
      </c>
      <c r="N152" t="s">
        <v>8</v>
      </c>
      <c r="P152">
        <f t="shared" ref="P152" si="735">IF(C152=D152,0,((E152-D152)-(C152-E152))/(C152-D152))</f>
        <v>-0.66731898238747522</v>
      </c>
      <c r="Q152">
        <f t="shared" ref="Q152" si="736">F152*P152</f>
        <v>-4369001.1733855167</v>
      </c>
      <c r="R152">
        <f t="shared" ref="R152" si="737">R153+Q152</f>
        <v>-100583529.54806933</v>
      </c>
      <c r="S152">
        <f t="shared" ref="S152" si="738">R152/100000</f>
        <v>-1005.8352954806933</v>
      </c>
      <c r="T152">
        <f t="shared" ref="T152" si="739">S152/1000</f>
        <v>-1.0058352954806933</v>
      </c>
    </row>
    <row r="153" spans="1:20" x14ac:dyDescent="0.25">
      <c r="A153" s="5">
        <v>44440</v>
      </c>
      <c r="B153">
        <v>4.8419999999999996</v>
      </c>
      <c r="C153">
        <v>5.3029999999999999</v>
      </c>
      <c r="D153">
        <v>4.3719999999999999</v>
      </c>
      <c r="E153">
        <v>4.62</v>
      </c>
      <c r="F153">
        <v>34935562.600000001</v>
      </c>
      <c r="G153">
        <v>4.62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-0.46723952738990288</v>
      </c>
      <c r="Q153">
        <f t="shared" ref="Q153" si="741">F153*P153</f>
        <v>-16323275.758324368</v>
      </c>
      <c r="R153">
        <f t="shared" ref="R153" si="742">R154+Q153</f>
        <v>-96214528.374683812</v>
      </c>
      <c r="S153">
        <f t="shared" ref="S153" si="743">R153/100000</f>
        <v>-962.14528374683812</v>
      </c>
      <c r="T153">
        <f t="shared" ref="T153" si="744">S153/1000</f>
        <v>-0.96214528374683816</v>
      </c>
    </row>
    <row r="154" spans="1:20" x14ac:dyDescent="0.25">
      <c r="A154" s="5">
        <v>44439</v>
      </c>
      <c r="B154">
        <v>2.6960000000000002</v>
      </c>
      <c r="C154">
        <v>5.5</v>
      </c>
      <c r="D154">
        <v>2.6819999999999999</v>
      </c>
      <c r="E154">
        <v>4.8419999999999996</v>
      </c>
      <c r="F154">
        <v>62047279.880000003</v>
      </c>
      <c r="G154">
        <v>4.8419999999999996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0.53300212916962364</v>
      </c>
      <c r="Q154">
        <f t="shared" ref="Q154" si="746">F154*P154</f>
        <v>33071332.285223551</v>
      </c>
      <c r="R154">
        <f t="shared" ref="R154" si="747">R155+Q154</f>
        <v>-79891252.616359442</v>
      </c>
      <c r="S154">
        <f t="shared" ref="S154" si="748">R154/100000</f>
        <v>-798.91252616359441</v>
      </c>
      <c r="T154">
        <f t="shared" ref="T154" si="749">S154/1000</f>
        <v>-0.79891252616359443</v>
      </c>
    </row>
    <row r="155" spans="1:20" x14ac:dyDescent="0.25">
      <c r="A155" s="5">
        <v>44438</v>
      </c>
      <c r="B155">
        <v>2.8029999999999999</v>
      </c>
      <c r="C155">
        <v>2.835</v>
      </c>
      <c r="D155">
        <v>2.6680000000000001</v>
      </c>
      <c r="E155">
        <v>2.6930000000000001</v>
      </c>
      <c r="F155">
        <v>2035684.4</v>
      </c>
      <c r="G155">
        <v>2.6930000000000001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-0.70059880239521033</v>
      </c>
      <c r="Q155">
        <f t="shared" ref="Q155" si="751">F155*P155</f>
        <v>-1426198.0526946122</v>
      </c>
      <c r="R155">
        <f t="shared" ref="R155" si="752">R156+Q155</f>
        <v>-112962584.901583</v>
      </c>
      <c r="S155">
        <f t="shared" ref="S155" si="753">R155/100000</f>
        <v>-1129.62584901583</v>
      </c>
      <c r="T155">
        <f t="shared" ref="T155" si="754">S155/1000</f>
        <v>-1.12962584901583</v>
      </c>
    </row>
    <row r="156" spans="1:20" x14ac:dyDescent="0.25">
      <c r="A156" s="5">
        <v>44437</v>
      </c>
      <c r="B156">
        <v>2.8170000000000002</v>
      </c>
      <c r="C156">
        <v>2.8210000000000002</v>
      </c>
      <c r="D156">
        <v>2.6789999999999998</v>
      </c>
      <c r="E156">
        <v>2.8</v>
      </c>
      <c r="F156">
        <v>1375115.5</v>
      </c>
      <c r="G156">
        <v>2.8</v>
      </c>
      <c r="L156" t="s">
        <v>7</v>
      </c>
      <c r="M156" t="s">
        <v>7</v>
      </c>
      <c r="N156" t="s">
        <v>7</v>
      </c>
      <c r="P156">
        <f t="shared" ref="P156" si="755">IF(C156=D156,0,((E156-D156)-(C156-E156))/(C156-D156))</f>
        <v>0.70422535211267179</v>
      </c>
      <c r="Q156">
        <f t="shared" ref="Q156" si="756">F156*P156</f>
        <v>968391.19718309271</v>
      </c>
      <c r="R156">
        <f t="shared" ref="R156" si="757">R157+Q156</f>
        <v>-111536386.84888838</v>
      </c>
      <c r="S156">
        <f t="shared" ref="S156" si="758">R156/100000</f>
        <v>-1115.3638684888838</v>
      </c>
      <c r="T156">
        <f t="shared" ref="T156" si="759">S156/1000</f>
        <v>-1.1153638684888838</v>
      </c>
    </row>
    <row r="157" spans="1:20" x14ac:dyDescent="0.25">
      <c r="A157" s="5">
        <v>44436</v>
      </c>
      <c r="B157">
        <v>2.8540000000000001</v>
      </c>
      <c r="C157">
        <v>2.9380000000000002</v>
      </c>
      <c r="D157">
        <v>2.7469999999999999</v>
      </c>
      <c r="E157">
        <v>2.8140000000000001</v>
      </c>
      <c r="F157">
        <v>1705727.74</v>
      </c>
      <c r="G157">
        <v>2.8140000000000001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-0.29842931937172701</v>
      </c>
      <c r="Q157">
        <f t="shared" ref="Q157" si="761">F157*P157</f>
        <v>-509039.1684816741</v>
      </c>
      <c r="R157">
        <f t="shared" ref="R157" si="762">R158+Q157</f>
        <v>-112504778.04607147</v>
      </c>
      <c r="S157">
        <f t="shared" ref="S157" si="763">R157/100000</f>
        <v>-1125.0477804607146</v>
      </c>
      <c r="T157">
        <f t="shared" ref="T157" si="764">S157/1000</f>
        <v>-1.1250477804607146</v>
      </c>
    </row>
    <row r="158" spans="1:20" x14ac:dyDescent="0.25">
      <c r="A158" s="5">
        <v>44435</v>
      </c>
      <c r="B158">
        <v>2.698</v>
      </c>
      <c r="C158">
        <v>2.88</v>
      </c>
      <c r="D158">
        <v>2.5625</v>
      </c>
      <c r="E158">
        <v>2.851</v>
      </c>
      <c r="F158">
        <v>2855820.57</v>
      </c>
      <c r="G158">
        <v>2.851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0.81732283464566979</v>
      </c>
      <c r="Q158">
        <f t="shared" ref="Q158" si="766">F158*P158</f>
        <v>2334127.3635118124</v>
      </c>
      <c r="R158">
        <f t="shared" ref="R158" si="767">R159+Q158</f>
        <v>-111995738.87758979</v>
      </c>
      <c r="S158">
        <f t="shared" ref="S158" si="768">R158/100000</f>
        <v>-1119.9573887758979</v>
      </c>
      <c r="T158">
        <f t="shared" ref="T158" si="769">S158/1000</f>
        <v>-1.119957388775898</v>
      </c>
    </row>
    <row r="159" spans="1:20" x14ac:dyDescent="0.25">
      <c r="A159" s="5">
        <v>44434</v>
      </c>
      <c r="B159">
        <v>2.9411</v>
      </c>
      <c r="C159">
        <v>2.99</v>
      </c>
      <c r="D159">
        <v>2.6164000000000001</v>
      </c>
      <c r="E159">
        <v>2.6960000000000002</v>
      </c>
      <c r="F159">
        <v>1983982.39</v>
      </c>
      <c r="G159">
        <v>2.6960000000000002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-0.57387580299785823</v>
      </c>
      <c r="Q159">
        <f t="shared" ref="Q159" si="771">F159*P159</f>
        <v>-1138559.4871948599</v>
      </c>
      <c r="R159">
        <f t="shared" ref="R159" si="772">R160+Q159</f>
        <v>-114329866.24110161</v>
      </c>
      <c r="S159">
        <f t="shared" ref="S159" si="773">R159/100000</f>
        <v>-1143.298662411016</v>
      </c>
      <c r="T159">
        <f t="shared" ref="T159" si="774">S159/1000</f>
        <v>-1.143298662411016</v>
      </c>
    </row>
    <row r="160" spans="1:20" x14ac:dyDescent="0.25">
      <c r="A160" s="5">
        <v>44433</v>
      </c>
      <c r="B160">
        <v>2.8155000000000001</v>
      </c>
      <c r="C160">
        <v>2.9870000000000001</v>
      </c>
      <c r="D160">
        <v>2.6998000000000002</v>
      </c>
      <c r="E160">
        <v>2.9413999999999998</v>
      </c>
      <c r="F160">
        <v>2408381.7599999998</v>
      </c>
      <c r="G160">
        <v>2.9413999999999998</v>
      </c>
      <c r="L160" t="s">
        <v>7</v>
      </c>
      <c r="M160" t="s">
        <v>8</v>
      </c>
      <c r="N160" t="s">
        <v>7</v>
      </c>
      <c r="P160">
        <f t="shared" ref="P160" si="775">IF(C160=D160,0,((E160-D160)-(C160-E160))/(C160-D160))</f>
        <v>0.68245125348189195</v>
      </c>
      <c r="Q160">
        <f t="shared" ref="Q160" si="776">F160*P160</f>
        <v>1643603.1509749249</v>
      </c>
      <c r="R160">
        <f t="shared" ref="R160" si="777">R161+Q160</f>
        <v>-113191306.75390674</v>
      </c>
      <c r="S160">
        <f t="shared" ref="S160" si="778">R160/100000</f>
        <v>-1131.9130675390675</v>
      </c>
      <c r="T160">
        <f t="shared" ref="T160" si="779">S160/1000</f>
        <v>-1.1319130675390674</v>
      </c>
    </row>
    <row r="161" spans="1:20" x14ac:dyDescent="0.25">
      <c r="A161" s="5">
        <v>44432</v>
      </c>
      <c r="B161">
        <v>3.0396999999999998</v>
      </c>
      <c r="C161">
        <v>3.1879</v>
      </c>
      <c r="D161">
        <v>2.7563</v>
      </c>
      <c r="E161">
        <v>2.8138000000000001</v>
      </c>
      <c r="F161">
        <v>4365332.54</v>
      </c>
      <c r="G161">
        <v>2.8138000000000001</v>
      </c>
      <c r="L161" t="s">
        <v>7</v>
      </c>
      <c r="M161" t="s">
        <v>8</v>
      </c>
      <c r="N161" t="s">
        <v>7</v>
      </c>
      <c r="P161">
        <f t="shared" ref="P161" si="780">IF(C161=D161,0,((E161-D161)-(C161-E161))/(C161-D161))</f>
        <v>-0.73354958294717276</v>
      </c>
      <c r="Q161">
        <f t="shared" ref="Q161" si="781">F161*P161</f>
        <v>-3202187.8641427225</v>
      </c>
      <c r="R161">
        <f t="shared" ref="R161" si="782">R162+Q161</f>
        <v>-114834909.90488167</v>
      </c>
      <c r="S161">
        <f t="shared" ref="S161" si="783">R161/100000</f>
        <v>-1148.3490990488167</v>
      </c>
      <c r="T161">
        <f t="shared" ref="T161" si="784">S161/1000</f>
        <v>-1.1483490990488168</v>
      </c>
    </row>
    <row r="162" spans="1:20" x14ac:dyDescent="0.25">
      <c r="A162" s="5">
        <v>44431</v>
      </c>
      <c r="B162">
        <v>2.9274</v>
      </c>
      <c r="C162">
        <v>3.18</v>
      </c>
      <c r="D162">
        <v>2.9165000000000001</v>
      </c>
      <c r="E162">
        <v>3.0402999999999998</v>
      </c>
      <c r="F162">
        <v>4031626.21</v>
      </c>
      <c r="G162">
        <v>3.0402999999999998</v>
      </c>
      <c r="L162" t="s">
        <v>8</v>
      </c>
      <c r="M162" t="s">
        <v>8</v>
      </c>
      <c r="N162" t="s">
        <v>7</v>
      </c>
      <c r="P162">
        <f t="shared" ref="P162" si="785">IF(C162=D162,0,((E162-D162)-(C162-E162))/(C162-D162))</f>
        <v>-6.034155597723221E-2</v>
      </c>
      <c r="Q162">
        <f t="shared" ref="Q162" si="786">F162*P162</f>
        <v>-243274.59862999155</v>
      </c>
      <c r="R162">
        <f t="shared" ref="R162" si="787">R163+Q162</f>
        <v>-111632722.04073896</v>
      </c>
      <c r="S162">
        <f t="shared" ref="S162" si="788">R162/100000</f>
        <v>-1116.3272204073896</v>
      </c>
      <c r="T162">
        <f t="shared" ref="T162" si="789">S162/1000</f>
        <v>-1.1163272204073897</v>
      </c>
    </row>
    <row r="163" spans="1:20" x14ac:dyDescent="0.25">
      <c r="A163" s="5">
        <v>44430</v>
      </c>
      <c r="B163">
        <v>2.9192999999999998</v>
      </c>
      <c r="C163">
        <v>3.0676999999999999</v>
      </c>
      <c r="D163">
        <v>2.8895</v>
      </c>
      <c r="E163">
        <v>3.0423</v>
      </c>
      <c r="F163">
        <v>910716.27</v>
      </c>
      <c r="G163">
        <v>3.0423</v>
      </c>
      <c r="L163" t="s">
        <v>8</v>
      </c>
      <c r="M163" t="s">
        <v>7</v>
      </c>
      <c r="N163" t="s">
        <v>7</v>
      </c>
      <c r="P163">
        <f t="shared" ref="P163" si="790">IF(C163=D163,0,((E163-D163)-(C163-E163))/(C163-D163))</f>
        <v>0.714927048260383</v>
      </c>
      <c r="Q163">
        <f t="shared" ref="Q163" si="791">F163*P163</f>
        <v>651095.69471380603</v>
      </c>
      <c r="R163">
        <f t="shared" ref="R163" si="792">R164+Q163</f>
        <v>-111389447.44210896</v>
      </c>
      <c r="S163">
        <f t="shared" ref="S163" si="793">R163/100000</f>
        <v>-1113.8944744210896</v>
      </c>
      <c r="T163">
        <f t="shared" ref="T163" si="794">S163/1000</f>
        <v>-1.1138944744210897</v>
      </c>
    </row>
    <row r="164" spans="1:20" x14ac:dyDescent="0.25">
      <c r="A164" s="5">
        <v>44429</v>
      </c>
      <c r="B164">
        <v>2.9761000000000002</v>
      </c>
      <c r="C164">
        <v>2.9765000000000001</v>
      </c>
      <c r="D164">
        <v>2.8458000000000001</v>
      </c>
      <c r="E164">
        <v>2.9218000000000002</v>
      </c>
      <c r="F164">
        <v>2025289.58</v>
      </c>
      <c r="G164">
        <v>2.9218000000000002</v>
      </c>
      <c r="L164" t="s">
        <v>8</v>
      </c>
      <c r="M164" t="s">
        <v>7</v>
      </c>
      <c r="N164" t="s">
        <v>7</v>
      </c>
      <c r="P164">
        <f t="shared" ref="P164" si="795">IF(C164=D164,0,((E164-D164)-(C164-E164))/(C164-D164))</f>
        <v>0.16296863045141616</v>
      </c>
      <c r="Q164">
        <f t="shared" ref="Q164" si="796">F164*P164</f>
        <v>330058.66912012384</v>
      </c>
      <c r="R164">
        <f t="shared" ref="R164" si="797">R165+Q164</f>
        <v>-112040543.13682276</v>
      </c>
      <c r="S164">
        <f t="shared" ref="S164" si="798">R164/100000</f>
        <v>-1120.4054313682277</v>
      </c>
      <c r="T164">
        <f t="shared" ref="T164" si="799">S164/1000</f>
        <v>-1.1204054313682277</v>
      </c>
    </row>
    <row r="165" spans="1:20" x14ac:dyDescent="0.25">
      <c r="A165" s="5">
        <v>44428</v>
      </c>
      <c r="B165">
        <v>2.9068999999999998</v>
      </c>
      <c r="C165">
        <v>2.9754999999999998</v>
      </c>
      <c r="D165">
        <v>2.84</v>
      </c>
      <c r="E165">
        <v>2.9723999999999999</v>
      </c>
      <c r="F165">
        <v>2144822.16</v>
      </c>
      <c r="G165">
        <v>2.9723999999999999</v>
      </c>
      <c r="L165" t="s">
        <v>8</v>
      </c>
      <c r="M165" t="s">
        <v>7</v>
      </c>
      <c r="N165" t="s">
        <v>7</v>
      </c>
      <c r="P165">
        <f t="shared" ref="P165" si="800">IF(C165=D165,0,((E165-D165)-(C165-E165))/(C165-D165))</f>
        <v>0.95424354243542608</v>
      </c>
      <c r="Q165">
        <f t="shared" ref="Q165" si="801">F165*P165</f>
        <v>2046682.6958524024</v>
      </c>
      <c r="R165">
        <f t="shared" ref="R165" si="802">R166+Q165</f>
        <v>-112370601.80594288</v>
      </c>
      <c r="S165">
        <f t="shared" ref="S165" si="803">R165/100000</f>
        <v>-1123.7060180594287</v>
      </c>
      <c r="T165">
        <f t="shared" ref="T165" si="804">S165/1000</f>
        <v>-1.1237060180594287</v>
      </c>
    </row>
    <row r="166" spans="1:20" x14ac:dyDescent="0.25">
      <c r="A166" s="5">
        <v>44427</v>
      </c>
      <c r="B166">
        <v>2.6701999999999999</v>
      </c>
      <c r="C166">
        <v>2.9456000000000002</v>
      </c>
      <c r="D166">
        <v>2.6692</v>
      </c>
      <c r="E166">
        <v>2.9037000000000002</v>
      </c>
      <c r="F166">
        <v>4634153.08</v>
      </c>
      <c r="G166">
        <v>2.9037000000000002</v>
      </c>
      <c r="L166" t="s">
        <v>8</v>
      </c>
      <c r="M166" t="s">
        <v>7</v>
      </c>
      <c r="N166" t="s">
        <v>7</v>
      </c>
      <c r="P166">
        <f t="shared" ref="P166" si="805">IF(C166=D166,0,((E166-D166)-(C166-E166))/(C166-D166))</f>
        <v>0.69681620839363234</v>
      </c>
      <c r="Q166">
        <f t="shared" ref="Q166" si="806">F166*P166</f>
        <v>3229152.9783212733</v>
      </c>
      <c r="R166">
        <f t="shared" ref="R166" si="807">R167+Q166</f>
        <v>-114417284.50179528</v>
      </c>
      <c r="S166">
        <f t="shared" ref="S166" si="808">R166/100000</f>
        <v>-1144.1728450179528</v>
      </c>
      <c r="T166">
        <f t="shared" ref="T166" si="809">S166/1000</f>
        <v>-1.1441728450179527</v>
      </c>
    </row>
    <row r="167" spans="1:20" x14ac:dyDescent="0.25">
      <c r="A167" s="5">
        <v>44426</v>
      </c>
      <c r="B167">
        <v>2.7303999999999999</v>
      </c>
      <c r="C167">
        <v>2.8267000000000002</v>
      </c>
      <c r="D167">
        <v>2.5329999999999999</v>
      </c>
      <c r="E167">
        <v>2.6692999999999998</v>
      </c>
      <c r="F167">
        <v>2982073.25</v>
      </c>
      <c r="G167">
        <v>2.6692999999999998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-7.1842015662242228E-2</v>
      </c>
      <c r="Q167">
        <f t="shared" ref="Q167" si="811">F167*P167</f>
        <v>-214238.15313245359</v>
      </c>
      <c r="R167">
        <f t="shared" ref="R167" si="812">R168+Q167</f>
        <v>-117646437.48011655</v>
      </c>
      <c r="S167">
        <f t="shared" ref="S167" si="813">R167/100000</f>
        <v>-1176.4643748011654</v>
      </c>
      <c r="T167">
        <f t="shared" ref="T167" si="814">S167/1000</f>
        <v>-1.1764643748011654</v>
      </c>
    </row>
    <row r="168" spans="1:20" x14ac:dyDescent="0.25">
      <c r="A168" s="5">
        <v>44425</v>
      </c>
      <c r="B168">
        <v>2.9765999999999999</v>
      </c>
      <c r="C168">
        <v>3.0179999999999998</v>
      </c>
      <c r="D168">
        <v>2.7098</v>
      </c>
      <c r="E168">
        <v>2.7328999999999999</v>
      </c>
      <c r="F168">
        <v>3300122.07</v>
      </c>
      <c r="G168">
        <v>2.7328999999999999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-0.85009733939000709</v>
      </c>
      <c r="Q168">
        <f t="shared" ref="Q168" si="816">F168*P168</f>
        <v>-2805424.9913692428</v>
      </c>
      <c r="R168">
        <f t="shared" ref="R168" si="817">R169+Q168</f>
        <v>-117432199.32698409</v>
      </c>
      <c r="S168">
        <f t="shared" ref="S168" si="818">R168/100000</f>
        <v>-1174.321993269841</v>
      </c>
      <c r="T168">
        <f t="shared" ref="T168" si="819">S168/1000</f>
        <v>-1.174321993269841</v>
      </c>
    </row>
    <row r="169" spans="1:20" x14ac:dyDescent="0.25">
      <c r="A169" s="5">
        <v>44424</v>
      </c>
      <c r="B169">
        <v>3.1492</v>
      </c>
      <c r="C169">
        <v>3.2046000000000001</v>
      </c>
      <c r="D169">
        <v>2.95</v>
      </c>
      <c r="E169">
        <v>2.9790999999999999</v>
      </c>
      <c r="F169">
        <v>2530464.96</v>
      </c>
      <c r="G169">
        <v>2.9790999999999999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-0.77140612725844704</v>
      </c>
      <c r="Q169">
        <f t="shared" ref="Q169" si="821">F169*P169</f>
        <v>-1952016.1749568011</v>
      </c>
      <c r="R169">
        <f t="shared" ref="R169" si="822">R170+Q169</f>
        <v>-114626774.33561485</v>
      </c>
      <c r="S169">
        <f t="shared" ref="S169" si="823">R169/100000</f>
        <v>-1146.2677433561485</v>
      </c>
      <c r="T169">
        <f t="shared" ref="T169" si="824">S169/1000</f>
        <v>-1.1462677433561486</v>
      </c>
    </row>
    <row r="170" spans="1:20" x14ac:dyDescent="0.25">
      <c r="A170" s="5">
        <v>44423</v>
      </c>
      <c r="B170">
        <v>3.1076000000000001</v>
      </c>
      <c r="C170">
        <v>3.2584</v>
      </c>
      <c r="D170">
        <v>2.9588000000000001</v>
      </c>
      <c r="E170">
        <v>3.1547000000000001</v>
      </c>
      <c r="F170">
        <v>3984871.92</v>
      </c>
      <c r="G170">
        <v>3.1547000000000001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0.30774365821094829</v>
      </c>
      <c r="Q170">
        <f t="shared" ref="Q170" si="826">F170*P170</f>
        <v>1226319.0621628852</v>
      </c>
      <c r="R170">
        <f t="shared" ref="R170" si="827">R171+Q170</f>
        <v>-112674758.16065805</v>
      </c>
      <c r="S170">
        <f t="shared" ref="S170" si="828">R170/100000</f>
        <v>-1126.7475816065805</v>
      </c>
      <c r="T170">
        <f t="shared" ref="T170" si="829">S170/1000</f>
        <v>-1.1267475816065806</v>
      </c>
    </row>
    <row r="171" spans="1:20" x14ac:dyDescent="0.25">
      <c r="A171" s="5">
        <v>44422</v>
      </c>
      <c r="B171">
        <v>2.9361000000000002</v>
      </c>
      <c r="C171">
        <v>3.4662000000000002</v>
      </c>
      <c r="D171">
        <v>2.8852000000000002</v>
      </c>
      <c r="E171">
        <v>3.1015000000000001</v>
      </c>
      <c r="F171">
        <v>9163559.7599999998</v>
      </c>
      <c r="G171">
        <v>3.1015000000000001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-0.25542168674698812</v>
      </c>
      <c r="Q171">
        <f t="shared" ref="Q171" si="831">F171*P171</f>
        <v>-2340571.8905060254</v>
      </c>
      <c r="R171">
        <f t="shared" ref="R171" si="832">R172+Q171</f>
        <v>-113901077.22282094</v>
      </c>
      <c r="S171">
        <f t="shared" ref="S171" si="833">R171/100000</f>
        <v>-1139.0107722282094</v>
      </c>
      <c r="T171">
        <f t="shared" ref="T171" si="834">S171/1000</f>
        <v>-1.1390107722282095</v>
      </c>
    </row>
    <row r="172" spans="1:20" x14ac:dyDescent="0.25">
      <c r="A172" s="5">
        <v>44421</v>
      </c>
      <c r="B172">
        <v>2.7715999999999998</v>
      </c>
      <c r="C172">
        <v>3.0701000000000001</v>
      </c>
      <c r="D172">
        <v>2.7328000000000001</v>
      </c>
      <c r="E172">
        <v>2.9355000000000002</v>
      </c>
      <c r="F172">
        <v>3089888.31</v>
      </c>
      <c r="G172">
        <v>2.9355000000000002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0.20189742069374528</v>
      </c>
      <c r="Q172">
        <f t="shared" ref="Q172" si="836">F172*P172</f>
        <v>623840.48002075567</v>
      </c>
      <c r="R172">
        <f t="shared" ref="R172" si="837">R173+Q172</f>
        <v>-111560505.33231491</v>
      </c>
      <c r="S172">
        <f t="shared" ref="S172" si="838">R172/100000</f>
        <v>-1115.6050533231491</v>
      </c>
      <c r="T172">
        <f t="shared" ref="T172" si="839">S172/1000</f>
        <v>-1.1156050533231492</v>
      </c>
    </row>
    <row r="173" spans="1:20" x14ac:dyDescent="0.25">
      <c r="A173" s="5">
        <v>44420</v>
      </c>
      <c r="B173">
        <v>2.9449000000000001</v>
      </c>
      <c r="C173">
        <v>3.0859000000000001</v>
      </c>
      <c r="D173">
        <v>2.7044000000000001</v>
      </c>
      <c r="E173">
        <v>2.7711000000000001</v>
      </c>
      <c r="F173">
        <v>10092932.27</v>
      </c>
      <c r="G173">
        <v>2.7711000000000001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-0.6503276539973788</v>
      </c>
      <c r="Q173">
        <f t="shared" ref="Q173" si="841">F173*P173</f>
        <v>-6563712.9651035387</v>
      </c>
      <c r="R173">
        <f t="shared" ref="R173" si="842">R174+Q173</f>
        <v>-112184345.81233567</v>
      </c>
      <c r="S173">
        <f t="shared" ref="S173" si="843">R173/100000</f>
        <v>-1121.8434581233566</v>
      </c>
      <c r="T173">
        <f t="shared" ref="T173" si="844">S173/1000</f>
        <v>-1.1218434581233567</v>
      </c>
    </row>
    <row r="174" spans="1:20" x14ac:dyDescent="0.25">
      <c r="A174" s="5">
        <v>44419</v>
      </c>
      <c r="B174">
        <v>2.3740999999999999</v>
      </c>
      <c r="C174">
        <v>3.3239999999999998</v>
      </c>
      <c r="D174">
        <v>2.3262</v>
      </c>
      <c r="E174">
        <v>2.9409000000000001</v>
      </c>
      <c r="F174">
        <v>25727773.120000001</v>
      </c>
      <c r="G174">
        <v>2.9409000000000001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0.23211064341551443</v>
      </c>
      <c r="Q174">
        <f t="shared" ref="Q174" si="846">F174*P174</f>
        <v>5971689.9725315776</v>
      </c>
      <c r="R174">
        <f t="shared" ref="R174" si="847">R175+Q174</f>
        <v>-105620632.84723213</v>
      </c>
      <c r="S174">
        <f t="shared" ref="S174" si="848">R174/100000</f>
        <v>-1056.2063284723213</v>
      </c>
      <c r="T174">
        <f t="shared" ref="T174" si="849">S174/1000</f>
        <v>-1.0562063284723213</v>
      </c>
    </row>
    <row r="175" spans="1:20" x14ac:dyDescent="0.25">
      <c r="A175" s="5">
        <v>44418</v>
      </c>
      <c r="B175">
        <v>2.3517999999999999</v>
      </c>
      <c r="C175">
        <v>2.4722</v>
      </c>
      <c r="D175">
        <v>2.27</v>
      </c>
      <c r="E175">
        <v>2.3704000000000001</v>
      </c>
      <c r="F175">
        <v>4417135.9000000004</v>
      </c>
      <c r="G175">
        <v>2.3704000000000001</v>
      </c>
      <c r="L175" t="s">
        <v>7</v>
      </c>
      <c r="M175" t="s">
        <v>8</v>
      </c>
      <c r="N175" t="s">
        <v>8</v>
      </c>
      <c r="P175">
        <f t="shared" ref="P175" si="850">IF(C175=D175,0,((E175-D175)-(C175-E175))/(C175-D175))</f>
        <v>-6.9238377843711483E-3</v>
      </c>
      <c r="Q175">
        <f t="shared" ref="Q175" si="851">F175*P175</f>
        <v>-30583.532443122262</v>
      </c>
      <c r="R175">
        <f t="shared" ref="R175" si="852">R176+Q175</f>
        <v>-111592322.81976371</v>
      </c>
      <c r="S175">
        <f t="shared" ref="S175" si="853">R175/100000</f>
        <v>-1115.9232281976369</v>
      </c>
      <c r="T175">
        <f t="shared" ref="T175" si="854">S175/1000</f>
        <v>-1.115923228197637</v>
      </c>
    </row>
    <row r="176" spans="1:20" x14ac:dyDescent="0.25">
      <c r="A176" s="5">
        <v>44417</v>
      </c>
      <c r="B176">
        <v>2.2974000000000001</v>
      </c>
      <c r="C176">
        <v>2.4500000000000002</v>
      </c>
      <c r="D176">
        <v>2.1362000000000001</v>
      </c>
      <c r="E176">
        <v>2.3502000000000001</v>
      </c>
      <c r="F176">
        <v>5132764</v>
      </c>
      <c r="G176">
        <v>2.3502000000000001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0.36392606755895418</v>
      </c>
      <c r="Q176">
        <f t="shared" ref="Q176" si="856">F176*P176</f>
        <v>1867946.618228168</v>
      </c>
      <c r="R176">
        <f t="shared" ref="R176" si="857">R177+Q176</f>
        <v>-111561739.28732058</v>
      </c>
      <c r="S176">
        <f t="shared" ref="S176" si="858">R176/100000</f>
        <v>-1115.6173928732057</v>
      </c>
      <c r="T176">
        <f t="shared" ref="T176" si="859">S176/1000</f>
        <v>-1.1156173928732058</v>
      </c>
    </row>
    <row r="177" spans="1:20" x14ac:dyDescent="0.25">
      <c r="A177" s="5">
        <v>44416</v>
      </c>
      <c r="B177">
        <v>2.1959</v>
      </c>
      <c r="C177">
        <v>2.3359999999999999</v>
      </c>
      <c r="D177">
        <v>2.1147</v>
      </c>
      <c r="E177">
        <v>2.2970000000000002</v>
      </c>
      <c r="F177">
        <v>4669314.7699999996</v>
      </c>
      <c r="G177">
        <v>2.2970000000000002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0.64753727971080222</v>
      </c>
      <c r="Q177">
        <f t="shared" ref="Q177" si="861">F177*P177</f>
        <v>3023555.3842792697</v>
      </c>
      <c r="R177">
        <f t="shared" ref="R177" si="862">R178+Q177</f>
        <v>-113429685.90554875</v>
      </c>
      <c r="S177">
        <f t="shared" ref="S177" si="863">R177/100000</f>
        <v>-1134.2968590554874</v>
      </c>
      <c r="T177">
        <f t="shared" ref="T177" si="864">S177/1000</f>
        <v>-1.1342968590554874</v>
      </c>
    </row>
    <row r="178" spans="1:20" x14ac:dyDescent="0.25">
      <c r="A178" s="5">
        <v>44415</v>
      </c>
      <c r="B178">
        <v>2.0909</v>
      </c>
      <c r="C178">
        <v>2.23</v>
      </c>
      <c r="D178">
        <v>2.0647000000000002</v>
      </c>
      <c r="E178">
        <v>2.1989000000000001</v>
      </c>
      <c r="F178">
        <v>3025664.03</v>
      </c>
      <c r="G178">
        <v>2.1989000000000001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0.62371445856019425</v>
      </c>
      <c r="Q178">
        <f t="shared" ref="Q178" si="866">F178*P178</f>
        <v>1887150.4022565051</v>
      </c>
      <c r="R178">
        <f t="shared" ref="R178" si="867">R179+Q178</f>
        <v>-116453241.28982802</v>
      </c>
      <c r="S178">
        <f t="shared" ref="S178" si="868">R178/100000</f>
        <v>-1164.5324128982802</v>
      </c>
      <c r="T178">
        <f t="shared" ref="T178" si="869">S178/1000</f>
        <v>-1.1645324128982801</v>
      </c>
    </row>
    <row r="179" spans="1:20" x14ac:dyDescent="0.25">
      <c r="A179" s="5">
        <v>44414</v>
      </c>
      <c r="B179">
        <v>2.0488</v>
      </c>
      <c r="C179">
        <v>2.2989000000000002</v>
      </c>
      <c r="D179">
        <v>1.9858</v>
      </c>
      <c r="E179">
        <v>2.0895999999999999</v>
      </c>
      <c r="F179">
        <v>3117506.76</v>
      </c>
      <c r="G179">
        <v>2.0895999999999999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-0.33695305014372506</v>
      </c>
      <c r="Q179">
        <f t="shared" ref="Q179" si="871">F179*P179</f>
        <v>-1050453.4116256817</v>
      </c>
      <c r="R179">
        <f t="shared" ref="R179" si="872">R180+Q179</f>
        <v>-118340391.69208452</v>
      </c>
      <c r="S179">
        <f t="shared" ref="S179" si="873">R179/100000</f>
        <v>-1183.4039169208452</v>
      </c>
      <c r="T179">
        <f t="shared" ref="T179" si="874">S179/1000</f>
        <v>-1.1834039169208452</v>
      </c>
    </row>
    <row r="180" spans="1:20" x14ac:dyDescent="0.25">
      <c r="A180" s="5">
        <v>44413</v>
      </c>
      <c r="B180">
        <v>1.9983</v>
      </c>
      <c r="C180">
        <v>2.056</v>
      </c>
      <c r="D180">
        <v>1.9</v>
      </c>
      <c r="E180">
        <v>2.0488</v>
      </c>
      <c r="F180">
        <v>1986327.09</v>
      </c>
      <c r="G180">
        <v>2.0488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0.90769230769230658</v>
      </c>
      <c r="Q180">
        <f t="shared" ref="Q180" si="876">F180*P180</f>
        <v>1802973.8201538441</v>
      </c>
      <c r="R180">
        <f t="shared" ref="R180" si="877">R181+Q180</f>
        <v>-117289938.28045884</v>
      </c>
      <c r="S180">
        <f t="shared" ref="S180" si="878">R180/100000</f>
        <v>-1172.8993828045884</v>
      </c>
      <c r="T180">
        <f t="shared" ref="T180" si="879">S180/1000</f>
        <v>-1.1728993828045884</v>
      </c>
    </row>
    <row r="181" spans="1:20" x14ac:dyDescent="0.25">
      <c r="A181" s="5">
        <v>44412</v>
      </c>
      <c r="B181">
        <v>1.9407000000000001</v>
      </c>
      <c r="C181">
        <v>2.0145</v>
      </c>
      <c r="D181">
        <v>1.8738999999999999</v>
      </c>
      <c r="E181">
        <v>1.9984999999999999</v>
      </c>
      <c r="F181">
        <v>1248040.71</v>
      </c>
      <c r="G181">
        <v>1.9984999999999999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0.77240398293029866</v>
      </c>
      <c r="Q181">
        <f t="shared" ref="Q181" si="881">F181*P181</f>
        <v>963991.61526315776</v>
      </c>
      <c r="R181">
        <f t="shared" ref="R181" si="882">R182+Q181</f>
        <v>-119092912.10061269</v>
      </c>
      <c r="S181">
        <f t="shared" ref="S181" si="883">R181/100000</f>
        <v>-1190.9291210061269</v>
      </c>
      <c r="T181">
        <f t="shared" ref="T181" si="884">S181/1000</f>
        <v>-1.190929121006127</v>
      </c>
    </row>
    <row r="182" spans="1:20" x14ac:dyDescent="0.25">
      <c r="A182" s="5">
        <v>44411</v>
      </c>
      <c r="B182">
        <v>1.9907999999999999</v>
      </c>
      <c r="C182">
        <v>2.0413999999999999</v>
      </c>
      <c r="D182">
        <v>1.8703000000000001</v>
      </c>
      <c r="E182">
        <v>1.9433</v>
      </c>
      <c r="F182">
        <v>1730546.62</v>
      </c>
      <c r="G182">
        <v>1.9433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-0.14669783752191659</v>
      </c>
      <c r="Q182">
        <f t="shared" ref="Q182" si="886">F182*P182</f>
        <v>-253867.44688486194</v>
      </c>
      <c r="R182">
        <f t="shared" ref="R182" si="887">R183+Q182</f>
        <v>-120056903.71587585</v>
      </c>
      <c r="S182">
        <f t="shared" ref="S182" si="888">R182/100000</f>
        <v>-1200.5690371587584</v>
      </c>
      <c r="T182">
        <f t="shared" ref="T182" si="889">S182/1000</f>
        <v>-1.2005690371587585</v>
      </c>
    </row>
    <row r="183" spans="1:20" x14ac:dyDescent="0.25">
      <c r="A183" s="5">
        <v>44410</v>
      </c>
      <c r="B183">
        <v>1.9945999999999999</v>
      </c>
      <c r="C183">
        <v>2.0293000000000001</v>
      </c>
      <c r="D183">
        <v>1.9171</v>
      </c>
      <c r="E183">
        <v>1.9927999999999999</v>
      </c>
      <c r="F183">
        <v>2157334.75</v>
      </c>
      <c r="G183">
        <v>1.9927999999999999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0.34937611408199332</v>
      </c>
      <c r="Q183">
        <f t="shared" ref="Q183" si="891">F183*P183</f>
        <v>753721.23172904854</v>
      </c>
      <c r="R183">
        <f t="shared" ref="R183" si="892">R184+Q183</f>
        <v>-119803036.26899099</v>
      </c>
      <c r="S183">
        <f t="shared" ref="S183" si="893">R183/100000</f>
        <v>-1198.0303626899099</v>
      </c>
      <c r="T183">
        <f t="shared" ref="T183" si="894">S183/1000</f>
        <v>-1.1980303626899098</v>
      </c>
    </row>
    <row r="184" spans="1:20" x14ac:dyDescent="0.25">
      <c r="A184" s="5">
        <v>44409</v>
      </c>
      <c r="B184">
        <v>2.2648999999999999</v>
      </c>
      <c r="C184">
        <v>2.2705000000000002</v>
      </c>
      <c r="D184">
        <v>1.9291</v>
      </c>
      <c r="E184">
        <v>1.9933000000000001</v>
      </c>
      <c r="F184">
        <v>4673028.47</v>
      </c>
      <c r="G184">
        <v>1.9933000000000001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-0.6239015817223198</v>
      </c>
      <c r="Q184">
        <f t="shared" ref="Q184" si="896">F184*P184</f>
        <v>-2915509.8538664319</v>
      </c>
      <c r="R184">
        <f t="shared" ref="R184" si="897">R185+Q184</f>
        <v>-120556757.50072004</v>
      </c>
      <c r="S184">
        <f t="shared" ref="S184" si="898">R184/100000</f>
        <v>-1205.5675750072005</v>
      </c>
      <c r="T184">
        <f t="shared" ref="T184" si="899">S184/1000</f>
        <v>-1.2055675750072006</v>
      </c>
    </row>
    <row r="185" spans="1:20" x14ac:dyDescent="0.25">
      <c r="A185" s="5">
        <v>44408</v>
      </c>
      <c r="B185">
        <v>1.9570000000000001</v>
      </c>
      <c r="C185">
        <v>2.5099999999999998</v>
      </c>
      <c r="D185">
        <v>1.9570000000000001</v>
      </c>
      <c r="E185">
        <v>2.2652999999999999</v>
      </c>
      <c r="F185">
        <v>13858626.83</v>
      </c>
      <c r="G185">
        <v>2.2652999999999999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0.11500904159131992</v>
      </c>
      <c r="Q185">
        <f t="shared" ref="Q185" si="901">F185*P185</f>
        <v>1593867.3894900521</v>
      </c>
      <c r="R185">
        <f t="shared" ref="R185" si="902">R186+Q185</f>
        <v>-117641247.64685361</v>
      </c>
      <c r="S185">
        <f t="shared" ref="S185" si="903">R185/100000</f>
        <v>-1176.4124764685362</v>
      </c>
      <c r="T185">
        <f t="shared" ref="T185" si="904">S185/1000</f>
        <v>-1.1764124764685362</v>
      </c>
    </row>
    <row r="186" spans="1:20" x14ac:dyDescent="0.25">
      <c r="A186" s="5">
        <v>44407</v>
      </c>
      <c r="B186">
        <v>1.8288</v>
      </c>
      <c r="C186">
        <v>2.0367999999999999</v>
      </c>
      <c r="D186">
        <v>1.7748999999999999</v>
      </c>
      <c r="E186">
        <v>1.9535</v>
      </c>
      <c r="F186">
        <v>6341547.79</v>
      </c>
      <c r="G186">
        <v>1.9535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0.36387934326078714</v>
      </c>
      <c r="Q186">
        <f t="shared" ref="Q186" si="906">F186*P186</f>
        <v>2307558.2450820962</v>
      </c>
      <c r="R186">
        <f t="shared" ref="R186" si="907">R187+Q186</f>
        <v>-119235115.03634366</v>
      </c>
      <c r="S186">
        <f t="shared" ref="S186" si="908">R186/100000</f>
        <v>-1192.3511503634365</v>
      </c>
      <c r="T186">
        <f t="shared" ref="T186" si="909">S186/1000</f>
        <v>-1.1923511503634365</v>
      </c>
    </row>
    <row r="187" spans="1:20" x14ac:dyDescent="0.25">
      <c r="A187" s="5">
        <v>44406</v>
      </c>
      <c r="B187">
        <v>1.7274</v>
      </c>
      <c r="C187">
        <v>1.87</v>
      </c>
      <c r="D187">
        <v>1.6680999999999999</v>
      </c>
      <c r="E187">
        <v>1.8293999999999999</v>
      </c>
      <c r="F187">
        <v>3715748.52</v>
      </c>
      <c r="G187">
        <v>1.8293999999999999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0.59782070331847292</v>
      </c>
      <c r="Q187">
        <f t="shared" ref="Q187" si="911">F187*P187</f>
        <v>2221351.393580975</v>
      </c>
      <c r="R187">
        <f t="shared" ref="R187" si="912">R188+Q187</f>
        <v>-121542673.28142576</v>
      </c>
      <c r="S187">
        <f t="shared" ref="S187" si="913">R187/100000</f>
        <v>-1215.4267328142575</v>
      </c>
      <c r="T187">
        <f t="shared" ref="T187" si="914">S187/1000</f>
        <v>-1.2154267328142576</v>
      </c>
    </row>
    <row r="188" spans="1:20" x14ac:dyDescent="0.25">
      <c r="A188" s="5">
        <v>44405</v>
      </c>
      <c r="B188">
        <v>1.7458</v>
      </c>
      <c r="C188">
        <v>1.7707999999999999</v>
      </c>
      <c r="D188">
        <v>1.66</v>
      </c>
      <c r="E188">
        <v>1.7265999999999999</v>
      </c>
      <c r="F188">
        <v>1953218.24</v>
      </c>
      <c r="G188">
        <v>1.7265999999999999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0.20216606498194922</v>
      </c>
      <c r="Q188">
        <f t="shared" ref="Q188" si="916">F188*P188</f>
        <v>394874.4456317685</v>
      </c>
      <c r="R188">
        <f t="shared" ref="R188" si="917">R189+Q188</f>
        <v>-123764024.67500673</v>
      </c>
      <c r="S188">
        <f t="shared" ref="S188" si="918">R188/100000</f>
        <v>-1237.6402467500673</v>
      </c>
      <c r="T188">
        <f t="shared" ref="T188" si="919">S188/1000</f>
        <v>-1.2376402467500673</v>
      </c>
    </row>
    <row r="189" spans="1:20" x14ac:dyDescent="0.25">
      <c r="A189" s="5">
        <v>44404</v>
      </c>
      <c r="B189">
        <v>1.6845000000000001</v>
      </c>
      <c r="C189">
        <v>1.7473000000000001</v>
      </c>
      <c r="D189">
        <v>1.5773999999999999</v>
      </c>
      <c r="E189">
        <v>1.7464</v>
      </c>
      <c r="F189">
        <v>1528423</v>
      </c>
      <c r="G189">
        <v>1.7464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0.98940553266627285</v>
      </c>
      <c r="Q189">
        <f t="shared" ref="Q189" si="921">F189*P189</f>
        <v>1512230.1724543828</v>
      </c>
      <c r="R189">
        <f t="shared" ref="R189" si="922">R190+Q189</f>
        <v>-124158899.1206385</v>
      </c>
      <c r="S189">
        <f t="shared" ref="S189" si="923">R189/100000</f>
        <v>-1241.5889912063851</v>
      </c>
      <c r="T189">
        <f t="shared" ref="T189" si="924">S189/1000</f>
        <v>-1.2415889912063851</v>
      </c>
    </row>
    <row r="190" spans="1:20" x14ac:dyDescent="0.25">
      <c r="A190" s="5">
        <v>44403</v>
      </c>
      <c r="B190">
        <v>1.677</v>
      </c>
      <c r="C190">
        <v>1.8098000000000001</v>
      </c>
      <c r="D190">
        <v>1.6436999999999999</v>
      </c>
      <c r="E190">
        <v>1.6850000000000001</v>
      </c>
      <c r="F190">
        <v>3419055.09</v>
      </c>
      <c r="G190">
        <v>1.6850000000000001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-0.5027092113184819</v>
      </c>
      <c r="Q190">
        <f t="shared" ref="Q190" si="926">F190*P190</f>
        <v>-1718790.4877483412</v>
      </c>
      <c r="R190">
        <f t="shared" ref="R190" si="927">R191+Q190</f>
        <v>-125671129.29309289</v>
      </c>
      <c r="S190">
        <f t="shared" ref="S190" si="928">R190/100000</f>
        <v>-1256.7112929309289</v>
      </c>
      <c r="T190">
        <f t="shared" ref="T190" si="929">S190/1000</f>
        <v>-1.256711292930929</v>
      </c>
    </row>
    <row r="191" spans="1:20" x14ac:dyDescent="0.25">
      <c r="A191" s="5">
        <v>44402</v>
      </c>
      <c r="B191">
        <v>1.6160000000000001</v>
      </c>
      <c r="C191">
        <v>1.7118</v>
      </c>
      <c r="D191">
        <v>1.5576000000000001</v>
      </c>
      <c r="E191">
        <v>1.6873</v>
      </c>
      <c r="F191">
        <v>2659502.35</v>
      </c>
      <c r="G191">
        <v>1.6873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0.68223086900129726</v>
      </c>
      <c r="Q191">
        <f t="shared" ref="Q191" si="931">F191*P191</f>
        <v>1814394.5993514922</v>
      </c>
      <c r="R191">
        <f t="shared" ref="R191" si="932">R192+Q191</f>
        <v>-123952338.80534455</v>
      </c>
      <c r="S191">
        <f t="shared" ref="S191" si="933">R191/100000</f>
        <v>-1239.5233880534456</v>
      </c>
      <c r="T191">
        <f t="shared" ref="T191:T197" si="934">S191/1000</f>
        <v>-1.2395233880534455</v>
      </c>
    </row>
    <row r="192" spans="1:20" x14ac:dyDescent="0.25">
      <c r="A192" s="5">
        <v>44401</v>
      </c>
      <c r="B192">
        <v>1.5743</v>
      </c>
      <c r="C192">
        <v>1.68</v>
      </c>
      <c r="D192">
        <v>1.5449999999999999</v>
      </c>
      <c r="E192">
        <v>1.6189</v>
      </c>
      <c r="F192">
        <v>3148636.69</v>
      </c>
      <c r="G192">
        <v>1.6189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9.4814814814815879E-2</v>
      </c>
      <c r="Q192">
        <f t="shared" ref="Q192" si="936">F192*P192</f>
        <v>298537.4046814848</v>
      </c>
      <c r="R192">
        <f t="shared" ref="R192" si="937">R193+Q192</f>
        <v>-125766733.40469605</v>
      </c>
      <c r="S192">
        <f t="shared" ref="S192" si="938">R192/100000</f>
        <v>-1257.6673340469604</v>
      </c>
      <c r="T192">
        <f t="shared" si="934"/>
        <v>-1.2576673340469604</v>
      </c>
    </row>
    <row r="193" spans="1:20" x14ac:dyDescent="0.25">
      <c r="A193" s="5">
        <v>44400</v>
      </c>
      <c r="B193">
        <v>1.4803999999999999</v>
      </c>
      <c r="C193">
        <v>1.6375</v>
      </c>
      <c r="D193">
        <v>1.4781</v>
      </c>
      <c r="E193">
        <v>1.5722</v>
      </c>
      <c r="F193">
        <v>2861766.73</v>
      </c>
      <c r="G193">
        <v>1.5722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0.1806775407779182</v>
      </c>
      <c r="Q193">
        <f t="shared" ref="Q193" si="940">F193*P193</f>
        <v>517056.97505646461</v>
      </c>
      <c r="R193">
        <f t="shared" ref="R193" si="941">R194+Q193</f>
        <v>-126065270.80937754</v>
      </c>
      <c r="S193">
        <f t="shared" ref="S193" si="942">R193/100000</f>
        <v>-1260.6527080937753</v>
      </c>
      <c r="T193">
        <f t="shared" si="934"/>
        <v>-1.2606527080937753</v>
      </c>
    </row>
    <row r="194" spans="1:20" x14ac:dyDescent="0.25">
      <c r="A194" s="5">
        <v>44399</v>
      </c>
      <c r="B194">
        <v>1.4079999999999999</v>
      </c>
      <c r="C194">
        <v>1.61</v>
      </c>
      <c r="D194">
        <v>1.3811</v>
      </c>
      <c r="E194">
        <v>1.4783999999999999</v>
      </c>
      <c r="F194">
        <v>5286690.72</v>
      </c>
      <c r="G194">
        <v>1.4783999999999999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-0.14984709480122413</v>
      </c>
      <c r="Q194">
        <f t="shared" ref="Q194" si="944">F194*P194</f>
        <v>-792195.24550459185</v>
      </c>
      <c r="R194">
        <f t="shared" ref="R194" si="945">R195+Q194</f>
        <v>-126582327.78443401</v>
      </c>
      <c r="S194">
        <f t="shared" ref="S194" si="946">R194/100000</f>
        <v>-1265.8232778443401</v>
      </c>
      <c r="T194">
        <f t="shared" si="934"/>
        <v>-1.2658232778443401</v>
      </c>
    </row>
    <row r="195" spans="1:20" x14ac:dyDescent="0.25">
      <c r="A195" s="5">
        <v>44398</v>
      </c>
      <c r="B195">
        <v>1.2987</v>
      </c>
      <c r="C195">
        <v>1.43</v>
      </c>
      <c r="D195">
        <v>1.2468999999999999</v>
      </c>
      <c r="E195">
        <v>1.4065000000000001</v>
      </c>
      <c r="F195">
        <v>2955848.34</v>
      </c>
      <c r="G195">
        <v>1.4065000000000001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0.74330966684871824</v>
      </c>
      <c r="Q195">
        <f t="shared" ref="Q195" si="948">F195*P195</f>
        <v>2197110.6448607366</v>
      </c>
      <c r="R195">
        <f t="shared" ref="R195" si="949">R196+Q195</f>
        <v>-125790132.53892942</v>
      </c>
      <c r="S195">
        <f t="shared" ref="S195" si="950">R195/100000</f>
        <v>-1257.9013253892942</v>
      </c>
      <c r="T195">
        <f t="shared" si="934"/>
        <v>-1.2579013253892943</v>
      </c>
    </row>
    <row r="196" spans="1:20" x14ac:dyDescent="0.25">
      <c r="A196" s="5">
        <v>44397</v>
      </c>
      <c r="B196">
        <v>1.3900999999999999</v>
      </c>
      <c r="C196">
        <v>1.42</v>
      </c>
      <c r="D196">
        <v>1.2295</v>
      </c>
      <c r="E196">
        <v>1.3003</v>
      </c>
      <c r="F196">
        <v>3809283.86</v>
      </c>
      <c r="G196">
        <v>1.3003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-0.25669291338582662</v>
      </c>
      <c r="Q196">
        <f t="shared" ref="Q196" si="952">F196*P196</f>
        <v>-977816.17193700722</v>
      </c>
      <c r="R196">
        <f t="shared" ref="R196" si="953">R197+Q196</f>
        <v>-127987243.18379015</v>
      </c>
      <c r="S196">
        <f t="shared" ref="S196" si="954">R196/100000</f>
        <v>-1279.8724318379016</v>
      </c>
      <c r="T196">
        <f t="shared" si="934"/>
        <v>-1.2798724318379016</v>
      </c>
    </row>
    <row r="197" spans="1:20" x14ac:dyDescent="0.25">
      <c r="A197" s="5">
        <v>44396</v>
      </c>
      <c r="B197">
        <v>1.5009999999999999</v>
      </c>
      <c r="C197">
        <v>1.5009999999999999</v>
      </c>
      <c r="D197">
        <v>1.3634999999999999</v>
      </c>
      <c r="E197">
        <v>1.3868</v>
      </c>
      <c r="F197">
        <v>1629926.94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-0.66109090909090751</v>
      </c>
      <c r="Q197">
        <f t="shared" ref="Q197" si="956">F197*P197</f>
        <v>-1077529.8825163611</v>
      </c>
      <c r="R197">
        <f t="shared" ref="R197" si="957">R198+Q197</f>
        <v>-127009427.01185314</v>
      </c>
      <c r="S197">
        <f t="shared" ref="S197" si="958">R197/100000</f>
        <v>-1270.0942701185315</v>
      </c>
      <c r="T197">
        <f t="shared" si="934"/>
        <v>-1.2700942701185316</v>
      </c>
    </row>
    <row r="198" spans="1:20" x14ac:dyDescent="0.25">
      <c r="A198" s="5">
        <v>44395</v>
      </c>
      <c r="B198">
        <v>1.5519000000000001</v>
      </c>
      <c r="C198">
        <v>1.5860000000000001</v>
      </c>
      <c r="D198">
        <v>1.4695</v>
      </c>
      <c r="E198">
        <v>1.5009999999999999</v>
      </c>
      <c r="F198">
        <v>1314037.97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-0.45922746781116142</v>
      </c>
      <c r="Q198">
        <f t="shared" ref="Q198:Q261" si="960">F198*P198</f>
        <v>-603442.32957081893</v>
      </c>
      <c r="R198">
        <f t="shared" ref="R198:R261" si="961">R199+Q198</f>
        <v>-125931897.12933679</v>
      </c>
      <c r="S198">
        <f t="shared" ref="S198:S261" si="962">R198/100000</f>
        <v>-1259.3189712933679</v>
      </c>
      <c r="T198">
        <f t="shared" ref="T198:T261" si="963">S198/1000</f>
        <v>-1.2593189712933679</v>
      </c>
    </row>
    <row r="199" spans="1:20" x14ac:dyDescent="0.25">
      <c r="A199" s="5">
        <v>44394</v>
      </c>
      <c r="B199">
        <v>1.448</v>
      </c>
      <c r="C199">
        <v>1.5979000000000001</v>
      </c>
      <c r="D199">
        <v>1.4365000000000001</v>
      </c>
      <c r="E199">
        <v>1.5529999999999999</v>
      </c>
      <c r="F199">
        <v>2905746.43</v>
      </c>
      <c r="G199">
        <v>0</v>
      </c>
      <c r="L199" t="s">
        <v>8</v>
      </c>
      <c r="M199" t="s">
        <v>7</v>
      </c>
      <c r="N199" t="s">
        <v>7</v>
      </c>
      <c r="P199">
        <f t="shared" si="959"/>
        <v>0.44361833952911817</v>
      </c>
      <c r="Q199">
        <f t="shared" si="960"/>
        <v>1289042.4063692631</v>
      </c>
      <c r="R199">
        <f t="shared" si="961"/>
        <v>-125328454.79976597</v>
      </c>
      <c r="S199">
        <f t="shared" si="962"/>
        <v>-1253.2845479976597</v>
      </c>
      <c r="T199">
        <f t="shared" si="963"/>
        <v>-1.2532845479976598</v>
      </c>
    </row>
    <row r="200" spans="1:20" x14ac:dyDescent="0.25">
      <c r="A200" s="5">
        <v>44393</v>
      </c>
      <c r="B200">
        <v>1.6201000000000001</v>
      </c>
      <c r="C200">
        <v>1.6235999999999999</v>
      </c>
      <c r="D200">
        <v>1.4236</v>
      </c>
      <c r="E200">
        <v>1.4464999999999999</v>
      </c>
      <c r="F200">
        <v>2245593.67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-0.7710000000000008</v>
      </c>
      <c r="Q200">
        <f t="shared" si="960"/>
        <v>-1731352.7195700018</v>
      </c>
      <c r="R200">
        <f t="shared" si="961"/>
        <v>-126617497.20613524</v>
      </c>
      <c r="S200">
        <f t="shared" si="962"/>
        <v>-1266.1749720613525</v>
      </c>
      <c r="T200">
        <f t="shared" si="963"/>
        <v>-1.2661749720613524</v>
      </c>
    </row>
    <row r="201" spans="1:20" x14ac:dyDescent="0.25">
      <c r="A201" s="5">
        <v>44392</v>
      </c>
      <c r="B201">
        <v>1.7042999999999999</v>
      </c>
      <c r="C201">
        <v>1.7767999999999999</v>
      </c>
      <c r="D201">
        <v>1.5628</v>
      </c>
      <c r="E201">
        <v>1.6186</v>
      </c>
      <c r="F201">
        <v>2682040.31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-0.4785046728971955</v>
      </c>
      <c r="Q201">
        <f t="shared" si="960"/>
        <v>-1283368.8212336428</v>
      </c>
      <c r="R201">
        <f t="shared" si="961"/>
        <v>-124886144.48656525</v>
      </c>
      <c r="S201">
        <f t="shared" si="962"/>
        <v>-1248.8614448656524</v>
      </c>
      <c r="T201">
        <f t="shared" si="963"/>
        <v>-1.2488614448656523</v>
      </c>
    </row>
    <row r="202" spans="1:20" x14ac:dyDescent="0.25">
      <c r="A202" s="5">
        <v>44391</v>
      </c>
      <c r="B202">
        <v>1.8381000000000001</v>
      </c>
      <c r="C202">
        <v>1.9006000000000001</v>
      </c>
      <c r="D202">
        <v>1.5667</v>
      </c>
      <c r="E202">
        <v>1.7060999999999999</v>
      </c>
      <c r="F202">
        <v>4643218.2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-0.16501946690625977</v>
      </c>
      <c r="Q202">
        <f t="shared" si="960"/>
        <v>-766221.39209344308</v>
      </c>
      <c r="R202">
        <f t="shared" si="961"/>
        <v>-123602775.6653316</v>
      </c>
      <c r="S202">
        <f t="shared" si="962"/>
        <v>-1236.0277566533159</v>
      </c>
      <c r="T202">
        <f t="shared" si="963"/>
        <v>-1.236027756653316</v>
      </c>
    </row>
    <row r="203" spans="1:20" x14ac:dyDescent="0.25">
      <c r="A203" s="5">
        <v>44390</v>
      </c>
      <c r="B203">
        <v>2.0583999999999998</v>
      </c>
      <c r="C203">
        <v>2.0607000000000002</v>
      </c>
      <c r="D203">
        <v>1.7649999999999999</v>
      </c>
      <c r="E203">
        <v>1.8361000000000001</v>
      </c>
      <c r="F203">
        <v>8569686.4700000007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-0.51910720324653303</v>
      </c>
      <c r="Q203">
        <f t="shared" si="960"/>
        <v>-4448585.976141355</v>
      </c>
      <c r="R203">
        <f t="shared" si="961"/>
        <v>-122836554.27323815</v>
      </c>
      <c r="S203">
        <f t="shared" si="962"/>
        <v>-1228.3655427323815</v>
      </c>
      <c r="T203">
        <f t="shared" si="963"/>
        <v>-1.2283655427323816</v>
      </c>
    </row>
    <row r="204" spans="1:20" x14ac:dyDescent="0.25">
      <c r="A204" s="5">
        <v>44389</v>
      </c>
      <c r="B204">
        <v>1.6278999999999999</v>
      </c>
      <c r="C204">
        <v>2.1393</v>
      </c>
      <c r="D204">
        <v>1.603</v>
      </c>
      <c r="E204">
        <v>2.0585</v>
      </c>
      <c r="F204">
        <v>16791150.530000001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0.69867611411523411</v>
      </c>
      <c r="Q204">
        <f t="shared" si="960"/>
        <v>11731575.803824354</v>
      </c>
      <c r="R204">
        <f t="shared" si="961"/>
        <v>-118387968.2970968</v>
      </c>
      <c r="S204">
        <f t="shared" si="962"/>
        <v>-1183.8796829709681</v>
      </c>
      <c r="T204">
        <f t="shared" si="963"/>
        <v>-1.1838796829709681</v>
      </c>
    </row>
    <row r="205" spans="1:20" x14ac:dyDescent="0.25">
      <c r="A205" s="5">
        <v>44388</v>
      </c>
      <c r="B205">
        <v>1.5354000000000001</v>
      </c>
      <c r="C205">
        <v>1.6837</v>
      </c>
      <c r="D205">
        <v>1.5354000000000001</v>
      </c>
      <c r="E205">
        <v>1.6243000000000001</v>
      </c>
      <c r="F205">
        <v>3485279.96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0.19892110586648756</v>
      </c>
      <c r="Q205">
        <f t="shared" si="960"/>
        <v>693295.74389750755</v>
      </c>
      <c r="R205">
        <f t="shared" si="961"/>
        <v>-130119544.10092115</v>
      </c>
      <c r="S205">
        <f t="shared" si="962"/>
        <v>-1301.1954410092114</v>
      </c>
      <c r="T205">
        <f t="shared" si="963"/>
        <v>-1.3011954410092115</v>
      </c>
    </row>
    <row r="206" spans="1:20" x14ac:dyDescent="0.25">
      <c r="A206" s="5">
        <v>44387</v>
      </c>
      <c r="B206">
        <v>1.5832999999999999</v>
      </c>
      <c r="C206">
        <v>1.6147</v>
      </c>
      <c r="D206">
        <v>1.4838</v>
      </c>
      <c r="E206">
        <v>1.532</v>
      </c>
      <c r="F206">
        <v>1466560.68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-0.26355996944232218</v>
      </c>
      <c r="Q206">
        <f t="shared" si="960"/>
        <v>-386526.68800611125</v>
      </c>
      <c r="R206">
        <f t="shared" si="961"/>
        <v>-130812839.84481867</v>
      </c>
      <c r="S206">
        <f t="shared" si="962"/>
        <v>-1308.1283984481868</v>
      </c>
      <c r="T206">
        <f t="shared" si="963"/>
        <v>-1.3081283984481868</v>
      </c>
    </row>
    <row r="207" spans="1:20" x14ac:dyDescent="0.25">
      <c r="A207" s="5">
        <v>44386</v>
      </c>
      <c r="B207">
        <v>1.5699000000000001</v>
      </c>
      <c r="C207">
        <v>1.5873999999999999</v>
      </c>
      <c r="D207">
        <v>1.45</v>
      </c>
      <c r="E207">
        <v>1.5826</v>
      </c>
      <c r="F207">
        <v>3084641.09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0.9301310043668134</v>
      </c>
      <c r="Q207">
        <f t="shared" si="960"/>
        <v>2869120.3151528421</v>
      </c>
      <c r="R207">
        <f t="shared" si="961"/>
        <v>-130426313.15681255</v>
      </c>
      <c r="S207">
        <f t="shared" si="962"/>
        <v>-1304.2631315681256</v>
      </c>
      <c r="T207">
        <f t="shared" si="963"/>
        <v>-1.3042631315681257</v>
      </c>
    </row>
    <row r="208" spans="1:20" x14ac:dyDescent="0.25">
      <c r="A208" s="5">
        <v>44385</v>
      </c>
      <c r="B208">
        <v>1.8231999999999999</v>
      </c>
      <c r="C208">
        <v>1.8293999999999999</v>
      </c>
      <c r="D208">
        <v>1.5310999999999999</v>
      </c>
      <c r="E208">
        <v>1.5692999999999999</v>
      </c>
      <c r="F208">
        <v>1811905.02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-0.743881997988602</v>
      </c>
      <c r="Q208">
        <f t="shared" si="960"/>
        <v>-1347843.5264431778</v>
      </c>
      <c r="R208">
        <f t="shared" si="961"/>
        <v>-133295433.47196539</v>
      </c>
      <c r="S208">
        <f t="shared" si="962"/>
        <v>-1332.9543347196538</v>
      </c>
      <c r="T208">
        <f t="shared" si="963"/>
        <v>-1.3329543347196537</v>
      </c>
    </row>
    <row r="209" spans="1:20" x14ac:dyDescent="0.25">
      <c r="A209" s="5">
        <v>44384</v>
      </c>
      <c r="B209">
        <v>1.8027</v>
      </c>
      <c r="C209">
        <v>1.8332999999999999</v>
      </c>
      <c r="D209">
        <v>1.7545999999999999</v>
      </c>
      <c r="E209">
        <v>1.8204</v>
      </c>
      <c r="F209">
        <v>1592391.84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0.67217280813214964</v>
      </c>
      <c r="Q209">
        <f t="shared" si="960"/>
        <v>1070362.4947395208</v>
      </c>
      <c r="R209">
        <f t="shared" si="961"/>
        <v>-131947589.9455222</v>
      </c>
      <c r="S209">
        <f t="shared" si="962"/>
        <v>-1319.4758994552221</v>
      </c>
      <c r="T209">
        <f t="shared" si="963"/>
        <v>-1.319475899455222</v>
      </c>
    </row>
    <row r="210" spans="1:20" x14ac:dyDescent="0.25">
      <c r="A210" s="5">
        <v>44383</v>
      </c>
      <c r="B210">
        <v>1.7892999999999999</v>
      </c>
      <c r="C210">
        <v>1.8320000000000001</v>
      </c>
      <c r="D210">
        <v>1.7407999999999999</v>
      </c>
      <c r="E210">
        <v>1.8041</v>
      </c>
      <c r="F210">
        <v>2110737.14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0.38815789473684248</v>
      </c>
      <c r="Q210">
        <f t="shared" si="960"/>
        <v>819299.28460526397</v>
      </c>
      <c r="R210">
        <f t="shared" si="961"/>
        <v>-133017952.44026172</v>
      </c>
      <c r="S210">
        <f t="shared" si="962"/>
        <v>-1330.1795244026173</v>
      </c>
      <c r="T210">
        <f t="shared" si="963"/>
        <v>-1.3301795244026173</v>
      </c>
    </row>
    <row r="211" spans="1:20" x14ac:dyDescent="0.25">
      <c r="A211" s="5">
        <v>44382</v>
      </c>
      <c r="B211">
        <v>1.8706</v>
      </c>
      <c r="C211">
        <v>1.8706</v>
      </c>
      <c r="D211">
        <v>1.6789000000000001</v>
      </c>
      <c r="E211">
        <v>1.7884</v>
      </c>
      <c r="F211">
        <v>2612901.21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0.14241001564945166</v>
      </c>
      <c r="Q211">
        <f t="shared" si="960"/>
        <v>372103.30220657116</v>
      </c>
      <c r="R211">
        <f t="shared" si="961"/>
        <v>-133837251.72486699</v>
      </c>
      <c r="S211">
        <f t="shared" si="962"/>
        <v>-1338.37251724867</v>
      </c>
      <c r="T211">
        <f t="shared" si="963"/>
        <v>-1.33837251724867</v>
      </c>
    </row>
    <row r="212" spans="1:20" x14ac:dyDescent="0.25">
      <c r="A212" s="5">
        <v>44381</v>
      </c>
      <c r="B212">
        <v>1.8661000000000001</v>
      </c>
      <c r="C212">
        <v>1.8965000000000001</v>
      </c>
      <c r="D212">
        <v>1.7561</v>
      </c>
      <c r="E212">
        <v>1.8712</v>
      </c>
      <c r="F212">
        <v>1936441.9</v>
      </c>
      <c r="G212">
        <v>0</v>
      </c>
      <c r="L212" t="s">
        <v>7</v>
      </c>
      <c r="M212" t="s">
        <v>8</v>
      </c>
      <c r="N212" t="s">
        <v>8</v>
      </c>
      <c r="P212">
        <f t="shared" si="959"/>
        <v>0.6396011396011384</v>
      </c>
      <c r="Q212">
        <f t="shared" si="960"/>
        <v>1238550.4460113936</v>
      </c>
      <c r="R212">
        <f t="shared" si="961"/>
        <v>-134209355.02707356</v>
      </c>
      <c r="S212">
        <f t="shared" si="962"/>
        <v>-1342.0935502707357</v>
      </c>
      <c r="T212">
        <f t="shared" si="963"/>
        <v>-1.3420935502707356</v>
      </c>
    </row>
    <row r="213" spans="1:20" x14ac:dyDescent="0.25">
      <c r="A213" s="5">
        <v>44380</v>
      </c>
      <c r="B213">
        <v>1.7433000000000001</v>
      </c>
      <c r="C213">
        <v>1.8997999999999999</v>
      </c>
      <c r="D213">
        <v>1.6992</v>
      </c>
      <c r="E213">
        <v>1.8653</v>
      </c>
      <c r="F213">
        <v>3071873.12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0.65603190428713865</v>
      </c>
      <c r="Q213">
        <f t="shared" si="960"/>
        <v>2015246.7726420742</v>
      </c>
      <c r="R213">
        <f t="shared" si="961"/>
        <v>-135447905.47308496</v>
      </c>
      <c r="S213">
        <f t="shared" si="962"/>
        <v>-1354.4790547308496</v>
      </c>
      <c r="T213">
        <f t="shared" si="963"/>
        <v>-1.3544790547308496</v>
      </c>
    </row>
    <row r="214" spans="1:20" x14ac:dyDescent="0.25">
      <c r="A214" s="5">
        <v>44379</v>
      </c>
      <c r="B214">
        <v>1.6276999999999999</v>
      </c>
      <c r="C214">
        <v>1.8026</v>
      </c>
      <c r="D214">
        <v>1.609</v>
      </c>
      <c r="E214">
        <v>1.742</v>
      </c>
      <c r="F214">
        <v>6604635.3200000003</v>
      </c>
      <c r="G214">
        <v>0</v>
      </c>
      <c r="L214" t="s">
        <v>8</v>
      </c>
      <c r="M214" t="s">
        <v>8</v>
      </c>
      <c r="N214" t="s">
        <v>8</v>
      </c>
      <c r="P214">
        <f t="shared" si="959"/>
        <v>0.37396694214876042</v>
      </c>
      <c r="Q214">
        <f t="shared" si="960"/>
        <v>2469915.2746281</v>
      </c>
      <c r="R214">
        <f t="shared" si="961"/>
        <v>-137463152.24572703</v>
      </c>
      <c r="S214">
        <f t="shared" si="962"/>
        <v>-1374.6315224572704</v>
      </c>
      <c r="T214">
        <f t="shared" si="963"/>
        <v>-1.3746315224572705</v>
      </c>
    </row>
    <row r="215" spans="1:20" x14ac:dyDescent="0.25">
      <c r="A215" s="5">
        <v>44378</v>
      </c>
      <c r="B215">
        <v>1.758</v>
      </c>
      <c r="C215">
        <v>1.7597</v>
      </c>
      <c r="D215">
        <v>1.5465</v>
      </c>
      <c r="E215">
        <v>1.6272</v>
      </c>
      <c r="F215">
        <v>3257426.29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-0.24296435272045053</v>
      </c>
      <c r="Q215">
        <f t="shared" si="960"/>
        <v>-791438.47008442855</v>
      </c>
      <c r="R215">
        <f t="shared" si="961"/>
        <v>-139933067.52035514</v>
      </c>
      <c r="S215">
        <f t="shared" si="962"/>
        <v>-1399.3306752035514</v>
      </c>
      <c r="T215">
        <f t="shared" si="963"/>
        <v>-1.3993306752035515</v>
      </c>
    </row>
    <row r="216" spans="1:20" x14ac:dyDescent="0.25">
      <c r="A216" s="5">
        <v>44377</v>
      </c>
      <c r="B216">
        <v>1.5785</v>
      </c>
      <c r="C216">
        <v>1.9</v>
      </c>
      <c r="D216">
        <v>1.538</v>
      </c>
      <c r="E216">
        <v>1.7561</v>
      </c>
      <c r="F216">
        <v>9915610.6099999994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0.20497237569060792</v>
      </c>
      <c r="Q216">
        <f t="shared" si="960"/>
        <v>2032426.2631546978</v>
      </c>
      <c r="R216">
        <f t="shared" si="961"/>
        <v>-139141629.05027071</v>
      </c>
      <c r="S216">
        <f t="shared" si="962"/>
        <v>-1391.4162905027072</v>
      </c>
      <c r="T216">
        <f t="shared" si="963"/>
        <v>-1.3914162905027072</v>
      </c>
    </row>
    <row r="217" spans="1:20" x14ac:dyDescent="0.25">
      <c r="A217" s="5">
        <v>44376</v>
      </c>
      <c r="B217">
        <v>1.4575</v>
      </c>
      <c r="C217">
        <v>1.6113999999999999</v>
      </c>
      <c r="D217">
        <v>1.4370000000000001</v>
      </c>
      <c r="E217">
        <v>1.5766</v>
      </c>
      <c r="F217">
        <v>3932976.48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0.60091743119266094</v>
      </c>
      <c r="Q217">
        <f t="shared" si="960"/>
        <v>2363394.123302754</v>
      </c>
      <c r="R217">
        <f t="shared" si="961"/>
        <v>-141174055.31342539</v>
      </c>
      <c r="S217">
        <f t="shared" si="962"/>
        <v>-1411.740553134254</v>
      </c>
      <c r="T217">
        <f t="shared" si="963"/>
        <v>-1.411740553134254</v>
      </c>
    </row>
    <row r="218" spans="1:20" x14ac:dyDescent="0.25">
      <c r="A218" s="5">
        <v>44375</v>
      </c>
      <c r="B218">
        <v>1.3385</v>
      </c>
      <c r="C218">
        <v>1.49</v>
      </c>
      <c r="D218">
        <v>1.2908999999999999</v>
      </c>
      <c r="E218">
        <v>1.4568000000000001</v>
      </c>
      <c r="F218">
        <v>3103061.96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0.66649924660974502</v>
      </c>
      <c r="Q218">
        <f t="shared" si="960"/>
        <v>2068188.4585233587</v>
      </c>
      <c r="R218">
        <f t="shared" si="961"/>
        <v>-143537449.43672815</v>
      </c>
      <c r="S218">
        <f t="shared" si="962"/>
        <v>-1435.3744943672814</v>
      </c>
      <c r="T218">
        <f t="shared" si="963"/>
        <v>-1.4353744943672815</v>
      </c>
    </row>
    <row r="219" spans="1:20" x14ac:dyDescent="0.25">
      <c r="A219" s="5">
        <v>44374</v>
      </c>
      <c r="B219">
        <v>1.2575000000000001</v>
      </c>
      <c r="C219">
        <v>1.3627</v>
      </c>
      <c r="D219">
        <v>1.2378</v>
      </c>
      <c r="E219">
        <v>1.3392999999999999</v>
      </c>
      <c r="F219">
        <v>4910043.66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0.62530024019215236</v>
      </c>
      <c r="Q219">
        <f t="shared" si="960"/>
        <v>3070251.4799519549</v>
      </c>
      <c r="R219">
        <f t="shared" si="961"/>
        <v>-145605637.89525151</v>
      </c>
      <c r="S219">
        <f t="shared" si="962"/>
        <v>-1456.0563789525152</v>
      </c>
      <c r="T219">
        <f t="shared" si="963"/>
        <v>-1.4560563789525152</v>
      </c>
    </row>
    <row r="220" spans="1:20" x14ac:dyDescent="0.25">
      <c r="A220" s="5">
        <v>44373</v>
      </c>
      <c r="B220">
        <v>1.2612000000000001</v>
      </c>
      <c r="C220">
        <v>1.2970999999999999</v>
      </c>
      <c r="D220">
        <v>1.1669</v>
      </c>
      <c r="E220">
        <v>1.2553000000000001</v>
      </c>
      <c r="F220">
        <v>4996059.12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0.35791090629800493</v>
      </c>
      <c r="Q220">
        <f t="shared" si="960"/>
        <v>1788144.0475576129</v>
      </c>
      <c r="R220">
        <f t="shared" si="961"/>
        <v>-148675889.37520346</v>
      </c>
      <c r="S220">
        <f t="shared" si="962"/>
        <v>-1486.7588937520345</v>
      </c>
      <c r="T220">
        <f t="shared" si="963"/>
        <v>-1.4867588937520344</v>
      </c>
    </row>
    <row r="221" spans="1:20" x14ac:dyDescent="0.25">
      <c r="A221" s="5">
        <v>44372</v>
      </c>
      <c r="B221">
        <v>1.306</v>
      </c>
      <c r="C221">
        <v>1.5094000000000001</v>
      </c>
      <c r="D221">
        <v>1.2592000000000001</v>
      </c>
      <c r="E221">
        <v>1.2616000000000001</v>
      </c>
      <c r="F221">
        <v>12357373.73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-0.98081534772182288</v>
      </c>
      <c r="Q221">
        <f t="shared" si="960"/>
        <v>-12120301.811918469</v>
      </c>
      <c r="R221">
        <f t="shared" si="961"/>
        <v>-150464033.42276108</v>
      </c>
      <c r="S221">
        <f t="shared" si="962"/>
        <v>-1504.6403342276108</v>
      </c>
      <c r="T221">
        <f t="shared" si="963"/>
        <v>-1.5046403342276107</v>
      </c>
    </row>
    <row r="222" spans="1:20" x14ac:dyDescent="0.25">
      <c r="A222" s="5">
        <v>44371</v>
      </c>
      <c r="B222">
        <v>1.1451</v>
      </c>
      <c r="C222">
        <v>1.3705000000000001</v>
      </c>
      <c r="D222">
        <v>1.1229</v>
      </c>
      <c r="E222">
        <v>1.3046</v>
      </c>
      <c r="F222">
        <v>12531360.619999999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0.46768982229402217</v>
      </c>
      <c r="Q222">
        <f t="shared" si="960"/>
        <v>5860789.821470107</v>
      </c>
      <c r="R222">
        <f t="shared" si="961"/>
        <v>-138343731.61084262</v>
      </c>
      <c r="S222">
        <f t="shared" si="962"/>
        <v>-1383.4373161084261</v>
      </c>
      <c r="T222">
        <f t="shared" si="963"/>
        <v>-1.3834373161084261</v>
      </c>
    </row>
    <row r="223" spans="1:20" x14ac:dyDescent="0.25">
      <c r="A223" s="5">
        <v>44370</v>
      </c>
      <c r="B223">
        <v>1.0491999999999999</v>
      </c>
      <c r="C223">
        <v>1.1816</v>
      </c>
      <c r="D223">
        <v>1.0022</v>
      </c>
      <c r="E223">
        <v>1.1416999999999999</v>
      </c>
      <c r="F223">
        <v>6860412.9199999999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0.55518394648829383</v>
      </c>
      <c r="Q223">
        <f t="shared" si="960"/>
        <v>3808791.1194648794</v>
      </c>
      <c r="R223">
        <f t="shared" si="961"/>
        <v>-144204521.43231273</v>
      </c>
      <c r="S223">
        <f t="shared" si="962"/>
        <v>-1442.0452143231273</v>
      </c>
      <c r="T223">
        <f t="shared" si="963"/>
        <v>-1.4420452143231273</v>
      </c>
    </row>
    <row r="224" spans="1:20" x14ac:dyDescent="0.25">
      <c r="A224" s="5">
        <v>44369</v>
      </c>
      <c r="B224">
        <v>1.1662999999999999</v>
      </c>
      <c r="C224">
        <v>1.2637</v>
      </c>
      <c r="D224">
        <v>0.8972</v>
      </c>
      <c r="E224">
        <v>1.0461</v>
      </c>
      <c r="F224">
        <v>13761604.189999999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-0.18744884038199175</v>
      </c>
      <c r="Q224">
        <f t="shared" si="960"/>
        <v>-2579596.7472114586</v>
      </c>
      <c r="R224">
        <f t="shared" si="961"/>
        <v>-148013312.5517776</v>
      </c>
      <c r="S224">
        <f t="shared" si="962"/>
        <v>-1480.1331255177761</v>
      </c>
      <c r="T224">
        <f t="shared" si="963"/>
        <v>-1.4801331255177761</v>
      </c>
    </row>
    <row r="225" spans="1:20" x14ac:dyDescent="0.25">
      <c r="A225" s="5">
        <v>44368</v>
      </c>
      <c r="B225">
        <v>1.6892</v>
      </c>
      <c r="C225">
        <v>1.7041999999999999</v>
      </c>
      <c r="D225">
        <v>1.1548</v>
      </c>
      <c r="E225">
        <v>1.1717</v>
      </c>
      <c r="F225">
        <v>7065727.6799999997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-0.93847834000728092</v>
      </c>
      <c r="Q225">
        <f t="shared" si="960"/>
        <v>-6631032.3840698963</v>
      </c>
      <c r="R225">
        <f t="shared" si="961"/>
        <v>-145433715.80456614</v>
      </c>
      <c r="S225">
        <f t="shared" si="962"/>
        <v>-1454.3371580456615</v>
      </c>
      <c r="T225">
        <f t="shared" si="963"/>
        <v>-1.4543371580456614</v>
      </c>
    </row>
    <row r="226" spans="1:20" x14ac:dyDescent="0.25">
      <c r="A226" s="5">
        <v>44367</v>
      </c>
      <c r="B226">
        <v>1.7561</v>
      </c>
      <c r="C226">
        <v>1.8329</v>
      </c>
      <c r="D226">
        <v>1.5327</v>
      </c>
      <c r="E226">
        <v>1.6872</v>
      </c>
      <c r="F226">
        <v>4470835.22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2.9313790806129714E-2</v>
      </c>
      <c r="Q226">
        <f t="shared" si="960"/>
        <v>131057.12836775692</v>
      </c>
      <c r="R226">
        <f t="shared" si="961"/>
        <v>-138802683.42049626</v>
      </c>
      <c r="S226">
        <f t="shared" si="962"/>
        <v>-1388.0268342049626</v>
      </c>
      <c r="T226">
        <f t="shared" si="963"/>
        <v>-1.3880268342049626</v>
      </c>
    </row>
    <row r="227" spans="1:20" x14ac:dyDescent="0.25">
      <c r="A227" s="5">
        <v>44366</v>
      </c>
      <c r="B227">
        <v>1.8456999999999999</v>
      </c>
      <c r="C227">
        <v>1.8788</v>
      </c>
      <c r="D227">
        <v>1.75</v>
      </c>
      <c r="E227">
        <v>1.7516</v>
      </c>
      <c r="F227">
        <v>2068593.74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-0.97515527950310488</v>
      </c>
      <c r="Q227">
        <f t="shared" si="960"/>
        <v>-2017200.1067080731</v>
      </c>
      <c r="R227">
        <f t="shared" si="961"/>
        <v>-138933740.54886401</v>
      </c>
      <c r="S227">
        <f t="shared" si="962"/>
        <v>-1389.3374054886401</v>
      </c>
      <c r="T227">
        <f t="shared" si="963"/>
        <v>-1.38933740548864</v>
      </c>
    </row>
    <row r="228" spans="1:20" x14ac:dyDescent="0.25">
      <c r="A228" s="5">
        <v>44365</v>
      </c>
      <c r="B228">
        <v>2.0482999999999998</v>
      </c>
      <c r="C228">
        <v>2.0956999999999999</v>
      </c>
      <c r="D228">
        <v>1.78</v>
      </c>
      <c r="E228">
        <v>1.8429</v>
      </c>
      <c r="F228">
        <v>2818677.84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-0.60152043078872364</v>
      </c>
      <c r="Q228">
        <f t="shared" si="960"/>
        <v>-1695492.308571429</v>
      </c>
      <c r="R228">
        <f t="shared" si="961"/>
        <v>-136916540.44215593</v>
      </c>
      <c r="S228">
        <f t="shared" si="962"/>
        <v>-1369.1654044215593</v>
      </c>
      <c r="T228">
        <f t="shared" si="963"/>
        <v>-1.3691654044215593</v>
      </c>
    </row>
    <row r="229" spans="1:20" x14ac:dyDescent="0.25">
      <c r="A229" s="5">
        <v>44364</v>
      </c>
      <c r="B229">
        <v>2.0611999999999999</v>
      </c>
      <c r="C229">
        <v>2.1833</v>
      </c>
      <c r="D229">
        <v>1.9870000000000001</v>
      </c>
      <c r="E229">
        <v>2.0514999999999999</v>
      </c>
      <c r="F229">
        <v>2130663.7599999998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-0.34284258787570243</v>
      </c>
      <c r="Q229">
        <f t="shared" si="960"/>
        <v>-730482.27737137442</v>
      </c>
      <c r="R229">
        <f t="shared" si="961"/>
        <v>-135221048.1335845</v>
      </c>
      <c r="S229">
        <f t="shared" si="962"/>
        <v>-1352.2104813358451</v>
      </c>
      <c r="T229">
        <f t="shared" si="963"/>
        <v>-1.3522104813358451</v>
      </c>
    </row>
    <row r="230" spans="1:20" x14ac:dyDescent="0.25">
      <c r="A230" s="5">
        <v>44363</v>
      </c>
      <c r="B230">
        <v>2.1772999999999998</v>
      </c>
      <c r="C230">
        <v>2.2084000000000001</v>
      </c>
      <c r="D230">
        <v>2.0341</v>
      </c>
      <c r="E230">
        <v>2.0653000000000001</v>
      </c>
      <c r="F230">
        <v>2637766.2799999998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-0.64199655765920716</v>
      </c>
      <c r="Q230">
        <f t="shared" si="960"/>
        <v>-1693436.8716695323</v>
      </c>
      <c r="R230">
        <f t="shared" si="961"/>
        <v>-134490565.85621312</v>
      </c>
      <c r="S230">
        <f t="shared" si="962"/>
        <v>-1344.9056585621313</v>
      </c>
      <c r="T230">
        <f t="shared" si="963"/>
        <v>-1.3449056585621313</v>
      </c>
    </row>
    <row r="231" spans="1:20" x14ac:dyDescent="0.25">
      <c r="A231" s="5">
        <v>44362</v>
      </c>
      <c r="B231">
        <v>2.2406999999999999</v>
      </c>
      <c r="C231">
        <v>2.2606000000000002</v>
      </c>
      <c r="D231">
        <v>2.13</v>
      </c>
      <c r="E231">
        <v>2.1774</v>
      </c>
      <c r="F231">
        <v>2558639.46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-0.27411944869831534</v>
      </c>
      <c r="Q231">
        <f t="shared" si="960"/>
        <v>-701372.83819295524</v>
      </c>
      <c r="R231">
        <f t="shared" si="961"/>
        <v>-132797128.98454358</v>
      </c>
      <c r="S231">
        <f t="shared" si="962"/>
        <v>-1327.9712898454359</v>
      </c>
      <c r="T231">
        <f t="shared" si="963"/>
        <v>-1.3279712898454359</v>
      </c>
    </row>
    <row r="232" spans="1:20" x14ac:dyDescent="0.25">
      <c r="A232" s="5">
        <v>44361</v>
      </c>
      <c r="B232">
        <v>2.1844999999999999</v>
      </c>
      <c r="C232">
        <v>2.2570000000000001</v>
      </c>
      <c r="D232">
        <v>2.1177999999999999</v>
      </c>
      <c r="E232">
        <v>2.2422</v>
      </c>
      <c r="F232">
        <v>7613494.5899999999</v>
      </c>
      <c r="G232">
        <v>0</v>
      </c>
      <c r="L232" t="s">
        <v>7</v>
      </c>
      <c r="M232" t="s">
        <v>7</v>
      </c>
      <c r="N232" t="s">
        <v>7</v>
      </c>
      <c r="P232">
        <f t="shared" si="959"/>
        <v>0.78735632183907867</v>
      </c>
      <c r="Q232">
        <f t="shared" si="960"/>
        <v>5994533.0967241237</v>
      </c>
      <c r="R232">
        <f t="shared" si="961"/>
        <v>-132095756.14635062</v>
      </c>
      <c r="S232">
        <f t="shared" si="962"/>
        <v>-1320.9575614635062</v>
      </c>
      <c r="T232">
        <f t="shared" si="963"/>
        <v>-1.3209575614635063</v>
      </c>
    </row>
    <row r="233" spans="1:20" x14ac:dyDescent="0.25">
      <c r="A233" s="5">
        <v>44360</v>
      </c>
      <c r="B233">
        <v>2.1019000000000001</v>
      </c>
      <c r="C233">
        <v>2.2570000000000001</v>
      </c>
      <c r="D233">
        <v>2.0215999999999998</v>
      </c>
      <c r="E233">
        <v>2.1840000000000002</v>
      </c>
      <c r="F233">
        <v>1924089.86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0.37977909940526877</v>
      </c>
      <c r="Q233">
        <f t="shared" si="960"/>
        <v>730729.11420560966</v>
      </c>
      <c r="R233">
        <f t="shared" si="961"/>
        <v>-138090289.24307474</v>
      </c>
      <c r="S233">
        <f t="shared" si="962"/>
        <v>-1380.9028924307474</v>
      </c>
      <c r="T233">
        <f t="shared" si="963"/>
        <v>-1.3809028924307474</v>
      </c>
    </row>
    <row r="234" spans="1:20" x14ac:dyDescent="0.25">
      <c r="A234" s="5">
        <v>44359</v>
      </c>
      <c r="B234">
        <v>2.2589000000000001</v>
      </c>
      <c r="C234">
        <v>2.3517000000000001</v>
      </c>
      <c r="D234">
        <v>1.9981</v>
      </c>
      <c r="E234">
        <v>2.1025</v>
      </c>
      <c r="F234">
        <v>3651812.71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-0.40950226244343885</v>
      </c>
      <c r="Q234">
        <f t="shared" si="960"/>
        <v>-1495425.5667647056</v>
      </c>
      <c r="R234">
        <f t="shared" si="961"/>
        <v>-138821018.35728034</v>
      </c>
      <c r="S234">
        <f t="shared" si="962"/>
        <v>-1388.2101835728035</v>
      </c>
      <c r="T234">
        <f t="shared" si="963"/>
        <v>-1.3882101835728036</v>
      </c>
    </row>
    <row r="235" spans="1:20" x14ac:dyDescent="0.25">
      <c r="A235" s="5">
        <v>44358</v>
      </c>
      <c r="B235">
        <v>2.6211000000000002</v>
      </c>
      <c r="C235">
        <v>2.7477</v>
      </c>
      <c r="D235">
        <v>2.2157</v>
      </c>
      <c r="E235">
        <v>2.2608000000000001</v>
      </c>
      <c r="F235">
        <v>5339042.95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-0.83045112781954833</v>
      </c>
      <c r="Q235">
        <f t="shared" si="960"/>
        <v>-4433814.2393045081</v>
      </c>
      <c r="R235">
        <f t="shared" si="961"/>
        <v>-137325592.79051563</v>
      </c>
      <c r="S235">
        <f t="shared" si="962"/>
        <v>-1373.2559279051563</v>
      </c>
      <c r="T235">
        <f t="shared" si="963"/>
        <v>-1.3732559279051564</v>
      </c>
    </row>
    <row r="236" spans="1:20" x14ac:dyDescent="0.25">
      <c r="A236" s="5">
        <v>44357</v>
      </c>
      <c r="B236">
        <v>2.5529000000000002</v>
      </c>
      <c r="C236">
        <v>2.7513000000000001</v>
      </c>
      <c r="D236">
        <v>2.4428000000000001</v>
      </c>
      <c r="E236">
        <v>2.6230000000000002</v>
      </c>
      <c r="F236">
        <v>6322696.29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0.16823338735818566</v>
      </c>
      <c r="Q236">
        <f t="shared" si="960"/>
        <v>1063688.6141037333</v>
      </c>
      <c r="R236">
        <f t="shared" si="961"/>
        <v>-132891778.55121112</v>
      </c>
      <c r="S236">
        <f t="shared" si="962"/>
        <v>-1328.9177855121111</v>
      </c>
      <c r="T236">
        <f t="shared" si="963"/>
        <v>-1.328917785512111</v>
      </c>
    </row>
    <row r="237" spans="1:20" x14ac:dyDescent="0.25">
      <c r="A237" s="5">
        <v>44356</v>
      </c>
      <c r="B237">
        <v>2.6619999999999999</v>
      </c>
      <c r="C237">
        <v>2.6648999999999998</v>
      </c>
      <c r="D237">
        <v>2.3653</v>
      </c>
      <c r="E237">
        <v>2.5499000000000001</v>
      </c>
      <c r="F237">
        <v>5563527.0499999998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0.23230974632843912</v>
      </c>
      <c r="Q237">
        <f t="shared" si="960"/>
        <v>1292461.5576769093</v>
      </c>
      <c r="R237">
        <f t="shared" si="961"/>
        <v>-133955467.16531485</v>
      </c>
      <c r="S237">
        <f t="shared" si="962"/>
        <v>-1339.5546716531485</v>
      </c>
      <c r="T237">
        <f t="shared" si="963"/>
        <v>-1.3395546716531486</v>
      </c>
    </row>
    <row r="238" spans="1:20" x14ac:dyDescent="0.25">
      <c r="A238" s="5">
        <v>44355</v>
      </c>
      <c r="B238">
        <v>2.8925000000000001</v>
      </c>
      <c r="C238">
        <v>2.9015</v>
      </c>
      <c r="D238">
        <v>2.2744</v>
      </c>
      <c r="E238">
        <v>2.6488</v>
      </c>
      <c r="F238">
        <v>11465166.1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0.19406793174932249</v>
      </c>
      <c r="Q238">
        <f t="shared" si="960"/>
        <v>2225021.0721894461</v>
      </c>
      <c r="R238">
        <f t="shared" si="961"/>
        <v>-135247928.72299176</v>
      </c>
      <c r="S238">
        <f t="shared" si="962"/>
        <v>-1352.4792872299176</v>
      </c>
      <c r="T238">
        <f t="shared" si="963"/>
        <v>-1.3524792872299176</v>
      </c>
    </row>
    <row r="239" spans="1:20" x14ac:dyDescent="0.25">
      <c r="A239" s="5">
        <v>44354</v>
      </c>
      <c r="B239">
        <v>2.4537</v>
      </c>
      <c r="C239">
        <v>3.6772999999999998</v>
      </c>
      <c r="D239">
        <v>2.4500000000000002</v>
      </c>
      <c r="E239">
        <v>2.8944999999999999</v>
      </c>
      <c r="F239">
        <v>24942224.379999999</v>
      </c>
      <c r="G239">
        <v>0</v>
      </c>
      <c r="L239" t="s">
        <v>8</v>
      </c>
      <c r="M239" t="s">
        <v>8</v>
      </c>
      <c r="N239" t="s">
        <v>8</v>
      </c>
      <c r="P239">
        <f t="shared" si="959"/>
        <v>-0.27564572639126567</v>
      </c>
      <c r="Q239">
        <f t="shared" si="960"/>
        <v>-6875217.5570390355</v>
      </c>
      <c r="R239">
        <f t="shared" si="961"/>
        <v>-137472949.79518121</v>
      </c>
      <c r="S239">
        <f t="shared" si="962"/>
        <v>-1374.7294979518122</v>
      </c>
      <c r="T239">
        <f t="shared" si="963"/>
        <v>-1.3747294979518121</v>
      </c>
    </row>
    <row r="240" spans="1:20" x14ac:dyDescent="0.25">
      <c r="A240" s="5">
        <v>44353</v>
      </c>
      <c r="B240">
        <v>2.214</v>
      </c>
      <c r="C240">
        <v>2.8662000000000001</v>
      </c>
      <c r="D240">
        <v>2.2080000000000002</v>
      </c>
      <c r="E240">
        <v>2.4558</v>
      </c>
      <c r="F240">
        <v>17546902.579999998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-0.24703737465815911</v>
      </c>
      <c r="Q240">
        <f t="shared" si="960"/>
        <v>-4334740.7467456786</v>
      </c>
      <c r="R240">
        <f t="shared" si="961"/>
        <v>-130597732.23814218</v>
      </c>
      <c r="S240">
        <f t="shared" si="962"/>
        <v>-1305.9773223814218</v>
      </c>
      <c r="T240">
        <f t="shared" si="963"/>
        <v>-1.3059773223814217</v>
      </c>
    </row>
    <row r="241" spans="1:20" x14ac:dyDescent="0.25">
      <c r="A241" s="5">
        <v>44352</v>
      </c>
      <c r="B241">
        <v>2.2654000000000001</v>
      </c>
      <c r="C241">
        <v>2.3845000000000001</v>
      </c>
      <c r="D241">
        <v>2.1244999999999998</v>
      </c>
      <c r="E241">
        <v>2.2155</v>
      </c>
      <c r="F241">
        <v>1023481.64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-0.29999999999999916</v>
      </c>
      <c r="Q241">
        <f t="shared" si="960"/>
        <v>-307044.49199999915</v>
      </c>
      <c r="R241">
        <f t="shared" si="961"/>
        <v>-126262991.4913965</v>
      </c>
      <c r="S241">
        <f t="shared" si="962"/>
        <v>-1262.629914913965</v>
      </c>
      <c r="T241">
        <f t="shared" si="963"/>
        <v>-1.262629914913965</v>
      </c>
    </row>
    <row r="242" spans="1:20" x14ac:dyDescent="0.25">
      <c r="A242" s="5">
        <v>44351</v>
      </c>
      <c r="B242">
        <v>2.46</v>
      </c>
      <c r="C242">
        <v>2.472</v>
      </c>
      <c r="D242">
        <v>2.1179000000000001</v>
      </c>
      <c r="E242">
        <v>2.2604000000000002</v>
      </c>
      <c r="F242">
        <v>1440100.39</v>
      </c>
      <c r="G242">
        <v>0</v>
      </c>
      <c r="L242" t="s">
        <v>7</v>
      </c>
      <c r="M242" t="s">
        <v>8</v>
      </c>
      <c r="N242" t="s">
        <v>8</v>
      </c>
      <c r="P242">
        <f t="shared" si="959"/>
        <v>-0.19514261508048503</v>
      </c>
      <c r="Q242">
        <f t="shared" si="960"/>
        <v>-281024.95608302637</v>
      </c>
      <c r="R242">
        <f t="shared" si="961"/>
        <v>-125955946.9993965</v>
      </c>
      <c r="S242">
        <f t="shared" si="962"/>
        <v>-1259.559469993965</v>
      </c>
      <c r="T242">
        <f t="shared" si="963"/>
        <v>-1.259559469993965</v>
      </c>
    </row>
    <row r="243" spans="1:20" x14ac:dyDescent="0.25">
      <c r="A243" s="5">
        <v>44350</v>
      </c>
      <c r="B243">
        <v>2.4085999999999999</v>
      </c>
      <c r="C243">
        <v>2.4899</v>
      </c>
      <c r="D243">
        <v>2.3073000000000001</v>
      </c>
      <c r="E243">
        <v>2.46</v>
      </c>
      <c r="F243">
        <v>1158438.48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0.6725082146768887</v>
      </c>
      <c r="Q243">
        <f t="shared" si="960"/>
        <v>779059.39399780869</v>
      </c>
      <c r="R243">
        <f t="shared" si="961"/>
        <v>-125674922.04331347</v>
      </c>
      <c r="S243">
        <f t="shared" si="962"/>
        <v>-1256.7492204331347</v>
      </c>
      <c r="T243">
        <f t="shared" si="963"/>
        <v>-1.2567492204331348</v>
      </c>
    </row>
    <row r="244" spans="1:20" x14ac:dyDescent="0.25">
      <c r="A244" s="5">
        <v>44349</v>
      </c>
      <c r="B244">
        <v>2.2296</v>
      </c>
      <c r="C244">
        <v>2.4597000000000002</v>
      </c>
      <c r="D244">
        <v>2.1593</v>
      </c>
      <c r="E244">
        <v>2.4034</v>
      </c>
      <c r="F244">
        <v>2232943.11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0.62516644474034488</v>
      </c>
      <c r="Q244">
        <f t="shared" si="960"/>
        <v>1395961.1053861487</v>
      </c>
      <c r="R244">
        <f t="shared" si="961"/>
        <v>-126453981.43731128</v>
      </c>
      <c r="S244">
        <f t="shared" si="962"/>
        <v>-1264.5398143731127</v>
      </c>
      <c r="T244">
        <f t="shared" si="963"/>
        <v>-1.2645398143731126</v>
      </c>
    </row>
    <row r="245" spans="1:20" x14ac:dyDescent="0.25">
      <c r="A245" s="5">
        <v>44348</v>
      </c>
      <c r="B245">
        <v>2.2534999999999998</v>
      </c>
      <c r="C245">
        <v>2.2595999999999998</v>
      </c>
      <c r="D245">
        <v>2.1168</v>
      </c>
      <c r="E245">
        <v>2.2252000000000001</v>
      </c>
      <c r="F245">
        <v>870772.48</v>
      </c>
      <c r="G245">
        <v>0</v>
      </c>
      <c r="L245" t="s">
        <v>7</v>
      </c>
      <c r="M245" t="s">
        <v>7</v>
      </c>
      <c r="N245" t="s">
        <v>8</v>
      </c>
      <c r="P245">
        <f t="shared" si="959"/>
        <v>0.51820728291316798</v>
      </c>
      <c r="Q245">
        <f t="shared" si="960"/>
        <v>451240.64089636091</v>
      </c>
      <c r="R245">
        <f t="shared" si="961"/>
        <v>-127849942.54269743</v>
      </c>
      <c r="S245">
        <f t="shared" si="962"/>
        <v>-1278.4994254269743</v>
      </c>
      <c r="T245">
        <f t="shared" si="963"/>
        <v>-1.2784994254269744</v>
      </c>
    </row>
    <row r="246" spans="1:20" x14ac:dyDescent="0.25">
      <c r="A246" s="5">
        <v>44347</v>
      </c>
      <c r="B246">
        <v>2.1354000000000002</v>
      </c>
      <c r="C246">
        <v>2.27</v>
      </c>
      <c r="D246">
        <v>2.0185</v>
      </c>
      <c r="E246">
        <v>2.2551000000000001</v>
      </c>
      <c r="F246">
        <v>1031904.23</v>
      </c>
      <c r="G246">
        <v>0</v>
      </c>
      <c r="L246" t="s">
        <v>8</v>
      </c>
      <c r="M246" t="s">
        <v>7</v>
      </c>
      <c r="N246" t="s">
        <v>8</v>
      </c>
      <c r="P246">
        <f t="shared" si="959"/>
        <v>0.88151093439363892</v>
      </c>
      <c r="Q246">
        <f t="shared" si="960"/>
        <v>909634.86199204845</v>
      </c>
      <c r="R246">
        <f t="shared" si="961"/>
        <v>-128301183.18359379</v>
      </c>
      <c r="S246">
        <f t="shared" si="962"/>
        <v>-1283.011831835938</v>
      </c>
      <c r="T246">
        <f t="shared" si="963"/>
        <v>-1.283011831835938</v>
      </c>
    </row>
    <row r="247" spans="1:20" x14ac:dyDescent="0.25">
      <c r="A247" s="5">
        <v>44346</v>
      </c>
      <c r="B247">
        <v>2.1345999999999998</v>
      </c>
      <c r="C247">
        <v>2.19</v>
      </c>
      <c r="D247">
        <v>1.9721</v>
      </c>
      <c r="E247">
        <v>2.1267999999999998</v>
      </c>
      <c r="F247">
        <v>1101282.1399999999</v>
      </c>
      <c r="G247">
        <v>0</v>
      </c>
      <c r="L247" t="s">
        <v>7</v>
      </c>
      <c r="M247" t="s">
        <v>7</v>
      </c>
      <c r="N247" t="s">
        <v>8</v>
      </c>
      <c r="P247">
        <f t="shared" si="959"/>
        <v>0.41991739329967737</v>
      </c>
      <c r="Q247">
        <f t="shared" si="960"/>
        <v>462447.52551629033</v>
      </c>
      <c r="R247">
        <f t="shared" si="961"/>
        <v>-129210818.04558584</v>
      </c>
      <c r="S247">
        <f t="shared" si="962"/>
        <v>-1292.1081804558585</v>
      </c>
      <c r="T247">
        <f t="shared" si="963"/>
        <v>-1.2921081804558585</v>
      </c>
    </row>
    <row r="248" spans="1:20" x14ac:dyDescent="0.25">
      <c r="A248" s="5">
        <v>44345</v>
      </c>
      <c r="B248">
        <v>2.2606999999999999</v>
      </c>
      <c r="C248">
        <v>2.4399000000000002</v>
      </c>
      <c r="D248">
        <v>2.0223</v>
      </c>
      <c r="E248">
        <v>2.1461999999999999</v>
      </c>
      <c r="F248">
        <v>1411240.62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-0.40660919540229962</v>
      </c>
      <c r="Q248">
        <f t="shared" si="960"/>
        <v>-573823.41301724245</v>
      </c>
      <c r="R248">
        <f t="shared" si="961"/>
        <v>-129673265.57110213</v>
      </c>
      <c r="S248">
        <f t="shared" si="962"/>
        <v>-1296.7326557110214</v>
      </c>
      <c r="T248">
        <f t="shared" si="963"/>
        <v>-1.2967326557110215</v>
      </c>
    </row>
    <row r="249" spans="1:20" x14ac:dyDescent="0.25">
      <c r="A249" s="5">
        <v>44344</v>
      </c>
      <c r="B249">
        <v>2.5291999999999999</v>
      </c>
      <c r="C249">
        <v>2.5478000000000001</v>
      </c>
      <c r="D249">
        <v>2.1231</v>
      </c>
      <c r="E249">
        <v>2.2599999999999998</v>
      </c>
      <c r="F249">
        <v>1765076.36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-0.3553096303272909</v>
      </c>
      <c r="Q249">
        <f t="shared" si="960"/>
        <v>-627148.62897104025</v>
      </c>
      <c r="R249">
        <f t="shared" si="961"/>
        <v>-129099442.15808488</v>
      </c>
      <c r="S249">
        <f t="shared" si="962"/>
        <v>-1290.9944215808489</v>
      </c>
      <c r="T249">
        <f t="shared" si="963"/>
        <v>-1.2909944215808489</v>
      </c>
    </row>
    <row r="250" spans="1:20" x14ac:dyDescent="0.25">
      <c r="A250" s="5">
        <v>44343</v>
      </c>
      <c r="B250">
        <v>2.6383000000000001</v>
      </c>
      <c r="C250">
        <v>2.6383000000000001</v>
      </c>
      <c r="D250">
        <v>2.4093</v>
      </c>
      <c r="E250">
        <v>2.5253999999999999</v>
      </c>
      <c r="F250">
        <v>1502033.2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1.3973799126636009E-2</v>
      </c>
      <c r="Q250">
        <f t="shared" si="960"/>
        <v>20989.11021833829</v>
      </c>
      <c r="R250">
        <f t="shared" si="961"/>
        <v>-128472293.52911384</v>
      </c>
      <c r="S250">
        <f t="shared" si="962"/>
        <v>-1284.7229352911384</v>
      </c>
      <c r="T250">
        <f t="shared" si="963"/>
        <v>-1.2847229352911385</v>
      </c>
    </row>
    <row r="251" spans="1:20" x14ac:dyDescent="0.25">
      <c r="A251" s="5">
        <v>44342</v>
      </c>
      <c r="B251">
        <v>2.4358</v>
      </c>
      <c r="C251">
        <v>2.6438000000000001</v>
      </c>
      <c r="D251">
        <v>2.3573</v>
      </c>
      <c r="E251">
        <v>2.6345999999999998</v>
      </c>
      <c r="F251">
        <v>2873890.25</v>
      </c>
      <c r="G251">
        <v>0</v>
      </c>
      <c r="L251" t="s">
        <v>7</v>
      </c>
      <c r="M251" t="s">
        <v>8</v>
      </c>
      <c r="N251" t="s">
        <v>8</v>
      </c>
      <c r="P251">
        <f t="shared" si="959"/>
        <v>0.93577661431064352</v>
      </c>
      <c r="Q251">
        <f t="shared" si="960"/>
        <v>2689319.2880453691</v>
      </c>
      <c r="R251">
        <f t="shared" si="961"/>
        <v>-128493282.63933218</v>
      </c>
      <c r="S251">
        <f t="shared" si="962"/>
        <v>-1284.9328263933216</v>
      </c>
      <c r="T251">
        <f t="shared" si="963"/>
        <v>-1.2849328263933217</v>
      </c>
    </row>
    <row r="252" spans="1:20" x14ac:dyDescent="0.25">
      <c r="A252" s="5">
        <v>44341</v>
      </c>
      <c r="B252">
        <v>2.3936999999999999</v>
      </c>
      <c r="C252">
        <v>2.7</v>
      </c>
      <c r="D252">
        <v>2.202</v>
      </c>
      <c r="E252">
        <v>2.4344999999999999</v>
      </c>
      <c r="F252">
        <v>3214889.85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-6.6265060240964554E-2</v>
      </c>
      <c r="Q252">
        <f t="shared" si="960"/>
        <v>-213034.8695783155</v>
      </c>
      <c r="R252">
        <f t="shared" si="961"/>
        <v>-131182601.92737755</v>
      </c>
      <c r="S252">
        <f t="shared" si="962"/>
        <v>-1311.8260192737755</v>
      </c>
      <c r="T252">
        <f t="shared" si="963"/>
        <v>-1.3118260192737754</v>
      </c>
    </row>
    <row r="253" spans="1:20" x14ac:dyDescent="0.25">
      <c r="A253" s="5">
        <v>44340</v>
      </c>
      <c r="B253">
        <v>2.1053999999999999</v>
      </c>
      <c r="C253">
        <v>2.4110999999999998</v>
      </c>
      <c r="D253">
        <v>1.9059999999999999</v>
      </c>
      <c r="E253">
        <v>2.3936999999999999</v>
      </c>
      <c r="F253">
        <v>3640568.08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0.93110275193031133</v>
      </c>
      <c r="Q253">
        <f t="shared" si="960"/>
        <v>3389742.9578776499</v>
      </c>
      <c r="R253">
        <f t="shared" si="961"/>
        <v>-130969567.05779923</v>
      </c>
      <c r="S253">
        <f t="shared" si="962"/>
        <v>-1309.6956705779924</v>
      </c>
      <c r="T253">
        <f t="shared" si="963"/>
        <v>-1.3096956705779923</v>
      </c>
    </row>
    <row r="254" spans="1:20" x14ac:dyDescent="0.25">
      <c r="A254" s="5">
        <v>44339</v>
      </c>
      <c r="B254">
        <v>2.5929000000000002</v>
      </c>
      <c r="C254">
        <v>2.5983999999999998</v>
      </c>
      <c r="D254">
        <v>1.7252000000000001</v>
      </c>
      <c r="E254">
        <v>2.1116000000000001</v>
      </c>
      <c r="F254">
        <v>3129921.52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-0.11497938616582642</v>
      </c>
      <c r="Q254">
        <f t="shared" si="960"/>
        <v>-359876.45511681039</v>
      </c>
      <c r="R254">
        <f t="shared" si="961"/>
        <v>-134359310.01567689</v>
      </c>
      <c r="S254">
        <f t="shared" si="962"/>
        <v>-1343.593100156769</v>
      </c>
      <c r="T254">
        <f t="shared" si="963"/>
        <v>-1.3435931001567689</v>
      </c>
    </row>
    <row r="255" spans="1:20" x14ac:dyDescent="0.25">
      <c r="A255" s="5">
        <v>44338</v>
      </c>
      <c r="B255">
        <v>2.6002999999999998</v>
      </c>
      <c r="C255">
        <v>3.0461</v>
      </c>
      <c r="D255">
        <v>2.3149000000000002</v>
      </c>
      <c r="E255">
        <v>2.5929000000000002</v>
      </c>
      <c r="F255">
        <v>5992443.4800000004</v>
      </c>
      <c r="G255">
        <v>0</v>
      </c>
      <c r="L255" t="s">
        <v>7</v>
      </c>
      <c r="M255" t="s">
        <v>7</v>
      </c>
      <c r="N255" t="s">
        <v>8</v>
      </c>
      <c r="P255">
        <f t="shared" si="959"/>
        <v>-0.2396061269146606</v>
      </c>
      <c r="Q255">
        <f t="shared" si="960"/>
        <v>-1435826.1729978106</v>
      </c>
      <c r="R255">
        <f t="shared" si="961"/>
        <v>-133999433.56056006</v>
      </c>
      <c r="S255">
        <f t="shared" si="962"/>
        <v>-1339.9943356056006</v>
      </c>
      <c r="T255">
        <f t="shared" si="963"/>
        <v>-1.3399943356056006</v>
      </c>
    </row>
    <row r="256" spans="1:20" x14ac:dyDescent="0.25">
      <c r="A256" s="5">
        <v>44337</v>
      </c>
      <c r="B256">
        <v>2.58</v>
      </c>
      <c r="C256">
        <v>3.0381</v>
      </c>
      <c r="D256">
        <v>2.0840000000000001</v>
      </c>
      <c r="E256">
        <v>2.6042000000000001</v>
      </c>
      <c r="F256">
        <v>6109150.1799999997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9.0451734619012736E-2</v>
      </c>
      <c r="Q256">
        <f t="shared" si="960"/>
        <v>552583.23082905391</v>
      </c>
      <c r="R256">
        <f t="shared" si="961"/>
        <v>-132563607.38756225</v>
      </c>
      <c r="S256">
        <f t="shared" si="962"/>
        <v>-1325.6360738756225</v>
      </c>
      <c r="T256">
        <f t="shared" si="963"/>
        <v>-1.3256360738756225</v>
      </c>
    </row>
    <row r="257" spans="1:20" x14ac:dyDescent="0.25">
      <c r="A257" s="5">
        <v>44336</v>
      </c>
      <c r="B257">
        <v>2.1089000000000002</v>
      </c>
      <c r="C257">
        <v>2.6516999999999999</v>
      </c>
      <c r="D257">
        <v>2.0045999999999999</v>
      </c>
      <c r="E257">
        <v>2.58</v>
      </c>
      <c r="F257">
        <v>4180635.97</v>
      </c>
      <c r="G257">
        <v>0</v>
      </c>
      <c r="L257" t="s">
        <v>7</v>
      </c>
      <c r="M257" t="s">
        <v>8</v>
      </c>
      <c r="N257" t="s">
        <v>8</v>
      </c>
      <c r="P257">
        <f t="shared" si="959"/>
        <v>0.77839592025962023</v>
      </c>
      <c r="Q257">
        <f t="shared" si="960"/>
        <v>3254189.9831386204</v>
      </c>
      <c r="R257">
        <f t="shared" si="961"/>
        <v>-133116190.61839131</v>
      </c>
      <c r="S257">
        <f t="shared" si="962"/>
        <v>-1331.1619061839131</v>
      </c>
      <c r="T257">
        <f t="shared" si="963"/>
        <v>-1.3311619061839131</v>
      </c>
    </row>
    <row r="258" spans="1:20" x14ac:dyDescent="0.25">
      <c r="A258" s="5">
        <v>44335</v>
      </c>
      <c r="B258">
        <v>3.1135999999999999</v>
      </c>
      <c r="C258">
        <v>3.5310999999999999</v>
      </c>
      <c r="D258">
        <v>1.5592999999999999</v>
      </c>
      <c r="E258">
        <v>2.1141000000000001</v>
      </c>
      <c r="F258">
        <v>8636768.8699999992</v>
      </c>
      <c r="G258">
        <v>0</v>
      </c>
      <c r="L258" t="s">
        <v>8</v>
      </c>
      <c r="M258" t="s">
        <v>7</v>
      </c>
      <c r="N258" t="s">
        <v>7</v>
      </c>
      <c r="P258">
        <f t="shared" si="959"/>
        <v>-0.43726544274267148</v>
      </c>
      <c r="Q258">
        <f t="shared" si="960"/>
        <v>-3776560.5638066721</v>
      </c>
      <c r="R258">
        <f t="shared" si="961"/>
        <v>-136370380.60152993</v>
      </c>
      <c r="S258">
        <f t="shared" si="962"/>
        <v>-1363.7038060152993</v>
      </c>
      <c r="T258">
        <f t="shared" si="963"/>
        <v>-1.3637038060152993</v>
      </c>
    </row>
    <row r="259" spans="1:20" x14ac:dyDescent="0.25">
      <c r="A259" s="5">
        <v>44334</v>
      </c>
      <c r="B259">
        <v>2.9939</v>
      </c>
      <c r="C259">
        <v>3.2873000000000001</v>
      </c>
      <c r="D259">
        <v>2.9535999999999998</v>
      </c>
      <c r="E259">
        <v>3.1151</v>
      </c>
      <c r="F259">
        <v>2730083.06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-3.2064728798321611E-2</v>
      </c>
      <c r="Q259">
        <f t="shared" si="960"/>
        <v>-87539.372915791988</v>
      </c>
      <c r="R259">
        <f t="shared" si="961"/>
        <v>-132593820.03772324</v>
      </c>
      <c r="S259">
        <f t="shared" si="962"/>
        <v>-1325.9382003772325</v>
      </c>
      <c r="T259">
        <f t="shared" si="963"/>
        <v>-1.3259382003772324</v>
      </c>
    </row>
    <row r="260" spans="1:20" x14ac:dyDescent="0.25">
      <c r="A260" s="5">
        <v>44333</v>
      </c>
      <c r="B260">
        <v>3.3965000000000001</v>
      </c>
      <c r="C260">
        <v>3.3973</v>
      </c>
      <c r="D260">
        <v>2.8081</v>
      </c>
      <c r="E260">
        <v>2.9910999999999999</v>
      </c>
      <c r="F260">
        <v>3176610.89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-0.37881873727087628</v>
      </c>
      <c r="Q260">
        <f t="shared" si="960"/>
        <v>-1203359.7261507146</v>
      </c>
      <c r="R260">
        <f t="shared" si="961"/>
        <v>-132506280.66480745</v>
      </c>
      <c r="S260">
        <f t="shared" si="962"/>
        <v>-1325.0628066480745</v>
      </c>
      <c r="T260">
        <f t="shared" si="963"/>
        <v>-1.3250628066480745</v>
      </c>
    </row>
    <row r="261" spans="1:20" x14ac:dyDescent="0.25">
      <c r="A261" s="5">
        <v>44332</v>
      </c>
      <c r="B261">
        <v>3.1301000000000001</v>
      </c>
      <c r="C261">
        <v>3.5642</v>
      </c>
      <c r="D261">
        <v>2.9432</v>
      </c>
      <c r="E261">
        <v>3.3936999999999999</v>
      </c>
      <c r="F261">
        <v>3223704.28</v>
      </c>
      <c r="G261">
        <v>0</v>
      </c>
      <c r="L261" t="s">
        <v>7</v>
      </c>
      <c r="M261" t="s">
        <v>8</v>
      </c>
      <c r="N261" t="s">
        <v>7</v>
      </c>
      <c r="P261">
        <f t="shared" si="959"/>
        <v>0.4508856682769723</v>
      </c>
      <c r="Q261">
        <f t="shared" si="960"/>
        <v>1453522.0586151357</v>
      </c>
      <c r="R261">
        <f t="shared" si="961"/>
        <v>-131302920.93865673</v>
      </c>
      <c r="S261">
        <f t="shared" si="962"/>
        <v>-1313.0292093865673</v>
      </c>
      <c r="T261">
        <f t="shared" si="963"/>
        <v>-1.3130292093865674</v>
      </c>
    </row>
    <row r="262" spans="1:20" x14ac:dyDescent="0.25">
      <c r="A262" s="5">
        <v>44331</v>
      </c>
      <c r="B262">
        <v>3.4510000000000001</v>
      </c>
      <c r="C262">
        <v>3.5956999999999999</v>
      </c>
      <c r="D262">
        <v>3.0626000000000002</v>
      </c>
      <c r="E262">
        <v>3.1301000000000001</v>
      </c>
      <c r="F262">
        <v>2326934.6800000002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-0.74676420934158716</v>
      </c>
      <c r="Q262">
        <f t="shared" ref="Q262:Q325" si="965">F262*P262</f>
        <v>-1737671.5364997194</v>
      </c>
      <c r="R262">
        <f t="shared" ref="R262:R325" si="966">R263+Q262</f>
        <v>-132756442.99727187</v>
      </c>
      <c r="S262">
        <f t="shared" ref="S262:S325" si="967">R262/100000</f>
        <v>-1327.5644299727187</v>
      </c>
      <c r="T262">
        <f t="shared" ref="T262:T325" si="968">S262/1000</f>
        <v>-1.3275644299727187</v>
      </c>
    </row>
    <row r="263" spans="1:20" x14ac:dyDescent="0.25">
      <c r="A263" s="5">
        <v>44330</v>
      </c>
      <c r="B263">
        <v>3.3003999999999998</v>
      </c>
      <c r="C263">
        <v>3.5602</v>
      </c>
      <c r="D263">
        <v>3.2370000000000001</v>
      </c>
      <c r="E263">
        <v>3.4485000000000001</v>
      </c>
      <c r="F263">
        <v>1545083.38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0.30878712871287167</v>
      </c>
      <c r="Q263">
        <f t="shared" si="965"/>
        <v>477101.86053217878</v>
      </c>
      <c r="R263">
        <f t="shared" si="966"/>
        <v>-131018771.46077214</v>
      </c>
      <c r="S263">
        <f t="shared" si="967"/>
        <v>-1310.1877146077213</v>
      </c>
      <c r="T263">
        <f t="shared" si="968"/>
        <v>-1.3101877146077212</v>
      </c>
    </row>
    <row r="264" spans="1:20" x14ac:dyDescent="0.25">
      <c r="A264" s="5">
        <v>44329</v>
      </c>
      <c r="B264">
        <v>3.2313000000000001</v>
      </c>
      <c r="C264">
        <v>3.5175000000000001</v>
      </c>
      <c r="D264">
        <v>3.0194000000000001</v>
      </c>
      <c r="E264">
        <v>3.2930000000000001</v>
      </c>
      <c r="F264">
        <v>2726703.66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9.8574583416984829E-2</v>
      </c>
      <c r="Q264">
        <f t="shared" si="965"/>
        <v>268783.67738606787</v>
      </c>
      <c r="R264">
        <f t="shared" si="966"/>
        <v>-131495873.32130432</v>
      </c>
      <c r="S264">
        <f t="shared" si="967"/>
        <v>-1314.9587332130432</v>
      </c>
      <c r="T264">
        <f t="shared" si="968"/>
        <v>-1.3149587332130432</v>
      </c>
    </row>
    <row r="265" spans="1:20" x14ac:dyDescent="0.25">
      <c r="A265" s="5">
        <v>44328</v>
      </c>
      <c r="B265">
        <v>3.8980000000000001</v>
      </c>
      <c r="C265">
        <v>4.0763999999999996</v>
      </c>
      <c r="D265">
        <v>3.1957</v>
      </c>
      <c r="E265">
        <v>3.2385999999999999</v>
      </c>
      <c r="F265">
        <v>2638424.86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-0.90257749517429331</v>
      </c>
      <c r="Q265">
        <f t="shared" si="965"/>
        <v>-2381382.9013443855</v>
      </c>
      <c r="R265">
        <f t="shared" si="966"/>
        <v>-131764656.9986904</v>
      </c>
      <c r="S265">
        <f t="shared" si="967"/>
        <v>-1317.6465699869041</v>
      </c>
      <c r="T265">
        <f t="shared" si="968"/>
        <v>-1.317646569986904</v>
      </c>
    </row>
    <row r="266" spans="1:20" x14ac:dyDescent="0.25">
      <c r="A266" s="5">
        <v>44327</v>
      </c>
      <c r="B266">
        <v>3.6181999999999999</v>
      </c>
      <c r="C266">
        <v>3.988</v>
      </c>
      <c r="D266">
        <v>3.6053000000000002</v>
      </c>
      <c r="E266">
        <v>3.8961999999999999</v>
      </c>
      <c r="F266">
        <v>3653769.47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0.52025084922916043</v>
      </c>
      <c r="Q266">
        <f t="shared" si="965"/>
        <v>1900876.6696550795</v>
      </c>
      <c r="R266">
        <f t="shared" si="966"/>
        <v>-129383274.09734601</v>
      </c>
      <c r="S266">
        <f t="shared" si="967"/>
        <v>-1293.83274097346</v>
      </c>
      <c r="T266">
        <f t="shared" si="968"/>
        <v>-1.29383274097346</v>
      </c>
    </row>
    <row r="267" spans="1:20" x14ac:dyDescent="0.25">
      <c r="A267" s="5">
        <v>44326</v>
      </c>
      <c r="B267">
        <v>3.9603999999999999</v>
      </c>
      <c r="C267">
        <v>4.4278000000000004</v>
      </c>
      <c r="D267">
        <v>3.3281000000000001</v>
      </c>
      <c r="E267">
        <v>3.6177000000000001</v>
      </c>
      <c r="F267">
        <v>5455325.1900000004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-0.47331090297353828</v>
      </c>
      <c r="Q267">
        <f t="shared" si="965"/>
        <v>-2582064.8916931893</v>
      </c>
      <c r="R267">
        <f t="shared" si="966"/>
        <v>-131284150.76700109</v>
      </c>
      <c r="S267">
        <f t="shared" si="967"/>
        <v>-1312.841507670011</v>
      </c>
      <c r="T267">
        <f t="shared" si="968"/>
        <v>-1.3128415076700111</v>
      </c>
    </row>
    <row r="268" spans="1:20" x14ac:dyDescent="0.25">
      <c r="A268" s="5">
        <v>44325</v>
      </c>
      <c r="B268">
        <v>4.18</v>
      </c>
      <c r="C268">
        <v>4.2659000000000002</v>
      </c>
      <c r="D268">
        <v>3.7401</v>
      </c>
      <c r="E268">
        <v>3.9603999999999999</v>
      </c>
      <c r="F268">
        <v>3620865.95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-0.16203879802206228</v>
      </c>
      <c r="Q268">
        <f t="shared" si="965"/>
        <v>-586720.76633701264</v>
      </c>
      <c r="R268">
        <f t="shared" si="966"/>
        <v>-128702085.8753079</v>
      </c>
      <c r="S268">
        <f t="shared" si="967"/>
        <v>-1287.020858753079</v>
      </c>
      <c r="T268">
        <f t="shared" si="968"/>
        <v>-1.2870208587530789</v>
      </c>
    </row>
    <row r="269" spans="1:20" x14ac:dyDescent="0.25">
      <c r="A269" s="5">
        <v>44324</v>
      </c>
      <c r="B269">
        <v>4.0065999999999997</v>
      </c>
      <c r="C269">
        <v>4.55</v>
      </c>
      <c r="D269">
        <v>3.8948</v>
      </c>
      <c r="E269">
        <v>4.1830999999999996</v>
      </c>
      <c r="F269">
        <v>6714111.9100000001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-0.11996336996337102</v>
      </c>
      <c r="Q269">
        <f t="shared" si="965"/>
        <v>-805447.49103480566</v>
      </c>
      <c r="R269">
        <f t="shared" si="966"/>
        <v>-128115365.1089709</v>
      </c>
      <c r="S269">
        <f t="shared" si="967"/>
        <v>-1281.153651089709</v>
      </c>
      <c r="T269">
        <f t="shared" si="968"/>
        <v>-1.281153651089709</v>
      </c>
    </row>
    <row r="270" spans="1:20" x14ac:dyDescent="0.25">
      <c r="A270" s="5">
        <v>44323</v>
      </c>
      <c r="B270">
        <v>3.84</v>
      </c>
      <c r="C270">
        <v>4.4340000000000002</v>
      </c>
      <c r="D270">
        <v>3.6002000000000001</v>
      </c>
      <c r="E270">
        <v>4.0080999999999998</v>
      </c>
      <c r="F270">
        <v>5644836.4500000002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-2.1587910769969632E-2</v>
      </c>
      <c r="Q270">
        <f t="shared" si="965"/>
        <v>-121860.22559367215</v>
      </c>
      <c r="R270">
        <f t="shared" si="966"/>
        <v>-127309917.61793609</v>
      </c>
      <c r="S270">
        <f t="shared" si="967"/>
        <v>-1273.0991761793609</v>
      </c>
      <c r="T270">
        <f t="shared" si="968"/>
        <v>-1.2730991761793609</v>
      </c>
    </row>
    <row r="271" spans="1:20" x14ac:dyDescent="0.25">
      <c r="A271" s="5">
        <v>44322</v>
      </c>
      <c r="B271">
        <v>3.9752000000000001</v>
      </c>
      <c r="C271">
        <v>4.0730000000000004</v>
      </c>
      <c r="D271">
        <v>3.6673</v>
      </c>
      <c r="E271">
        <v>3.8355999999999999</v>
      </c>
      <c r="F271">
        <v>2905322.14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-0.1703228986936173</v>
      </c>
      <c r="Q271">
        <f t="shared" si="965"/>
        <v>-494842.88852354343</v>
      </c>
      <c r="R271">
        <f t="shared" si="966"/>
        <v>-127188057.39234242</v>
      </c>
      <c r="S271">
        <f t="shared" si="967"/>
        <v>-1271.8805739234242</v>
      </c>
      <c r="T271">
        <f t="shared" si="968"/>
        <v>-1.2718805739234242</v>
      </c>
    </row>
    <row r="272" spans="1:20" x14ac:dyDescent="0.25">
      <c r="A272" s="5">
        <v>44321</v>
      </c>
      <c r="B272">
        <v>3.7136</v>
      </c>
      <c r="C272">
        <v>3.9925999999999999</v>
      </c>
      <c r="D272">
        <v>3.6126999999999998</v>
      </c>
      <c r="E272">
        <v>3.9750000000000001</v>
      </c>
      <c r="F272">
        <v>3591873.79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0.90734403790471263</v>
      </c>
      <c r="Q272">
        <f t="shared" si="965"/>
        <v>3259065.2682627039</v>
      </c>
      <c r="R272">
        <f t="shared" si="966"/>
        <v>-126693214.50381887</v>
      </c>
      <c r="S272">
        <f t="shared" si="967"/>
        <v>-1266.9321450381888</v>
      </c>
      <c r="T272">
        <f t="shared" si="968"/>
        <v>-1.2669321450381887</v>
      </c>
    </row>
    <row r="273" spans="1:20" x14ac:dyDescent="0.25">
      <c r="A273" s="5">
        <v>44320</v>
      </c>
      <c r="B273">
        <v>4.2355999999999998</v>
      </c>
      <c r="C273">
        <v>4.3010000000000002</v>
      </c>
      <c r="D273">
        <v>3.6924999999999999</v>
      </c>
      <c r="E273">
        <v>3.714</v>
      </c>
      <c r="F273">
        <v>5881491.79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-0.92933442892358231</v>
      </c>
      <c r="Q273">
        <f t="shared" si="965"/>
        <v>-5465872.8138783881</v>
      </c>
      <c r="R273">
        <f t="shared" si="966"/>
        <v>-129952279.77208157</v>
      </c>
      <c r="S273">
        <f t="shared" si="967"/>
        <v>-1299.5227977208158</v>
      </c>
      <c r="T273">
        <f t="shared" si="968"/>
        <v>-1.2995227977208157</v>
      </c>
    </row>
    <row r="274" spans="1:20" x14ac:dyDescent="0.25">
      <c r="A274" s="5">
        <v>44319</v>
      </c>
      <c r="B274">
        <v>4.0087000000000002</v>
      </c>
      <c r="C274">
        <v>4.9400000000000004</v>
      </c>
      <c r="D274">
        <v>3.9784999999999999</v>
      </c>
      <c r="E274">
        <v>4.2397999999999998</v>
      </c>
      <c r="F274">
        <v>12004531.630000001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-0.45647425897035937</v>
      </c>
      <c r="Q274">
        <f t="shared" si="965"/>
        <v>-5479759.6800904907</v>
      </c>
      <c r="R274">
        <f t="shared" si="966"/>
        <v>-124486406.95820318</v>
      </c>
      <c r="S274">
        <f t="shared" si="967"/>
        <v>-1244.8640695820318</v>
      </c>
      <c r="T274">
        <f t="shared" si="968"/>
        <v>-1.2448640695820319</v>
      </c>
    </row>
    <row r="275" spans="1:20" x14ac:dyDescent="0.25">
      <c r="A275" s="5">
        <v>44318</v>
      </c>
      <c r="B275">
        <v>4.0815000000000001</v>
      </c>
      <c r="C275">
        <v>4.17</v>
      </c>
      <c r="D275">
        <v>3.7515999999999998</v>
      </c>
      <c r="E275">
        <v>4.0087000000000002</v>
      </c>
      <c r="F275">
        <v>3250596.77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0.22896749521988655</v>
      </c>
      <c r="Q275">
        <f t="shared" si="965"/>
        <v>744281.00039675366</v>
      </c>
      <c r="R275">
        <f t="shared" si="966"/>
        <v>-119006647.27811269</v>
      </c>
      <c r="S275">
        <f t="shared" si="967"/>
        <v>-1190.066472781127</v>
      </c>
      <c r="T275">
        <f t="shared" si="968"/>
        <v>-1.190066472781127</v>
      </c>
    </row>
    <row r="276" spans="1:20" x14ac:dyDescent="0.25">
      <c r="A276" s="5">
        <v>44317</v>
      </c>
      <c r="B276">
        <v>4.0346000000000002</v>
      </c>
      <c r="C276">
        <v>4.1631999999999998</v>
      </c>
      <c r="D276">
        <v>3.7976999999999999</v>
      </c>
      <c r="E276">
        <v>4.0838999999999999</v>
      </c>
      <c r="F276">
        <v>3574887.82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0.56607387140902909</v>
      </c>
      <c r="Q276">
        <f t="shared" si="965"/>
        <v>2023650.5881203841</v>
      </c>
      <c r="R276">
        <f t="shared" si="966"/>
        <v>-119750928.27850945</v>
      </c>
      <c r="S276">
        <f t="shared" si="967"/>
        <v>-1197.5092827850945</v>
      </c>
      <c r="T276">
        <f t="shared" si="968"/>
        <v>-1.1975092827850944</v>
      </c>
    </row>
    <row r="277" spans="1:20" x14ac:dyDescent="0.25">
      <c r="A277" s="5">
        <v>44316</v>
      </c>
      <c r="B277">
        <v>3.9144999999999999</v>
      </c>
      <c r="C277">
        <v>4.0648</v>
      </c>
      <c r="D277">
        <v>3.79</v>
      </c>
      <c r="E277">
        <v>4.0345000000000004</v>
      </c>
      <c r="F277">
        <v>2815793.22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0.7794759825327543</v>
      </c>
      <c r="Q277">
        <f t="shared" si="965"/>
        <v>2194843.1867685681</v>
      </c>
      <c r="R277">
        <f t="shared" si="966"/>
        <v>-121774578.86662984</v>
      </c>
      <c r="S277">
        <f t="shared" si="967"/>
        <v>-1217.7457886662985</v>
      </c>
      <c r="T277">
        <f t="shared" si="968"/>
        <v>-1.2177457886662986</v>
      </c>
    </row>
    <row r="278" spans="1:20" x14ac:dyDescent="0.25">
      <c r="A278" s="5">
        <v>44315</v>
      </c>
      <c r="B278">
        <v>3.8723000000000001</v>
      </c>
      <c r="C278">
        <v>4.12</v>
      </c>
      <c r="D278">
        <v>3.74</v>
      </c>
      <c r="E278">
        <v>3.9144999999999999</v>
      </c>
      <c r="F278">
        <v>3441948.91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-8.1578947368422611E-2</v>
      </c>
      <c r="Q278">
        <f t="shared" si="965"/>
        <v>-280790.56897368957</v>
      </c>
      <c r="R278">
        <f t="shared" si="966"/>
        <v>-123969422.0533984</v>
      </c>
      <c r="S278">
        <f t="shared" si="967"/>
        <v>-1239.694220533984</v>
      </c>
      <c r="T278">
        <f t="shared" si="968"/>
        <v>-1.239694220533984</v>
      </c>
    </row>
    <row r="279" spans="1:20" x14ac:dyDescent="0.25">
      <c r="A279" s="5">
        <v>44314</v>
      </c>
      <c r="B279">
        <v>3.9716999999999998</v>
      </c>
      <c r="C279">
        <v>4.3499999999999996</v>
      </c>
      <c r="D279">
        <v>3.6107</v>
      </c>
      <c r="E279">
        <v>3.8713000000000002</v>
      </c>
      <c r="F279">
        <v>4429197.3600000003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-0.29500879210063491</v>
      </c>
      <c r="Q279">
        <f t="shared" si="965"/>
        <v>-1306652.163148921</v>
      </c>
      <c r="R279">
        <f t="shared" si="966"/>
        <v>-123688631.48442471</v>
      </c>
      <c r="S279">
        <f t="shared" si="967"/>
        <v>-1236.8863148442472</v>
      </c>
      <c r="T279">
        <f t="shared" si="968"/>
        <v>-1.2368863148442473</v>
      </c>
    </row>
    <row r="280" spans="1:20" x14ac:dyDescent="0.25">
      <c r="A280" s="5">
        <v>44313</v>
      </c>
      <c r="B280">
        <v>3.7124999999999999</v>
      </c>
      <c r="C280">
        <v>3.9845999999999999</v>
      </c>
      <c r="D280">
        <v>3.6248</v>
      </c>
      <c r="E280">
        <v>3.9699</v>
      </c>
      <c r="F280">
        <v>3812819.15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0.91828793774319095</v>
      </c>
      <c r="Q280">
        <f t="shared" si="965"/>
        <v>3501265.8342412463</v>
      </c>
      <c r="R280">
        <f t="shared" si="966"/>
        <v>-122381979.32127579</v>
      </c>
      <c r="S280">
        <f t="shared" si="967"/>
        <v>-1223.8197932127578</v>
      </c>
      <c r="T280">
        <f t="shared" si="968"/>
        <v>-1.2238197932127577</v>
      </c>
    </row>
    <row r="281" spans="1:20" x14ac:dyDescent="0.25">
      <c r="A281" s="5">
        <v>44312</v>
      </c>
      <c r="B281">
        <v>3.2339000000000002</v>
      </c>
      <c r="C281">
        <v>3.7149999999999999</v>
      </c>
      <c r="D281">
        <v>3.1469999999999998</v>
      </c>
      <c r="E281">
        <v>3.7101000000000002</v>
      </c>
      <c r="F281">
        <v>4097169.42</v>
      </c>
      <c r="G281">
        <v>0</v>
      </c>
      <c r="L281" t="s">
        <v>7</v>
      </c>
      <c r="M281" t="s">
        <v>7</v>
      </c>
      <c r="N281" t="s">
        <v>8</v>
      </c>
      <c r="P281">
        <f t="shared" si="964"/>
        <v>0.98274647887324051</v>
      </c>
      <c r="Q281">
        <f t="shared" si="965"/>
        <v>4026478.8208521171</v>
      </c>
      <c r="R281">
        <f t="shared" si="966"/>
        <v>-125883245.15551703</v>
      </c>
      <c r="S281">
        <f t="shared" si="967"/>
        <v>-1258.8324515551703</v>
      </c>
      <c r="T281">
        <f t="shared" si="968"/>
        <v>-1.2588324515551703</v>
      </c>
    </row>
    <row r="282" spans="1:20" x14ac:dyDescent="0.25">
      <c r="A282" s="5">
        <v>44311</v>
      </c>
      <c r="B282">
        <v>3.0634999999999999</v>
      </c>
      <c r="C282">
        <v>3.9321000000000002</v>
      </c>
      <c r="D282">
        <v>2.95</v>
      </c>
      <c r="E282">
        <v>3.2366000000000001</v>
      </c>
      <c r="F282">
        <v>6877880.6600000001</v>
      </c>
      <c r="G282">
        <v>0</v>
      </c>
      <c r="L282" t="s">
        <v>8</v>
      </c>
      <c r="M282" t="s">
        <v>8</v>
      </c>
      <c r="N282" t="s">
        <v>8</v>
      </c>
      <c r="P282">
        <f t="shared" si="964"/>
        <v>-0.41635271357295595</v>
      </c>
      <c r="Q282">
        <f t="shared" si="965"/>
        <v>-2863624.2764219535</v>
      </c>
      <c r="R282">
        <f t="shared" si="966"/>
        <v>-129909723.97636914</v>
      </c>
      <c r="S282">
        <f t="shared" si="967"/>
        <v>-1299.0972397636915</v>
      </c>
      <c r="T282">
        <f t="shared" si="968"/>
        <v>-1.2990972397636915</v>
      </c>
    </row>
    <row r="283" spans="1:20" x14ac:dyDescent="0.25">
      <c r="A283" s="5">
        <v>44310</v>
      </c>
      <c r="B283">
        <v>3.3771</v>
      </c>
      <c r="C283">
        <v>3.4588000000000001</v>
      </c>
      <c r="D283">
        <v>2.9737</v>
      </c>
      <c r="E283">
        <v>3.0632999999999999</v>
      </c>
      <c r="F283">
        <v>3927322.6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-0.63059163059163104</v>
      </c>
      <c r="Q283">
        <f t="shared" si="965"/>
        <v>-2476536.7621933641</v>
      </c>
      <c r="R283">
        <f t="shared" si="966"/>
        <v>-127046099.69994719</v>
      </c>
      <c r="S283">
        <f t="shared" si="967"/>
        <v>-1270.4609969994719</v>
      </c>
      <c r="T283">
        <f t="shared" si="968"/>
        <v>-1.270460996999472</v>
      </c>
    </row>
    <row r="284" spans="1:20" x14ac:dyDescent="0.25">
      <c r="A284" s="5">
        <v>44309</v>
      </c>
      <c r="B284">
        <v>3.6507999999999998</v>
      </c>
      <c r="C284">
        <v>3.7443</v>
      </c>
      <c r="D284">
        <v>2.4706000000000001</v>
      </c>
      <c r="E284">
        <v>3.3765999999999998</v>
      </c>
      <c r="F284">
        <v>10662318.65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0.42262699222736877</v>
      </c>
      <c r="Q284">
        <f t="shared" si="965"/>
        <v>4506183.6612192793</v>
      </c>
      <c r="R284">
        <f t="shared" si="966"/>
        <v>-124569562.93775383</v>
      </c>
      <c r="S284">
        <f t="shared" si="967"/>
        <v>-1245.6956293775384</v>
      </c>
      <c r="T284">
        <f t="shared" si="968"/>
        <v>-1.2456956293775383</v>
      </c>
    </row>
    <row r="285" spans="1:20" x14ac:dyDescent="0.25">
      <c r="A285" s="5">
        <v>44308</v>
      </c>
      <c r="B285">
        <v>4.5298999999999996</v>
      </c>
      <c r="C285">
        <v>4.5707000000000004</v>
      </c>
      <c r="D285">
        <v>3.5034000000000001</v>
      </c>
      <c r="E285">
        <v>3.6509999999999998</v>
      </c>
      <c r="F285">
        <v>11880508.970000001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-0.72341422280520995</v>
      </c>
      <c r="Q285">
        <f t="shared" si="965"/>
        <v>-8594529.1630628761</v>
      </c>
      <c r="R285">
        <f t="shared" si="966"/>
        <v>-129075746.59897311</v>
      </c>
      <c r="S285">
        <f t="shared" si="967"/>
        <v>-1290.7574659897311</v>
      </c>
      <c r="T285">
        <f t="shared" si="968"/>
        <v>-1.2907574659897312</v>
      </c>
    </row>
    <row r="286" spans="1:20" x14ac:dyDescent="0.25">
      <c r="A286" s="5">
        <v>44307</v>
      </c>
      <c r="B286">
        <v>3.7246000000000001</v>
      </c>
      <c r="C286">
        <v>5.98</v>
      </c>
      <c r="D286">
        <v>3.6124000000000001</v>
      </c>
      <c r="E286">
        <v>4.5430000000000001</v>
      </c>
      <c r="F286">
        <v>31757363.440000001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-0.21388748099341109</v>
      </c>
      <c r="Q286">
        <f t="shared" si="965"/>
        <v>-6792502.4691738486</v>
      </c>
      <c r="R286">
        <f t="shared" si="966"/>
        <v>-120481217.43591024</v>
      </c>
      <c r="S286">
        <f t="shared" si="967"/>
        <v>-1204.8121743591023</v>
      </c>
      <c r="T286">
        <f t="shared" si="968"/>
        <v>-1.2048121743591023</v>
      </c>
    </row>
    <row r="287" spans="1:20" x14ac:dyDescent="0.25">
      <c r="A287" s="5">
        <v>44306</v>
      </c>
      <c r="B287">
        <v>3.6629999999999998</v>
      </c>
      <c r="C287">
        <v>4.22</v>
      </c>
      <c r="D287">
        <v>3.1709000000000001</v>
      </c>
      <c r="E287">
        <v>3.7204000000000002</v>
      </c>
      <c r="F287">
        <v>6612809.9900000002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4.7564579163092667E-2</v>
      </c>
      <c r="Q287">
        <f t="shared" si="965"/>
        <v>314535.52425984503</v>
      </c>
      <c r="R287">
        <f t="shared" si="966"/>
        <v>-113688714.96673639</v>
      </c>
      <c r="S287">
        <f t="shared" si="967"/>
        <v>-1136.8871496673639</v>
      </c>
      <c r="T287">
        <f t="shared" si="968"/>
        <v>-1.136887149667364</v>
      </c>
    </row>
    <row r="288" spans="1:20" x14ac:dyDescent="0.25">
      <c r="A288" s="5">
        <v>44305</v>
      </c>
      <c r="B288">
        <v>3.6208</v>
      </c>
      <c r="C288">
        <v>4.6900000000000004</v>
      </c>
      <c r="D288">
        <v>3.4121000000000001</v>
      </c>
      <c r="E288">
        <v>3.6606999999999998</v>
      </c>
      <c r="F288">
        <v>13995176.390000001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-0.61092417247045983</v>
      </c>
      <c r="Q288">
        <f t="shared" si="965"/>
        <v>-8549991.5546388682</v>
      </c>
      <c r="R288">
        <f t="shared" si="966"/>
        <v>-114003250.49099624</v>
      </c>
      <c r="S288">
        <f t="shared" si="967"/>
        <v>-1140.0325049099624</v>
      </c>
      <c r="T288">
        <f t="shared" si="968"/>
        <v>-1.1400325049099624</v>
      </c>
    </row>
    <row r="289" spans="1:20" x14ac:dyDescent="0.25">
      <c r="A289" s="5">
        <v>44304</v>
      </c>
      <c r="B289">
        <v>4.2652999999999999</v>
      </c>
      <c r="C289">
        <v>4.2693000000000003</v>
      </c>
      <c r="D289">
        <v>3.1192000000000002</v>
      </c>
      <c r="E289">
        <v>3.6246999999999998</v>
      </c>
      <c r="F289">
        <v>3730690.24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-0.12094600469524465</v>
      </c>
      <c r="Q289">
        <f t="shared" si="965"/>
        <v>-451212.0792835434</v>
      </c>
      <c r="R289">
        <f t="shared" si="966"/>
        <v>-105453258.93635738</v>
      </c>
      <c r="S289">
        <f t="shared" si="967"/>
        <v>-1054.5325893635738</v>
      </c>
      <c r="T289">
        <f t="shared" si="968"/>
        <v>-1.0545325893635737</v>
      </c>
    </row>
    <row r="290" spans="1:20" x14ac:dyDescent="0.25">
      <c r="A290" s="5">
        <v>44303</v>
      </c>
      <c r="B290">
        <v>4.2714999999999996</v>
      </c>
      <c r="C290">
        <v>4.5552000000000001</v>
      </c>
      <c r="D290">
        <v>4.1200999999999999</v>
      </c>
      <c r="E290">
        <v>4.2702999999999998</v>
      </c>
      <c r="F290">
        <v>3404183.33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-0.30958400367731648</v>
      </c>
      <c r="Q290">
        <f t="shared" si="965"/>
        <v>-1053880.7045529794</v>
      </c>
      <c r="R290">
        <f t="shared" si="966"/>
        <v>-105002046.85707383</v>
      </c>
      <c r="S290">
        <f t="shared" si="967"/>
        <v>-1050.0204685707383</v>
      </c>
      <c r="T290">
        <f t="shared" si="968"/>
        <v>-1.0500204685707384</v>
      </c>
    </row>
    <row r="291" spans="1:20" x14ac:dyDescent="0.25">
      <c r="A291" s="5">
        <v>44302</v>
      </c>
      <c r="B291">
        <v>4.7179000000000002</v>
      </c>
      <c r="C291">
        <v>4.7270000000000003</v>
      </c>
      <c r="D291">
        <v>4.0999999999999996</v>
      </c>
      <c r="E291">
        <v>4.2678000000000003</v>
      </c>
      <c r="F291">
        <v>2882927.47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-0.46475279106857914</v>
      </c>
      <c r="Q291">
        <f t="shared" si="965"/>
        <v>-1339848.5881307775</v>
      </c>
      <c r="R291">
        <f t="shared" si="966"/>
        <v>-103948166.15252085</v>
      </c>
      <c r="S291">
        <f t="shared" si="967"/>
        <v>-1039.4816615252084</v>
      </c>
      <c r="T291">
        <f t="shared" si="968"/>
        <v>-1.0394816615252085</v>
      </c>
    </row>
    <row r="292" spans="1:20" x14ac:dyDescent="0.25">
      <c r="A292" s="5">
        <v>44301</v>
      </c>
      <c r="B292">
        <v>4.5648999999999997</v>
      </c>
      <c r="C292">
        <v>4.7899000000000003</v>
      </c>
      <c r="D292">
        <v>4.4001000000000001</v>
      </c>
      <c r="E292">
        <v>4.7012</v>
      </c>
      <c r="F292">
        <v>1938182.03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0.54489481785530947</v>
      </c>
      <c r="Q292">
        <f t="shared" si="965"/>
        <v>1056105.344207284</v>
      </c>
      <c r="R292">
        <f t="shared" si="966"/>
        <v>-102608317.56439008</v>
      </c>
      <c r="S292">
        <f t="shared" si="967"/>
        <v>-1026.0831756439009</v>
      </c>
      <c r="T292">
        <f t="shared" si="968"/>
        <v>-1.0260831756439008</v>
      </c>
    </row>
    <row r="293" spans="1:20" x14ac:dyDescent="0.25">
      <c r="A293" s="5">
        <v>44300</v>
      </c>
      <c r="B293">
        <v>4.8574000000000002</v>
      </c>
      <c r="C293">
        <v>4.8631000000000002</v>
      </c>
      <c r="D293">
        <v>4.1906999999999996</v>
      </c>
      <c r="E293">
        <v>4.5872999999999999</v>
      </c>
      <c r="F293">
        <v>2694040.8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0.17965496728138</v>
      </c>
      <c r="Q293">
        <f t="shared" si="965"/>
        <v>483997.81177870277</v>
      </c>
      <c r="R293">
        <f t="shared" si="966"/>
        <v>-103664422.90859737</v>
      </c>
      <c r="S293">
        <f t="shared" si="967"/>
        <v>-1036.6442290859736</v>
      </c>
      <c r="T293">
        <f t="shared" si="968"/>
        <v>-1.0366442290859736</v>
      </c>
    </row>
    <row r="294" spans="1:20" x14ac:dyDescent="0.25">
      <c r="A294" s="5">
        <v>44299</v>
      </c>
      <c r="B294">
        <v>4.8826999999999998</v>
      </c>
      <c r="C294">
        <v>4.9112999999999998</v>
      </c>
      <c r="D294">
        <v>4.6375000000000002</v>
      </c>
      <c r="E294">
        <v>4.8563999999999998</v>
      </c>
      <c r="F294">
        <v>1941680.04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0.59897735573411226</v>
      </c>
      <c r="Q294">
        <f t="shared" si="965"/>
        <v>1163022.3760409052</v>
      </c>
      <c r="R294">
        <f t="shared" si="966"/>
        <v>-104148420.72037607</v>
      </c>
      <c r="S294">
        <f t="shared" si="967"/>
        <v>-1041.4842072037607</v>
      </c>
      <c r="T294">
        <f t="shared" si="968"/>
        <v>-1.0414842072037607</v>
      </c>
    </row>
    <row r="295" spans="1:20" x14ac:dyDescent="0.25">
      <c r="A295" s="5">
        <v>44298</v>
      </c>
      <c r="B295">
        <v>4.6791999999999998</v>
      </c>
      <c r="C295">
        <v>5.5914999999999999</v>
      </c>
      <c r="D295">
        <v>4.6421999999999999</v>
      </c>
      <c r="E295">
        <v>4.8707000000000003</v>
      </c>
      <c r="F295">
        <v>7702378.4199999999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-0.51859264721373566</v>
      </c>
      <c r="Q295">
        <f t="shared" si="965"/>
        <v>-3994396.8146697506</v>
      </c>
      <c r="R295">
        <f t="shared" si="966"/>
        <v>-105311443.09641698</v>
      </c>
      <c r="S295">
        <f t="shared" si="967"/>
        <v>-1053.1144309641697</v>
      </c>
      <c r="T295">
        <f t="shared" si="968"/>
        <v>-1.0531144309641698</v>
      </c>
    </row>
    <row r="296" spans="1:20" x14ac:dyDescent="0.25">
      <c r="A296" s="5">
        <v>44297</v>
      </c>
      <c r="B296">
        <v>4.9119999999999999</v>
      </c>
      <c r="C296">
        <v>4.9386000000000001</v>
      </c>
      <c r="D296">
        <v>4.5000999999999998</v>
      </c>
      <c r="E296">
        <v>4.6878000000000002</v>
      </c>
      <c r="F296">
        <v>1603317.58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-0.14389965792474216</v>
      </c>
      <c r="Q296">
        <f t="shared" si="965"/>
        <v>-230716.85130672544</v>
      </c>
      <c r="R296">
        <f t="shared" si="966"/>
        <v>-101317046.28174724</v>
      </c>
      <c r="S296">
        <f t="shared" si="967"/>
        <v>-1013.1704628174724</v>
      </c>
      <c r="T296">
        <f t="shared" si="968"/>
        <v>-1.0131704628174725</v>
      </c>
    </row>
    <row r="297" spans="1:20" x14ac:dyDescent="0.25">
      <c r="A297" s="5">
        <v>44296</v>
      </c>
      <c r="B297">
        <v>5.2865000000000002</v>
      </c>
      <c r="C297">
        <v>5.3121999999999998</v>
      </c>
      <c r="D297">
        <v>4.7005999999999997</v>
      </c>
      <c r="E297">
        <v>4.9104000000000001</v>
      </c>
      <c r="F297">
        <v>1880734.93</v>
      </c>
      <c r="G297">
        <v>0</v>
      </c>
      <c r="L297" t="s">
        <v>7</v>
      </c>
      <c r="M297" t="s">
        <v>8</v>
      </c>
      <c r="N297" t="s">
        <v>7</v>
      </c>
      <c r="P297">
        <f t="shared" si="964"/>
        <v>-0.31393067364290261</v>
      </c>
      <c r="Q297">
        <f t="shared" si="965"/>
        <v>-590420.38351863727</v>
      </c>
      <c r="R297">
        <f t="shared" si="966"/>
        <v>-101086329.43044052</v>
      </c>
      <c r="S297">
        <f t="shared" si="967"/>
        <v>-1010.8632943044051</v>
      </c>
      <c r="T297">
        <f t="shared" si="968"/>
        <v>-1.0108632943044051</v>
      </c>
    </row>
    <row r="298" spans="1:20" x14ac:dyDescent="0.25">
      <c r="A298" s="5">
        <v>44295</v>
      </c>
      <c r="B298">
        <v>5.1378000000000004</v>
      </c>
      <c r="C298">
        <v>5.41</v>
      </c>
      <c r="D298">
        <v>4.9210000000000003</v>
      </c>
      <c r="E298">
        <v>5.2854000000000001</v>
      </c>
      <c r="F298">
        <v>2900471.82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0.4903885480572594</v>
      </c>
      <c r="Q298">
        <f t="shared" si="965"/>
        <v>1422358.1644907966</v>
      </c>
      <c r="R298">
        <f t="shared" si="966"/>
        <v>-100495909.04692188</v>
      </c>
      <c r="S298">
        <f t="shared" si="967"/>
        <v>-1004.9590904692188</v>
      </c>
      <c r="T298">
        <f t="shared" si="968"/>
        <v>-1.0049590904692189</v>
      </c>
    </row>
    <row r="299" spans="1:20" x14ac:dyDescent="0.25">
      <c r="A299" s="5">
        <v>44294</v>
      </c>
      <c r="B299">
        <v>4.3958000000000004</v>
      </c>
      <c r="C299">
        <v>5.3211000000000004</v>
      </c>
      <c r="D299">
        <v>4.3235000000000001</v>
      </c>
      <c r="E299">
        <v>5.1420000000000003</v>
      </c>
      <c r="F299">
        <v>5880467.6600000001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0.64093825180433039</v>
      </c>
      <c r="Q299">
        <f t="shared" si="965"/>
        <v>3769016.6617923016</v>
      </c>
      <c r="R299">
        <f t="shared" si="966"/>
        <v>-101918267.21141268</v>
      </c>
      <c r="S299">
        <f t="shared" si="967"/>
        <v>-1019.1826721141268</v>
      </c>
      <c r="T299">
        <f t="shared" si="968"/>
        <v>-1.0191826721141268</v>
      </c>
    </row>
    <row r="300" spans="1:20" x14ac:dyDescent="0.25">
      <c r="A300" s="5">
        <v>44293</v>
      </c>
      <c r="B300">
        <v>5.2080000000000002</v>
      </c>
      <c r="C300">
        <v>5.3620000000000001</v>
      </c>
      <c r="D300">
        <v>4.0030000000000001</v>
      </c>
      <c r="E300">
        <v>4.3963999999999999</v>
      </c>
      <c r="F300">
        <v>7270039.7000000002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-0.42104488594554856</v>
      </c>
      <c r="Q300">
        <f t="shared" si="965"/>
        <v>-3061013.0363061102</v>
      </c>
      <c r="R300">
        <f t="shared" si="966"/>
        <v>-105687283.87320499</v>
      </c>
      <c r="S300">
        <f t="shared" si="967"/>
        <v>-1056.87283873205</v>
      </c>
      <c r="T300">
        <f t="shared" si="968"/>
        <v>-1.0568728387320501</v>
      </c>
    </row>
    <row r="301" spans="1:20" x14ac:dyDescent="0.25">
      <c r="A301" s="5">
        <v>44292</v>
      </c>
      <c r="B301">
        <v>5.6113</v>
      </c>
      <c r="C301">
        <v>5.7523</v>
      </c>
      <c r="D301">
        <v>4.9192999999999998</v>
      </c>
      <c r="E301">
        <v>5.1990999999999996</v>
      </c>
      <c r="F301">
        <v>6024896.4299999997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-0.3282112845138061</v>
      </c>
      <c r="Q301">
        <f t="shared" si="965"/>
        <v>-1977438.9963529445</v>
      </c>
      <c r="R301">
        <f t="shared" si="966"/>
        <v>-102626270.83689888</v>
      </c>
      <c r="S301">
        <f t="shared" si="967"/>
        <v>-1026.2627083689888</v>
      </c>
      <c r="T301">
        <f t="shared" si="968"/>
        <v>-1.0262627083689888</v>
      </c>
    </row>
    <row r="302" spans="1:20" x14ac:dyDescent="0.25">
      <c r="A302" s="5">
        <v>44291</v>
      </c>
      <c r="B302">
        <v>6.8788999999999998</v>
      </c>
      <c r="C302">
        <v>6.8883000000000001</v>
      </c>
      <c r="D302">
        <v>5.5595999999999997</v>
      </c>
      <c r="E302">
        <v>5.61</v>
      </c>
      <c r="F302">
        <v>7041592.0099999998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-0.92413637389929904</v>
      </c>
      <c r="Q302">
        <f t="shared" si="965"/>
        <v>-6507391.3065996766</v>
      </c>
      <c r="R302">
        <f t="shared" si="966"/>
        <v>-100648831.84054594</v>
      </c>
      <c r="S302">
        <f t="shared" si="967"/>
        <v>-1006.4883184054594</v>
      </c>
      <c r="T302">
        <f t="shared" si="968"/>
        <v>-1.0064883184054594</v>
      </c>
    </row>
    <row r="303" spans="1:20" x14ac:dyDescent="0.25">
      <c r="A303" s="5">
        <v>44290</v>
      </c>
      <c r="B303">
        <v>6.7469000000000001</v>
      </c>
      <c r="C303">
        <v>6.9550000000000001</v>
      </c>
      <c r="D303">
        <v>5.2</v>
      </c>
      <c r="E303">
        <v>6.8788999999999998</v>
      </c>
      <c r="F303">
        <v>17909495.649999999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0.91327635327635293</v>
      </c>
      <c r="Q303">
        <f t="shared" si="965"/>
        <v>16356318.876250705</v>
      </c>
      <c r="R303">
        <f t="shared" si="966"/>
        <v>-94141440.533946261</v>
      </c>
      <c r="S303">
        <f t="shared" si="967"/>
        <v>-941.41440533946263</v>
      </c>
      <c r="T303">
        <f t="shared" si="968"/>
        <v>-0.94141440533946263</v>
      </c>
    </row>
    <row r="304" spans="1:20" x14ac:dyDescent="0.25">
      <c r="A304" s="5">
        <v>44289</v>
      </c>
      <c r="B304">
        <v>5.1189</v>
      </c>
      <c r="C304">
        <v>6.88</v>
      </c>
      <c r="D304">
        <v>5.0419</v>
      </c>
      <c r="E304">
        <v>6.7766000000000002</v>
      </c>
      <c r="F304">
        <v>16008482.85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0.88749251944943175</v>
      </c>
      <c r="Q304">
        <f t="shared" si="965"/>
        <v>14207408.777109519</v>
      </c>
      <c r="R304">
        <f t="shared" si="966"/>
        <v>-110497759.41019696</v>
      </c>
      <c r="S304">
        <f t="shared" si="967"/>
        <v>-1104.9775941019695</v>
      </c>
      <c r="T304">
        <f t="shared" si="968"/>
        <v>-1.1049775941019695</v>
      </c>
    </row>
    <row r="305" spans="1:20" x14ac:dyDescent="0.25">
      <c r="A305" s="5">
        <v>44288</v>
      </c>
      <c r="B305">
        <v>5.5467000000000004</v>
      </c>
      <c r="C305">
        <v>5.55</v>
      </c>
      <c r="D305">
        <v>5.0366</v>
      </c>
      <c r="E305">
        <v>5.1195000000000004</v>
      </c>
      <c r="F305">
        <v>9317696.4700000007</v>
      </c>
      <c r="G305">
        <v>0</v>
      </c>
      <c r="L305" t="s">
        <v>7</v>
      </c>
      <c r="M305" t="s">
        <v>7</v>
      </c>
      <c r="N305" t="s">
        <v>7</v>
      </c>
      <c r="P305">
        <f t="shared" si="964"/>
        <v>-0.67705492793143573</v>
      </c>
      <c r="Q305">
        <f t="shared" si="965"/>
        <v>-6308592.311982844</v>
      </c>
      <c r="R305">
        <f t="shared" si="966"/>
        <v>-124705168.18730648</v>
      </c>
      <c r="S305">
        <f t="shared" si="967"/>
        <v>-1247.0516818730648</v>
      </c>
      <c r="T305">
        <f t="shared" si="968"/>
        <v>-1.2470516818730648</v>
      </c>
    </row>
    <row r="306" spans="1:20" x14ac:dyDescent="0.25">
      <c r="A306" s="5">
        <v>44287</v>
      </c>
      <c r="B306">
        <v>5.9492000000000003</v>
      </c>
      <c r="C306">
        <v>6.3792999999999997</v>
      </c>
      <c r="D306">
        <v>5.5285000000000002</v>
      </c>
      <c r="E306">
        <v>5.5439999999999996</v>
      </c>
      <c r="F306">
        <v>11356434.24</v>
      </c>
      <c r="G306">
        <v>0</v>
      </c>
      <c r="L306" t="s">
        <v>7</v>
      </c>
      <c r="M306" t="s">
        <v>7</v>
      </c>
      <c r="N306" t="s">
        <v>7</v>
      </c>
      <c r="P306">
        <f t="shared" si="964"/>
        <v>-0.96356370474847342</v>
      </c>
      <c r="Q306">
        <f t="shared" si="965"/>
        <v>-10942647.849026814</v>
      </c>
      <c r="R306">
        <f t="shared" si="966"/>
        <v>-118396575.87532364</v>
      </c>
      <c r="S306">
        <f t="shared" si="967"/>
        <v>-1183.9657587532363</v>
      </c>
      <c r="T306">
        <f t="shared" si="968"/>
        <v>-1.1839657587532364</v>
      </c>
    </row>
    <row r="307" spans="1:20" x14ac:dyDescent="0.25">
      <c r="A307" s="5">
        <v>44286</v>
      </c>
      <c r="B307">
        <v>6.6988000000000003</v>
      </c>
      <c r="C307">
        <v>7</v>
      </c>
      <c r="D307">
        <v>5.7733999999999996</v>
      </c>
      <c r="E307">
        <v>5.9513999999999996</v>
      </c>
      <c r="F307">
        <v>17327279.809999999</v>
      </c>
      <c r="G307">
        <v>0</v>
      </c>
      <c r="L307" t="s">
        <v>8</v>
      </c>
      <c r="M307" t="s">
        <v>8</v>
      </c>
      <c r="N307" t="s">
        <v>7</v>
      </c>
      <c r="P307">
        <f t="shared" si="964"/>
        <v>-0.70976683515408467</v>
      </c>
      <c r="Q307">
        <f t="shared" si="965"/>
        <v>-12298328.552572969</v>
      </c>
      <c r="R307">
        <f t="shared" si="966"/>
        <v>-107453928.02629682</v>
      </c>
      <c r="S307">
        <f t="shared" si="967"/>
        <v>-1074.5392802629683</v>
      </c>
      <c r="T307">
        <f t="shared" si="968"/>
        <v>-1.0745392802629683</v>
      </c>
    </row>
    <row r="308" spans="1:20" x14ac:dyDescent="0.25">
      <c r="A308" s="5">
        <v>44285</v>
      </c>
      <c r="B308">
        <v>6.0243000000000002</v>
      </c>
      <c r="C308">
        <v>8.7599</v>
      </c>
      <c r="D308">
        <v>5.2165999999999997</v>
      </c>
      <c r="E308">
        <v>6.6910999999999996</v>
      </c>
      <c r="F308">
        <v>95222026.269999996</v>
      </c>
      <c r="G308">
        <v>0</v>
      </c>
      <c r="L308" t="s">
        <v>7</v>
      </c>
      <c r="M308" t="s">
        <v>7</v>
      </c>
      <c r="N308" t="s">
        <v>7</v>
      </c>
      <c r="P308">
        <f t="shared" si="964"/>
        <v>-0.16772500211667102</v>
      </c>
      <c r="Q308">
        <f t="shared" si="965"/>
        <v>-15971114.557689453</v>
      </c>
      <c r="R308">
        <f t="shared" si="966"/>
        <v>-95155599.473723859</v>
      </c>
      <c r="S308">
        <f t="shared" si="967"/>
        <v>-951.55599473723862</v>
      </c>
      <c r="T308">
        <f t="shared" si="968"/>
        <v>-0.95155599473723862</v>
      </c>
    </row>
    <row r="309" spans="1:20" x14ac:dyDescent="0.25">
      <c r="A309" s="5">
        <v>44284</v>
      </c>
      <c r="B309">
        <v>1.8826000000000001</v>
      </c>
      <c r="C309">
        <v>10.3637</v>
      </c>
      <c r="D309">
        <v>1.8821000000000001</v>
      </c>
      <c r="E309">
        <v>6.0244</v>
      </c>
      <c r="F309">
        <v>154912896.50999999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-2.3226749669873616E-2</v>
      </c>
      <c r="Q309">
        <f t="shared" si="965"/>
        <v>-3598123.0678728078</v>
      </c>
      <c r="R309">
        <f t="shared" si="966"/>
        <v>-79184484.9160344</v>
      </c>
      <c r="S309">
        <f t="shared" si="967"/>
        <v>-791.84484916034398</v>
      </c>
      <c r="T309">
        <f t="shared" si="968"/>
        <v>-0.79184484916034403</v>
      </c>
    </row>
    <row r="310" spans="1:20" x14ac:dyDescent="0.25">
      <c r="A310" s="5">
        <v>44283</v>
      </c>
      <c r="B310">
        <v>1.7758</v>
      </c>
      <c r="C310">
        <v>2.2126999999999999</v>
      </c>
      <c r="D310">
        <v>1.7197</v>
      </c>
      <c r="E310">
        <v>1.889</v>
      </c>
      <c r="F310">
        <v>6802840.1900000004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-0.31318458417849881</v>
      </c>
      <c r="Q310">
        <f t="shared" si="965"/>
        <v>-2130544.6761379298</v>
      </c>
      <c r="R310">
        <f t="shared" si="966"/>
        <v>-75586361.848161593</v>
      </c>
      <c r="S310">
        <f t="shared" si="967"/>
        <v>-755.86361848161596</v>
      </c>
      <c r="T310">
        <f t="shared" si="968"/>
        <v>-0.75586361848161598</v>
      </c>
    </row>
    <row r="311" spans="1:20" x14ac:dyDescent="0.25">
      <c r="A311" s="5">
        <v>44282</v>
      </c>
      <c r="B311">
        <v>1.7188000000000001</v>
      </c>
      <c r="C311">
        <v>1.7935000000000001</v>
      </c>
      <c r="D311">
        <v>1.6328</v>
      </c>
      <c r="E311">
        <v>1.7758</v>
      </c>
      <c r="F311">
        <v>1617863.84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0.77971375233354023</v>
      </c>
      <c r="Q311">
        <f t="shared" si="965"/>
        <v>1261470.6854511504</v>
      </c>
      <c r="R311">
        <f t="shared" si="966"/>
        <v>-73455817.172023669</v>
      </c>
      <c r="S311">
        <f t="shared" si="967"/>
        <v>-734.55817172023671</v>
      </c>
      <c r="T311">
        <f t="shared" si="968"/>
        <v>-0.73455817172023674</v>
      </c>
    </row>
    <row r="312" spans="1:20" x14ac:dyDescent="0.25">
      <c r="A312" s="5">
        <v>44281</v>
      </c>
      <c r="B312">
        <v>1.5424</v>
      </c>
      <c r="C312">
        <v>1.79</v>
      </c>
      <c r="D312">
        <v>1.5335000000000001</v>
      </c>
      <c r="E312">
        <v>1.7188000000000001</v>
      </c>
      <c r="F312">
        <v>2252945.12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0.44483430799220319</v>
      </c>
      <c r="Q312">
        <f t="shared" si="965"/>
        <v>1002187.2833996112</v>
      </c>
      <c r="R312">
        <f t="shared" si="966"/>
        <v>-74717287.857474819</v>
      </c>
      <c r="S312">
        <f t="shared" si="967"/>
        <v>-747.17287857474821</v>
      </c>
      <c r="T312">
        <f t="shared" si="968"/>
        <v>-0.74717287857474823</v>
      </c>
    </row>
    <row r="313" spans="1:20" x14ac:dyDescent="0.25">
      <c r="A313" s="5">
        <v>44280</v>
      </c>
      <c r="B313">
        <v>1.6384000000000001</v>
      </c>
      <c r="C313">
        <v>1.6759999999999999</v>
      </c>
      <c r="D313">
        <v>1.4665999999999999</v>
      </c>
      <c r="E313">
        <v>1.5423</v>
      </c>
      <c r="F313">
        <v>2588187.84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-0.27698185291308414</v>
      </c>
      <c r="Q313">
        <f t="shared" si="965"/>
        <v>-716881.06361031288</v>
      </c>
      <c r="R313">
        <f t="shared" si="966"/>
        <v>-75719475.140874431</v>
      </c>
      <c r="S313">
        <f t="shared" si="967"/>
        <v>-757.19475140874431</v>
      </c>
      <c r="T313">
        <f t="shared" si="968"/>
        <v>-0.75719475140874426</v>
      </c>
    </row>
    <row r="314" spans="1:20" x14ac:dyDescent="0.25">
      <c r="A314" s="5">
        <v>44279</v>
      </c>
      <c r="B314">
        <v>1.956</v>
      </c>
      <c r="C314">
        <v>2.0998999999999999</v>
      </c>
      <c r="D314">
        <v>1.5931</v>
      </c>
      <c r="E314">
        <v>1.6315</v>
      </c>
      <c r="F314">
        <v>4005616.4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-0.84846093133385958</v>
      </c>
      <c r="Q314">
        <f t="shared" si="965"/>
        <v>-3398609.0213101818</v>
      </c>
      <c r="R314">
        <f t="shared" si="966"/>
        <v>-75002594.077264115</v>
      </c>
      <c r="S314">
        <f t="shared" si="967"/>
        <v>-750.02594077264121</v>
      </c>
      <c r="T314">
        <f t="shared" si="968"/>
        <v>-0.75002594077264118</v>
      </c>
    </row>
    <row r="315" spans="1:20" x14ac:dyDescent="0.25">
      <c r="A315" s="5">
        <v>44278</v>
      </c>
      <c r="B315">
        <v>1.7278</v>
      </c>
      <c r="C315">
        <v>2.1646000000000001</v>
      </c>
      <c r="D315">
        <v>1.7014</v>
      </c>
      <c r="E315">
        <v>1.9565999999999999</v>
      </c>
      <c r="F315">
        <v>11774951.460000001</v>
      </c>
      <c r="G315">
        <v>0</v>
      </c>
      <c r="L315" t="s">
        <v>8</v>
      </c>
      <c r="M315" t="s">
        <v>8</v>
      </c>
      <c r="N315" t="s">
        <v>8</v>
      </c>
      <c r="P315">
        <f t="shared" si="964"/>
        <v>0.10189982728842764</v>
      </c>
      <c r="Q315">
        <f t="shared" si="965"/>
        <v>1199865.520103619</v>
      </c>
      <c r="R315">
        <f t="shared" si="966"/>
        <v>-71603985.055953935</v>
      </c>
      <c r="S315">
        <f t="shared" si="967"/>
        <v>-716.03985055953933</v>
      </c>
      <c r="T315">
        <f t="shared" si="968"/>
        <v>-0.71603985055953934</v>
      </c>
    </row>
    <row r="316" spans="1:20" x14ac:dyDescent="0.25">
      <c r="A316" s="5">
        <v>44277</v>
      </c>
      <c r="B316">
        <v>1.5519000000000001</v>
      </c>
      <c r="C316">
        <v>1.9661999999999999</v>
      </c>
      <c r="D316">
        <v>1.5095000000000001</v>
      </c>
      <c r="E316">
        <v>1.7376</v>
      </c>
      <c r="F316">
        <v>9609679.9900000002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-1.094810597766466E-3</v>
      </c>
      <c r="Q316">
        <f t="shared" si="965"/>
        <v>-10520.779494196348</v>
      </c>
      <c r="R316">
        <f t="shared" si="966"/>
        <v>-72803850.576057553</v>
      </c>
      <c r="S316">
        <f t="shared" si="967"/>
        <v>-728.0385057605755</v>
      </c>
      <c r="T316">
        <f t="shared" si="968"/>
        <v>-0.72803850576057549</v>
      </c>
    </row>
    <row r="317" spans="1:20" x14ac:dyDescent="0.25">
      <c r="A317" s="5">
        <v>44276</v>
      </c>
      <c r="B317">
        <v>1.4537</v>
      </c>
      <c r="C317">
        <v>1.5645</v>
      </c>
      <c r="D317">
        <v>1.4259999999999999</v>
      </c>
      <c r="E317">
        <v>1.5519000000000001</v>
      </c>
      <c r="F317">
        <v>2828518.26</v>
      </c>
      <c r="G317">
        <v>0</v>
      </c>
      <c r="L317" t="s">
        <v>7</v>
      </c>
      <c r="M317" t="s">
        <v>8</v>
      </c>
      <c r="N317" t="s">
        <v>7</v>
      </c>
      <c r="P317">
        <f t="shared" si="964"/>
        <v>0.81805054151624634</v>
      </c>
      <c r="Q317">
        <f t="shared" si="965"/>
        <v>2313870.8942815908</v>
      </c>
      <c r="R317">
        <f t="shared" si="966"/>
        <v>-72793329.796563357</v>
      </c>
      <c r="S317">
        <f t="shared" si="967"/>
        <v>-727.93329796563353</v>
      </c>
      <c r="T317">
        <f t="shared" si="968"/>
        <v>-0.72793329796563355</v>
      </c>
    </row>
    <row r="318" spans="1:20" x14ac:dyDescent="0.25">
      <c r="A318" s="5">
        <v>44275</v>
      </c>
      <c r="B318">
        <v>1.5410999999999999</v>
      </c>
      <c r="C318">
        <v>1.7053</v>
      </c>
      <c r="D318">
        <v>1.452</v>
      </c>
      <c r="E318">
        <v>1.4592000000000001</v>
      </c>
      <c r="F318">
        <v>6173537.6600000001</v>
      </c>
      <c r="G318">
        <v>0</v>
      </c>
      <c r="L318" t="s">
        <v>8</v>
      </c>
      <c r="M318" t="s">
        <v>8</v>
      </c>
      <c r="N318" t="s">
        <v>7</v>
      </c>
      <c r="P318">
        <f t="shared" si="964"/>
        <v>-0.94315041452822668</v>
      </c>
      <c r="Q318">
        <f t="shared" si="965"/>
        <v>-5822574.6031346191</v>
      </c>
      <c r="R318">
        <f t="shared" si="966"/>
        <v>-75107200.690844953</v>
      </c>
      <c r="S318">
        <f t="shared" si="967"/>
        <v>-751.07200690844957</v>
      </c>
      <c r="T318">
        <f t="shared" si="968"/>
        <v>-0.75107200690844955</v>
      </c>
    </row>
    <row r="319" spans="1:20" x14ac:dyDescent="0.25">
      <c r="A319" s="5">
        <v>44274</v>
      </c>
      <c r="B319">
        <v>1.4081999999999999</v>
      </c>
      <c r="C319">
        <v>1.5887</v>
      </c>
      <c r="D319">
        <v>1.3807</v>
      </c>
      <c r="E319">
        <v>1.5350999999999999</v>
      </c>
      <c r="F319">
        <v>3444412.98</v>
      </c>
      <c r="G319">
        <v>0</v>
      </c>
      <c r="L319" t="s">
        <v>8</v>
      </c>
      <c r="M319" t="s">
        <v>8</v>
      </c>
      <c r="N319" t="s">
        <v>7</v>
      </c>
      <c r="P319">
        <f t="shared" si="964"/>
        <v>0.48461538461538362</v>
      </c>
      <c r="Q319">
        <f t="shared" si="965"/>
        <v>1669215.5210769195</v>
      </c>
      <c r="R319">
        <f t="shared" si="966"/>
        <v>-69284626.087710336</v>
      </c>
      <c r="S319">
        <f t="shared" si="967"/>
        <v>-692.8462608771033</v>
      </c>
      <c r="T319">
        <f t="shared" si="968"/>
        <v>-0.69284626087710333</v>
      </c>
    </row>
    <row r="320" spans="1:20" x14ac:dyDescent="0.25">
      <c r="A320" s="5">
        <v>44273</v>
      </c>
      <c r="B320">
        <v>1.425</v>
      </c>
      <c r="C320">
        <v>1.4864999999999999</v>
      </c>
      <c r="D320">
        <v>1.3823000000000001</v>
      </c>
      <c r="E320">
        <v>1.4149</v>
      </c>
      <c r="F320">
        <v>1903463.15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-0.37428023032629537</v>
      </c>
      <c r="Q320">
        <f t="shared" si="965"/>
        <v>-712428.62619961565</v>
      </c>
      <c r="R320">
        <f t="shared" si="966"/>
        <v>-70953841.608787253</v>
      </c>
      <c r="S320">
        <f t="shared" si="967"/>
        <v>-709.53841608787252</v>
      </c>
      <c r="T320">
        <f t="shared" si="968"/>
        <v>-0.70953841608787249</v>
      </c>
    </row>
    <row r="321" spans="1:20" x14ac:dyDescent="0.25">
      <c r="A321" s="5">
        <v>44272</v>
      </c>
      <c r="B321">
        <v>1.5375000000000001</v>
      </c>
      <c r="C321">
        <v>1.5449999999999999</v>
      </c>
      <c r="D321">
        <v>1.3065</v>
      </c>
      <c r="E321">
        <v>1.425</v>
      </c>
      <c r="F321">
        <v>3125083.17</v>
      </c>
      <c r="G321">
        <v>0</v>
      </c>
      <c r="L321" t="s">
        <v>7</v>
      </c>
      <c r="M321" t="s">
        <v>8</v>
      </c>
      <c r="N321" t="s">
        <v>7</v>
      </c>
      <c r="P321">
        <f t="shared" si="964"/>
        <v>-6.289308176099938E-3</v>
      </c>
      <c r="Q321">
        <f t="shared" si="965"/>
        <v>-19654.611132073311</v>
      </c>
      <c r="R321">
        <f t="shared" si="966"/>
        <v>-70241412.982587636</v>
      </c>
      <c r="S321">
        <f t="shared" si="967"/>
        <v>-702.41412982587633</v>
      </c>
      <c r="T321">
        <f t="shared" si="968"/>
        <v>-0.70241412982587637</v>
      </c>
    </row>
    <row r="322" spans="1:20" x14ac:dyDescent="0.25">
      <c r="A322" s="5">
        <v>44271</v>
      </c>
      <c r="B322">
        <v>1.3694</v>
      </c>
      <c r="C322">
        <v>1.5475000000000001</v>
      </c>
      <c r="D322">
        <v>1.2726999999999999</v>
      </c>
      <c r="E322">
        <v>1.5325</v>
      </c>
      <c r="F322">
        <v>4961740.53</v>
      </c>
      <c r="G322">
        <v>0</v>
      </c>
      <c r="L322" t="s">
        <v>8</v>
      </c>
      <c r="M322" t="s">
        <v>7</v>
      </c>
      <c r="N322" t="s">
        <v>7</v>
      </c>
      <c r="P322">
        <f t="shared" si="964"/>
        <v>0.8908296943231433</v>
      </c>
      <c r="Q322">
        <f t="shared" si="965"/>
        <v>4420065.7996506514</v>
      </c>
      <c r="R322">
        <f t="shared" si="966"/>
        <v>-70221758.371455565</v>
      </c>
      <c r="S322">
        <f t="shared" si="967"/>
        <v>-702.21758371455564</v>
      </c>
      <c r="T322">
        <f t="shared" si="968"/>
        <v>-0.70221758371455567</v>
      </c>
    </row>
    <row r="323" spans="1:20" x14ac:dyDescent="0.25">
      <c r="A323" s="5">
        <v>44270</v>
      </c>
      <c r="B323">
        <v>1.4367000000000001</v>
      </c>
      <c r="C323">
        <v>1.4959</v>
      </c>
      <c r="D323">
        <v>1.2846</v>
      </c>
      <c r="E323">
        <v>1.3694</v>
      </c>
      <c r="F323">
        <v>2241698.4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-0.19734973970657863</v>
      </c>
      <c r="Q323">
        <f t="shared" si="965"/>
        <v>-442398.59574065375</v>
      </c>
      <c r="R323">
        <f t="shared" si="966"/>
        <v>-74641824.171106219</v>
      </c>
      <c r="S323">
        <f t="shared" si="967"/>
        <v>-746.41824171106214</v>
      </c>
      <c r="T323">
        <f t="shared" si="968"/>
        <v>-0.74641824171106219</v>
      </c>
    </row>
    <row r="324" spans="1:20" x14ac:dyDescent="0.25">
      <c r="A324" s="5">
        <v>44269</v>
      </c>
      <c r="B324">
        <v>1.5053000000000001</v>
      </c>
      <c r="C324">
        <v>1.5109999999999999</v>
      </c>
      <c r="D324">
        <v>1.3815999999999999</v>
      </c>
      <c r="E324">
        <v>1.4361999999999999</v>
      </c>
      <c r="F324">
        <v>2653230.29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-0.15610510046367854</v>
      </c>
      <c r="Q324">
        <f t="shared" si="965"/>
        <v>-414182.78097372496</v>
      </c>
      <c r="R324">
        <f t="shared" si="966"/>
        <v>-74199425.575365558</v>
      </c>
      <c r="S324">
        <f t="shared" si="967"/>
        <v>-741.99425575365558</v>
      </c>
      <c r="T324">
        <f t="shared" si="968"/>
        <v>-0.74199425575365563</v>
      </c>
    </row>
    <row r="325" spans="1:20" x14ac:dyDescent="0.25">
      <c r="A325" s="5">
        <v>44268</v>
      </c>
      <c r="B325">
        <v>1.5619000000000001</v>
      </c>
      <c r="C325">
        <v>1.8</v>
      </c>
      <c r="D325">
        <v>1.4587000000000001</v>
      </c>
      <c r="E325">
        <v>1.5054000000000001</v>
      </c>
      <c r="F325">
        <v>8025334.0599999996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-0.72634046293583376</v>
      </c>
      <c r="Q325">
        <f t="shared" si="965"/>
        <v>-5829124.8563551139</v>
      </c>
      <c r="R325">
        <f t="shared" si="966"/>
        <v>-73785242.794391841</v>
      </c>
      <c r="S325">
        <f t="shared" si="967"/>
        <v>-737.85242794391843</v>
      </c>
      <c r="T325">
        <f t="shared" si="968"/>
        <v>-0.73785242794391848</v>
      </c>
    </row>
    <row r="326" spans="1:20" x14ac:dyDescent="0.25">
      <c r="A326" s="5">
        <v>44267</v>
      </c>
      <c r="B326">
        <v>1.3016000000000001</v>
      </c>
      <c r="C326">
        <v>1.9025000000000001</v>
      </c>
      <c r="D326">
        <v>1.2612000000000001</v>
      </c>
      <c r="E326">
        <v>1.5624</v>
      </c>
      <c r="F326">
        <v>16741976.390000001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-6.0658038359582347E-2</v>
      </c>
      <c r="Q326">
        <f t="shared" ref="Q326:Q389" si="970">F326*P326</f>
        <v>-1015535.446079842</v>
      </c>
      <c r="R326">
        <f t="shared" ref="R326:R389" si="971">R327+Q326</f>
        <v>-67956117.938036725</v>
      </c>
      <c r="S326">
        <f t="shared" ref="S326:S389" si="972">R326/100000</f>
        <v>-679.56117938036721</v>
      </c>
      <c r="T326">
        <f t="shared" ref="T326:T389" si="973">S326/1000</f>
        <v>-0.6795611793803672</v>
      </c>
    </row>
    <row r="327" spans="1:20" x14ac:dyDescent="0.25">
      <c r="A327" s="5">
        <v>44266</v>
      </c>
      <c r="B327">
        <v>1.2819</v>
      </c>
      <c r="C327">
        <v>1.3089999999999999</v>
      </c>
      <c r="D327">
        <v>1.2153</v>
      </c>
      <c r="E327">
        <v>1.2977000000000001</v>
      </c>
      <c r="F327">
        <v>1074100.3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0.75880469583778276</v>
      </c>
      <c r="Q327">
        <f t="shared" si="970"/>
        <v>815032.35144077125</v>
      </c>
      <c r="R327">
        <f t="shared" si="971"/>
        <v>-66940582.49195689</v>
      </c>
      <c r="S327">
        <f t="shared" si="972"/>
        <v>-669.40582491956889</v>
      </c>
      <c r="T327">
        <f t="shared" si="973"/>
        <v>-0.6694058249195689</v>
      </c>
    </row>
    <row r="328" spans="1:20" x14ac:dyDescent="0.25">
      <c r="A328" s="5">
        <v>44265</v>
      </c>
      <c r="B328">
        <v>1.3399000000000001</v>
      </c>
      <c r="C328">
        <v>1.34</v>
      </c>
      <c r="D328">
        <v>1.2454000000000001</v>
      </c>
      <c r="E328">
        <v>1.2811999999999999</v>
      </c>
      <c r="F328">
        <v>1181100.75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-0.24312896405920031</v>
      </c>
      <c r="Q328">
        <f t="shared" si="970"/>
        <v>-287159.80179704452</v>
      </c>
      <c r="R328">
        <f t="shared" si="971"/>
        <v>-67755614.843397662</v>
      </c>
      <c r="S328">
        <f t="shared" si="972"/>
        <v>-677.55614843397666</v>
      </c>
      <c r="T328">
        <f t="shared" si="973"/>
        <v>-0.67755614843397671</v>
      </c>
    </row>
    <row r="329" spans="1:20" x14ac:dyDescent="0.25">
      <c r="A329" s="5">
        <v>44264</v>
      </c>
      <c r="B329">
        <v>1.3089999999999999</v>
      </c>
      <c r="C329">
        <v>1.34</v>
      </c>
      <c r="D329">
        <v>1.2606999999999999</v>
      </c>
      <c r="E329">
        <v>1.34</v>
      </c>
      <c r="F329">
        <v>1293540.9099999999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1</v>
      </c>
      <c r="Q329">
        <f t="shared" si="970"/>
        <v>1293540.9099999999</v>
      </c>
      <c r="R329">
        <f t="shared" si="971"/>
        <v>-67468455.041600615</v>
      </c>
      <c r="S329">
        <f t="shared" si="972"/>
        <v>-674.68455041600612</v>
      </c>
      <c r="T329">
        <f t="shared" si="973"/>
        <v>-0.67468455041600617</v>
      </c>
    </row>
    <row r="330" spans="1:20" x14ac:dyDescent="0.25">
      <c r="A330" s="5">
        <v>44263</v>
      </c>
      <c r="B330">
        <v>1.3347</v>
      </c>
      <c r="C330">
        <v>1.34</v>
      </c>
      <c r="D330">
        <v>1.2331000000000001</v>
      </c>
      <c r="E330">
        <v>1.3079000000000001</v>
      </c>
      <c r="F330">
        <v>1206018.98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0.3994387277829744</v>
      </c>
      <c r="Q330">
        <f t="shared" si="970"/>
        <v>481730.68705332046</v>
      </c>
      <c r="R330">
        <f t="shared" si="971"/>
        <v>-68761995.951600611</v>
      </c>
      <c r="S330">
        <f t="shared" si="972"/>
        <v>-687.61995951600613</v>
      </c>
      <c r="T330">
        <f t="shared" si="973"/>
        <v>-0.68761995951600619</v>
      </c>
    </row>
    <row r="331" spans="1:20" x14ac:dyDescent="0.25">
      <c r="A331" s="5">
        <v>44262</v>
      </c>
      <c r="B331">
        <v>1.2895000000000001</v>
      </c>
      <c r="C331">
        <v>1.3683000000000001</v>
      </c>
      <c r="D331">
        <v>1.2589999999999999</v>
      </c>
      <c r="E331">
        <v>1.3325</v>
      </c>
      <c r="F331">
        <v>1236487.6399999999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0.34492223238792319</v>
      </c>
      <c r="Q331">
        <f t="shared" si="970"/>
        <v>426492.07710887468</v>
      </c>
      <c r="R331">
        <f t="shared" si="971"/>
        <v>-69243726.638653934</v>
      </c>
      <c r="S331">
        <f t="shared" si="972"/>
        <v>-692.43726638653936</v>
      </c>
      <c r="T331">
        <f t="shared" si="973"/>
        <v>-0.69243726638653935</v>
      </c>
    </row>
    <row r="332" spans="1:20" x14ac:dyDescent="0.25">
      <c r="A332" s="5">
        <v>44261</v>
      </c>
      <c r="B332">
        <v>1.2335</v>
      </c>
      <c r="C332">
        <v>1.385</v>
      </c>
      <c r="D332">
        <v>1.2068000000000001</v>
      </c>
      <c r="E332">
        <v>1.2846</v>
      </c>
      <c r="F332">
        <v>3617687.29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-0.12682379349046119</v>
      </c>
      <c r="Q332">
        <f t="shared" si="970"/>
        <v>-458808.82578002621</v>
      </c>
      <c r="R332">
        <f t="shared" si="971"/>
        <v>-69670218.715762809</v>
      </c>
      <c r="S332">
        <f t="shared" si="972"/>
        <v>-696.70218715762815</v>
      </c>
      <c r="T332">
        <f t="shared" si="973"/>
        <v>-0.69670218715762811</v>
      </c>
    </row>
    <row r="333" spans="1:20" x14ac:dyDescent="0.25">
      <c r="A333" s="5">
        <v>44260</v>
      </c>
      <c r="B333">
        <v>1.252</v>
      </c>
      <c r="C333">
        <v>1.2565</v>
      </c>
      <c r="D333">
        <v>1.1516999999999999</v>
      </c>
      <c r="E333">
        <v>1.2349000000000001</v>
      </c>
      <c r="F333">
        <v>1220196.03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0.58778625954198782</v>
      </c>
      <c r="Q333">
        <f t="shared" si="970"/>
        <v>717214.4603816832</v>
      </c>
      <c r="R333">
        <f t="shared" si="971"/>
        <v>-69211409.88998279</v>
      </c>
      <c r="S333">
        <f t="shared" si="972"/>
        <v>-692.11409889982792</v>
      </c>
      <c r="T333">
        <f t="shared" si="973"/>
        <v>-0.69211409889982789</v>
      </c>
    </row>
    <row r="334" spans="1:20" x14ac:dyDescent="0.25">
      <c r="A334" s="5">
        <v>44259</v>
      </c>
      <c r="B334">
        <v>1.3291999999999999</v>
      </c>
      <c r="C334">
        <v>1.3319000000000001</v>
      </c>
      <c r="D334">
        <v>1.2024999999999999</v>
      </c>
      <c r="E334">
        <v>1.256</v>
      </c>
      <c r="F334">
        <v>1663986.77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-0.17310664605873219</v>
      </c>
      <c r="Q334">
        <f t="shared" si="970"/>
        <v>-288047.16884080303</v>
      </c>
      <c r="R334">
        <f t="shared" si="971"/>
        <v>-69928624.350364476</v>
      </c>
      <c r="S334">
        <f t="shared" si="972"/>
        <v>-699.28624350364476</v>
      </c>
      <c r="T334">
        <f t="shared" si="973"/>
        <v>-0.69928624350364477</v>
      </c>
    </row>
    <row r="335" spans="1:20" x14ac:dyDescent="0.25">
      <c r="A335" s="5">
        <v>44258</v>
      </c>
      <c r="B335">
        <v>1.3089</v>
      </c>
      <c r="C335">
        <v>1.3711</v>
      </c>
      <c r="D335">
        <v>1.2622</v>
      </c>
      <c r="E335">
        <v>1.3288</v>
      </c>
      <c r="F335">
        <v>3124466.88</v>
      </c>
      <c r="G335">
        <v>0</v>
      </c>
      <c r="L335" t="s">
        <v>8</v>
      </c>
      <c r="M335" t="s">
        <v>7</v>
      </c>
      <c r="N335" t="s">
        <v>8</v>
      </c>
      <c r="P335">
        <f t="shared" si="969"/>
        <v>0.22314049586776849</v>
      </c>
      <c r="Q335">
        <f t="shared" si="970"/>
        <v>697195.08892561949</v>
      </c>
      <c r="R335">
        <f t="shared" si="971"/>
        <v>-69640577.181523681</v>
      </c>
      <c r="S335">
        <f t="shared" si="972"/>
        <v>-696.40577181523679</v>
      </c>
      <c r="T335">
        <f t="shared" si="973"/>
        <v>-0.69640577181523677</v>
      </c>
    </row>
    <row r="336" spans="1:20" x14ac:dyDescent="0.25">
      <c r="A336" s="5">
        <v>44257</v>
      </c>
      <c r="B336">
        <v>1.385</v>
      </c>
      <c r="C336">
        <v>1.385</v>
      </c>
      <c r="D336">
        <v>1.2299</v>
      </c>
      <c r="E336">
        <v>1.3089</v>
      </c>
      <c r="F336">
        <v>5025093.1399999997</v>
      </c>
      <c r="G336">
        <v>0</v>
      </c>
      <c r="L336" t="s">
        <v>7</v>
      </c>
      <c r="M336" t="s">
        <v>7</v>
      </c>
      <c r="N336" t="s">
        <v>8</v>
      </c>
      <c r="P336">
        <f t="shared" si="969"/>
        <v>1.8697614442294664E-2</v>
      </c>
      <c r="Q336">
        <f t="shared" si="970"/>
        <v>93957.25406833984</v>
      </c>
      <c r="R336">
        <f t="shared" si="971"/>
        <v>-70337772.270449296</v>
      </c>
      <c r="S336">
        <f t="shared" si="972"/>
        <v>-703.37772270449295</v>
      </c>
      <c r="T336">
        <f t="shared" si="973"/>
        <v>-0.70337772270449295</v>
      </c>
    </row>
    <row r="337" spans="1:20" x14ac:dyDescent="0.25">
      <c r="A337" s="5">
        <v>44256</v>
      </c>
      <c r="B337">
        <v>1.2928999999999999</v>
      </c>
      <c r="C337">
        <v>1.5358000000000001</v>
      </c>
      <c r="D337">
        <v>1.1745000000000001</v>
      </c>
      <c r="E337">
        <v>1.383</v>
      </c>
      <c r="F337">
        <v>17781755.719999999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0.15416551342374721</v>
      </c>
      <c r="Q337">
        <f t="shared" si="970"/>
        <v>2741333.5001494535</v>
      </c>
      <c r="R337">
        <f t="shared" si="971"/>
        <v>-70431729.52451764</v>
      </c>
      <c r="S337">
        <f t="shared" si="972"/>
        <v>-704.31729524517641</v>
      </c>
      <c r="T337">
        <f t="shared" si="973"/>
        <v>-0.70431729524517639</v>
      </c>
    </row>
    <row r="338" spans="1:20" x14ac:dyDescent="0.25">
      <c r="A338" s="5">
        <v>44255</v>
      </c>
      <c r="B338">
        <v>1.1353</v>
      </c>
      <c r="C338">
        <v>1.6236999999999999</v>
      </c>
      <c r="D338">
        <v>0.98340000000000005</v>
      </c>
      <c r="E338">
        <v>1.2928999999999999</v>
      </c>
      <c r="F338">
        <v>61051360.549999997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-3.3265656723411058E-2</v>
      </c>
      <c r="Q338">
        <f t="shared" si="970"/>
        <v>-2030913.6025535001</v>
      </c>
      <c r="R338">
        <f t="shared" si="971"/>
        <v>-73173063.024667099</v>
      </c>
      <c r="S338">
        <f t="shared" si="972"/>
        <v>-731.73063024667101</v>
      </c>
      <c r="T338">
        <f t="shared" si="973"/>
        <v>-0.73173063024667107</v>
      </c>
    </row>
    <row r="339" spans="1:20" x14ac:dyDescent="0.25">
      <c r="A339" s="5">
        <v>44254</v>
      </c>
      <c r="B339">
        <v>0.879</v>
      </c>
      <c r="C339">
        <v>1.76</v>
      </c>
      <c r="D339">
        <v>0.84279999999999999</v>
      </c>
      <c r="E339">
        <v>1.1394</v>
      </c>
      <c r="F339">
        <v>60501712.380000003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-0.35324901875272574</v>
      </c>
      <c r="Q339">
        <f t="shared" si="970"/>
        <v>-21372170.53109464</v>
      </c>
      <c r="R339">
        <f t="shared" si="971"/>
        <v>-71142149.422113597</v>
      </c>
      <c r="S339">
        <f t="shared" si="972"/>
        <v>-711.42149422113596</v>
      </c>
      <c r="T339">
        <f t="shared" si="973"/>
        <v>-0.71142149422113599</v>
      </c>
    </row>
    <row r="340" spans="1:20" x14ac:dyDescent="0.25">
      <c r="A340" s="5">
        <v>44253</v>
      </c>
      <c r="B340">
        <v>0.79679999999999995</v>
      </c>
      <c r="C340">
        <v>0.88339999999999996</v>
      </c>
      <c r="D340">
        <v>0.72799999999999998</v>
      </c>
      <c r="E340">
        <v>0.88329999999999997</v>
      </c>
      <c r="F340">
        <v>1161413.96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0.9987129987129989</v>
      </c>
      <c r="Q340">
        <f t="shared" si="970"/>
        <v>1159919.2187387389</v>
      </c>
      <c r="R340">
        <f t="shared" si="971"/>
        <v>-49769978.891018957</v>
      </c>
      <c r="S340">
        <f t="shared" si="972"/>
        <v>-497.69978891018957</v>
      </c>
      <c r="T340">
        <f t="shared" si="973"/>
        <v>-0.49769978891018957</v>
      </c>
    </row>
    <row r="341" spans="1:20" x14ac:dyDescent="0.25">
      <c r="A341" s="5">
        <v>44252</v>
      </c>
      <c r="B341">
        <v>0.81689999999999996</v>
      </c>
      <c r="C341">
        <v>0.91649999999999998</v>
      </c>
      <c r="D341">
        <v>0.79010000000000002</v>
      </c>
      <c r="E341">
        <v>0.79679999999999995</v>
      </c>
      <c r="F341">
        <v>2342176.9500000002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-0.893987341772153</v>
      </c>
      <c r="Q341">
        <f t="shared" si="970"/>
        <v>-2093876.5454905091</v>
      </c>
      <c r="R341">
        <f t="shared" si="971"/>
        <v>-50929898.109757699</v>
      </c>
      <c r="S341">
        <f t="shared" si="972"/>
        <v>-509.29898109757698</v>
      </c>
      <c r="T341">
        <f t="shared" si="973"/>
        <v>-0.50929898109757699</v>
      </c>
    </row>
    <row r="342" spans="1:20" x14ac:dyDescent="0.25">
      <c r="A342" s="5">
        <v>44251</v>
      </c>
      <c r="B342">
        <v>0.7601</v>
      </c>
      <c r="C342">
        <v>0.85340000000000005</v>
      </c>
      <c r="D342">
        <v>0.70950000000000002</v>
      </c>
      <c r="E342">
        <v>0.81930000000000003</v>
      </c>
      <c r="F342">
        <v>2594445.86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0.52605976372480867</v>
      </c>
      <c r="Q342">
        <f t="shared" si="970"/>
        <v>1364833.5761084079</v>
      </c>
      <c r="R342">
        <f t="shared" si="971"/>
        <v>-48836021.564267188</v>
      </c>
      <c r="S342">
        <f t="shared" si="972"/>
        <v>-488.3602156426719</v>
      </c>
      <c r="T342">
        <f t="shared" si="973"/>
        <v>-0.4883602156426719</v>
      </c>
    </row>
    <row r="343" spans="1:20" x14ac:dyDescent="0.25">
      <c r="A343" s="5">
        <v>44250</v>
      </c>
      <c r="B343">
        <v>0.99199999999999999</v>
      </c>
      <c r="C343">
        <v>1.0394000000000001</v>
      </c>
      <c r="D343">
        <v>0.6361</v>
      </c>
      <c r="E343">
        <v>0.7601</v>
      </c>
      <c r="F343">
        <v>2378234.9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-0.38507314654103664</v>
      </c>
      <c r="Q343">
        <f t="shared" si="970"/>
        <v>-915794.39615670755</v>
      </c>
      <c r="R343">
        <f t="shared" si="971"/>
        <v>-50200855.140375599</v>
      </c>
      <c r="S343">
        <f t="shared" si="972"/>
        <v>-502.00855140375597</v>
      </c>
      <c r="T343">
        <f t="shared" si="973"/>
        <v>-0.502008551403756</v>
      </c>
    </row>
    <row r="344" spans="1:20" x14ac:dyDescent="0.25">
      <c r="A344" s="5">
        <v>44249</v>
      </c>
      <c r="B344">
        <v>1.1041000000000001</v>
      </c>
      <c r="C344">
        <v>1.1295999999999999</v>
      </c>
      <c r="D344">
        <v>0.8286</v>
      </c>
      <c r="E344">
        <v>0.99109999999999998</v>
      </c>
      <c r="F344">
        <v>2939385.37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7.9734219269103082E-2</v>
      </c>
      <c r="Q344">
        <f t="shared" si="970"/>
        <v>234369.5976079737</v>
      </c>
      <c r="R344">
        <f t="shared" si="971"/>
        <v>-49285060.744218893</v>
      </c>
      <c r="S344">
        <f t="shared" si="972"/>
        <v>-492.85060744218896</v>
      </c>
      <c r="T344">
        <f t="shared" si="973"/>
        <v>-0.49285060744218895</v>
      </c>
    </row>
    <row r="345" spans="1:20" x14ac:dyDescent="0.25">
      <c r="A345" s="5">
        <v>44248</v>
      </c>
      <c r="B345">
        <v>0.96970000000000001</v>
      </c>
      <c r="C345">
        <v>1.28</v>
      </c>
      <c r="D345">
        <v>0.95609999999999995</v>
      </c>
      <c r="E345">
        <v>1.1005</v>
      </c>
      <c r="F345">
        <v>5979545.5800000001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-0.10836677987033004</v>
      </c>
      <c r="Q345">
        <f t="shared" si="970"/>
        <v>-647984.09959246498</v>
      </c>
      <c r="R345">
        <f t="shared" si="971"/>
        <v>-49519430.341826864</v>
      </c>
      <c r="S345">
        <f t="shared" si="972"/>
        <v>-495.19430341826865</v>
      </c>
      <c r="T345">
        <f t="shared" si="973"/>
        <v>-0.49519430341826864</v>
      </c>
    </row>
    <row r="346" spans="1:20" x14ac:dyDescent="0.25">
      <c r="A346" s="5">
        <v>44247</v>
      </c>
      <c r="B346">
        <v>1.0349999999999999</v>
      </c>
      <c r="C346">
        <v>1.0627</v>
      </c>
      <c r="D346">
        <v>0.93340000000000001</v>
      </c>
      <c r="E346">
        <v>0.97030000000000005</v>
      </c>
      <c r="F346">
        <v>1745854.31</v>
      </c>
      <c r="G346">
        <v>0</v>
      </c>
      <c r="L346" t="s">
        <v>8</v>
      </c>
      <c r="M346" t="s">
        <v>7</v>
      </c>
      <c r="N346" t="s">
        <v>8</v>
      </c>
      <c r="P346">
        <f t="shared" si="969"/>
        <v>-0.42923433874709899</v>
      </c>
      <c r="Q346">
        <f t="shared" si="970"/>
        <v>-749380.62030162278</v>
      </c>
      <c r="R346">
        <f t="shared" si="971"/>
        <v>-48871446.242234401</v>
      </c>
      <c r="S346">
        <f t="shared" si="972"/>
        <v>-488.71446242234401</v>
      </c>
      <c r="T346">
        <f t="shared" si="973"/>
        <v>-0.48871446242234401</v>
      </c>
    </row>
    <row r="347" spans="1:20" x14ac:dyDescent="0.25">
      <c r="A347" s="5">
        <v>44246</v>
      </c>
      <c r="B347">
        <v>1.012</v>
      </c>
      <c r="C347">
        <v>1.0444</v>
      </c>
      <c r="D347">
        <v>0.91579999999999995</v>
      </c>
      <c r="E347">
        <v>1.0303</v>
      </c>
      <c r="F347">
        <v>3734428.7</v>
      </c>
      <c r="G347">
        <v>0</v>
      </c>
      <c r="L347" t="s">
        <v>7</v>
      </c>
      <c r="M347" t="s">
        <v>7</v>
      </c>
      <c r="N347" t="s">
        <v>8</v>
      </c>
      <c r="P347">
        <f t="shared" si="969"/>
        <v>0.78071539657853817</v>
      </c>
      <c r="Q347">
        <f t="shared" si="970"/>
        <v>2915525.9835147751</v>
      </c>
      <c r="R347">
        <f t="shared" si="971"/>
        <v>-48122065.621932782</v>
      </c>
      <c r="S347">
        <f t="shared" si="972"/>
        <v>-481.22065621932785</v>
      </c>
      <c r="T347">
        <f t="shared" si="973"/>
        <v>-0.48122065621932786</v>
      </c>
    </row>
    <row r="348" spans="1:20" x14ac:dyDescent="0.25">
      <c r="A348" s="5">
        <v>44245</v>
      </c>
      <c r="B348">
        <v>0.85099999999999998</v>
      </c>
      <c r="C348">
        <v>1.2319</v>
      </c>
      <c r="D348">
        <v>0.85009999999999997</v>
      </c>
      <c r="E348">
        <v>1.012</v>
      </c>
      <c r="F348">
        <v>21802060.059999999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-0.15191199580932407</v>
      </c>
      <c r="Q348">
        <f t="shared" si="970"/>
        <v>-3311994.4564693514</v>
      </c>
      <c r="R348">
        <f t="shared" si="971"/>
        <v>-51037591.605447561</v>
      </c>
      <c r="S348">
        <f t="shared" si="972"/>
        <v>-510.37591605447562</v>
      </c>
      <c r="T348">
        <f t="shared" si="973"/>
        <v>-0.51037591605447563</v>
      </c>
    </row>
    <row r="349" spans="1:20" x14ac:dyDescent="0.25">
      <c r="A349" s="5">
        <v>44244</v>
      </c>
      <c r="B349">
        <v>0.81210000000000004</v>
      </c>
      <c r="C349">
        <v>0.88700000000000001</v>
      </c>
      <c r="D349">
        <v>0.75249999999999995</v>
      </c>
      <c r="E349">
        <v>0.84730000000000005</v>
      </c>
      <c r="F349">
        <v>3640583.8</v>
      </c>
      <c r="G349">
        <v>0</v>
      </c>
      <c r="L349" t="s">
        <v>7</v>
      </c>
      <c r="M349" t="s">
        <v>8</v>
      </c>
      <c r="N349" t="s">
        <v>7</v>
      </c>
      <c r="P349">
        <f t="shared" si="969"/>
        <v>0.40966542750929458</v>
      </c>
      <c r="Q349">
        <f t="shared" si="970"/>
        <v>1491421.3188104122</v>
      </c>
      <c r="R349">
        <f t="shared" si="971"/>
        <v>-47725597.148978211</v>
      </c>
      <c r="S349">
        <f t="shared" si="972"/>
        <v>-477.2559714897821</v>
      </c>
      <c r="T349">
        <f t="shared" si="973"/>
        <v>-0.4772559714897821</v>
      </c>
    </row>
    <row r="350" spans="1:20" x14ac:dyDescent="0.25">
      <c r="A350" s="5">
        <v>44243</v>
      </c>
      <c r="B350">
        <v>0.78869999999999996</v>
      </c>
      <c r="C350">
        <v>0.88949999999999996</v>
      </c>
      <c r="D350">
        <v>0.78420000000000001</v>
      </c>
      <c r="E350">
        <v>0.80869999999999997</v>
      </c>
      <c r="F350">
        <v>3805154.26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-0.53466286799620177</v>
      </c>
      <c r="Q350">
        <f t="shared" si="970"/>
        <v>-2034474.6898195648</v>
      </c>
      <c r="R350">
        <f t="shared" si="971"/>
        <v>-49217018.467788622</v>
      </c>
      <c r="S350">
        <f t="shared" si="972"/>
        <v>-492.1701846778862</v>
      </c>
      <c r="T350">
        <f t="shared" si="973"/>
        <v>-0.4921701846778862</v>
      </c>
    </row>
    <row r="351" spans="1:20" x14ac:dyDescent="0.25">
      <c r="A351" s="5">
        <v>44242</v>
      </c>
      <c r="B351">
        <v>0.82179999999999997</v>
      </c>
      <c r="C351">
        <v>0.83689999999999998</v>
      </c>
      <c r="D351">
        <v>0.68</v>
      </c>
      <c r="E351">
        <v>0.78739999999999999</v>
      </c>
      <c r="F351">
        <v>1839685.98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0.3690248565965582</v>
      </c>
      <c r="Q351">
        <f t="shared" si="970"/>
        <v>678889.85495219869</v>
      </c>
      <c r="R351">
        <f t="shared" si="971"/>
        <v>-47182543.777969055</v>
      </c>
      <c r="S351">
        <f t="shared" si="972"/>
        <v>-471.82543777969056</v>
      </c>
      <c r="T351">
        <f t="shared" si="973"/>
        <v>-0.47182543777969055</v>
      </c>
    </row>
    <row r="352" spans="1:20" x14ac:dyDescent="0.25">
      <c r="A352" s="5">
        <v>44241</v>
      </c>
      <c r="B352">
        <v>0.87370000000000003</v>
      </c>
      <c r="C352">
        <v>0.91</v>
      </c>
      <c r="D352">
        <v>0.78300000000000003</v>
      </c>
      <c r="E352">
        <v>0.82599999999999996</v>
      </c>
      <c r="F352">
        <v>2720919.14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-0.32283464566929249</v>
      </c>
      <c r="Q352">
        <f t="shared" si="970"/>
        <v>-878406.96645669604</v>
      </c>
      <c r="R352">
        <f t="shared" si="971"/>
        <v>-47861433.632921256</v>
      </c>
      <c r="S352">
        <f t="shared" si="972"/>
        <v>-478.61433632921256</v>
      </c>
      <c r="T352">
        <f t="shared" si="973"/>
        <v>-0.47861433632921258</v>
      </c>
    </row>
    <row r="353" spans="1:20" x14ac:dyDescent="0.25">
      <c r="A353" s="5">
        <v>44240</v>
      </c>
      <c r="B353">
        <v>0.89170000000000005</v>
      </c>
      <c r="C353">
        <v>0.91990000000000005</v>
      </c>
      <c r="D353">
        <v>0.79190000000000005</v>
      </c>
      <c r="E353">
        <v>0.874</v>
      </c>
      <c r="F353">
        <v>2282454.19</v>
      </c>
      <c r="G353">
        <v>0</v>
      </c>
      <c r="L353" t="s">
        <v>7</v>
      </c>
      <c r="M353" t="s">
        <v>8</v>
      </c>
      <c r="N353" t="s">
        <v>8</v>
      </c>
      <c r="P353">
        <f t="shared" si="969"/>
        <v>0.28281249999999919</v>
      </c>
      <c r="Q353">
        <f t="shared" si="970"/>
        <v>645506.57560937316</v>
      </c>
      <c r="R353">
        <f t="shared" si="971"/>
        <v>-46983026.66646456</v>
      </c>
      <c r="S353">
        <f t="shared" si="972"/>
        <v>-469.83026666464559</v>
      </c>
      <c r="T353">
        <f t="shared" si="973"/>
        <v>-0.46983026666464561</v>
      </c>
    </row>
    <row r="354" spans="1:20" x14ac:dyDescent="0.25">
      <c r="A354" s="5">
        <v>44239</v>
      </c>
      <c r="B354">
        <v>0.77339999999999998</v>
      </c>
      <c r="C354">
        <v>0.95</v>
      </c>
      <c r="D354">
        <v>0.76939999999999997</v>
      </c>
      <c r="E354">
        <v>0.88880000000000003</v>
      </c>
      <c r="F354">
        <v>8407379.8200000003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0.32225913621262542</v>
      </c>
      <c r="Q354">
        <f t="shared" si="970"/>
        <v>2709354.9586046585</v>
      </c>
      <c r="R354">
        <f t="shared" si="971"/>
        <v>-47628533.242073931</v>
      </c>
      <c r="S354">
        <f t="shared" si="972"/>
        <v>-476.28533242073928</v>
      </c>
      <c r="T354">
        <f t="shared" si="973"/>
        <v>-0.47628533242073928</v>
      </c>
    </row>
    <row r="355" spans="1:20" x14ac:dyDescent="0.25">
      <c r="A355" s="5">
        <v>44238</v>
      </c>
      <c r="B355">
        <v>0.69720000000000004</v>
      </c>
      <c r="C355">
        <v>0.88</v>
      </c>
      <c r="D355">
        <v>0.66820000000000002</v>
      </c>
      <c r="E355">
        <v>0.7732</v>
      </c>
      <c r="F355">
        <v>6209904.7800000003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-8.4985835694052127E-3</v>
      </c>
      <c r="Q355">
        <f t="shared" si="970"/>
        <v>-52775.394730878892</v>
      </c>
      <c r="R355">
        <f t="shared" si="971"/>
        <v>-50337888.200678587</v>
      </c>
      <c r="S355">
        <f t="shared" si="972"/>
        <v>-503.37888200678589</v>
      </c>
      <c r="T355">
        <f t="shared" si="973"/>
        <v>-0.50337888200678593</v>
      </c>
    </row>
    <row r="356" spans="1:20" x14ac:dyDescent="0.25">
      <c r="A356" s="5">
        <v>44237</v>
      </c>
      <c r="B356">
        <v>0.70909999999999995</v>
      </c>
      <c r="C356">
        <v>0.73299999999999998</v>
      </c>
      <c r="D356">
        <v>0.63880000000000003</v>
      </c>
      <c r="E356">
        <v>0.69689999999999996</v>
      </c>
      <c r="F356">
        <v>3016285.76</v>
      </c>
      <c r="G356">
        <v>0</v>
      </c>
      <c r="L356" t="s">
        <v>7</v>
      </c>
      <c r="M356" t="s">
        <v>7</v>
      </c>
      <c r="N356" t="s">
        <v>7</v>
      </c>
      <c r="P356">
        <f t="shared" si="969"/>
        <v>0.23354564755838556</v>
      </c>
      <c r="Q356">
        <f t="shared" si="970"/>
        <v>704440.41104033706</v>
      </c>
      <c r="R356">
        <f t="shared" si="971"/>
        <v>-50285112.805947706</v>
      </c>
      <c r="S356">
        <f t="shared" si="972"/>
        <v>-502.85112805947705</v>
      </c>
      <c r="T356">
        <f t="shared" si="973"/>
        <v>-0.50285112805947707</v>
      </c>
    </row>
    <row r="357" spans="1:20" x14ac:dyDescent="0.25">
      <c r="A357" s="5">
        <v>44236</v>
      </c>
      <c r="B357">
        <v>0.66600000000000004</v>
      </c>
      <c r="C357">
        <v>0.75</v>
      </c>
      <c r="D357">
        <v>0.64370000000000005</v>
      </c>
      <c r="E357">
        <v>0.71140000000000003</v>
      </c>
      <c r="F357">
        <v>11303179.82</v>
      </c>
      <c r="G357">
        <v>0</v>
      </c>
      <c r="L357" t="s">
        <v>8</v>
      </c>
      <c r="M357" t="s">
        <v>8</v>
      </c>
      <c r="N357" t="s">
        <v>7</v>
      </c>
      <c r="P357">
        <f t="shared" si="969"/>
        <v>0.27375352775164657</v>
      </c>
      <c r="Q357">
        <f t="shared" si="970"/>
        <v>3094285.3505362216</v>
      </c>
      <c r="R357">
        <f t="shared" si="971"/>
        <v>-50989553.216988042</v>
      </c>
      <c r="S357">
        <f t="shared" si="972"/>
        <v>-509.89553216988043</v>
      </c>
      <c r="T357">
        <f t="shared" si="973"/>
        <v>-0.50989553216988037</v>
      </c>
    </row>
    <row r="358" spans="1:20" x14ac:dyDescent="0.25">
      <c r="A358" s="5">
        <v>44235</v>
      </c>
      <c r="B358">
        <v>0.65449999999999997</v>
      </c>
      <c r="C358">
        <v>0.67269999999999996</v>
      </c>
      <c r="D358">
        <v>0.625</v>
      </c>
      <c r="E358">
        <v>0.66600000000000004</v>
      </c>
      <c r="F358">
        <v>2387791.14</v>
      </c>
      <c r="G358">
        <v>0</v>
      </c>
      <c r="L358" t="s">
        <v>8</v>
      </c>
      <c r="M358" t="s">
        <v>7</v>
      </c>
      <c r="N358" t="s">
        <v>7</v>
      </c>
      <c r="P358">
        <f t="shared" si="969"/>
        <v>0.71907756813417467</v>
      </c>
      <c r="Q358">
        <f t="shared" si="970"/>
        <v>1717007.0461635287</v>
      </c>
      <c r="R358">
        <f t="shared" si="971"/>
        <v>-54083838.567524262</v>
      </c>
      <c r="S358">
        <f t="shared" si="972"/>
        <v>-540.83838567524265</v>
      </c>
      <c r="T358">
        <f t="shared" si="973"/>
        <v>-0.54083838567524267</v>
      </c>
    </row>
    <row r="359" spans="1:20" x14ac:dyDescent="0.25">
      <c r="A359" s="5">
        <v>44234</v>
      </c>
      <c r="B359">
        <v>0.69589999999999996</v>
      </c>
      <c r="C359">
        <v>0.7399</v>
      </c>
      <c r="D359">
        <v>0.6119</v>
      </c>
      <c r="E359">
        <v>0.65469999999999995</v>
      </c>
      <c r="F359">
        <v>3226006.64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-0.33125000000000082</v>
      </c>
      <c r="Q359">
        <f t="shared" si="970"/>
        <v>-1068614.6995000027</v>
      </c>
      <c r="R359">
        <f t="shared" si="971"/>
        <v>-55800845.613687791</v>
      </c>
      <c r="S359">
        <f t="shared" si="972"/>
        <v>-558.00845613687795</v>
      </c>
      <c r="T359">
        <f t="shared" si="973"/>
        <v>-0.55800845613687799</v>
      </c>
    </row>
    <row r="360" spans="1:20" x14ac:dyDescent="0.25">
      <c r="A360" s="5">
        <v>44233</v>
      </c>
      <c r="B360">
        <v>0.80089999999999995</v>
      </c>
      <c r="C360">
        <v>0.80089999999999995</v>
      </c>
      <c r="D360">
        <v>0.66510000000000002</v>
      </c>
      <c r="E360">
        <v>0.69589999999999996</v>
      </c>
      <c r="F360">
        <v>5617298.1299999999</v>
      </c>
      <c r="G360">
        <v>0</v>
      </c>
      <c r="L360" t="s">
        <v>7</v>
      </c>
      <c r="M360" t="s">
        <v>7</v>
      </c>
      <c r="N360" t="s">
        <v>7</v>
      </c>
      <c r="P360">
        <f t="shared" si="969"/>
        <v>-0.5463917525773202</v>
      </c>
      <c r="Q360">
        <f t="shared" si="970"/>
        <v>-3069245.3700000034</v>
      </c>
      <c r="R360">
        <f t="shared" si="971"/>
        <v>-54732230.914187789</v>
      </c>
      <c r="S360">
        <f t="shared" si="972"/>
        <v>-547.32230914187789</v>
      </c>
      <c r="T360">
        <f t="shared" si="973"/>
        <v>-0.54732230914187785</v>
      </c>
    </row>
    <row r="361" spans="1:20" x14ac:dyDescent="0.25">
      <c r="A361" s="5">
        <v>44232</v>
      </c>
      <c r="B361">
        <v>0.53110000000000002</v>
      </c>
      <c r="C361">
        <v>1.0219</v>
      </c>
      <c r="D361">
        <v>0.52990000000000004</v>
      </c>
      <c r="E361">
        <v>0.80110000000000003</v>
      </c>
      <c r="F361">
        <v>41688283.740000002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0.10243902439024391</v>
      </c>
      <c r="Q361">
        <f t="shared" si="970"/>
        <v>4270507.1148292692</v>
      </c>
      <c r="R361">
        <f t="shared" si="971"/>
        <v>-51662985.544187784</v>
      </c>
      <c r="S361">
        <f t="shared" si="972"/>
        <v>-516.62985544187779</v>
      </c>
      <c r="T361">
        <f t="shared" si="973"/>
        <v>-0.51662985544187778</v>
      </c>
    </row>
    <row r="362" spans="1:20" x14ac:dyDescent="0.25">
      <c r="A362" s="5">
        <v>44231</v>
      </c>
      <c r="B362">
        <v>0.47199999999999998</v>
      </c>
      <c r="C362">
        <v>0.59</v>
      </c>
      <c r="D362">
        <v>0.46960000000000002</v>
      </c>
      <c r="E362">
        <v>0.52910000000000001</v>
      </c>
      <c r="F362">
        <v>14728835.08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-1.1627906976743832E-2</v>
      </c>
      <c r="Q362">
        <f t="shared" si="970"/>
        <v>-171265.52418604129</v>
      </c>
      <c r="R362">
        <f t="shared" si="971"/>
        <v>-55933492.659017056</v>
      </c>
      <c r="S362">
        <f t="shared" si="972"/>
        <v>-559.33492659017054</v>
      </c>
      <c r="T362">
        <f t="shared" si="973"/>
        <v>-0.55933492659017059</v>
      </c>
    </row>
    <row r="363" spans="1:20" x14ac:dyDescent="0.25">
      <c r="A363" s="5">
        <v>44230</v>
      </c>
      <c r="B363">
        <v>0.44579999999999997</v>
      </c>
      <c r="C363">
        <v>0.49790000000000001</v>
      </c>
      <c r="D363">
        <v>0.43740000000000001</v>
      </c>
      <c r="E363">
        <v>0.47210000000000002</v>
      </c>
      <c r="F363">
        <v>3006619.02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0.14710743801652926</v>
      </c>
      <c r="Q363">
        <f t="shared" si="970"/>
        <v>442296.02112396795</v>
      </c>
      <c r="R363">
        <f t="shared" si="971"/>
        <v>-55762227.134831011</v>
      </c>
      <c r="S363">
        <f t="shared" si="972"/>
        <v>-557.62227134831016</v>
      </c>
      <c r="T363">
        <f t="shared" si="973"/>
        <v>-0.55762227134831022</v>
      </c>
    </row>
    <row r="364" spans="1:20" x14ac:dyDescent="0.25">
      <c r="A364" s="5">
        <v>44229</v>
      </c>
      <c r="B364">
        <v>0.4194</v>
      </c>
      <c r="C364">
        <v>0.44579999999999997</v>
      </c>
      <c r="D364">
        <v>0.41639999999999999</v>
      </c>
      <c r="E364">
        <v>0.4451</v>
      </c>
      <c r="F364">
        <v>1438396.4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0.95238095238095377</v>
      </c>
      <c r="Q364">
        <f t="shared" si="970"/>
        <v>1369901.3333333354</v>
      </c>
      <c r="R364">
        <f t="shared" si="971"/>
        <v>-56204523.155954979</v>
      </c>
      <c r="S364">
        <f t="shared" si="972"/>
        <v>-562.04523155954985</v>
      </c>
      <c r="T364">
        <f t="shared" si="973"/>
        <v>-0.56204523155954988</v>
      </c>
    </row>
    <row r="365" spans="1:20" x14ac:dyDescent="0.25">
      <c r="A365" s="5">
        <v>44228</v>
      </c>
      <c r="B365">
        <v>0.4199</v>
      </c>
      <c r="C365">
        <v>0.42049999999999998</v>
      </c>
      <c r="D365">
        <v>0.40589999999999998</v>
      </c>
      <c r="E365">
        <v>0.41770000000000002</v>
      </c>
      <c r="F365">
        <v>819150.52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0.6164383561643878</v>
      </c>
      <c r="Q365">
        <f t="shared" si="970"/>
        <v>504955.80000000348</v>
      </c>
      <c r="R365">
        <f t="shared" si="971"/>
        <v>-57574424.489288315</v>
      </c>
      <c r="S365">
        <f t="shared" si="972"/>
        <v>-575.7442448928831</v>
      </c>
      <c r="T365">
        <f t="shared" si="973"/>
        <v>-0.57574424489288312</v>
      </c>
    </row>
    <row r="366" spans="1:20" x14ac:dyDescent="0.25">
      <c r="A366" s="5">
        <v>44227</v>
      </c>
      <c r="B366">
        <v>0.42399999999999999</v>
      </c>
      <c r="C366">
        <v>0.42449999999999999</v>
      </c>
      <c r="D366">
        <v>0.40189999999999998</v>
      </c>
      <c r="E366">
        <v>0.41889999999999999</v>
      </c>
      <c r="F366">
        <v>721645.51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0.50442477876106273</v>
      </c>
      <c r="Q366">
        <f t="shared" si="970"/>
        <v>364015.8767256643</v>
      </c>
      <c r="R366">
        <f t="shared" si="971"/>
        <v>-58079380.28928832</v>
      </c>
      <c r="S366">
        <f t="shared" si="972"/>
        <v>-580.79380289288315</v>
      </c>
      <c r="T366">
        <f t="shared" si="973"/>
        <v>-0.58079380289288318</v>
      </c>
    </row>
    <row r="367" spans="1:20" x14ac:dyDescent="0.25">
      <c r="A367" s="5">
        <v>44226</v>
      </c>
      <c r="B367">
        <v>0.41649999999999998</v>
      </c>
      <c r="C367">
        <v>0.42970000000000003</v>
      </c>
      <c r="D367">
        <v>0.4</v>
      </c>
      <c r="E367">
        <v>0.42399999999999999</v>
      </c>
      <c r="F367">
        <v>1012955.64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0.61616161616161358</v>
      </c>
      <c r="Q367">
        <f t="shared" si="970"/>
        <v>624144.3842424216</v>
      </c>
      <c r="R367">
        <f t="shared" si="971"/>
        <v>-58443396.166013986</v>
      </c>
      <c r="S367">
        <f t="shared" si="972"/>
        <v>-584.43396166013986</v>
      </c>
      <c r="T367">
        <f t="shared" si="973"/>
        <v>-0.58443396166013983</v>
      </c>
    </row>
    <row r="368" spans="1:20" x14ac:dyDescent="0.25">
      <c r="A368" s="5">
        <v>44225</v>
      </c>
      <c r="B368">
        <v>0.41460000000000002</v>
      </c>
      <c r="C368">
        <v>0.4274</v>
      </c>
      <c r="D368">
        <v>0.39510000000000001</v>
      </c>
      <c r="E368">
        <v>0.41639999999999999</v>
      </c>
      <c r="F368">
        <v>1657443.7</v>
      </c>
      <c r="G368">
        <v>0</v>
      </c>
      <c r="L368" t="s">
        <v>8</v>
      </c>
      <c r="M368" t="s">
        <v>7</v>
      </c>
      <c r="N368" t="s">
        <v>8</v>
      </c>
      <c r="P368">
        <f t="shared" si="969"/>
        <v>0.31888544891640797</v>
      </c>
      <c r="Q368">
        <f t="shared" si="970"/>
        <v>528534.67832817219</v>
      </c>
      <c r="R368">
        <f t="shared" si="971"/>
        <v>-59067540.550256409</v>
      </c>
      <c r="S368">
        <f t="shared" si="972"/>
        <v>-590.6754055025641</v>
      </c>
      <c r="T368">
        <f t="shared" si="973"/>
        <v>-0.59067540550256414</v>
      </c>
    </row>
    <row r="369" spans="1:20" x14ac:dyDescent="0.25">
      <c r="A369" s="5">
        <v>44224</v>
      </c>
      <c r="B369">
        <v>0.38769999999999999</v>
      </c>
      <c r="C369">
        <v>0.45279999999999998</v>
      </c>
      <c r="D369">
        <v>0.37840000000000001</v>
      </c>
      <c r="E369">
        <v>0.4148</v>
      </c>
      <c r="F369">
        <v>4703795.76</v>
      </c>
      <c r="G369">
        <v>0</v>
      </c>
      <c r="L369" t="s">
        <v>7</v>
      </c>
      <c r="M369" t="s">
        <v>7</v>
      </c>
      <c r="N369" t="s">
        <v>8</v>
      </c>
      <c r="P369">
        <f t="shared" si="969"/>
        <v>-2.1505376344085902E-2</v>
      </c>
      <c r="Q369">
        <f t="shared" si="970"/>
        <v>-101156.89806451557</v>
      </c>
      <c r="R369">
        <f t="shared" si="971"/>
        <v>-59596075.22858458</v>
      </c>
      <c r="S369">
        <f t="shared" si="972"/>
        <v>-595.96075228584584</v>
      </c>
      <c r="T369">
        <f t="shared" si="973"/>
        <v>-0.59596075228584589</v>
      </c>
    </row>
    <row r="370" spans="1:20" x14ac:dyDescent="0.25">
      <c r="A370" s="5">
        <v>44223</v>
      </c>
      <c r="B370">
        <v>0.43030000000000002</v>
      </c>
      <c r="C370">
        <v>0.45989999999999998</v>
      </c>
      <c r="D370">
        <v>0.37559999999999999</v>
      </c>
      <c r="E370">
        <v>0.38669999999999999</v>
      </c>
      <c r="F370">
        <v>2417200.5499999998</v>
      </c>
      <c r="G370">
        <v>0</v>
      </c>
      <c r="L370" t="s">
        <v>8</v>
      </c>
      <c r="M370" t="s">
        <v>8</v>
      </c>
      <c r="N370" t="s">
        <v>8</v>
      </c>
      <c r="P370">
        <f t="shared" si="969"/>
        <v>-0.73665480427046259</v>
      </c>
      <c r="Q370">
        <f t="shared" si="970"/>
        <v>-1780642.3980427044</v>
      </c>
      <c r="R370">
        <f t="shared" si="971"/>
        <v>-59494918.330520064</v>
      </c>
      <c r="S370">
        <f t="shared" si="972"/>
        <v>-594.94918330520068</v>
      </c>
      <c r="T370">
        <f t="shared" si="973"/>
        <v>-0.59494918330520064</v>
      </c>
    </row>
    <row r="371" spans="1:20" x14ac:dyDescent="0.25">
      <c r="A371" s="5">
        <v>44222</v>
      </c>
      <c r="B371">
        <v>0.39329999999999998</v>
      </c>
      <c r="C371">
        <v>0.4496</v>
      </c>
      <c r="D371">
        <v>0.39100000000000001</v>
      </c>
      <c r="E371">
        <v>0.42980000000000002</v>
      </c>
      <c r="F371">
        <v>16869105.82</v>
      </c>
      <c r="G371">
        <v>0</v>
      </c>
      <c r="L371" t="s">
        <v>8</v>
      </c>
      <c r="M371" t="s">
        <v>8</v>
      </c>
      <c r="N371" t="s">
        <v>8</v>
      </c>
      <c r="P371">
        <f t="shared" si="969"/>
        <v>0.32423208191126318</v>
      </c>
      <c r="Q371">
        <f t="shared" si="970"/>
        <v>5469505.3000000063</v>
      </c>
      <c r="R371">
        <f t="shared" si="971"/>
        <v>-57714275.932477362</v>
      </c>
      <c r="S371">
        <f t="shared" si="972"/>
        <v>-577.14275932477358</v>
      </c>
      <c r="T371">
        <f t="shared" si="973"/>
        <v>-0.57714275932477355</v>
      </c>
    </row>
    <row r="372" spans="1:20" x14ac:dyDescent="0.25">
      <c r="A372" s="5">
        <v>44221</v>
      </c>
      <c r="B372">
        <v>0.41049999999999998</v>
      </c>
      <c r="C372">
        <v>0.41589999999999999</v>
      </c>
      <c r="D372">
        <v>0.39219999999999999</v>
      </c>
      <c r="E372">
        <v>0.39489999999999997</v>
      </c>
      <c r="F372">
        <v>707542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-0.77215189873417889</v>
      </c>
      <c r="Q372">
        <f t="shared" si="970"/>
        <v>-546329.89873417839</v>
      </c>
      <c r="R372">
        <f t="shared" si="971"/>
        <v>-63183781.232477367</v>
      </c>
      <c r="S372">
        <f t="shared" si="972"/>
        <v>-631.83781232477372</v>
      </c>
      <c r="T372">
        <f t="shared" si="973"/>
        <v>-0.63183781232477376</v>
      </c>
    </row>
    <row r="373" spans="1:20" x14ac:dyDescent="0.25">
      <c r="A373" s="5">
        <v>44220</v>
      </c>
      <c r="B373">
        <v>0.39400000000000002</v>
      </c>
      <c r="C373">
        <v>0.4118</v>
      </c>
      <c r="D373">
        <v>0.39300000000000002</v>
      </c>
      <c r="E373">
        <v>0.41049999999999998</v>
      </c>
      <c r="F373">
        <v>1077449.55</v>
      </c>
      <c r="G373">
        <v>0</v>
      </c>
      <c r="L373" t="s">
        <v>8</v>
      </c>
      <c r="M373" t="s">
        <v>7</v>
      </c>
      <c r="N373" t="s">
        <v>8</v>
      </c>
      <c r="P373">
        <f t="shared" si="969"/>
        <v>0.86170212765957188</v>
      </c>
      <c r="Q373">
        <f t="shared" si="970"/>
        <v>928440.56968084828</v>
      </c>
      <c r="R373">
        <f t="shared" si="971"/>
        <v>-62637451.333743185</v>
      </c>
      <c r="S373">
        <f t="shared" si="972"/>
        <v>-626.37451333743184</v>
      </c>
      <c r="T373">
        <f t="shared" si="973"/>
        <v>-0.62637451333743188</v>
      </c>
    </row>
    <row r="374" spans="1:20" x14ac:dyDescent="0.25">
      <c r="A374" s="5">
        <v>44219</v>
      </c>
      <c r="B374">
        <v>0.3962</v>
      </c>
      <c r="C374">
        <v>0.40960000000000002</v>
      </c>
      <c r="D374">
        <v>0.38009999999999999</v>
      </c>
      <c r="E374">
        <v>0.39529999999999998</v>
      </c>
      <c r="F374">
        <v>898720.04</v>
      </c>
      <c r="G374">
        <v>0</v>
      </c>
      <c r="L374" t="s">
        <v>8</v>
      </c>
      <c r="M374" t="s">
        <v>7</v>
      </c>
      <c r="N374" t="s">
        <v>8</v>
      </c>
      <c r="P374">
        <f t="shared" si="969"/>
        <v>3.0508474576269682E-2</v>
      </c>
      <c r="Q374">
        <f t="shared" si="970"/>
        <v>27418.577491524073</v>
      </c>
      <c r="R374">
        <f t="shared" si="971"/>
        <v>-63565891.903424032</v>
      </c>
      <c r="S374">
        <f t="shared" si="972"/>
        <v>-635.65891903424028</v>
      </c>
      <c r="T374">
        <f t="shared" si="973"/>
        <v>-0.63565891903424032</v>
      </c>
    </row>
    <row r="375" spans="1:20" x14ac:dyDescent="0.25">
      <c r="A375" s="5">
        <v>44218</v>
      </c>
      <c r="B375">
        <v>0.37959999999999999</v>
      </c>
      <c r="C375">
        <v>0.4052</v>
      </c>
      <c r="D375">
        <v>0.35809999999999997</v>
      </c>
      <c r="E375">
        <v>0.39889999999999998</v>
      </c>
      <c r="F375">
        <v>915516.72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0.73248407643311997</v>
      </c>
      <c r="Q375">
        <f t="shared" si="970"/>
        <v>670601.41910827928</v>
      </c>
      <c r="R375">
        <f t="shared" si="971"/>
        <v>-63593310.480915554</v>
      </c>
      <c r="S375">
        <f t="shared" si="972"/>
        <v>-635.93310480915557</v>
      </c>
      <c r="T375">
        <f t="shared" si="973"/>
        <v>-0.63593310480915555</v>
      </c>
    </row>
    <row r="376" spans="1:20" x14ac:dyDescent="0.25">
      <c r="A376" s="5">
        <v>44217</v>
      </c>
      <c r="B376">
        <v>0.437</v>
      </c>
      <c r="C376">
        <v>0.43859999999999999</v>
      </c>
      <c r="D376">
        <v>0.37380000000000002</v>
      </c>
      <c r="E376">
        <v>0.37959999999999999</v>
      </c>
      <c r="F376">
        <v>1147657.56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-0.82098765432098841</v>
      </c>
      <c r="Q376">
        <f t="shared" si="970"/>
        <v>-942212.68814814906</v>
      </c>
      <c r="R376">
        <f t="shared" si="971"/>
        <v>-64263911.900023833</v>
      </c>
      <c r="S376">
        <f t="shared" si="972"/>
        <v>-642.63911900023834</v>
      </c>
      <c r="T376">
        <f t="shared" si="973"/>
        <v>-0.64263911900023829</v>
      </c>
    </row>
    <row r="377" spans="1:20" x14ac:dyDescent="0.25">
      <c r="A377" s="5">
        <v>44216</v>
      </c>
      <c r="B377">
        <v>0.43509999999999999</v>
      </c>
      <c r="C377">
        <v>0.44619999999999999</v>
      </c>
      <c r="D377">
        <v>0.40610000000000002</v>
      </c>
      <c r="E377">
        <v>0.43740000000000001</v>
      </c>
      <c r="F377">
        <v>1550636.34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0.56109725685785627</v>
      </c>
      <c r="Q377">
        <f t="shared" si="970"/>
        <v>870057.79675810621</v>
      </c>
      <c r="R377">
        <f t="shared" si="971"/>
        <v>-63321699.211875685</v>
      </c>
      <c r="S377">
        <f t="shared" si="972"/>
        <v>-633.21699211875682</v>
      </c>
      <c r="T377">
        <f t="shared" si="973"/>
        <v>-0.63321699211875682</v>
      </c>
    </row>
    <row r="378" spans="1:20" x14ac:dyDescent="0.25">
      <c r="A378" s="5">
        <v>44215</v>
      </c>
      <c r="B378">
        <v>0.44619999999999999</v>
      </c>
      <c r="C378">
        <v>0.48730000000000001</v>
      </c>
      <c r="D378">
        <v>0.4254</v>
      </c>
      <c r="E378">
        <v>0.4375</v>
      </c>
      <c r="F378">
        <v>3965807.93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-0.60904684975767376</v>
      </c>
      <c r="Q378">
        <f t="shared" si="970"/>
        <v>-2415362.8265105011</v>
      </c>
      <c r="R378">
        <f t="shared" si="971"/>
        <v>-64191757.008633792</v>
      </c>
      <c r="S378">
        <f t="shared" si="972"/>
        <v>-641.91757008633795</v>
      </c>
      <c r="T378">
        <f t="shared" si="973"/>
        <v>-0.64191757008633799</v>
      </c>
    </row>
    <row r="379" spans="1:20" x14ac:dyDescent="0.25">
      <c r="A379" s="5">
        <v>44214</v>
      </c>
      <c r="B379">
        <v>0.4481</v>
      </c>
      <c r="C379">
        <v>0.46600000000000003</v>
      </c>
      <c r="D379">
        <v>0.41899999999999998</v>
      </c>
      <c r="E379">
        <v>0.44750000000000001</v>
      </c>
      <c r="F379">
        <v>2955766.41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0.21276595744680851</v>
      </c>
      <c r="Q379">
        <f t="shared" si="970"/>
        <v>628886.47021276597</v>
      </c>
      <c r="R379">
        <f t="shared" si="971"/>
        <v>-61776394.182123289</v>
      </c>
      <c r="S379">
        <f t="shared" si="972"/>
        <v>-617.76394182123283</v>
      </c>
      <c r="T379">
        <f t="shared" si="973"/>
        <v>-0.61776394182123284</v>
      </c>
    </row>
    <row r="380" spans="1:20" x14ac:dyDescent="0.25">
      <c r="A380" s="5">
        <v>44213</v>
      </c>
      <c r="B380">
        <v>0.4551</v>
      </c>
      <c r="C380">
        <v>0.47399999999999998</v>
      </c>
      <c r="D380">
        <v>0.40350000000000003</v>
      </c>
      <c r="E380">
        <v>0.44690000000000002</v>
      </c>
      <c r="F380">
        <v>5957315.1900000004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0.23120567375886591</v>
      </c>
      <c r="Q380">
        <f t="shared" si="970"/>
        <v>1377365.0722978765</v>
      </c>
      <c r="R380">
        <f t="shared" si="971"/>
        <v>-62405280.652336054</v>
      </c>
      <c r="S380">
        <f t="shared" si="972"/>
        <v>-624.05280652336057</v>
      </c>
      <c r="T380">
        <f t="shared" si="973"/>
        <v>-0.62405280652336059</v>
      </c>
    </row>
    <row r="381" spans="1:20" x14ac:dyDescent="0.25">
      <c r="A381" s="5">
        <v>44212</v>
      </c>
      <c r="B381">
        <v>0.4194</v>
      </c>
      <c r="C381">
        <v>0.47399999999999998</v>
      </c>
      <c r="D381">
        <v>0.41799999999999998</v>
      </c>
      <c r="E381">
        <v>0.45600000000000002</v>
      </c>
      <c r="F381">
        <v>5445174.29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0.35714285714285848</v>
      </c>
      <c r="Q381">
        <f t="shared" si="970"/>
        <v>1944705.1035714359</v>
      </c>
      <c r="R381">
        <f t="shared" si="971"/>
        <v>-63782645.724633932</v>
      </c>
      <c r="S381">
        <f t="shared" si="972"/>
        <v>-637.82645724633937</v>
      </c>
      <c r="T381">
        <f t="shared" si="973"/>
        <v>-0.63782645724633935</v>
      </c>
    </row>
    <row r="382" spans="1:20" x14ac:dyDescent="0.25">
      <c r="A382" s="5">
        <v>44211</v>
      </c>
      <c r="B382">
        <v>0.4204</v>
      </c>
      <c r="C382">
        <v>0.43219999999999997</v>
      </c>
      <c r="D382">
        <v>0.374</v>
      </c>
      <c r="E382">
        <v>0.41870000000000002</v>
      </c>
      <c r="F382">
        <v>3107346.54</v>
      </c>
      <c r="G382">
        <v>0</v>
      </c>
      <c r="L382" t="s">
        <v>7</v>
      </c>
      <c r="M382" t="s">
        <v>7</v>
      </c>
      <c r="N382" t="s">
        <v>7</v>
      </c>
      <c r="P382">
        <f t="shared" si="969"/>
        <v>0.53608247422680544</v>
      </c>
      <c r="Q382">
        <f t="shared" si="970"/>
        <v>1665794.021443303</v>
      </c>
      <c r="R382">
        <f t="shared" si="971"/>
        <v>-65727350.828205369</v>
      </c>
      <c r="S382">
        <f t="shared" si="972"/>
        <v>-657.27350828205374</v>
      </c>
      <c r="T382">
        <f t="shared" si="973"/>
        <v>-0.65727350828205378</v>
      </c>
    </row>
    <row r="383" spans="1:20" x14ac:dyDescent="0.25">
      <c r="A383" s="5">
        <v>44210</v>
      </c>
      <c r="B383">
        <v>0.39279999999999998</v>
      </c>
      <c r="C383">
        <v>0.44009999999999999</v>
      </c>
      <c r="D383">
        <v>0.38569999999999999</v>
      </c>
      <c r="E383">
        <v>0.42009999999999997</v>
      </c>
      <c r="F383">
        <v>2872636.46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0.26470588235294057</v>
      </c>
      <c r="Q383">
        <f t="shared" si="970"/>
        <v>760403.76882352761</v>
      </c>
      <c r="R383">
        <f t="shared" si="971"/>
        <v>-67393144.849648669</v>
      </c>
      <c r="S383">
        <f t="shared" si="972"/>
        <v>-673.93144849648672</v>
      </c>
      <c r="T383">
        <f t="shared" si="973"/>
        <v>-0.67393144849648667</v>
      </c>
    </row>
    <row r="384" spans="1:20" x14ac:dyDescent="0.25">
      <c r="A384" s="5">
        <v>44209</v>
      </c>
      <c r="B384">
        <v>0.3715</v>
      </c>
      <c r="C384">
        <v>0.3982</v>
      </c>
      <c r="D384">
        <v>0.35599999999999998</v>
      </c>
      <c r="E384">
        <v>0.39179999999999998</v>
      </c>
      <c r="F384">
        <v>1358417.5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0.69668246445497561</v>
      </c>
      <c r="Q384">
        <f t="shared" si="970"/>
        <v>946385.65165876679</v>
      </c>
      <c r="R384">
        <f t="shared" si="971"/>
        <v>-68153548.618472204</v>
      </c>
      <c r="S384">
        <f t="shared" si="972"/>
        <v>-681.535486184722</v>
      </c>
      <c r="T384">
        <f t="shared" si="973"/>
        <v>-0.68153548618472204</v>
      </c>
    </row>
    <row r="385" spans="1:20" x14ac:dyDescent="0.25">
      <c r="A385" s="5">
        <v>44208</v>
      </c>
      <c r="B385">
        <v>0.37090000000000001</v>
      </c>
      <c r="C385">
        <v>0.38169999999999998</v>
      </c>
      <c r="D385">
        <v>0.35239999999999999</v>
      </c>
      <c r="E385">
        <v>0.37159999999999999</v>
      </c>
      <c r="F385">
        <v>1056722.48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0.31058020477815695</v>
      </c>
      <c r="Q385">
        <f t="shared" si="970"/>
        <v>328197.08423208183</v>
      </c>
      <c r="R385">
        <f t="shared" si="971"/>
        <v>-69099934.270130977</v>
      </c>
      <c r="S385">
        <f t="shared" si="972"/>
        <v>-690.99934270130973</v>
      </c>
      <c r="T385">
        <f t="shared" si="973"/>
        <v>-0.69099934270130969</v>
      </c>
    </row>
    <row r="386" spans="1:20" x14ac:dyDescent="0.25">
      <c r="A386" s="5">
        <v>44207</v>
      </c>
      <c r="B386">
        <v>0.41639999999999999</v>
      </c>
      <c r="C386">
        <v>0.41670000000000001</v>
      </c>
      <c r="D386">
        <v>0.33129999999999998</v>
      </c>
      <c r="E386">
        <v>0.37080000000000002</v>
      </c>
      <c r="F386">
        <v>2890186.86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-7.4941451990631833E-2</v>
      </c>
      <c r="Q386">
        <f t="shared" si="970"/>
        <v>-216594.79981264495</v>
      </c>
      <c r="R386">
        <f t="shared" si="971"/>
        <v>-69428131.354363054</v>
      </c>
      <c r="S386">
        <f t="shared" si="972"/>
        <v>-694.28131354363052</v>
      </c>
      <c r="T386">
        <f t="shared" si="973"/>
        <v>-0.69428131354363054</v>
      </c>
    </row>
    <row r="387" spans="1:20" x14ac:dyDescent="0.25">
      <c r="A387" s="5">
        <v>44206</v>
      </c>
      <c r="B387">
        <v>0.4446</v>
      </c>
      <c r="C387">
        <v>0.4768</v>
      </c>
      <c r="D387">
        <v>0.38019999999999998</v>
      </c>
      <c r="E387">
        <v>0.41670000000000001</v>
      </c>
      <c r="F387">
        <v>3122389.01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-0.24430641821946117</v>
      </c>
      <c r="Q387">
        <f t="shared" si="970"/>
        <v>-762819.67532090924</v>
      </c>
      <c r="R387">
        <f t="shared" si="971"/>
        <v>-69211536.554550409</v>
      </c>
      <c r="S387">
        <f t="shared" si="972"/>
        <v>-692.11536554550412</v>
      </c>
      <c r="T387">
        <f t="shared" si="973"/>
        <v>-0.69211536554550412</v>
      </c>
    </row>
    <row r="388" spans="1:20" x14ac:dyDescent="0.25">
      <c r="A388" s="5">
        <v>44205</v>
      </c>
      <c r="B388">
        <v>0.43269999999999997</v>
      </c>
      <c r="C388">
        <v>0.46650000000000003</v>
      </c>
      <c r="D388">
        <v>0.4103</v>
      </c>
      <c r="E388">
        <v>0.4446</v>
      </c>
      <c r="F388">
        <v>2250451.4</v>
      </c>
      <c r="G388">
        <v>0</v>
      </c>
      <c r="L388" t="s">
        <v>7</v>
      </c>
      <c r="M388" t="s">
        <v>8</v>
      </c>
      <c r="N388" t="s">
        <v>8</v>
      </c>
      <c r="P388">
        <f t="shared" si="969"/>
        <v>0.22064056939501708</v>
      </c>
      <c r="Q388">
        <f t="shared" si="970"/>
        <v>496540.87829181331</v>
      </c>
      <c r="R388">
        <f t="shared" si="971"/>
        <v>-68448716.879229501</v>
      </c>
      <c r="S388">
        <f t="shared" si="972"/>
        <v>-684.48716879229505</v>
      </c>
      <c r="T388">
        <f t="shared" si="973"/>
        <v>-0.6844871687922951</v>
      </c>
    </row>
    <row r="389" spans="1:20" x14ac:dyDescent="0.25">
      <c r="A389" s="5">
        <v>44204</v>
      </c>
      <c r="B389">
        <v>0.41699999999999998</v>
      </c>
      <c r="C389">
        <v>0.48</v>
      </c>
      <c r="D389">
        <v>0.38400000000000001</v>
      </c>
      <c r="E389">
        <v>0.43230000000000002</v>
      </c>
      <c r="F389">
        <v>3351133.59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6.2500000000004696E-3</v>
      </c>
      <c r="Q389">
        <f t="shared" si="970"/>
        <v>20944.584937501571</v>
      </c>
      <c r="R389">
        <f t="shared" si="971"/>
        <v>-68945257.757521316</v>
      </c>
      <c r="S389">
        <f t="shared" si="972"/>
        <v>-689.45257757521313</v>
      </c>
      <c r="T389">
        <f t="shared" si="973"/>
        <v>-0.68945257757521317</v>
      </c>
    </row>
    <row r="390" spans="1:20" x14ac:dyDescent="0.25">
      <c r="A390" s="5">
        <v>44203</v>
      </c>
      <c r="B390">
        <v>0.39950000000000002</v>
      </c>
      <c r="C390">
        <v>0.44</v>
      </c>
      <c r="D390">
        <v>0.3911</v>
      </c>
      <c r="E390">
        <v>0.41560000000000002</v>
      </c>
      <c r="F390">
        <v>2699005.82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2.0449897750520348E-3</v>
      </c>
      <c r="Q390">
        <f t="shared" ref="Q390:Q453" si="975">F390*P390</f>
        <v>5519.439304705932</v>
      </c>
      <c r="R390">
        <f t="shared" ref="R390:R453" si="976">R391+Q390</f>
        <v>-68966202.342458814</v>
      </c>
      <c r="S390">
        <f t="shared" ref="S390:S453" si="977">R390/100000</f>
        <v>-689.66202342458814</v>
      </c>
      <c r="T390">
        <f t="shared" ref="T390:T453" si="978">S390/1000</f>
        <v>-0.68966202342458816</v>
      </c>
    </row>
    <row r="391" spans="1:20" x14ac:dyDescent="0.25">
      <c r="A391" s="5">
        <v>44202</v>
      </c>
      <c r="B391">
        <v>0.37840000000000001</v>
      </c>
      <c r="C391">
        <v>0.4027</v>
      </c>
      <c r="D391">
        <v>0.36930000000000002</v>
      </c>
      <c r="E391">
        <v>0.39889999999999998</v>
      </c>
      <c r="F391">
        <v>1551018.23</v>
      </c>
      <c r="G391">
        <v>0</v>
      </c>
      <c r="L391" t="s">
        <v>8</v>
      </c>
      <c r="M391" t="s">
        <v>7</v>
      </c>
      <c r="N391" t="s">
        <v>7</v>
      </c>
      <c r="P391">
        <f t="shared" si="974"/>
        <v>0.7724550898203576</v>
      </c>
      <c r="Q391">
        <f t="shared" si="975"/>
        <v>1198091.926167662</v>
      </c>
      <c r="R391">
        <f t="shared" si="976"/>
        <v>-68971721.781763524</v>
      </c>
      <c r="S391">
        <f t="shared" si="977"/>
        <v>-689.71721781763529</v>
      </c>
      <c r="T391">
        <f t="shared" si="978"/>
        <v>-0.68971721781763529</v>
      </c>
    </row>
    <row r="392" spans="1:20" x14ac:dyDescent="0.25">
      <c r="A392" s="5">
        <v>44201</v>
      </c>
      <c r="B392">
        <v>0.36670000000000003</v>
      </c>
      <c r="C392">
        <v>0.37930000000000003</v>
      </c>
      <c r="D392">
        <v>0.34899999999999998</v>
      </c>
      <c r="E392">
        <v>0.37840000000000001</v>
      </c>
      <c r="F392">
        <v>1733226.11</v>
      </c>
      <c r="G392">
        <v>0</v>
      </c>
      <c r="L392" t="s">
        <v>8</v>
      </c>
      <c r="M392" t="s">
        <v>7</v>
      </c>
      <c r="N392" t="s">
        <v>7</v>
      </c>
      <c r="P392">
        <f t="shared" si="974"/>
        <v>0.94059405940593988</v>
      </c>
      <c r="Q392">
        <f t="shared" si="975"/>
        <v>1630262.1826732662</v>
      </c>
      <c r="R392">
        <f t="shared" si="976"/>
        <v>-70169813.707931191</v>
      </c>
      <c r="S392">
        <f t="shared" si="977"/>
        <v>-701.69813707931189</v>
      </c>
      <c r="T392">
        <f t="shared" si="978"/>
        <v>-0.70169813707931195</v>
      </c>
    </row>
    <row r="393" spans="1:20" x14ac:dyDescent="0.25">
      <c r="A393" s="5">
        <v>44200</v>
      </c>
      <c r="B393">
        <v>0.39069999999999999</v>
      </c>
      <c r="C393">
        <v>0.41599999999999998</v>
      </c>
      <c r="D393">
        <v>0.34260000000000002</v>
      </c>
      <c r="E393">
        <v>0.36670000000000003</v>
      </c>
      <c r="F393">
        <v>2308857.87</v>
      </c>
      <c r="G393">
        <v>0</v>
      </c>
      <c r="L393" t="s">
        <v>7</v>
      </c>
      <c r="M393" t="s">
        <v>8</v>
      </c>
      <c r="N393" t="s">
        <v>7</v>
      </c>
      <c r="P393">
        <f t="shared" si="974"/>
        <v>-0.34332425068119832</v>
      </c>
      <c r="Q393">
        <f t="shared" si="975"/>
        <v>-792686.8981471376</v>
      </c>
      <c r="R393">
        <f t="shared" si="976"/>
        <v>-71800075.890604451</v>
      </c>
      <c r="S393">
        <f t="shared" si="977"/>
        <v>-718.00075890604455</v>
      </c>
      <c r="T393">
        <f t="shared" si="978"/>
        <v>-0.71800075890604453</v>
      </c>
    </row>
    <row r="394" spans="1:20" x14ac:dyDescent="0.25">
      <c r="A394" s="5">
        <v>44199</v>
      </c>
      <c r="B394">
        <v>0.38890000000000002</v>
      </c>
      <c r="C394">
        <v>0.40479999999999999</v>
      </c>
      <c r="D394">
        <v>0.3649</v>
      </c>
      <c r="E394">
        <v>0.39069999999999999</v>
      </c>
      <c r="F394">
        <v>984388.79</v>
      </c>
      <c r="G394">
        <v>0</v>
      </c>
      <c r="L394" t="s">
        <v>7</v>
      </c>
      <c r="M394" t="s">
        <v>8</v>
      </c>
      <c r="N394" t="s">
        <v>7</v>
      </c>
      <c r="P394">
        <f t="shared" si="974"/>
        <v>0.29323308270676668</v>
      </c>
      <c r="Q394">
        <f t="shared" si="975"/>
        <v>288655.35947368399</v>
      </c>
      <c r="R394">
        <f t="shared" si="976"/>
        <v>-71007388.992457315</v>
      </c>
      <c r="S394">
        <f t="shared" si="977"/>
        <v>-710.07388992457311</v>
      </c>
      <c r="T394">
        <f t="shared" si="978"/>
        <v>-0.7100738899245731</v>
      </c>
    </row>
    <row r="395" spans="1:20" x14ac:dyDescent="0.25">
      <c r="A395" s="5">
        <v>44198</v>
      </c>
      <c r="B395">
        <v>0.39979999999999999</v>
      </c>
      <c r="C395">
        <v>0.40229999999999999</v>
      </c>
      <c r="D395">
        <v>0.37380000000000002</v>
      </c>
      <c r="E395">
        <v>0.38979999999999998</v>
      </c>
      <c r="F395">
        <v>484764.91</v>
      </c>
      <c r="G395">
        <v>0</v>
      </c>
      <c r="L395" t="s">
        <v>7</v>
      </c>
      <c r="M395" t="s">
        <v>8</v>
      </c>
      <c r="N395" t="s">
        <v>7</v>
      </c>
      <c r="P395">
        <f t="shared" si="974"/>
        <v>0.12280701754385794</v>
      </c>
      <c r="Q395">
        <f t="shared" si="975"/>
        <v>59532.532807016709</v>
      </c>
      <c r="R395">
        <f t="shared" si="976"/>
        <v>-71296044.351931006</v>
      </c>
      <c r="S395">
        <f t="shared" si="977"/>
        <v>-712.96044351931005</v>
      </c>
      <c r="T395">
        <f t="shared" si="978"/>
        <v>-0.71296044351931009</v>
      </c>
    </row>
    <row r="396" spans="1:20" x14ac:dyDescent="0.25">
      <c r="A396" s="5">
        <v>44197</v>
      </c>
      <c r="B396">
        <v>0.40699999999999997</v>
      </c>
      <c r="C396">
        <v>0.40849999999999997</v>
      </c>
      <c r="D396">
        <v>0.3795</v>
      </c>
      <c r="E396">
        <v>0.40039999999999998</v>
      </c>
      <c r="F396">
        <v>716969.96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0.4413793103448273</v>
      </c>
      <c r="Q396">
        <f t="shared" si="975"/>
        <v>316455.7064827584</v>
      </c>
      <c r="R396">
        <f t="shared" si="976"/>
        <v>-71355576.884738028</v>
      </c>
      <c r="S396">
        <f t="shared" si="977"/>
        <v>-713.55576884738025</v>
      </c>
      <c r="T396">
        <f t="shared" si="978"/>
        <v>-0.71355576884738026</v>
      </c>
    </row>
    <row r="397" spans="1:20" x14ac:dyDescent="0.25">
      <c r="A397" s="5">
        <v>44196</v>
      </c>
      <c r="B397">
        <v>0.36890000000000001</v>
      </c>
      <c r="C397">
        <v>0.40649999999999997</v>
      </c>
      <c r="D397">
        <v>0.34910000000000002</v>
      </c>
      <c r="E397">
        <v>0.40649999999999997</v>
      </c>
      <c r="F397">
        <v>923898.33</v>
      </c>
      <c r="G397">
        <v>0</v>
      </c>
      <c r="L397" t="s">
        <v>8</v>
      </c>
      <c r="M397" t="s">
        <v>8</v>
      </c>
      <c r="N397" t="s">
        <v>7</v>
      </c>
      <c r="P397">
        <f t="shared" si="974"/>
        <v>1</v>
      </c>
      <c r="Q397">
        <f t="shared" si="975"/>
        <v>923898.33</v>
      </c>
      <c r="R397">
        <f t="shared" si="976"/>
        <v>-71672032.591220781</v>
      </c>
      <c r="S397">
        <f t="shared" si="977"/>
        <v>-716.72032591220784</v>
      </c>
      <c r="T397">
        <f t="shared" si="978"/>
        <v>-0.7167203259122078</v>
      </c>
    </row>
    <row r="398" spans="1:20" x14ac:dyDescent="0.25">
      <c r="A398" s="5">
        <v>44195</v>
      </c>
      <c r="B398">
        <v>0.35420000000000001</v>
      </c>
      <c r="C398">
        <v>0.36909999999999998</v>
      </c>
      <c r="D398">
        <v>0.34260000000000002</v>
      </c>
      <c r="E398">
        <v>0.3659</v>
      </c>
      <c r="F398">
        <v>253444.3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0.75849056603773701</v>
      </c>
      <c r="Q398">
        <f t="shared" si="975"/>
        <v>192235.11056603803</v>
      </c>
      <c r="R398">
        <f t="shared" si="976"/>
        <v>-72595930.921220779</v>
      </c>
      <c r="S398">
        <f t="shared" si="977"/>
        <v>-725.95930921220781</v>
      </c>
      <c r="T398">
        <f t="shared" si="978"/>
        <v>-0.72595930921220786</v>
      </c>
    </row>
    <row r="399" spans="1:20" x14ac:dyDescent="0.25">
      <c r="A399" s="5">
        <v>44194</v>
      </c>
      <c r="B399">
        <v>0.36449999999999999</v>
      </c>
      <c r="C399">
        <v>0.36449999999999999</v>
      </c>
      <c r="D399">
        <v>0.3362</v>
      </c>
      <c r="E399">
        <v>0.3548</v>
      </c>
      <c r="F399">
        <v>300285.88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0.31448763250883466</v>
      </c>
      <c r="Q399">
        <f t="shared" si="975"/>
        <v>94436.19547703203</v>
      </c>
      <c r="R399">
        <f t="shared" si="976"/>
        <v>-72788166.031786814</v>
      </c>
      <c r="S399">
        <f t="shared" si="977"/>
        <v>-727.88166031786818</v>
      </c>
      <c r="T399">
        <f t="shared" si="978"/>
        <v>-0.72788166031786816</v>
      </c>
    </row>
    <row r="400" spans="1:20" x14ac:dyDescent="0.25">
      <c r="A400" s="5">
        <v>44193</v>
      </c>
      <c r="B400">
        <v>0.373</v>
      </c>
      <c r="C400">
        <v>0.37769999999999998</v>
      </c>
      <c r="D400">
        <v>0.35949999999999999</v>
      </c>
      <c r="E400">
        <v>0.36559999999999998</v>
      </c>
      <c r="F400">
        <v>526323.51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-0.32967032967033005</v>
      </c>
      <c r="Q400">
        <f t="shared" si="975"/>
        <v>-173513.24505494526</v>
      </c>
      <c r="R400">
        <f t="shared" si="976"/>
        <v>-72882602.227263853</v>
      </c>
      <c r="S400">
        <f t="shared" si="977"/>
        <v>-728.82602227263851</v>
      </c>
      <c r="T400">
        <f t="shared" si="978"/>
        <v>-0.72882602227263849</v>
      </c>
    </row>
    <row r="401" spans="1:20" x14ac:dyDescent="0.25">
      <c r="A401" s="5">
        <v>44192</v>
      </c>
      <c r="B401">
        <v>0.3614</v>
      </c>
      <c r="C401">
        <v>0.38490000000000002</v>
      </c>
      <c r="D401">
        <v>0.34670000000000001</v>
      </c>
      <c r="E401">
        <v>0.373</v>
      </c>
      <c r="F401">
        <v>757963.76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0.37696335078533938</v>
      </c>
      <c r="Q401">
        <f t="shared" si="975"/>
        <v>285724.55874345481</v>
      </c>
      <c r="R401">
        <f t="shared" si="976"/>
        <v>-72709088.982208908</v>
      </c>
      <c r="S401">
        <f t="shared" si="977"/>
        <v>-727.09088982208903</v>
      </c>
      <c r="T401">
        <f t="shared" si="978"/>
        <v>-0.72709088982208903</v>
      </c>
    </row>
    <row r="402" spans="1:20" x14ac:dyDescent="0.25">
      <c r="A402" s="5">
        <v>44191</v>
      </c>
      <c r="B402">
        <v>0.36699999999999999</v>
      </c>
      <c r="C402">
        <v>0.36720000000000003</v>
      </c>
      <c r="D402">
        <v>0.34739999999999999</v>
      </c>
      <c r="E402">
        <v>0.36109999999999998</v>
      </c>
      <c r="F402">
        <v>538359.93000000005</v>
      </c>
      <c r="G402">
        <v>0</v>
      </c>
      <c r="L402" t="s">
        <v>8</v>
      </c>
      <c r="M402" t="s">
        <v>7</v>
      </c>
      <c r="N402" t="s">
        <v>7</v>
      </c>
      <c r="P402">
        <f t="shared" si="974"/>
        <v>0.38383838383838004</v>
      </c>
      <c r="Q402">
        <f t="shared" si="975"/>
        <v>206643.20545454344</v>
      </c>
      <c r="R402">
        <f t="shared" si="976"/>
        <v>-72994813.54095237</v>
      </c>
      <c r="S402">
        <f t="shared" si="977"/>
        <v>-729.94813540952373</v>
      </c>
      <c r="T402">
        <f t="shared" si="978"/>
        <v>-0.72994813540952375</v>
      </c>
    </row>
    <row r="403" spans="1:20" x14ac:dyDescent="0.25">
      <c r="A403" s="5">
        <v>44190</v>
      </c>
      <c r="B403">
        <v>0.34610000000000002</v>
      </c>
      <c r="C403">
        <v>0.36840000000000001</v>
      </c>
      <c r="D403">
        <v>0.34010000000000001</v>
      </c>
      <c r="E403">
        <v>0.36699999999999999</v>
      </c>
      <c r="F403">
        <v>515333.17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0.90106007067137717</v>
      </c>
      <c r="Q403">
        <f t="shared" si="975"/>
        <v>464346.14257950481</v>
      </c>
      <c r="R403">
        <f t="shared" si="976"/>
        <v>-73201456.746406913</v>
      </c>
      <c r="S403">
        <f t="shared" si="977"/>
        <v>-732.01456746406916</v>
      </c>
      <c r="T403">
        <f t="shared" si="978"/>
        <v>-0.73201456746406912</v>
      </c>
    </row>
    <row r="404" spans="1:20" x14ac:dyDescent="0.25">
      <c r="A404" s="5">
        <v>44189</v>
      </c>
      <c r="B404">
        <v>0.3175</v>
      </c>
      <c r="C404">
        <v>0.34670000000000001</v>
      </c>
      <c r="D404">
        <v>0.31509999999999999</v>
      </c>
      <c r="E404">
        <v>0.34089999999999998</v>
      </c>
      <c r="F404">
        <v>620585.75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0.63291139240506178</v>
      </c>
      <c r="Q404">
        <f t="shared" si="975"/>
        <v>392775.79113923956</v>
      </c>
      <c r="R404">
        <f t="shared" si="976"/>
        <v>-73665802.888986424</v>
      </c>
      <c r="S404">
        <f t="shared" si="977"/>
        <v>-736.65802888986423</v>
      </c>
      <c r="T404">
        <f t="shared" si="978"/>
        <v>-0.7366580288898642</v>
      </c>
    </row>
    <row r="405" spans="1:20" x14ac:dyDescent="0.25">
      <c r="A405" s="5">
        <v>44188</v>
      </c>
      <c r="B405">
        <v>0.36680000000000001</v>
      </c>
      <c r="C405">
        <v>0.36680000000000001</v>
      </c>
      <c r="D405">
        <v>0.3115</v>
      </c>
      <c r="E405">
        <v>0.3175</v>
      </c>
      <c r="F405">
        <v>1447914.41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-0.78300180831826394</v>
      </c>
      <c r="Q405">
        <f t="shared" si="975"/>
        <v>-1133719.6013200721</v>
      </c>
      <c r="R405">
        <f t="shared" si="976"/>
        <v>-74058578.680125669</v>
      </c>
      <c r="S405">
        <f t="shared" si="977"/>
        <v>-740.58578680125663</v>
      </c>
      <c r="T405">
        <f t="shared" si="978"/>
        <v>-0.74058578680125664</v>
      </c>
    </row>
    <row r="406" spans="1:20" x14ac:dyDescent="0.25">
      <c r="A406" s="5">
        <v>44187</v>
      </c>
      <c r="B406">
        <v>0.36759999999999998</v>
      </c>
      <c r="C406">
        <v>0.37280000000000002</v>
      </c>
      <c r="D406">
        <v>0.35010000000000002</v>
      </c>
      <c r="E406">
        <v>0.36799999999999999</v>
      </c>
      <c r="F406">
        <v>940176.74</v>
      </c>
      <c r="G406">
        <v>0</v>
      </c>
      <c r="L406" t="s">
        <v>8</v>
      </c>
      <c r="M406" t="s">
        <v>7</v>
      </c>
      <c r="N406" t="s">
        <v>7</v>
      </c>
      <c r="P406">
        <f t="shared" si="974"/>
        <v>0.57709251101321346</v>
      </c>
      <c r="Q406">
        <f t="shared" si="975"/>
        <v>542568.95568281715</v>
      </c>
      <c r="R406">
        <f t="shared" si="976"/>
        <v>-72924859.078805596</v>
      </c>
      <c r="S406">
        <f t="shared" si="977"/>
        <v>-729.24859078805594</v>
      </c>
      <c r="T406">
        <f t="shared" si="978"/>
        <v>-0.72924859078805593</v>
      </c>
    </row>
    <row r="407" spans="1:20" x14ac:dyDescent="0.25">
      <c r="A407" s="5">
        <v>44186</v>
      </c>
      <c r="B407">
        <v>0.37680000000000002</v>
      </c>
      <c r="C407">
        <v>0.3846</v>
      </c>
      <c r="D407">
        <v>0.34539999999999998</v>
      </c>
      <c r="E407">
        <v>0.36649999999999999</v>
      </c>
      <c r="F407">
        <v>1322324.3700000001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7.6530612244898003E-2</v>
      </c>
      <c r="Q407">
        <f t="shared" si="975"/>
        <v>101198.29362244904</v>
      </c>
      <c r="R407">
        <f t="shared" si="976"/>
        <v>-73467428.03448841</v>
      </c>
      <c r="S407">
        <f t="shared" si="977"/>
        <v>-734.6742803448841</v>
      </c>
      <c r="T407">
        <f t="shared" si="978"/>
        <v>-0.73467428034488413</v>
      </c>
    </row>
    <row r="408" spans="1:20" x14ac:dyDescent="0.25">
      <c r="A408" s="5">
        <v>44185</v>
      </c>
      <c r="B408">
        <v>0.4022</v>
      </c>
      <c r="C408">
        <v>0.41</v>
      </c>
      <c r="D408">
        <v>0.37269999999999998</v>
      </c>
      <c r="E408">
        <v>0.3785</v>
      </c>
      <c r="F408">
        <v>1229856.1299999999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-0.68900804289544093</v>
      </c>
      <c r="Q408">
        <f t="shared" si="975"/>
        <v>-847380.76517426095</v>
      </c>
      <c r="R408">
        <f t="shared" si="976"/>
        <v>-73568626.328110859</v>
      </c>
      <c r="S408">
        <f t="shared" si="977"/>
        <v>-735.68626328110861</v>
      </c>
      <c r="T408">
        <f t="shared" si="978"/>
        <v>-0.73568626328110864</v>
      </c>
    </row>
    <row r="409" spans="1:20" x14ac:dyDescent="0.25">
      <c r="A409" s="5">
        <v>44184</v>
      </c>
      <c r="B409">
        <v>0.38119999999999998</v>
      </c>
      <c r="C409">
        <v>0.55000000000000004</v>
      </c>
      <c r="D409">
        <v>0.37969999999999998</v>
      </c>
      <c r="E409">
        <v>0.4047</v>
      </c>
      <c r="F409">
        <v>11699813.810000001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-0.7064004697592482</v>
      </c>
      <c r="Q409">
        <f t="shared" si="975"/>
        <v>-8264753.97147974</v>
      </c>
      <c r="R409">
        <f t="shared" si="976"/>
        <v>-72721245.562936604</v>
      </c>
      <c r="S409">
        <f t="shared" si="977"/>
        <v>-727.21245562936599</v>
      </c>
      <c r="T409">
        <f t="shared" si="978"/>
        <v>-0.72721245562936598</v>
      </c>
    </row>
    <row r="410" spans="1:20" x14ac:dyDescent="0.25">
      <c r="A410" s="5">
        <v>44183</v>
      </c>
      <c r="B410">
        <v>0.3599</v>
      </c>
      <c r="C410">
        <v>0.39650000000000002</v>
      </c>
      <c r="D410">
        <v>0.35470000000000002</v>
      </c>
      <c r="E410">
        <v>0.37980000000000003</v>
      </c>
      <c r="F410">
        <v>1361170.61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0.2009569377990435</v>
      </c>
      <c r="Q410">
        <f t="shared" si="975"/>
        <v>273536.67760765611</v>
      </c>
      <c r="R410">
        <f t="shared" si="976"/>
        <v>-64456491.591456868</v>
      </c>
      <c r="S410">
        <f t="shared" si="977"/>
        <v>-644.5649159145687</v>
      </c>
      <c r="T410">
        <f t="shared" si="978"/>
        <v>-0.64456491591456866</v>
      </c>
    </row>
    <row r="411" spans="1:20" x14ac:dyDescent="0.25">
      <c r="A411" s="5">
        <v>44182</v>
      </c>
      <c r="B411">
        <v>0.37169999999999997</v>
      </c>
      <c r="C411">
        <v>0.37259999999999999</v>
      </c>
      <c r="D411">
        <v>0.35239999999999999</v>
      </c>
      <c r="E411">
        <v>0.3614</v>
      </c>
      <c r="F411">
        <v>989586.68</v>
      </c>
      <c r="G411">
        <v>0</v>
      </c>
      <c r="L411" t="s">
        <v>7</v>
      </c>
      <c r="M411" t="s">
        <v>7</v>
      </c>
      <c r="N411" t="s">
        <v>7</v>
      </c>
      <c r="P411">
        <f t="shared" si="974"/>
        <v>-0.10891089108910793</v>
      </c>
      <c r="Q411">
        <f t="shared" si="975"/>
        <v>-107776.7671287119</v>
      </c>
      <c r="R411">
        <f t="shared" si="976"/>
        <v>-64730028.269064523</v>
      </c>
      <c r="S411">
        <f t="shared" si="977"/>
        <v>-647.30028269064519</v>
      </c>
      <c r="T411">
        <f t="shared" si="978"/>
        <v>-0.64730028269064521</v>
      </c>
    </row>
    <row r="412" spans="1:20" x14ac:dyDescent="0.25">
      <c r="A412" s="5">
        <v>44181</v>
      </c>
      <c r="B412">
        <v>0.37019999999999997</v>
      </c>
      <c r="C412">
        <v>0.37169999999999997</v>
      </c>
      <c r="D412">
        <v>0.35260000000000002</v>
      </c>
      <c r="E412">
        <v>0.37169999999999997</v>
      </c>
      <c r="F412">
        <v>1087309.3500000001</v>
      </c>
      <c r="G412">
        <v>0</v>
      </c>
      <c r="L412" t="s">
        <v>7</v>
      </c>
      <c r="M412" t="s">
        <v>7</v>
      </c>
      <c r="N412" t="s">
        <v>7</v>
      </c>
      <c r="P412">
        <f t="shared" si="974"/>
        <v>1</v>
      </c>
      <c r="Q412">
        <f t="shared" si="975"/>
        <v>1087309.3500000001</v>
      </c>
      <c r="R412">
        <f t="shared" si="976"/>
        <v>-64622251.50193581</v>
      </c>
      <c r="S412">
        <f t="shared" si="977"/>
        <v>-646.22251501935807</v>
      </c>
      <c r="T412">
        <f t="shared" si="978"/>
        <v>-0.64622251501935812</v>
      </c>
    </row>
    <row r="413" spans="1:20" x14ac:dyDescent="0.25">
      <c r="A413" s="5">
        <v>44180</v>
      </c>
      <c r="B413">
        <v>0.36280000000000001</v>
      </c>
      <c r="C413">
        <v>0.379</v>
      </c>
      <c r="D413">
        <v>0.35470000000000002</v>
      </c>
      <c r="E413">
        <v>0.36880000000000002</v>
      </c>
      <c r="F413">
        <v>726632.84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0.16049382716049451</v>
      </c>
      <c r="Q413">
        <f t="shared" si="975"/>
        <v>116620.08543209925</v>
      </c>
      <c r="R413">
        <f t="shared" si="976"/>
        <v>-65709560.851935811</v>
      </c>
      <c r="S413">
        <f t="shared" si="977"/>
        <v>-657.09560851935817</v>
      </c>
      <c r="T413">
        <f t="shared" si="978"/>
        <v>-0.65709560851935822</v>
      </c>
    </row>
    <row r="414" spans="1:20" x14ac:dyDescent="0.25">
      <c r="A414" s="5">
        <v>44179</v>
      </c>
      <c r="B414">
        <v>0.37</v>
      </c>
      <c r="C414">
        <v>0.37</v>
      </c>
      <c r="D414">
        <v>0.35149999999999998</v>
      </c>
      <c r="E414">
        <v>0.36330000000000001</v>
      </c>
      <c r="F414">
        <v>942085.33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0.27567567567567808</v>
      </c>
      <c r="Q414">
        <f t="shared" si="975"/>
        <v>259710.00989189415</v>
      </c>
      <c r="R414">
        <f t="shared" si="976"/>
        <v>-65826180.937367909</v>
      </c>
      <c r="S414">
        <f t="shared" si="977"/>
        <v>-658.26180937367906</v>
      </c>
      <c r="T414">
        <f t="shared" si="978"/>
        <v>-0.65826180937367906</v>
      </c>
    </row>
    <row r="415" spans="1:20" x14ac:dyDescent="0.25">
      <c r="A415" s="5">
        <v>44178</v>
      </c>
      <c r="B415">
        <v>0.35439999999999999</v>
      </c>
      <c r="C415">
        <v>0.36980000000000002</v>
      </c>
      <c r="D415">
        <v>0.33100000000000002</v>
      </c>
      <c r="E415">
        <v>0.36980000000000002</v>
      </c>
      <c r="F415">
        <v>759299.12</v>
      </c>
      <c r="G415">
        <v>0</v>
      </c>
      <c r="L415" t="s">
        <v>7</v>
      </c>
      <c r="M415" t="s">
        <v>7</v>
      </c>
      <c r="N415" t="s">
        <v>7</v>
      </c>
      <c r="P415">
        <f t="shared" si="974"/>
        <v>1</v>
      </c>
      <c r="Q415">
        <f t="shared" si="975"/>
        <v>759299.12</v>
      </c>
      <c r="R415">
        <f t="shared" si="976"/>
        <v>-66085890.947259806</v>
      </c>
      <c r="S415">
        <f t="shared" si="977"/>
        <v>-660.85890947259804</v>
      </c>
      <c r="T415">
        <f t="shared" si="978"/>
        <v>-0.66085890947259807</v>
      </c>
    </row>
    <row r="416" spans="1:20" x14ac:dyDescent="0.25">
      <c r="A416" s="5">
        <v>44177</v>
      </c>
      <c r="B416">
        <v>0.33939999999999998</v>
      </c>
      <c r="C416">
        <v>0.38</v>
      </c>
      <c r="D416">
        <v>0.33860000000000001</v>
      </c>
      <c r="E416">
        <v>0.35410000000000003</v>
      </c>
      <c r="F416">
        <v>887749.02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-0.25120772946859821</v>
      </c>
      <c r="Q416">
        <f t="shared" si="975"/>
        <v>-223009.41565217319</v>
      </c>
      <c r="R416">
        <f t="shared" si="976"/>
        <v>-66845190.067259803</v>
      </c>
      <c r="S416">
        <f t="shared" si="977"/>
        <v>-668.45190067259807</v>
      </c>
      <c r="T416">
        <f t="shared" si="978"/>
        <v>-0.66845190067259808</v>
      </c>
    </row>
    <row r="417" spans="1:20" x14ac:dyDescent="0.25">
      <c r="A417" s="5">
        <v>44176</v>
      </c>
      <c r="B417">
        <v>0.3649</v>
      </c>
      <c r="C417">
        <v>0.36980000000000002</v>
      </c>
      <c r="D417">
        <v>0.33210000000000001</v>
      </c>
      <c r="E417">
        <v>0.3402</v>
      </c>
      <c r="F417">
        <v>856437.92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-0.57029177718832924</v>
      </c>
      <c r="Q417">
        <f t="shared" si="975"/>
        <v>-488419.50344827614</v>
      </c>
      <c r="R417">
        <f t="shared" si="976"/>
        <v>-66622180.651607633</v>
      </c>
      <c r="S417">
        <f t="shared" si="977"/>
        <v>-666.2218065160763</v>
      </c>
      <c r="T417">
        <f t="shared" si="978"/>
        <v>-0.66622180651607632</v>
      </c>
    </row>
    <row r="418" spans="1:20" x14ac:dyDescent="0.25">
      <c r="A418" s="5">
        <v>44175</v>
      </c>
      <c r="B418">
        <v>0.38490000000000002</v>
      </c>
      <c r="C418">
        <v>0.38490000000000002</v>
      </c>
      <c r="D418">
        <v>0.35510000000000003</v>
      </c>
      <c r="E418">
        <v>0.3649</v>
      </c>
      <c r="F418">
        <v>1087677.24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-0.34228187919463238</v>
      </c>
      <c r="Q418">
        <f t="shared" si="975"/>
        <v>-372292.20966443117</v>
      </c>
      <c r="R418">
        <f t="shared" si="976"/>
        <v>-66133761.148159355</v>
      </c>
      <c r="S418">
        <f t="shared" si="977"/>
        <v>-661.33761148159351</v>
      </c>
      <c r="T418">
        <f t="shared" si="978"/>
        <v>-0.66133761148159353</v>
      </c>
    </row>
    <row r="419" spans="1:20" x14ac:dyDescent="0.25">
      <c r="A419" s="5">
        <v>44174</v>
      </c>
      <c r="B419">
        <v>0.39539999999999997</v>
      </c>
      <c r="C419">
        <v>0.39960000000000001</v>
      </c>
      <c r="D419">
        <v>0.35020000000000001</v>
      </c>
      <c r="E419">
        <v>0.38519999999999999</v>
      </c>
      <c r="F419">
        <v>6225659.7000000002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0.417004048582995</v>
      </c>
      <c r="Q419">
        <f t="shared" si="975"/>
        <v>2596125.2999999942</v>
      </c>
      <c r="R419">
        <f t="shared" si="976"/>
        <v>-65761468.938494921</v>
      </c>
      <c r="S419">
        <f t="shared" si="977"/>
        <v>-657.6146893849492</v>
      </c>
      <c r="T419">
        <f t="shared" si="978"/>
        <v>-0.65761468938494916</v>
      </c>
    </row>
    <row r="420" spans="1:20" x14ac:dyDescent="0.25">
      <c r="A420" s="5">
        <v>44173</v>
      </c>
      <c r="B420">
        <v>0.37009999999999998</v>
      </c>
      <c r="C420">
        <v>0.63990000000000002</v>
      </c>
      <c r="D420">
        <v>0.37009999999999998</v>
      </c>
      <c r="E420">
        <v>0.39629999999999999</v>
      </c>
      <c r="F420">
        <v>18759893.98</v>
      </c>
      <c r="G420">
        <v>0</v>
      </c>
      <c r="L420" t="s">
        <v>8</v>
      </c>
      <c r="M420" t="s">
        <v>8</v>
      </c>
      <c r="N420" t="s">
        <v>8</v>
      </c>
      <c r="P420">
        <f t="shared" si="974"/>
        <v>-0.80578206078576731</v>
      </c>
      <c r="Q420">
        <f t="shared" si="975"/>
        <v>-15116386.03132691</v>
      </c>
      <c r="R420">
        <f t="shared" si="976"/>
        <v>-68357594.238494918</v>
      </c>
      <c r="S420">
        <f t="shared" si="977"/>
        <v>-683.57594238494914</v>
      </c>
      <c r="T420">
        <f t="shared" si="978"/>
        <v>-0.68357594238494912</v>
      </c>
    </row>
    <row r="421" spans="1:20" x14ac:dyDescent="0.25">
      <c r="A421" s="5">
        <v>44172</v>
      </c>
      <c r="B421">
        <v>0.35909999999999997</v>
      </c>
      <c r="C421">
        <v>0.39650000000000002</v>
      </c>
      <c r="D421">
        <v>0.35210000000000002</v>
      </c>
      <c r="E421">
        <v>0.36940000000000001</v>
      </c>
      <c r="F421">
        <v>869820.96</v>
      </c>
      <c r="G421">
        <v>0</v>
      </c>
      <c r="L421" t="s">
        <v>8</v>
      </c>
      <c r="M421" t="s">
        <v>7</v>
      </c>
      <c r="N421" t="s">
        <v>8</v>
      </c>
      <c r="P421">
        <f t="shared" si="974"/>
        <v>-0.22072072072072144</v>
      </c>
      <c r="Q421">
        <f t="shared" si="975"/>
        <v>-191987.50918918979</v>
      </c>
      <c r="R421">
        <f t="shared" si="976"/>
        <v>-53241208.207168005</v>
      </c>
      <c r="S421">
        <f t="shared" si="977"/>
        <v>-532.41208207168006</v>
      </c>
      <c r="T421">
        <f t="shared" si="978"/>
        <v>-0.53241208207168012</v>
      </c>
    </row>
    <row r="422" spans="1:20" x14ac:dyDescent="0.25">
      <c r="A422" s="5">
        <v>44171</v>
      </c>
      <c r="B422">
        <v>0.373</v>
      </c>
      <c r="C422">
        <v>0.37309999999999999</v>
      </c>
      <c r="D422">
        <v>0.3483</v>
      </c>
      <c r="E422">
        <v>0.35909999999999997</v>
      </c>
      <c r="F422">
        <v>137659.74</v>
      </c>
      <c r="G422">
        <v>0</v>
      </c>
      <c r="L422" t="s">
        <v>7</v>
      </c>
      <c r="M422" t="s">
        <v>7</v>
      </c>
      <c r="N422" t="s">
        <v>8</v>
      </c>
      <c r="P422">
        <f t="shared" si="974"/>
        <v>-0.12903225806451765</v>
      </c>
      <c r="Q422">
        <f t="shared" si="975"/>
        <v>-17762.5470967744</v>
      </c>
      <c r="R422">
        <f t="shared" si="976"/>
        <v>-53049220.697978817</v>
      </c>
      <c r="S422">
        <f t="shared" si="977"/>
        <v>-530.49220697978819</v>
      </c>
      <c r="T422">
        <f t="shared" si="978"/>
        <v>-0.53049220697978816</v>
      </c>
    </row>
    <row r="423" spans="1:20" x14ac:dyDescent="0.25">
      <c r="A423" s="5">
        <v>44170</v>
      </c>
      <c r="B423">
        <v>0.3473</v>
      </c>
      <c r="C423">
        <v>0.37630000000000002</v>
      </c>
      <c r="D423">
        <v>0.34329999999999999</v>
      </c>
      <c r="E423">
        <v>0.37219999999999998</v>
      </c>
      <c r="F423">
        <v>238198.96</v>
      </c>
      <c r="G423">
        <v>0</v>
      </c>
      <c r="L423" t="s">
        <v>8</v>
      </c>
      <c r="M423" t="s">
        <v>7</v>
      </c>
      <c r="N423" t="s">
        <v>8</v>
      </c>
      <c r="P423">
        <f t="shared" si="974"/>
        <v>0.7515151515151488</v>
      </c>
      <c r="Q423">
        <f t="shared" si="975"/>
        <v>179010.12751515087</v>
      </c>
      <c r="R423">
        <f t="shared" si="976"/>
        <v>-53031458.150882043</v>
      </c>
      <c r="S423">
        <f t="shared" si="977"/>
        <v>-530.31458150882042</v>
      </c>
      <c r="T423">
        <f t="shared" si="978"/>
        <v>-0.53031458150882038</v>
      </c>
    </row>
    <row r="424" spans="1:20" x14ac:dyDescent="0.25">
      <c r="A424" s="5">
        <v>44169</v>
      </c>
      <c r="B424">
        <v>0.39610000000000001</v>
      </c>
      <c r="C424">
        <v>0.39610000000000001</v>
      </c>
      <c r="D424">
        <v>0.34350000000000003</v>
      </c>
      <c r="E424">
        <v>0.34849999999999998</v>
      </c>
      <c r="F424">
        <v>660988.06999999995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-0.80988593155893718</v>
      </c>
      <c r="Q424">
        <f t="shared" si="975"/>
        <v>-535324.93882129388</v>
      </c>
      <c r="R424">
        <f t="shared" si="976"/>
        <v>-53210468.278397195</v>
      </c>
      <c r="S424">
        <f t="shared" si="977"/>
        <v>-532.10468278397195</v>
      </c>
      <c r="T424">
        <f t="shared" si="978"/>
        <v>-0.53210468278397194</v>
      </c>
    </row>
    <row r="425" spans="1:20" x14ac:dyDescent="0.25">
      <c r="A425" s="5">
        <v>44168</v>
      </c>
      <c r="B425">
        <v>0.37380000000000002</v>
      </c>
      <c r="C425">
        <v>0.42509999999999998</v>
      </c>
      <c r="D425">
        <v>0.37380000000000002</v>
      </c>
      <c r="E425">
        <v>0.39410000000000001</v>
      </c>
      <c r="F425">
        <v>1624397.49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-0.20857699805068219</v>
      </c>
      <c r="Q425">
        <f t="shared" si="975"/>
        <v>-338811.95210526307</v>
      </c>
      <c r="R425">
        <f t="shared" si="976"/>
        <v>-52675143.339575902</v>
      </c>
      <c r="S425">
        <f t="shared" si="977"/>
        <v>-526.75143339575902</v>
      </c>
      <c r="T425">
        <f t="shared" si="978"/>
        <v>-0.52675143339575903</v>
      </c>
    </row>
    <row r="426" spans="1:20" x14ac:dyDescent="0.25">
      <c r="A426" s="5">
        <v>44167</v>
      </c>
      <c r="B426">
        <v>0.36020000000000002</v>
      </c>
      <c r="C426">
        <v>0.38</v>
      </c>
      <c r="D426">
        <v>0.34799999999999998</v>
      </c>
      <c r="E426">
        <v>0.37269999999999998</v>
      </c>
      <c r="F426">
        <v>758833.23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0.54374999999999862</v>
      </c>
      <c r="Q426">
        <f t="shared" si="975"/>
        <v>412615.56881249894</v>
      </c>
      <c r="R426">
        <f t="shared" si="976"/>
        <v>-52336331.38747064</v>
      </c>
      <c r="S426">
        <f t="shared" si="977"/>
        <v>-523.36331387470636</v>
      </c>
      <c r="T426">
        <f t="shared" si="978"/>
        <v>-0.52336331387470636</v>
      </c>
    </row>
    <row r="427" spans="1:20" x14ac:dyDescent="0.25">
      <c r="A427" s="5">
        <v>44166</v>
      </c>
      <c r="B427">
        <v>0.34670000000000001</v>
      </c>
      <c r="C427">
        <v>0.38619999999999999</v>
      </c>
      <c r="D427">
        <v>0.32240000000000002</v>
      </c>
      <c r="E427">
        <v>0.36030000000000001</v>
      </c>
      <c r="F427">
        <v>2111142.4900000002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0.18808777429467111</v>
      </c>
      <c r="Q427">
        <f t="shared" si="975"/>
        <v>397080.09216300998</v>
      </c>
      <c r="R427">
        <f t="shared" si="976"/>
        <v>-52748946.956283137</v>
      </c>
      <c r="S427">
        <f t="shared" si="977"/>
        <v>-527.48946956283135</v>
      </c>
      <c r="T427">
        <f t="shared" si="978"/>
        <v>-0.52748946956283138</v>
      </c>
    </row>
    <row r="428" spans="1:20" x14ac:dyDescent="0.25">
      <c r="A428" s="5">
        <v>44165</v>
      </c>
      <c r="B428">
        <v>0.34210000000000002</v>
      </c>
      <c r="C428">
        <v>0.35699999999999998</v>
      </c>
      <c r="D428">
        <v>0.33289999999999997</v>
      </c>
      <c r="E428">
        <v>0.34810000000000002</v>
      </c>
      <c r="F428">
        <v>377984.76</v>
      </c>
      <c r="G428">
        <v>0</v>
      </c>
      <c r="L428" t="s">
        <v>8</v>
      </c>
      <c r="M428" t="s">
        <v>7</v>
      </c>
      <c r="N428" t="s">
        <v>7</v>
      </c>
      <c r="P428">
        <f t="shared" si="974"/>
        <v>0.26141078838174608</v>
      </c>
      <c r="Q428">
        <f t="shared" si="975"/>
        <v>98809.294107885085</v>
      </c>
      <c r="R428">
        <f t="shared" si="976"/>
        <v>-53146027.048446149</v>
      </c>
      <c r="S428">
        <f t="shared" si="977"/>
        <v>-531.46027048446149</v>
      </c>
      <c r="T428">
        <f t="shared" si="978"/>
        <v>-0.53146027048446154</v>
      </c>
    </row>
    <row r="429" spans="1:20" x14ac:dyDescent="0.25">
      <c r="A429" s="5">
        <v>44164</v>
      </c>
      <c r="B429">
        <v>0.3407</v>
      </c>
      <c r="C429">
        <v>0.35110000000000002</v>
      </c>
      <c r="D429">
        <v>0.33300000000000002</v>
      </c>
      <c r="E429">
        <v>0.34150000000000003</v>
      </c>
      <c r="F429">
        <v>489386.91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-6.0773480662982847E-2</v>
      </c>
      <c r="Q429">
        <f t="shared" si="975"/>
        <v>-29741.745911601924</v>
      </c>
      <c r="R429">
        <f t="shared" si="976"/>
        <v>-53244836.342554033</v>
      </c>
      <c r="S429">
        <f t="shared" si="977"/>
        <v>-532.44836342554038</v>
      </c>
      <c r="T429">
        <f t="shared" si="978"/>
        <v>-0.53244836342554036</v>
      </c>
    </row>
    <row r="430" spans="1:20" x14ac:dyDescent="0.25">
      <c r="A430" s="5">
        <v>44163</v>
      </c>
      <c r="B430">
        <v>0.33069999999999999</v>
      </c>
      <c r="C430">
        <v>0.3458</v>
      </c>
      <c r="D430">
        <v>0.3251</v>
      </c>
      <c r="E430">
        <v>0.3407</v>
      </c>
      <c r="F430">
        <v>372018.91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0.50724637681159479</v>
      </c>
      <c r="Q430">
        <f t="shared" si="975"/>
        <v>188705.24420289876</v>
      </c>
      <c r="R430">
        <f t="shared" si="976"/>
        <v>-53215094.596642435</v>
      </c>
      <c r="S430">
        <f t="shared" si="977"/>
        <v>-532.15094596642439</v>
      </c>
      <c r="T430">
        <f t="shared" si="978"/>
        <v>-0.53215094596642443</v>
      </c>
    </row>
    <row r="431" spans="1:20" x14ac:dyDescent="0.25">
      <c r="A431" s="5">
        <v>44162</v>
      </c>
      <c r="B431">
        <v>0.32850000000000001</v>
      </c>
      <c r="C431">
        <v>0.33610000000000001</v>
      </c>
      <c r="D431">
        <v>0.31140000000000001</v>
      </c>
      <c r="E431">
        <v>0.3337</v>
      </c>
      <c r="F431">
        <v>267421.25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0.80566801619433093</v>
      </c>
      <c r="Q431">
        <f t="shared" si="975"/>
        <v>215452.74797570822</v>
      </c>
      <c r="R431">
        <f t="shared" si="976"/>
        <v>-53403799.840845332</v>
      </c>
      <c r="S431">
        <f t="shared" si="977"/>
        <v>-534.03799840845329</v>
      </c>
      <c r="T431">
        <f t="shared" si="978"/>
        <v>-0.53403799840845334</v>
      </c>
    </row>
    <row r="432" spans="1:20" x14ac:dyDescent="0.25">
      <c r="A432" s="5">
        <v>44161</v>
      </c>
      <c r="B432">
        <v>0.36940000000000001</v>
      </c>
      <c r="C432">
        <v>0.37590000000000001</v>
      </c>
      <c r="D432">
        <v>0.30380000000000001</v>
      </c>
      <c r="E432">
        <v>0.32690000000000002</v>
      </c>
      <c r="F432">
        <v>728816.59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-0.35922330097087352</v>
      </c>
      <c r="Q432">
        <f t="shared" si="975"/>
        <v>-261807.90126213571</v>
      </c>
      <c r="R432">
        <f t="shared" si="976"/>
        <v>-53619252.588821039</v>
      </c>
      <c r="S432">
        <f t="shared" si="977"/>
        <v>-536.19252588821041</v>
      </c>
      <c r="T432">
        <f t="shared" si="978"/>
        <v>-0.53619252588821043</v>
      </c>
    </row>
    <row r="433" spans="1:20" x14ac:dyDescent="0.25">
      <c r="A433" s="5">
        <v>44160</v>
      </c>
      <c r="B433">
        <v>0.35470000000000002</v>
      </c>
      <c r="C433">
        <v>0.4299</v>
      </c>
      <c r="D433">
        <v>0.35470000000000002</v>
      </c>
      <c r="E433">
        <v>0.36820000000000003</v>
      </c>
      <c r="F433">
        <v>2098197.42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-0.6409574468085103</v>
      </c>
      <c r="Q433">
        <f t="shared" si="975"/>
        <v>-1344855.2612234035</v>
      </c>
      <c r="R433">
        <f t="shared" si="976"/>
        <v>-53357444.687558904</v>
      </c>
      <c r="S433">
        <f t="shared" si="977"/>
        <v>-533.57444687558905</v>
      </c>
      <c r="T433">
        <f t="shared" si="978"/>
        <v>-0.53357444687558908</v>
      </c>
    </row>
    <row r="434" spans="1:20" x14ac:dyDescent="0.25">
      <c r="A434" s="5">
        <v>44159</v>
      </c>
      <c r="B434">
        <v>0.32469999999999999</v>
      </c>
      <c r="C434">
        <v>0.36380000000000001</v>
      </c>
      <c r="D434">
        <v>0.30570000000000003</v>
      </c>
      <c r="E434">
        <v>0.35370000000000001</v>
      </c>
      <c r="F434">
        <v>1514481.19</v>
      </c>
      <c r="G434">
        <v>0</v>
      </c>
      <c r="L434" t="s">
        <v>8</v>
      </c>
      <c r="M434" t="s">
        <v>8</v>
      </c>
      <c r="N434" t="s">
        <v>7</v>
      </c>
      <c r="P434">
        <f t="shared" si="974"/>
        <v>0.65232358003442337</v>
      </c>
      <c r="Q434">
        <f t="shared" si="975"/>
        <v>987931.79175559373</v>
      </c>
      <c r="R434">
        <f t="shared" si="976"/>
        <v>-52012589.426335499</v>
      </c>
      <c r="S434">
        <f t="shared" si="977"/>
        <v>-520.12589426335501</v>
      </c>
      <c r="T434">
        <f t="shared" si="978"/>
        <v>-0.52012589426335498</v>
      </c>
    </row>
    <row r="435" spans="1:20" x14ac:dyDescent="0.25">
      <c r="A435" s="5">
        <v>44158</v>
      </c>
      <c r="B435">
        <v>0.31990000000000002</v>
      </c>
      <c r="C435">
        <v>0.3271</v>
      </c>
      <c r="D435">
        <v>0.31030000000000002</v>
      </c>
      <c r="E435">
        <v>0.32350000000000001</v>
      </c>
      <c r="F435">
        <v>518703.12</v>
      </c>
      <c r="G435">
        <v>0</v>
      </c>
      <c r="L435" t="s">
        <v>7</v>
      </c>
      <c r="M435" t="s">
        <v>8</v>
      </c>
      <c r="N435" t="s">
        <v>7</v>
      </c>
      <c r="P435">
        <f t="shared" si="974"/>
        <v>0.57142857142857195</v>
      </c>
      <c r="Q435">
        <f t="shared" si="975"/>
        <v>296401.78285714315</v>
      </c>
      <c r="R435">
        <f t="shared" si="976"/>
        <v>-53000521.218091093</v>
      </c>
      <c r="S435">
        <f t="shared" si="977"/>
        <v>-530.00521218091092</v>
      </c>
      <c r="T435">
        <f t="shared" si="978"/>
        <v>-0.5300052121809109</v>
      </c>
    </row>
    <row r="436" spans="1:20" x14ac:dyDescent="0.25">
      <c r="A436" s="5">
        <v>44157</v>
      </c>
      <c r="B436">
        <v>0.3196</v>
      </c>
      <c r="C436">
        <v>0.3332</v>
      </c>
      <c r="D436">
        <v>0.3024</v>
      </c>
      <c r="E436">
        <v>0.31730000000000003</v>
      </c>
      <c r="F436">
        <v>526990.38</v>
      </c>
      <c r="G436">
        <v>0</v>
      </c>
      <c r="L436" t="s">
        <v>8</v>
      </c>
      <c r="M436" t="s">
        <v>8</v>
      </c>
      <c r="N436" t="s">
        <v>7</v>
      </c>
      <c r="P436">
        <f t="shared" si="974"/>
        <v>-3.2467532467530702E-2</v>
      </c>
      <c r="Q436">
        <f t="shared" si="975"/>
        <v>-17110.077272726343</v>
      </c>
      <c r="R436">
        <f t="shared" si="976"/>
        <v>-53296923.000948235</v>
      </c>
      <c r="S436">
        <f t="shared" si="977"/>
        <v>-532.96923000948232</v>
      </c>
      <c r="T436">
        <f t="shared" si="978"/>
        <v>-0.53296923000948226</v>
      </c>
    </row>
    <row r="437" spans="1:20" x14ac:dyDescent="0.25">
      <c r="A437" s="5">
        <v>44156</v>
      </c>
      <c r="B437">
        <v>0.3034</v>
      </c>
      <c r="C437">
        <v>0.32740000000000002</v>
      </c>
      <c r="D437">
        <v>0.30009999999999998</v>
      </c>
      <c r="E437">
        <v>0.3196</v>
      </c>
      <c r="F437">
        <v>586376.09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0.42857142857142738</v>
      </c>
      <c r="Q437">
        <f t="shared" si="975"/>
        <v>251304.03857142787</v>
      </c>
      <c r="R437">
        <f t="shared" si="976"/>
        <v>-53279812.923675507</v>
      </c>
      <c r="S437">
        <f t="shared" si="977"/>
        <v>-532.79812923675502</v>
      </c>
      <c r="T437">
        <f t="shared" si="978"/>
        <v>-0.53279812923675507</v>
      </c>
    </row>
    <row r="438" spans="1:20" x14ac:dyDescent="0.25">
      <c r="A438" s="5">
        <v>44155</v>
      </c>
      <c r="B438">
        <v>0.3009</v>
      </c>
      <c r="C438">
        <v>0.30890000000000001</v>
      </c>
      <c r="D438">
        <v>0.2984</v>
      </c>
      <c r="E438">
        <v>0.30430000000000001</v>
      </c>
      <c r="F438">
        <v>229800.53</v>
      </c>
      <c r="G438">
        <v>0</v>
      </c>
      <c r="L438" t="s">
        <v>7</v>
      </c>
      <c r="M438" t="s">
        <v>8</v>
      </c>
      <c r="N438" t="s">
        <v>7</v>
      </c>
      <c r="P438">
        <f t="shared" si="974"/>
        <v>0.12380952380952592</v>
      </c>
      <c r="Q438">
        <f t="shared" si="975"/>
        <v>28451.494190476675</v>
      </c>
      <c r="R438">
        <f t="shared" si="976"/>
        <v>-53531116.962246932</v>
      </c>
      <c r="S438">
        <f t="shared" si="977"/>
        <v>-535.31116962246927</v>
      </c>
      <c r="T438">
        <f t="shared" si="978"/>
        <v>-0.53531116962246927</v>
      </c>
    </row>
    <row r="439" spans="1:20" x14ac:dyDescent="0.25">
      <c r="A439" s="5">
        <v>44154</v>
      </c>
      <c r="B439">
        <v>0.3004</v>
      </c>
      <c r="C439">
        <v>0.30690000000000001</v>
      </c>
      <c r="D439">
        <v>0.29380000000000001</v>
      </c>
      <c r="E439">
        <v>0.3009</v>
      </c>
      <c r="F439">
        <v>167647.67999999999</v>
      </c>
      <c r="G439">
        <v>0</v>
      </c>
      <c r="L439" t="s">
        <v>7</v>
      </c>
      <c r="M439" t="s">
        <v>8</v>
      </c>
      <c r="N439" t="s">
        <v>7</v>
      </c>
      <c r="P439">
        <f t="shared" si="974"/>
        <v>8.3969465648854186E-2</v>
      </c>
      <c r="Q439">
        <f t="shared" si="975"/>
        <v>14077.286106870099</v>
      </c>
      <c r="R439">
        <f t="shared" si="976"/>
        <v>-53559568.456437409</v>
      </c>
      <c r="S439">
        <f t="shared" si="977"/>
        <v>-535.5956845643741</v>
      </c>
      <c r="T439">
        <f t="shared" si="978"/>
        <v>-0.53559568456437412</v>
      </c>
    </row>
    <row r="440" spans="1:20" x14ac:dyDescent="0.25">
      <c r="A440" s="5">
        <v>44153</v>
      </c>
      <c r="B440">
        <v>0.30659999999999998</v>
      </c>
      <c r="C440">
        <v>0.3095</v>
      </c>
      <c r="D440">
        <v>0.2959</v>
      </c>
      <c r="E440">
        <v>0.30049999999999999</v>
      </c>
      <c r="F440">
        <v>275160.31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-0.32352941176470695</v>
      </c>
      <c r="Q440">
        <f t="shared" si="975"/>
        <v>-89022.453235294408</v>
      </c>
      <c r="R440">
        <f t="shared" si="976"/>
        <v>-53573645.742544279</v>
      </c>
      <c r="S440">
        <f t="shared" si="977"/>
        <v>-535.73645742544284</v>
      </c>
      <c r="T440">
        <f t="shared" si="978"/>
        <v>-0.53573645742544285</v>
      </c>
    </row>
    <row r="441" spans="1:20" x14ac:dyDescent="0.25">
      <c r="A441" s="5">
        <v>44152</v>
      </c>
      <c r="B441">
        <v>0.313</v>
      </c>
      <c r="C441">
        <v>0.31919999999999998</v>
      </c>
      <c r="D441">
        <v>0.30070000000000002</v>
      </c>
      <c r="E441">
        <v>0.30680000000000002</v>
      </c>
      <c r="F441">
        <v>1324752.8999999999</v>
      </c>
      <c r="G441">
        <v>0</v>
      </c>
      <c r="L441" t="s">
        <v>7</v>
      </c>
      <c r="M441" t="s">
        <v>8</v>
      </c>
      <c r="N441" t="s">
        <v>7</v>
      </c>
      <c r="P441">
        <f t="shared" si="974"/>
        <v>-0.34054054054053978</v>
      </c>
      <c r="Q441">
        <f t="shared" si="975"/>
        <v>-451132.06864864763</v>
      </c>
      <c r="R441">
        <f t="shared" si="976"/>
        <v>-53484623.289308988</v>
      </c>
      <c r="S441">
        <f t="shared" si="977"/>
        <v>-534.8462328930899</v>
      </c>
      <c r="T441">
        <f t="shared" si="978"/>
        <v>-0.53484623289308986</v>
      </c>
    </row>
    <row r="442" spans="1:20" x14ac:dyDescent="0.25">
      <c r="A442" s="5">
        <v>44151</v>
      </c>
      <c r="B442">
        <v>0.30890000000000001</v>
      </c>
      <c r="C442">
        <v>0.31480000000000002</v>
      </c>
      <c r="D442">
        <v>0.3039</v>
      </c>
      <c r="E442">
        <v>0.31130000000000002</v>
      </c>
      <c r="F442">
        <v>178147.99</v>
      </c>
      <c r="G442">
        <v>0</v>
      </c>
      <c r="L442" t="s">
        <v>7</v>
      </c>
      <c r="M442" t="s">
        <v>8</v>
      </c>
      <c r="N442" t="s">
        <v>7</v>
      </c>
      <c r="P442">
        <f t="shared" si="974"/>
        <v>0.35779816513761531</v>
      </c>
      <c r="Q442">
        <f t="shared" si="975"/>
        <v>63741.023944954235</v>
      </c>
      <c r="R442">
        <f t="shared" si="976"/>
        <v>-53033491.220660336</v>
      </c>
      <c r="S442">
        <f t="shared" si="977"/>
        <v>-530.33491220660335</v>
      </c>
      <c r="T442">
        <f t="shared" si="978"/>
        <v>-0.53033491220660334</v>
      </c>
    </row>
    <row r="443" spans="1:20" x14ac:dyDescent="0.25">
      <c r="A443" s="5">
        <v>44150</v>
      </c>
      <c r="B443">
        <v>0.31790000000000002</v>
      </c>
      <c r="C443">
        <v>0.3342</v>
      </c>
      <c r="D443">
        <v>0.30570000000000003</v>
      </c>
      <c r="E443">
        <v>0.30890000000000001</v>
      </c>
      <c r="F443">
        <v>207902.79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-0.77543859649122915</v>
      </c>
      <c r="Q443">
        <f t="shared" si="975"/>
        <v>-161215.84768421075</v>
      </c>
      <c r="R443">
        <f t="shared" si="976"/>
        <v>-53097232.244605288</v>
      </c>
      <c r="S443">
        <f t="shared" si="977"/>
        <v>-530.97232244605289</v>
      </c>
      <c r="T443">
        <f t="shared" si="978"/>
        <v>-0.53097232244605286</v>
      </c>
    </row>
    <row r="444" spans="1:20" x14ac:dyDescent="0.25">
      <c r="A444" s="5">
        <v>44149</v>
      </c>
      <c r="B444">
        <v>0.30690000000000001</v>
      </c>
      <c r="C444">
        <v>0.33800000000000002</v>
      </c>
      <c r="D444">
        <v>0.30690000000000001</v>
      </c>
      <c r="E444">
        <v>0.31740000000000002</v>
      </c>
      <c r="F444">
        <v>546357.31999999995</v>
      </c>
      <c r="G444">
        <v>0</v>
      </c>
      <c r="L444" t="s">
        <v>8</v>
      </c>
      <c r="M444" t="s">
        <v>8</v>
      </c>
      <c r="N444" t="s">
        <v>7</v>
      </c>
      <c r="P444">
        <f t="shared" si="974"/>
        <v>-0.32475884244372966</v>
      </c>
      <c r="Q444">
        <f t="shared" si="975"/>
        <v>-177434.37080385836</v>
      </c>
      <c r="R444">
        <f t="shared" si="976"/>
        <v>-52936016.396921076</v>
      </c>
      <c r="S444">
        <f t="shared" si="977"/>
        <v>-529.3601639692107</v>
      </c>
      <c r="T444">
        <f t="shared" si="978"/>
        <v>-0.52936016396921071</v>
      </c>
    </row>
    <row r="445" spans="1:20" x14ac:dyDescent="0.25">
      <c r="A445" s="5">
        <v>44148</v>
      </c>
      <c r="B445">
        <v>0.2964</v>
      </c>
      <c r="C445">
        <v>0.311</v>
      </c>
      <c r="D445">
        <v>0.2949</v>
      </c>
      <c r="E445">
        <v>0.30680000000000002</v>
      </c>
      <c r="F445">
        <v>157581.76999999999</v>
      </c>
      <c r="G445">
        <v>0</v>
      </c>
      <c r="L445" t="s">
        <v>8</v>
      </c>
      <c r="M445" t="s">
        <v>7</v>
      </c>
      <c r="N445" t="s">
        <v>7</v>
      </c>
      <c r="P445">
        <f t="shared" si="974"/>
        <v>0.47826086956521979</v>
      </c>
      <c r="Q445">
        <f t="shared" si="975"/>
        <v>75365.194347826458</v>
      </c>
      <c r="R445">
        <f t="shared" si="976"/>
        <v>-52758582.026117221</v>
      </c>
      <c r="S445">
        <f t="shared" si="977"/>
        <v>-527.58582026117222</v>
      </c>
      <c r="T445">
        <f t="shared" si="978"/>
        <v>-0.52758582026117218</v>
      </c>
    </row>
    <row r="446" spans="1:20" x14ac:dyDescent="0.25">
      <c r="A446" s="5">
        <v>44147</v>
      </c>
      <c r="B446">
        <v>0.30520000000000003</v>
      </c>
      <c r="C446">
        <v>0.30669999999999997</v>
      </c>
      <c r="D446">
        <v>0.29160000000000003</v>
      </c>
      <c r="E446">
        <v>0.29620000000000002</v>
      </c>
      <c r="F446">
        <v>270989.65999999997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-0.39072847682119083</v>
      </c>
      <c r="Q446">
        <f t="shared" si="975"/>
        <v>-105883.37708609237</v>
      </c>
      <c r="R446">
        <f t="shared" si="976"/>
        <v>-52833947.220465049</v>
      </c>
      <c r="S446">
        <f t="shared" si="977"/>
        <v>-528.33947220465052</v>
      </c>
      <c r="T446">
        <f t="shared" si="978"/>
        <v>-0.5283394722046505</v>
      </c>
    </row>
    <row r="447" spans="1:20" x14ac:dyDescent="0.25">
      <c r="A447" s="5">
        <v>44146</v>
      </c>
      <c r="B447">
        <v>0.30809999999999998</v>
      </c>
      <c r="C447">
        <v>0.31409999999999999</v>
      </c>
      <c r="D447">
        <v>0.30080000000000001</v>
      </c>
      <c r="E447">
        <v>0.30549999999999999</v>
      </c>
      <c r="F447">
        <v>426655.98</v>
      </c>
      <c r="G447">
        <v>0</v>
      </c>
      <c r="L447" t="s">
        <v>8</v>
      </c>
      <c r="M447" t="s">
        <v>7</v>
      </c>
      <c r="N447" t="s">
        <v>7</v>
      </c>
      <c r="P447">
        <f t="shared" si="974"/>
        <v>-0.29323308270676851</v>
      </c>
      <c r="Q447">
        <f t="shared" si="975"/>
        <v>-125109.64827067737</v>
      </c>
      <c r="R447">
        <f t="shared" si="976"/>
        <v>-52728063.843378954</v>
      </c>
      <c r="S447">
        <f t="shared" si="977"/>
        <v>-527.28063843378959</v>
      </c>
      <c r="T447">
        <f t="shared" si="978"/>
        <v>-0.52728063843378958</v>
      </c>
    </row>
    <row r="448" spans="1:20" x14ac:dyDescent="0.25">
      <c r="A448" s="5">
        <v>44145</v>
      </c>
      <c r="B448">
        <v>0.29630000000000001</v>
      </c>
      <c r="C448">
        <v>0.30969999999999998</v>
      </c>
      <c r="D448">
        <v>0.29499999999999998</v>
      </c>
      <c r="E448">
        <v>0.30669999999999997</v>
      </c>
      <c r="F448">
        <v>250199.28</v>
      </c>
      <c r="G448">
        <v>0</v>
      </c>
      <c r="L448" t="s">
        <v>8</v>
      </c>
      <c r="M448" t="s">
        <v>7</v>
      </c>
      <c r="N448" t="s">
        <v>7</v>
      </c>
      <c r="P448">
        <f t="shared" si="974"/>
        <v>0.59183673469387699</v>
      </c>
      <c r="Q448">
        <f t="shared" si="975"/>
        <v>148077.12489795903</v>
      </c>
      <c r="R448">
        <f t="shared" si="976"/>
        <v>-52602954.19510828</v>
      </c>
      <c r="S448">
        <f t="shared" si="977"/>
        <v>-526.02954195108282</v>
      </c>
      <c r="T448">
        <f t="shared" si="978"/>
        <v>-0.52602954195108287</v>
      </c>
    </row>
    <row r="449" spans="1:20" x14ac:dyDescent="0.25">
      <c r="A449" s="5">
        <v>44144</v>
      </c>
      <c r="B449">
        <v>0.29370000000000002</v>
      </c>
      <c r="C449">
        <v>0.30099999999999999</v>
      </c>
      <c r="D449">
        <v>0.28310000000000002</v>
      </c>
      <c r="E449">
        <v>0.2959</v>
      </c>
      <c r="F449">
        <v>139375.99</v>
      </c>
      <c r="G449">
        <v>0</v>
      </c>
      <c r="L449" t="s">
        <v>8</v>
      </c>
      <c r="M449" t="s">
        <v>7</v>
      </c>
      <c r="N449" t="s">
        <v>7</v>
      </c>
      <c r="P449">
        <f t="shared" si="974"/>
        <v>0.43016759776536295</v>
      </c>
      <c r="Q449">
        <f t="shared" si="975"/>
        <v>59955.034804469244</v>
      </c>
      <c r="R449">
        <f t="shared" si="976"/>
        <v>-52751031.320006236</v>
      </c>
      <c r="S449">
        <f t="shared" si="977"/>
        <v>-527.51031320006234</v>
      </c>
      <c r="T449">
        <f t="shared" si="978"/>
        <v>-0.52751031320006236</v>
      </c>
    </row>
    <row r="450" spans="1:20" x14ac:dyDescent="0.25">
      <c r="A450" s="5">
        <v>44143</v>
      </c>
      <c r="B450">
        <v>0.28489999999999999</v>
      </c>
      <c r="C450">
        <v>0.29949999999999999</v>
      </c>
      <c r="D450">
        <v>0.28370000000000001</v>
      </c>
      <c r="E450">
        <v>0.29499999999999998</v>
      </c>
      <c r="F450">
        <v>122876.59</v>
      </c>
      <c r="G450">
        <v>0</v>
      </c>
      <c r="L450" t="s">
        <v>8</v>
      </c>
      <c r="M450" t="s">
        <v>7</v>
      </c>
      <c r="N450" t="s">
        <v>7</v>
      </c>
      <c r="P450">
        <f t="shared" si="974"/>
        <v>0.43037974683544183</v>
      </c>
      <c r="Q450">
        <f t="shared" si="975"/>
        <v>52883.595696202385</v>
      </c>
      <c r="R450">
        <f t="shared" si="976"/>
        <v>-52810986.354810707</v>
      </c>
      <c r="S450">
        <f t="shared" si="977"/>
        <v>-528.10986354810711</v>
      </c>
      <c r="T450">
        <f t="shared" si="978"/>
        <v>-0.52810986354810707</v>
      </c>
    </row>
    <row r="451" spans="1:20" x14ac:dyDescent="0.25">
      <c r="A451" s="5">
        <v>44142</v>
      </c>
      <c r="B451">
        <v>0.30309999999999998</v>
      </c>
      <c r="C451">
        <v>0.31040000000000001</v>
      </c>
      <c r="D451">
        <v>0.27860000000000001</v>
      </c>
      <c r="E451">
        <v>0.28499999999999998</v>
      </c>
      <c r="F451">
        <v>792906.22</v>
      </c>
      <c r="G451">
        <v>0</v>
      </c>
      <c r="L451" t="s">
        <v>7</v>
      </c>
      <c r="M451" t="s">
        <v>7</v>
      </c>
      <c r="N451" t="s">
        <v>7</v>
      </c>
      <c r="P451">
        <f t="shared" si="974"/>
        <v>-0.59748427672956217</v>
      </c>
      <c r="Q451">
        <f t="shared" si="975"/>
        <v>-473748.99937107111</v>
      </c>
      <c r="R451">
        <f t="shared" si="976"/>
        <v>-52863869.950506911</v>
      </c>
      <c r="S451">
        <f t="shared" si="977"/>
        <v>-528.6386995050691</v>
      </c>
      <c r="T451">
        <f t="shared" si="978"/>
        <v>-0.52863869950506914</v>
      </c>
    </row>
    <row r="452" spans="1:20" x14ac:dyDescent="0.25">
      <c r="A452" s="5">
        <v>44141</v>
      </c>
      <c r="B452">
        <v>0.28560000000000002</v>
      </c>
      <c r="C452">
        <v>0.312</v>
      </c>
      <c r="D452">
        <v>0.2838</v>
      </c>
      <c r="E452">
        <v>0.30249999999999999</v>
      </c>
      <c r="F452">
        <v>598855.68000000005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0.32624113475177252</v>
      </c>
      <c r="Q452">
        <f t="shared" si="975"/>
        <v>195371.35659574438</v>
      </c>
      <c r="R452">
        <f t="shared" si="976"/>
        <v>-52390120.951135837</v>
      </c>
      <c r="S452">
        <f t="shared" si="977"/>
        <v>-523.90120951135839</v>
      </c>
      <c r="T452">
        <f t="shared" si="978"/>
        <v>-0.52390120951135843</v>
      </c>
    </row>
    <row r="453" spans="1:20" x14ac:dyDescent="0.25">
      <c r="A453" s="5">
        <v>44140</v>
      </c>
      <c r="B453">
        <v>0.2772</v>
      </c>
      <c r="C453">
        <v>0.2873</v>
      </c>
      <c r="D453">
        <v>0.27529999999999999</v>
      </c>
      <c r="E453">
        <v>0.2863</v>
      </c>
      <c r="F453">
        <v>173211.24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0.83333333333333337</v>
      </c>
      <c r="Q453">
        <f t="shared" si="975"/>
        <v>144342.70000000001</v>
      </c>
      <c r="R453">
        <f t="shared" si="976"/>
        <v>-52585492.307731584</v>
      </c>
      <c r="S453">
        <f t="shared" si="977"/>
        <v>-525.85492307731579</v>
      </c>
      <c r="T453">
        <f t="shared" si="978"/>
        <v>-0.52585492307731574</v>
      </c>
    </row>
    <row r="454" spans="1:20" x14ac:dyDescent="0.25">
      <c r="A454" s="5">
        <v>44139</v>
      </c>
      <c r="B454">
        <v>0.28039999999999998</v>
      </c>
      <c r="C454">
        <v>0.28120000000000001</v>
      </c>
      <c r="D454">
        <v>0.26800000000000002</v>
      </c>
      <c r="E454">
        <v>0.27579999999999999</v>
      </c>
      <c r="F454">
        <v>475245.62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0.18181818181817877</v>
      </c>
      <c r="Q454">
        <f t="shared" ref="Q454:Q517" si="980">F454*P454</f>
        <v>86408.2945454531</v>
      </c>
      <c r="R454">
        <f t="shared" ref="R454:R517" si="981">R455+Q454</f>
        <v>-52729835.007731587</v>
      </c>
      <c r="S454">
        <f t="shared" ref="S454:S517" si="982">R454/100000</f>
        <v>-527.29835007731583</v>
      </c>
      <c r="T454">
        <f t="shared" ref="T454:T517" si="983">S454/1000</f>
        <v>-0.52729835007731585</v>
      </c>
    </row>
    <row r="455" spans="1:20" x14ac:dyDescent="0.25">
      <c r="A455" s="5">
        <v>44138</v>
      </c>
      <c r="B455">
        <v>0.30120000000000002</v>
      </c>
      <c r="C455">
        <v>0.3075</v>
      </c>
      <c r="D455">
        <v>0.27689999999999998</v>
      </c>
      <c r="E455">
        <v>0.27989999999999998</v>
      </c>
      <c r="F455">
        <v>1263582.3500000001</v>
      </c>
      <c r="G455">
        <v>0</v>
      </c>
      <c r="L455" t="s">
        <v>8</v>
      </c>
      <c r="M455" t="s">
        <v>7</v>
      </c>
      <c r="N455" t="s">
        <v>7</v>
      </c>
      <c r="P455">
        <f t="shared" si="979"/>
        <v>-0.8039215686274509</v>
      </c>
      <c r="Q455">
        <f t="shared" si="980"/>
        <v>-1015821.1049019607</v>
      </c>
      <c r="R455">
        <f t="shared" si="981"/>
        <v>-52816243.302277043</v>
      </c>
      <c r="S455">
        <f t="shared" si="982"/>
        <v>-528.16243302277041</v>
      </c>
      <c r="T455">
        <f t="shared" si="983"/>
        <v>-0.52816243302277044</v>
      </c>
    </row>
    <row r="456" spans="1:20" x14ac:dyDescent="0.25">
      <c r="A456" s="5">
        <v>44137</v>
      </c>
      <c r="B456">
        <v>0.28260000000000002</v>
      </c>
      <c r="C456">
        <v>0.3241</v>
      </c>
      <c r="D456">
        <v>0.27600000000000002</v>
      </c>
      <c r="E456">
        <v>0.30099999999999999</v>
      </c>
      <c r="F456">
        <v>11320636.5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3.9501039501038636E-2</v>
      </c>
      <c r="Q456">
        <f t="shared" si="980"/>
        <v>447176.90956339979</v>
      </c>
      <c r="R456">
        <f t="shared" si="981"/>
        <v>-51800422.197375081</v>
      </c>
      <c r="S456">
        <f t="shared" si="982"/>
        <v>-518.00422197375076</v>
      </c>
      <c r="T456">
        <f t="shared" si="983"/>
        <v>-0.51800422197375073</v>
      </c>
    </row>
    <row r="457" spans="1:20" x14ac:dyDescent="0.25">
      <c r="A457" s="5">
        <v>44136</v>
      </c>
      <c r="B457">
        <v>0.28249999999999997</v>
      </c>
      <c r="C457">
        <v>0.28510000000000002</v>
      </c>
      <c r="D457">
        <v>0.2772</v>
      </c>
      <c r="E457">
        <v>0.28249999999999997</v>
      </c>
      <c r="F457">
        <v>74732.11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0.34177215189872384</v>
      </c>
      <c r="Q457">
        <f t="shared" si="980"/>
        <v>25541.354050632141</v>
      </c>
      <c r="R457">
        <f t="shared" si="981"/>
        <v>-52247599.106938481</v>
      </c>
      <c r="S457">
        <f t="shared" si="982"/>
        <v>-522.4759910693848</v>
      </c>
      <c r="T457">
        <f t="shared" si="983"/>
        <v>-0.5224759910693848</v>
      </c>
    </row>
    <row r="458" spans="1:20" x14ac:dyDescent="0.25">
      <c r="A458" s="5">
        <v>44135</v>
      </c>
      <c r="B458">
        <v>0.27889999999999998</v>
      </c>
      <c r="C458">
        <v>0.28589999999999999</v>
      </c>
      <c r="D458">
        <v>0.27650000000000002</v>
      </c>
      <c r="E458">
        <v>0.2838</v>
      </c>
      <c r="F458">
        <v>133252.31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0.55319148936170237</v>
      </c>
      <c r="Q458">
        <f t="shared" si="980"/>
        <v>73714.043829787261</v>
      </c>
      <c r="R458">
        <f t="shared" si="981"/>
        <v>-52273140.46098911</v>
      </c>
      <c r="S458">
        <f t="shared" si="982"/>
        <v>-522.73140460989111</v>
      </c>
      <c r="T458">
        <f t="shared" si="983"/>
        <v>-0.52273140460989109</v>
      </c>
    </row>
    <row r="459" spans="1:20" x14ac:dyDescent="0.25">
      <c r="A459" s="5">
        <v>44134</v>
      </c>
      <c r="B459">
        <v>0.29480000000000001</v>
      </c>
      <c r="C459">
        <v>0.29759999999999998</v>
      </c>
      <c r="D459">
        <v>0.27639999999999998</v>
      </c>
      <c r="E459">
        <v>0.27879999999999999</v>
      </c>
      <c r="F459">
        <v>265654.71000000002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-0.77358490566037608</v>
      </c>
      <c r="Q459">
        <f t="shared" si="980"/>
        <v>-205506.47377358458</v>
      </c>
      <c r="R459">
        <f t="shared" si="981"/>
        <v>-52346854.504818894</v>
      </c>
      <c r="S459">
        <f t="shared" si="982"/>
        <v>-523.46854504818896</v>
      </c>
      <c r="T459">
        <f t="shared" si="983"/>
        <v>-0.52346854504818896</v>
      </c>
    </row>
    <row r="460" spans="1:20" x14ac:dyDescent="0.25">
      <c r="A460" s="5">
        <v>44133</v>
      </c>
      <c r="B460">
        <v>0.29430000000000001</v>
      </c>
      <c r="C460">
        <v>0.30520000000000003</v>
      </c>
      <c r="D460">
        <v>0.28749999999999998</v>
      </c>
      <c r="E460">
        <v>0.29570000000000002</v>
      </c>
      <c r="F460">
        <v>223605.14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-7.3446327683613796E-2</v>
      </c>
      <c r="Q460">
        <f t="shared" si="980"/>
        <v>-16422.97638418034</v>
      </c>
      <c r="R460">
        <f t="shared" si="981"/>
        <v>-52141348.03104531</v>
      </c>
      <c r="S460">
        <f t="shared" si="982"/>
        <v>-521.41348031045311</v>
      </c>
      <c r="T460">
        <f t="shared" si="983"/>
        <v>-0.52141348031045309</v>
      </c>
    </row>
    <row r="461" spans="1:20" x14ac:dyDescent="0.25">
      <c r="A461" s="5">
        <v>44132</v>
      </c>
      <c r="B461">
        <v>0.30809999999999998</v>
      </c>
      <c r="C461">
        <v>0.30959999999999999</v>
      </c>
      <c r="D461">
        <v>0.29020000000000001</v>
      </c>
      <c r="E461">
        <v>0.29620000000000002</v>
      </c>
      <c r="F461">
        <v>175506.52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-0.38144329896907075</v>
      </c>
      <c r="Q461">
        <f t="shared" si="980"/>
        <v>-66945.785979381195</v>
      </c>
      <c r="R461">
        <f t="shared" si="981"/>
        <v>-52124925.054661132</v>
      </c>
      <c r="S461">
        <f t="shared" si="982"/>
        <v>-521.24925054661128</v>
      </c>
      <c r="T461">
        <f t="shared" si="983"/>
        <v>-0.52124925054661131</v>
      </c>
    </row>
    <row r="462" spans="1:20" x14ac:dyDescent="0.25">
      <c r="A462" s="5">
        <v>44131</v>
      </c>
      <c r="B462">
        <v>0.30620000000000003</v>
      </c>
      <c r="C462">
        <v>0.31430000000000002</v>
      </c>
      <c r="D462">
        <v>0.30180000000000001</v>
      </c>
      <c r="E462">
        <v>0.3085</v>
      </c>
      <c r="F462">
        <v>174928.55</v>
      </c>
      <c r="G462">
        <v>0</v>
      </c>
      <c r="L462" t="s">
        <v>7</v>
      </c>
      <c r="M462" t="s">
        <v>8</v>
      </c>
      <c r="N462" t="s">
        <v>7</v>
      </c>
      <c r="P462">
        <f t="shared" si="979"/>
        <v>7.1999999999996442E-2</v>
      </c>
      <c r="Q462">
        <f t="shared" si="980"/>
        <v>12594.855599999377</v>
      </c>
      <c r="R462">
        <f t="shared" si="981"/>
        <v>-52057979.26868175</v>
      </c>
      <c r="S462">
        <f t="shared" si="982"/>
        <v>-520.57979268681754</v>
      </c>
      <c r="T462">
        <f t="shared" si="983"/>
        <v>-0.52057979268681753</v>
      </c>
    </row>
    <row r="463" spans="1:20" x14ac:dyDescent="0.25">
      <c r="A463" s="5">
        <v>44130</v>
      </c>
      <c r="B463">
        <v>0.31230000000000002</v>
      </c>
      <c r="C463">
        <v>0.31990000000000002</v>
      </c>
      <c r="D463">
        <v>0.30049999999999999</v>
      </c>
      <c r="E463">
        <v>0.3039</v>
      </c>
      <c r="F463">
        <v>117639.71</v>
      </c>
      <c r="G463">
        <v>0</v>
      </c>
      <c r="L463" t="s">
        <v>7</v>
      </c>
      <c r="M463" t="s">
        <v>8</v>
      </c>
      <c r="N463" t="s">
        <v>7</v>
      </c>
      <c r="P463">
        <f t="shared" si="979"/>
        <v>-0.64948453608247325</v>
      </c>
      <c r="Q463">
        <f t="shared" si="980"/>
        <v>-76405.172474226696</v>
      </c>
      <c r="R463">
        <f t="shared" si="981"/>
        <v>-52070574.124281749</v>
      </c>
      <c r="S463">
        <f t="shared" si="982"/>
        <v>-520.70574124281745</v>
      </c>
      <c r="T463">
        <f t="shared" si="983"/>
        <v>-0.52070574124281743</v>
      </c>
    </row>
    <row r="464" spans="1:20" x14ac:dyDescent="0.25">
      <c r="A464" s="5">
        <v>44129</v>
      </c>
      <c r="B464">
        <v>0.32400000000000001</v>
      </c>
      <c r="C464">
        <v>0.32550000000000001</v>
      </c>
      <c r="D464">
        <v>0.31019999999999998</v>
      </c>
      <c r="E464">
        <v>0.312</v>
      </c>
      <c r="F464">
        <v>133768.6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-0.76470588235293857</v>
      </c>
      <c r="Q464">
        <f t="shared" si="980"/>
        <v>-102293.63529411731</v>
      </c>
      <c r="R464">
        <f t="shared" si="981"/>
        <v>-51994168.951807521</v>
      </c>
      <c r="S464">
        <f t="shared" si="982"/>
        <v>-519.94168951807524</v>
      </c>
      <c r="T464">
        <f t="shared" si="983"/>
        <v>-0.51994168951807529</v>
      </c>
    </row>
    <row r="465" spans="1:20" x14ac:dyDescent="0.25">
      <c r="A465" s="5">
        <v>44128</v>
      </c>
      <c r="B465">
        <v>0.32429999999999998</v>
      </c>
      <c r="C465">
        <v>0.32919999999999999</v>
      </c>
      <c r="D465">
        <v>0.31900000000000001</v>
      </c>
      <c r="E465">
        <v>0.32400000000000001</v>
      </c>
      <c r="F465">
        <v>112205.18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-1.9607843137252768E-2</v>
      </c>
      <c r="Q465">
        <f t="shared" si="980"/>
        <v>-2200.1015686272112</v>
      </c>
      <c r="R465">
        <f t="shared" si="981"/>
        <v>-51891875.316513404</v>
      </c>
      <c r="S465">
        <f t="shared" si="982"/>
        <v>-518.91875316513404</v>
      </c>
      <c r="T465">
        <f t="shared" si="983"/>
        <v>-0.51891875316513403</v>
      </c>
    </row>
    <row r="466" spans="1:20" x14ac:dyDescent="0.25">
      <c r="A466" s="5">
        <v>44127</v>
      </c>
      <c r="B466">
        <v>0.313</v>
      </c>
      <c r="C466">
        <v>0.33200000000000002</v>
      </c>
      <c r="D466">
        <v>0.3115</v>
      </c>
      <c r="E466">
        <v>0.3231</v>
      </c>
      <c r="F466">
        <v>392786.93</v>
      </c>
      <c r="G466">
        <v>0</v>
      </c>
      <c r="L466" t="s">
        <v>8</v>
      </c>
      <c r="M466" t="s">
        <v>8</v>
      </c>
      <c r="N466" t="s">
        <v>7</v>
      </c>
      <c r="P466">
        <f t="shared" si="979"/>
        <v>0.13170731707316966</v>
      </c>
      <c r="Q466">
        <f t="shared" si="980"/>
        <v>51732.912731706892</v>
      </c>
      <c r="R466">
        <f t="shared" si="981"/>
        <v>-51889675.21494478</v>
      </c>
      <c r="S466">
        <f t="shared" si="982"/>
        <v>-518.89675214944782</v>
      </c>
      <c r="T466">
        <f t="shared" si="983"/>
        <v>-0.51889675214944786</v>
      </c>
    </row>
    <row r="467" spans="1:20" x14ac:dyDescent="0.25">
      <c r="A467" s="5">
        <v>44126</v>
      </c>
      <c r="B467">
        <v>0.311</v>
      </c>
      <c r="C467">
        <v>0.32350000000000001</v>
      </c>
      <c r="D467">
        <v>0.30780000000000002</v>
      </c>
      <c r="E467">
        <v>0.31409999999999999</v>
      </c>
      <c r="F467">
        <v>183837.14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-0.19745222929936618</v>
      </c>
      <c r="Q467">
        <f t="shared" si="980"/>
        <v>-36299.053121019686</v>
      </c>
      <c r="R467">
        <f t="shared" si="981"/>
        <v>-51941408.127676487</v>
      </c>
      <c r="S467">
        <f t="shared" si="982"/>
        <v>-519.41408127676482</v>
      </c>
      <c r="T467">
        <f t="shared" si="983"/>
        <v>-0.51941408127676481</v>
      </c>
    </row>
    <row r="468" spans="1:20" x14ac:dyDescent="0.25">
      <c r="A468" s="5">
        <v>44125</v>
      </c>
      <c r="B468">
        <v>0.29899999999999999</v>
      </c>
      <c r="C468">
        <v>0.31850000000000001</v>
      </c>
      <c r="D468">
        <v>0.29899999999999999</v>
      </c>
      <c r="E468">
        <v>0.31409999999999999</v>
      </c>
      <c r="F468">
        <v>189881.11</v>
      </c>
      <c r="G468">
        <v>0</v>
      </c>
      <c r="L468" t="s">
        <v>7</v>
      </c>
      <c r="M468" t="s">
        <v>8</v>
      </c>
      <c r="N468" t="s">
        <v>7</v>
      </c>
      <c r="P468">
        <f t="shared" si="979"/>
        <v>0.54871794871794755</v>
      </c>
      <c r="Q468">
        <f t="shared" si="980"/>
        <v>104191.17317948696</v>
      </c>
      <c r="R468">
        <f t="shared" si="981"/>
        <v>-51905109.074555464</v>
      </c>
      <c r="S468">
        <f t="shared" si="982"/>
        <v>-519.05109074555469</v>
      </c>
      <c r="T468">
        <f t="shared" si="983"/>
        <v>-0.51905109074555467</v>
      </c>
    </row>
    <row r="469" spans="1:20" x14ac:dyDescent="0.25">
      <c r="A469" s="5">
        <v>44124</v>
      </c>
      <c r="B469">
        <v>0.3095</v>
      </c>
      <c r="C469">
        <v>0.30959999999999999</v>
      </c>
      <c r="D469">
        <v>0.29899999999999999</v>
      </c>
      <c r="E469">
        <v>0.29970000000000002</v>
      </c>
      <c r="F469">
        <v>168258.57</v>
      </c>
      <c r="G469">
        <v>0</v>
      </c>
      <c r="L469" t="s">
        <v>7</v>
      </c>
      <c r="M469" t="s">
        <v>8</v>
      </c>
      <c r="N469" t="s">
        <v>7</v>
      </c>
      <c r="P469">
        <f t="shared" si="979"/>
        <v>-0.86792452830188038</v>
      </c>
      <c r="Q469">
        <f t="shared" si="980"/>
        <v>-146035.73999999891</v>
      </c>
      <c r="R469">
        <f t="shared" si="981"/>
        <v>-52009300.247734949</v>
      </c>
      <c r="S469">
        <f t="shared" si="982"/>
        <v>-520.0930024773495</v>
      </c>
      <c r="T469">
        <f t="shared" si="983"/>
        <v>-0.52009300247734946</v>
      </c>
    </row>
    <row r="470" spans="1:20" x14ac:dyDescent="0.25">
      <c r="A470" s="5">
        <v>44123</v>
      </c>
      <c r="B470">
        <v>0.31590000000000001</v>
      </c>
      <c r="C470">
        <v>0.31709999999999999</v>
      </c>
      <c r="D470">
        <v>0.30609999999999998</v>
      </c>
      <c r="E470">
        <v>0.30919999999999997</v>
      </c>
      <c r="F470">
        <v>207837.33</v>
      </c>
      <c r="G470">
        <v>0</v>
      </c>
      <c r="L470" t="s">
        <v>7</v>
      </c>
      <c r="M470" t="s">
        <v>8</v>
      </c>
      <c r="N470" t="s">
        <v>7</v>
      </c>
      <c r="P470">
        <f t="shared" si="979"/>
        <v>-0.4363636363636384</v>
      </c>
      <c r="Q470">
        <f t="shared" si="980"/>
        <v>-90692.653090909502</v>
      </c>
      <c r="R470">
        <f t="shared" si="981"/>
        <v>-51863264.507734947</v>
      </c>
      <c r="S470">
        <f t="shared" si="982"/>
        <v>-518.63264507734948</v>
      </c>
      <c r="T470">
        <f t="shared" si="983"/>
        <v>-0.51863264507734952</v>
      </c>
    </row>
    <row r="471" spans="1:20" x14ac:dyDescent="0.25">
      <c r="A471" s="5">
        <v>44122</v>
      </c>
      <c r="B471">
        <v>0.31590000000000001</v>
      </c>
      <c r="C471">
        <v>0.35</v>
      </c>
      <c r="D471">
        <v>0.30990000000000001</v>
      </c>
      <c r="E471">
        <v>0.31590000000000001</v>
      </c>
      <c r="F471">
        <v>972916.87</v>
      </c>
      <c r="G471">
        <v>0</v>
      </c>
      <c r="L471" t="s">
        <v>8</v>
      </c>
      <c r="M471" t="s">
        <v>8</v>
      </c>
      <c r="N471" t="s">
        <v>7</v>
      </c>
      <c r="P471">
        <f t="shared" si="979"/>
        <v>-0.70074812967581002</v>
      </c>
      <c r="Q471">
        <f t="shared" si="980"/>
        <v>-681769.6769825432</v>
      </c>
      <c r="R471">
        <f t="shared" si="981"/>
        <v>-51772571.854644038</v>
      </c>
      <c r="S471">
        <f t="shared" si="982"/>
        <v>-517.72571854644036</v>
      </c>
      <c r="T471">
        <f t="shared" si="983"/>
        <v>-0.51772571854644034</v>
      </c>
    </row>
    <row r="472" spans="1:20" x14ac:dyDescent="0.25">
      <c r="A472" s="5">
        <v>44121</v>
      </c>
      <c r="B472">
        <v>0.31030000000000002</v>
      </c>
      <c r="C472">
        <v>0.32119999999999999</v>
      </c>
      <c r="D472">
        <v>0.31019999999999998</v>
      </c>
      <c r="E472">
        <v>0.31590000000000001</v>
      </c>
      <c r="F472">
        <v>178933.65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3.636363636364242E-2</v>
      </c>
      <c r="Q472">
        <f t="shared" si="980"/>
        <v>6506.6781818192649</v>
      </c>
      <c r="R472">
        <f t="shared" si="981"/>
        <v>-51090802.177661493</v>
      </c>
      <c r="S472">
        <f t="shared" si="982"/>
        <v>-510.90802177661493</v>
      </c>
      <c r="T472">
        <f t="shared" si="983"/>
        <v>-0.51090802177661498</v>
      </c>
    </row>
    <row r="473" spans="1:20" x14ac:dyDescent="0.25">
      <c r="A473" s="5">
        <v>44120</v>
      </c>
      <c r="B473">
        <v>0.32719999999999999</v>
      </c>
      <c r="C473">
        <v>0.32719999999999999</v>
      </c>
      <c r="D473">
        <v>0.307</v>
      </c>
      <c r="E473">
        <v>0.31109999999999999</v>
      </c>
      <c r="F473">
        <v>344818.28</v>
      </c>
      <c r="G473">
        <v>0</v>
      </c>
      <c r="L473" t="s">
        <v>7</v>
      </c>
      <c r="M473" t="s">
        <v>8</v>
      </c>
      <c r="N473" t="s">
        <v>7</v>
      </c>
      <c r="P473">
        <f t="shared" si="979"/>
        <v>-0.5940594059405947</v>
      </c>
      <c r="Q473">
        <f t="shared" si="980"/>
        <v>-204842.54257425765</v>
      </c>
      <c r="R473">
        <f t="shared" si="981"/>
        <v>-51097308.855843313</v>
      </c>
      <c r="S473">
        <f t="shared" si="982"/>
        <v>-510.97308855843312</v>
      </c>
      <c r="T473">
        <f t="shared" si="983"/>
        <v>-0.51097308855843315</v>
      </c>
    </row>
    <row r="474" spans="1:20" x14ac:dyDescent="0.25">
      <c r="A474" s="5">
        <v>44119</v>
      </c>
      <c r="B474">
        <v>0.32200000000000001</v>
      </c>
      <c r="C474">
        <v>0.33510000000000001</v>
      </c>
      <c r="D474">
        <v>0.32179999999999997</v>
      </c>
      <c r="E474">
        <v>0.3266</v>
      </c>
      <c r="F474">
        <v>492492.28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-0.27819548872180239</v>
      </c>
      <c r="Q474">
        <f t="shared" si="980"/>
        <v>-137009.13052631475</v>
      </c>
      <c r="R474">
        <f t="shared" si="981"/>
        <v>-50892466.313269056</v>
      </c>
      <c r="S474">
        <f t="shared" si="982"/>
        <v>-508.92466313269057</v>
      </c>
      <c r="T474">
        <f t="shared" si="983"/>
        <v>-0.50892466313269058</v>
      </c>
    </row>
    <row r="475" spans="1:20" x14ac:dyDescent="0.25">
      <c r="A475" s="5">
        <v>44118</v>
      </c>
      <c r="B475">
        <v>0.3256</v>
      </c>
      <c r="C475">
        <v>0.32779999999999998</v>
      </c>
      <c r="D475">
        <v>0.31590000000000001</v>
      </c>
      <c r="E475">
        <v>0.32190000000000002</v>
      </c>
      <c r="F475">
        <v>135333.35999999999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8.4033613445415791E-3</v>
      </c>
      <c r="Q475">
        <f t="shared" si="980"/>
        <v>1137.2551260509294</v>
      </c>
      <c r="R475">
        <f t="shared" si="981"/>
        <v>-50755457.182742745</v>
      </c>
      <c r="S475">
        <f t="shared" si="982"/>
        <v>-507.55457182742742</v>
      </c>
      <c r="T475">
        <f t="shared" si="983"/>
        <v>-0.50755457182742747</v>
      </c>
    </row>
    <row r="476" spans="1:20" x14ac:dyDescent="0.25">
      <c r="A476" s="5">
        <v>44117</v>
      </c>
      <c r="B476">
        <v>0.3306</v>
      </c>
      <c r="C476">
        <v>0.3306</v>
      </c>
      <c r="D476">
        <v>0.3221</v>
      </c>
      <c r="E476">
        <v>0.32540000000000002</v>
      </c>
      <c r="F476">
        <v>98494.17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-0.22352941176470065</v>
      </c>
      <c r="Q476">
        <f t="shared" si="980"/>
        <v>-22016.343882352427</v>
      </c>
      <c r="R476">
        <f t="shared" si="981"/>
        <v>-50756594.437868796</v>
      </c>
      <c r="S476">
        <f t="shared" si="982"/>
        <v>-507.56594437868796</v>
      </c>
      <c r="T476">
        <f t="shared" si="983"/>
        <v>-0.50756594437868796</v>
      </c>
    </row>
    <row r="477" spans="1:20" x14ac:dyDescent="0.25">
      <c r="A477" s="5">
        <v>44116</v>
      </c>
      <c r="B477">
        <v>0.32869999999999999</v>
      </c>
      <c r="C477">
        <v>0.33410000000000001</v>
      </c>
      <c r="D477">
        <v>0.32100000000000001</v>
      </c>
      <c r="E477">
        <v>0.33079999999999998</v>
      </c>
      <c r="F477">
        <v>203255.8</v>
      </c>
      <c r="G477">
        <v>0</v>
      </c>
      <c r="L477" t="s">
        <v>7</v>
      </c>
      <c r="M477" t="s">
        <v>8</v>
      </c>
      <c r="N477" t="s">
        <v>7</v>
      </c>
      <c r="P477">
        <f t="shared" si="979"/>
        <v>0.49618320610686639</v>
      </c>
      <c r="Q477">
        <f t="shared" si="980"/>
        <v>100852.114503816</v>
      </c>
      <c r="R477">
        <f t="shared" si="981"/>
        <v>-50734578.093986444</v>
      </c>
      <c r="S477">
        <f t="shared" si="982"/>
        <v>-507.34578093986443</v>
      </c>
      <c r="T477">
        <f t="shared" si="983"/>
        <v>-0.50734578093986438</v>
      </c>
    </row>
    <row r="478" spans="1:20" x14ac:dyDescent="0.25">
      <c r="A478" s="5">
        <v>44115</v>
      </c>
      <c r="B478">
        <v>0.32619999999999999</v>
      </c>
      <c r="C478">
        <v>0.33389999999999997</v>
      </c>
      <c r="D478">
        <v>0.32600000000000001</v>
      </c>
      <c r="E478">
        <v>0.3291</v>
      </c>
      <c r="F478">
        <v>114292.82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-0.21518987341771992</v>
      </c>
      <c r="Q478">
        <f t="shared" si="980"/>
        <v>-24594.657468354249</v>
      </c>
      <c r="R478">
        <f t="shared" si="981"/>
        <v>-50835430.20849026</v>
      </c>
      <c r="S478">
        <f t="shared" si="982"/>
        <v>-508.3543020849026</v>
      </c>
      <c r="T478">
        <f t="shared" si="983"/>
        <v>-0.50835430208490262</v>
      </c>
    </row>
    <row r="479" spans="1:20" x14ac:dyDescent="0.25">
      <c r="A479" s="5">
        <v>44114</v>
      </c>
      <c r="B479">
        <v>0.34079999999999999</v>
      </c>
      <c r="C479">
        <v>0.35149999999999998</v>
      </c>
      <c r="D479">
        <v>0.32419999999999999</v>
      </c>
      <c r="E479">
        <v>0.32629999999999998</v>
      </c>
      <c r="F479">
        <v>588820.37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-0.84615384615384681</v>
      </c>
      <c r="Q479">
        <f t="shared" si="980"/>
        <v>-498232.62076923117</v>
      </c>
      <c r="R479">
        <f t="shared" si="981"/>
        <v>-50810835.551021904</v>
      </c>
      <c r="S479">
        <f t="shared" si="982"/>
        <v>-508.10835551021904</v>
      </c>
      <c r="T479">
        <f t="shared" si="983"/>
        <v>-0.50810835551021905</v>
      </c>
    </row>
    <row r="480" spans="1:20" x14ac:dyDescent="0.25">
      <c r="A480" s="5">
        <v>44113</v>
      </c>
      <c r="B480">
        <v>0.3165</v>
      </c>
      <c r="C480">
        <v>0.34620000000000001</v>
      </c>
      <c r="D480">
        <v>0.31590000000000001</v>
      </c>
      <c r="E480">
        <v>0.34039999999999998</v>
      </c>
      <c r="F480">
        <v>489886.85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0.6171617161716153</v>
      </c>
      <c r="Q480">
        <f t="shared" si="980"/>
        <v>302339.40907590667</v>
      </c>
      <c r="R480">
        <f t="shared" si="981"/>
        <v>-50312602.930252671</v>
      </c>
      <c r="S480">
        <f t="shared" si="982"/>
        <v>-503.12602930252672</v>
      </c>
      <c r="T480">
        <f t="shared" si="983"/>
        <v>-0.5031260293025267</v>
      </c>
    </row>
    <row r="481" spans="1:20" x14ac:dyDescent="0.25">
      <c r="A481" s="5">
        <v>44112</v>
      </c>
      <c r="B481">
        <v>0.29870000000000002</v>
      </c>
      <c r="C481">
        <v>0.31769999999999998</v>
      </c>
      <c r="D481">
        <v>0.29260000000000003</v>
      </c>
      <c r="E481">
        <v>0.31659999999999999</v>
      </c>
      <c r="F481">
        <v>249797.84</v>
      </c>
      <c r="G481">
        <v>0</v>
      </c>
      <c r="L481" t="s">
        <v>7</v>
      </c>
      <c r="M481" t="s">
        <v>7</v>
      </c>
      <c r="N481" t="s">
        <v>7</v>
      </c>
      <c r="P481">
        <f t="shared" si="979"/>
        <v>0.91235059760956239</v>
      </c>
      <c r="Q481">
        <f t="shared" si="980"/>
        <v>227903.20860557785</v>
      </c>
      <c r="R481">
        <f t="shared" si="981"/>
        <v>-50614942.33932858</v>
      </c>
      <c r="S481">
        <f t="shared" si="982"/>
        <v>-506.14942339328582</v>
      </c>
      <c r="T481">
        <f t="shared" si="983"/>
        <v>-0.50614942339328584</v>
      </c>
    </row>
    <row r="482" spans="1:20" x14ac:dyDescent="0.25">
      <c r="A482" s="5">
        <v>44111</v>
      </c>
      <c r="B482">
        <v>0.29699999999999999</v>
      </c>
      <c r="C482">
        <v>0.29880000000000001</v>
      </c>
      <c r="D482">
        <v>0.29430000000000001</v>
      </c>
      <c r="E482">
        <v>0.29870000000000002</v>
      </c>
      <c r="F482">
        <v>88934.65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0.95555555555556049</v>
      </c>
      <c r="Q482">
        <f t="shared" si="980"/>
        <v>84981.998888889328</v>
      </c>
      <c r="R482">
        <f t="shared" si="981"/>
        <v>-50842845.54793416</v>
      </c>
      <c r="S482">
        <f t="shared" si="982"/>
        <v>-508.42845547934161</v>
      </c>
      <c r="T482">
        <f t="shared" si="983"/>
        <v>-0.50842845547934157</v>
      </c>
    </row>
    <row r="483" spans="1:20" x14ac:dyDescent="0.25">
      <c r="A483" s="5">
        <v>44110</v>
      </c>
      <c r="B483">
        <v>0.30259999999999998</v>
      </c>
      <c r="C483">
        <v>0.30380000000000001</v>
      </c>
      <c r="D483">
        <v>0.29520000000000002</v>
      </c>
      <c r="E483">
        <v>0.29680000000000001</v>
      </c>
      <c r="F483">
        <v>294476.90000000002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-0.62790697674418816</v>
      </c>
      <c r="Q483">
        <f t="shared" si="980"/>
        <v>-184904.10000000065</v>
      </c>
      <c r="R483">
        <f t="shared" si="981"/>
        <v>-50927827.546823047</v>
      </c>
      <c r="S483">
        <f t="shared" si="982"/>
        <v>-509.27827546823045</v>
      </c>
      <c r="T483">
        <f t="shared" si="983"/>
        <v>-0.50927827546823046</v>
      </c>
    </row>
    <row r="484" spans="1:20" x14ac:dyDescent="0.25">
      <c r="A484" s="5">
        <v>44109</v>
      </c>
      <c r="B484">
        <v>0.30180000000000001</v>
      </c>
      <c r="C484">
        <v>0.30449999999999999</v>
      </c>
      <c r="D484">
        <v>0.29880000000000001</v>
      </c>
      <c r="E484">
        <v>0.30220000000000002</v>
      </c>
      <c r="F484">
        <v>138577.51999999999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0.19298245614035942</v>
      </c>
      <c r="Q484">
        <f t="shared" si="980"/>
        <v>26743.030175439777</v>
      </c>
      <c r="R484">
        <f t="shared" si="981"/>
        <v>-50742923.446823046</v>
      </c>
      <c r="S484">
        <f t="shared" si="982"/>
        <v>-507.42923446823045</v>
      </c>
      <c r="T484">
        <f t="shared" si="983"/>
        <v>-0.50742923446823041</v>
      </c>
    </row>
    <row r="485" spans="1:20" x14ac:dyDescent="0.25">
      <c r="A485" s="5">
        <v>44108</v>
      </c>
      <c r="B485">
        <v>0.29759999999999998</v>
      </c>
      <c r="C485">
        <v>0.30420000000000003</v>
      </c>
      <c r="D485">
        <v>0.29680000000000001</v>
      </c>
      <c r="E485">
        <v>0.30180000000000001</v>
      </c>
      <c r="F485">
        <v>218500.97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0.35135135135134932</v>
      </c>
      <c r="Q485">
        <f t="shared" si="980"/>
        <v>76770.611081080642</v>
      </c>
      <c r="R485">
        <f t="shared" si="981"/>
        <v>-50769666.476998486</v>
      </c>
      <c r="S485">
        <f t="shared" si="982"/>
        <v>-507.69666476998486</v>
      </c>
      <c r="T485">
        <f t="shared" si="983"/>
        <v>-0.50769666476998487</v>
      </c>
    </row>
    <row r="486" spans="1:20" x14ac:dyDescent="0.25">
      <c r="A486" s="5">
        <v>44107</v>
      </c>
      <c r="B486">
        <v>0.29780000000000001</v>
      </c>
      <c r="C486">
        <v>0.30070000000000002</v>
      </c>
      <c r="D486">
        <v>0.29670000000000002</v>
      </c>
      <c r="E486">
        <v>0.29780000000000001</v>
      </c>
      <c r="F486">
        <v>111269.35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-0.45000000000000556</v>
      </c>
      <c r="Q486">
        <f t="shared" si="980"/>
        <v>-50071.207500000623</v>
      </c>
      <c r="R486">
        <f t="shared" si="981"/>
        <v>-50846437.088079564</v>
      </c>
      <c r="S486">
        <f t="shared" si="982"/>
        <v>-508.46437088079563</v>
      </c>
      <c r="T486">
        <f t="shared" si="983"/>
        <v>-0.50846437088079566</v>
      </c>
    </row>
    <row r="487" spans="1:20" x14ac:dyDescent="0.25">
      <c r="A487" s="5">
        <v>44106</v>
      </c>
      <c r="B487">
        <v>0.3044</v>
      </c>
      <c r="C487">
        <v>0.30499999999999999</v>
      </c>
      <c r="D487">
        <v>0.29499999999999998</v>
      </c>
      <c r="E487">
        <v>0.29880000000000001</v>
      </c>
      <c r="F487">
        <v>136251.01999999999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-0.23999999999999555</v>
      </c>
      <c r="Q487">
        <f t="shared" si="980"/>
        <v>-32700.244799999393</v>
      </c>
      <c r="R487">
        <f t="shared" si="981"/>
        <v>-50796365.880579561</v>
      </c>
      <c r="S487">
        <f t="shared" si="982"/>
        <v>-507.9636588057956</v>
      </c>
      <c r="T487">
        <f t="shared" si="983"/>
        <v>-0.50796365880579564</v>
      </c>
    </row>
    <row r="488" spans="1:20" x14ac:dyDescent="0.25">
      <c r="A488" s="5">
        <v>44105</v>
      </c>
      <c r="B488">
        <v>0.31330000000000002</v>
      </c>
      <c r="C488">
        <v>0.31769999999999998</v>
      </c>
      <c r="D488">
        <v>0.3014</v>
      </c>
      <c r="E488">
        <v>0.30399999999999999</v>
      </c>
      <c r="F488">
        <v>366735.25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-0.68098159509202527</v>
      </c>
      <c r="Q488">
        <f t="shared" si="980"/>
        <v>-249739.95552147267</v>
      </c>
      <c r="R488">
        <f t="shared" si="981"/>
        <v>-50763665.63577956</v>
      </c>
      <c r="S488">
        <f t="shared" si="982"/>
        <v>-507.63665635779557</v>
      </c>
      <c r="T488">
        <f t="shared" si="983"/>
        <v>-0.50763665635779553</v>
      </c>
    </row>
    <row r="489" spans="1:20" x14ac:dyDescent="0.25">
      <c r="A489" s="5">
        <v>44104</v>
      </c>
      <c r="B489">
        <v>0.31819999999999998</v>
      </c>
      <c r="C489">
        <v>0.31819999999999998</v>
      </c>
      <c r="D489">
        <v>0.30830000000000002</v>
      </c>
      <c r="E489">
        <v>0.31209999999999999</v>
      </c>
      <c r="F489">
        <v>114047.54</v>
      </c>
      <c r="G489">
        <v>0</v>
      </c>
      <c r="L489" t="s">
        <v>8</v>
      </c>
      <c r="M489" t="s">
        <v>7</v>
      </c>
      <c r="N489" t="s">
        <v>7</v>
      </c>
      <c r="P489">
        <f t="shared" si="979"/>
        <v>-0.2323232323232356</v>
      </c>
      <c r="Q489">
        <f t="shared" si="980"/>
        <v>-26495.893131313504</v>
      </c>
      <c r="R489">
        <f t="shared" si="981"/>
        <v>-50513925.680258088</v>
      </c>
      <c r="S489">
        <f t="shared" si="982"/>
        <v>-505.13925680258086</v>
      </c>
      <c r="T489">
        <f t="shared" si="983"/>
        <v>-0.50513925680258087</v>
      </c>
    </row>
    <row r="490" spans="1:20" x14ac:dyDescent="0.25">
      <c r="A490" s="5">
        <v>44103</v>
      </c>
      <c r="B490">
        <v>0.31809999999999999</v>
      </c>
      <c r="C490">
        <v>0.3201</v>
      </c>
      <c r="D490">
        <v>0.30969999999999998</v>
      </c>
      <c r="E490">
        <v>0.31709999999999999</v>
      </c>
      <c r="F490">
        <v>218890.59</v>
      </c>
      <c r="G490">
        <v>0</v>
      </c>
      <c r="L490" t="s">
        <v>8</v>
      </c>
      <c r="M490" t="s">
        <v>7</v>
      </c>
      <c r="N490" t="s">
        <v>7</v>
      </c>
      <c r="P490">
        <f t="shared" si="979"/>
        <v>0.42307692307692368</v>
      </c>
      <c r="Q490">
        <f t="shared" si="980"/>
        <v>92607.557307692434</v>
      </c>
      <c r="R490">
        <f t="shared" si="981"/>
        <v>-50487429.787126772</v>
      </c>
      <c r="S490">
        <f t="shared" si="982"/>
        <v>-504.87429787126774</v>
      </c>
      <c r="T490">
        <f t="shared" si="983"/>
        <v>-0.5048742978712677</v>
      </c>
    </row>
    <row r="491" spans="1:20" x14ac:dyDescent="0.25">
      <c r="A491" s="5">
        <v>44102</v>
      </c>
      <c r="B491">
        <v>0.3039</v>
      </c>
      <c r="C491">
        <v>0.32529999999999998</v>
      </c>
      <c r="D491">
        <v>0.2989</v>
      </c>
      <c r="E491">
        <v>0.31609999999999999</v>
      </c>
      <c r="F491">
        <v>163529.45000000001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0.30303030303030354</v>
      </c>
      <c r="Q491">
        <f t="shared" si="980"/>
        <v>49554.378787878872</v>
      </c>
      <c r="R491">
        <f t="shared" si="981"/>
        <v>-50580037.344434462</v>
      </c>
      <c r="S491">
        <f t="shared" si="982"/>
        <v>-505.80037344434464</v>
      </c>
      <c r="T491">
        <f t="shared" si="983"/>
        <v>-0.5058003734443447</v>
      </c>
    </row>
    <row r="492" spans="1:20" x14ac:dyDescent="0.25">
      <c r="A492" s="5">
        <v>44101</v>
      </c>
      <c r="B492">
        <v>0.3</v>
      </c>
      <c r="C492">
        <v>0.30399999999999999</v>
      </c>
      <c r="D492">
        <v>0.29409999999999997</v>
      </c>
      <c r="E492">
        <v>0.3029</v>
      </c>
      <c r="F492">
        <v>105641.62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0.77777777777778023</v>
      </c>
      <c r="Q492">
        <f t="shared" si="980"/>
        <v>82165.704444444695</v>
      </c>
      <c r="R492">
        <f t="shared" si="981"/>
        <v>-50629591.723222338</v>
      </c>
      <c r="S492">
        <f t="shared" si="982"/>
        <v>-506.29591723222336</v>
      </c>
      <c r="T492">
        <f t="shared" si="983"/>
        <v>-0.50629591723222334</v>
      </c>
    </row>
    <row r="493" spans="1:20" x14ac:dyDescent="0.25">
      <c r="A493" s="5">
        <v>44100</v>
      </c>
      <c r="B493">
        <v>0.3049</v>
      </c>
      <c r="C493">
        <v>0.30790000000000001</v>
      </c>
      <c r="D493">
        <v>0.29470000000000002</v>
      </c>
      <c r="E493">
        <v>0.30009999999999998</v>
      </c>
      <c r="F493">
        <v>134977.41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-0.18181818181818718</v>
      </c>
      <c r="Q493">
        <f t="shared" si="980"/>
        <v>-24541.347272727999</v>
      </c>
      <c r="R493">
        <f t="shared" si="981"/>
        <v>-50711757.427666783</v>
      </c>
      <c r="S493">
        <f t="shared" si="982"/>
        <v>-507.11757427666782</v>
      </c>
      <c r="T493">
        <f t="shared" si="983"/>
        <v>-0.50711757427666782</v>
      </c>
    </row>
    <row r="494" spans="1:20" x14ac:dyDescent="0.25">
      <c r="A494" s="5">
        <v>44099</v>
      </c>
      <c r="B494">
        <v>0.2959</v>
      </c>
      <c r="C494">
        <v>0.31109999999999999</v>
      </c>
      <c r="D494">
        <v>0.28770000000000001</v>
      </c>
      <c r="E494">
        <v>0.30480000000000002</v>
      </c>
      <c r="F494">
        <v>279286.19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0.46153846153846334</v>
      </c>
      <c r="Q494">
        <f t="shared" si="980"/>
        <v>128901.31846153896</v>
      </c>
      <c r="R494">
        <f t="shared" si="981"/>
        <v>-50687216.080394052</v>
      </c>
      <c r="S494">
        <f t="shared" si="982"/>
        <v>-506.87216080394052</v>
      </c>
      <c r="T494">
        <f t="shared" si="983"/>
        <v>-0.50687216080394049</v>
      </c>
    </row>
    <row r="495" spans="1:20" x14ac:dyDescent="0.25">
      <c r="A495" s="5">
        <v>44098</v>
      </c>
      <c r="B495">
        <v>0.28139999999999998</v>
      </c>
      <c r="C495">
        <v>0.29730000000000001</v>
      </c>
      <c r="D495">
        <v>0.28010000000000002</v>
      </c>
      <c r="E495">
        <v>0.29559999999999997</v>
      </c>
      <c r="F495">
        <v>227493.6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0.80232558139534471</v>
      </c>
      <c r="Q495">
        <f t="shared" si="980"/>
        <v>182523.93488372001</v>
      </c>
      <c r="R495">
        <f t="shared" si="981"/>
        <v>-50816117.398855589</v>
      </c>
      <c r="S495">
        <f t="shared" si="982"/>
        <v>-508.1611739885559</v>
      </c>
      <c r="T495">
        <f t="shared" si="983"/>
        <v>-0.50816117398855587</v>
      </c>
    </row>
    <row r="496" spans="1:20" x14ac:dyDescent="0.25">
      <c r="A496" s="5">
        <v>44097</v>
      </c>
      <c r="B496">
        <v>0.29049999999999998</v>
      </c>
      <c r="C496">
        <v>0.29880000000000001</v>
      </c>
      <c r="D496">
        <v>0.27910000000000001</v>
      </c>
      <c r="E496">
        <v>0.2828</v>
      </c>
      <c r="F496">
        <v>205997.51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-0.62436548223350441</v>
      </c>
      <c r="Q496">
        <f t="shared" si="980"/>
        <v>-128617.73467005116</v>
      </c>
      <c r="R496">
        <f t="shared" si="981"/>
        <v>-50998641.333739311</v>
      </c>
      <c r="S496">
        <f t="shared" si="982"/>
        <v>-509.98641333739312</v>
      </c>
      <c r="T496">
        <f t="shared" si="983"/>
        <v>-0.50998641333739314</v>
      </c>
    </row>
    <row r="497" spans="1:20" x14ac:dyDescent="0.25">
      <c r="A497" s="5">
        <v>44096</v>
      </c>
      <c r="B497">
        <v>0.28549999999999998</v>
      </c>
      <c r="C497">
        <v>0.29409999999999997</v>
      </c>
      <c r="D497">
        <v>0.28199999999999997</v>
      </c>
      <c r="E497">
        <v>0.29189999999999999</v>
      </c>
      <c r="F497">
        <v>181938.91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0.63636363636363968</v>
      </c>
      <c r="Q497">
        <f t="shared" si="980"/>
        <v>115779.30636363698</v>
      </c>
      <c r="R497">
        <f t="shared" si="981"/>
        <v>-50870023.59906926</v>
      </c>
      <c r="S497">
        <f t="shared" si="982"/>
        <v>-508.70023599069259</v>
      </c>
      <c r="T497">
        <f t="shared" si="983"/>
        <v>-0.50870023599069258</v>
      </c>
    </row>
    <row r="498" spans="1:20" x14ac:dyDescent="0.25">
      <c r="A498" s="5">
        <v>44095</v>
      </c>
      <c r="B498">
        <v>0.30209999999999998</v>
      </c>
      <c r="C498">
        <v>0.30940000000000001</v>
      </c>
      <c r="D498">
        <v>0.28289999999999998</v>
      </c>
      <c r="E498">
        <v>0.2863</v>
      </c>
      <c r="F498">
        <v>465474.28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-0.74339622641509351</v>
      </c>
      <c r="Q498">
        <f t="shared" si="980"/>
        <v>-346031.82324528263</v>
      </c>
      <c r="R498">
        <f t="shared" si="981"/>
        <v>-50985802.905432895</v>
      </c>
      <c r="S498">
        <f t="shared" si="982"/>
        <v>-509.85802905432894</v>
      </c>
      <c r="T498">
        <f t="shared" si="983"/>
        <v>-0.50985802905432898</v>
      </c>
    </row>
    <row r="499" spans="1:20" x14ac:dyDescent="0.25">
      <c r="A499" s="5">
        <v>44094</v>
      </c>
      <c r="B499">
        <v>0.30649999999999999</v>
      </c>
      <c r="C499">
        <v>0.31990000000000002</v>
      </c>
      <c r="D499">
        <v>0.29709999999999998</v>
      </c>
      <c r="E499">
        <v>0.30030000000000001</v>
      </c>
      <c r="F499">
        <v>598609.37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-0.71929824561403244</v>
      </c>
      <c r="Q499">
        <f t="shared" si="980"/>
        <v>-430578.66964912124</v>
      </c>
      <c r="R499">
        <f t="shared" si="981"/>
        <v>-50639771.082187615</v>
      </c>
      <c r="S499">
        <f t="shared" si="982"/>
        <v>-506.39771082187616</v>
      </c>
      <c r="T499">
        <f t="shared" si="983"/>
        <v>-0.50639771082187612</v>
      </c>
    </row>
    <row r="500" spans="1:20" x14ac:dyDescent="0.25">
      <c r="A500" s="5">
        <v>44093</v>
      </c>
      <c r="B500">
        <v>0.30959999999999999</v>
      </c>
      <c r="C500">
        <v>0.313</v>
      </c>
      <c r="D500">
        <v>0.30149999999999999</v>
      </c>
      <c r="E500">
        <v>0.30649999999999999</v>
      </c>
      <c r="F500">
        <v>315367.40000000002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-0.13043478260869565</v>
      </c>
      <c r="Q500">
        <f t="shared" si="980"/>
        <v>-41134.878260869569</v>
      </c>
      <c r="R500">
        <f t="shared" si="981"/>
        <v>-50209192.412538491</v>
      </c>
      <c r="S500">
        <f t="shared" si="982"/>
        <v>-502.09192412538493</v>
      </c>
      <c r="T500">
        <f t="shared" si="983"/>
        <v>-0.50209192412538495</v>
      </c>
    </row>
    <row r="501" spans="1:20" x14ac:dyDescent="0.25">
      <c r="A501" s="5">
        <v>44092</v>
      </c>
      <c r="B501">
        <v>0.31419999999999998</v>
      </c>
      <c r="C501">
        <v>0.32140000000000002</v>
      </c>
      <c r="D501">
        <v>0.30320000000000003</v>
      </c>
      <c r="E501">
        <v>0.30969999999999998</v>
      </c>
      <c r="F501">
        <v>259906.32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-0.28571428571429092</v>
      </c>
      <c r="Q501">
        <f t="shared" si="980"/>
        <v>-74258.948571429923</v>
      </c>
      <c r="R501">
        <f t="shared" si="981"/>
        <v>-50168057.534277618</v>
      </c>
      <c r="S501">
        <f t="shared" si="982"/>
        <v>-501.68057534277619</v>
      </c>
      <c r="T501">
        <f t="shared" si="983"/>
        <v>-0.50168057534277621</v>
      </c>
    </row>
    <row r="502" spans="1:20" x14ac:dyDescent="0.25">
      <c r="A502" s="5">
        <v>44091</v>
      </c>
      <c r="B502">
        <v>0.31640000000000001</v>
      </c>
      <c r="C502">
        <v>0.3226</v>
      </c>
      <c r="D502">
        <v>0.30690000000000001</v>
      </c>
      <c r="E502">
        <v>0.31419999999999998</v>
      </c>
      <c r="F502">
        <v>183101.33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-7.006369426751885E-2</v>
      </c>
      <c r="Q502">
        <f t="shared" si="980"/>
        <v>-12828.755605096076</v>
      </c>
      <c r="R502">
        <f t="shared" si="981"/>
        <v>-50093798.585706189</v>
      </c>
      <c r="S502">
        <f t="shared" si="982"/>
        <v>-500.9379858570619</v>
      </c>
      <c r="T502">
        <f t="shared" si="983"/>
        <v>-0.50093798585706195</v>
      </c>
    </row>
    <row r="503" spans="1:20" x14ac:dyDescent="0.25">
      <c r="A503" s="5">
        <v>44090</v>
      </c>
      <c r="B503">
        <v>0.31009999999999999</v>
      </c>
      <c r="C503">
        <v>0.32350000000000001</v>
      </c>
      <c r="D503">
        <v>0.30059999999999998</v>
      </c>
      <c r="E503">
        <v>0.3165</v>
      </c>
      <c r="F503">
        <v>334054.52</v>
      </c>
      <c r="G503">
        <v>0</v>
      </c>
      <c r="L503" t="s">
        <v>8</v>
      </c>
      <c r="M503" t="s">
        <v>7</v>
      </c>
      <c r="N503" t="s">
        <v>7</v>
      </c>
      <c r="P503">
        <f t="shared" si="979"/>
        <v>0.38864628820960728</v>
      </c>
      <c r="Q503">
        <f t="shared" si="980"/>
        <v>129829.04925764202</v>
      </c>
      <c r="R503">
        <f t="shared" si="981"/>
        <v>-50080969.830101095</v>
      </c>
      <c r="S503">
        <f t="shared" si="982"/>
        <v>-500.80969830101094</v>
      </c>
      <c r="T503">
        <f t="shared" si="983"/>
        <v>-0.50080969830101096</v>
      </c>
    </row>
    <row r="504" spans="1:20" x14ac:dyDescent="0.25">
      <c r="A504" s="5">
        <v>44089</v>
      </c>
      <c r="B504">
        <v>0.33139999999999997</v>
      </c>
      <c r="C504">
        <v>0.33260000000000001</v>
      </c>
      <c r="D504">
        <v>0.30420000000000003</v>
      </c>
      <c r="E504">
        <v>0.31019999999999998</v>
      </c>
      <c r="F504">
        <v>806432.9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-0.57746478873239759</v>
      </c>
      <c r="Q504">
        <f t="shared" si="980"/>
        <v>-465686.60422535473</v>
      </c>
      <c r="R504">
        <f t="shared" si="981"/>
        <v>-50210798.879358739</v>
      </c>
      <c r="S504">
        <f t="shared" si="982"/>
        <v>-502.10798879358737</v>
      </c>
      <c r="T504">
        <f t="shared" si="983"/>
        <v>-0.50210798879358731</v>
      </c>
    </row>
    <row r="505" spans="1:20" x14ac:dyDescent="0.25">
      <c r="A505" s="5">
        <v>44088</v>
      </c>
      <c r="B505">
        <v>0.33179999999999998</v>
      </c>
      <c r="C505">
        <v>0.33429999999999999</v>
      </c>
      <c r="D505">
        <v>0.31909999999999999</v>
      </c>
      <c r="E505">
        <v>0.33139999999999997</v>
      </c>
      <c r="F505">
        <v>501102.63</v>
      </c>
      <c r="G505">
        <v>0</v>
      </c>
      <c r="L505" t="s">
        <v>7</v>
      </c>
      <c r="M505" t="s">
        <v>8</v>
      </c>
      <c r="N505" t="s">
        <v>7</v>
      </c>
      <c r="P505">
        <f t="shared" si="979"/>
        <v>0.61842105263157698</v>
      </c>
      <c r="Q505">
        <f t="shared" si="980"/>
        <v>309892.41592105164</v>
      </c>
      <c r="R505">
        <f t="shared" si="981"/>
        <v>-49745112.275133386</v>
      </c>
      <c r="S505">
        <f t="shared" si="982"/>
        <v>-497.45112275133386</v>
      </c>
      <c r="T505">
        <f t="shared" si="983"/>
        <v>-0.49745112275133385</v>
      </c>
    </row>
    <row r="506" spans="1:20" x14ac:dyDescent="0.25">
      <c r="A506" s="5">
        <v>44087</v>
      </c>
      <c r="B506">
        <v>0.33250000000000002</v>
      </c>
      <c r="C506">
        <v>0.37159999999999999</v>
      </c>
      <c r="D506">
        <v>0.31530000000000002</v>
      </c>
      <c r="E506">
        <v>0.33189999999999997</v>
      </c>
      <c r="F506">
        <v>2295335.15</v>
      </c>
      <c r="G506">
        <v>0</v>
      </c>
      <c r="L506" t="s">
        <v>8</v>
      </c>
      <c r="M506" t="s">
        <v>8</v>
      </c>
      <c r="N506" t="s">
        <v>7</v>
      </c>
      <c r="P506">
        <f t="shared" si="979"/>
        <v>-0.41030195381882917</v>
      </c>
      <c r="Q506">
        <f t="shared" si="980"/>
        <v>-941780.49671403528</v>
      </c>
      <c r="R506">
        <f t="shared" si="981"/>
        <v>-50055004.691054441</v>
      </c>
      <c r="S506">
        <f t="shared" si="982"/>
        <v>-500.55004691054444</v>
      </c>
      <c r="T506">
        <f t="shared" si="983"/>
        <v>-0.50055004691054439</v>
      </c>
    </row>
    <row r="507" spans="1:20" x14ac:dyDescent="0.25">
      <c r="A507" s="5">
        <v>44086</v>
      </c>
      <c r="B507">
        <v>0.32890000000000003</v>
      </c>
      <c r="C507">
        <v>0.34460000000000002</v>
      </c>
      <c r="D507">
        <v>0.31990000000000002</v>
      </c>
      <c r="E507">
        <v>0.3322</v>
      </c>
      <c r="F507">
        <v>484825.81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-4.0485829959532186E-3</v>
      </c>
      <c r="Q507">
        <f t="shared" si="980"/>
        <v>-1962.8575303652458</v>
      </c>
      <c r="R507">
        <f t="shared" si="981"/>
        <v>-49113224.194340408</v>
      </c>
      <c r="S507">
        <f t="shared" si="982"/>
        <v>-491.1322419434041</v>
      </c>
      <c r="T507">
        <f t="shared" si="983"/>
        <v>-0.4911322419434041</v>
      </c>
    </row>
    <row r="508" spans="1:20" x14ac:dyDescent="0.25">
      <c r="A508" s="5">
        <v>44085</v>
      </c>
      <c r="B508">
        <v>0.31669999999999998</v>
      </c>
      <c r="C508">
        <v>0.34320000000000001</v>
      </c>
      <c r="D508">
        <v>0.30640000000000001</v>
      </c>
      <c r="E508">
        <v>0.33040000000000003</v>
      </c>
      <c r="F508">
        <v>562948.92000000004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0.30434782608695771</v>
      </c>
      <c r="Q508">
        <f t="shared" si="980"/>
        <v>171332.28000000067</v>
      </c>
      <c r="R508">
        <f t="shared" si="981"/>
        <v>-49111261.336810045</v>
      </c>
      <c r="S508">
        <f t="shared" si="982"/>
        <v>-491.11261336810043</v>
      </c>
      <c r="T508">
        <f t="shared" si="983"/>
        <v>-0.49111261336810041</v>
      </c>
    </row>
    <row r="509" spans="1:20" x14ac:dyDescent="0.25">
      <c r="A509" s="5">
        <v>44084</v>
      </c>
      <c r="B509">
        <v>0.30099999999999999</v>
      </c>
      <c r="C509">
        <v>0.32479999999999998</v>
      </c>
      <c r="D509">
        <v>0.30049999999999999</v>
      </c>
      <c r="E509">
        <v>0.31669999999999998</v>
      </c>
      <c r="F509">
        <v>589707.53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0.33333333333333331</v>
      </c>
      <c r="Q509">
        <f t="shared" si="980"/>
        <v>196569.17666666667</v>
      </c>
      <c r="R509">
        <f t="shared" si="981"/>
        <v>-49282593.616810046</v>
      </c>
      <c r="S509">
        <f t="shared" si="982"/>
        <v>-492.82593616810044</v>
      </c>
      <c r="T509">
        <f t="shared" si="983"/>
        <v>-0.49282593616810044</v>
      </c>
    </row>
    <row r="510" spans="1:20" x14ac:dyDescent="0.25">
      <c r="A510" s="5">
        <v>44083</v>
      </c>
      <c r="B510">
        <v>0.29089999999999999</v>
      </c>
      <c r="C510">
        <v>0.30570000000000003</v>
      </c>
      <c r="D510">
        <v>0.2833</v>
      </c>
      <c r="E510">
        <v>0.29930000000000001</v>
      </c>
      <c r="F510">
        <v>642453.01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0.42857142857142788</v>
      </c>
      <c r="Q510">
        <f t="shared" si="980"/>
        <v>275337.00428571383</v>
      </c>
      <c r="R510">
        <f t="shared" si="981"/>
        <v>-49479162.793476716</v>
      </c>
      <c r="S510">
        <f t="shared" si="982"/>
        <v>-494.79162793476718</v>
      </c>
      <c r="T510">
        <f t="shared" si="983"/>
        <v>-0.49479162793476716</v>
      </c>
    </row>
    <row r="511" spans="1:20" x14ac:dyDescent="0.25">
      <c r="A511" s="5">
        <v>44082</v>
      </c>
      <c r="B511">
        <v>0.29909999999999998</v>
      </c>
      <c r="C511">
        <v>0.30209999999999998</v>
      </c>
      <c r="D511">
        <v>0.28160000000000002</v>
      </c>
      <c r="E511">
        <v>0.29099999999999998</v>
      </c>
      <c r="F511">
        <v>946598.59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-8.2926829268294533E-2</v>
      </c>
      <c r="Q511">
        <f t="shared" si="980"/>
        <v>-78498.419658538332</v>
      </c>
      <c r="R511">
        <f t="shared" si="981"/>
        <v>-49754499.797762431</v>
      </c>
      <c r="S511">
        <f t="shared" si="982"/>
        <v>-497.54499797762429</v>
      </c>
      <c r="T511">
        <f t="shared" si="983"/>
        <v>-0.4975449979776243</v>
      </c>
    </row>
    <row r="512" spans="1:20" x14ac:dyDescent="0.25">
      <c r="A512" s="5">
        <v>44081</v>
      </c>
      <c r="B512">
        <v>0.3009</v>
      </c>
      <c r="C512">
        <v>0.30549999999999999</v>
      </c>
      <c r="D512">
        <v>0.27929999999999999</v>
      </c>
      <c r="E512">
        <v>0.29899999999999999</v>
      </c>
      <c r="F512">
        <v>981182.66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0.50381679389312939</v>
      </c>
      <c r="Q512">
        <f t="shared" si="980"/>
        <v>494336.30198473245</v>
      </c>
      <c r="R512">
        <f t="shared" si="981"/>
        <v>-49676001.37810389</v>
      </c>
      <c r="S512">
        <f t="shared" si="982"/>
        <v>-496.76001378103888</v>
      </c>
      <c r="T512">
        <f t="shared" si="983"/>
        <v>-0.4967600137810389</v>
      </c>
    </row>
    <row r="513" spans="1:20" x14ac:dyDescent="0.25">
      <c r="A513" s="5">
        <v>44080</v>
      </c>
      <c r="B513">
        <v>0.30430000000000001</v>
      </c>
      <c r="C513">
        <v>0.31030000000000002</v>
      </c>
      <c r="D513">
        <v>0.28699999999999998</v>
      </c>
      <c r="E513">
        <v>0.30059999999999998</v>
      </c>
      <c r="F513">
        <v>933227.45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0.16738197424892498</v>
      </c>
      <c r="Q513">
        <f t="shared" si="980"/>
        <v>156205.45300428991</v>
      </c>
      <c r="R513">
        <f t="shared" si="981"/>
        <v>-50170337.680088624</v>
      </c>
      <c r="S513">
        <f t="shared" si="982"/>
        <v>-501.70337680088625</v>
      </c>
      <c r="T513">
        <f t="shared" si="983"/>
        <v>-0.50170337680088628</v>
      </c>
    </row>
    <row r="514" spans="1:20" x14ac:dyDescent="0.25">
      <c r="A514" s="5">
        <v>44079</v>
      </c>
      <c r="B514">
        <v>0.30049999999999999</v>
      </c>
      <c r="C514">
        <v>0.3569</v>
      </c>
      <c r="D514">
        <v>0.28129999999999999</v>
      </c>
      <c r="E514">
        <v>0.30399999999999999</v>
      </c>
      <c r="F514">
        <v>3718981.75</v>
      </c>
      <c r="G514">
        <v>0</v>
      </c>
      <c r="L514" t="s">
        <v>8</v>
      </c>
      <c r="M514" t="s">
        <v>8</v>
      </c>
      <c r="N514" t="s">
        <v>7</v>
      </c>
      <c r="P514">
        <f t="shared" si="979"/>
        <v>-0.39947089947089953</v>
      </c>
      <c r="Q514">
        <f t="shared" si="980"/>
        <v>-1485624.9847883601</v>
      </c>
      <c r="R514">
        <f t="shared" si="981"/>
        <v>-50326543.133092918</v>
      </c>
      <c r="S514">
        <f t="shared" si="982"/>
        <v>-503.26543133092918</v>
      </c>
      <c r="T514">
        <f t="shared" si="983"/>
        <v>-0.50326543133092916</v>
      </c>
    </row>
    <row r="515" spans="1:20" x14ac:dyDescent="0.25">
      <c r="A515" s="5">
        <v>44078</v>
      </c>
      <c r="B515">
        <v>0.28610000000000002</v>
      </c>
      <c r="C515">
        <v>0.31119999999999998</v>
      </c>
      <c r="D515">
        <v>0.2833</v>
      </c>
      <c r="E515">
        <v>0.30070000000000002</v>
      </c>
      <c r="F515">
        <v>722311.01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0.24731182795699203</v>
      </c>
      <c r="Q515">
        <f t="shared" si="980"/>
        <v>178636.05623656115</v>
      </c>
      <c r="R515">
        <f t="shared" si="981"/>
        <v>-48840918.148304559</v>
      </c>
      <c r="S515">
        <f t="shared" si="982"/>
        <v>-488.40918148304559</v>
      </c>
      <c r="T515">
        <f t="shared" si="983"/>
        <v>-0.48840918148304557</v>
      </c>
    </row>
    <row r="516" spans="1:20" x14ac:dyDescent="0.25">
      <c r="A516" s="5">
        <v>44077</v>
      </c>
      <c r="B516">
        <v>0.34610000000000002</v>
      </c>
      <c r="C516">
        <v>0.34849999999999998</v>
      </c>
      <c r="D516">
        <v>0.26619999999999999</v>
      </c>
      <c r="E516">
        <v>0.28610000000000002</v>
      </c>
      <c r="F516">
        <v>1309658.5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-0.51640340218711955</v>
      </c>
      <c r="Q516">
        <f t="shared" si="980"/>
        <v>-676312.1051032797</v>
      </c>
      <c r="R516">
        <f t="shared" si="981"/>
        <v>-49019554.204541117</v>
      </c>
      <c r="S516">
        <f t="shared" si="982"/>
        <v>-490.19554204541117</v>
      </c>
      <c r="T516">
        <f t="shared" si="983"/>
        <v>-0.49019554204541116</v>
      </c>
    </row>
    <row r="517" spans="1:20" x14ac:dyDescent="0.25">
      <c r="A517" s="5">
        <v>44076</v>
      </c>
      <c r="B517">
        <v>0.36599999999999999</v>
      </c>
      <c r="C517">
        <v>0.37269999999999998</v>
      </c>
      <c r="D517">
        <v>0.32829999999999998</v>
      </c>
      <c r="E517">
        <v>0.34610000000000002</v>
      </c>
      <c r="F517">
        <v>1364791.37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-0.1981981981981964</v>
      </c>
      <c r="Q517">
        <f t="shared" si="980"/>
        <v>-270499.19045044802</v>
      </c>
      <c r="R517">
        <f t="shared" si="981"/>
        <v>-48343242.09943784</v>
      </c>
      <c r="S517">
        <f t="shared" si="982"/>
        <v>-483.43242099437839</v>
      </c>
      <c r="T517">
        <f t="shared" si="983"/>
        <v>-0.48343242099437839</v>
      </c>
    </row>
    <row r="518" spans="1:20" x14ac:dyDescent="0.25">
      <c r="A518" s="5">
        <v>44075</v>
      </c>
      <c r="B518">
        <v>0.37209999999999999</v>
      </c>
      <c r="C518">
        <v>0.3826</v>
      </c>
      <c r="D518">
        <v>0.36</v>
      </c>
      <c r="E518">
        <v>0.36630000000000001</v>
      </c>
      <c r="F518">
        <v>1379164.49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-0.44247787610619244</v>
      </c>
      <c r="Q518">
        <f t="shared" ref="Q518:Q581" si="985">F518*P518</f>
        <v>-610249.77433628007</v>
      </c>
      <c r="R518">
        <f t="shared" ref="R518:R581" si="986">R519+Q518</f>
        <v>-48072742.908987395</v>
      </c>
      <c r="S518">
        <f t="shared" ref="S518:S581" si="987">R518/100000</f>
        <v>-480.72742908987397</v>
      </c>
      <c r="T518">
        <f t="shared" ref="T518:T581" si="988">S518/1000</f>
        <v>-0.48072742908987398</v>
      </c>
    </row>
    <row r="519" spans="1:20" x14ac:dyDescent="0.25">
      <c r="A519" s="5">
        <v>44074</v>
      </c>
      <c r="B519">
        <v>0.38019999999999998</v>
      </c>
      <c r="C519">
        <v>0.3841</v>
      </c>
      <c r="D519">
        <v>0.3659</v>
      </c>
      <c r="E519">
        <v>0.37319999999999998</v>
      </c>
      <c r="F519">
        <v>570018.11</v>
      </c>
      <c r="G519">
        <v>0</v>
      </c>
      <c r="L519" t="s">
        <v>8</v>
      </c>
      <c r="M519" t="s">
        <v>7</v>
      </c>
      <c r="N519" t="s">
        <v>7</v>
      </c>
      <c r="P519">
        <f t="shared" si="984"/>
        <v>-0.19780219780220049</v>
      </c>
      <c r="Q519">
        <f t="shared" si="985"/>
        <v>-112750.83494505647</v>
      </c>
      <c r="R519">
        <f t="shared" si="986"/>
        <v>-47462493.134651117</v>
      </c>
      <c r="S519">
        <f t="shared" si="987"/>
        <v>-474.62493134651118</v>
      </c>
      <c r="T519">
        <f t="shared" si="988"/>
        <v>-0.47462493134651118</v>
      </c>
    </row>
    <row r="520" spans="1:20" x14ac:dyDescent="0.25">
      <c r="A520" s="5">
        <v>44073</v>
      </c>
      <c r="B520">
        <v>0.37880000000000003</v>
      </c>
      <c r="C520">
        <v>0.38769999999999999</v>
      </c>
      <c r="D520">
        <v>0.37519999999999998</v>
      </c>
      <c r="E520">
        <v>0.37969999999999998</v>
      </c>
      <c r="F520">
        <v>433164.27</v>
      </c>
      <c r="G520">
        <v>0</v>
      </c>
      <c r="L520" t="s">
        <v>8</v>
      </c>
      <c r="M520" t="s">
        <v>7</v>
      </c>
      <c r="N520" t="s">
        <v>7</v>
      </c>
      <c r="P520">
        <f t="shared" si="984"/>
        <v>-0.28000000000000003</v>
      </c>
      <c r="Q520">
        <f t="shared" si="985"/>
        <v>-121285.99560000002</v>
      </c>
      <c r="R520">
        <f t="shared" si="986"/>
        <v>-47349742.299706064</v>
      </c>
      <c r="S520">
        <f t="shared" si="987"/>
        <v>-473.49742299706065</v>
      </c>
      <c r="T520">
        <f t="shared" si="988"/>
        <v>-0.47349742299706066</v>
      </c>
    </row>
    <row r="521" spans="1:20" x14ac:dyDescent="0.25">
      <c r="A521" s="5">
        <v>44072</v>
      </c>
      <c r="B521">
        <v>0.3705</v>
      </c>
      <c r="C521">
        <v>0.38140000000000002</v>
      </c>
      <c r="D521">
        <v>0.36230000000000001</v>
      </c>
      <c r="E521">
        <v>0.37880000000000003</v>
      </c>
      <c r="F521">
        <v>492876.47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0.72774869109947748</v>
      </c>
      <c r="Q521">
        <f t="shared" si="985"/>
        <v>358690.20591623086</v>
      </c>
      <c r="R521">
        <f t="shared" si="986"/>
        <v>-47228456.304106064</v>
      </c>
      <c r="S521">
        <f t="shared" si="987"/>
        <v>-472.28456304106066</v>
      </c>
      <c r="T521">
        <f t="shared" si="988"/>
        <v>-0.47228456304106065</v>
      </c>
    </row>
    <row r="522" spans="1:20" x14ac:dyDescent="0.25">
      <c r="A522" s="5">
        <v>44071</v>
      </c>
      <c r="B522">
        <v>0.36209999999999998</v>
      </c>
      <c r="C522">
        <v>0.38340000000000002</v>
      </c>
      <c r="D522">
        <v>0.35699999999999998</v>
      </c>
      <c r="E522">
        <v>0.3705</v>
      </c>
      <c r="F522">
        <v>561249.14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2.2727272727272298E-2</v>
      </c>
      <c r="Q522">
        <f t="shared" si="985"/>
        <v>12755.662272727031</v>
      </c>
      <c r="R522">
        <f t="shared" si="986"/>
        <v>-47587146.510022298</v>
      </c>
      <c r="S522">
        <f t="shared" si="987"/>
        <v>-475.87146510022296</v>
      </c>
      <c r="T522">
        <f t="shared" si="988"/>
        <v>-0.47587146510022299</v>
      </c>
    </row>
    <row r="523" spans="1:20" x14ac:dyDescent="0.25">
      <c r="A523" s="5">
        <v>44070</v>
      </c>
      <c r="B523">
        <v>0.38379999999999997</v>
      </c>
      <c r="C523">
        <v>0.38379999999999997</v>
      </c>
      <c r="D523">
        <v>0.34310000000000002</v>
      </c>
      <c r="E523">
        <v>0.36209999999999998</v>
      </c>
      <c r="F523">
        <v>1143325.48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-6.633906633906729E-2</v>
      </c>
      <c r="Q523">
        <f t="shared" si="985"/>
        <v>-75847.144864865957</v>
      </c>
      <c r="R523">
        <f t="shared" si="986"/>
        <v>-47599902.172295026</v>
      </c>
      <c r="S523">
        <f t="shared" si="987"/>
        <v>-475.99902172295026</v>
      </c>
      <c r="T523">
        <f t="shared" si="988"/>
        <v>-0.47599902172295028</v>
      </c>
    </row>
    <row r="524" spans="1:20" x14ac:dyDescent="0.25">
      <c r="A524" s="5">
        <v>44069</v>
      </c>
      <c r="B524">
        <v>0.37490000000000001</v>
      </c>
      <c r="C524">
        <v>0.38590000000000002</v>
      </c>
      <c r="D524">
        <v>0.35899999999999999</v>
      </c>
      <c r="E524">
        <v>0.38379999999999997</v>
      </c>
      <c r="F524">
        <v>1269361.31</v>
      </c>
      <c r="G524">
        <v>0</v>
      </c>
      <c r="L524" t="s">
        <v>8</v>
      </c>
      <c r="M524" t="s">
        <v>7</v>
      </c>
      <c r="N524" t="s">
        <v>8</v>
      </c>
      <c r="P524">
        <f t="shared" si="984"/>
        <v>0.84386617100371419</v>
      </c>
      <c r="Q524">
        <f t="shared" si="985"/>
        <v>1071171.0682899586</v>
      </c>
      <c r="R524">
        <f t="shared" si="986"/>
        <v>-47524055.027430162</v>
      </c>
      <c r="S524">
        <f t="shared" si="987"/>
        <v>-475.2405502743016</v>
      </c>
      <c r="T524">
        <f t="shared" si="988"/>
        <v>-0.47524055027430162</v>
      </c>
    </row>
    <row r="525" spans="1:20" x14ac:dyDescent="0.25">
      <c r="A525" s="5">
        <v>44068</v>
      </c>
      <c r="B525">
        <v>0.4098</v>
      </c>
      <c r="C525">
        <v>0.4128</v>
      </c>
      <c r="D525">
        <v>0.35659999999999997</v>
      </c>
      <c r="E525">
        <v>0.37519999999999998</v>
      </c>
      <c r="F525">
        <v>1342614.85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-0.33807829181494675</v>
      </c>
      <c r="Q525">
        <f t="shared" si="985"/>
        <v>-453908.93505338102</v>
      </c>
      <c r="R525">
        <f t="shared" si="986"/>
        <v>-48595226.09572012</v>
      </c>
      <c r="S525">
        <f t="shared" si="987"/>
        <v>-485.95226095720119</v>
      </c>
      <c r="T525">
        <f t="shared" si="988"/>
        <v>-0.48595226095720118</v>
      </c>
    </row>
    <row r="526" spans="1:20" x14ac:dyDescent="0.25">
      <c r="A526" s="5">
        <v>44067</v>
      </c>
      <c r="B526">
        <v>0.40229999999999999</v>
      </c>
      <c r="C526">
        <v>0.41689999999999999</v>
      </c>
      <c r="D526">
        <v>0.39290000000000003</v>
      </c>
      <c r="E526">
        <v>0.40820000000000001</v>
      </c>
      <c r="F526">
        <v>1158617.2</v>
      </c>
      <c r="G526">
        <v>0</v>
      </c>
      <c r="L526" t="s">
        <v>7</v>
      </c>
      <c r="M526" t="s">
        <v>7</v>
      </c>
      <c r="N526" t="s">
        <v>8</v>
      </c>
      <c r="P526">
        <f t="shared" si="984"/>
        <v>0.27500000000000019</v>
      </c>
      <c r="Q526">
        <f t="shared" si="985"/>
        <v>318619.73000000021</v>
      </c>
      <c r="R526">
        <f t="shared" si="986"/>
        <v>-48141317.160666741</v>
      </c>
      <c r="S526">
        <f t="shared" si="987"/>
        <v>-481.41317160666739</v>
      </c>
      <c r="T526">
        <f t="shared" si="988"/>
        <v>-0.48141317160666741</v>
      </c>
    </row>
    <row r="527" spans="1:20" x14ac:dyDescent="0.25">
      <c r="A527" s="5">
        <v>44066</v>
      </c>
      <c r="B527">
        <v>0.40960000000000002</v>
      </c>
      <c r="C527">
        <v>0.4224</v>
      </c>
      <c r="D527">
        <v>0.39929999999999999</v>
      </c>
      <c r="E527">
        <v>0.40229999999999999</v>
      </c>
      <c r="F527">
        <v>1460373.78</v>
      </c>
      <c r="G527">
        <v>0</v>
      </c>
      <c r="L527" t="s">
        <v>7</v>
      </c>
      <c r="M527" t="s">
        <v>8</v>
      </c>
      <c r="N527" t="s">
        <v>8</v>
      </c>
      <c r="P527">
        <f t="shared" si="984"/>
        <v>-0.74025974025974017</v>
      </c>
      <c r="Q527">
        <f t="shared" si="985"/>
        <v>-1081055.9150649349</v>
      </c>
      <c r="R527">
        <f t="shared" si="986"/>
        <v>-48459936.890666738</v>
      </c>
      <c r="S527">
        <f t="shared" si="987"/>
        <v>-484.59936890666739</v>
      </c>
      <c r="T527">
        <f t="shared" si="988"/>
        <v>-0.48459936890666738</v>
      </c>
    </row>
    <row r="528" spans="1:20" x14ac:dyDescent="0.25">
      <c r="A528" s="5">
        <v>44065</v>
      </c>
      <c r="B528">
        <v>0.38350000000000001</v>
      </c>
      <c r="C528">
        <v>0.4703</v>
      </c>
      <c r="D528">
        <v>0.37</v>
      </c>
      <c r="E528">
        <v>0.40970000000000001</v>
      </c>
      <c r="F528">
        <v>6020643.0499999998</v>
      </c>
      <c r="G528">
        <v>0</v>
      </c>
      <c r="L528" t="s">
        <v>8</v>
      </c>
      <c r="M528" t="s">
        <v>8</v>
      </c>
      <c r="N528" t="s">
        <v>8</v>
      </c>
      <c r="P528">
        <f t="shared" si="984"/>
        <v>-0.20837487537387811</v>
      </c>
      <c r="Q528">
        <f t="shared" si="985"/>
        <v>-1254550.7452143554</v>
      </c>
      <c r="R528">
        <f t="shared" si="986"/>
        <v>-47378880.9756018</v>
      </c>
      <c r="S528">
        <f t="shared" si="987"/>
        <v>-473.788809756018</v>
      </c>
      <c r="T528">
        <f t="shared" si="988"/>
        <v>-0.473788809756018</v>
      </c>
    </row>
    <row r="529" spans="1:20" x14ac:dyDescent="0.25">
      <c r="A529" s="5">
        <v>44064</v>
      </c>
      <c r="B529">
        <v>0.37290000000000001</v>
      </c>
      <c r="C529">
        <v>0.40720000000000001</v>
      </c>
      <c r="D529">
        <v>0.36120000000000002</v>
      </c>
      <c r="E529">
        <v>0.38390000000000002</v>
      </c>
      <c r="F529">
        <v>1910683.2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-1.3043478260869339E-2</v>
      </c>
      <c r="Q529">
        <f t="shared" si="985"/>
        <v>-24921.954782608263</v>
      </c>
      <c r="R529">
        <f t="shared" si="986"/>
        <v>-46124330.230387442</v>
      </c>
      <c r="S529">
        <f t="shared" si="987"/>
        <v>-461.24330230387443</v>
      </c>
      <c r="T529">
        <f t="shared" si="988"/>
        <v>-0.46124330230387445</v>
      </c>
    </row>
    <row r="530" spans="1:20" x14ac:dyDescent="0.25">
      <c r="A530" s="5">
        <v>44063</v>
      </c>
      <c r="B530">
        <v>0.3523</v>
      </c>
      <c r="C530">
        <v>0.373</v>
      </c>
      <c r="D530">
        <v>0.34770000000000001</v>
      </c>
      <c r="E530">
        <v>0.37209999999999999</v>
      </c>
      <c r="F530">
        <v>531415.56000000006</v>
      </c>
      <c r="G530">
        <v>0</v>
      </c>
      <c r="L530" t="s">
        <v>8</v>
      </c>
      <c r="M530" t="s">
        <v>8</v>
      </c>
      <c r="N530" t="s">
        <v>8</v>
      </c>
      <c r="P530">
        <f t="shared" si="984"/>
        <v>0.92885375494071054</v>
      </c>
      <c r="Q530">
        <f t="shared" si="985"/>
        <v>493607.3383399205</v>
      </c>
      <c r="R530">
        <f t="shared" si="986"/>
        <v>-46099408.275604837</v>
      </c>
      <c r="S530">
        <f t="shared" si="987"/>
        <v>-460.99408275604839</v>
      </c>
      <c r="T530">
        <f t="shared" si="988"/>
        <v>-0.46099408275604836</v>
      </c>
    </row>
    <row r="531" spans="1:20" x14ac:dyDescent="0.25">
      <c r="A531" s="5">
        <v>44062</v>
      </c>
      <c r="B531">
        <v>0.376</v>
      </c>
      <c r="C531">
        <v>0.37759999999999999</v>
      </c>
      <c r="D531">
        <v>0.34250000000000003</v>
      </c>
      <c r="E531">
        <v>0.35010000000000002</v>
      </c>
      <c r="F531">
        <v>1384728.13</v>
      </c>
      <c r="G531">
        <v>0</v>
      </c>
      <c r="L531" t="s">
        <v>7</v>
      </c>
      <c r="M531" t="s">
        <v>8</v>
      </c>
      <c r="N531" t="s">
        <v>8</v>
      </c>
      <c r="P531">
        <f t="shared" si="984"/>
        <v>-0.56695156695156679</v>
      </c>
      <c r="Q531">
        <f t="shared" si="985"/>
        <v>-785073.78310541285</v>
      </c>
      <c r="R531">
        <f t="shared" si="986"/>
        <v>-46593015.613944754</v>
      </c>
      <c r="S531">
        <f t="shared" si="987"/>
        <v>-465.93015613944755</v>
      </c>
      <c r="T531">
        <f t="shared" si="988"/>
        <v>-0.46593015613944755</v>
      </c>
    </row>
    <row r="532" spans="1:20" x14ac:dyDescent="0.25">
      <c r="A532" s="5">
        <v>44061</v>
      </c>
      <c r="B532">
        <v>0.39329999999999998</v>
      </c>
      <c r="C532">
        <v>0.39829999999999999</v>
      </c>
      <c r="D532">
        <v>0.36399999999999999</v>
      </c>
      <c r="E532">
        <v>0.37569999999999998</v>
      </c>
      <c r="F532">
        <v>888027.9</v>
      </c>
      <c r="G532">
        <v>0</v>
      </c>
      <c r="L532" t="s">
        <v>7</v>
      </c>
      <c r="M532" t="s">
        <v>8</v>
      </c>
      <c r="N532" t="s">
        <v>8</v>
      </c>
      <c r="P532">
        <f t="shared" si="984"/>
        <v>-0.31778425655976739</v>
      </c>
      <c r="Q532">
        <f t="shared" si="985"/>
        <v>-282201.28600583144</v>
      </c>
      <c r="R532">
        <f t="shared" si="986"/>
        <v>-45807941.830839343</v>
      </c>
      <c r="S532">
        <f t="shared" si="987"/>
        <v>-458.07941830839343</v>
      </c>
      <c r="T532">
        <f t="shared" si="988"/>
        <v>-0.45807941830839344</v>
      </c>
    </row>
    <row r="533" spans="1:20" x14ac:dyDescent="0.25">
      <c r="A533" s="5">
        <v>44060</v>
      </c>
      <c r="B533">
        <v>0.38650000000000001</v>
      </c>
      <c r="C533">
        <v>0.40720000000000001</v>
      </c>
      <c r="D533">
        <v>0.37930000000000003</v>
      </c>
      <c r="E533">
        <v>0.39319999999999999</v>
      </c>
      <c r="F533">
        <v>1439612.67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-3.5842293906826008E-3</v>
      </c>
      <c r="Q533">
        <f t="shared" si="985"/>
        <v>-5159.9020430130522</v>
      </c>
      <c r="R533">
        <f t="shared" si="986"/>
        <v>-45525740.544833511</v>
      </c>
      <c r="S533">
        <f t="shared" si="987"/>
        <v>-455.25740544833513</v>
      </c>
      <c r="T533">
        <f t="shared" si="988"/>
        <v>-0.45525740544833515</v>
      </c>
    </row>
    <row r="534" spans="1:20" x14ac:dyDescent="0.25">
      <c r="A534" s="5">
        <v>44059</v>
      </c>
      <c r="B534">
        <v>0.39100000000000001</v>
      </c>
      <c r="C534">
        <v>0.39429999999999998</v>
      </c>
      <c r="D534">
        <v>0.37390000000000001</v>
      </c>
      <c r="E534">
        <v>0.38669999999999999</v>
      </c>
      <c r="F534">
        <v>1490151.68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0.25490196078431321</v>
      </c>
      <c r="Q534">
        <f t="shared" si="985"/>
        <v>379842.58509803843</v>
      </c>
      <c r="R534">
        <f t="shared" si="986"/>
        <v>-45520580.642790496</v>
      </c>
      <c r="S534">
        <f t="shared" si="987"/>
        <v>-455.20580642790497</v>
      </c>
      <c r="T534">
        <f t="shared" si="988"/>
        <v>-0.45520580642790498</v>
      </c>
    </row>
    <row r="535" spans="1:20" x14ac:dyDescent="0.25">
      <c r="A535" s="5">
        <v>44058</v>
      </c>
      <c r="B535">
        <v>0.37459999999999999</v>
      </c>
      <c r="C535">
        <v>0.39429999999999998</v>
      </c>
      <c r="D535">
        <v>0.36840000000000001</v>
      </c>
      <c r="E535">
        <v>0.39300000000000002</v>
      </c>
      <c r="F535">
        <v>1348730.04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0.89961389961390203</v>
      </c>
      <c r="Q535">
        <f t="shared" si="985"/>
        <v>1213336.2908108141</v>
      </c>
      <c r="R535">
        <f t="shared" si="986"/>
        <v>-45900423.227888532</v>
      </c>
      <c r="S535">
        <f t="shared" si="987"/>
        <v>-459.0042322788853</v>
      </c>
      <c r="T535">
        <f t="shared" si="988"/>
        <v>-0.45900423227888532</v>
      </c>
    </row>
    <row r="536" spans="1:20" x14ac:dyDescent="0.25">
      <c r="A536" s="5">
        <v>44057</v>
      </c>
      <c r="B536">
        <v>0.373</v>
      </c>
      <c r="C536">
        <v>0.39290000000000003</v>
      </c>
      <c r="D536">
        <v>0.3629</v>
      </c>
      <c r="E536">
        <v>0.37330000000000002</v>
      </c>
      <c r="F536">
        <v>1946834.17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-0.30666666666666592</v>
      </c>
      <c r="Q536">
        <f t="shared" si="985"/>
        <v>-597029.14546666516</v>
      </c>
      <c r="R536">
        <f t="shared" si="986"/>
        <v>-47113759.518699348</v>
      </c>
      <c r="S536">
        <f t="shared" si="987"/>
        <v>-471.13759518699351</v>
      </c>
      <c r="T536">
        <f t="shared" si="988"/>
        <v>-0.4711375951869935</v>
      </c>
    </row>
    <row r="537" spans="1:20" x14ac:dyDescent="0.25">
      <c r="A537" s="5">
        <v>44056</v>
      </c>
      <c r="B537">
        <v>0.36670000000000003</v>
      </c>
      <c r="C537">
        <v>0.37369999999999998</v>
      </c>
      <c r="D537">
        <v>0.35149999999999998</v>
      </c>
      <c r="E537">
        <v>0.373</v>
      </c>
      <c r="F537">
        <v>1352045.42</v>
      </c>
      <c r="G537">
        <v>0</v>
      </c>
      <c r="L537" t="s">
        <v>7</v>
      </c>
      <c r="M537" t="s">
        <v>8</v>
      </c>
      <c r="N537" t="s">
        <v>8</v>
      </c>
      <c r="P537">
        <f t="shared" si="984"/>
        <v>0.93693693693693891</v>
      </c>
      <c r="Q537">
        <f t="shared" si="985"/>
        <v>1266781.2944144171</v>
      </c>
      <c r="R537">
        <f t="shared" si="986"/>
        <v>-46516730.373232685</v>
      </c>
      <c r="S537">
        <f t="shared" si="987"/>
        <v>-465.16730373232684</v>
      </c>
      <c r="T537">
        <f t="shared" si="988"/>
        <v>-0.46516730373232684</v>
      </c>
    </row>
    <row r="538" spans="1:20" x14ac:dyDescent="0.25">
      <c r="A538" s="5">
        <v>44055</v>
      </c>
      <c r="B538">
        <v>0.36840000000000001</v>
      </c>
      <c r="C538">
        <v>0.37719999999999998</v>
      </c>
      <c r="D538">
        <v>0.35199999999999998</v>
      </c>
      <c r="E538">
        <v>0.36880000000000002</v>
      </c>
      <c r="F538">
        <v>1192625.29</v>
      </c>
      <c r="G538">
        <v>0</v>
      </c>
      <c r="L538" t="s">
        <v>7</v>
      </c>
      <c r="M538" t="s">
        <v>8</v>
      </c>
      <c r="N538" t="s">
        <v>8</v>
      </c>
      <c r="P538">
        <f t="shared" si="984"/>
        <v>0.33333333333333626</v>
      </c>
      <c r="Q538">
        <f t="shared" si="985"/>
        <v>397541.76333333686</v>
      </c>
      <c r="R538">
        <f t="shared" si="986"/>
        <v>-47783511.667647101</v>
      </c>
      <c r="S538">
        <f t="shared" si="987"/>
        <v>-477.83511667647099</v>
      </c>
      <c r="T538">
        <f t="shared" si="988"/>
        <v>-0.47783511667647099</v>
      </c>
    </row>
    <row r="539" spans="1:20" x14ac:dyDescent="0.25">
      <c r="A539" s="5">
        <v>44054</v>
      </c>
      <c r="B539">
        <v>0.35720000000000002</v>
      </c>
      <c r="C539">
        <v>0.38519999999999999</v>
      </c>
      <c r="D539">
        <v>0.35110000000000002</v>
      </c>
      <c r="E539">
        <v>0.37069999999999997</v>
      </c>
      <c r="F539">
        <v>3131892.39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0.14956011730205113</v>
      </c>
      <c r="Q539">
        <f t="shared" si="985"/>
        <v>468406.19322580128</v>
      </c>
      <c r="R539">
        <f t="shared" si="986"/>
        <v>-48181053.430980437</v>
      </c>
      <c r="S539">
        <f t="shared" si="987"/>
        <v>-481.81053430980438</v>
      </c>
      <c r="T539">
        <f t="shared" si="988"/>
        <v>-0.48181053430980436</v>
      </c>
    </row>
    <row r="540" spans="1:20" x14ac:dyDescent="0.25">
      <c r="A540" s="5">
        <v>44053</v>
      </c>
      <c r="B540">
        <v>0.35649999999999998</v>
      </c>
      <c r="C540">
        <v>0.36080000000000001</v>
      </c>
      <c r="D540">
        <v>0.33889999999999998</v>
      </c>
      <c r="E540">
        <v>0.3579</v>
      </c>
      <c r="F540">
        <v>1743634.94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0.7351598173515973</v>
      </c>
      <c r="Q540">
        <f t="shared" si="985"/>
        <v>1281850.3440182633</v>
      </c>
      <c r="R540">
        <f t="shared" si="986"/>
        <v>-48649459.624206237</v>
      </c>
      <c r="S540">
        <f t="shared" si="987"/>
        <v>-486.49459624206236</v>
      </c>
      <c r="T540">
        <f t="shared" si="988"/>
        <v>-0.48649459624206237</v>
      </c>
    </row>
    <row r="541" spans="1:20" x14ac:dyDescent="0.25">
      <c r="A541" s="5">
        <v>44052</v>
      </c>
      <c r="B541">
        <v>0.35010000000000002</v>
      </c>
      <c r="C541">
        <v>0.36099999999999999</v>
      </c>
      <c r="D541">
        <v>0.34100000000000003</v>
      </c>
      <c r="E541">
        <v>0.35709999999999997</v>
      </c>
      <c r="F541">
        <v>1153677.29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0.60999999999999777</v>
      </c>
      <c r="Q541">
        <f t="shared" si="985"/>
        <v>703743.14689999749</v>
      </c>
      <c r="R541">
        <f t="shared" si="986"/>
        <v>-49931309.968224503</v>
      </c>
      <c r="S541">
        <f t="shared" si="987"/>
        <v>-499.31309968224502</v>
      </c>
      <c r="T541">
        <f t="shared" si="988"/>
        <v>-0.49931309968224502</v>
      </c>
    </row>
    <row r="542" spans="1:20" x14ac:dyDescent="0.25">
      <c r="A542" s="5">
        <v>44051</v>
      </c>
      <c r="B542">
        <v>0.3377</v>
      </c>
      <c r="C542">
        <v>0.35199999999999998</v>
      </c>
      <c r="D542">
        <v>0.33260000000000001</v>
      </c>
      <c r="E542">
        <v>0.35039999999999999</v>
      </c>
      <c r="F542">
        <v>709921.49</v>
      </c>
      <c r="G542">
        <v>0</v>
      </c>
      <c r="L542" t="s">
        <v>8</v>
      </c>
      <c r="M542" t="s">
        <v>7</v>
      </c>
      <c r="N542" t="s">
        <v>8</v>
      </c>
      <c r="P542">
        <f t="shared" si="984"/>
        <v>0.83505154639175339</v>
      </c>
      <c r="Q542">
        <f t="shared" si="985"/>
        <v>592821.03804123763</v>
      </c>
      <c r="R542">
        <f t="shared" si="986"/>
        <v>-50635053.115124501</v>
      </c>
      <c r="S542">
        <f t="shared" si="987"/>
        <v>-506.35053115124504</v>
      </c>
      <c r="T542">
        <f t="shared" si="988"/>
        <v>-0.50635053115124506</v>
      </c>
    </row>
    <row r="543" spans="1:20" x14ac:dyDescent="0.25">
      <c r="A543" s="5">
        <v>44050</v>
      </c>
      <c r="B543">
        <v>0.33500000000000002</v>
      </c>
      <c r="C543">
        <v>0.34339999999999998</v>
      </c>
      <c r="D543">
        <v>0.3291</v>
      </c>
      <c r="E543">
        <v>0.33939999999999998</v>
      </c>
      <c r="F543">
        <v>479820.51</v>
      </c>
      <c r="G543">
        <v>0</v>
      </c>
      <c r="L543" t="s">
        <v>8</v>
      </c>
      <c r="M543" t="s">
        <v>7</v>
      </c>
      <c r="N543" t="s">
        <v>8</v>
      </c>
      <c r="P543">
        <f t="shared" si="984"/>
        <v>0.44055944055943924</v>
      </c>
      <c r="Q543">
        <f t="shared" si="985"/>
        <v>211389.45545454483</v>
      </c>
      <c r="R543">
        <f t="shared" si="986"/>
        <v>-51227874.153165735</v>
      </c>
      <c r="S543">
        <f t="shared" si="987"/>
        <v>-512.27874153165737</v>
      </c>
      <c r="T543">
        <f t="shared" si="988"/>
        <v>-0.51227874153165742</v>
      </c>
    </row>
    <row r="544" spans="1:20" x14ac:dyDescent="0.25">
      <c r="A544" s="5">
        <v>44049</v>
      </c>
      <c r="B544">
        <v>0.33229999999999998</v>
      </c>
      <c r="C544">
        <v>0.34029999999999999</v>
      </c>
      <c r="D544">
        <v>0.32719999999999999</v>
      </c>
      <c r="E544">
        <v>0.33679999999999999</v>
      </c>
      <c r="F544">
        <v>738184.41</v>
      </c>
      <c r="G544">
        <v>0</v>
      </c>
      <c r="L544" t="s">
        <v>8</v>
      </c>
      <c r="M544" t="s">
        <v>7</v>
      </c>
      <c r="N544" t="s">
        <v>8</v>
      </c>
      <c r="P544">
        <f t="shared" si="984"/>
        <v>0.46564885496183162</v>
      </c>
      <c r="Q544">
        <f t="shared" si="985"/>
        <v>343734.72526717524</v>
      </c>
      <c r="R544">
        <f t="shared" si="986"/>
        <v>-51439263.608620279</v>
      </c>
      <c r="S544">
        <f t="shared" si="987"/>
        <v>-514.39263608620274</v>
      </c>
      <c r="T544">
        <f t="shared" si="988"/>
        <v>-0.51439263608620278</v>
      </c>
    </row>
    <row r="545" spans="1:20" x14ac:dyDescent="0.25">
      <c r="A545" s="5">
        <v>44048</v>
      </c>
      <c r="B545">
        <v>0.33550000000000002</v>
      </c>
      <c r="C545">
        <v>0.33550000000000002</v>
      </c>
      <c r="D545">
        <v>0.32750000000000001</v>
      </c>
      <c r="E545">
        <v>0.33279999999999998</v>
      </c>
      <c r="F545">
        <v>424821.93</v>
      </c>
      <c r="G545">
        <v>0</v>
      </c>
      <c r="L545" t="s">
        <v>8</v>
      </c>
      <c r="M545" t="s">
        <v>7</v>
      </c>
      <c r="N545" t="s">
        <v>8</v>
      </c>
      <c r="P545">
        <f t="shared" si="984"/>
        <v>0.32499999999999168</v>
      </c>
      <c r="Q545">
        <f t="shared" si="985"/>
        <v>138067.12724999647</v>
      </c>
      <c r="R545">
        <f t="shared" si="986"/>
        <v>-51782998.33388745</v>
      </c>
      <c r="S545">
        <f t="shared" si="987"/>
        <v>-517.82998333887451</v>
      </c>
      <c r="T545">
        <f t="shared" si="988"/>
        <v>-0.51782998333887453</v>
      </c>
    </row>
    <row r="546" spans="1:20" x14ac:dyDescent="0.25">
      <c r="A546" s="5">
        <v>44047</v>
      </c>
      <c r="B546">
        <v>0.32900000000000001</v>
      </c>
      <c r="C546">
        <v>0.33889999999999998</v>
      </c>
      <c r="D546">
        <v>0.32500000000000001</v>
      </c>
      <c r="E546">
        <v>0.33450000000000002</v>
      </c>
      <c r="F546">
        <v>345183.48</v>
      </c>
      <c r="G546">
        <v>0</v>
      </c>
      <c r="L546" t="s">
        <v>8</v>
      </c>
      <c r="M546" t="s">
        <v>7</v>
      </c>
      <c r="N546" t="s">
        <v>8</v>
      </c>
      <c r="P546">
        <f t="shared" si="984"/>
        <v>0.36690647482014827</v>
      </c>
      <c r="Q546">
        <f t="shared" si="985"/>
        <v>126650.05381295114</v>
      </c>
      <c r="R546">
        <f t="shared" si="986"/>
        <v>-51921065.461137444</v>
      </c>
      <c r="S546">
        <f t="shared" si="987"/>
        <v>-519.21065461137448</v>
      </c>
      <c r="T546">
        <f t="shared" si="988"/>
        <v>-0.5192106546113745</v>
      </c>
    </row>
    <row r="547" spans="1:20" x14ac:dyDescent="0.25">
      <c r="A547" s="5">
        <v>44046</v>
      </c>
      <c r="B547">
        <v>0.32700000000000001</v>
      </c>
      <c r="C547">
        <v>0.3332</v>
      </c>
      <c r="D547">
        <v>0.32100000000000001</v>
      </c>
      <c r="E547">
        <v>0.32900000000000001</v>
      </c>
      <c r="F547">
        <v>364221.41</v>
      </c>
      <c r="G547">
        <v>0</v>
      </c>
      <c r="L547" t="s">
        <v>8</v>
      </c>
      <c r="M547" t="s">
        <v>7</v>
      </c>
      <c r="N547" t="s">
        <v>8</v>
      </c>
      <c r="P547">
        <f t="shared" si="984"/>
        <v>0.31147540983606797</v>
      </c>
      <c r="Q547">
        <f t="shared" si="985"/>
        <v>113446.01295082054</v>
      </c>
      <c r="R547">
        <f t="shared" si="986"/>
        <v>-52047715.514950395</v>
      </c>
      <c r="S547">
        <f t="shared" si="987"/>
        <v>-520.47715514950391</v>
      </c>
      <c r="T547">
        <f t="shared" si="988"/>
        <v>-0.52047715514950388</v>
      </c>
    </row>
    <row r="548" spans="1:20" x14ac:dyDescent="0.25">
      <c r="A548" s="5">
        <v>44045</v>
      </c>
      <c r="B548">
        <v>0.33429999999999999</v>
      </c>
      <c r="C548">
        <v>0.3498</v>
      </c>
      <c r="D548">
        <v>0.30940000000000001</v>
      </c>
      <c r="E548">
        <v>0.32840000000000003</v>
      </c>
      <c r="F548">
        <v>973536.66</v>
      </c>
      <c r="G548">
        <v>0</v>
      </c>
      <c r="L548" t="s">
        <v>7</v>
      </c>
      <c r="M548" t="s">
        <v>7</v>
      </c>
      <c r="N548" t="s">
        <v>8</v>
      </c>
      <c r="P548">
        <f t="shared" si="984"/>
        <v>-5.9405940594058369E-2</v>
      </c>
      <c r="Q548">
        <f t="shared" si="985"/>
        <v>-57833.860990098001</v>
      </c>
      <c r="R548">
        <f t="shared" si="986"/>
        <v>-52161161.527901217</v>
      </c>
      <c r="S548">
        <f t="shared" si="987"/>
        <v>-521.6116152790122</v>
      </c>
      <c r="T548">
        <f t="shared" si="988"/>
        <v>-0.52161161527901223</v>
      </c>
    </row>
    <row r="549" spans="1:20" x14ac:dyDescent="0.25">
      <c r="A549" s="5">
        <v>44044</v>
      </c>
      <c r="B549">
        <v>0.32840000000000003</v>
      </c>
      <c r="C549">
        <v>0.3352</v>
      </c>
      <c r="D549">
        <v>0.32500000000000001</v>
      </c>
      <c r="E549">
        <v>0.33400000000000002</v>
      </c>
      <c r="F549">
        <v>404235.62</v>
      </c>
      <c r="G549">
        <v>0</v>
      </c>
      <c r="L549" t="s">
        <v>7</v>
      </c>
      <c r="M549" t="s">
        <v>7</v>
      </c>
      <c r="N549" t="s">
        <v>8</v>
      </c>
      <c r="P549">
        <f t="shared" si="984"/>
        <v>0.76470588235294501</v>
      </c>
      <c r="Q549">
        <f t="shared" si="985"/>
        <v>309121.35647058976</v>
      </c>
      <c r="R549">
        <f t="shared" si="986"/>
        <v>-52103327.666911118</v>
      </c>
      <c r="S549">
        <f t="shared" si="987"/>
        <v>-521.03327666911116</v>
      </c>
      <c r="T549">
        <f t="shared" si="988"/>
        <v>-0.52103327666911115</v>
      </c>
    </row>
    <row r="550" spans="1:20" x14ac:dyDescent="0.25">
      <c r="A550" s="5">
        <v>44043</v>
      </c>
      <c r="B550">
        <v>0.33610000000000001</v>
      </c>
      <c r="C550">
        <v>0.33689999999999998</v>
      </c>
      <c r="D550">
        <v>0.3241</v>
      </c>
      <c r="E550">
        <v>0.32650000000000001</v>
      </c>
      <c r="F550">
        <v>397175.62</v>
      </c>
      <c r="G550">
        <v>0</v>
      </c>
      <c r="L550" t="s">
        <v>7</v>
      </c>
      <c r="M550" t="s">
        <v>7</v>
      </c>
      <c r="N550" t="s">
        <v>8</v>
      </c>
      <c r="P550">
        <f t="shared" si="984"/>
        <v>-0.62499999999999734</v>
      </c>
      <c r="Q550">
        <f t="shared" si="985"/>
        <v>-248234.76249999893</v>
      </c>
      <c r="R550">
        <f t="shared" si="986"/>
        <v>-52412449.02338171</v>
      </c>
      <c r="S550">
        <f t="shared" si="987"/>
        <v>-524.12449023381714</v>
      </c>
      <c r="T550">
        <f t="shared" si="988"/>
        <v>-0.52412449023381713</v>
      </c>
    </row>
    <row r="551" spans="1:20" x14ac:dyDescent="0.25">
      <c r="A551" s="5">
        <v>44042</v>
      </c>
      <c r="B551">
        <v>0.3357</v>
      </c>
      <c r="C551">
        <v>0.35039999999999999</v>
      </c>
      <c r="D551">
        <v>0.33019999999999999</v>
      </c>
      <c r="E551">
        <v>0.3362</v>
      </c>
      <c r="F551">
        <v>741328.36</v>
      </c>
      <c r="G551">
        <v>0</v>
      </c>
      <c r="L551" t="s">
        <v>8</v>
      </c>
      <c r="M551" t="s">
        <v>7</v>
      </c>
      <c r="N551" t="s">
        <v>8</v>
      </c>
      <c r="P551">
        <f t="shared" si="984"/>
        <v>-0.4059405940594053</v>
      </c>
      <c r="Q551">
        <f t="shared" si="985"/>
        <v>-300935.27485148469</v>
      </c>
      <c r="R551">
        <f t="shared" si="986"/>
        <v>-52164214.260881715</v>
      </c>
      <c r="S551">
        <f t="shared" si="987"/>
        <v>-521.64214260881715</v>
      </c>
      <c r="T551">
        <f t="shared" si="988"/>
        <v>-0.52164214260881714</v>
      </c>
    </row>
    <row r="552" spans="1:20" x14ac:dyDescent="0.25">
      <c r="A552" s="5">
        <v>44041</v>
      </c>
      <c r="B552">
        <v>0.3276</v>
      </c>
      <c r="C552">
        <v>0.35339999999999999</v>
      </c>
      <c r="D552">
        <v>0.32150000000000001</v>
      </c>
      <c r="E552">
        <v>0.3357</v>
      </c>
      <c r="F552">
        <v>788630.74</v>
      </c>
      <c r="G552">
        <v>0</v>
      </c>
      <c r="L552" t="s">
        <v>8</v>
      </c>
      <c r="M552" t="s">
        <v>7</v>
      </c>
      <c r="N552" t="s">
        <v>8</v>
      </c>
      <c r="P552">
        <f t="shared" si="984"/>
        <v>-0.10971786833855815</v>
      </c>
      <c r="Q552">
        <f t="shared" si="985"/>
        <v>-86526.88369905969</v>
      </c>
      <c r="R552">
        <f t="shared" si="986"/>
        <v>-51863278.986030228</v>
      </c>
      <c r="S552">
        <f t="shared" si="987"/>
        <v>-518.6327898603023</v>
      </c>
      <c r="T552">
        <f t="shared" si="988"/>
        <v>-0.51863278986030226</v>
      </c>
    </row>
    <row r="553" spans="1:20" x14ac:dyDescent="0.25">
      <c r="A553" s="5">
        <v>44040</v>
      </c>
      <c r="B553">
        <v>0.32300000000000001</v>
      </c>
      <c r="C553">
        <v>0.33179999999999998</v>
      </c>
      <c r="D553">
        <v>0.314</v>
      </c>
      <c r="E553">
        <v>0.3296</v>
      </c>
      <c r="F553">
        <v>451985.07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0.752808988764047</v>
      </c>
      <c r="Q553">
        <f t="shared" si="985"/>
        <v>340258.42348314699</v>
      </c>
      <c r="R553">
        <f t="shared" si="986"/>
        <v>-51776752.102331169</v>
      </c>
      <c r="S553">
        <f t="shared" si="987"/>
        <v>-517.7675210233117</v>
      </c>
      <c r="T553">
        <f t="shared" si="988"/>
        <v>-0.51776752102331169</v>
      </c>
    </row>
    <row r="554" spans="1:20" x14ac:dyDescent="0.25">
      <c r="A554" s="5">
        <v>44039</v>
      </c>
      <c r="B554">
        <v>0.3422</v>
      </c>
      <c r="C554">
        <v>0.34599999999999997</v>
      </c>
      <c r="D554">
        <v>0.30209999999999998</v>
      </c>
      <c r="E554">
        <v>0.32150000000000001</v>
      </c>
      <c r="F554">
        <v>1560919.45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-0.11617312072892798</v>
      </c>
      <c r="Q554">
        <f t="shared" si="985"/>
        <v>-181336.88371298186</v>
      </c>
      <c r="R554">
        <f t="shared" si="986"/>
        <v>-52117010.525814317</v>
      </c>
      <c r="S554">
        <f t="shared" si="987"/>
        <v>-521.17010525814317</v>
      </c>
      <c r="T554">
        <f t="shared" si="988"/>
        <v>-0.52117010525814311</v>
      </c>
    </row>
    <row r="555" spans="1:20" x14ac:dyDescent="0.25">
      <c r="A555" s="5">
        <v>44038</v>
      </c>
      <c r="B555">
        <v>0.34549999999999997</v>
      </c>
      <c r="C555">
        <v>0.36559999999999998</v>
      </c>
      <c r="D555">
        <v>0.33</v>
      </c>
      <c r="E555">
        <v>0.3422</v>
      </c>
      <c r="F555">
        <v>1319324.8600000001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-0.3146067415730337</v>
      </c>
      <c r="Q555">
        <f t="shared" si="985"/>
        <v>-415068.49528089887</v>
      </c>
      <c r="R555">
        <f t="shared" si="986"/>
        <v>-51935673.642101333</v>
      </c>
      <c r="S555">
        <f t="shared" si="987"/>
        <v>-519.35673642101335</v>
      </c>
      <c r="T555">
        <f t="shared" si="988"/>
        <v>-0.51935673642101332</v>
      </c>
    </row>
    <row r="556" spans="1:20" x14ac:dyDescent="0.25">
      <c r="A556" s="5">
        <v>44037</v>
      </c>
      <c r="B556">
        <v>0.35360000000000003</v>
      </c>
      <c r="C556">
        <v>0.36749999999999999</v>
      </c>
      <c r="D556">
        <v>0.34439999999999998</v>
      </c>
      <c r="E556">
        <v>0.34720000000000001</v>
      </c>
      <c r="F556">
        <v>953935.69</v>
      </c>
      <c r="G556">
        <v>0</v>
      </c>
      <c r="L556" t="s">
        <v>7</v>
      </c>
      <c r="M556" t="s">
        <v>8</v>
      </c>
      <c r="N556" t="s">
        <v>8</v>
      </c>
      <c r="P556">
        <f t="shared" si="984"/>
        <v>-0.75757575757575557</v>
      </c>
      <c r="Q556">
        <f t="shared" si="985"/>
        <v>-722678.55303030112</v>
      </c>
      <c r="R556">
        <f t="shared" si="986"/>
        <v>-51520605.146820433</v>
      </c>
      <c r="S556">
        <f t="shared" si="987"/>
        <v>-515.20605146820435</v>
      </c>
      <c r="T556">
        <f t="shared" si="988"/>
        <v>-0.51520605146820431</v>
      </c>
    </row>
    <row r="557" spans="1:20" x14ac:dyDescent="0.25">
      <c r="A557" s="5">
        <v>44036</v>
      </c>
      <c r="B557">
        <v>0.36349999999999999</v>
      </c>
      <c r="C557">
        <v>0.36449999999999999</v>
      </c>
      <c r="D557">
        <v>0.35089999999999999</v>
      </c>
      <c r="E557">
        <v>0.35349999999999998</v>
      </c>
      <c r="F557">
        <v>706196.59</v>
      </c>
      <c r="G557">
        <v>0</v>
      </c>
      <c r="L557" t="s">
        <v>7</v>
      </c>
      <c r="M557" t="s">
        <v>8</v>
      </c>
      <c r="N557" t="s">
        <v>8</v>
      </c>
      <c r="P557">
        <f t="shared" si="984"/>
        <v>-0.61764705882353077</v>
      </c>
      <c r="Q557">
        <f t="shared" si="985"/>
        <v>-436180.2467647068</v>
      </c>
      <c r="R557">
        <f t="shared" si="986"/>
        <v>-50797926.593790129</v>
      </c>
      <c r="S557">
        <f t="shared" si="987"/>
        <v>-507.97926593790129</v>
      </c>
      <c r="T557">
        <f t="shared" si="988"/>
        <v>-0.50797926593790133</v>
      </c>
    </row>
    <row r="558" spans="1:20" x14ac:dyDescent="0.25">
      <c r="A558" s="5">
        <v>44035</v>
      </c>
      <c r="B558">
        <v>0.37340000000000001</v>
      </c>
      <c r="C558">
        <v>0.39279999999999998</v>
      </c>
      <c r="D558">
        <v>0.35199999999999998</v>
      </c>
      <c r="E558">
        <v>0.36549999999999999</v>
      </c>
      <c r="F558">
        <v>2238243.4500000002</v>
      </c>
      <c r="G558">
        <v>0</v>
      </c>
      <c r="L558" t="s">
        <v>7</v>
      </c>
      <c r="M558" t="s">
        <v>8</v>
      </c>
      <c r="N558" t="s">
        <v>8</v>
      </c>
      <c r="P558">
        <f t="shared" si="984"/>
        <v>-0.33823529411764652</v>
      </c>
      <c r="Q558">
        <f t="shared" si="985"/>
        <v>-757052.9316176459</v>
      </c>
      <c r="R558">
        <f t="shared" si="986"/>
        <v>-50361746.347025424</v>
      </c>
      <c r="S558">
        <f t="shared" si="987"/>
        <v>-503.61746347025422</v>
      </c>
      <c r="T558">
        <f t="shared" si="988"/>
        <v>-0.50361746347025427</v>
      </c>
    </row>
    <row r="559" spans="1:20" x14ac:dyDescent="0.25">
      <c r="A559" s="5">
        <v>44034</v>
      </c>
      <c r="B559">
        <v>0.35220000000000001</v>
      </c>
      <c r="C559">
        <v>0.4</v>
      </c>
      <c r="D559">
        <v>0.3417</v>
      </c>
      <c r="E559">
        <v>0.37359999999999999</v>
      </c>
      <c r="F559">
        <v>2933861.02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9.4339622641508539E-2</v>
      </c>
      <c r="Q559">
        <f t="shared" si="985"/>
        <v>276779.34150943131</v>
      </c>
      <c r="R559">
        <f t="shared" si="986"/>
        <v>-49604693.415407777</v>
      </c>
      <c r="S559">
        <f t="shared" si="987"/>
        <v>-496.04693415407775</v>
      </c>
      <c r="T559">
        <f t="shared" si="988"/>
        <v>-0.49604693415407775</v>
      </c>
    </row>
    <row r="560" spans="1:20" x14ac:dyDescent="0.25">
      <c r="A560" s="5">
        <v>44033</v>
      </c>
      <c r="B560">
        <v>0.34320000000000001</v>
      </c>
      <c r="C560">
        <v>0.35499999999999998</v>
      </c>
      <c r="D560">
        <v>0.33410000000000001</v>
      </c>
      <c r="E560">
        <v>0.35220000000000001</v>
      </c>
      <c r="F560">
        <v>1013021.93</v>
      </c>
      <c r="G560">
        <v>0</v>
      </c>
      <c r="L560" t="s">
        <v>8</v>
      </c>
      <c r="M560" t="s">
        <v>8</v>
      </c>
      <c r="N560" t="s">
        <v>8</v>
      </c>
      <c r="P560">
        <f t="shared" si="984"/>
        <v>0.73205741626794518</v>
      </c>
      <c r="Q560">
        <f t="shared" si="985"/>
        <v>741590.21669856727</v>
      </c>
      <c r="R560">
        <f t="shared" si="986"/>
        <v>-49881472.756917208</v>
      </c>
      <c r="S560">
        <f t="shared" si="987"/>
        <v>-498.81472756917208</v>
      </c>
      <c r="T560">
        <f t="shared" si="988"/>
        <v>-0.49881472756917206</v>
      </c>
    </row>
    <row r="561" spans="1:104" x14ac:dyDescent="0.25">
      <c r="A561" s="5">
        <v>44032</v>
      </c>
      <c r="B561">
        <v>0.34</v>
      </c>
      <c r="C561">
        <v>0.36249999999999999</v>
      </c>
      <c r="D561">
        <v>0.32950000000000002</v>
      </c>
      <c r="E561">
        <v>0.34320000000000001</v>
      </c>
      <c r="F561">
        <v>1650425.13</v>
      </c>
      <c r="G561">
        <v>0</v>
      </c>
      <c r="L561" t="s">
        <v>7</v>
      </c>
      <c r="M561" t="s">
        <v>8</v>
      </c>
      <c r="N561" t="s">
        <v>8</v>
      </c>
      <c r="P561">
        <f t="shared" si="984"/>
        <v>-0.16969696969696965</v>
      </c>
      <c r="Q561">
        <f t="shared" si="985"/>
        <v>-280072.1432727272</v>
      </c>
      <c r="R561">
        <f t="shared" si="986"/>
        <v>-50623062.973615773</v>
      </c>
      <c r="S561">
        <f t="shared" si="987"/>
        <v>-506.23062973615771</v>
      </c>
      <c r="T561">
        <f t="shared" si="988"/>
        <v>-0.50623062973615773</v>
      </c>
      <c r="CZ561" t="s">
        <v>7</v>
      </c>
    </row>
    <row r="562" spans="1:104" x14ac:dyDescent="0.25">
      <c r="A562" s="5">
        <v>44031</v>
      </c>
      <c r="B562">
        <v>0.34100000000000003</v>
      </c>
      <c r="C562">
        <v>0.34889999999999999</v>
      </c>
      <c r="D562">
        <v>0.33329999999999999</v>
      </c>
      <c r="E562">
        <v>0.34</v>
      </c>
      <c r="F562">
        <v>692291.89</v>
      </c>
      <c r="G562">
        <v>0</v>
      </c>
      <c r="L562" t="s">
        <v>7</v>
      </c>
      <c r="M562" t="s">
        <v>8</v>
      </c>
      <c r="N562" t="s">
        <v>8</v>
      </c>
      <c r="P562">
        <f t="shared" si="984"/>
        <v>-0.14102564102563614</v>
      </c>
      <c r="Q562">
        <f t="shared" si="985"/>
        <v>-97630.90756409918</v>
      </c>
      <c r="R562">
        <f t="shared" si="986"/>
        <v>-50342990.830343045</v>
      </c>
      <c r="S562">
        <f t="shared" si="987"/>
        <v>-503.42990830343047</v>
      </c>
      <c r="T562">
        <f t="shared" si="988"/>
        <v>-0.50342990830343048</v>
      </c>
      <c r="CZ562" t="s">
        <v>7</v>
      </c>
    </row>
    <row r="563" spans="1:104" x14ac:dyDescent="0.25">
      <c r="A563" s="5">
        <v>44030</v>
      </c>
      <c r="B563">
        <v>0.34539999999999998</v>
      </c>
      <c r="C563">
        <v>0.3639</v>
      </c>
      <c r="D563">
        <v>0.33189999999999997</v>
      </c>
      <c r="E563">
        <v>0.34100000000000003</v>
      </c>
      <c r="F563">
        <v>1460509.72</v>
      </c>
      <c r="G563">
        <v>0</v>
      </c>
      <c r="L563" t="s">
        <v>8</v>
      </c>
      <c r="M563" t="s">
        <v>8</v>
      </c>
      <c r="N563" t="s">
        <v>8</v>
      </c>
      <c r="P563">
        <f t="shared" si="984"/>
        <v>-0.43124999999999725</v>
      </c>
      <c r="Q563">
        <f t="shared" si="985"/>
        <v>-629844.81674999592</v>
      </c>
      <c r="R563">
        <f t="shared" si="986"/>
        <v>-50245359.922778949</v>
      </c>
      <c r="S563">
        <f t="shared" si="987"/>
        <v>-502.45359922778948</v>
      </c>
      <c r="T563">
        <f t="shared" si="988"/>
        <v>-0.50245359922778943</v>
      </c>
      <c r="CZ563" t="s">
        <v>7</v>
      </c>
    </row>
    <row r="564" spans="1:104" x14ac:dyDescent="0.25">
      <c r="A564" s="5">
        <v>44029</v>
      </c>
      <c r="B564">
        <v>0.32529999999999998</v>
      </c>
      <c r="C564">
        <v>0.35299999999999998</v>
      </c>
      <c r="D564">
        <v>0.3175</v>
      </c>
      <c r="E564">
        <v>0.34310000000000002</v>
      </c>
      <c r="F564">
        <v>1577926.91</v>
      </c>
      <c r="G564">
        <v>0</v>
      </c>
      <c r="L564" t="s">
        <v>8</v>
      </c>
      <c r="M564" t="s">
        <v>8</v>
      </c>
      <c r="N564" t="s">
        <v>8</v>
      </c>
      <c r="P564">
        <f t="shared" si="984"/>
        <v>0.44225352112676219</v>
      </c>
      <c r="Q564">
        <f t="shared" si="985"/>
        <v>697843.73202817154</v>
      </c>
      <c r="R564">
        <f t="shared" si="986"/>
        <v>-49615515.106028952</v>
      </c>
      <c r="S564">
        <f t="shared" si="987"/>
        <v>-496.15515106028954</v>
      </c>
      <c r="T564">
        <f t="shared" si="988"/>
        <v>-0.49615515106028957</v>
      </c>
    </row>
    <row r="565" spans="1:104" x14ac:dyDescent="0.25">
      <c r="A565" s="5">
        <v>44028</v>
      </c>
      <c r="B565">
        <v>0.3226</v>
      </c>
      <c r="C565">
        <v>0.33079999999999998</v>
      </c>
      <c r="D565">
        <v>0.31069999999999998</v>
      </c>
      <c r="E565">
        <v>0.32529999999999998</v>
      </c>
      <c r="F565">
        <v>642799.23</v>
      </c>
      <c r="G565">
        <v>0</v>
      </c>
      <c r="L565" t="s">
        <v>7</v>
      </c>
      <c r="M565" t="s">
        <v>8</v>
      </c>
      <c r="N565" t="s">
        <v>8</v>
      </c>
      <c r="P565">
        <f t="shared" si="984"/>
        <v>0.45273631840795991</v>
      </c>
      <c r="Q565">
        <f t="shared" si="985"/>
        <v>291018.55686567147</v>
      </c>
      <c r="R565">
        <f t="shared" si="986"/>
        <v>-50313358.838057123</v>
      </c>
      <c r="S565">
        <f t="shared" si="987"/>
        <v>-503.13358838057121</v>
      </c>
      <c r="T565">
        <f t="shared" si="988"/>
        <v>-0.50313358838057121</v>
      </c>
    </row>
    <row r="566" spans="1:104" x14ac:dyDescent="0.25">
      <c r="A566" s="5">
        <v>44027</v>
      </c>
      <c r="B566">
        <v>0.32840000000000003</v>
      </c>
      <c r="C566">
        <v>0.33139999999999997</v>
      </c>
      <c r="D566">
        <v>0.3201</v>
      </c>
      <c r="E566">
        <v>0.3226</v>
      </c>
      <c r="F566">
        <v>282644.92</v>
      </c>
      <c r="G566">
        <v>0</v>
      </c>
      <c r="L566" t="s">
        <v>7</v>
      </c>
      <c r="M566" t="s">
        <v>8</v>
      </c>
      <c r="N566" t="s">
        <v>8</v>
      </c>
      <c r="P566">
        <f t="shared" si="984"/>
        <v>-0.55752212389380396</v>
      </c>
      <c r="Q566">
        <f t="shared" si="985"/>
        <v>-157580.79610619429</v>
      </c>
      <c r="R566">
        <f t="shared" si="986"/>
        <v>-50604377.394922793</v>
      </c>
      <c r="S566">
        <f t="shared" si="987"/>
        <v>-506.04377394922795</v>
      </c>
      <c r="T566">
        <f t="shared" si="988"/>
        <v>-0.50604377394922795</v>
      </c>
    </row>
    <row r="567" spans="1:104" x14ac:dyDescent="0.25">
      <c r="A567" s="5">
        <v>44026</v>
      </c>
      <c r="B567">
        <v>0.32369999999999999</v>
      </c>
      <c r="C567">
        <v>0.33239999999999997</v>
      </c>
      <c r="D567">
        <v>0.31780000000000003</v>
      </c>
      <c r="E567">
        <v>0.32969999999999999</v>
      </c>
      <c r="F567">
        <v>244004.57</v>
      </c>
      <c r="G567">
        <v>0</v>
      </c>
      <c r="L567" t="s">
        <v>7</v>
      </c>
      <c r="M567" t="s">
        <v>8</v>
      </c>
      <c r="N567" t="s">
        <v>8</v>
      </c>
      <c r="P567">
        <f t="shared" si="984"/>
        <v>0.63013698630137127</v>
      </c>
      <c r="Q567">
        <f t="shared" si="985"/>
        <v>153756.304383562</v>
      </c>
      <c r="R567">
        <f t="shared" si="986"/>
        <v>-50446796.598816596</v>
      </c>
      <c r="S567">
        <f t="shared" si="987"/>
        <v>-504.46796598816599</v>
      </c>
      <c r="T567">
        <f t="shared" si="988"/>
        <v>-0.50446796598816601</v>
      </c>
    </row>
    <row r="568" spans="1:104" x14ac:dyDescent="0.25">
      <c r="A568" s="5">
        <v>44025</v>
      </c>
      <c r="B568">
        <v>0.33410000000000001</v>
      </c>
      <c r="C568">
        <v>0.33629999999999999</v>
      </c>
      <c r="D568">
        <v>0.31659999999999999</v>
      </c>
      <c r="E568">
        <v>0.32519999999999999</v>
      </c>
      <c r="F568">
        <v>571722.43999999994</v>
      </c>
      <c r="G568">
        <v>0</v>
      </c>
      <c r="L568" t="s">
        <v>7</v>
      </c>
      <c r="M568" t="s">
        <v>8</v>
      </c>
      <c r="N568" t="s">
        <v>8</v>
      </c>
      <c r="P568">
        <f t="shared" si="984"/>
        <v>-0.12690355329949252</v>
      </c>
      <c r="Q568">
        <f t="shared" si="985"/>
        <v>-72553.609137055901</v>
      </c>
      <c r="R568">
        <f t="shared" si="986"/>
        <v>-50600552.903200157</v>
      </c>
      <c r="S568">
        <f t="shared" si="987"/>
        <v>-506.00552903200156</v>
      </c>
      <c r="T568">
        <f t="shared" si="988"/>
        <v>-0.50600552903200158</v>
      </c>
    </row>
    <row r="569" spans="1:104" x14ac:dyDescent="0.25">
      <c r="A569" s="5">
        <v>44024</v>
      </c>
      <c r="B569">
        <v>0.3362</v>
      </c>
      <c r="C569">
        <v>0.33879999999999999</v>
      </c>
      <c r="D569">
        <v>0.3281</v>
      </c>
      <c r="E569">
        <v>0.33329999999999999</v>
      </c>
      <c r="F569">
        <v>474979.44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-2.8037383177572227E-2</v>
      </c>
      <c r="Q569">
        <f t="shared" si="985"/>
        <v>-13317.180560748677</v>
      </c>
      <c r="R569">
        <f t="shared" si="986"/>
        <v>-50527999.294063099</v>
      </c>
      <c r="S569">
        <f t="shared" si="987"/>
        <v>-505.27999294063096</v>
      </c>
      <c r="T569">
        <f t="shared" si="988"/>
        <v>-0.50527999294063097</v>
      </c>
    </row>
    <row r="570" spans="1:104" x14ac:dyDescent="0.25">
      <c r="A570" s="5">
        <v>44023</v>
      </c>
      <c r="B570">
        <v>0.33410000000000001</v>
      </c>
      <c r="C570">
        <v>0.3427</v>
      </c>
      <c r="D570">
        <v>0.32700000000000001</v>
      </c>
      <c r="E570">
        <v>0.33479999999999999</v>
      </c>
      <c r="F570">
        <v>912196.37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-6.3694267515951941E-3</v>
      </c>
      <c r="Q570">
        <f t="shared" si="985"/>
        <v>-5810.1679617860282</v>
      </c>
      <c r="R570">
        <f t="shared" si="986"/>
        <v>-50514682.113502353</v>
      </c>
      <c r="S570">
        <f t="shared" si="987"/>
        <v>-505.14682113502352</v>
      </c>
      <c r="T570">
        <f t="shared" si="988"/>
        <v>-0.50514682113502352</v>
      </c>
    </row>
    <row r="571" spans="1:104" x14ac:dyDescent="0.25">
      <c r="A571" s="5">
        <v>44022</v>
      </c>
      <c r="B571">
        <v>0.32729999999999998</v>
      </c>
      <c r="C571">
        <v>0.34749999999999998</v>
      </c>
      <c r="D571">
        <v>0.32190000000000002</v>
      </c>
      <c r="E571">
        <v>0.33410000000000001</v>
      </c>
      <c r="F571">
        <v>1171452.3799999999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-4.6874999999999258E-2</v>
      </c>
      <c r="Q571">
        <f t="shared" si="985"/>
        <v>-54911.830312499122</v>
      </c>
      <c r="R571">
        <f t="shared" si="986"/>
        <v>-50508871.94554057</v>
      </c>
      <c r="S571">
        <f t="shared" si="987"/>
        <v>-505.08871945540568</v>
      </c>
      <c r="T571">
        <f t="shared" si="988"/>
        <v>-0.50508871945540568</v>
      </c>
    </row>
    <row r="572" spans="1:104" x14ac:dyDescent="0.25">
      <c r="A572" s="5">
        <v>44021</v>
      </c>
      <c r="B572">
        <v>0.32600000000000001</v>
      </c>
      <c r="C572">
        <v>0.33460000000000001</v>
      </c>
      <c r="D572">
        <v>0.31519999999999998</v>
      </c>
      <c r="E572">
        <v>0.32750000000000001</v>
      </c>
      <c r="F572">
        <v>820593.51</v>
      </c>
      <c r="G572">
        <v>0</v>
      </c>
      <c r="L572" t="s">
        <v>8</v>
      </c>
      <c r="M572" t="s">
        <v>7</v>
      </c>
      <c r="N572" t="s">
        <v>8</v>
      </c>
      <c r="P572">
        <f t="shared" si="984"/>
        <v>0.26804123711340361</v>
      </c>
      <c r="Q572">
        <f t="shared" si="985"/>
        <v>219952.89958763015</v>
      </c>
      <c r="R572">
        <f t="shared" si="986"/>
        <v>-50453960.115228072</v>
      </c>
      <c r="S572">
        <f t="shared" si="987"/>
        <v>-504.53960115228074</v>
      </c>
      <c r="T572">
        <f t="shared" si="988"/>
        <v>-0.50453960115228069</v>
      </c>
    </row>
    <row r="573" spans="1:104" x14ac:dyDescent="0.25">
      <c r="A573" s="5">
        <v>44020</v>
      </c>
      <c r="B573">
        <v>0.31140000000000001</v>
      </c>
      <c r="C573">
        <v>0.33350000000000002</v>
      </c>
      <c r="D573">
        <v>0.31090000000000001</v>
      </c>
      <c r="E573">
        <v>0.32600000000000001</v>
      </c>
      <c r="F573">
        <v>790875.63</v>
      </c>
      <c r="G573">
        <v>0</v>
      </c>
      <c r="L573" t="s">
        <v>8</v>
      </c>
      <c r="M573" t="s">
        <v>7</v>
      </c>
      <c r="N573" t="s">
        <v>8</v>
      </c>
      <c r="P573">
        <f t="shared" si="984"/>
        <v>0.33628318584070765</v>
      </c>
      <c r="Q573">
        <f t="shared" si="985"/>
        <v>265958.17646017676</v>
      </c>
      <c r="R573">
        <f t="shared" si="986"/>
        <v>-50673913.014815703</v>
      </c>
      <c r="S573">
        <f t="shared" si="987"/>
        <v>-506.73913014815702</v>
      </c>
      <c r="T573">
        <f t="shared" si="988"/>
        <v>-0.50673913014815697</v>
      </c>
    </row>
    <row r="574" spans="1:104" x14ac:dyDescent="0.25">
      <c r="A574" s="5">
        <v>44019</v>
      </c>
      <c r="B574">
        <v>0.31680000000000003</v>
      </c>
      <c r="C574">
        <v>0.31879999999999997</v>
      </c>
      <c r="D574">
        <v>0.3075</v>
      </c>
      <c r="E574">
        <v>0.31269999999999998</v>
      </c>
      <c r="F574">
        <v>469499.38</v>
      </c>
      <c r="G574">
        <v>0</v>
      </c>
      <c r="L574" t="s">
        <v>8</v>
      </c>
      <c r="M574" t="s">
        <v>7</v>
      </c>
      <c r="N574" t="s">
        <v>8</v>
      </c>
      <c r="P574">
        <f t="shared" si="984"/>
        <v>-7.9646017699116264E-2</v>
      </c>
      <c r="Q574">
        <f t="shared" si="985"/>
        <v>-37393.755929204111</v>
      </c>
      <c r="R574">
        <f t="shared" si="986"/>
        <v>-50939871.19127588</v>
      </c>
      <c r="S574">
        <f t="shared" si="987"/>
        <v>-509.39871191275881</v>
      </c>
      <c r="T574">
        <f t="shared" si="988"/>
        <v>-0.50939871191275876</v>
      </c>
    </row>
    <row r="575" spans="1:104" x14ac:dyDescent="0.25">
      <c r="A575" s="5">
        <v>44018</v>
      </c>
      <c r="B575">
        <v>0.30459999999999998</v>
      </c>
      <c r="C575">
        <v>0.31859999999999999</v>
      </c>
      <c r="D575">
        <v>0.30259999999999998</v>
      </c>
      <c r="E575">
        <v>0.31609999999999999</v>
      </c>
      <c r="F575">
        <v>624290.75</v>
      </c>
      <c r="G575">
        <v>0</v>
      </c>
      <c r="L575" t="s">
        <v>8</v>
      </c>
      <c r="M575" t="s">
        <v>7</v>
      </c>
      <c r="N575" t="s">
        <v>8</v>
      </c>
      <c r="P575">
        <f t="shared" si="984"/>
        <v>0.6875</v>
      </c>
      <c r="Q575">
        <f t="shared" si="985"/>
        <v>429199.890625</v>
      </c>
      <c r="R575">
        <f t="shared" si="986"/>
        <v>-50902477.435346678</v>
      </c>
      <c r="S575">
        <f t="shared" si="987"/>
        <v>-509.0247743534668</v>
      </c>
      <c r="T575">
        <f t="shared" si="988"/>
        <v>-0.50902477435346682</v>
      </c>
    </row>
    <row r="576" spans="1:104" x14ac:dyDescent="0.25">
      <c r="A576" s="5">
        <v>44017</v>
      </c>
      <c r="B576">
        <v>0.30719999999999997</v>
      </c>
      <c r="C576">
        <v>0.30980000000000002</v>
      </c>
      <c r="D576">
        <v>0.29870000000000002</v>
      </c>
      <c r="E576">
        <v>0.30570000000000003</v>
      </c>
      <c r="F576">
        <v>300232.40999999997</v>
      </c>
      <c r="G576">
        <v>0</v>
      </c>
      <c r="L576" t="s">
        <v>7</v>
      </c>
      <c r="M576" t="s">
        <v>7</v>
      </c>
      <c r="N576" t="s">
        <v>8</v>
      </c>
      <c r="P576">
        <f t="shared" si="984"/>
        <v>0.26126126126126253</v>
      </c>
      <c r="Q576">
        <f t="shared" si="985"/>
        <v>78439.09810810849</v>
      </c>
      <c r="R576">
        <f t="shared" si="986"/>
        <v>-51331677.325971678</v>
      </c>
      <c r="S576">
        <f t="shared" si="987"/>
        <v>-513.3167732597168</v>
      </c>
      <c r="T576">
        <f t="shared" si="988"/>
        <v>-0.51331677325971681</v>
      </c>
    </row>
    <row r="577" spans="1:20" x14ac:dyDescent="0.25">
      <c r="A577" s="5">
        <v>44016</v>
      </c>
      <c r="B577">
        <v>0.30609999999999998</v>
      </c>
      <c r="C577">
        <v>0.311</v>
      </c>
      <c r="D577">
        <v>0.30399999999999999</v>
      </c>
      <c r="E577">
        <v>0.30690000000000001</v>
      </c>
      <c r="F577">
        <v>425771.78</v>
      </c>
      <c r="G577">
        <v>0</v>
      </c>
      <c r="L577" t="s">
        <v>7</v>
      </c>
      <c r="M577" t="s">
        <v>7</v>
      </c>
      <c r="N577" t="s">
        <v>8</v>
      </c>
      <c r="P577">
        <f t="shared" si="984"/>
        <v>-0.17142857142856827</v>
      </c>
      <c r="Q577">
        <f t="shared" si="985"/>
        <v>-72989.447999998665</v>
      </c>
      <c r="R577">
        <f t="shared" si="986"/>
        <v>-51410116.424079783</v>
      </c>
      <c r="S577">
        <f t="shared" si="987"/>
        <v>-514.10116424079786</v>
      </c>
      <c r="T577">
        <f t="shared" si="988"/>
        <v>-0.51410116424079788</v>
      </c>
    </row>
    <row r="578" spans="1:20" x14ac:dyDescent="0.25">
      <c r="A578" s="5">
        <v>44015</v>
      </c>
      <c r="B578">
        <v>0.30280000000000001</v>
      </c>
      <c r="C578">
        <v>0.309</v>
      </c>
      <c r="D578">
        <v>0.30280000000000001</v>
      </c>
      <c r="E578">
        <v>0.30640000000000001</v>
      </c>
      <c r="F578">
        <v>97968.73</v>
      </c>
      <c r="G578">
        <v>0</v>
      </c>
      <c r="L578" t="s">
        <v>7</v>
      </c>
      <c r="M578" t="s">
        <v>7</v>
      </c>
      <c r="N578" t="s">
        <v>8</v>
      </c>
      <c r="P578">
        <f t="shared" si="984"/>
        <v>0.16129032258064574</v>
      </c>
      <c r="Q578">
        <f t="shared" si="985"/>
        <v>15801.408064516185</v>
      </c>
      <c r="R578">
        <f t="shared" si="986"/>
        <v>-51337126.976079784</v>
      </c>
      <c r="S578">
        <f t="shared" si="987"/>
        <v>-513.37126976079787</v>
      </c>
      <c r="T578">
        <f t="shared" si="988"/>
        <v>-0.51337126976079783</v>
      </c>
    </row>
    <row r="579" spans="1:20" x14ac:dyDescent="0.25">
      <c r="A579" s="5">
        <v>44014</v>
      </c>
      <c r="B579">
        <v>0.31940000000000002</v>
      </c>
      <c r="C579">
        <v>0.3196</v>
      </c>
      <c r="D579">
        <v>0.29759999999999998</v>
      </c>
      <c r="E579">
        <v>0.30270000000000002</v>
      </c>
      <c r="F579">
        <v>354455.63</v>
      </c>
      <c r="G579">
        <v>0</v>
      </c>
      <c r="L579" t="s">
        <v>7</v>
      </c>
      <c r="M579" t="s">
        <v>7</v>
      </c>
      <c r="N579" t="s">
        <v>8</v>
      </c>
      <c r="P579">
        <f t="shared" si="984"/>
        <v>-0.53636363636363238</v>
      </c>
      <c r="Q579">
        <f t="shared" si="985"/>
        <v>-190117.11063636222</v>
      </c>
      <c r="R579">
        <f t="shared" si="986"/>
        <v>-51352928.384144299</v>
      </c>
      <c r="S579">
        <f t="shared" si="987"/>
        <v>-513.52928384144298</v>
      </c>
      <c r="T579">
        <f t="shared" si="988"/>
        <v>-0.51352928384144303</v>
      </c>
    </row>
    <row r="580" spans="1:20" x14ac:dyDescent="0.25">
      <c r="A580" s="5">
        <v>44013</v>
      </c>
      <c r="B580">
        <v>0.31009999999999999</v>
      </c>
      <c r="C580">
        <v>0.3231</v>
      </c>
      <c r="D580">
        <v>0.30690000000000001</v>
      </c>
      <c r="E580">
        <v>0.31940000000000002</v>
      </c>
      <c r="F580">
        <v>253301.3</v>
      </c>
      <c r="G580">
        <v>0</v>
      </c>
      <c r="L580" t="s">
        <v>8</v>
      </c>
      <c r="M580" t="s">
        <v>7</v>
      </c>
      <c r="N580" t="s">
        <v>8</v>
      </c>
      <c r="P580">
        <f t="shared" si="984"/>
        <v>0.54320987654321196</v>
      </c>
      <c r="Q580">
        <f t="shared" si="985"/>
        <v>137595.76790123509</v>
      </c>
      <c r="R580">
        <f t="shared" si="986"/>
        <v>-51162811.273507938</v>
      </c>
      <c r="S580">
        <f t="shared" si="987"/>
        <v>-511.62811273507936</v>
      </c>
      <c r="T580">
        <f t="shared" si="988"/>
        <v>-0.51162811273507935</v>
      </c>
    </row>
    <row r="581" spans="1:20" x14ac:dyDescent="0.25">
      <c r="A581" s="5">
        <v>44012</v>
      </c>
      <c r="B581">
        <v>0.30599999999999999</v>
      </c>
      <c r="C581">
        <v>0.32300000000000001</v>
      </c>
      <c r="D581">
        <v>0.3014</v>
      </c>
      <c r="E581">
        <v>0.3125</v>
      </c>
      <c r="F581">
        <v>529648.59</v>
      </c>
      <c r="G581">
        <v>0</v>
      </c>
      <c r="L581" t="s">
        <v>8</v>
      </c>
      <c r="M581" t="s">
        <v>7</v>
      </c>
      <c r="N581" t="s">
        <v>8</v>
      </c>
      <c r="P581">
        <f t="shared" si="984"/>
        <v>2.7777777777777277E-2</v>
      </c>
      <c r="Q581">
        <f t="shared" si="985"/>
        <v>14712.460833333067</v>
      </c>
      <c r="R581">
        <f t="shared" si="986"/>
        <v>-51300407.041409172</v>
      </c>
      <c r="S581">
        <f t="shared" si="987"/>
        <v>-513.00407041409176</v>
      </c>
      <c r="T581">
        <f t="shared" si="988"/>
        <v>-0.5130040704140918</v>
      </c>
    </row>
    <row r="582" spans="1:20" x14ac:dyDescent="0.25">
      <c r="A582" s="5">
        <v>44011</v>
      </c>
      <c r="B582">
        <v>0.30480000000000002</v>
      </c>
      <c r="C582">
        <v>0.30659999999999998</v>
      </c>
      <c r="D582">
        <v>0.29320000000000002</v>
      </c>
      <c r="E582">
        <v>0.30580000000000002</v>
      </c>
      <c r="F582">
        <v>258832.24</v>
      </c>
      <c r="G582">
        <v>0</v>
      </c>
      <c r="L582" t="s">
        <v>8</v>
      </c>
      <c r="M582" t="s">
        <v>7</v>
      </c>
      <c r="N582" t="s">
        <v>8</v>
      </c>
      <c r="P582">
        <f t="shared" ref="P582:P645" si="989">IF(C582=D582,0,((E582-D582)-(C582-E582))/(C582-D582))</f>
        <v>0.88059701492537767</v>
      </c>
      <c r="Q582">
        <f t="shared" ref="Q582:Q645" si="990">F582*P582</f>
        <v>227926.89791044893</v>
      </c>
      <c r="R582">
        <f t="shared" ref="R582:R645" si="991">R583+Q582</f>
        <v>-51315119.502242506</v>
      </c>
      <c r="S582">
        <f t="shared" ref="S582:S645" si="992">R582/100000</f>
        <v>-513.1511950224251</v>
      </c>
      <c r="T582">
        <f t="shared" ref="T582:T645" si="993">S582/1000</f>
        <v>-0.51315119502242512</v>
      </c>
    </row>
    <row r="583" spans="1:20" x14ac:dyDescent="0.25">
      <c r="A583" s="5">
        <v>44010</v>
      </c>
      <c r="B583">
        <v>0.29399999999999998</v>
      </c>
      <c r="C583">
        <v>0.30590000000000001</v>
      </c>
      <c r="D583">
        <v>0.28770000000000001</v>
      </c>
      <c r="E583">
        <v>0.3024</v>
      </c>
      <c r="F583">
        <v>224586.69</v>
      </c>
      <c r="G583">
        <v>0</v>
      </c>
      <c r="L583" t="s">
        <v>8</v>
      </c>
      <c r="M583" t="s">
        <v>7</v>
      </c>
      <c r="N583" t="s">
        <v>8</v>
      </c>
      <c r="P583">
        <f t="shared" si="989"/>
        <v>0.61538461538461486</v>
      </c>
      <c r="Q583">
        <f t="shared" si="990"/>
        <v>138207.19384615374</v>
      </c>
      <c r="R583">
        <f t="shared" si="991"/>
        <v>-51543046.400152951</v>
      </c>
      <c r="S583">
        <f t="shared" si="992"/>
        <v>-515.43046400152946</v>
      </c>
      <c r="T583">
        <f t="shared" si="993"/>
        <v>-0.51543046400152948</v>
      </c>
    </row>
    <row r="584" spans="1:20" x14ac:dyDescent="0.25">
      <c r="A584" s="5">
        <v>44009</v>
      </c>
      <c r="B584">
        <v>0.31709999999999999</v>
      </c>
      <c r="C584">
        <v>0.32350000000000001</v>
      </c>
      <c r="D584">
        <v>0.2853</v>
      </c>
      <c r="E584">
        <v>0.29570000000000002</v>
      </c>
      <c r="F584">
        <v>725996.86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-0.45549738219895197</v>
      </c>
      <c r="Q584">
        <f t="shared" si="990"/>
        <v>-330689.66921465902</v>
      </c>
      <c r="R584">
        <f t="shared" si="991"/>
        <v>-51681253.593999103</v>
      </c>
      <c r="S584">
        <f t="shared" si="992"/>
        <v>-516.81253593999099</v>
      </c>
      <c r="T584">
        <f t="shared" si="993"/>
        <v>-0.51681253593999099</v>
      </c>
    </row>
    <row r="585" spans="1:20" x14ac:dyDescent="0.25">
      <c r="A585" s="5">
        <v>44008</v>
      </c>
      <c r="B585">
        <v>0.30959999999999999</v>
      </c>
      <c r="C585">
        <v>0.32300000000000001</v>
      </c>
      <c r="D585">
        <v>0.30380000000000001</v>
      </c>
      <c r="E585">
        <v>0.316</v>
      </c>
      <c r="F585">
        <v>444044.07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0.27083333333333248</v>
      </c>
      <c r="Q585">
        <f t="shared" si="990"/>
        <v>120261.93562499962</v>
      </c>
      <c r="R585">
        <f t="shared" si="991"/>
        <v>-51350563.924784444</v>
      </c>
      <c r="S585">
        <f t="shared" si="992"/>
        <v>-513.50563924784444</v>
      </c>
      <c r="T585">
        <f t="shared" si="993"/>
        <v>-0.51350563924784443</v>
      </c>
    </row>
    <row r="586" spans="1:20" x14ac:dyDescent="0.25">
      <c r="A586" s="5">
        <v>44007</v>
      </c>
      <c r="B586">
        <v>0.31059999999999999</v>
      </c>
      <c r="C586">
        <v>0.31369999999999998</v>
      </c>
      <c r="D586">
        <v>0.3</v>
      </c>
      <c r="E586">
        <v>0.31</v>
      </c>
      <c r="F586">
        <v>316819.02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0.45985401459854253</v>
      </c>
      <c r="Q586">
        <f t="shared" si="990"/>
        <v>145690.49824817595</v>
      </c>
      <c r="R586">
        <f t="shared" si="991"/>
        <v>-51470825.860409446</v>
      </c>
      <c r="S586">
        <f t="shared" si="992"/>
        <v>-514.70825860409445</v>
      </c>
      <c r="T586">
        <f t="shared" si="993"/>
        <v>-0.51470825860409442</v>
      </c>
    </row>
    <row r="587" spans="1:20" x14ac:dyDescent="0.25">
      <c r="A587" s="5">
        <v>44006</v>
      </c>
      <c r="B587">
        <v>0.32550000000000001</v>
      </c>
      <c r="C587">
        <v>0.32900000000000001</v>
      </c>
      <c r="D587">
        <v>0.30549999999999999</v>
      </c>
      <c r="E587">
        <v>0.31159999999999999</v>
      </c>
      <c r="F587">
        <v>302364.42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-0.48085106382978821</v>
      </c>
      <c r="Q587">
        <f t="shared" si="990"/>
        <v>-145392.25302127688</v>
      </c>
      <c r="R587">
        <f t="shared" si="991"/>
        <v>-51616516.358657621</v>
      </c>
      <c r="S587">
        <f t="shared" si="992"/>
        <v>-516.16516358657623</v>
      </c>
      <c r="T587">
        <f t="shared" si="993"/>
        <v>-0.51616516358657627</v>
      </c>
    </row>
    <row r="588" spans="1:20" x14ac:dyDescent="0.25">
      <c r="A588" s="5">
        <v>44005</v>
      </c>
      <c r="B588">
        <v>0.32750000000000001</v>
      </c>
      <c r="C588">
        <v>0.32950000000000002</v>
      </c>
      <c r="D588">
        <v>0.31719999999999998</v>
      </c>
      <c r="E588">
        <v>0.3256</v>
      </c>
      <c r="F588">
        <v>274591.31</v>
      </c>
      <c r="G588">
        <v>0</v>
      </c>
      <c r="L588" t="s">
        <v>8</v>
      </c>
      <c r="M588" t="s">
        <v>7</v>
      </c>
      <c r="N588" t="s">
        <v>8</v>
      </c>
      <c r="P588">
        <f t="shared" si="989"/>
        <v>0.36585365853658469</v>
      </c>
      <c r="Q588">
        <f t="shared" si="990"/>
        <v>100460.23536585347</v>
      </c>
      <c r="R588">
        <f t="shared" si="991"/>
        <v>-51471124.105636343</v>
      </c>
      <c r="S588">
        <f t="shared" si="992"/>
        <v>-514.71124105636341</v>
      </c>
      <c r="T588">
        <f t="shared" si="993"/>
        <v>-0.51471124105636346</v>
      </c>
    </row>
    <row r="589" spans="1:20" x14ac:dyDescent="0.25">
      <c r="A589" s="5">
        <v>44004</v>
      </c>
      <c r="B589">
        <v>0.32369999999999999</v>
      </c>
      <c r="C589">
        <v>0.32900000000000001</v>
      </c>
      <c r="D589">
        <v>0.32229999999999998</v>
      </c>
      <c r="E589">
        <v>0.32740000000000002</v>
      </c>
      <c r="F589">
        <v>362538.39</v>
      </c>
      <c r="G589">
        <v>0</v>
      </c>
      <c r="L589" t="s">
        <v>8</v>
      </c>
      <c r="M589" t="s">
        <v>7</v>
      </c>
      <c r="N589" t="s">
        <v>8</v>
      </c>
      <c r="P589">
        <f t="shared" si="989"/>
        <v>0.52238805970149826</v>
      </c>
      <c r="Q589">
        <f t="shared" si="990"/>
        <v>189385.72611940507</v>
      </c>
      <c r="R589">
        <f t="shared" si="991"/>
        <v>-51571584.341002196</v>
      </c>
      <c r="S589">
        <f t="shared" si="992"/>
        <v>-515.71584341002199</v>
      </c>
      <c r="T589">
        <f t="shared" si="993"/>
        <v>-0.51571584341002197</v>
      </c>
    </row>
    <row r="590" spans="1:20" x14ac:dyDescent="0.25">
      <c r="A590" s="5">
        <v>44003</v>
      </c>
      <c r="B590">
        <v>0.32790000000000002</v>
      </c>
      <c r="C590">
        <v>0.33260000000000001</v>
      </c>
      <c r="D590">
        <v>0.32240000000000002</v>
      </c>
      <c r="E590">
        <v>0.32240000000000002</v>
      </c>
      <c r="F590">
        <v>276667.83</v>
      </c>
      <c r="G590">
        <v>0</v>
      </c>
      <c r="L590" t="s">
        <v>8</v>
      </c>
      <c r="M590" t="s">
        <v>7</v>
      </c>
      <c r="N590" t="s">
        <v>8</v>
      </c>
      <c r="P590">
        <f t="shared" si="989"/>
        <v>-1</v>
      </c>
      <c r="Q590">
        <f t="shared" si="990"/>
        <v>-276667.83</v>
      </c>
      <c r="R590">
        <f t="shared" si="991"/>
        <v>-51760970.067121603</v>
      </c>
      <c r="S590">
        <f t="shared" si="992"/>
        <v>-517.60970067121605</v>
      </c>
      <c r="T590">
        <f t="shared" si="993"/>
        <v>-0.51760970067121603</v>
      </c>
    </row>
    <row r="591" spans="1:20" x14ac:dyDescent="0.25">
      <c r="A591" s="5">
        <v>44002</v>
      </c>
      <c r="B591">
        <v>0.33050000000000002</v>
      </c>
      <c r="C591">
        <v>0.33479999999999999</v>
      </c>
      <c r="D591">
        <v>0.32350000000000001</v>
      </c>
      <c r="E591">
        <v>0.32579999999999998</v>
      </c>
      <c r="F591">
        <v>342435.13</v>
      </c>
      <c r="G591">
        <v>0</v>
      </c>
      <c r="L591" t="s">
        <v>8</v>
      </c>
      <c r="M591" t="s">
        <v>7</v>
      </c>
      <c r="N591" t="s">
        <v>8</v>
      </c>
      <c r="P591">
        <f t="shared" si="989"/>
        <v>-0.59292035398230558</v>
      </c>
      <c r="Q591">
        <f t="shared" si="990"/>
        <v>-203036.75849557683</v>
      </c>
      <c r="R591">
        <f t="shared" si="991"/>
        <v>-51484302.237121604</v>
      </c>
      <c r="S591">
        <f t="shared" si="992"/>
        <v>-514.84302237121608</v>
      </c>
      <c r="T591">
        <f t="shared" si="993"/>
        <v>-0.51484302237121604</v>
      </c>
    </row>
    <row r="592" spans="1:20" x14ac:dyDescent="0.25">
      <c r="A592" s="5">
        <v>44001</v>
      </c>
      <c r="B592">
        <v>0.33239999999999997</v>
      </c>
      <c r="C592">
        <v>0.34100000000000003</v>
      </c>
      <c r="D592">
        <v>0.31859999999999999</v>
      </c>
      <c r="E592">
        <v>0.3286</v>
      </c>
      <c r="F592">
        <v>438191.15</v>
      </c>
      <c r="G592">
        <v>0</v>
      </c>
      <c r="L592" t="s">
        <v>8</v>
      </c>
      <c r="M592" t="s">
        <v>7</v>
      </c>
      <c r="N592" t="s">
        <v>8</v>
      </c>
      <c r="P592">
        <f t="shared" si="989"/>
        <v>-0.10714285714285758</v>
      </c>
      <c r="Q592">
        <f t="shared" si="990"/>
        <v>-46949.051785714481</v>
      </c>
      <c r="R592">
        <f t="shared" si="991"/>
        <v>-51281265.478626028</v>
      </c>
      <c r="S592">
        <f t="shared" si="992"/>
        <v>-512.81265478626028</v>
      </c>
      <c r="T592">
        <f t="shared" si="993"/>
        <v>-0.51281265478626026</v>
      </c>
    </row>
    <row r="593" spans="1:20" x14ac:dyDescent="0.25">
      <c r="A593" s="5">
        <v>44000</v>
      </c>
      <c r="B593">
        <v>0.3241</v>
      </c>
      <c r="C593">
        <v>0.33989999999999998</v>
      </c>
      <c r="D593">
        <v>0.32</v>
      </c>
      <c r="E593">
        <v>0.33179999999999998</v>
      </c>
      <c r="F593">
        <v>680991.16</v>
      </c>
      <c r="G593">
        <v>0</v>
      </c>
      <c r="L593" t="s">
        <v>8</v>
      </c>
      <c r="M593" t="s">
        <v>7</v>
      </c>
      <c r="N593" t="s">
        <v>8</v>
      </c>
      <c r="P593">
        <f t="shared" si="989"/>
        <v>0.18592964824120534</v>
      </c>
      <c r="Q593">
        <f t="shared" si="990"/>
        <v>126616.44683417039</v>
      </c>
      <c r="R593">
        <f t="shared" si="991"/>
        <v>-51234316.426840313</v>
      </c>
      <c r="S593">
        <f t="shared" si="992"/>
        <v>-512.34316426840314</v>
      </c>
      <c r="T593">
        <f t="shared" si="993"/>
        <v>-0.5123431642684031</v>
      </c>
    </row>
    <row r="594" spans="1:20" x14ac:dyDescent="0.25">
      <c r="A594" s="5">
        <v>43999</v>
      </c>
      <c r="B594">
        <v>0.32640000000000002</v>
      </c>
      <c r="C594">
        <v>0.33229999999999998</v>
      </c>
      <c r="D594">
        <v>0.31309999999999999</v>
      </c>
      <c r="E594">
        <v>0.32400000000000001</v>
      </c>
      <c r="F594">
        <v>325765.68</v>
      </c>
      <c r="G594">
        <v>0</v>
      </c>
      <c r="L594" t="s">
        <v>8</v>
      </c>
      <c r="M594" t="s">
        <v>7</v>
      </c>
      <c r="N594" t="s">
        <v>8</v>
      </c>
      <c r="P594">
        <f t="shared" si="989"/>
        <v>0.13541666666666913</v>
      </c>
      <c r="Q594">
        <f t="shared" si="990"/>
        <v>44114.102500000801</v>
      </c>
      <c r="R594">
        <f t="shared" si="991"/>
        <v>-51360932.873674482</v>
      </c>
      <c r="S594">
        <f t="shared" si="992"/>
        <v>-513.60932873674483</v>
      </c>
      <c r="T594">
        <f t="shared" si="993"/>
        <v>-0.51360932873674481</v>
      </c>
    </row>
    <row r="595" spans="1:20" x14ac:dyDescent="0.25">
      <c r="A595" s="5">
        <v>43998</v>
      </c>
      <c r="B595">
        <v>0.31069999999999998</v>
      </c>
      <c r="C595">
        <v>0.32890000000000003</v>
      </c>
      <c r="D595">
        <v>0.308</v>
      </c>
      <c r="E595">
        <v>0.32640000000000002</v>
      </c>
      <c r="F595">
        <v>481214.5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0.76076555023923453</v>
      </c>
      <c r="Q595">
        <f t="shared" si="990"/>
        <v>366091.41387559811</v>
      </c>
      <c r="R595">
        <f t="shared" si="991"/>
        <v>-51405046.976174481</v>
      </c>
      <c r="S595">
        <f t="shared" si="992"/>
        <v>-514.05046976174481</v>
      </c>
      <c r="T595">
        <f t="shared" si="993"/>
        <v>-0.51405046976174484</v>
      </c>
    </row>
    <row r="596" spans="1:20" x14ac:dyDescent="0.25">
      <c r="A596" s="5">
        <v>43997</v>
      </c>
      <c r="B596">
        <v>0.308</v>
      </c>
      <c r="C596">
        <v>0.31259999999999999</v>
      </c>
      <c r="D596">
        <v>0.2853</v>
      </c>
      <c r="E596">
        <v>0.31069999999999998</v>
      </c>
      <c r="F596">
        <v>591829.69999999995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0.86080586080585986</v>
      </c>
      <c r="Q596">
        <f t="shared" si="990"/>
        <v>509450.47435897373</v>
      </c>
      <c r="R596">
        <f t="shared" si="991"/>
        <v>-51771138.390050076</v>
      </c>
      <c r="S596">
        <f t="shared" si="992"/>
        <v>-517.71138390050078</v>
      </c>
      <c r="T596">
        <f t="shared" si="993"/>
        <v>-0.51771138390050075</v>
      </c>
    </row>
    <row r="597" spans="1:20" x14ac:dyDescent="0.25">
      <c r="A597" s="5">
        <v>43996</v>
      </c>
      <c r="B597">
        <v>0.32750000000000001</v>
      </c>
      <c r="C597">
        <v>0.32779999999999998</v>
      </c>
      <c r="D597">
        <v>0.30180000000000001</v>
      </c>
      <c r="E597">
        <v>0.30880000000000002</v>
      </c>
      <c r="F597">
        <v>419236.65</v>
      </c>
      <c r="G597">
        <v>0</v>
      </c>
      <c r="L597" t="s">
        <v>7</v>
      </c>
      <c r="M597" t="s">
        <v>7</v>
      </c>
      <c r="N597" t="s">
        <v>8</v>
      </c>
      <c r="P597">
        <f t="shared" si="989"/>
        <v>-0.4615384615384604</v>
      </c>
      <c r="Q597">
        <f t="shared" si="990"/>
        <v>-193493.83846153799</v>
      </c>
      <c r="R597">
        <f t="shared" si="991"/>
        <v>-52280588.864409052</v>
      </c>
      <c r="S597">
        <f t="shared" si="992"/>
        <v>-522.80588864409049</v>
      </c>
      <c r="T597">
        <f t="shared" si="993"/>
        <v>-0.5228058886440905</v>
      </c>
    </row>
    <row r="598" spans="1:20" x14ac:dyDescent="0.25">
      <c r="A598" s="5">
        <v>43995</v>
      </c>
      <c r="B598">
        <v>0.318</v>
      </c>
      <c r="C598">
        <v>0.32769999999999999</v>
      </c>
      <c r="D598">
        <v>0.31390000000000001</v>
      </c>
      <c r="E598">
        <v>0.3256</v>
      </c>
      <c r="F598">
        <v>293203.42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0.69565217391304435</v>
      </c>
      <c r="Q598">
        <f t="shared" si="990"/>
        <v>203967.59652173938</v>
      </c>
      <c r="R598">
        <f t="shared" si="991"/>
        <v>-52087095.025947511</v>
      </c>
      <c r="S598">
        <f t="shared" si="992"/>
        <v>-520.87095025947508</v>
      </c>
      <c r="T598">
        <f t="shared" si="993"/>
        <v>-0.52087095025947505</v>
      </c>
    </row>
    <row r="599" spans="1:20" x14ac:dyDescent="0.25">
      <c r="A599" s="5">
        <v>43994</v>
      </c>
      <c r="B599">
        <v>0.30520000000000003</v>
      </c>
      <c r="C599">
        <v>0.32219999999999999</v>
      </c>
      <c r="D599">
        <v>0.30430000000000001</v>
      </c>
      <c r="E599">
        <v>0.31730000000000003</v>
      </c>
      <c r="F599">
        <v>385031.46</v>
      </c>
      <c r="G599">
        <v>0</v>
      </c>
      <c r="L599" t="s">
        <v>7</v>
      </c>
      <c r="M599" t="s">
        <v>7</v>
      </c>
      <c r="N599" t="s">
        <v>8</v>
      </c>
      <c r="P599">
        <f t="shared" si="989"/>
        <v>0.45251396648045056</v>
      </c>
      <c r="Q599">
        <f t="shared" si="990"/>
        <v>174232.11318435895</v>
      </c>
      <c r="R599">
        <f t="shared" si="991"/>
        <v>-52291062.622469254</v>
      </c>
      <c r="S599">
        <f t="shared" si="992"/>
        <v>-522.91062622469258</v>
      </c>
      <c r="T599">
        <f t="shared" si="993"/>
        <v>-0.52291062622469253</v>
      </c>
    </row>
    <row r="600" spans="1:20" x14ac:dyDescent="0.25">
      <c r="A600" s="5">
        <v>43993</v>
      </c>
      <c r="B600">
        <v>0.3478</v>
      </c>
      <c r="C600">
        <v>0.35049999999999998</v>
      </c>
      <c r="D600">
        <v>0.30120000000000002</v>
      </c>
      <c r="E600">
        <v>0.30680000000000002</v>
      </c>
      <c r="F600">
        <v>1306526.3700000001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-0.77281947261663286</v>
      </c>
      <c r="Q600">
        <f t="shared" si="990"/>
        <v>-1009709.0202231238</v>
      </c>
      <c r="R600">
        <f t="shared" si="991"/>
        <v>-52465294.735653616</v>
      </c>
      <c r="S600">
        <f t="shared" si="992"/>
        <v>-524.65294735653617</v>
      </c>
      <c r="T600">
        <f t="shared" si="993"/>
        <v>-0.52465294735653623</v>
      </c>
    </row>
    <row r="601" spans="1:20" x14ac:dyDescent="0.25">
      <c r="A601" s="5">
        <v>43992</v>
      </c>
      <c r="B601">
        <v>0.3448</v>
      </c>
      <c r="C601">
        <v>0.35060000000000002</v>
      </c>
      <c r="D601">
        <v>0.33779999999999999</v>
      </c>
      <c r="E601">
        <v>0.34739999999999999</v>
      </c>
      <c r="F601">
        <v>638319.85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0.49999999999999567</v>
      </c>
      <c r="Q601">
        <f t="shared" si="990"/>
        <v>319159.92499999725</v>
      </c>
      <c r="R601">
        <f t="shared" si="991"/>
        <v>-51455585.715430491</v>
      </c>
      <c r="S601">
        <f t="shared" si="992"/>
        <v>-514.55585715430493</v>
      </c>
      <c r="T601">
        <f t="shared" si="993"/>
        <v>-0.51455585715430496</v>
      </c>
    </row>
    <row r="602" spans="1:20" x14ac:dyDescent="0.25">
      <c r="A602" s="5">
        <v>43991</v>
      </c>
      <c r="B602">
        <v>0.34110000000000001</v>
      </c>
      <c r="C602">
        <v>0.35399999999999998</v>
      </c>
      <c r="D602">
        <v>0.32950000000000002</v>
      </c>
      <c r="E602">
        <v>0.34179999999999999</v>
      </c>
      <c r="F602">
        <v>1152497.08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4.0816326530607808E-3</v>
      </c>
      <c r="Q602">
        <f t="shared" si="990"/>
        <v>4704.0697142852032</v>
      </c>
      <c r="R602">
        <f t="shared" si="991"/>
        <v>-51774745.640430488</v>
      </c>
      <c r="S602">
        <f t="shared" si="992"/>
        <v>-517.7474564043049</v>
      </c>
      <c r="T602">
        <f t="shared" si="993"/>
        <v>-0.51774745640430486</v>
      </c>
    </row>
    <row r="603" spans="1:20" x14ac:dyDescent="0.25">
      <c r="A603" s="5">
        <v>43990</v>
      </c>
      <c r="B603">
        <v>0.32990000000000003</v>
      </c>
      <c r="C603">
        <v>0.37380000000000002</v>
      </c>
      <c r="D603">
        <v>0.32869999999999999</v>
      </c>
      <c r="E603">
        <v>0.34110000000000001</v>
      </c>
      <c r="F603">
        <v>3626532.33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-0.45011086474501044</v>
      </c>
      <c r="Q603">
        <f t="shared" si="990"/>
        <v>-1632341.6030820375</v>
      </c>
      <c r="R603">
        <f t="shared" si="991"/>
        <v>-51779449.710144773</v>
      </c>
      <c r="S603">
        <f t="shared" si="992"/>
        <v>-517.79449710144775</v>
      </c>
      <c r="T603">
        <f t="shared" si="993"/>
        <v>-0.51779449710144776</v>
      </c>
    </row>
    <row r="604" spans="1:20" x14ac:dyDescent="0.25">
      <c r="A604" s="5">
        <v>43989</v>
      </c>
      <c r="B604">
        <v>0.33</v>
      </c>
      <c r="C604">
        <v>0.3357</v>
      </c>
      <c r="D604">
        <v>0.31059999999999999</v>
      </c>
      <c r="E604">
        <v>0.32800000000000001</v>
      </c>
      <c r="F604">
        <v>1374458.7</v>
      </c>
      <c r="G604">
        <v>0</v>
      </c>
      <c r="L604" t="s">
        <v>7</v>
      </c>
      <c r="M604" t="s">
        <v>8</v>
      </c>
      <c r="N604" t="s">
        <v>7</v>
      </c>
      <c r="P604">
        <f t="shared" si="989"/>
        <v>0.38645418326693376</v>
      </c>
      <c r="Q604">
        <f t="shared" si="990"/>
        <v>531165.31434263149</v>
      </c>
      <c r="R604">
        <f t="shared" si="991"/>
        <v>-50147108.107062735</v>
      </c>
      <c r="S604">
        <f t="shared" si="992"/>
        <v>-501.47108107062735</v>
      </c>
      <c r="T604">
        <f t="shared" si="993"/>
        <v>-0.50147108107062732</v>
      </c>
    </row>
    <row r="605" spans="1:20" x14ac:dyDescent="0.25">
      <c r="A605" s="5">
        <v>43988</v>
      </c>
      <c r="B605">
        <v>0.31330000000000002</v>
      </c>
      <c r="C605">
        <v>0.33040000000000003</v>
      </c>
      <c r="D605">
        <v>0.31019999999999998</v>
      </c>
      <c r="E605">
        <v>0.3301</v>
      </c>
      <c r="F605">
        <v>597170.25</v>
      </c>
      <c r="G605">
        <v>0</v>
      </c>
      <c r="L605" t="s">
        <v>8</v>
      </c>
      <c r="M605" t="s">
        <v>8</v>
      </c>
      <c r="N605" t="s">
        <v>7</v>
      </c>
      <c r="P605">
        <f t="shared" si="989"/>
        <v>0.97029702970296816</v>
      </c>
      <c r="Q605">
        <f t="shared" si="990"/>
        <v>579432.51980197895</v>
      </c>
      <c r="R605">
        <f t="shared" si="991"/>
        <v>-50678273.421405368</v>
      </c>
      <c r="S605">
        <f t="shared" si="992"/>
        <v>-506.78273421405368</v>
      </c>
      <c r="T605">
        <f t="shared" si="993"/>
        <v>-0.50678273421405362</v>
      </c>
    </row>
    <row r="606" spans="1:20" x14ac:dyDescent="0.25">
      <c r="A606" s="5">
        <v>43987</v>
      </c>
      <c r="B606">
        <v>0.3165</v>
      </c>
      <c r="C606">
        <v>0.31900000000000001</v>
      </c>
      <c r="D606">
        <v>0.31040000000000001</v>
      </c>
      <c r="E606">
        <v>0.31590000000000001</v>
      </c>
      <c r="F606">
        <v>320821.39</v>
      </c>
      <c r="G606">
        <v>0</v>
      </c>
      <c r="L606" t="s">
        <v>8</v>
      </c>
      <c r="M606" t="s">
        <v>8</v>
      </c>
      <c r="N606" t="s">
        <v>7</v>
      </c>
      <c r="P606">
        <f t="shared" si="989"/>
        <v>0.27906976744186213</v>
      </c>
      <c r="Q606">
        <f t="shared" si="990"/>
        <v>89531.55069767496</v>
      </c>
      <c r="R606">
        <f t="shared" si="991"/>
        <v>-51257705.941207349</v>
      </c>
      <c r="S606">
        <f t="shared" si="992"/>
        <v>-512.57705941207348</v>
      </c>
      <c r="T606">
        <f t="shared" si="993"/>
        <v>-0.51257705941207343</v>
      </c>
    </row>
    <row r="607" spans="1:20" x14ac:dyDescent="0.25">
      <c r="A607" s="5">
        <v>43986</v>
      </c>
      <c r="B607">
        <v>0.31409999999999999</v>
      </c>
      <c r="C607">
        <v>0.31869999999999998</v>
      </c>
      <c r="D607">
        <v>0.30869999999999997</v>
      </c>
      <c r="E607">
        <v>0.3165</v>
      </c>
      <c r="F607">
        <v>464971.78</v>
      </c>
      <c r="G607">
        <v>0</v>
      </c>
      <c r="L607" t="s">
        <v>8</v>
      </c>
      <c r="M607" t="s">
        <v>8</v>
      </c>
      <c r="N607" t="s">
        <v>7</v>
      </c>
      <c r="P607">
        <f t="shared" si="989"/>
        <v>0.56000000000000449</v>
      </c>
      <c r="Q607">
        <f t="shared" si="990"/>
        <v>260384.1968000021</v>
      </c>
      <c r="R607">
        <f t="shared" si="991"/>
        <v>-51347237.491905026</v>
      </c>
      <c r="S607">
        <f t="shared" si="992"/>
        <v>-513.47237491905025</v>
      </c>
      <c r="T607">
        <f t="shared" si="993"/>
        <v>-0.51347237491905029</v>
      </c>
    </row>
    <row r="608" spans="1:20" x14ac:dyDescent="0.25">
      <c r="A608" s="5">
        <v>43985</v>
      </c>
      <c r="B608">
        <v>0.30669999999999997</v>
      </c>
      <c r="C608">
        <v>0.31530000000000002</v>
      </c>
      <c r="D608">
        <v>0.30509999999999998</v>
      </c>
      <c r="E608">
        <v>0.31419999999999998</v>
      </c>
      <c r="F608">
        <v>419045.22</v>
      </c>
      <c r="G608">
        <v>0</v>
      </c>
      <c r="L608" t="s">
        <v>8</v>
      </c>
      <c r="M608" t="s">
        <v>8</v>
      </c>
      <c r="N608" t="s">
        <v>7</v>
      </c>
      <c r="P608">
        <f t="shared" si="989"/>
        <v>0.78431372549018807</v>
      </c>
      <c r="Q608">
        <f t="shared" si="990"/>
        <v>328662.91764705547</v>
      </c>
      <c r="R608">
        <f t="shared" si="991"/>
        <v>-51607621.688705027</v>
      </c>
      <c r="S608">
        <f t="shared" si="992"/>
        <v>-516.07621688705024</v>
      </c>
      <c r="T608">
        <f t="shared" si="993"/>
        <v>-0.51607621688705019</v>
      </c>
    </row>
    <row r="609" spans="1:20" x14ac:dyDescent="0.25">
      <c r="A609" s="5">
        <v>43984</v>
      </c>
      <c r="B609">
        <v>0.31940000000000002</v>
      </c>
      <c r="C609">
        <v>0.32350000000000001</v>
      </c>
      <c r="D609">
        <v>0.29120000000000001</v>
      </c>
      <c r="E609">
        <v>0.30830000000000002</v>
      </c>
      <c r="F609">
        <v>556657.87</v>
      </c>
      <c r="G609">
        <v>0</v>
      </c>
      <c r="L609" t="s">
        <v>7</v>
      </c>
      <c r="M609" t="s">
        <v>8</v>
      </c>
      <c r="N609" t="s">
        <v>7</v>
      </c>
      <c r="P609">
        <f t="shared" si="989"/>
        <v>5.8823529411765108E-2</v>
      </c>
      <c r="Q609">
        <f t="shared" si="990"/>
        <v>32744.580588235516</v>
      </c>
      <c r="R609">
        <f t="shared" si="991"/>
        <v>-51936284.606352083</v>
      </c>
      <c r="S609">
        <f t="shared" si="992"/>
        <v>-519.36284606352081</v>
      </c>
      <c r="T609">
        <f t="shared" si="993"/>
        <v>-0.51936284606352079</v>
      </c>
    </row>
    <row r="610" spans="1:20" x14ac:dyDescent="0.25">
      <c r="A610" s="5">
        <v>43983</v>
      </c>
      <c r="B610">
        <v>0.31340000000000001</v>
      </c>
      <c r="C610">
        <v>0.32479999999999998</v>
      </c>
      <c r="D610">
        <v>0.30930000000000002</v>
      </c>
      <c r="E610">
        <v>0.31709999999999999</v>
      </c>
      <c r="F610">
        <v>610306.37</v>
      </c>
      <c r="G610">
        <v>0</v>
      </c>
      <c r="L610" t="s">
        <v>7</v>
      </c>
      <c r="M610" t="s">
        <v>8</v>
      </c>
      <c r="N610" t="s">
        <v>7</v>
      </c>
      <c r="P610">
        <f t="shared" si="989"/>
        <v>6.4516129032251134E-3</v>
      </c>
      <c r="Q610">
        <f t="shared" si="990"/>
        <v>3937.46045161248</v>
      </c>
      <c r="R610">
        <f t="shared" si="991"/>
        <v>-51969029.18694032</v>
      </c>
      <c r="S610">
        <f t="shared" si="992"/>
        <v>-519.69029186940315</v>
      </c>
      <c r="T610">
        <f t="shared" si="993"/>
        <v>-0.51969029186940319</v>
      </c>
    </row>
    <row r="611" spans="1:20" x14ac:dyDescent="0.25">
      <c r="A611" s="5">
        <v>43982</v>
      </c>
      <c r="B611">
        <v>0.3216</v>
      </c>
      <c r="C611">
        <v>0.3322</v>
      </c>
      <c r="D611">
        <v>0.31119999999999998</v>
      </c>
      <c r="E611">
        <v>0.31469999999999998</v>
      </c>
      <c r="F611">
        <v>621849.65</v>
      </c>
      <c r="G611">
        <v>0</v>
      </c>
      <c r="L611" t="s">
        <v>8</v>
      </c>
      <c r="M611" t="s">
        <v>8</v>
      </c>
      <c r="N611" t="s">
        <v>7</v>
      </c>
      <c r="P611">
        <f t="shared" si="989"/>
        <v>-0.66666666666666663</v>
      </c>
      <c r="Q611">
        <f t="shared" si="990"/>
        <v>-414566.43333333335</v>
      </c>
      <c r="R611">
        <f t="shared" si="991"/>
        <v>-51972966.64739193</v>
      </c>
      <c r="S611">
        <f t="shared" si="992"/>
        <v>-519.72966647391934</v>
      </c>
      <c r="T611">
        <f t="shared" si="993"/>
        <v>-0.51972966647391938</v>
      </c>
    </row>
    <row r="612" spans="1:20" x14ac:dyDescent="0.25">
      <c r="A612" s="5">
        <v>43981</v>
      </c>
      <c r="B612">
        <v>0.31340000000000001</v>
      </c>
      <c r="C612">
        <v>0.32969999999999999</v>
      </c>
      <c r="D612">
        <v>0.30930000000000002</v>
      </c>
      <c r="E612">
        <v>0.32119999999999999</v>
      </c>
      <c r="F612">
        <v>552404.53</v>
      </c>
      <c r="G612">
        <v>0</v>
      </c>
      <c r="L612" t="s">
        <v>8</v>
      </c>
      <c r="M612" t="s">
        <v>8</v>
      </c>
      <c r="N612" t="s">
        <v>7</v>
      </c>
      <c r="P612">
        <f t="shared" si="989"/>
        <v>0.16666666666666485</v>
      </c>
      <c r="Q612">
        <f t="shared" si="990"/>
        <v>92067.421666665672</v>
      </c>
      <c r="R612">
        <f t="shared" si="991"/>
        <v>-51558400.2140586</v>
      </c>
      <c r="S612">
        <f t="shared" si="992"/>
        <v>-515.58400214058599</v>
      </c>
      <c r="T612">
        <f t="shared" si="993"/>
        <v>-0.51558400214058597</v>
      </c>
    </row>
    <row r="613" spans="1:20" x14ac:dyDescent="0.25">
      <c r="A613" s="5">
        <v>43980</v>
      </c>
      <c r="B613">
        <v>0.315</v>
      </c>
      <c r="C613">
        <v>0.31519999999999998</v>
      </c>
      <c r="D613">
        <v>0.30680000000000002</v>
      </c>
      <c r="E613">
        <v>0.31480000000000002</v>
      </c>
      <c r="F613">
        <v>347051.46</v>
      </c>
      <c r="G613">
        <v>0</v>
      </c>
      <c r="L613" t="s">
        <v>7</v>
      </c>
      <c r="M613" t="s">
        <v>8</v>
      </c>
      <c r="N613" t="s">
        <v>7</v>
      </c>
      <c r="P613">
        <f t="shared" si="989"/>
        <v>0.90476190476191487</v>
      </c>
      <c r="Q613">
        <f t="shared" si="990"/>
        <v>313998.94000000355</v>
      </c>
      <c r="R613">
        <f t="shared" si="991"/>
        <v>-51650467.635725267</v>
      </c>
      <c r="S613">
        <f t="shared" si="992"/>
        <v>-516.50467635725272</v>
      </c>
      <c r="T613">
        <f t="shared" si="993"/>
        <v>-0.51650467635725272</v>
      </c>
    </row>
    <row r="614" spans="1:20" x14ac:dyDescent="0.25">
      <c r="A614" s="5">
        <v>43979</v>
      </c>
      <c r="B614">
        <v>0.30959999999999999</v>
      </c>
      <c r="C614">
        <v>0.31559999999999999</v>
      </c>
      <c r="D614">
        <v>0.30690000000000001</v>
      </c>
      <c r="E614">
        <v>0.315</v>
      </c>
      <c r="F614">
        <v>392871.39</v>
      </c>
      <c r="G614">
        <v>0</v>
      </c>
      <c r="L614" t="s">
        <v>7</v>
      </c>
      <c r="M614" t="s">
        <v>8</v>
      </c>
      <c r="N614" t="s">
        <v>7</v>
      </c>
      <c r="P614">
        <f t="shared" si="989"/>
        <v>0.86206896551724355</v>
      </c>
      <c r="Q614">
        <f t="shared" si="990"/>
        <v>338682.23275862157</v>
      </c>
      <c r="R614">
        <f t="shared" si="991"/>
        <v>-51964466.575725272</v>
      </c>
      <c r="S614">
        <f t="shared" si="992"/>
        <v>-519.64466575725271</v>
      </c>
      <c r="T614">
        <f t="shared" si="993"/>
        <v>-0.51964466575725266</v>
      </c>
    </row>
    <row r="615" spans="1:20" x14ac:dyDescent="0.25">
      <c r="A615" s="5">
        <v>43978</v>
      </c>
      <c r="B615">
        <v>0.32590000000000002</v>
      </c>
      <c r="C615">
        <v>0.33550000000000002</v>
      </c>
      <c r="D615">
        <v>0.30370000000000003</v>
      </c>
      <c r="E615">
        <v>0.30880000000000002</v>
      </c>
      <c r="F615">
        <v>1151955</v>
      </c>
      <c r="G615">
        <v>0</v>
      </c>
      <c r="L615" t="s">
        <v>7</v>
      </c>
      <c r="M615" t="s">
        <v>8</v>
      </c>
      <c r="N615" t="s">
        <v>7</v>
      </c>
      <c r="P615">
        <f t="shared" si="989"/>
        <v>-0.67924528301886833</v>
      </c>
      <c r="Q615">
        <f t="shared" si="990"/>
        <v>-782460.00000000047</v>
      </c>
      <c r="R615">
        <f t="shared" si="991"/>
        <v>-52303148.808483891</v>
      </c>
      <c r="S615">
        <f t="shared" si="992"/>
        <v>-523.03148808483888</v>
      </c>
      <c r="T615">
        <f t="shared" si="993"/>
        <v>-0.5230314880848389</v>
      </c>
    </row>
    <row r="616" spans="1:20" x14ac:dyDescent="0.25">
      <c r="A616" s="5">
        <v>43977</v>
      </c>
      <c r="B616">
        <v>0.31180000000000002</v>
      </c>
      <c r="C616">
        <v>0.33300000000000002</v>
      </c>
      <c r="D616">
        <v>0.30690000000000001</v>
      </c>
      <c r="E616">
        <v>0.32600000000000001</v>
      </c>
      <c r="F616">
        <v>1493729.33</v>
      </c>
      <c r="G616">
        <v>0</v>
      </c>
      <c r="L616" t="s">
        <v>8</v>
      </c>
      <c r="M616" t="s">
        <v>8</v>
      </c>
      <c r="N616" t="s">
        <v>7</v>
      </c>
      <c r="P616">
        <f t="shared" si="989"/>
        <v>0.46360153256704956</v>
      </c>
      <c r="Q616">
        <f t="shared" si="990"/>
        <v>692495.20662835217</v>
      </c>
      <c r="R616">
        <f t="shared" si="991"/>
        <v>-51520688.808483891</v>
      </c>
      <c r="S616">
        <f t="shared" si="992"/>
        <v>-515.20688808483897</v>
      </c>
      <c r="T616">
        <f t="shared" si="993"/>
        <v>-0.51520688808483894</v>
      </c>
    </row>
    <row r="617" spans="1:20" x14ac:dyDescent="0.25">
      <c r="A617" s="5">
        <v>43976</v>
      </c>
      <c r="B617">
        <v>0.29099999999999998</v>
      </c>
      <c r="C617">
        <v>0.3135</v>
      </c>
      <c r="D617">
        <v>0.28849999999999998</v>
      </c>
      <c r="E617">
        <v>0.31090000000000001</v>
      </c>
      <c r="F617">
        <v>640395.99</v>
      </c>
      <c r="G617">
        <v>0</v>
      </c>
      <c r="L617" t="s">
        <v>8</v>
      </c>
      <c r="M617" t="s">
        <v>8</v>
      </c>
      <c r="N617" t="s">
        <v>7</v>
      </c>
      <c r="P617">
        <f t="shared" si="989"/>
        <v>0.79200000000000093</v>
      </c>
      <c r="Q617">
        <f t="shared" si="990"/>
        <v>507193.62408000056</v>
      </c>
      <c r="R617">
        <f t="shared" si="991"/>
        <v>-52213184.015112244</v>
      </c>
      <c r="S617">
        <f t="shared" si="992"/>
        <v>-522.13184015112245</v>
      </c>
      <c r="T617">
        <f t="shared" si="993"/>
        <v>-0.52213184015112246</v>
      </c>
    </row>
    <row r="618" spans="1:20" x14ac:dyDescent="0.25">
      <c r="A618" s="5">
        <v>43975</v>
      </c>
      <c r="B618">
        <v>0.31040000000000001</v>
      </c>
      <c r="C618">
        <v>0.315</v>
      </c>
      <c r="D618">
        <v>0.29139999999999999</v>
      </c>
      <c r="E618">
        <v>0.29139999999999999</v>
      </c>
      <c r="F618">
        <v>900988.19</v>
      </c>
      <c r="G618">
        <v>0</v>
      </c>
      <c r="L618" t="s">
        <v>7</v>
      </c>
      <c r="M618" t="s">
        <v>8</v>
      </c>
      <c r="N618" t="s">
        <v>7</v>
      </c>
      <c r="P618">
        <f t="shared" si="989"/>
        <v>-1</v>
      </c>
      <c r="Q618">
        <f t="shared" si="990"/>
        <v>-900988.19</v>
      </c>
      <c r="R618">
        <f t="shared" si="991"/>
        <v>-52720377.639192246</v>
      </c>
      <c r="S618">
        <f t="shared" si="992"/>
        <v>-527.20377639192247</v>
      </c>
      <c r="T618">
        <f t="shared" si="993"/>
        <v>-0.52720377639192251</v>
      </c>
    </row>
    <row r="619" spans="1:20" x14ac:dyDescent="0.25">
      <c r="A619" s="5">
        <v>43974</v>
      </c>
      <c r="B619">
        <v>0.31530000000000002</v>
      </c>
      <c r="C619">
        <v>0.318</v>
      </c>
      <c r="D619">
        <v>0.30370000000000003</v>
      </c>
      <c r="E619">
        <v>0.31190000000000001</v>
      </c>
      <c r="F619">
        <v>431535.86</v>
      </c>
      <c r="G619">
        <v>0</v>
      </c>
      <c r="L619" t="s">
        <v>8</v>
      </c>
      <c r="M619" t="s">
        <v>8</v>
      </c>
      <c r="N619" t="s">
        <v>7</v>
      </c>
      <c r="P619">
        <f t="shared" si="989"/>
        <v>0.14685314685314643</v>
      </c>
      <c r="Q619">
        <f t="shared" si="990"/>
        <v>63372.399020978839</v>
      </c>
      <c r="R619">
        <f t="shared" si="991"/>
        <v>-51819389.449192248</v>
      </c>
      <c r="S619">
        <f t="shared" si="992"/>
        <v>-518.19389449192249</v>
      </c>
      <c r="T619">
        <f t="shared" si="993"/>
        <v>-0.51819389449192255</v>
      </c>
    </row>
    <row r="620" spans="1:20" x14ac:dyDescent="0.25">
      <c r="A620" s="5">
        <v>43973</v>
      </c>
      <c r="B620">
        <v>0.30830000000000002</v>
      </c>
      <c r="C620">
        <v>0.31990000000000002</v>
      </c>
      <c r="D620">
        <v>0.30109999999999998</v>
      </c>
      <c r="E620">
        <v>0.31530000000000002</v>
      </c>
      <c r="F620">
        <v>1574024.87</v>
      </c>
      <c r="G620">
        <v>0</v>
      </c>
      <c r="L620" t="s">
        <v>8</v>
      </c>
      <c r="M620" t="s">
        <v>8</v>
      </c>
      <c r="N620" t="s">
        <v>7</v>
      </c>
      <c r="P620">
        <f t="shared" si="989"/>
        <v>0.51063829787234216</v>
      </c>
      <c r="Q620">
        <f t="shared" si="990"/>
        <v>803757.38042553468</v>
      </c>
      <c r="R620">
        <f t="shared" si="991"/>
        <v>-51882761.848213226</v>
      </c>
      <c r="S620">
        <f t="shared" si="992"/>
        <v>-518.82761848213227</v>
      </c>
      <c r="T620">
        <f t="shared" si="993"/>
        <v>-0.51882761848213221</v>
      </c>
    </row>
    <row r="621" spans="1:20" x14ac:dyDescent="0.25">
      <c r="A621" s="5">
        <v>43972</v>
      </c>
      <c r="B621">
        <v>0.30049999999999999</v>
      </c>
      <c r="C621">
        <v>0.31290000000000001</v>
      </c>
      <c r="D621">
        <v>0.28260000000000002</v>
      </c>
      <c r="E621">
        <v>0.30690000000000001</v>
      </c>
      <c r="F621">
        <v>1042936.19</v>
      </c>
      <c r="G621">
        <v>0</v>
      </c>
      <c r="L621" t="s">
        <v>7</v>
      </c>
      <c r="M621" t="s">
        <v>8</v>
      </c>
      <c r="N621" t="s">
        <v>7</v>
      </c>
      <c r="P621">
        <f t="shared" si="989"/>
        <v>0.6039603960396035</v>
      </c>
      <c r="Q621">
        <f t="shared" si="990"/>
        <v>629892.15435643517</v>
      </c>
      <c r="R621">
        <f t="shared" si="991"/>
        <v>-52686519.228638761</v>
      </c>
      <c r="S621">
        <f t="shared" si="992"/>
        <v>-526.86519228638758</v>
      </c>
      <c r="T621">
        <f t="shared" si="993"/>
        <v>-0.52686519228638762</v>
      </c>
    </row>
    <row r="622" spans="1:20" x14ac:dyDescent="0.25">
      <c r="A622" s="5">
        <v>43971</v>
      </c>
      <c r="B622">
        <v>0.29670000000000002</v>
      </c>
      <c r="C622">
        <v>0.31840000000000002</v>
      </c>
      <c r="D622">
        <v>0.28899999999999998</v>
      </c>
      <c r="E622">
        <v>0.3</v>
      </c>
      <c r="F622">
        <v>1790691.26</v>
      </c>
      <c r="G622">
        <v>0</v>
      </c>
      <c r="L622" t="s">
        <v>8</v>
      </c>
      <c r="M622" t="s">
        <v>8</v>
      </c>
      <c r="N622" t="s">
        <v>7</v>
      </c>
      <c r="P622">
        <f t="shared" si="989"/>
        <v>-0.25170068027210912</v>
      </c>
      <c r="Q622">
        <f t="shared" si="990"/>
        <v>-450718.20829932025</v>
      </c>
      <c r="R622">
        <f t="shared" si="991"/>
        <v>-53316411.382995196</v>
      </c>
      <c r="S622">
        <f t="shared" si="992"/>
        <v>-533.16411382995193</v>
      </c>
      <c r="T622">
        <f t="shared" si="993"/>
        <v>-0.53316411382995188</v>
      </c>
    </row>
    <row r="623" spans="1:20" x14ac:dyDescent="0.25">
      <c r="A623" s="5">
        <v>43970</v>
      </c>
      <c r="B623">
        <v>0.2913</v>
      </c>
      <c r="C623">
        <v>0.29870000000000002</v>
      </c>
      <c r="D623">
        <v>0.28920000000000001</v>
      </c>
      <c r="E623">
        <v>0.29670000000000002</v>
      </c>
      <c r="F623">
        <v>506463.42</v>
      </c>
      <c r="G623">
        <v>0</v>
      </c>
      <c r="L623" t="s">
        <v>7</v>
      </c>
      <c r="M623" t="s">
        <v>7</v>
      </c>
      <c r="N623" t="s">
        <v>7</v>
      </c>
      <c r="P623">
        <f t="shared" si="989"/>
        <v>0.57894736842105265</v>
      </c>
      <c r="Q623">
        <f t="shared" si="990"/>
        <v>293215.66421052633</v>
      </c>
      <c r="R623">
        <f t="shared" si="991"/>
        <v>-52865693.174695872</v>
      </c>
      <c r="S623">
        <f t="shared" si="992"/>
        <v>-528.65693174695866</v>
      </c>
      <c r="T623">
        <f t="shared" si="993"/>
        <v>-0.52865693174695871</v>
      </c>
    </row>
    <row r="624" spans="1:20" x14ac:dyDescent="0.25">
      <c r="A624" s="5">
        <v>43969</v>
      </c>
      <c r="B624">
        <v>0.28710000000000002</v>
      </c>
      <c r="C624">
        <v>0.29680000000000001</v>
      </c>
      <c r="D624">
        <v>0.28570000000000001</v>
      </c>
      <c r="E624">
        <v>0.2928</v>
      </c>
      <c r="F624">
        <v>1086435.98</v>
      </c>
      <c r="G624">
        <v>0</v>
      </c>
      <c r="L624" t="s">
        <v>7</v>
      </c>
      <c r="M624" t="s">
        <v>7</v>
      </c>
      <c r="N624" t="s">
        <v>7</v>
      </c>
      <c r="P624">
        <f t="shared" si="989"/>
        <v>0.27927927927927854</v>
      </c>
      <c r="Q624">
        <f t="shared" si="990"/>
        <v>303419.05747747666</v>
      </c>
      <c r="R624">
        <f t="shared" si="991"/>
        <v>-53158908.8389064</v>
      </c>
      <c r="S624">
        <f t="shared" si="992"/>
        <v>-531.58908838906405</v>
      </c>
      <c r="T624">
        <f t="shared" si="993"/>
        <v>-0.53158908838906405</v>
      </c>
    </row>
    <row r="625" spans="1:20" x14ac:dyDescent="0.25">
      <c r="A625" s="5">
        <v>43968</v>
      </c>
      <c r="B625">
        <v>0.28460000000000002</v>
      </c>
      <c r="C625">
        <v>0.29449999999999998</v>
      </c>
      <c r="D625">
        <v>0.28349999999999997</v>
      </c>
      <c r="E625">
        <v>0.28710000000000002</v>
      </c>
      <c r="F625">
        <v>641568.16</v>
      </c>
      <c r="G625">
        <v>0</v>
      </c>
      <c r="L625" t="s">
        <v>7</v>
      </c>
      <c r="M625" t="s">
        <v>7</v>
      </c>
      <c r="N625" t="s">
        <v>7</v>
      </c>
      <c r="P625">
        <f t="shared" si="989"/>
        <v>-0.34545454545453735</v>
      </c>
      <c r="Q625">
        <f t="shared" si="990"/>
        <v>-221632.63709090391</v>
      </c>
      <c r="R625">
        <f t="shared" si="991"/>
        <v>-53462327.896383874</v>
      </c>
      <c r="S625">
        <f t="shared" si="992"/>
        <v>-534.62327896383874</v>
      </c>
      <c r="T625">
        <f t="shared" si="993"/>
        <v>-0.53462327896383877</v>
      </c>
    </row>
    <row r="626" spans="1:20" x14ac:dyDescent="0.25">
      <c r="A626" s="5">
        <v>43967</v>
      </c>
      <c r="B626">
        <v>0.28010000000000002</v>
      </c>
      <c r="C626">
        <v>0.28770000000000001</v>
      </c>
      <c r="D626">
        <v>0.27950000000000003</v>
      </c>
      <c r="E626">
        <v>0.28560000000000002</v>
      </c>
      <c r="F626">
        <v>268946.76</v>
      </c>
      <c r="G626">
        <v>0</v>
      </c>
      <c r="L626" t="s">
        <v>7</v>
      </c>
      <c r="M626" t="s">
        <v>7</v>
      </c>
      <c r="N626" t="s">
        <v>7</v>
      </c>
      <c r="P626">
        <f t="shared" si="989"/>
        <v>0.48780487804878181</v>
      </c>
      <c r="Q626">
        <f t="shared" si="990"/>
        <v>131193.54146341499</v>
      </c>
      <c r="R626">
        <f t="shared" si="991"/>
        <v>-53240695.259292968</v>
      </c>
      <c r="S626">
        <f t="shared" si="992"/>
        <v>-532.40695259292966</v>
      </c>
      <c r="T626">
        <f t="shared" si="993"/>
        <v>-0.53240695259292969</v>
      </c>
    </row>
    <row r="627" spans="1:20" x14ac:dyDescent="0.25">
      <c r="A627" s="5">
        <v>43966</v>
      </c>
      <c r="B627">
        <v>0.28970000000000001</v>
      </c>
      <c r="C627">
        <v>0.2959</v>
      </c>
      <c r="D627">
        <v>0.27629999999999999</v>
      </c>
      <c r="E627">
        <v>0.28000000000000003</v>
      </c>
      <c r="F627">
        <v>480388.24</v>
      </c>
      <c r="G627">
        <v>0</v>
      </c>
      <c r="L627" t="s">
        <v>7</v>
      </c>
      <c r="M627" t="s">
        <v>7</v>
      </c>
      <c r="N627" t="s">
        <v>7</v>
      </c>
      <c r="P627">
        <f t="shared" si="989"/>
        <v>-0.6224489795918331</v>
      </c>
      <c r="Q627">
        <f t="shared" si="990"/>
        <v>-299017.16979591659</v>
      </c>
      <c r="R627">
        <f t="shared" si="991"/>
        <v>-53371888.80075638</v>
      </c>
      <c r="S627">
        <f t="shared" si="992"/>
        <v>-533.71888800756381</v>
      </c>
      <c r="T627">
        <f t="shared" si="993"/>
        <v>-0.53371888800756384</v>
      </c>
    </row>
    <row r="628" spans="1:20" x14ac:dyDescent="0.25">
      <c r="A628" s="5">
        <v>43965</v>
      </c>
      <c r="B628">
        <v>0.28360000000000002</v>
      </c>
      <c r="C628">
        <v>0.30980000000000002</v>
      </c>
      <c r="D628">
        <v>0.2777</v>
      </c>
      <c r="E628">
        <v>0.28970000000000001</v>
      </c>
      <c r="F628">
        <v>911042.93</v>
      </c>
      <c r="G628">
        <v>0</v>
      </c>
      <c r="L628" t="s">
        <v>8</v>
      </c>
      <c r="M628" t="s">
        <v>7</v>
      </c>
      <c r="N628" t="s">
        <v>7</v>
      </c>
      <c r="P628">
        <f t="shared" si="989"/>
        <v>-0.25233644859813059</v>
      </c>
      <c r="Q628">
        <f t="shared" si="990"/>
        <v>-229889.33747663529</v>
      </c>
      <c r="R628">
        <f t="shared" si="991"/>
        <v>-53072871.630960464</v>
      </c>
      <c r="S628">
        <f t="shared" si="992"/>
        <v>-530.72871630960469</v>
      </c>
      <c r="T628">
        <f t="shared" si="993"/>
        <v>-0.53072871630960472</v>
      </c>
    </row>
    <row r="629" spans="1:20" x14ac:dyDescent="0.25">
      <c r="A629" s="5">
        <v>43964</v>
      </c>
      <c r="B629">
        <v>0.27850000000000003</v>
      </c>
      <c r="C629">
        <v>0.28570000000000001</v>
      </c>
      <c r="D629">
        <v>0.27629999999999999</v>
      </c>
      <c r="E629">
        <v>0.28270000000000001</v>
      </c>
      <c r="F629">
        <v>319671.58</v>
      </c>
      <c r="G629">
        <v>0</v>
      </c>
      <c r="L629" t="s">
        <v>8</v>
      </c>
      <c r="M629" t="s">
        <v>7</v>
      </c>
      <c r="N629" t="s">
        <v>7</v>
      </c>
      <c r="P629">
        <f t="shared" si="989"/>
        <v>0.36170212765957521</v>
      </c>
      <c r="Q629">
        <f t="shared" si="990"/>
        <v>115625.89063829812</v>
      </c>
      <c r="R629">
        <f t="shared" si="991"/>
        <v>-52842982.293483831</v>
      </c>
      <c r="S629">
        <f t="shared" si="992"/>
        <v>-528.42982293483828</v>
      </c>
      <c r="T629">
        <f t="shared" si="993"/>
        <v>-0.52842982293483831</v>
      </c>
    </row>
    <row r="630" spans="1:20" x14ac:dyDescent="0.25">
      <c r="A630" s="5">
        <v>43963</v>
      </c>
      <c r="B630">
        <v>0.27150000000000002</v>
      </c>
      <c r="C630">
        <v>0.28299999999999997</v>
      </c>
      <c r="D630">
        <v>0.26889999999999997</v>
      </c>
      <c r="E630">
        <v>0.27750000000000002</v>
      </c>
      <c r="F630">
        <v>300688.53000000003</v>
      </c>
      <c r="G630">
        <v>0</v>
      </c>
      <c r="L630" t="s">
        <v>8</v>
      </c>
      <c r="M630" t="s">
        <v>7</v>
      </c>
      <c r="N630" t="s">
        <v>7</v>
      </c>
      <c r="P630">
        <f t="shared" si="989"/>
        <v>0.21985815602837605</v>
      </c>
      <c r="Q630">
        <f t="shared" si="990"/>
        <v>66108.825744683039</v>
      </c>
      <c r="R630">
        <f t="shared" si="991"/>
        <v>-52958608.18412213</v>
      </c>
      <c r="S630">
        <f t="shared" si="992"/>
        <v>-529.58608184122136</v>
      </c>
      <c r="T630">
        <f t="shared" si="993"/>
        <v>-0.52958608184122136</v>
      </c>
    </row>
    <row r="631" spans="1:20" x14ac:dyDescent="0.25">
      <c r="A631" s="5">
        <v>43962</v>
      </c>
      <c r="B631">
        <v>0.28079999999999999</v>
      </c>
      <c r="C631">
        <v>0.28389999999999999</v>
      </c>
      <c r="D631">
        <v>0.25819999999999999</v>
      </c>
      <c r="E631">
        <v>0.27150000000000002</v>
      </c>
      <c r="F631">
        <v>532133.27</v>
      </c>
      <c r="G631">
        <v>0</v>
      </c>
      <c r="L631" t="s">
        <v>7</v>
      </c>
      <c r="M631" t="s">
        <v>7</v>
      </c>
      <c r="N631" t="s">
        <v>7</v>
      </c>
      <c r="P631">
        <f t="shared" si="989"/>
        <v>3.5019455252920911E-2</v>
      </c>
      <c r="Q631">
        <f t="shared" si="990"/>
        <v>18635.017237355481</v>
      </c>
      <c r="R631">
        <f t="shared" si="991"/>
        <v>-53024717.009866811</v>
      </c>
      <c r="S631">
        <f t="shared" si="992"/>
        <v>-530.24717009866811</v>
      </c>
      <c r="T631">
        <f t="shared" si="993"/>
        <v>-0.53024717009866806</v>
      </c>
    </row>
    <row r="632" spans="1:20" x14ac:dyDescent="0.25">
      <c r="A632" s="5">
        <v>43961</v>
      </c>
      <c r="B632">
        <v>0.2969</v>
      </c>
      <c r="C632">
        <v>0.29880000000000001</v>
      </c>
      <c r="D632">
        <v>0.26300000000000001</v>
      </c>
      <c r="E632">
        <v>0.28039999999999998</v>
      </c>
      <c r="F632">
        <v>1331165.73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-2.7932960893856325E-2</v>
      </c>
      <c r="Q632">
        <f t="shared" si="990"/>
        <v>-37183.400279331705</v>
      </c>
      <c r="R632">
        <f t="shared" si="991"/>
        <v>-53043352.027104169</v>
      </c>
      <c r="S632">
        <f t="shared" si="992"/>
        <v>-530.43352027104174</v>
      </c>
      <c r="T632">
        <f t="shared" si="993"/>
        <v>-0.53043352027104174</v>
      </c>
    </row>
    <row r="633" spans="1:20" x14ac:dyDescent="0.25">
      <c r="A633" s="5">
        <v>43960</v>
      </c>
      <c r="B633">
        <v>0.3054</v>
      </c>
      <c r="C633">
        <v>0.30930000000000002</v>
      </c>
      <c r="D633">
        <v>0.29680000000000001</v>
      </c>
      <c r="E633">
        <v>0.29680000000000001</v>
      </c>
      <c r="F633">
        <v>812846.07</v>
      </c>
      <c r="G633">
        <v>0</v>
      </c>
      <c r="L633" t="s">
        <v>8</v>
      </c>
      <c r="M633" t="s">
        <v>7</v>
      </c>
      <c r="N633" t="s">
        <v>8</v>
      </c>
      <c r="P633">
        <f t="shared" si="989"/>
        <v>-1</v>
      </c>
      <c r="Q633">
        <f t="shared" si="990"/>
        <v>-812846.07</v>
      </c>
      <c r="R633">
        <f t="shared" si="991"/>
        <v>-53006168.626824841</v>
      </c>
      <c r="S633">
        <f t="shared" si="992"/>
        <v>-530.06168626824842</v>
      </c>
      <c r="T633">
        <f t="shared" si="993"/>
        <v>-0.53006168626824846</v>
      </c>
    </row>
    <row r="634" spans="1:20" x14ac:dyDescent="0.25">
      <c r="A634" s="5">
        <v>43959</v>
      </c>
      <c r="B634">
        <v>0.29480000000000001</v>
      </c>
      <c r="C634">
        <v>0.31640000000000001</v>
      </c>
      <c r="D634">
        <v>0.29289999999999999</v>
      </c>
      <c r="E634">
        <v>0.3054</v>
      </c>
      <c r="F634">
        <v>1552292.12</v>
      </c>
      <c r="G634">
        <v>0</v>
      </c>
      <c r="L634" t="s">
        <v>8</v>
      </c>
      <c r="M634" t="s">
        <v>7</v>
      </c>
      <c r="N634" t="s">
        <v>8</v>
      </c>
      <c r="P634">
        <f t="shared" si="989"/>
        <v>6.3829787234042548E-2</v>
      </c>
      <c r="Q634">
        <f t="shared" si="990"/>
        <v>99082.475744680851</v>
      </c>
      <c r="R634">
        <f t="shared" si="991"/>
        <v>-52193322.556824841</v>
      </c>
      <c r="S634">
        <f t="shared" si="992"/>
        <v>-521.93322556824842</v>
      </c>
      <c r="T634">
        <f t="shared" si="993"/>
        <v>-0.52193322556824839</v>
      </c>
    </row>
    <row r="635" spans="1:20" x14ac:dyDescent="0.25">
      <c r="A635" s="5">
        <v>43958</v>
      </c>
      <c r="B635">
        <v>0.28939999999999999</v>
      </c>
      <c r="C635">
        <v>0.29559999999999997</v>
      </c>
      <c r="D635">
        <v>0.2853</v>
      </c>
      <c r="E635">
        <v>0.29249999999999998</v>
      </c>
      <c r="F635">
        <v>688494.96</v>
      </c>
      <c r="G635">
        <v>0</v>
      </c>
      <c r="L635" t="s">
        <v>7</v>
      </c>
      <c r="M635" t="s">
        <v>7</v>
      </c>
      <c r="N635" t="s">
        <v>8</v>
      </c>
      <c r="P635">
        <f t="shared" si="989"/>
        <v>0.39805825242718468</v>
      </c>
      <c r="Q635">
        <f t="shared" si="990"/>
        <v>274061.10058252438</v>
      </c>
      <c r="R635">
        <f t="shared" si="991"/>
        <v>-52292405.03256952</v>
      </c>
      <c r="S635">
        <f t="shared" si="992"/>
        <v>-522.92405032569525</v>
      </c>
      <c r="T635">
        <f t="shared" si="993"/>
        <v>-0.52292405032569522</v>
      </c>
    </row>
    <row r="636" spans="1:20" x14ac:dyDescent="0.25">
      <c r="A636" s="5">
        <v>43957</v>
      </c>
      <c r="B636">
        <v>0.29630000000000001</v>
      </c>
      <c r="C636">
        <v>0.29830000000000001</v>
      </c>
      <c r="D636">
        <v>0.28739999999999999</v>
      </c>
      <c r="E636">
        <v>0.28939999999999999</v>
      </c>
      <c r="F636">
        <v>436875.42</v>
      </c>
      <c r="G636">
        <v>0</v>
      </c>
      <c r="L636" t="s">
        <v>7</v>
      </c>
      <c r="M636" t="s">
        <v>7</v>
      </c>
      <c r="N636" t="s">
        <v>8</v>
      </c>
      <c r="P636">
        <f t="shared" si="989"/>
        <v>-0.63302752293578024</v>
      </c>
      <c r="Q636">
        <f t="shared" si="990"/>
        <v>-276554.16495412862</v>
      </c>
      <c r="R636">
        <f t="shared" si="991"/>
        <v>-52566466.133152045</v>
      </c>
      <c r="S636">
        <f t="shared" si="992"/>
        <v>-525.66466133152051</v>
      </c>
      <c r="T636">
        <f t="shared" si="993"/>
        <v>-0.52566466133152046</v>
      </c>
    </row>
    <row r="637" spans="1:20" x14ac:dyDescent="0.25">
      <c r="A637" s="5">
        <v>43956</v>
      </c>
      <c r="B637">
        <v>0.29570000000000002</v>
      </c>
      <c r="C637">
        <v>0.3029</v>
      </c>
      <c r="D637">
        <v>0.29049999999999998</v>
      </c>
      <c r="E637">
        <v>0.29509999999999997</v>
      </c>
      <c r="F637">
        <v>573800.81000000006</v>
      </c>
      <c r="G637">
        <v>0</v>
      </c>
      <c r="L637" t="s">
        <v>7</v>
      </c>
      <c r="M637" t="s">
        <v>7</v>
      </c>
      <c r="N637" t="s">
        <v>8</v>
      </c>
      <c r="P637">
        <f t="shared" si="989"/>
        <v>-0.25806451612903469</v>
      </c>
      <c r="Q637">
        <f t="shared" si="990"/>
        <v>-148077.62838709817</v>
      </c>
      <c r="R637">
        <f t="shared" si="991"/>
        <v>-52289911.968197919</v>
      </c>
      <c r="S637">
        <f t="shared" si="992"/>
        <v>-522.89911968197919</v>
      </c>
      <c r="T637">
        <f t="shared" si="993"/>
        <v>-0.52289911968197922</v>
      </c>
    </row>
    <row r="638" spans="1:20" x14ac:dyDescent="0.25">
      <c r="A638" s="5">
        <v>43955</v>
      </c>
      <c r="B638">
        <v>0.2974</v>
      </c>
      <c r="C638">
        <v>0.30659999999999998</v>
      </c>
      <c r="D638">
        <v>0.29039999999999999</v>
      </c>
      <c r="E638">
        <v>0.29559999999999997</v>
      </c>
      <c r="F638">
        <v>893809.08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-0.35802469135802656</v>
      </c>
      <c r="Q638">
        <f t="shared" si="990"/>
        <v>-320005.72000000166</v>
      </c>
      <c r="R638">
        <f t="shared" si="991"/>
        <v>-52141834.339810818</v>
      </c>
      <c r="S638">
        <f t="shared" si="992"/>
        <v>-521.41834339810816</v>
      </c>
      <c r="T638">
        <f t="shared" si="993"/>
        <v>-0.52141834339810811</v>
      </c>
    </row>
    <row r="639" spans="1:20" x14ac:dyDescent="0.25">
      <c r="A639" s="5">
        <v>43954</v>
      </c>
      <c r="B639">
        <v>0.3085</v>
      </c>
      <c r="C639">
        <v>0.3115</v>
      </c>
      <c r="D639">
        <v>0.2918</v>
      </c>
      <c r="E639">
        <v>0.29709999999999998</v>
      </c>
      <c r="F639">
        <v>1148725.1399999999</v>
      </c>
      <c r="G639">
        <v>0</v>
      </c>
      <c r="L639" t="s">
        <v>7</v>
      </c>
      <c r="M639" t="s">
        <v>7</v>
      </c>
      <c r="N639" t="s">
        <v>8</v>
      </c>
      <c r="P639">
        <f t="shared" si="989"/>
        <v>-0.46192893401015506</v>
      </c>
      <c r="Q639">
        <f t="shared" si="990"/>
        <v>-530629.37939086603</v>
      </c>
      <c r="R639">
        <f t="shared" si="991"/>
        <v>-51821828.61981082</v>
      </c>
      <c r="S639">
        <f t="shared" si="992"/>
        <v>-518.21828619810822</v>
      </c>
      <c r="T639">
        <f t="shared" si="993"/>
        <v>-0.51821828619810817</v>
      </c>
    </row>
    <row r="640" spans="1:20" x14ac:dyDescent="0.25">
      <c r="A640" s="5">
        <v>43953</v>
      </c>
      <c r="B640">
        <v>0.31140000000000001</v>
      </c>
      <c r="C640">
        <v>0.31259999999999999</v>
      </c>
      <c r="D640">
        <v>0.30449999999999999</v>
      </c>
      <c r="E640">
        <v>0.3085</v>
      </c>
      <c r="F640">
        <v>744831.14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-1.2345679012344325E-2</v>
      </c>
      <c r="Q640">
        <f t="shared" si="990"/>
        <v>-9195.4461728384977</v>
      </c>
      <c r="R640">
        <f t="shared" si="991"/>
        <v>-51291199.240419954</v>
      </c>
      <c r="S640">
        <f t="shared" si="992"/>
        <v>-512.91199240419951</v>
      </c>
      <c r="T640">
        <f t="shared" si="993"/>
        <v>-0.51291199240419949</v>
      </c>
    </row>
    <row r="641" spans="1:20" x14ac:dyDescent="0.25">
      <c r="A641" s="5">
        <v>43952</v>
      </c>
      <c r="B641">
        <v>0.30349999999999999</v>
      </c>
      <c r="C641">
        <v>0.32429999999999998</v>
      </c>
      <c r="D641">
        <v>0.30109999999999998</v>
      </c>
      <c r="E641">
        <v>0.31219999999999998</v>
      </c>
      <c r="F641">
        <v>1541638.23</v>
      </c>
      <c r="G641">
        <v>0</v>
      </c>
      <c r="L641" t="s">
        <v>8</v>
      </c>
      <c r="M641" t="s">
        <v>8</v>
      </c>
      <c r="N641" t="s">
        <v>8</v>
      </c>
      <c r="P641">
        <f t="shared" si="989"/>
        <v>-4.3103448275862113E-2</v>
      </c>
      <c r="Q641">
        <f t="shared" si="990"/>
        <v>-66449.923706896618</v>
      </c>
      <c r="R641">
        <f t="shared" si="991"/>
        <v>-51282003.794247113</v>
      </c>
      <c r="S641">
        <f t="shared" si="992"/>
        <v>-512.82003794247112</v>
      </c>
      <c r="T641">
        <f t="shared" si="993"/>
        <v>-0.51282003794247111</v>
      </c>
    </row>
    <row r="642" spans="1:20" x14ac:dyDescent="0.25">
      <c r="A642" s="5">
        <v>43951</v>
      </c>
      <c r="B642">
        <v>0.32319999999999999</v>
      </c>
      <c r="C642">
        <v>0.33200000000000002</v>
      </c>
      <c r="D642">
        <v>0.29580000000000001</v>
      </c>
      <c r="E642">
        <v>0.30559999999999998</v>
      </c>
      <c r="F642">
        <v>3341011.56</v>
      </c>
      <c r="G642">
        <v>0</v>
      </c>
      <c r="L642" t="s">
        <v>7</v>
      </c>
      <c r="M642" t="s">
        <v>8</v>
      </c>
      <c r="N642" t="s">
        <v>8</v>
      </c>
      <c r="P642">
        <f t="shared" si="989"/>
        <v>-0.4585635359116037</v>
      </c>
      <c r="Q642">
        <f t="shared" si="990"/>
        <v>-1532066.0744751431</v>
      </c>
      <c r="R642">
        <f t="shared" si="991"/>
        <v>-51215553.870540217</v>
      </c>
      <c r="S642">
        <f t="shared" si="992"/>
        <v>-512.15553870540214</v>
      </c>
      <c r="T642">
        <f t="shared" si="993"/>
        <v>-0.51215553870540209</v>
      </c>
    </row>
    <row r="643" spans="1:20" x14ac:dyDescent="0.25">
      <c r="A643" s="5">
        <v>43950</v>
      </c>
      <c r="B643">
        <v>0.31080000000000002</v>
      </c>
      <c r="C643">
        <v>0.34949999999999998</v>
      </c>
      <c r="D643">
        <v>0.31080000000000002</v>
      </c>
      <c r="E643">
        <v>0.3236</v>
      </c>
      <c r="F643">
        <v>4948744.25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-0.3385012919896645</v>
      </c>
      <c r="Q643">
        <f t="shared" si="990"/>
        <v>-1675156.3223514233</v>
      </c>
      <c r="R643">
        <f t="shared" si="991"/>
        <v>-49683487.796065077</v>
      </c>
      <c r="S643">
        <f t="shared" si="992"/>
        <v>-496.83487796065077</v>
      </c>
      <c r="T643">
        <f t="shared" si="993"/>
        <v>-0.49683487796065079</v>
      </c>
    </row>
    <row r="644" spans="1:20" x14ac:dyDescent="0.25">
      <c r="A644" s="5">
        <v>43949</v>
      </c>
      <c r="B644">
        <v>0.30630000000000002</v>
      </c>
      <c r="C644">
        <v>0.31940000000000002</v>
      </c>
      <c r="D644">
        <v>0.30009999999999998</v>
      </c>
      <c r="E644">
        <v>0.31059999999999999</v>
      </c>
      <c r="F644">
        <v>1286350.56</v>
      </c>
      <c r="G644">
        <v>0</v>
      </c>
      <c r="L644" t="s">
        <v>7</v>
      </c>
      <c r="M644" t="s">
        <v>7</v>
      </c>
      <c r="N644" t="s">
        <v>8</v>
      </c>
      <c r="P644">
        <f t="shared" si="989"/>
        <v>8.808290155440289E-2</v>
      </c>
      <c r="Q644">
        <f t="shared" si="990"/>
        <v>113305.48974093104</v>
      </c>
      <c r="R644">
        <f t="shared" si="991"/>
        <v>-48008331.473713651</v>
      </c>
      <c r="S644">
        <f t="shared" si="992"/>
        <v>-480.0833147371365</v>
      </c>
      <c r="T644">
        <f t="shared" si="993"/>
        <v>-0.4800833147371365</v>
      </c>
    </row>
    <row r="645" spans="1:20" x14ac:dyDescent="0.25">
      <c r="A645" s="5">
        <v>43948</v>
      </c>
      <c r="B645">
        <v>0.3</v>
      </c>
      <c r="C645">
        <v>0.32569999999999999</v>
      </c>
      <c r="D645">
        <v>0.2954</v>
      </c>
      <c r="E645">
        <v>0.30609999999999998</v>
      </c>
      <c r="F645">
        <v>3689545.02</v>
      </c>
      <c r="G645">
        <v>0</v>
      </c>
      <c r="L645" t="s">
        <v>8</v>
      </c>
      <c r="M645" t="s">
        <v>7</v>
      </c>
      <c r="N645" t="s">
        <v>8</v>
      </c>
      <c r="P645">
        <f t="shared" si="989"/>
        <v>-0.2937293729372944</v>
      </c>
      <c r="Q645">
        <f t="shared" si="990"/>
        <v>-1083727.7451485174</v>
      </c>
      <c r="R645">
        <f t="shared" si="991"/>
        <v>-48121636.963454582</v>
      </c>
      <c r="S645">
        <f t="shared" si="992"/>
        <v>-481.2163696345458</v>
      </c>
      <c r="T645">
        <f t="shared" si="993"/>
        <v>-0.48121636963454578</v>
      </c>
    </row>
    <row r="646" spans="1:20" x14ac:dyDescent="0.25">
      <c r="A646" s="5">
        <v>43947</v>
      </c>
      <c r="B646">
        <v>0.3</v>
      </c>
      <c r="C646">
        <v>0.30309999999999998</v>
      </c>
      <c r="D646">
        <v>0.29270000000000002</v>
      </c>
      <c r="E646">
        <v>0.3</v>
      </c>
      <c r="F646">
        <v>1256698.01</v>
      </c>
      <c r="G646">
        <v>0</v>
      </c>
      <c r="L646" t="s">
        <v>7</v>
      </c>
      <c r="M646" t="s">
        <v>7</v>
      </c>
      <c r="N646" t="s">
        <v>8</v>
      </c>
      <c r="P646">
        <f t="shared" ref="P646:P709" si="994">IF(C646=D646,0,((E646-D646)-(C646-E646))/(C646-D646))</f>
        <v>0.40384615384615341</v>
      </c>
      <c r="Q646">
        <f t="shared" ref="Q646:Q709" si="995">F646*P646</f>
        <v>507512.65788461483</v>
      </c>
      <c r="R646">
        <f t="shared" ref="R646:R709" si="996">R647+Q646</f>
        <v>-47037909.218306065</v>
      </c>
      <c r="S646">
        <f t="shared" ref="S646:S709" si="997">R646/100000</f>
        <v>-470.37909218306066</v>
      </c>
      <c r="T646">
        <f t="shared" ref="T646:T709" si="998">S646/1000</f>
        <v>-0.47037909218306068</v>
      </c>
    </row>
    <row r="647" spans="1:20" x14ac:dyDescent="0.25">
      <c r="A647" s="5">
        <v>43946</v>
      </c>
      <c r="B647">
        <v>0.29120000000000001</v>
      </c>
      <c r="C647">
        <v>0.31569999999999998</v>
      </c>
      <c r="D647">
        <v>0.28999999999999998</v>
      </c>
      <c r="E647">
        <v>0.30020000000000002</v>
      </c>
      <c r="F647">
        <v>2516568.58</v>
      </c>
      <c r="G647">
        <v>0</v>
      </c>
      <c r="L647" t="s">
        <v>8</v>
      </c>
      <c r="M647" t="s">
        <v>7</v>
      </c>
      <c r="N647" t="s">
        <v>8</v>
      </c>
      <c r="P647">
        <f t="shared" si="994"/>
        <v>-0.20622568093384885</v>
      </c>
      <c r="Q647">
        <f t="shared" si="995"/>
        <v>-518981.0690272291</v>
      </c>
      <c r="R647">
        <f t="shared" si="996"/>
        <v>-47545421.876190677</v>
      </c>
      <c r="S647">
        <f t="shared" si="997"/>
        <v>-475.45421876190676</v>
      </c>
      <c r="T647">
        <f t="shared" si="998"/>
        <v>-0.47545421876190674</v>
      </c>
    </row>
    <row r="648" spans="1:20" x14ac:dyDescent="0.25">
      <c r="A648" s="5">
        <v>43945</v>
      </c>
      <c r="B648">
        <v>0.28839999999999999</v>
      </c>
      <c r="C648">
        <v>0.29749999999999999</v>
      </c>
      <c r="D648">
        <v>0.28670000000000001</v>
      </c>
      <c r="E648">
        <v>0.29120000000000001</v>
      </c>
      <c r="F648">
        <v>1957586.49</v>
      </c>
      <c r="G648">
        <v>0</v>
      </c>
      <c r="L648" t="s">
        <v>7</v>
      </c>
      <c r="M648" t="s">
        <v>7</v>
      </c>
      <c r="N648" t="s">
        <v>8</v>
      </c>
      <c r="P648">
        <f t="shared" si="994"/>
        <v>-0.1666666666666641</v>
      </c>
      <c r="Q648">
        <f t="shared" si="995"/>
        <v>-326264.41499999497</v>
      </c>
      <c r="R648">
        <f t="shared" si="996"/>
        <v>-47026440.807163447</v>
      </c>
      <c r="S648">
        <f t="shared" si="997"/>
        <v>-470.26440807163448</v>
      </c>
      <c r="T648">
        <f t="shared" si="998"/>
        <v>-0.4702644080716345</v>
      </c>
    </row>
    <row r="649" spans="1:20" x14ac:dyDescent="0.25">
      <c r="A649" s="5">
        <v>43944</v>
      </c>
      <c r="B649">
        <v>0.29249999999999998</v>
      </c>
      <c r="C649">
        <v>0.2994</v>
      </c>
      <c r="D649">
        <v>0.28370000000000001</v>
      </c>
      <c r="E649">
        <v>0.28839999999999999</v>
      </c>
      <c r="F649">
        <v>2600006.13</v>
      </c>
      <c r="G649">
        <v>0</v>
      </c>
      <c r="L649" t="s">
        <v>7</v>
      </c>
      <c r="M649" t="s">
        <v>7</v>
      </c>
      <c r="N649" t="s">
        <v>8</v>
      </c>
      <c r="P649">
        <f t="shared" si="994"/>
        <v>-0.40127388535032044</v>
      </c>
      <c r="Q649">
        <f t="shared" si="995"/>
        <v>-1043314.5617197503</v>
      </c>
      <c r="R649">
        <f t="shared" si="996"/>
        <v>-46700176.392163455</v>
      </c>
      <c r="S649">
        <f t="shared" si="997"/>
        <v>-467.00176392163456</v>
      </c>
      <c r="T649">
        <f t="shared" si="998"/>
        <v>-0.46700176392163456</v>
      </c>
    </row>
    <row r="650" spans="1:20" x14ac:dyDescent="0.25">
      <c r="A650" s="5">
        <v>43943</v>
      </c>
      <c r="B650">
        <v>0.28949999999999998</v>
      </c>
      <c r="C650">
        <v>0.30320000000000003</v>
      </c>
      <c r="D650">
        <v>0.28499999999999998</v>
      </c>
      <c r="E650">
        <v>0.29220000000000002</v>
      </c>
      <c r="F650">
        <v>3766922.33</v>
      </c>
      <c r="G650">
        <v>0</v>
      </c>
      <c r="L650" t="s">
        <v>7</v>
      </c>
      <c r="M650" t="s">
        <v>7</v>
      </c>
      <c r="N650" t="s">
        <v>8</v>
      </c>
      <c r="P650">
        <f t="shared" si="994"/>
        <v>-0.20879120879120658</v>
      </c>
      <c r="Q650">
        <f t="shared" si="995"/>
        <v>-786500.26670328842</v>
      </c>
      <c r="R650">
        <f t="shared" si="996"/>
        <v>-45656861.830443703</v>
      </c>
      <c r="S650">
        <f t="shared" si="997"/>
        <v>-456.56861830443705</v>
      </c>
      <c r="T650">
        <f t="shared" si="998"/>
        <v>-0.45656861830443707</v>
      </c>
    </row>
    <row r="651" spans="1:20" x14ac:dyDescent="0.25">
      <c r="A651" s="5">
        <v>43942</v>
      </c>
      <c r="B651">
        <v>0.31909999999999999</v>
      </c>
      <c r="C651">
        <v>0.32750000000000001</v>
      </c>
      <c r="D651">
        <v>0.28260000000000002</v>
      </c>
      <c r="E651">
        <v>0.29160000000000003</v>
      </c>
      <c r="F651">
        <v>5849087.0199999996</v>
      </c>
      <c r="G651">
        <v>0</v>
      </c>
      <c r="L651" t="s">
        <v>7</v>
      </c>
      <c r="M651" t="s">
        <v>7</v>
      </c>
      <c r="N651" t="s">
        <v>8</v>
      </c>
      <c r="P651">
        <f t="shared" si="994"/>
        <v>-0.59910913140311761</v>
      </c>
      <c r="Q651">
        <f t="shared" si="995"/>
        <v>-3504241.4440534492</v>
      </c>
      <c r="R651">
        <f t="shared" si="996"/>
        <v>-44870361.563740417</v>
      </c>
      <c r="S651">
        <f t="shared" si="997"/>
        <v>-448.7036156374042</v>
      </c>
      <c r="T651">
        <f t="shared" si="998"/>
        <v>-0.44870361563740419</v>
      </c>
    </row>
    <row r="652" spans="1:20" x14ac:dyDescent="0.25">
      <c r="A652" s="5">
        <v>43941</v>
      </c>
      <c r="B652">
        <v>0.28499999999999998</v>
      </c>
      <c r="C652">
        <v>0.3579</v>
      </c>
      <c r="D652">
        <v>0.28420000000000001</v>
      </c>
      <c r="E652">
        <v>0.32</v>
      </c>
      <c r="F652">
        <v>19578878.68</v>
      </c>
      <c r="G652">
        <v>0</v>
      </c>
      <c r="L652" t="s">
        <v>8</v>
      </c>
      <c r="M652" t="s">
        <v>8</v>
      </c>
      <c r="N652" t="s">
        <v>8</v>
      </c>
      <c r="P652">
        <f t="shared" si="994"/>
        <v>-2.8493894165535837E-2</v>
      </c>
      <c r="Q652">
        <f t="shared" si="995"/>
        <v>-557878.49698778603</v>
      </c>
      <c r="R652">
        <f t="shared" si="996"/>
        <v>-41366120.119686969</v>
      </c>
      <c r="S652">
        <f t="shared" si="997"/>
        <v>-413.66120119686968</v>
      </c>
      <c r="T652">
        <f t="shared" si="998"/>
        <v>-0.41366120119686967</v>
      </c>
    </row>
    <row r="653" spans="1:20" x14ac:dyDescent="0.25">
      <c r="A653" s="5">
        <v>43940</v>
      </c>
      <c r="B653">
        <v>0.2571</v>
      </c>
      <c r="C653">
        <v>0.29399999999999998</v>
      </c>
      <c r="D653">
        <v>0.251</v>
      </c>
      <c r="E653">
        <v>0.28520000000000001</v>
      </c>
      <c r="F653">
        <v>6274455.3200000003</v>
      </c>
      <c r="G653">
        <v>0</v>
      </c>
      <c r="L653" t="s">
        <v>8</v>
      </c>
      <c r="M653" t="s">
        <v>8</v>
      </c>
      <c r="N653" t="s">
        <v>7</v>
      </c>
      <c r="P653">
        <f t="shared" si="994"/>
        <v>0.59069767441860566</v>
      </c>
      <c r="Q653">
        <f t="shared" si="995"/>
        <v>3706306.1657674485</v>
      </c>
      <c r="R653">
        <f t="shared" si="996"/>
        <v>-40808241.622699186</v>
      </c>
      <c r="S653">
        <f t="shared" si="997"/>
        <v>-408.08241622699188</v>
      </c>
      <c r="T653">
        <f t="shared" si="998"/>
        <v>-0.40808241622699187</v>
      </c>
    </row>
    <row r="654" spans="1:20" x14ac:dyDescent="0.25">
      <c r="A654" s="5">
        <v>43939</v>
      </c>
      <c r="B654">
        <v>0.25090000000000001</v>
      </c>
      <c r="C654">
        <v>0.26129999999999998</v>
      </c>
      <c r="D654">
        <v>0.25040000000000001</v>
      </c>
      <c r="E654">
        <v>0.25700000000000001</v>
      </c>
      <c r="F654">
        <v>1414794.16</v>
      </c>
      <c r="G654">
        <v>0</v>
      </c>
      <c r="L654" t="s">
        <v>8</v>
      </c>
      <c r="M654" t="s">
        <v>7</v>
      </c>
      <c r="N654" t="s">
        <v>7</v>
      </c>
      <c r="P654">
        <f t="shared" si="994"/>
        <v>0.2110091743119295</v>
      </c>
      <c r="Q654">
        <f t="shared" si="995"/>
        <v>298534.54752293986</v>
      </c>
      <c r="R654">
        <f t="shared" si="996"/>
        <v>-44514547.788466632</v>
      </c>
      <c r="S654">
        <f t="shared" si="997"/>
        <v>-445.14547788466632</v>
      </c>
      <c r="T654">
        <f t="shared" si="998"/>
        <v>-0.4451454778846663</v>
      </c>
    </row>
    <row r="655" spans="1:20" x14ac:dyDescent="0.25">
      <c r="A655" s="5">
        <v>43938</v>
      </c>
      <c r="B655">
        <v>0.253</v>
      </c>
      <c r="C655">
        <v>0.25590000000000002</v>
      </c>
      <c r="D655">
        <v>0.2492</v>
      </c>
      <c r="E655">
        <v>0.25109999999999999</v>
      </c>
      <c r="F655">
        <v>1094588.98</v>
      </c>
      <c r="G655">
        <v>0</v>
      </c>
      <c r="L655" t="s">
        <v>8</v>
      </c>
      <c r="M655" t="s">
        <v>7</v>
      </c>
      <c r="N655" t="s">
        <v>7</v>
      </c>
      <c r="P655">
        <f t="shared" si="994"/>
        <v>-0.43283582089552786</v>
      </c>
      <c r="Q655">
        <f t="shared" si="995"/>
        <v>-473777.31970149849</v>
      </c>
      <c r="R655">
        <f t="shared" si="996"/>
        <v>-44813082.335989572</v>
      </c>
      <c r="S655">
        <f t="shared" si="997"/>
        <v>-448.13082335989571</v>
      </c>
      <c r="T655">
        <f t="shared" si="998"/>
        <v>-0.44813082335989574</v>
      </c>
    </row>
    <row r="656" spans="1:20" x14ac:dyDescent="0.25">
      <c r="A656" s="5">
        <v>43937</v>
      </c>
      <c r="B656">
        <v>0.2432</v>
      </c>
      <c r="C656">
        <v>0.25900000000000001</v>
      </c>
      <c r="D656">
        <v>0.2369</v>
      </c>
      <c r="E656">
        <v>0.253</v>
      </c>
      <c r="F656">
        <v>1040387.16</v>
      </c>
      <c r="G656">
        <v>0</v>
      </c>
      <c r="L656" t="s">
        <v>7</v>
      </c>
      <c r="M656" t="s">
        <v>7</v>
      </c>
      <c r="N656" t="s">
        <v>7</v>
      </c>
      <c r="P656">
        <f t="shared" si="994"/>
        <v>0.45701357466063319</v>
      </c>
      <c r="Q656">
        <f t="shared" si="995"/>
        <v>475471.05502262415</v>
      </c>
      <c r="R656">
        <f t="shared" si="996"/>
        <v>-44339305.016288072</v>
      </c>
      <c r="S656">
        <f t="shared" si="997"/>
        <v>-443.39305016288074</v>
      </c>
      <c r="T656">
        <f t="shared" si="998"/>
        <v>-0.44339305016288072</v>
      </c>
    </row>
    <row r="657" spans="1:20" x14ac:dyDescent="0.25">
      <c r="A657" s="5">
        <v>43936</v>
      </c>
      <c r="B657">
        <v>0.25219999999999998</v>
      </c>
      <c r="C657">
        <v>0.26</v>
      </c>
      <c r="D657">
        <v>0.2424</v>
      </c>
      <c r="E657">
        <v>0.2432</v>
      </c>
      <c r="F657">
        <v>815325.35</v>
      </c>
      <c r="G657">
        <v>0</v>
      </c>
      <c r="L657" t="s">
        <v>7</v>
      </c>
      <c r="M657" t="s">
        <v>7</v>
      </c>
      <c r="N657" t="s">
        <v>7</v>
      </c>
      <c r="P657">
        <f t="shared" si="994"/>
        <v>-0.90909090909090962</v>
      </c>
      <c r="Q657">
        <f t="shared" si="995"/>
        <v>-741204.863636364</v>
      </c>
      <c r="R657">
        <f t="shared" si="996"/>
        <v>-44814776.071310699</v>
      </c>
      <c r="S657">
        <f t="shared" si="997"/>
        <v>-448.147760713107</v>
      </c>
      <c r="T657">
        <f t="shared" si="998"/>
        <v>-0.44814776071310702</v>
      </c>
    </row>
    <row r="658" spans="1:20" x14ac:dyDescent="0.25">
      <c r="A658" s="5">
        <v>43935</v>
      </c>
      <c r="B658">
        <v>0.25030000000000002</v>
      </c>
      <c r="C658">
        <v>0.26140000000000002</v>
      </c>
      <c r="D658">
        <v>0.2482</v>
      </c>
      <c r="E658">
        <v>0.25369999999999998</v>
      </c>
      <c r="F658">
        <v>440760.78</v>
      </c>
      <c r="G658">
        <v>0</v>
      </c>
      <c r="L658" t="s">
        <v>8</v>
      </c>
      <c r="M658" t="s">
        <v>7</v>
      </c>
      <c r="N658" t="s">
        <v>7</v>
      </c>
      <c r="P658">
        <f t="shared" si="994"/>
        <v>-0.16666666666667121</v>
      </c>
      <c r="Q658">
        <f t="shared" si="995"/>
        <v>-73460.130000002013</v>
      </c>
      <c r="R658">
        <f t="shared" si="996"/>
        <v>-44073571.207674332</v>
      </c>
      <c r="S658">
        <f t="shared" si="997"/>
        <v>-440.73571207674331</v>
      </c>
      <c r="T658">
        <f t="shared" si="998"/>
        <v>-0.44073571207674334</v>
      </c>
    </row>
    <row r="659" spans="1:20" x14ac:dyDescent="0.25">
      <c r="A659" s="5">
        <v>43934</v>
      </c>
      <c r="B659">
        <v>0.25309999999999999</v>
      </c>
      <c r="C659">
        <v>0.25409999999999999</v>
      </c>
      <c r="D659">
        <v>0.24149999999999999</v>
      </c>
      <c r="E659">
        <v>0.25019999999999998</v>
      </c>
      <c r="F659">
        <v>727035.81</v>
      </c>
      <c r="G659">
        <v>0</v>
      </c>
      <c r="L659" t="s">
        <v>7</v>
      </c>
      <c r="M659" t="s">
        <v>7</v>
      </c>
      <c r="N659" t="s">
        <v>7</v>
      </c>
      <c r="P659">
        <f t="shared" si="994"/>
        <v>0.38095238095237866</v>
      </c>
      <c r="Q659">
        <f t="shared" si="995"/>
        <v>276966.02285714122</v>
      </c>
      <c r="R659">
        <f t="shared" si="996"/>
        <v>-44000111.077674329</v>
      </c>
      <c r="S659">
        <f t="shared" si="997"/>
        <v>-440.0011107767433</v>
      </c>
      <c r="T659">
        <f t="shared" si="998"/>
        <v>-0.44000111077674331</v>
      </c>
    </row>
    <row r="660" spans="1:20" x14ac:dyDescent="0.25">
      <c r="A660" s="5">
        <v>43933</v>
      </c>
      <c r="B660">
        <v>0.25119999999999998</v>
      </c>
      <c r="C660">
        <v>0.2641</v>
      </c>
      <c r="D660">
        <v>0.24970000000000001</v>
      </c>
      <c r="E660">
        <v>0.254</v>
      </c>
      <c r="F660">
        <v>1167080.8600000001</v>
      </c>
      <c r="G660">
        <v>0</v>
      </c>
      <c r="L660" t="s">
        <v>8</v>
      </c>
      <c r="M660" t="s">
        <v>7</v>
      </c>
      <c r="N660" t="s">
        <v>7</v>
      </c>
      <c r="P660">
        <f t="shared" si="994"/>
        <v>-0.40277777777777785</v>
      </c>
      <c r="Q660">
        <f t="shared" si="995"/>
        <v>-470074.23527777789</v>
      </c>
      <c r="R660">
        <f t="shared" si="996"/>
        <v>-44277077.100531474</v>
      </c>
      <c r="S660">
        <f t="shared" si="997"/>
        <v>-442.77077100531471</v>
      </c>
      <c r="T660">
        <f t="shared" si="998"/>
        <v>-0.4427707710053147</v>
      </c>
    </row>
    <row r="661" spans="1:20" x14ac:dyDescent="0.25">
      <c r="A661" s="5">
        <v>43932</v>
      </c>
      <c r="B661">
        <v>0.24709999999999999</v>
      </c>
      <c r="C661">
        <v>0.2591</v>
      </c>
      <c r="D661">
        <v>0.24629999999999999</v>
      </c>
      <c r="E661">
        <v>0.25119999999999998</v>
      </c>
      <c r="F661">
        <v>633388.59</v>
      </c>
      <c r="G661">
        <v>0</v>
      </c>
      <c r="L661" t="s">
        <v>7</v>
      </c>
      <c r="M661" t="s">
        <v>7</v>
      </c>
      <c r="N661" t="s">
        <v>7</v>
      </c>
      <c r="P661">
        <f t="shared" si="994"/>
        <v>-0.23437500000000228</v>
      </c>
      <c r="Q661">
        <f t="shared" si="995"/>
        <v>-148450.45078125142</v>
      </c>
      <c r="R661">
        <f t="shared" si="996"/>
        <v>-43807002.865253694</v>
      </c>
      <c r="S661">
        <f t="shared" si="997"/>
        <v>-438.07002865253696</v>
      </c>
      <c r="T661">
        <f t="shared" si="998"/>
        <v>-0.43807002865253697</v>
      </c>
    </row>
    <row r="662" spans="1:20" x14ac:dyDescent="0.25">
      <c r="A662" s="5">
        <v>43931</v>
      </c>
      <c r="B662">
        <v>0.27679999999999999</v>
      </c>
      <c r="C662">
        <v>0.27950000000000003</v>
      </c>
      <c r="D662">
        <v>0.2407</v>
      </c>
      <c r="E662">
        <v>0.24610000000000001</v>
      </c>
      <c r="F662">
        <v>1834437.45</v>
      </c>
      <c r="G662">
        <v>0</v>
      </c>
      <c r="L662" t="s">
        <v>7</v>
      </c>
      <c r="M662" t="s">
        <v>7</v>
      </c>
      <c r="N662" t="s">
        <v>7</v>
      </c>
      <c r="P662">
        <f t="shared" si="994"/>
        <v>-0.72164948453608191</v>
      </c>
      <c r="Q662">
        <f t="shared" si="995"/>
        <v>-1323820.8402061844</v>
      </c>
      <c r="R662">
        <f t="shared" si="996"/>
        <v>-43658552.414472446</v>
      </c>
      <c r="S662">
        <f t="shared" si="997"/>
        <v>-436.58552414472445</v>
      </c>
      <c r="T662">
        <f t="shared" si="998"/>
        <v>-0.43658552414472446</v>
      </c>
    </row>
    <row r="663" spans="1:20" x14ac:dyDescent="0.25">
      <c r="A663" s="5">
        <v>43930</v>
      </c>
      <c r="B663">
        <v>0.28349999999999997</v>
      </c>
      <c r="C663">
        <v>0.28439999999999999</v>
      </c>
      <c r="D663">
        <v>0.27500000000000002</v>
      </c>
      <c r="E663">
        <v>0.27779999999999999</v>
      </c>
      <c r="F663">
        <v>952114.65</v>
      </c>
      <c r="G663">
        <v>0</v>
      </c>
      <c r="L663" t="s">
        <v>7</v>
      </c>
      <c r="M663" t="s">
        <v>7</v>
      </c>
      <c r="N663" t="s">
        <v>7</v>
      </c>
      <c r="P663">
        <f t="shared" si="994"/>
        <v>-0.40425531914894042</v>
      </c>
      <c r="Q663">
        <f t="shared" si="995"/>
        <v>-384897.41170213174</v>
      </c>
      <c r="R663">
        <f t="shared" si="996"/>
        <v>-42334731.574266262</v>
      </c>
      <c r="S663">
        <f t="shared" si="997"/>
        <v>-423.3473157426626</v>
      </c>
      <c r="T663">
        <f t="shared" si="998"/>
        <v>-0.4233473157426626</v>
      </c>
    </row>
    <row r="664" spans="1:20" x14ac:dyDescent="0.25">
      <c r="A664" s="5">
        <v>43929</v>
      </c>
      <c r="B664">
        <v>0.27839999999999998</v>
      </c>
      <c r="C664">
        <v>0.28599999999999998</v>
      </c>
      <c r="D664">
        <v>0.27550000000000002</v>
      </c>
      <c r="E664">
        <v>0.28449999999999998</v>
      </c>
      <c r="F664">
        <v>1440251.8</v>
      </c>
      <c r="G664">
        <v>0</v>
      </c>
      <c r="L664" t="s">
        <v>7</v>
      </c>
      <c r="M664" t="s">
        <v>7</v>
      </c>
      <c r="N664" t="s">
        <v>7</v>
      </c>
      <c r="P664">
        <f t="shared" si="994"/>
        <v>0.71428571428571275</v>
      </c>
      <c r="Q664">
        <f t="shared" si="995"/>
        <v>1028751.2857142836</v>
      </c>
      <c r="R664">
        <f t="shared" si="996"/>
        <v>-41949834.162564129</v>
      </c>
      <c r="S664">
        <f t="shared" si="997"/>
        <v>-419.49834162564127</v>
      </c>
      <c r="T664">
        <f t="shared" si="998"/>
        <v>-0.41949834162564126</v>
      </c>
    </row>
    <row r="665" spans="1:20" x14ac:dyDescent="0.25">
      <c r="A665" s="5">
        <v>43928</v>
      </c>
      <c r="B665">
        <v>0.2848</v>
      </c>
      <c r="C665">
        <v>0.28849999999999998</v>
      </c>
      <c r="D665">
        <v>0.2717</v>
      </c>
      <c r="E665">
        <v>0.27839999999999998</v>
      </c>
      <c r="F665">
        <v>2863925.88</v>
      </c>
      <c r="G665">
        <v>0</v>
      </c>
      <c r="L665" t="s">
        <v>7</v>
      </c>
      <c r="M665" t="s">
        <v>7</v>
      </c>
      <c r="N665" t="s">
        <v>7</v>
      </c>
      <c r="P665">
        <f t="shared" si="994"/>
        <v>-0.20238095238095344</v>
      </c>
      <c r="Q665">
        <f t="shared" si="995"/>
        <v>-579604.04714286013</v>
      </c>
      <c r="R665">
        <f t="shared" si="996"/>
        <v>-42978585.448278412</v>
      </c>
      <c r="S665">
        <f t="shared" si="997"/>
        <v>-429.78585448278415</v>
      </c>
      <c r="T665">
        <f t="shared" si="998"/>
        <v>-0.42978585448278417</v>
      </c>
    </row>
    <row r="666" spans="1:20" x14ac:dyDescent="0.25">
      <c r="A666" s="5">
        <v>43927</v>
      </c>
      <c r="B666">
        <v>0.27379999999999999</v>
      </c>
      <c r="C666">
        <v>0.28870000000000001</v>
      </c>
      <c r="D666">
        <v>0.27289999999999998</v>
      </c>
      <c r="E666">
        <v>0.2848</v>
      </c>
      <c r="F666">
        <v>2550795.4300000002</v>
      </c>
      <c r="G666">
        <v>0</v>
      </c>
      <c r="L666" t="s">
        <v>7</v>
      </c>
      <c r="M666" t="s">
        <v>7</v>
      </c>
      <c r="N666" t="s">
        <v>7</v>
      </c>
      <c r="P666">
        <f t="shared" si="994"/>
        <v>0.50632911392404989</v>
      </c>
      <c r="Q666">
        <f t="shared" si="995"/>
        <v>1291541.989873416</v>
      </c>
      <c r="R666">
        <f t="shared" si="996"/>
        <v>-42398981.401135549</v>
      </c>
      <c r="S666">
        <f t="shared" si="997"/>
        <v>-423.98981401135546</v>
      </c>
      <c r="T666">
        <f t="shared" si="998"/>
        <v>-0.42398981401135544</v>
      </c>
    </row>
    <row r="667" spans="1:20" x14ac:dyDescent="0.25">
      <c r="A667" s="5">
        <v>43926</v>
      </c>
      <c r="B667">
        <v>0.28899999999999998</v>
      </c>
      <c r="C667">
        <v>0.29139999999999999</v>
      </c>
      <c r="D667">
        <v>0.27379999999999999</v>
      </c>
      <c r="E667">
        <v>0.27379999999999999</v>
      </c>
      <c r="F667">
        <v>2058237.42</v>
      </c>
      <c r="G667">
        <v>0</v>
      </c>
      <c r="L667" t="s">
        <v>7</v>
      </c>
      <c r="M667" t="s">
        <v>7</v>
      </c>
      <c r="N667" t="s">
        <v>7</v>
      </c>
      <c r="P667">
        <f t="shared" si="994"/>
        <v>-1</v>
      </c>
      <c r="Q667">
        <f t="shared" si="995"/>
        <v>-2058237.42</v>
      </c>
      <c r="R667">
        <f t="shared" si="996"/>
        <v>-43690523.391008966</v>
      </c>
      <c r="S667">
        <f t="shared" si="997"/>
        <v>-436.90523391008963</v>
      </c>
      <c r="T667">
        <f t="shared" si="998"/>
        <v>-0.43690523391008962</v>
      </c>
    </row>
    <row r="668" spans="1:20" x14ac:dyDescent="0.25">
      <c r="A668" s="5">
        <v>43925</v>
      </c>
      <c r="B668">
        <v>0.2888</v>
      </c>
      <c r="C668">
        <v>0.30620000000000003</v>
      </c>
      <c r="D668">
        <v>0.28239999999999998</v>
      </c>
      <c r="E668">
        <v>0.28760000000000002</v>
      </c>
      <c r="F668">
        <v>3876130.56</v>
      </c>
      <c r="G668">
        <v>0</v>
      </c>
      <c r="L668" t="s">
        <v>7</v>
      </c>
      <c r="M668" t="s">
        <v>7</v>
      </c>
      <c r="N668" t="s">
        <v>7</v>
      </c>
      <c r="P668">
        <f t="shared" si="994"/>
        <v>-0.56302521008403117</v>
      </c>
      <c r="Q668">
        <f t="shared" si="995"/>
        <v>-2182359.2228571335</v>
      </c>
      <c r="R668">
        <f t="shared" si="996"/>
        <v>-41632285.971008964</v>
      </c>
      <c r="S668">
        <f t="shared" si="997"/>
        <v>-416.32285971008963</v>
      </c>
      <c r="T668">
        <f t="shared" si="998"/>
        <v>-0.41632285971008964</v>
      </c>
    </row>
    <row r="669" spans="1:20" x14ac:dyDescent="0.25">
      <c r="A669" s="5">
        <v>43924</v>
      </c>
      <c r="B669">
        <v>0.2787</v>
      </c>
      <c r="C669">
        <v>0.3054</v>
      </c>
      <c r="D669">
        <v>0.2722</v>
      </c>
      <c r="E669">
        <v>0.28799999999999998</v>
      </c>
      <c r="F669">
        <v>4960964.3099999996</v>
      </c>
      <c r="G669">
        <v>0</v>
      </c>
      <c r="L669" t="s">
        <v>8</v>
      </c>
      <c r="M669" t="s">
        <v>7</v>
      </c>
      <c r="N669" t="s">
        <v>7</v>
      </c>
      <c r="P669">
        <f t="shared" si="994"/>
        <v>-4.8192771084338719E-2</v>
      </c>
      <c r="Q669">
        <f t="shared" si="995"/>
        <v>-239082.61734940438</v>
      </c>
      <c r="R669">
        <f t="shared" si="996"/>
        <v>-39449926.748151831</v>
      </c>
      <c r="S669">
        <f t="shared" si="997"/>
        <v>-394.4992674815183</v>
      </c>
      <c r="T669">
        <f t="shared" si="998"/>
        <v>-0.39449926748151831</v>
      </c>
    </row>
    <row r="670" spans="1:20" x14ac:dyDescent="0.25">
      <c r="A670" s="5">
        <v>43923</v>
      </c>
      <c r="B670">
        <v>0.28460000000000002</v>
      </c>
      <c r="C670">
        <v>0.28760000000000002</v>
      </c>
      <c r="D670">
        <v>0.27100000000000002</v>
      </c>
      <c r="E670">
        <v>0.28029999999999999</v>
      </c>
      <c r="F670">
        <v>4428917.5599999996</v>
      </c>
      <c r="G670">
        <v>0</v>
      </c>
      <c r="L670" t="s">
        <v>8</v>
      </c>
      <c r="M670" t="s">
        <v>7</v>
      </c>
      <c r="N670" t="s">
        <v>7</v>
      </c>
      <c r="P670">
        <f t="shared" si="994"/>
        <v>0.12048192771084011</v>
      </c>
      <c r="Q670">
        <f t="shared" si="995"/>
        <v>533604.52530119033</v>
      </c>
      <c r="R670">
        <f t="shared" si="996"/>
        <v>-39210844.13080243</v>
      </c>
      <c r="S670">
        <f t="shared" si="997"/>
        <v>-392.10844130802428</v>
      </c>
      <c r="T670">
        <f t="shared" si="998"/>
        <v>-0.3921084413080243</v>
      </c>
    </row>
    <row r="671" spans="1:20" x14ac:dyDescent="0.25">
      <c r="A671" s="5">
        <v>43922</v>
      </c>
      <c r="B671">
        <v>0.29809999999999998</v>
      </c>
      <c r="C671">
        <v>0.29930000000000001</v>
      </c>
      <c r="D671">
        <v>0.26500000000000001</v>
      </c>
      <c r="E671">
        <v>0.28460000000000002</v>
      </c>
      <c r="F671">
        <v>6036464.0199999996</v>
      </c>
      <c r="G671">
        <v>0</v>
      </c>
      <c r="L671" t="s">
        <v>7</v>
      </c>
      <c r="M671" t="s">
        <v>7</v>
      </c>
      <c r="N671" t="s">
        <v>7</v>
      </c>
      <c r="P671">
        <f t="shared" si="994"/>
        <v>0.14285714285714332</v>
      </c>
      <c r="Q671">
        <f t="shared" si="995"/>
        <v>862352.00285714562</v>
      </c>
      <c r="R671">
        <f t="shared" si="996"/>
        <v>-39744448.656103618</v>
      </c>
      <c r="S671">
        <f t="shared" si="997"/>
        <v>-397.44448656103617</v>
      </c>
      <c r="T671">
        <f t="shared" si="998"/>
        <v>-0.39744448656103615</v>
      </c>
    </row>
    <row r="672" spans="1:20" x14ac:dyDescent="0.25">
      <c r="A672" s="5">
        <v>43921</v>
      </c>
      <c r="B672">
        <v>0.31409999999999999</v>
      </c>
      <c r="C672">
        <v>0.3266</v>
      </c>
      <c r="D672">
        <v>0.29349999999999998</v>
      </c>
      <c r="E672">
        <v>0.29849999999999999</v>
      </c>
      <c r="F672">
        <v>7441827.2800000003</v>
      </c>
      <c r="G672">
        <v>0</v>
      </c>
      <c r="L672" t="s">
        <v>7</v>
      </c>
      <c r="M672" t="s">
        <v>7</v>
      </c>
      <c r="N672" t="s">
        <v>7</v>
      </c>
      <c r="P672">
        <f t="shared" si="994"/>
        <v>-0.69788519637462221</v>
      </c>
      <c r="Q672">
        <f t="shared" si="995"/>
        <v>-5193541.0926888213</v>
      </c>
      <c r="R672">
        <f t="shared" si="996"/>
        <v>-40606800.658960767</v>
      </c>
      <c r="S672">
        <f t="shared" si="997"/>
        <v>-406.06800658960765</v>
      </c>
      <c r="T672">
        <f t="shared" si="998"/>
        <v>-0.40606800658960762</v>
      </c>
    </row>
    <row r="673" spans="1:20" x14ac:dyDescent="0.25">
      <c r="A673" s="5">
        <v>43920</v>
      </c>
      <c r="B673">
        <v>0.38979999999999998</v>
      </c>
      <c r="C673">
        <v>0.54490000000000005</v>
      </c>
      <c r="D673">
        <v>0.30649999999999999</v>
      </c>
      <c r="E673">
        <v>0.31569999999999998</v>
      </c>
      <c r="F673">
        <v>15663043.369999999</v>
      </c>
      <c r="G673">
        <v>0</v>
      </c>
      <c r="L673" t="s">
        <v>8</v>
      </c>
      <c r="M673" t="s">
        <v>8</v>
      </c>
      <c r="N673" t="s">
        <v>8</v>
      </c>
      <c r="P673">
        <f t="shared" si="994"/>
        <v>-0.92281879194630889</v>
      </c>
      <c r="Q673">
        <f t="shared" si="995"/>
        <v>-14454150.760906043</v>
      </c>
      <c r="R673">
        <f t="shared" si="996"/>
        <v>-35413259.566271946</v>
      </c>
      <c r="S673">
        <f t="shared" si="997"/>
        <v>-354.13259566271944</v>
      </c>
      <c r="T673">
        <f t="shared" si="998"/>
        <v>-0.35413259566271943</v>
      </c>
    </row>
    <row r="674" spans="1:20" x14ac:dyDescent="0.25">
      <c r="A674" s="5">
        <v>43919</v>
      </c>
      <c r="B674">
        <v>0.35349999999999998</v>
      </c>
      <c r="C674">
        <v>0.39979999999999999</v>
      </c>
      <c r="D674">
        <v>0.29620000000000002</v>
      </c>
      <c r="E674">
        <v>0.3896</v>
      </c>
      <c r="F674">
        <v>3233067.14</v>
      </c>
      <c r="G674">
        <v>0</v>
      </c>
      <c r="L674" t="s">
        <v>8</v>
      </c>
      <c r="M674" t="s">
        <v>8</v>
      </c>
      <c r="N674" t="s">
        <v>8</v>
      </c>
      <c r="P674">
        <f t="shared" si="994"/>
        <v>0.80308880308880326</v>
      </c>
      <c r="Q674">
        <f t="shared" si="995"/>
        <v>2596440.0197683405</v>
      </c>
      <c r="R674">
        <f t="shared" si="996"/>
        <v>-20959108.805365905</v>
      </c>
      <c r="S674">
        <f t="shared" si="997"/>
        <v>-209.59108805365906</v>
      </c>
      <c r="T674">
        <f t="shared" si="998"/>
        <v>-0.20959108805365906</v>
      </c>
    </row>
    <row r="675" spans="1:20" x14ac:dyDescent="0.25">
      <c r="A675" s="5">
        <v>43918</v>
      </c>
      <c r="B675">
        <v>0.33800000000000002</v>
      </c>
      <c r="C675">
        <v>0.37640000000000001</v>
      </c>
      <c r="D675">
        <v>0.32600000000000001</v>
      </c>
      <c r="E675">
        <v>0.3533</v>
      </c>
      <c r="F675">
        <v>3642976.65</v>
      </c>
      <c r="G675">
        <v>0</v>
      </c>
      <c r="L675" t="s">
        <v>8</v>
      </c>
      <c r="M675" t="s">
        <v>8</v>
      </c>
      <c r="N675" t="s">
        <v>7</v>
      </c>
      <c r="P675">
        <f t="shared" si="994"/>
        <v>8.3333333333332968E-2</v>
      </c>
      <c r="Q675">
        <f t="shared" si="995"/>
        <v>303581.38749999867</v>
      </c>
      <c r="R675">
        <f t="shared" si="996"/>
        <v>-23555548.825134244</v>
      </c>
      <c r="S675">
        <f t="shared" si="997"/>
        <v>-235.55548825134244</v>
      </c>
      <c r="T675">
        <f t="shared" si="998"/>
        <v>-0.23555548825134243</v>
      </c>
    </row>
    <row r="676" spans="1:20" x14ac:dyDescent="0.25">
      <c r="A676" s="5">
        <v>43917</v>
      </c>
      <c r="B676">
        <v>0.30159999999999998</v>
      </c>
      <c r="C676">
        <v>0.39660000000000001</v>
      </c>
      <c r="D676">
        <v>0.28549999999999998</v>
      </c>
      <c r="E676">
        <v>0.33910000000000001</v>
      </c>
      <c r="F676">
        <v>8074004.8300000001</v>
      </c>
      <c r="G676">
        <v>0</v>
      </c>
      <c r="L676" t="s">
        <v>7</v>
      </c>
      <c r="M676" t="s">
        <v>7</v>
      </c>
      <c r="N676" t="s">
        <v>7</v>
      </c>
      <c r="P676">
        <f t="shared" si="994"/>
        <v>-3.5103510351034727E-2</v>
      </c>
      <c r="Q676">
        <f t="shared" si="995"/>
        <v>-283425.9121242094</v>
      </c>
      <c r="R676">
        <f t="shared" si="996"/>
        <v>-23859130.212634243</v>
      </c>
      <c r="S676">
        <f t="shared" si="997"/>
        <v>-238.59130212634244</v>
      </c>
      <c r="T676">
        <f t="shared" si="998"/>
        <v>-0.23859130212634244</v>
      </c>
    </row>
    <row r="677" spans="1:20" x14ac:dyDescent="0.25">
      <c r="A677" s="5">
        <v>43916</v>
      </c>
      <c r="B677">
        <v>0.32279999999999998</v>
      </c>
      <c r="C677">
        <v>0.49580000000000002</v>
      </c>
      <c r="D677">
        <v>0.2964</v>
      </c>
      <c r="E677">
        <v>0.30159999999999998</v>
      </c>
      <c r="F677">
        <v>17536943.780000001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-0.94784353059177551</v>
      </c>
      <c r="Q677">
        <f t="shared" si="995"/>
        <v>-16622278.708224678</v>
      </c>
      <c r="R677">
        <f t="shared" si="996"/>
        <v>-23575704.300510034</v>
      </c>
      <c r="S677">
        <f t="shared" si="997"/>
        <v>-235.75704300510034</v>
      </c>
      <c r="T677">
        <f t="shared" si="998"/>
        <v>-0.23575704300510034</v>
      </c>
    </row>
    <row r="678" spans="1:20" x14ac:dyDescent="0.25">
      <c r="A678" s="5">
        <v>43915</v>
      </c>
      <c r="B678">
        <v>0.2046</v>
      </c>
      <c r="C678">
        <v>0.3498</v>
      </c>
      <c r="D678">
        <v>0.20430000000000001</v>
      </c>
      <c r="E678">
        <v>0.32129999999999997</v>
      </c>
      <c r="F678">
        <v>8787836.9900000002</v>
      </c>
      <c r="G678">
        <v>0</v>
      </c>
      <c r="L678" t="s">
        <v>8</v>
      </c>
      <c r="M678" t="s">
        <v>8</v>
      </c>
      <c r="N678" t="s">
        <v>8</v>
      </c>
      <c r="P678">
        <f t="shared" si="994"/>
        <v>0.60824742268041199</v>
      </c>
      <c r="Q678">
        <f t="shared" si="995"/>
        <v>5345179.2001030892</v>
      </c>
      <c r="R678">
        <f t="shared" si="996"/>
        <v>-6953425.5922853556</v>
      </c>
      <c r="S678">
        <f t="shared" si="997"/>
        <v>-69.534255922853561</v>
      </c>
      <c r="T678">
        <f t="shared" si="998"/>
        <v>-6.9534255922853561E-2</v>
      </c>
    </row>
    <row r="679" spans="1:20" x14ac:dyDescent="0.25">
      <c r="A679" s="5">
        <v>43914</v>
      </c>
      <c r="B679">
        <v>0.2046</v>
      </c>
      <c r="C679">
        <v>0.21329999999999999</v>
      </c>
      <c r="D679">
        <v>0.1943</v>
      </c>
      <c r="E679">
        <v>0.2059</v>
      </c>
      <c r="F679">
        <v>255883.26</v>
      </c>
      <c r="G679">
        <v>0</v>
      </c>
      <c r="L679" t="s">
        <v>8</v>
      </c>
      <c r="M679" t="s">
        <v>8</v>
      </c>
      <c r="N679" t="s">
        <v>8</v>
      </c>
      <c r="P679">
        <f t="shared" si="994"/>
        <v>0.22105263157894797</v>
      </c>
      <c r="Q679">
        <f t="shared" si="995"/>
        <v>56563.668000000158</v>
      </c>
      <c r="R679">
        <f t="shared" si="996"/>
        <v>-12298604.792388445</v>
      </c>
      <c r="S679">
        <f t="shared" si="997"/>
        <v>-122.98604792388444</v>
      </c>
      <c r="T679">
        <f t="shared" si="998"/>
        <v>-0.12298604792388444</v>
      </c>
    </row>
    <row r="680" spans="1:20" x14ac:dyDescent="0.25">
      <c r="A680" s="5">
        <v>43913</v>
      </c>
      <c r="B680">
        <v>0.1837</v>
      </c>
      <c r="C680">
        <v>0.20669999999999999</v>
      </c>
      <c r="D680">
        <v>0.17949999999999999</v>
      </c>
      <c r="E680">
        <v>0.2016</v>
      </c>
      <c r="F680">
        <v>304354.34999999998</v>
      </c>
      <c r="G680">
        <v>0</v>
      </c>
      <c r="L680" t="s">
        <v>7</v>
      </c>
      <c r="M680" t="s">
        <v>7</v>
      </c>
      <c r="N680" t="s">
        <v>8</v>
      </c>
      <c r="P680">
        <f t="shared" si="994"/>
        <v>0.62500000000000056</v>
      </c>
      <c r="Q680">
        <f t="shared" si="995"/>
        <v>190221.46875000015</v>
      </c>
      <c r="R680">
        <f t="shared" si="996"/>
        <v>-12355168.460388444</v>
      </c>
      <c r="S680">
        <f t="shared" si="997"/>
        <v>-123.55168460388444</v>
      </c>
      <c r="T680">
        <f t="shared" si="998"/>
        <v>-0.12355168460388444</v>
      </c>
    </row>
    <row r="681" spans="1:20" x14ac:dyDescent="0.25">
      <c r="A681" s="5">
        <v>43912</v>
      </c>
      <c r="B681">
        <v>0.2041</v>
      </c>
      <c r="C681">
        <v>0.21260000000000001</v>
      </c>
      <c r="D681">
        <v>0.18290000000000001</v>
      </c>
      <c r="E681">
        <v>0.18629999999999999</v>
      </c>
      <c r="F681">
        <v>194923.85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-0.77104377104377197</v>
      </c>
      <c r="Q681">
        <f t="shared" si="995"/>
        <v>-150294.82037037055</v>
      </c>
      <c r="R681">
        <f t="shared" si="996"/>
        <v>-12545389.929138444</v>
      </c>
      <c r="S681">
        <f t="shared" si="997"/>
        <v>-125.45389929138445</v>
      </c>
      <c r="T681">
        <f t="shared" si="998"/>
        <v>-0.12545389929138445</v>
      </c>
    </row>
    <row r="682" spans="1:20" x14ac:dyDescent="0.25">
      <c r="A682" s="5">
        <v>43911</v>
      </c>
      <c r="B682">
        <v>0.20119999999999999</v>
      </c>
      <c r="C682">
        <v>0.2114</v>
      </c>
      <c r="D682">
        <v>0.18840000000000001</v>
      </c>
      <c r="E682">
        <v>0.20649999999999999</v>
      </c>
      <c r="F682">
        <v>279252.53000000003</v>
      </c>
      <c r="G682">
        <v>0</v>
      </c>
      <c r="L682" t="s">
        <v>8</v>
      </c>
      <c r="M682" t="s">
        <v>7</v>
      </c>
      <c r="N682" t="s">
        <v>8</v>
      </c>
      <c r="P682">
        <f t="shared" si="994"/>
        <v>0.57391304347825944</v>
      </c>
      <c r="Q682">
        <f t="shared" si="995"/>
        <v>160266.66939130396</v>
      </c>
      <c r="R682">
        <f t="shared" si="996"/>
        <v>-12395095.108768074</v>
      </c>
      <c r="S682">
        <f t="shared" si="997"/>
        <v>-123.95095108768074</v>
      </c>
      <c r="T682">
        <f t="shared" si="998"/>
        <v>-0.12395095108768074</v>
      </c>
    </row>
    <row r="683" spans="1:20" x14ac:dyDescent="0.25">
      <c r="A683" s="5">
        <v>43910</v>
      </c>
      <c r="B683">
        <v>0.21210000000000001</v>
      </c>
      <c r="C683">
        <v>0.22739999999999999</v>
      </c>
      <c r="D683">
        <v>0.18479999999999999</v>
      </c>
      <c r="E683">
        <v>0.2014</v>
      </c>
      <c r="F683">
        <v>1405217.38</v>
      </c>
      <c r="G683">
        <v>0</v>
      </c>
      <c r="L683" t="s">
        <v>7</v>
      </c>
      <c r="M683" t="s">
        <v>7</v>
      </c>
      <c r="N683" t="s">
        <v>8</v>
      </c>
      <c r="P683">
        <f t="shared" si="994"/>
        <v>-0.22065727699530496</v>
      </c>
      <c r="Q683">
        <f t="shared" si="995"/>
        <v>-310071.44065727666</v>
      </c>
      <c r="R683">
        <f t="shared" si="996"/>
        <v>-12555361.778159378</v>
      </c>
      <c r="S683">
        <f t="shared" si="997"/>
        <v>-125.55361778159379</v>
      </c>
      <c r="T683">
        <f t="shared" si="998"/>
        <v>-0.1255536177815938</v>
      </c>
    </row>
    <row r="684" spans="1:20" x14ac:dyDescent="0.25">
      <c r="A684" s="5">
        <v>43909</v>
      </c>
      <c r="B684">
        <v>0.18360000000000001</v>
      </c>
      <c r="C684">
        <v>0.23230000000000001</v>
      </c>
      <c r="D684">
        <v>0.18099999999999999</v>
      </c>
      <c r="E684">
        <v>0.21079999999999999</v>
      </c>
      <c r="F684">
        <v>2670132.58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0.16179337231968757</v>
      </c>
      <c r="Q684">
        <f t="shared" si="995"/>
        <v>432009.75465886795</v>
      </c>
      <c r="R684">
        <f t="shared" si="996"/>
        <v>-12245290.337502101</v>
      </c>
      <c r="S684">
        <f t="shared" si="997"/>
        <v>-122.45290337502101</v>
      </c>
      <c r="T684">
        <f t="shared" si="998"/>
        <v>-0.122452903375021</v>
      </c>
    </row>
    <row r="685" spans="1:20" x14ac:dyDescent="0.25">
      <c r="A685" s="5">
        <v>43908</v>
      </c>
      <c r="B685">
        <v>0.16120000000000001</v>
      </c>
      <c r="C685">
        <v>0.2112</v>
      </c>
      <c r="D685">
        <v>0.1489</v>
      </c>
      <c r="E685">
        <v>0.18229999999999999</v>
      </c>
      <c r="F685">
        <v>1514385.56</v>
      </c>
      <c r="G685">
        <v>0</v>
      </c>
      <c r="L685" t="s">
        <v>8</v>
      </c>
      <c r="M685" t="s">
        <v>8</v>
      </c>
      <c r="N685" t="s">
        <v>8</v>
      </c>
      <c r="P685">
        <f t="shared" si="994"/>
        <v>7.2231139646869613E-2</v>
      </c>
      <c r="Q685">
        <f t="shared" si="995"/>
        <v>109385.79486356284</v>
      </c>
      <c r="R685">
        <f t="shared" si="996"/>
        <v>-12677300.09216097</v>
      </c>
      <c r="S685">
        <f t="shared" si="997"/>
        <v>-126.77300092160969</v>
      </c>
      <c r="T685">
        <f t="shared" si="998"/>
        <v>-0.1267730009216097</v>
      </c>
    </row>
    <row r="686" spans="1:20" x14ac:dyDescent="0.25">
      <c r="A686" s="5">
        <v>43907</v>
      </c>
      <c r="B686">
        <v>0.15040000000000001</v>
      </c>
      <c r="C686">
        <v>0.1671</v>
      </c>
      <c r="D686">
        <v>0.1469</v>
      </c>
      <c r="E686">
        <v>0.16109999999999999</v>
      </c>
      <c r="F686">
        <v>370888.82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0.4059405940594053</v>
      </c>
      <c r="Q686">
        <f t="shared" si="995"/>
        <v>150558.82792079184</v>
      </c>
      <c r="R686">
        <f t="shared" si="996"/>
        <v>-12786685.887024533</v>
      </c>
      <c r="S686">
        <f t="shared" si="997"/>
        <v>-127.86685887024532</v>
      </c>
      <c r="T686">
        <f t="shared" si="998"/>
        <v>-0.12786685887024532</v>
      </c>
    </row>
    <row r="687" spans="1:20" x14ac:dyDescent="0.25">
      <c r="A687" s="5">
        <v>43906</v>
      </c>
      <c r="B687">
        <v>0.17610000000000001</v>
      </c>
      <c r="C687">
        <v>0.17760000000000001</v>
      </c>
      <c r="D687">
        <v>0.13589999999999999</v>
      </c>
      <c r="E687">
        <v>0.15010000000000001</v>
      </c>
      <c r="F687">
        <v>518265.94</v>
      </c>
      <c r="G687">
        <v>0</v>
      </c>
      <c r="L687" t="s">
        <v>7</v>
      </c>
      <c r="M687" t="s">
        <v>7</v>
      </c>
      <c r="N687" t="s">
        <v>8</v>
      </c>
      <c r="P687">
        <f t="shared" si="994"/>
        <v>-0.31894484412469959</v>
      </c>
      <c r="Q687">
        <f t="shared" si="995"/>
        <v>-165298.24944844091</v>
      </c>
      <c r="R687">
        <f t="shared" si="996"/>
        <v>-12937244.714945326</v>
      </c>
      <c r="S687">
        <f t="shared" si="997"/>
        <v>-129.37244714945325</v>
      </c>
      <c r="T687">
        <f t="shared" si="998"/>
        <v>-0.12937244714945326</v>
      </c>
    </row>
    <row r="688" spans="1:20" x14ac:dyDescent="0.25">
      <c r="A688" s="5">
        <v>43905</v>
      </c>
      <c r="B688">
        <v>0.16930000000000001</v>
      </c>
      <c r="C688">
        <v>0.18970000000000001</v>
      </c>
      <c r="D688">
        <v>0.16880000000000001</v>
      </c>
      <c r="E688">
        <v>0.1779</v>
      </c>
      <c r="F688">
        <v>391645.66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-0.12918660287081377</v>
      </c>
      <c r="Q688">
        <f t="shared" si="995"/>
        <v>-50595.372344497751</v>
      </c>
      <c r="R688">
        <f t="shared" si="996"/>
        <v>-12771946.465496885</v>
      </c>
      <c r="S688">
        <f t="shared" si="997"/>
        <v>-127.71946465496885</v>
      </c>
      <c r="T688">
        <f t="shared" si="998"/>
        <v>-0.12771946465496883</v>
      </c>
    </row>
    <row r="689" spans="1:20" x14ac:dyDescent="0.25">
      <c r="A689" s="5">
        <v>43904</v>
      </c>
      <c r="B689">
        <v>0.1714</v>
      </c>
      <c r="C689">
        <v>0.18559999999999999</v>
      </c>
      <c r="D689">
        <v>0.1608</v>
      </c>
      <c r="E689">
        <v>0.17119999999999999</v>
      </c>
      <c r="F689">
        <v>365167.19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-0.16129032258064538</v>
      </c>
      <c r="Q689">
        <f t="shared" si="995"/>
        <v>-58897.93387096782</v>
      </c>
      <c r="R689">
        <f t="shared" si="996"/>
        <v>-12721351.093152387</v>
      </c>
      <c r="S689">
        <f t="shared" si="997"/>
        <v>-127.21351093152387</v>
      </c>
      <c r="T689">
        <f t="shared" si="998"/>
        <v>-0.12721351093152386</v>
      </c>
    </row>
    <row r="690" spans="1:20" x14ac:dyDescent="0.25">
      <c r="A690" s="5">
        <v>43903</v>
      </c>
      <c r="B690">
        <v>0.1482</v>
      </c>
      <c r="C690">
        <v>0.183</v>
      </c>
      <c r="D690">
        <v>0.1047</v>
      </c>
      <c r="E690">
        <v>0.1729</v>
      </c>
      <c r="F690">
        <v>973815.53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0.74201787994891444</v>
      </c>
      <c r="Q690">
        <f t="shared" si="995"/>
        <v>722588.53503192856</v>
      </c>
      <c r="R690">
        <f t="shared" si="996"/>
        <v>-12662453.15928142</v>
      </c>
      <c r="S690">
        <f t="shared" si="997"/>
        <v>-126.62453159281419</v>
      </c>
      <c r="T690">
        <f t="shared" si="998"/>
        <v>-0.1266245315928142</v>
      </c>
    </row>
    <row r="691" spans="1:20" x14ac:dyDescent="0.25">
      <c r="A691" s="5">
        <v>43902</v>
      </c>
      <c r="B691">
        <v>0.2571</v>
      </c>
      <c r="C691">
        <v>0.2586</v>
      </c>
      <c r="D691">
        <v>0.13750000000000001</v>
      </c>
      <c r="E691">
        <v>0.1469</v>
      </c>
      <c r="F691">
        <v>1379687.18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-0.84475639966969462</v>
      </c>
      <c r="Q691">
        <f t="shared" si="995"/>
        <v>-1165499.5748472339</v>
      </c>
      <c r="R691">
        <f t="shared" si="996"/>
        <v>-13385041.694313347</v>
      </c>
      <c r="S691">
        <f t="shared" si="997"/>
        <v>-133.85041694313347</v>
      </c>
      <c r="T691">
        <f t="shared" si="998"/>
        <v>-0.13385041694313346</v>
      </c>
    </row>
    <row r="692" spans="1:20" x14ac:dyDescent="0.25">
      <c r="A692" s="5">
        <v>43901</v>
      </c>
      <c r="B692">
        <v>0.2666</v>
      </c>
      <c r="C692">
        <v>0.27100000000000002</v>
      </c>
      <c r="D692">
        <v>0.24410000000000001</v>
      </c>
      <c r="E692">
        <v>0.2555</v>
      </c>
      <c r="F692">
        <v>518685.43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-0.15241635687732413</v>
      </c>
      <c r="Q692">
        <f t="shared" si="995"/>
        <v>-79056.143605948324</v>
      </c>
      <c r="R692">
        <f t="shared" si="996"/>
        <v>-12219542.119466113</v>
      </c>
      <c r="S692">
        <f t="shared" si="997"/>
        <v>-122.19542119466112</v>
      </c>
      <c r="T692">
        <f t="shared" si="998"/>
        <v>-0.12219542119466112</v>
      </c>
    </row>
    <row r="693" spans="1:20" x14ac:dyDescent="0.25">
      <c r="A693" s="5">
        <v>43900</v>
      </c>
      <c r="B693">
        <v>0.27250000000000002</v>
      </c>
      <c r="C693">
        <v>0.2732</v>
      </c>
      <c r="D693">
        <v>0.2576</v>
      </c>
      <c r="E693">
        <v>0.2666</v>
      </c>
      <c r="F693">
        <v>678547.34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0.15384615384615466</v>
      </c>
      <c r="Q693">
        <f t="shared" si="995"/>
        <v>104391.89846153901</v>
      </c>
      <c r="R693">
        <f t="shared" si="996"/>
        <v>-12140485.975860165</v>
      </c>
      <c r="S693">
        <f t="shared" si="997"/>
        <v>-121.40485975860166</v>
      </c>
      <c r="T693">
        <f t="shared" si="998"/>
        <v>-0.12140485975860166</v>
      </c>
    </row>
    <row r="694" spans="1:20" x14ac:dyDescent="0.25">
      <c r="A694" s="5">
        <v>43899</v>
      </c>
      <c r="B694">
        <v>0.25459999999999999</v>
      </c>
      <c r="C694">
        <v>0.2752</v>
      </c>
      <c r="D694">
        <v>0.25</v>
      </c>
      <c r="E694">
        <v>0.2712</v>
      </c>
      <c r="F694">
        <v>736090.85</v>
      </c>
      <c r="G694">
        <v>0</v>
      </c>
      <c r="L694" t="s">
        <v>8</v>
      </c>
      <c r="M694" t="s">
        <v>7</v>
      </c>
      <c r="N694" t="s">
        <v>7</v>
      </c>
      <c r="P694">
        <f t="shared" si="994"/>
        <v>0.68253968253968222</v>
      </c>
      <c r="Q694">
        <f t="shared" si="995"/>
        <v>502411.21507936483</v>
      </c>
      <c r="R694">
        <f t="shared" si="996"/>
        <v>-12244877.874321705</v>
      </c>
      <c r="S694">
        <f t="shared" si="997"/>
        <v>-122.44877874321705</v>
      </c>
      <c r="T694">
        <f t="shared" si="998"/>
        <v>-0.12244877874321705</v>
      </c>
    </row>
    <row r="695" spans="1:20" x14ac:dyDescent="0.25">
      <c r="A695" s="5">
        <v>43898</v>
      </c>
      <c r="B695">
        <v>0.31109999999999999</v>
      </c>
      <c r="C695">
        <v>0.31119999999999998</v>
      </c>
      <c r="D695">
        <v>0.24979999999999999</v>
      </c>
      <c r="E695">
        <v>0.25469999999999998</v>
      </c>
      <c r="F695">
        <v>467842.7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-0.84039087947882773</v>
      </c>
      <c r="Q695">
        <f t="shared" si="995"/>
        <v>-393170.73811074934</v>
      </c>
      <c r="R695">
        <f t="shared" si="996"/>
        <v>-12747289.08940107</v>
      </c>
      <c r="S695">
        <f t="shared" si="997"/>
        <v>-127.4728908940107</v>
      </c>
      <c r="T695">
        <f t="shared" si="998"/>
        <v>-0.1274728908940107</v>
      </c>
    </row>
    <row r="696" spans="1:20" x14ac:dyDescent="0.25">
      <c r="A696" s="5">
        <v>43897</v>
      </c>
      <c r="B696">
        <v>0.32400000000000001</v>
      </c>
      <c r="C696">
        <v>0.32479999999999998</v>
      </c>
      <c r="D696">
        <v>0.29659999999999997</v>
      </c>
      <c r="E696">
        <v>0.31</v>
      </c>
      <c r="F696">
        <v>396333.32</v>
      </c>
      <c r="G696">
        <v>0</v>
      </c>
      <c r="L696" t="s">
        <v>7</v>
      </c>
      <c r="M696" t="s">
        <v>8</v>
      </c>
      <c r="N696" t="s">
        <v>8</v>
      </c>
      <c r="P696">
        <f t="shared" si="994"/>
        <v>-4.9645390070920448E-2</v>
      </c>
      <c r="Q696">
        <f t="shared" si="995"/>
        <v>-19676.122269502936</v>
      </c>
      <c r="R696">
        <f t="shared" si="996"/>
        <v>-12354118.351290321</v>
      </c>
      <c r="S696">
        <f t="shared" si="997"/>
        <v>-123.5411835129032</v>
      </c>
      <c r="T696">
        <f t="shared" si="998"/>
        <v>-0.1235411835129032</v>
      </c>
    </row>
    <row r="697" spans="1:20" x14ac:dyDescent="0.25">
      <c r="A697" s="5">
        <v>43896</v>
      </c>
      <c r="B697">
        <v>0.3196</v>
      </c>
      <c r="C697">
        <v>0.32400000000000001</v>
      </c>
      <c r="D697">
        <v>0.30980000000000002</v>
      </c>
      <c r="E697">
        <v>0.32400000000000001</v>
      </c>
      <c r="F697">
        <v>960724.15</v>
      </c>
      <c r="G697">
        <v>0</v>
      </c>
      <c r="L697" t="s">
        <v>7</v>
      </c>
      <c r="M697" t="s">
        <v>8</v>
      </c>
      <c r="N697" t="s">
        <v>8</v>
      </c>
      <c r="P697">
        <f t="shared" si="994"/>
        <v>1</v>
      </c>
      <c r="Q697">
        <f t="shared" si="995"/>
        <v>960724.15</v>
      </c>
      <c r="R697">
        <f t="shared" si="996"/>
        <v>-12334442.229020817</v>
      </c>
      <c r="S697">
        <f t="shared" si="997"/>
        <v>-123.34442229020817</v>
      </c>
      <c r="T697">
        <f t="shared" si="998"/>
        <v>-0.12334442229020817</v>
      </c>
    </row>
    <row r="698" spans="1:20" x14ac:dyDescent="0.25">
      <c r="A698" s="5">
        <v>43895</v>
      </c>
      <c r="B698">
        <v>0.31090000000000001</v>
      </c>
      <c r="C698">
        <v>0.33489999999999998</v>
      </c>
      <c r="D698">
        <v>0.31009999999999999</v>
      </c>
      <c r="E698">
        <v>0.32069999999999999</v>
      </c>
      <c r="F698">
        <v>948796.41</v>
      </c>
      <c r="G698">
        <v>0</v>
      </c>
      <c r="L698" t="s">
        <v>8</v>
      </c>
      <c r="M698" t="s">
        <v>8</v>
      </c>
      <c r="N698" t="s">
        <v>8</v>
      </c>
      <c r="P698">
        <f t="shared" si="994"/>
        <v>-0.14516129032258041</v>
      </c>
      <c r="Q698">
        <f t="shared" si="995"/>
        <v>-137728.51112903203</v>
      </c>
      <c r="R698">
        <f t="shared" si="996"/>
        <v>-13295166.379020818</v>
      </c>
      <c r="S698">
        <f t="shared" si="997"/>
        <v>-132.95166379020819</v>
      </c>
      <c r="T698">
        <f t="shared" si="998"/>
        <v>-0.13295166379020817</v>
      </c>
    </row>
    <row r="699" spans="1:20" x14ac:dyDescent="0.25">
      <c r="A699" s="5">
        <v>43894</v>
      </c>
      <c r="B699">
        <v>0.33210000000000001</v>
      </c>
      <c r="C699">
        <v>0.3367</v>
      </c>
      <c r="D699">
        <v>0.29699999999999999</v>
      </c>
      <c r="E699">
        <v>0.31119999999999998</v>
      </c>
      <c r="F699">
        <v>1065471</v>
      </c>
      <c r="G699">
        <v>0</v>
      </c>
      <c r="L699" t="s">
        <v>7</v>
      </c>
      <c r="M699" t="s">
        <v>8</v>
      </c>
      <c r="N699" t="s">
        <v>8</v>
      </c>
      <c r="P699">
        <f t="shared" si="994"/>
        <v>-0.28463476070529037</v>
      </c>
      <c r="Q699">
        <f t="shared" si="995"/>
        <v>-303270.08312342642</v>
      </c>
      <c r="R699">
        <f t="shared" si="996"/>
        <v>-13157437.867891785</v>
      </c>
      <c r="S699">
        <f t="shared" si="997"/>
        <v>-131.57437867891784</v>
      </c>
      <c r="T699">
        <f t="shared" si="998"/>
        <v>-0.13157437867891783</v>
      </c>
    </row>
    <row r="700" spans="1:20" x14ac:dyDescent="0.25">
      <c r="A700" s="5">
        <v>43893</v>
      </c>
      <c r="B700">
        <v>0.31540000000000001</v>
      </c>
      <c r="C700">
        <v>0.35160000000000002</v>
      </c>
      <c r="D700">
        <v>0.30590000000000001</v>
      </c>
      <c r="E700">
        <v>0.33110000000000001</v>
      </c>
      <c r="F700">
        <v>1387714.05</v>
      </c>
      <c r="G700">
        <v>0</v>
      </c>
      <c r="L700" t="s">
        <v>8</v>
      </c>
      <c r="M700" t="s">
        <v>8</v>
      </c>
      <c r="N700" t="s">
        <v>8</v>
      </c>
      <c r="P700">
        <f t="shared" si="994"/>
        <v>0.10284463894967133</v>
      </c>
      <c r="Q700">
        <f t="shared" si="995"/>
        <v>142718.95043763614</v>
      </c>
      <c r="R700">
        <f t="shared" si="996"/>
        <v>-12854167.784768358</v>
      </c>
      <c r="S700">
        <f t="shared" si="997"/>
        <v>-128.54167784768359</v>
      </c>
      <c r="T700">
        <f t="shared" si="998"/>
        <v>-0.12854167784768358</v>
      </c>
    </row>
    <row r="701" spans="1:20" x14ac:dyDescent="0.25">
      <c r="A701" s="5">
        <v>43892</v>
      </c>
      <c r="B701">
        <v>0.29970000000000002</v>
      </c>
      <c r="C701">
        <v>0.32</v>
      </c>
      <c r="D701">
        <v>0.29520000000000002</v>
      </c>
      <c r="E701">
        <v>0.3145</v>
      </c>
      <c r="F701">
        <v>391448.99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0.5564516129032252</v>
      </c>
      <c r="Q701">
        <f t="shared" si="995"/>
        <v>217822.42185483847</v>
      </c>
      <c r="R701">
        <f t="shared" si="996"/>
        <v>-12996886.735205995</v>
      </c>
      <c r="S701">
        <f t="shared" si="997"/>
        <v>-129.96886735205996</v>
      </c>
      <c r="T701">
        <f t="shared" si="998"/>
        <v>-0.12996886735205995</v>
      </c>
    </row>
    <row r="702" spans="1:20" x14ac:dyDescent="0.25">
      <c r="A702" s="5">
        <v>43891</v>
      </c>
      <c r="B702">
        <v>0.28689999999999999</v>
      </c>
      <c r="C702">
        <v>0.31259999999999999</v>
      </c>
      <c r="D702">
        <v>0.28489999999999999</v>
      </c>
      <c r="E702">
        <v>0.29859999999999998</v>
      </c>
      <c r="F702">
        <v>506836.94</v>
      </c>
      <c r="G702">
        <v>0</v>
      </c>
      <c r="L702" t="s">
        <v>8</v>
      </c>
      <c r="M702" t="s">
        <v>8</v>
      </c>
      <c r="N702" t="s">
        <v>7</v>
      </c>
      <c r="P702">
        <f t="shared" si="994"/>
        <v>-1.0830324909748102E-2</v>
      </c>
      <c r="Q702">
        <f t="shared" si="995"/>
        <v>-5489.208736462504</v>
      </c>
      <c r="R702">
        <f t="shared" si="996"/>
        <v>-13214709.157060834</v>
      </c>
      <c r="S702">
        <f t="shared" si="997"/>
        <v>-132.14709157060832</v>
      </c>
      <c r="T702">
        <f t="shared" si="998"/>
        <v>-0.13214709157060833</v>
      </c>
    </row>
    <row r="703" spans="1:20" x14ac:dyDescent="0.25">
      <c r="A703" s="5">
        <v>43890</v>
      </c>
      <c r="B703">
        <v>0.28889999999999999</v>
      </c>
      <c r="C703">
        <v>0.29809999999999998</v>
      </c>
      <c r="D703">
        <v>0.28489999999999999</v>
      </c>
      <c r="E703">
        <v>0.28810000000000002</v>
      </c>
      <c r="F703">
        <v>207414.58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-0.51515151515150925</v>
      </c>
      <c r="Q703">
        <f t="shared" si="995"/>
        <v>-106849.93515151393</v>
      </c>
      <c r="R703">
        <f t="shared" si="996"/>
        <v>-13209219.948324371</v>
      </c>
      <c r="S703">
        <f t="shared" si="997"/>
        <v>-132.09219948324372</v>
      </c>
      <c r="T703">
        <f t="shared" si="998"/>
        <v>-0.13209219948324372</v>
      </c>
    </row>
    <row r="704" spans="1:20" x14ac:dyDescent="0.25">
      <c r="A704" s="5">
        <v>43889</v>
      </c>
      <c r="B704">
        <v>0.2898</v>
      </c>
      <c r="C704">
        <v>0.30349999999999999</v>
      </c>
      <c r="D704">
        <v>0.27</v>
      </c>
      <c r="E704">
        <v>0.28789999999999999</v>
      </c>
      <c r="F704">
        <v>689940.45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6.8656716417909561E-2</v>
      </c>
      <c r="Q704">
        <f t="shared" si="995"/>
        <v>47369.045820894906</v>
      </c>
      <c r="R704">
        <f t="shared" si="996"/>
        <v>-13102370.013172857</v>
      </c>
      <c r="S704">
        <f t="shared" si="997"/>
        <v>-131.02370013172859</v>
      </c>
      <c r="T704">
        <f t="shared" si="998"/>
        <v>-0.13102370013172859</v>
      </c>
    </row>
    <row r="705" spans="1:20" x14ac:dyDescent="0.25">
      <c r="A705" s="5">
        <v>43888</v>
      </c>
      <c r="B705">
        <v>0.27079999999999999</v>
      </c>
      <c r="C705">
        <v>0.30149999999999999</v>
      </c>
      <c r="D705">
        <v>0.25769999999999998</v>
      </c>
      <c r="E705">
        <v>0.28949999999999998</v>
      </c>
      <c r="F705">
        <v>739598.12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0.45205479452054753</v>
      </c>
      <c r="Q705">
        <f t="shared" si="995"/>
        <v>334338.87616438325</v>
      </c>
      <c r="R705">
        <f t="shared" si="996"/>
        <v>-13149739.058993753</v>
      </c>
      <c r="S705">
        <f t="shared" si="997"/>
        <v>-131.49739058993754</v>
      </c>
      <c r="T705">
        <f t="shared" si="998"/>
        <v>-0.13149739058993754</v>
      </c>
    </row>
    <row r="706" spans="1:20" x14ac:dyDescent="0.25">
      <c r="A706" s="5">
        <v>43887</v>
      </c>
      <c r="B706">
        <v>0.29949999999999999</v>
      </c>
      <c r="C706">
        <v>0.30370000000000003</v>
      </c>
      <c r="D706">
        <v>0.25519999999999998</v>
      </c>
      <c r="E706">
        <v>0.26929999999999998</v>
      </c>
      <c r="F706">
        <v>1120087.96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-0.41855670103092829</v>
      </c>
      <c r="Q706">
        <f t="shared" si="995"/>
        <v>-468820.32140206237</v>
      </c>
      <c r="R706">
        <f t="shared" si="996"/>
        <v>-13484077.935158137</v>
      </c>
      <c r="S706">
        <f t="shared" si="997"/>
        <v>-134.84077935158138</v>
      </c>
      <c r="T706">
        <f t="shared" si="998"/>
        <v>-0.13484077935158137</v>
      </c>
    </row>
    <row r="707" spans="1:20" x14ac:dyDescent="0.25">
      <c r="A707" s="5">
        <v>43886</v>
      </c>
      <c r="B707">
        <v>0.33429999999999999</v>
      </c>
      <c r="C707">
        <v>0.33579999999999999</v>
      </c>
      <c r="D707">
        <v>0.29270000000000002</v>
      </c>
      <c r="E707">
        <v>0.29959999999999998</v>
      </c>
      <c r="F707">
        <v>1515965.03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-0.6798143851508136</v>
      </c>
      <c r="Q707">
        <f t="shared" si="995"/>
        <v>-1030574.8347795847</v>
      </c>
      <c r="R707">
        <f t="shared" si="996"/>
        <v>-13015257.613756076</v>
      </c>
      <c r="S707">
        <f t="shared" si="997"/>
        <v>-130.15257613756074</v>
      </c>
      <c r="T707">
        <f t="shared" si="998"/>
        <v>-0.13015257613756073</v>
      </c>
    </row>
    <row r="708" spans="1:20" x14ac:dyDescent="0.25">
      <c r="A708" s="5">
        <v>43885</v>
      </c>
      <c r="B708">
        <v>0.35680000000000001</v>
      </c>
      <c r="C708">
        <v>0.35680000000000001</v>
      </c>
      <c r="D708">
        <v>0.32840000000000003</v>
      </c>
      <c r="E708">
        <v>0.33350000000000002</v>
      </c>
      <c r="F708">
        <v>570269.23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-0.64084507042253547</v>
      </c>
      <c r="Q708">
        <f t="shared" si="995"/>
        <v>-365454.22485915507</v>
      </c>
      <c r="R708">
        <f t="shared" si="996"/>
        <v>-11984682.778976491</v>
      </c>
      <c r="S708">
        <f t="shared" si="997"/>
        <v>-119.8468277897649</v>
      </c>
      <c r="T708">
        <f t="shared" si="998"/>
        <v>-0.1198468277897649</v>
      </c>
    </row>
    <row r="709" spans="1:20" x14ac:dyDescent="0.25">
      <c r="A709" s="5">
        <v>43884</v>
      </c>
      <c r="B709">
        <v>0.3412</v>
      </c>
      <c r="C709">
        <v>0.35799999999999998</v>
      </c>
      <c r="D709">
        <v>0.33800000000000002</v>
      </c>
      <c r="E709">
        <v>0.35570000000000002</v>
      </c>
      <c r="F709">
        <v>382830.48</v>
      </c>
      <c r="G709">
        <v>0</v>
      </c>
      <c r="L709" t="s">
        <v>8</v>
      </c>
      <c r="M709" t="s">
        <v>7</v>
      </c>
      <c r="N709" t="s">
        <v>7</v>
      </c>
      <c r="P709">
        <f t="shared" si="994"/>
        <v>0.77000000000000268</v>
      </c>
      <c r="Q709">
        <f t="shared" si="995"/>
        <v>294779.469600001</v>
      </c>
      <c r="R709">
        <f t="shared" si="996"/>
        <v>-11619228.554117335</v>
      </c>
      <c r="S709">
        <f t="shared" si="997"/>
        <v>-116.19228554117335</v>
      </c>
      <c r="T709">
        <f t="shared" si="998"/>
        <v>-0.11619228554117335</v>
      </c>
    </row>
    <row r="710" spans="1:20" x14ac:dyDescent="0.25">
      <c r="A710" s="5">
        <v>43883</v>
      </c>
      <c r="B710">
        <v>0.36049999999999999</v>
      </c>
      <c r="C710">
        <v>0.36520000000000002</v>
      </c>
      <c r="D710">
        <v>0.3347</v>
      </c>
      <c r="E710">
        <v>0.3412</v>
      </c>
      <c r="F710">
        <v>613709.26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-0.57377049180327866</v>
      </c>
      <c r="Q710">
        <f t="shared" ref="Q710:Q766" si="1000">F710*P710</f>
        <v>-352128.26393442624</v>
      </c>
      <c r="R710">
        <f t="shared" ref="R710:R766" si="1001">R711+Q710</f>
        <v>-11914008.023717336</v>
      </c>
      <c r="S710">
        <f t="shared" ref="S710:S766" si="1002">R710/100000</f>
        <v>-119.14008023717336</v>
      </c>
      <c r="T710">
        <f t="shared" ref="T710:T766" si="1003">S710/1000</f>
        <v>-0.11914008023717336</v>
      </c>
    </row>
    <row r="711" spans="1:20" x14ac:dyDescent="0.25">
      <c r="A711" s="5">
        <v>43882</v>
      </c>
      <c r="B711">
        <v>0.35020000000000001</v>
      </c>
      <c r="C711">
        <v>0.36480000000000001</v>
      </c>
      <c r="D711">
        <v>0.34279999999999999</v>
      </c>
      <c r="E711">
        <v>0.36049999999999999</v>
      </c>
      <c r="F711">
        <v>555688.78</v>
      </c>
      <c r="G711">
        <v>0</v>
      </c>
      <c r="L711" t="s">
        <v>7</v>
      </c>
      <c r="M711" t="s">
        <v>7</v>
      </c>
      <c r="N711" t="s">
        <v>7</v>
      </c>
      <c r="P711">
        <f t="shared" si="999"/>
        <v>0.60909090909090702</v>
      </c>
      <c r="Q711">
        <f t="shared" si="1000"/>
        <v>338464.98418181704</v>
      </c>
      <c r="R711">
        <f t="shared" si="1001"/>
        <v>-11561879.75978291</v>
      </c>
      <c r="S711">
        <f t="shared" si="1002"/>
        <v>-115.6187975978291</v>
      </c>
      <c r="T711">
        <f t="shared" si="1003"/>
        <v>-0.1156187975978291</v>
      </c>
    </row>
    <row r="712" spans="1:20" x14ac:dyDescent="0.25">
      <c r="A712" s="5">
        <v>43881</v>
      </c>
      <c r="B712">
        <v>0.34189999999999998</v>
      </c>
      <c r="C712">
        <v>0.36870000000000003</v>
      </c>
      <c r="D712">
        <v>0.33760000000000001</v>
      </c>
      <c r="E712">
        <v>0.35139999999999999</v>
      </c>
      <c r="F712">
        <v>984901.38</v>
      </c>
      <c r="G712">
        <v>0</v>
      </c>
      <c r="L712" t="s">
        <v>8</v>
      </c>
      <c r="M712" t="s">
        <v>7</v>
      </c>
      <c r="N712" t="s">
        <v>7</v>
      </c>
      <c r="P712">
        <f t="shared" si="999"/>
        <v>-0.11254019292604685</v>
      </c>
      <c r="Q712">
        <f t="shared" si="1000"/>
        <v>-110840.99131832978</v>
      </c>
      <c r="R712">
        <f t="shared" si="1001"/>
        <v>-11900344.743964728</v>
      </c>
      <c r="S712">
        <f t="shared" si="1002"/>
        <v>-119.00344743964727</v>
      </c>
      <c r="T712">
        <f t="shared" si="1003"/>
        <v>-0.11900344743964728</v>
      </c>
    </row>
    <row r="713" spans="1:20" x14ac:dyDescent="0.25">
      <c r="A713" s="5">
        <v>43880</v>
      </c>
      <c r="B713">
        <v>0.3765</v>
      </c>
      <c r="C713">
        <v>0.38519999999999999</v>
      </c>
      <c r="D713">
        <v>0.33350000000000002</v>
      </c>
      <c r="E713">
        <v>0.34010000000000001</v>
      </c>
      <c r="F713">
        <v>610308.43999999994</v>
      </c>
      <c r="G713">
        <v>0</v>
      </c>
      <c r="L713" t="s">
        <v>7</v>
      </c>
      <c r="M713" t="s">
        <v>7</v>
      </c>
      <c r="N713" t="s">
        <v>7</v>
      </c>
      <c r="P713">
        <f t="shared" si="999"/>
        <v>-0.74468085106382986</v>
      </c>
      <c r="Q713">
        <f t="shared" si="1000"/>
        <v>-454485.00851063832</v>
      </c>
      <c r="R713">
        <f t="shared" si="1001"/>
        <v>-11789503.752646398</v>
      </c>
      <c r="S713">
        <f t="shared" si="1002"/>
        <v>-117.89503752646398</v>
      </c>
      <c r="T713">
        <f t="shared" si="1003"/>
        <v>-0.11789503752646398</v>
      </c>
    </row>
    <row r="714" spans="1:20" x14ac:dyDescent="0.25">
      <c r="A714" s="5">
        <v>43879</v>
      </c>
      <c r="B714">
        <v>0.36859999999999998</v>
      </c>
      <c r="C714">
        <v>0.3821</v>
      </c>
      <c r="D714">
        <v>0.34560000000000002</v>
      </c>
      <c r="E714">
        <v>0.3765</v>
      </c>
      <c r="F714">
        <v>821189.76</v>
      </c>
      <c r="G714">
        <v>0</v>
      </c>
      <c r="L714" t="s">
        <v>8</v>
      </c>
      <c r="M714" t="s">
        <v>7</v>
      </c>
      <c r="N714" t="s">
        <v>7</v>
      </c>
      <c r="P714">
        <f t="shared" si="999"/>
        <v>0.693150684931507</v>
      </c>
      <c r="Q714">
        <f t="shared" si="1000"/>
        <v>569208.24460273981</v>
      </c>
      <c r="R714">
        <f t="shared" si="1001"/>
        <v>-11335018.74413576</v>
      </c>
      <c r="S714">
        <f t="shared" si="1002"/>
        <v>-113.3501874413576</v>
      </c>
      <c r="T714">
        <f t="shared" si="1003"/>
        <v>-0.11335018744135761</v>
      </c>
    </row>
    <row r="715" spans="1:20" x14ac:dyDescent="0.25">
      <c r="A715" s="5">
        <v>43878</v>
      </c>
      <c r="B715">
        <v>0.38869999999999999</v>
      </c>
      <c r="C715">
        <v>0.3906</v>
      </c>
      <c r="D715">
        <v>0.3367</v>
      </c>
      <c r="E715">
        <v>0.36959999999999998</v>
      </c>
      <c r="F715">
        <v>1593406.75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0.22077922077922013</v>
      </c>
      <c r="Q715">
        <f t="shared" si="1000"/>
        <v>351791.10064934962</v>
      </c>
      <c r="R715">
        <f t="shared" si="1001"/>
        <v>-11904226.9887385</v>
      </c>
      <c r="S715">
        <f t="shared" si="1002"/>
        <v>-119.04226988738499</v>
      </c>
      <c r="T715">
        <f t="shared" si="1003"/>
        <v>-0.11904226988738499</v>
      </c>
    </row>
    <row r="716" spans="1:20" x14ac:dyDescent="0.25">
      <c r="A716" s="5">
        <v>43877</v>
      </c>
      <c r="B716">
        <v>0.4254</v>
      </c>
      <c r="C716">
        <v>0.44619999999999999</v>
      </c>
      <c r="D716">
        <v>0.34379999999999999</v>
      </c>
      <c r="E716">
        <v>0.38969999999999999</v>
      </c>
      <c r="F716">
        <v>1650949.82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-0.10351562499999999</v>
      </c>
      <c r="Q716">
        <f t="shared" si="1000"/>
        <v>-170899.10246093749</v>
      </c>
      <c r="R716">
        <f t="shared" si="1001"/>
        <v>-12256018.089387849</v>
      </c>
      <c r="S716">
        <f t="shared" si="1002"/>
        <v>-122.5601808938785</v>
      </c>
      <c r="T716">
        <f t="shared" si="1003"/>
        <v>-0.12256018089387849</v>
      </c>
    </row>
    <row r="717" spans="1:20" x14ac:dyDescent="0.25">
      <c r="A717" s="5">
        <v>43876</v>
      </c>
      <c r="B717">
        <v>0.45100000000000001</v>
      </c>
      <c r="C717">
        <v>0.52859999999999996</v>
      </c>
      <c r="D717">
        <v>0.41410000000000002</v>
      </c>
      <c r="E717">
        <v>0.4264</v>
      </c>
      <c r="F717">
        <v>2306217.16</v>
      </c>
      <c r="G717">
        <v>0</v>
      </c>
      <c r="L717" t="s">
        <v>8</v>
      </c>
      <c r="M717" t="s">
        <v>8</v>
      </c>
      <c r="N717" t="s">
        <v>8</v>
      </c>
      <c r="P717">
        <f t="shared" si="999"/>
        <v>-0.78515283842794792</v>
      </c>
      <c r="Q717">
        <f t="shared" si="1000"/>
        <v>-1810732.9492052409</v>
      </c>
      <c r="R717">
        <f t="shared" si="1001"/>
        <v>-12085118.986926911</v>
      </c>
      <c r="S717">
        <f t="shared" si="1002"/>
        <v>-120.85118986926912</v>
      </c>
      <c r="T717">
        <f t="shared" si="1003"/>
        <v>-0.12085118986926913</v>
      </c>
    </row>
    <row r="718" spans="1:20" x14ac:dyDescent="0.25">
      <c r="A718" s="5">
        <v>43875</v>
      </c>
      <c r="B718">
        <v>0.39539999999999997</v>
      </c>
      <c r="C718">
        <v>0.499</v>
      </c>
      <c r="D718">
        <v>0.38229999999999997</v>
      </c>
      <c r="E718">
        <v>0.45100000000000001</v>
      </c>
      <c r="F718">
        <v>3434374.94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0.17737789203084872</v>
      </c>
      <c r="Q718">
        <f t="shared" si="1000"/>
        <v>609182.18730077252</v>
      </c>
      <c r="R718">
        <f t="shared" si="1001"/>
        <v>-10274386.037721671</v>
      </c>
      <c r="S718">
        <f t="shared" si="1002"/>
        <v>-102.74386037721671</v>
      </c>
      <c r="T718">
        <f t="shared" si="1003"/>
        <v>-0.10274386037721671</v>
      </c>
    </row>
    <row r="719" spans="1:20" x14ac:dyDescent="0.25">
      <c r="A719" s="5">
        <v>43874</v>
      </c>
      <c r="B719">
        <v>0.36109999999999998</v>
      </c>
      <c r="C719">
        <v>0.39879999999999999</v>
      </c>
      <c r="D719">
        <v>0.35120000000000001</v>
      </c>
      <c r="E719">
        <v>0.39629999999999999</v>
      </c>
      <c r="F719">
        <v>1540536.49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0.89495798319327713</v>
      </c>
      <c r="Q719">
        <f t="shared" si="1000"/>
        <v>1378715.43012605</v>
      </c>
      <c r="R719">
        <f t="shared" si="1001"/>
        <v>-10883568.225022445</v>
      </c>
      <c r="S719">
        <f t="shared" si="1002"/>
        <v>-108.83568225022445</v>
      </c>
      <c r="T719">
        <f t="shared" si="1003"/>
        <v>-0.10883568225022446</v>
      </c>
    </row>
    <row r="720" spans="1:20" x14ac:dyDescent="0.25">
      <c r="A720" s="5">
        <v>43873</v>
      </c>
      <c r="B720">
        <v>0.35499999999999998</v>
      </c>
      <c r="C720">
        <v>0.3836</v>
      </c>
      <c r="D720">
        <v>0.35499999999999998</v>
      </c>
      <c r="E720">
        <v>0.36070000000000002</v>
      </c>
      <c r="F720">
        <v>1604634.03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-0.60139860139859891</v>
      </c>
      <c r="Q720">
        <f t="shared" si="1000"/>
        <v>-965024.66139859741</v>
      </c>
      <c r="R720">
        <f t="shared" si="1001"/>
        <v>-12262283.655148495</v>
      </c>
      <c r="S720">
        <f t="shared" si="1002"/>
        <v>-122.62283655148495</v>
      </c>
      <c r="T720">
        <f t="shared" si="1003"/>
        <v>-0.12262283655148495</v>
      </c>
    </row>
    <row r="721" spans="1:20" x14ac:dyDescent="0.25">
      <c r="A721" s="5">
        <v>43872</v>
      </c>
      <c r="B721">
        <v>0.35470000000000002</v>
      </c>
      <c r="C721">
        <v>0.36959999999999998</v>
      </c>
      <c r="D721">
        <v>0.32529999999999998</v>
      </c>
      <c r="E721">
        <v>0.35410000000000003</v>
      </c>
      <c r="F721">
        <v>1939759.9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0.30022573363431349</v>
      </c>
      <c r="Q721">
        <f t="shared" si="1000"/>
        <v>582365.83905192255</v>
      </c>
      <c r="R721">
        <f t="shared" si="1001"/>
        <v>-11297258.993749898</v>
      </c>
      <c r="S721">
        <f t="shared" si="1002"/>
        <v>-112.97258993749898</v>
      </c>
      <c r="T721">
        <f t="shared" si="1003"/>
        <v>-0.11297258993749898</v>
      </c>
    </row>
    <row r="722" spans="1:20" x14ac:dyDescent="0.25">
      <c r="A722" s="5">
        <v>43871</v>
      </c>
      <c r="B722">
        <v>0.33579999999999999</v>
      </c>
      <c r="C722">
        <v>0.36080000000000001</v>
      </c>
      <c r="D722">
        <v>0.32419999999999999</v>
      </c>
      <c r="E722">
        <v>0.35639999999999999</v>
      </c>
      <c r="F722">
        <v>1276857.08</v>
      </c>
      <c r="G722">
        <v>0</v>
      </c>
      <c r="L722" t="s">
        <v>8</v>
      </c>
      <c r="M722" t="s">
        <v>8</v>
      </c>
      <c r="N722" t="s">
        <v>8</v>
      </c>
      <c r="P722">
        <f t="shared" si="999"/>
        <v>0.75956284153005393</v>
      </c>
      <c r="Q722">
        <f t="shared" si="1000"/>
        <v>969853.19191256748</v>
      </c>
      <c r="R722">
        <f t="shared" si="1001"/>
        <v>-11879624.832801821</v>
      </c>
      <c r="S722">
        <f t="shared" si="1002"/>
        <v>-118.79624832801821</v>
      </c>
      <c r="T722">
        <f t="shared" si="1003"/>
        <v>-0.1187962483280182</v>
      </c>
    </row>
    <row r="723" spans="1:20" x14ac:dyDescent="0.25">
      <c r="A723" s="5">
        <v>43870</v>
      </c>
      <c r="B723">
        <v>0.31709999999999999</v>
      </c>
      <c r="C723">
        <v>0.34360000000000002</v>
      </c>
      <c r="D723">
        <v>0.316</v>
      </c>
      <c r="E723">
        <v>0.33579999999999999</v>
      </c>
      <c r="F723">
        <v>972150.58</v>
      </c>
      <c r="G723">
        <v>0</v>
      </c>
      <c r="L723" t="s">
        <v>8</v>
      </c>
      <c r="M723" t="s">
        <v>7</v>
      </c>
      <c r="N723" t="s">
        <v>8</v>
      </c>
      <c r="P723">
        <f t="shared" si="999"/>
        <v>0.43478260869565033</v>
      </c>
      <c r="Q723">
        <f t="shared" si="1000"/>
        <v>422674.16521738947</v>
      </c>
      <c r="R723">
        <f t="shared" si="1001"/>
        <v>-12849478.024714388</v>
      </c>
      <c r="S723">
        <f t="shared" si="1002"/>
        <v>-128.49478024714389</v>
      </c>
      <c r="T723">
        <f t="shared" si="1003"/>
        <v>-0.12849478024714389</v>
      </c>
    </row>
    <row r="724" spans="1:20" x14ac:dyDescent="0.25">
      <c r="A724" s="5">
        <v>43869</v>
      </c>
      <c r="B724">
        <v>0.32829999999999998</v>
      </c>
      <c r="C724">
        <v>0.33069999999999999</v>
      </c>
      <c r="D724">
        <v>0.30599999999999999</v>
      </c>
      <c r="E724">
        <v>0.31590000000000001</v>
      </c>
      <c r="F724">
        <v>1482770.46</v>
      </c>
      <c r="G724">
        <v>0</v>
      </c>
      <c r="L724" t="s">
        <v>7</v>
      </c>
      <c r="M724" t="s">
        <v>7</v>
      </c>
      <c r="N724" t="s">
        <v>8</v>
      </c>
      <c r="P724">
        <f t="shared" si="999"/>
        <v>-0.19838056680161781</v>
      </c>
      <c r="Q724">
        <f t="shared" si="1000"/>
        <v>-294152.84429149557</v>
      </c>
      <c r="R724">
        <f t="shared" si="1001"/>
        <v>-13272152.189931778</v>
      </c>
      <c r="S724">
        <f t="shared" si="1002"/>
        <v>-132.72152189931779</v>
      </c>
      <c r="T724">
        <f t="shared" si="1003"/>
        <v>-0.1327215218993178</v>
      </c>
    </row>
    <row r="725" spans="1:20" x14ac:dyDescent="0.25">
      <c r="A725" s="5">
        <v>43868</v>
      </c>
      <c r="B725">
        <v>0.33389999999999997</v>
      </c>
      <c r="C725">
        <v>0.34050000000000002</v>
      </c>
      <c r="D725">
        <v>0.32340000000000002</v>
      </c>
      <c r="E725">
        <v>0.32800000000000001</v>
      </c>
      <c r="F725">
        <v>1141229.19</v>
      </c>
      <c r="G725">
        <v>0</v>
      </c>
      <c r="L725" t="s">
        <v>7</v>
      </c>
      <c r="M725" t="s">
        <v>7</v>
      </c>
      <c r="N725" t="s">
        <v>8</v>
      </c>
      <c r="P725">
        <f t="shared" si="999"/>
        <v>-0.46198830409356823</v>
      </c>
      <c r="Q725">
        <f t="shared" si="1000"/>
        <v>-527234.5380701765</v>
      </c>
      <c r="R725">
        <f t="shared" si="1001"/>
        <v>-12977999.345640283</v>
      </c>
      <c r="S725">
        <f t="shared" si="1002"/>
        <v>-129.77999345640282</v>
      </c>
      <c r="T725">
        <f t="shared" si="1003"/>
        <v>-0.12977999345640281</v>
      </c>
    </row>
    <row r="726" spans="1:20" x14ac:dyDescent="0.25">
      <c r="A726" s="5">
        <v>43867</v>
      </c>
      <c r="B726">
        <v>0.3221</v>
      </c>
      <c r="C726">
        <v>0.3533</v>
      </c>
      <c r="D726">
        <v>0.31280000000000002</v>
      </c>
      <c r="E726">
        <v>0.33289999999999997</v>
      </c>
      <c r="F726">
        <v>1996167.93</v>
      </c>
      <c r="G726">
        <v>0</v>
      </c>
      <c r="L726" t="s">
        <v>8</v>
      </c>
      <c r="M726" t="s">
        <v>7</v>
      </c>
      <c r="N726" t="s">
        <v>8</v>
      </c>
      <c r="P726">
        <f t="shared" si="999"/>
        <v>-7.4074074074093367E-3</v>
      </c>
      <c r="Q726">
        <f t="shared" si="1000"/>
        <v>-14786.429111114961</v>
      </c>
      <c r="R726">
        <f t="shared" si="1001"/>
        <v>-12450764.807570107</v>
      </c>
      <c r="S726">
        <f t="shared" si="1002"/>
        <v>-124.50764807570107</v>
      </c>
      <c r="T726">
        <f t="shared" si="1003"/>
        <v>-0.12450764807570107</v>
      </c>
    </row>
    <row r="727" spans="1:20" x14ac:dyDescent="0.25">
      <c r="A727" s="5">
        <v>43866</v>
      </c>
      <c r="B727">
        <v>0.34570000000000001</v>
      </c>
      <c r="C727">
        <v>0.37590000000000001</v>
      </c>
      <c r="D727">
        <v>0.31069999999999998</v>
      </c>
      <c r="E727">
        <v>0.3221</v>
      </c>
      <c r="F727">
        <v>3762277.56</v>
      </c>
      <c r="G727">
        <v>0</v>
      </c>
      <c r="L727" t="s">
        <v>7</v>
      </c>
      <c r="M727" t="s">
        <v>7</v>
      </c>
      <c r="N727" t="s">
        <v>8</v>
      </c>
      <c r="P727">
        <f t="shared" si="999"/>
        <v>-0.65030674846625725</v>
      </c>
      <c r="Q727">
        <f t="shared" si="1000"/>
        <v>-2446634.4868711643</v>
      </c>
      <c r="R727">
        <f t="shared" si="1001"/>
        <v>-12435978.378458992</v>
      </c>
      <c r="S727">
        <f t="shared" si="1002"/>
        <v>-124.35978378458992</v>
      </c>
      <c r="T727">
        <f t="shared" si="1003"/>
        <v>-0.12435978378458992</v>
      </c>
    </row>
    <row r="728" spans="1:20" x14ac:dyDescent="0.25">
      <c r="A728" s="5">
        <v>43865</v>
      </c>
      <c r="B728">
        <v>0.26569999999999999</v>
      </c>
      <c r="C728">
        <v>0.41899999999999998</v>
      </c>
      <c r="D728">
        <v>0.25969999999999999</v>
      </c>
      <c r="E728">
        <v>0.34429999999999999</v>
      </c>
      <c r="F728">
        <v>7633638.6500000004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6.214689265536736E-2</v>
      </c>
      <c r="Q728">
        <f t="shared" si="1000"/>
        <v>474406.92175141344</v>
      </c>
      <c r="R728">
        <f t="shared" si="1001"/>
        <v>-9989343.8915878274</v>
      </c>
      <c r="S728">
        <f t="shared" si="1002"/>
        <v>-99.893438915878278</v>
      </c>
      <c r="T728">
        <f t="shared" si="1003"/>
        <v>-9.9893438915878277E-2</v>
      </c>
    </row>
    <row r="729" spans="1:20" x14ac:dyDescent="0.25">
      <c r="A729" s="5">
        <v>43864</v>
      </c>
      <c r="B729">
        <v>0.255</v>
      </c>
      <c r="C729">
        <v>0.2717</v>
      </c>
      <c r="D729">
        <v>0.25109999999999999</v>
      </c>
      <c r="E729">
        <v>0.26669999999999999</v>
      </c>
      <c r="F729">
        <v>1265035.71</v>
      </c>
      <c r="G729">
        <v>0</v>
      </c>
      <c r="L729" t="s">
        <v>7</v>
      </c>
      <c r="M729" t="s">
        <v>8</v>
      </c>
      <c r="N729" t="s">
        <v>7</v>
      </c>
      <c r="P729">
        <f t="shared" si="999"/>
        <v>0.51456310679611628</v>
      </c>
      <c r="Q729">
        <f t="shared" si="1000"/>
        <v>650940.70514563075</v>
      </c>
      <c r="R729">
        <f t="shared" si="1001"/>
        <v>-10463750.813339241</v>
      </c>
      <c r="S729">
        <f t="shared" si="1002"/>
        <v>-104.6375081333924</v>
      </c>
      <c r="T729">
        <f t="shared" si="1003"/>
        <v>-0.1046375081333924</v>
      </c>
    </row>
    <row r="730" spans="1:20" x14ac:dyDescent="0.25">
      <c r="A730" s="5">
        <v>43863</v>
      </c>
      <c r="B730">
        <v>0.27429999999999999</v>
      </c>
      <c r="C730">
        <v>0.28889999999999999</v>
      </c>
      <c r="D730">
        <v>0.255</v>
      </c>
      <c r="E730">
        <v>0.2555</v>
      </c>
      <c r="F730">
        <v>2357552.86</v>
      </c>
      <c r="G730">
        <v>0</v>
      </c>
      <c r="L730" t="s">
        <v>8</v>
      </c>
      <c r="M730" t="s">
        <v>8</v>
      </c>
      <c r="N730" t="s">
        <v>7</v>
      </c>
      <c r="P730">
        <f t="shared" si="999"/>
        <v>-0.9705014749262536</v>
      </c>
      <c r="Q730">
        <f t="shared" si="1000"/>
        <v>-2288008.5278466074</v>
      </c>
      <c r="R730">
        <f t="shared" si="1001"/>
        <v>-11114691.518484872</v>
      </c>
      <c r="S730">
        <f t="shared" si="1002"/>
        <v>-111.14691518484872</v>
      </c>
      <c r="T730">
        <f t="shared" si="1003"/>
        <v>-0.11114691518484872</v>
      </c>
    </row>
    <row r="731" spans="1:20" x14ac:dyDescent="0.25">
      <c r="A731" s="5">
        <v>43862</v>
      </c>
      <c r="B731">
        <v>0.2412</v>
      </c>
      <c r="C731">
        <v>0.27889999999999998</v>
      </c>
      <c r="D731">
        <v>0.23910000000000001</v>
      </c>
      <c r="E731">
        <v>0.27429999999999999</v>
      </c>
      <c r="F731">
        <v>1412700.05</v>
      </c>
      <c r="G731">
        <v>0</v>
      </c>
      <c r="L731" t="s">
        <v>8</v>
      </c>
      <c r="M731" t="s">
        <v>8</v>
      </c>
      <c r="N731" t="s">
        <v>7</v>
      </c>
      <c r="P731">
        <f t="shared" si="999"/>
        <v>0.76884422110552786</v>
      </c>
      <c r="Q731">
        <f t="shared" si="1000"/>
        <v>1086146.2695979902</v>
      </c>
      <c r="R731">
        <f t="shared" si="1001"/>
        <v>-8826682.9906382635</v>
      </c>
      <c r="S731">
        <f t="shared" si="1002"/>
        <v>-88.26682990638264</v>
      </c>
      <c r="T731">
        <f t="shared" si="1003"/>
        <v>-8.8266829906382641E-2</v>
      </c>
    </row>
    <row r="732" spans="1:20" x14ac:dyDescent="0.25">
      <c r="A732" s="5">
        <v>43861</v>
      </c>
      <c r="B732">
        <v>0.2409</v>
      </c>
      <c r="C732">
        <v>0.24779999999999999</v>
      </c>
      <c r="D732">
        <v>0.23799999999999999</v>
      </c>
      <c r="E732">
        <v>0.2407</v>
      </c>
      <c r="F732">
        <v>541971.54</v>
      </c>
      <c r="G732">
        <v>0</v>
      </c>
      <c r="L732" t="s">
        <v>8</v>
      </c>
      <c r="M732" t="s">
        <v>7</v>
      </c>
      <c r="N732" t="s">
        <v>7</v>
      </c>
      <c r="P732">
        <f t="shared" si="999"/>
        <v>-0.44897959183673325</v>
      </c>
      <c r="Q732">
        <f t="shared" si="1000"/>
        <v>-243334.16081632578</v>
      </c>
      <c r="R732">
        <f t="shared" si="1001"/>
        <v>-9912829.260236254</v>
      </c>
      <c r="S732">
        <f t="shared" si="1002"/>
        <v>-99.128292602362535</v>
      </c>
      <c r="T732">
        <f t="shared" si="1003"/>
        <v>-9.9128292602362542E-2</v>
      </c>
    </row>
    <row r="733" spans="1:20" x14ac:dyDescent="0.25">
      <c r="A733" s="5">
        <v>43860</v>
      </c>
      <c r="B733">
        <v>0.2374</v>
      </c>
      <c r="C733">
        <v>0.24790000000000001</v>
      </c>
      <c r="D733">
        <v>0.2293</v>
      </c>
      <c r="E733">
        <v>0.2404</v>
      </c>
      <c r="F733">
        <v>1088794.95</v>
      </c>
      <c r="G733">
        <v>0</v>
      </c>
      <c r="L733" t="s">
        <v>7</v>
      </c>
      <c r="M733" t="s">
        <v>7</v>
      </c>
      <c r="N733" t="s">
        <v>7</v>
      </c>
      <c r="P733">
        <f t="shared" si="999"/>
        <v>0.19354838709677372</v>
      </c>
      <c r="Q733">
        <f t="shared" si="1000"/>
        <v>210734.50645161237</v>
      </c>
      <c r="R733">
        <f t="shared" si="1001"/>
        <v>-9669495.0994199291</v>
      </c>
      <c r="S733">
        <f t="shared" si="1002"/>
        <v>-96.694950994199289</v>
      </c>
      <c r="T733">
        <f t="shared" si="1003"/>
        <v>-9.6694950994199294E-2</v>
      </c>
    </row>
    <row r="734" spans="1:20" x14ac:dyDescent="0.25">
      <c r="A734" s="5">
        <v>43859</v>
      </c>
      <c r="B734">
        <v>0.24610000000000001</v>
      </c>
      <c r="C734">
        <v>0.24959999999999999</v>
      </c>
      <c r="D734">
        <v>0.23549999999999999</v>
      </c>
      <c r="E734">
        <v>0.2374</v>
      </c>
      <c r="F734">
        <v>1403716.13</v>
      </c>
      <c r="G734">
        <v>0</v>
      </c>
      <c r="L734" t="s">
        <v>7</v>
      </c>
      <c r="M734" t="s">
        <v>7</v>
      </c>
      <c r="N734" t="s">
        <v>7</v>
      </c>
      <c r="P734">
        <f t="shared" si="999"/>
        <v>-0.73049645390070739</v>
      </c>
      <c r="Q734">
        <f t="shared" si="1000"/>
        <v>-1025409.6552482243</v>
      </c>
      <c r="R734">
        <f t="shared" si="1001"/>
        <v>-9880229.6058715414</v>
      </c>
      <c r="S734">
        <f t="shared" si="1002"/>
        <v>-98.802296058715413</v>
      </c>
      <c r="T734">
        <f t="shared" si="1003"/>
        <v>-9.8802296058715419E-2</v>
      </c>
    </row>
    <row r="735" spans="1:20" x14ac:dyDescent="0.25">
      <c r="A735" s="5">
        <v>43858</v>
      </c>
      <c r="B735">
        <v>0.24360000000000001</v>
      </c>
      <c r="C735">
        <v>0.24790000000000001</v>
      </c>
      <c r="D735">
        <v>0.24049999999999999</v>
      </c>
      <c r="E735">
        <v>0.24690000000000001</v>
      </c>
      <c r="F735">
        <v>593052.61</v>
      </c>
      <c r="G735">
        <v>0</v>
      </c>
      <c r="L735" t="s">
        <v>8</v>
      </c>
      <c r="M735" t="s">
        <v>7</v>
      </c>
      <c r="N735" t="s">
        <v>7</v>
      </c>
      <c r="P735">
        <f t="shared" si="999"/>
        <v>0.72972972972973016</v>
      </c>
      <c r="Q735">
        <f t="shared" si="1000"/>
        <v>432768.12081081106</v>
      </c>
      <c r="R735">
        <f t="shared" si="1001"/>
        <v>-8854819.9506233167</v>
      </c>
      <c r="S735">
        <f t="shared" si="1002"/>
        <v>-88.548199506233161</v>
      </c>
      <c r="T735">
        <f t="shared" si="1003"/>
        <v>-8.8548199506233161E-2</v>
      </c>
    </row>
    <row r="736" spans="1:20" x14ac:dyDescent="0.25">
      <c r="A736" s="5">
        <v>43857</v>
      </c>
      <c r="B736">
        <v>0.24429999999999999</v>
      </c>
      <c r="C736">
        <v>0.24809999999999999</v>
      </c>
      <c r="D736">
        <v>0.24160000000000001</v>
      </c>
      <c r="E736">
        <v>0.24299999999999999</v>
      </c>
      <c r="F736">
        <v>606314.72</v>
      </c>
      <c r="G736">
        <v>0</v>
      </c>
      <c r="L736" t="s">
        <v>8</v>
      </c>
      <c r="M736" t="s">
        <v>7</v>
      </c>
      <c r="N736" t="s">
        <v>7</v>
      </c>
      <c r="P736">
        <f t="shared" si="999"/>
        <v>-0.56923076923077254</v>
      </c>
      <c r="Q736">
        <f t="shared" si="1000"/>
        <v>-345132.99446154042</v>
      </c>
      <c r="R736">
        <f t="shared" si="1001"/>
        <v>-9287588.0714341272</v>
      </c>
      <c r="S736">
        <f t="shared" si="1002"/>
        <v>-92.875880714341278</v>
      </c>
      <c r="T736">
        <f t="shared" si="1003"/>
        <v>-9.2875880714341275E-2</v>
      </c>
    </row>
    <row r="737" spans="1:20" x14ac:dyDescent="0.25">
      <c r="A737" s="5">
        <v>43856</v>
      </c>
      <c r="B737">
        <v>0.24329999999999999</v>
      </c>
      <c r="C737">
        <v>0.24979999999999999</v>
      </c>
      <c r="D737">
        <v>0.23780000000000001</v>
      </c>
      <c r="E737">
        <v>0.24490000000000001</v>
      </c>
      <c r="F737">
        <v>791629.23</v>
      </c>
      <c r="G737">
        <v>0</v>
      </c>
      <c r="L737" t="s">
        <v>8</v>
      </c>
      <c r="M737" t="s">
        <v>7</v>
      </c>
      <c r="N737" t="s">
        <v>7</v>
      </c>
      <c r="P737">
        <f t="shared" si="999"/>
        <v>0.18333333333333421</v>
      </c>
      <c r="Q737">
        <f t="shared" si="1000"/>
        <v>145132.02550000069</v>
      </c>
      <c r="R737">
        <f t="shared" si="1001"/>
        <v>-8942455.076972587</v>
      </c>
      <c r="S737">
        <f t="shared" si="1002"/>
        <v>-89.424550769725869</v>
      </c>
      <c r="T737">
        <f t="shared" si="1003"/>
        <v>-8.9424550769725872E-2</v>
      </c>
    </row>
    <row r="738" spans="1:20" x14ac:dyDescent="0.25">
      <c r="A738" s="5">
        <v>43855</v>
      </c>
      <c r="B738">
        <v>0.23200000000000001</v>
      </c>
      <c r="C738">
        <v>0.25069999999999998</v>
      </c>
      <c r="D738">
        <v>0.2253</v>
      </c>
      <c r="E738">
        <v>0.24410000000000001</v>
      </c>
      <c r="F738">
        <v>1209754.8600000001</v>
      </c>
      <c r="G738">
        <v>0</v>
      </c>
      <c r="L738" t="s">
        <v>8</v>
      </c>
      <c r="M738" t="s">
        <v>7</v>
      </c>
      <c r="N738" t="s">
        <v>7</v>
      </c>
      <c r="P738">
        <f t="shared" si="999"/>
        <v>0.4803149606299234</v>
      </c>
      <c r="Q738">
        <f t="shared" si="1000"/>
        <v>581063.35795275855</v>
      </c>
      <c r="R738">
        <f t="shared" si="1001"/>
        <v>-9087587.1024725884</v>
      </c>
      <c r="S738">
        <f t="shared" si="1002"/>
        <v>-90.875871024725882</v>
      </c>
      <c r="T738">
        <f t="shared" si="1003"/>
        <v>-9.0875871024725885E-2</v>
      </c>
    </row>
    <row r="739" spans="1:20" x14ac:dyDescent="0.25">
      <c r="A739" s="5">
        <v>43854</v>
      </c>
      <c r="B739">
        <v>0.23619999999999999</v>
      </c>
      <c r="C739">
        <v>0.23630000000000001</v>
      </c>
      <c r="D739">
        <v>0.224</v>
      </c>
      <c r="E739">
        <v>0.23139999999999999</v>
      </c>
      <c r="F739">
        <v>570591.37</v>
      </c>
      <c r="G739">
        <v>0</v>
      </c>
      <c r="L739" t="s">
        <v>7</v>
      </c>
      <c r="M739" t="s">
        <v>7</v>
      </c>
      <c r="N739" t="s">
        <v>7</v>
      </c>
      <c r="P739">
        <f t="shared" si="999"/>
        <v>0.20325203252032303</v>
      </c>
      <c r="Q739">
        <f t="shared" si="1000"/>
        <v>115973.85569105567</v>
      </c>
      <c r="R739">
        <f t="shared" si="1001"/>
        <v>-9668650.4604253471</v>
      </c>
      <c r="S739">
        <f t="shared" si="1002"/>
        <v>-96.686504604253471</v>
      </c>
      <c r="T739">
        <f t="shared" si="1003"/>
        <v>-9.6686504604253473E-2</v>
      </c>
    </row>
    <row r="740" spans="1:20" x14ac:dyDescent="0.25">
      <c r="A740" s="5">
        <v>43853</v>
      </c>
      <c r="B740">
        <v>0.2472</v>
      </c>
      <c r="C740">
        <v>0.24829999999999999</v>
      </c>
      <c r="D740">
        <v>0.23039999999999999</v>
      </c>
      <c r="E740">
        <v>0.23549999999999999</v>
      </c>
      <c r="F740">
        <v>558184.1</v>
      </c>
      <c r="G740">
        <v>0</v>
      </c>
      <c r="L740" t="s">
        <v>7</v>
      </c>
      <c r="M740" t="s">
        <v>7</v>
      </c>
      <c r="N740" t="s">
        <v>7</v>
      </c>
      <c r="P740">
        <f t="shared" si="999"/>
        <v>-0.43016759776536384</v>
      </c>
      <c r="Q740">
        <f t="shared" si="1000"/>
        <v>-240112.7134078216</v>
      </c>
      <c r="R740">
        <f t="shared" si="1001"/>
        <v>-9784624.3161164019</v>
      </c>
      <c r="S740">
        <f t="shared" si="1002"/>
        <v>-97.846243161164026</v>
      </c>
      <c r="T740">
        <f t="shared" si="1003"/>
        <v>-9.7846243161164026E-2</v>
      </c>
    </row>
    <row r="741" spans="1:20" x14ac:dyDescent="0.25">
      <c r="A741" s="5">
        <v>43852</v>
      </c>
      <c r="B741">
        <v>0.25269999999999998</v>
      </c>
      <c r="C741">
        <v>0.25600000000000001</v>
      </c>
      <c r="D741">
        <v>0.24199999999999999</v>
      </c>
      <c r="E741">
        <v>0.24629999999999999</v>
      </c>
      <c r="F741">
        <v>695532.2</v>
      </c>
      <c r="G741">
        <v>0</v>
      </c>
      <c r="L741" t="s">
        <v>7</v>
      </c>
      <c r="M741" t="s">
        <v>7</v>
      </c>
      <c r="N741" t="s">
        <v>8</v>
      </c>
      <c r="P741">
        <f t="shared" si="999"/>
        <v>-0.38571428571428651</v>
      </c>
      <c r="Q741">
        <f t="shared" si="1000"/>
        <v>-268276.70571428625</v>
      </c>
      <c r="R741">
        <f t="shared" si="1001"/>
        <v>-9544511.60270858</v>
      </c>
      <c r="S741">
        <f t="shared" si="1002"/>
        <v>-95.445116027085803</v>
      </c>
      <c r="T741">
        <f t="shared" si="1003"/>
        <v>-9.5445116027085802E-2</v>
      </c>
    </row>
    <row r="742" spans="1:20" x14ac:dyDescent="0.25">
      <c r="A742" s="5">
        <v>43851</v>
      </c>
      <c r="B742">
        <v>0.25509999999999999</v>
      </c>
      <c r="C742">
        <v>0.25769999999999998</v>
      </c>
      <c r="D742">
        <v>0.24379999999999999</v>
      </c>
      <c r="E742">
        <v>0.25180000000000002</v>
      </c>
      <c r="F742">
        <v>690494.05</v>
      </c>
      <c r="G742">
        <v>0</v>
      </c>
      <c r="L742" t="s">
        <v>7</v>
      </c>
      <c r="M742" t="s">
        <v>7</v>
      </c>
      <c r="N742" t="s">
        <v>8</v>
      </c>
      <c r="P742">
        <f t="shared" si="999"/>
        <v>0.15107913669065284</v>
      </c>
      <c r="Q742">
        <f t="shared" si="1000"/>
        <v>104319.24496403249</v>
      </c>
      <c r="R742">
        <f t="shared" si="1001"/>
        <v>-9276234.8969942946</v>
      </c>
      <c r="S742">
        <f t="shared" si="1002"/>
        <v>-92.762348969942948</v>
      </c>
      <c r="T742">
        <f t="shared" si="1003"/>
        <v>-9.2762348969942954E-2</v>
      </c>
    </row>
    <row r="743" spans="1:20" x14ac:dyDescent="0.25">
      <c r="A743" s="5">
        <v>43850</v>
      </c>
      <c r="B743">
        <v>0.25</v>
      </c>
      <c r="C743">
        <v>0.2591</v>
      </c>
      <c r="D743">
        <v>0.24249999999999999</v>
      </c>
      <c r="E743">
        <v>0.25430000000000003</v>
      </c>
      <c r="F743">
        <v>650613.35</v>
      </c>
      <c r="G743">
        <v>0</v>
      </c>
      <c r="L743" t="s">
        <v>7</v>
      </c>
      <c r="M743" t="s">
        <v>7</v>
      </c>
      <c r="N743" t="s">
        <v>8</v>
      </c>
      <c r="P743">
        <f t="shared" si="999"/>
        <v>0.42168674698795544</v>
      </c>
      <c r="Q743">
        <f t="shared" si="1000"/>
        <v>274355.0271084361</v>
      </c>
      <c r="R743">
        <f t="shared" si="1001"/>
        <v>-9380554.141958328</v>
      </c>
      <c r="S743">
        <f t="shared" si="1002"/>
        <v>-93.805541419583278</v>
      </c>
      <c r="T743">
        <f t="shared" si="1003"/>
        <v>-9.3805541419583277E-2</v>
      </c>
    </row>
    <row r="744" spans="1:20" x14ac:dyDescent="0.25">
      <c r="A744" s="5">
        <v>43849</v>
      </c>
      <c r="B744">
        <v>0.26469999999999999</v>
      </c>
      <c r="C744">
        <v>0.26939999999999997</v>
      </c>
      <c r="D744">
        <v>0.24110000000000001</v>
      </c>
      <c r="E744">
        <v>0.25059999999999999</v>
      </c>
      <c r="F744">
        <v>1112662.27</v>
      </c>
      <c r="G744">
        <v>0</v>
      </c>
      <c r="L744" t="s">
        <v>7</v>
      </c>
      <c r="M744" t="s">
        <v>7</v>
      </c>
      <c r="N744" t="s">
        <v>8</v>
      </c>
      <c r="P744">
        <f t="shared" si="999"/>
        <v>-0.32862190812720898</v>
      </c>
      <c r="Q744">
        <f t="shared" si="1000"/>
        <v>-365645.19826855179</v>
      </c>
      <c r="R744">
        <f t="shared" si="1001"/>
        <v>-9654909.1690667644</v>
      </c>
      <c r="S744">
        <f t="shared" si="1002"/>
        <v>-96.549091690667638</v>
      </c>
      <c r="T744">
        <f t="shared" si="1003"/>
        <v>-9.6549091690667638E-2</v>
      </c>
    </row>
    <row r="745" spans="1:20" x14ac:dyDescent="0.25">
      <c r="A745" s="5">
        <v>43848</v>
      </c>
      <c r="B745">
        <v>0.28199999999999997</v>
      </c>
      <c r="C745">
        <v>0.29649999999999999</v>
      </c>
      <c r="D745">
        <v>0.26400000000000001</v>
      </c>
      <c r="E745">
        <v>0.26479999999999998</v>
      </c>
      <c r="F745">
        <v>1154360.33</v>
      </c>
      <c r="G745">
        <v>0</v>
      </c>
      <c r="L745" t="s">
        <v>7</v>
      </c>
      <c r="M745" t="s">
        <v>7</v>
      </c>
      <c r="N745" t="s">
        <v>8</v>
      </c>
      <c r="P745">
        <f t="shared" si="999"/>
        <v>-0.9507692307692327</v>
      </c>
      <c r="Q745">
        <f t="shared" si="1000"/>
        <v>-1097530.2829846176</v>
      </c>
      <c r="R745">
        <f t="shared" si="1001"/>
        <v>-9289263.970798213</v>
      </c>
      <c r="S745">
        <f t="shared" si="1002"/>
        <v>-92.892639707982127</v>
      </c>
      <c r="T745">
        <f t="shared" si="1003"/>
        <v>-9.289263970798213E-2</v>
      </c>
    </row>
    <row r="746" spans="1:20" x14ac:dyDescent="0.25">
      <c r="A746" s="5">
        <v>43847</v>
      </c>
      <c r="B746">
        <v>0.28179999999999999</v>
      </c>
      <c r="C746">
        <v>0.30359999999999998</v>
      </c>
      <c r="D746">
        <v>0.27</v>
      </c>
      <c r="E746">
        <v>0.28100000000000003</v>
      </c>
      <c r="F746">
        <v>2426588.1</v>
      </c>
      <c r="G746">
        <v>0</v>
      </c>
      <c r="L746" t="s">
        <v>7</v>
      </c>
      <c r="M746" t="s">
        <v>8</v>
      </c>
      <c r="N746" t="s">
        <v>8</v>
      </c>
      <c r="P746">
        <f t="shared" si="999"/>
        <v>-0.34523809523809396</v>
      </c>
      <c r="Q746">
        <f t="shared" si="1000"/>
        <v>-837750.65357142547</v>
      </c>
      <c r="R746">
        <f t="shared" si="1001"/>
        <v>-8191733.6878135949</v>
      </c>
      <c r="S746">
        <f t="shared" si="1002"/>
        <v>-81.917336878135956</v>
      </c>
      <c r="T746">
        <f t="shared" si="1003"/>
        <v>-8.191733687813596E-2</v>
      </c>
    </row>
    <row r="747" spans="1:20" x14ac:dyDescent="0.25">
      <c r="A747" s="5">
        <v>43846</v>
      </c>
      <c r="B747">
        <v>0.246</v>
      </c>
      <c r="C747">
        <v>0.31900000000000001</v>
      </c>
      <c r="D747">
        <v>0.2452</v>
      </c>
      <c r="E747">
        <v>0.28160000000000002</v>
      </c>
      <c r="F747">
        <v>5492748.5599999996</v>
      </c>
      <c r="G747">
        <v>0</v>
      </c>
      <c r="L747" t="s">
        <v>8</v>
      </c>
      <c r="M747" t="s">
        <v>8</v>
      </c>
      <c r="N747" t="s">
        <v>8</v>
      </c>
      <c r="P747">
        <f t="shared" si="999"/>
        <v>-1.3550135501354648E-2</v>
      </c>
      <c r="Q747">
        <f t="shared" si="1000"/>
        <v>-74427.487262870622</v>
      </c>
      <c r="R747">
        <f t="shared" si="1001"/>
        <v>-7353983.034242169</v>
      </c>
      <c r="S747">
        <f t="shared" si="1002"/>
        <v>-73.539830342421695</v>
      </c>
      <c r="T747">
        <f t="shared" si="1003"/>
        <v>-7.3539830342421689E-2</v>
      </c>
    </row>
    <row r="748" spans="1:20" x14ac:dyDescent="0.25">
      <c r="A748" s="5">
        <v>43845</v>
      </c>
      <c r="B748">
        <v>0.21840000000000001</v>
      </c>
      <c r="C748">
        <v>0.25540000000000002</v>
      </c>
      <c r="D748">
        <v>0.21310000000000001</v>
      </c>
      <c r="E748">
        <v>0.246</v>
      </c>
      <c r="F748">
        <v>2290976.5499999998</v>
      </c>
      <c r="G748">
        <v>0</v>
      </c>
      <c r="L748" t="s">
        <v>8</v>
      </c>
      <c r="M748" t="s">
        <v>8</v>
      </c>
      <c r="N748" t="s">
        <v>7</v>
      </c>
      <c r="P748">
        <f t="shared" si="999"/>
        <v>0.55555555555555469</v>
      </c>
      <c r="Q748">
        <f t="shared" si="1000"/>
        <v>1272764.7499999979</v>
      </c>
      <c r="R748">
        <f t="shared" si="1001"/>
        <v>-7279555.5469792988</v>
      </c>
      <c r="S748">
        <f t="shared" si="1002"/>
        <v>-72.795555469792987</v>
      </c>
      <c r="T748">
        <f t="shared" si="1003"/>
        <v>-7.279555546979298E-2</v>
      </c>
    </row>
    <row r="749" spans="1:20" x14ac:dyDescent="0.25">
      <c r="A749" s="5">
        <v>43844</v>
      </c>
      <c r="B749">
        <v>0.21679999999999999</v>
      </c>
      <c r="C749">
        <v>0.22509999999999999</v>
      </c>
      <c r="D749">
        <v>0.2102</v>
      </c>
      <c r="E749">
        <v>0.219</v>
      </c>
      <c r="F749">
        <v>1275506.6599999999</v>
      </c>
      <c r="G749">
        <v>0</v>
      </c>
      <c r="L749" t="s">
        <v>7</v>
      </c>
      <c r="M749" t="s">
        <v>7</v>
      </c>
      <c r="N749" t="s">
        <v>7</v>
      </c>
      <c r="P749">
        <f t="shared" si="999"/>
        <v>0.18120805369127574</v>
      </c>
      <c r="Q749">
        <f t="shared" si="1000"/>
        <v>231132.07932885978</v>
      </c>
      <c r="R749">
        <f t="shared" si="1001"/>
        <v>-8552320.296979297</v>
      </c>
      <c r="S749">
        <f t="shared" si="1002"/>
        <v>-85.523202969792976</v>
      </c>
      <c r="T749">
        <f t="shared" si="1003"/>
        <v>-8.5523202969792975E-2</v>
      </c>
    </row>
    <row r="750" spans="1:20" x14ac:dyDescent="0.25">
      <c r="A750" s="5">
        <v>43843</v>
      </c>
      <c r="B750">
        <v>0.22070000000000001</v>
      </c>
      <c r="C750">
        <v>0.22550000000000001</v>
      </c>
      <c r="D750">
        <v>0.2142</v>
      </c>
      <c r="E750">
        <v>0.21790000000000001</v>
      </c>
      <c r="F750">
        <v>576477.42000000004</v>
      </c>
      <c r="G750">
        <v>0</v>
      </c>
      <c r="L750" t="s">
        <v>7</v>
      </c>
      <c r="M750" t="s">
        <v>7</v>
      </c>
      <c r="N750" t="s">
        <v>7</v>
      </c>
      <c r="P750">
        <f t="shared" si="999"/>
        <v>-0.34513274336283056</v>
      </c>
      <c r="Q750">
        <f t="shared" si="1000"/>
        <v>-198961.2334513267</v>
      </c>
      <c r="R750">
        <f t="shared" si="1001"/>
        <v>-8783452.3763081562</v>
      </c>
      <c r="S750">
        <f t="shared" si="1002"/>
        <v>-87.834523763081563</v>
      </c>
      <c r="T750">
        <f t="shared" si="1003"/>
        <v>-8.7834523763081568E-2</v>
      </c>
    </row>
    <row r="751" spans="1:20" x14ac:dyDescent="0.25">
      <c r="A751" s="5">
        <v>43842</v>
      </c>
      <c r="B751">
        <v>0.21629999999999999</v>
      </c>
      <c r="C751">
        <v>0.22270000000000001</v>
      </c>
      <c r="D751">
        <v>0.2122</v>
      </c>
      <c r="E751">
        <v>0.221</v>
      </c>
      <c r="F751">
        <v>986405.39</v>
      </c>
      <c r="G751">
        <v>0</v>
      </c>
      <c r="L751" t="s">
        <v>7</v>
      </c>
      <c r="M751" t="s">
        <v>7</v>
      </c>
      <c r="N751" t="s">
        <v>7</v>
      </c>
      <c r="P751">
        <f t="shared" si="999"/>
        <v>0.67619047619047512</v>
      </c>
      <c r="Q751">
        <f t="shared" si="1000"/>
        <v>666997.93038095138</v>
      </c>
      <c r="R751">
        <f t="shared" si="1001"/>
        <v>-8584491.1428568289</v>
      </c>
      <c r="S751">
        <f t="shared" si="1002"/>
        <v>-85.844911428568295</v>
      </c>
      <c r="T751">
        <f t="shared" si="1003"/>
        <v>-8.5844911428568302E-2</v>
      </c>
    </row>
    <row r="752" spans="1:20" x14ac:dyDescent="0.25">
      <c r="A752" s="5">
        <v>43841</v>
      </c>
      <c r="B752">
        <v>0.2147</v>
      </c>
      <c r="C752">
        <v>0.222</v>
      </c>
      <c r="D752">
        <v>0.2135</v>
      </c>
      <c r="E752">
        <v>0.21529999999999999</v>
      </c>
      <c r="F752">
        <v>556733.68000000005</v>
      </c>
      <c r="G752">
        <v>0</v>
      </c>
      <c r="L752" t="s">
        <v>7</v>
      </c>
      <c r="M752" t="s">
        <v>7</v>
      </c>
      <c r="N752" t="s">
        <v>7</v>
      </c>
      <c r="P752">
        <f t="shared" si="999"/>
        <v>-0.5764705882352954</v>
      </c>
      <c r="Q752">
        <f t="shared" si="1000"/>
        <v>-320940.59200000076</v>
      </c>
      <c r="R752">
        <f t="shared" si="1001"/>
        <v>-9251489.0732377805</v>
      </c>
      <c r="S752">
        <f t="shared" si="1002"/>
        <v>-92.514890732377808</v>
      </c>
      <c r="T752">
        <f t="shared" si="1003"/>
        <v>-9.2514890732377814E-2</v>
      </c>
    </row>
    <row r="753" spans="1:20" x14ac:dyDescent="0.25">
      <c r="A753" s="5">
        <v>43840</v>
      </c>
      <c r="B753">
        <v>0.21840000000000001</v>
      </c>
      <c r="C753">
        <v>0.22439999999999999</v>
      </c>
      <c r="D753">
        <v>0.21079999999999999</v>
      </c>
      <c r="E753">
        <v>0.21540000000000001</v>
      </c>
      <c r="F753">
        <v>762672.79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-0.3235294117647029</v>
      </c>
      <c r="Q753">
        <f t="shared" si="1000"/>
        <v>-246747.07911764481</v>
      </c>
      <c r="R753">
        <f t="shared" si="1001"/>
        <v>-8930548.4812377803</v>
      </c>
      <c r="S753">
        <f t="shared" si="1002"/>
        <v>-89.305484812377799</v>
      </c>
      <c r="T753">
        <f t="shared" si="1003"/>
        <v>-8.9305484812377794E-2</v>
      </c>
    </row>
    <row r="754" spans="1:20" x14ac:dyDescent="0.25">
      <c r="A754" s="5">
        <v>43839</v>
      </c>
      <c r="B754">
        <v>0.2261</v>
      </c>
      <c r="C754">
        <v>0.22789999999999999</v>
      </c>
      <c r="D754">
        <v>0.21609999999999999</v>
      </c>
      <c r="E754">
        <v>0.2172</v>
      </c>
      <c r="F754">
        <v>469483.68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-0.81355932203389536</v>
      </c>
      <c r="Q754">
        <f t="shared" si="1000"/>
        <v>-381952.82440677827</v>
      </c>
      <c r="R754">
        <f t="shared" si="1001"/>
        <v>-8683801.4021201357</v>
      </c>
      <c r="S754">
        <f t="shared" si="1002"/>
        <v>-86.83801402120136</v>
      </c>
      <c r="T754">
        <f t="shared" si="1003"/>
        <v>-8.6838014021201365E-2</v>
      </c>
    </row>
    <row r="755" spans="1:20" x14ac:dyDescent="0.25">
      <c r="A755" s="5">
        <v>43838</v>
      </c>
      <c r="B755">
        <v>0.2286</v>
      </c>
      <c r="C755">
        <v>0.23419999999999999</v>
      </c>
      <c r="D755">
        <v>0.216</v>
      </c>
      <c r="E755">
        <v>0.22500000000000001</v>
      </c>
      <c r="F755">
        <v>1394713.58</v>
      </c>
      <c r="G755">
        <v>0</v>
      </c>
      <c r="L755" t="s">
        <v>7</v>
      </c>
      <c r="M755" t="s">
        <v>7</v>
      </c>
      <c r="N755" t="s">
        <v>7</v>
      </c>
      <c r="P755">
        <f t="shared" si="999"/>
        <v>-1.0989010989009783E-2</v>
      </c>
      <c r="Q755">
        <f t="shared" si="1000"/>
        <v>-15326.522857141175</v>
      </c>
      <c r="R755">
        <f t="shared" si="1001"/>
        <v>-8301848.5777133573</v>
      </c>
      <c r="S755">
        <f t="shared" si="1002"/>
        <v>-83.018485777133577</v>
      </c>
      <c r="T755">
        <f t="shared" si="1003"/>
        <v>-8.3018485777133583E-2</v>
      </c>
    </row>
    <row r="756" spans="1:20" x14ac:dyDescent="0.25">
      <c r="A756" s="5">
        <v>43837</v>
      </c>
      <c r="B756">
        <v>0.23180000000000001</v>
      </c>
      <c r="C756">
        <v>0.2379</v>
      </c>
      <c r="D756">
        <v>0.22559999999999999</v>
      </c>
      <c r="E756">
        <v>0.22939999999999999</v>
      </c>
      <c r="F756">
        <v>650048.31000000006</v>
      </c>
      <c r="G756">
        <v>0</v>
      </c>
      <c r="L756" t="s">
        <v>7</v>
      </c>
      <c r="M756" t="s">
        <v>7</v>
      </c>
      <c r="N756" t="s">
        <v>7</v>
      </c>
      <c r="P756">
        <f t="shared" si="999"/>
        <v>-0.38211382113821202</v>
      </c>
      <c r="Q756">
        <f t="shared" si="1000"/>
        <v>-248392.44365853703</v>
      </c>
      <c r="R756">
        <f t="shared" si="1001"/>
        <v>-8286522.0548562165</v>
      </c>
      <c r="S756">
        <f t="shared" si="1002"/>
        <v>-82.865220548562164</v>
      </c>
      <c r="T756">
        <f t="shared" si="1003"/>
        <v>-8.2865220548562157E-2</v>
      </c>
    </row>
    <row r="757" spans="1:20" x14ac:dyDescent="0.25">
      <c r="A757" s="5">
        <v>43836</v>
      </c>
      <c r="B757">
        <v>0.22969999999999999</v>
      </c>
      <c r="C757">
        <v>0.2379</v>
      </c>
      <c r="D757">
        <v>0.2268</v>
      </c>
      <c r="E757">
        <v>0.2301</v>
      </c>
      <c r="F757">
        <v>1233780.6200000001</v>
      </c>
      <c r="G757">
        <v>0</v>
      </c>
      <c r="L757" t="s">
        <v>8</v>
      </c>
      <c r="M757" t="s">
        <v>7</v>
      </c>
      <c r="N757" t="s">
        <v>7</v>
      </c>
      <c r="P757">
        <f t="shared" si="999"/>
        <v>-0.40540540540540582</v>
      </c>
      <c r="Q757">
        <f t="shared" si="1000"/>
        <v>-500181.33243243297</v>
      </c>
      <c r="R757">
        <f t="shared" si="1001"/>
        <v>-8038129.6111976793</v>
      </c>
      <c r="S757">
        <f t="shared" si="1002"/>
        <v>-80.381296111976795</v>
      </c>
      <c r="T757">
        <f t="shared" si="1003"/>
        <v>-8.0381296111976794E-2</v>
      </c>
    </row>
    <row r="758" spans="1:20" x14ac:dyDescent="0.25">
      <c r="A758" s="5">
        <v>43835</v>
      </c>
      <c r="B758">
        <v>0.23269999999999999</v>
      </c>
      <c r="C758">
        <v>0.24260000000000001</v>
      </c>
      <c r="D758">
        <v>0.22600000000000001</v>
      </c>
      <c r="E758">
        <v>0.2288</v>
      </c>
      <c r="F758">
        <v>1129081.27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-0.66265060240963902</v>
      </c>
      <c r="Q758">
        <f t="shared" si="1000"/>
        <v>-748186.38373494032</v>
      </c>
      <c r="R758">
        <f t="shared" si="1001"/>
        <v>-7537948.2787652463</v>
      </c>
      <c r="S758">
        <f t="shared" si="1002"/>
        <v>-75.379482787652464</v>
      </c>
      <c r="T758">
        <f t="shared" si="1003"/>
        <v>-7.5379482787652469E-2</v>
      </c>
    </row>
    <row r="759" spans="1:20" x14ac:dyDescent="0.25">
      <c r="A759" s="5">
        <v>43834</v>
      </c>
      <c r="B759">
        <v>0.2233</v>
      </c>
      <c r="C759">
        <v>0.2339</v>
      </c>
      <c r="D759">
        <v>0.22189999999999999</v>
      </c>
      <c r="E759">
        <v>0.23269999999999999</v>
      </c>
      <c r="F759">
        <v>444931.11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0.79999999999999905</v>
      </c>
      <c r="Q759">
        <f t="shared" si="1000"/>
        <v>355944.88799999957</v>
      </c>
      <c r="R759">
        <f t="shared" si="1001"/>
        <v>-6789761.8950303057</v>
      </c>
      <c r="S759">
        <f t="shared" si="1002"/>
        <v>-67.897618950303055</v>
      </c>
      <c r="T759">
        <f t="shared" si="1003"/>
        <v>-6.7897618950303051E-2</v>
      </c>
    </row>
    <row r="760" spans="1:20" x14ac:dyDescent="0.25">
      <c r="A760" s="5">
        <v>43833</v>
      </c>
      <c r="B760">
        <v>0.21460000000000001</v>
      </c>
      <c r="C760">
        <v>0.22739999999999999</v>
      </c>
      <c r="D760">
        <v>0.20580000000000001</v>
      </c>
      <c r="E760">
        <v>0.22259999999999999</v>
      </c>
      <c r="F760">
        <v>1188290.02</v>
      </c>
      <c r="G760">
        <v>0</v>
      </c>
      <c r="L760" t="s">
        <v>7</v>
      </c>
      <c r="M760" t="s">
        <v>7</v>
      </c>
      <c r="N760" t="s">
        <v>7</v>
      </c>
      <c r="P760">
        <f t="shared" si="999"/>
        <v>0.55555555555555525</v>
      </c>
      <c r="Q760">
        <f t="shared" si="1000"/>
        <v>660161.12222222192</v>
      </c>
      <c r="R760">
        <f t="shared" si="1001"/>
        <v>-7145706.7830303051</v>
      </c>
      <c r="S760">
        <f t="shared" si="1002"/>
        <v>-71.457067830303046</v>
      </c>
      <c r="T760">
        <f t="shared" si="1003"/>
        <v>-7.1457067830303048E-2</v>
      </c>
    </row>
    <row r="761" spans="1:20" x14ac:dyDescent="0.25">
      <c r="A761" s="5">
        <v>43832</v>
      </c>
      <c r="B761">
        <v>0.22770000000000001</v>
      </c>
      <c r="C761">
        <v>0.22950000000000001</v>
      </c>
      <c r="D761">
        <v>0.21149999999999999</v>
      </c>
      <c r="E761">
        <v>0.21560000000000001</v>
      </c>
      <c r="F761">
        <v>1166093.05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-0.54444444444444262</v>
      </c>
      <c r="Q761">
        <f t="shared" si="1000"/>
        <v>-634872.88277777564</v>
      </c>
      <c r="R761">
        <f t="shared" si="1001"/>
        <v>-7805867.9052525265</v>
      </c>
      <c r="S761">
        <f t="shared" si="1002"/>
        <v>-78.058679052525264</v>
      </c>
      <c r="T761">
        <f t="shared" si="1003"/>
        <v>-7.8058679052525268E-2</v>
      </c>
    </row>
    <row r="762" spans="1:20" x14ac:dyDescent="0.25">
      <c r="A762" s="5">
        <v>43831</v>
      </c>
      <c r="B762">
        <v>0.23050000000000001</v>
      </c>
      <c r="C762">
        <v>0.23380000000000001</v>
      </c>
      <c r="D762">
        <v>0.22489999999999999</v>
      </c>
      <c r="E762">
        <v>0.22770000000000001</v>
      </c>
      <c r="F762">
        <v>1070489.32</v>
      </c>
      <c r="G762">
        <v>0</v>
      </c>
      <c r="L762" t="s">
        <v>7</v>
      </c>
      <c r="M762" t="s">
        <v>7</v>
      </c>
      <c r="N762" t="s">
        <v>7</v>
      </c>
      <c r="P762">
        <f t="shared" si="999"/>
        <v>-0.37078651685392838</v>
      </c>
      <c r="Q762">
        <f t="shared" si="1000"/>
        <v>-396923.00629213033</v>
      </c>
      <c r="R762">
        <f t="shared" si="1001"/>
        <v>-7170995.0224747509</v>
      </c>
      <c r="S762">
        <f t="shared" si="1002"/>
        <v>-71.709950224747516</v>
      </c>
      <c r="T762">
        <f t="shared" si="1003"/>
        <v>-7.1709950224747521E-2</v>
      </c>
    </row>
    <row r="763" spans="1:20" x14ac:dyDescent="0.25">
      <c r="A763" s="5">
        <v>43830</v>
      </c>
      <c r="B763">
        <v>0.24110000000000001</v>
      </c>
      <c r="C763">
        <v>0.2417</v>
      </c>
      <c r="D763">
        <v>0.2276</v>
      </c>
      <c r="E763">
        <v>0.22950000000000001</v>
      </c>
      <c r="F763">
        <v>1440725.46</v>
      </c>
      <c r="G763">
        <v>0</v>
      </c>
      <c r="L763" t="s">
        <v>7</v>
      </c>
      <c r="M763" t="s">
        <v>7</v>
      </c>
      <c r="N763" t="s">
        <v>7</v>
      </c>
      <c r="P763">
        <f t="shared" si="999"/>
        <v>-0.73049645390070739</v>
      </c>
      <c r="Q763">
        <f t="shared" si="1000"/>
        <v>-1052444.8395744655</v>
      </c>
      <c r="R763">
        <f t="shared" si="1001"/>
        <v>-6774072.016182621</v>
      </c>
      <c r="S763">
        <f t="shared" si="1002"/>
        <v>-67.740720161826204</v>
      </c>
      <c r="T763">
        <f t="shared" si="1003"/>
        <v>-6.7740720161826209E-2</v>
      </c>
    </row>
    <row r="764" spans="1:20" x14ac:dyDescent="0.25">
      <c r="A764" s="5">
        <v>43829</v>
      </c>
      <c r="B764">
        <v>0.2437</v>
      </c>
      <c r="C764">
        <v>0.24629999999999999</v>
      </c>
      <c r="D764">
        <v>0.24099999999999999</v>
      </c>
      <c r="E764">
        <v>0.2412</v>
      </c>
      <c r="F764">
        <v>543490.52</v>
      </c>
      <c r="G764">
        <v>0</v>
      </c>
      <c r="L764" t="s">
        <v>7</v>
      </c>
      <c r="M764" t="s">
        <v>7</v>
      </c>
      <c r="N764" t="s">
        <v>7</v>
      </c>
      <c r="P764">
        <f t="shared" si="999"/>
        <v>-0.92452830188679025</v>
      </c>
      <c r="Q764">
        <f t="shared" si="1000"/>
        <v>-502472.36754716863</v>
      </c>
      <c r="R764">
        <f t="shared" si="1001"/>
        <v>-5721627.1766081555</v>
      </c>
      <c r="S764">
        <f t="shared" si="1002"/>
        <v>-57.216271766081555</v>
      </c>
      <c r="T764">
        <f t="shared" si="1003"/>
        <v>-5.7216271766081551E-2</v>
      </c>
    </row>
    <row r="765" spans="1:20" x14ac:dyDescent="0.25">
      <c r="A765" s="5">
        <v>43828</v>
      </c>
      <c r="B765">
        <v>0.2432</v>
      </c>
      <c r="C765">
        <v>0.248</v>
      </c>
      <c r="D765">
        <v>0.2417</v>
      </c>
      <c r="E765">
        <v>0.24490000000000001</v>
      </c>
      <c r="F765">
        <v>495123.62</v>
      </c>
      <c r="G765">
        <v>0</v>
      </c>
      <c r="L765" t="s">
        <v>7</v>
      </c>
      <c r="M765" t="s">
        <v>7</v>
      </c>
      <c r="N765" t="s">
        <v>7</v>
      </c>
      <c r="P765">
        <f t="shared" si="999"/>
        <v>1.587301587301853E-2</v>
      </c>
      <c r="Q765">
        <f t="shared" si="1000"/>
        <v>7859.1050793663944</v>
      </c>
      <c r="R765">
        <f t="shared" si="1001"/>
        <v>-5219154.8090609871</v>
      </c>
      <c r="S765">
        <f t="shared" si="1002"/>
        <v>-52.191548090609871</v>
      </c>
      <c r="T765">
        <f t="shared" si="1003"/>
        <v>-5.2191548090609871E-2</v>
      </c>
    </row>
    <row r="766" spans="1:20" x14ac:dyDescent="0.25">
      <c r="A766" s="5">
        <v>43827</v>
      </c>
      <c r="B766">
        <v>0.24390000000000001</v>
      </c>
      <c r="C766">
        <v>0.24729999999999999</v>
      </c>
      <c r="D766">
        <v>0.24260000000000001</v>
      </c>
      <c r="E766">
        <v>0.24379999999999999</v>
      </c>
      <c r="F766">
        <v>260710.53</v>
      </c>
      <c r="G766">
        <v>0</v>
      </c>
      <c r="L766" t="s">
        <v>7</v>
      </c>
      <c r="M766" t="s">
        <v>7</v>
      </c>
      <c r="N766" t="s">
        <v>7</v>
      </c>
      <c r="P766">
        <f t="shared" si="999"/>
        <v>-0.48936170212766661</v>
      </c>
      <c r="Q766">
        <f t="shared" si="1000"/>
        <v>-127581.74872340608</v>
      </c>
      <c r="R766">
        <f t="shared" si="1001"/>
        <v>-5227013.9141403539</v>
      </c>
      <c r="S766">
        <f t="shared" si="1002"/>
        <v>-52.27013914140354</v>
      </c>
      <c r="T766">
        <f t="shared" si="1003"/>
        <v>-5.2270139141403542E-2</v>
      </c>
    </row>
    <row r="767" spans="1:20" x14ac:dyDescent="0.25">
      <c r="A767" s="5">
        <v>43826</v>
      </c>
      <c r="B767">
        <v>0.24060000000000001</v>
      </c>
      <c r="C767">
        <v>0.2482</v>
      </c>
      <c r="D767">
        <v>0.2379</v>
      </c>
      <c r="E767">
        <v>0.24399999999999999</v>
      </c>
      <c r="F767">
        <v>517068.3</v>
      </c>
      <c r="G767">
        <v>0</v>
      </c>
      <c r="L767" t="s">
        <v>7</v>
      </c>
      <c r="M767" t="s">
        <v>7</v>
      </c>
      <c r="N767" t="s">
        <v>7</v>
      </c>
      <c r="P767">
        <f t="shared" ref="P767:P830" si="1004">IF(C767=D767,0,((E767-D767)-(C767-E767))/(C767-D767))</f>
        <v>0.1844660194174742</v>
      </c>
      <c r="Q767">
        <f t="shared" ref="Q767:Q830" si="1005">F767*P767</f>
        <v>95381.531067960372</v>
      </c>
      <c r="R767">
        <f t="shared" ref="R767:R830" si="1006">R768+Q767</f>
        <v>-5099432.1654169476</v>
      </c>
      <c r="S767">
        <f t="shared" ref="S767:S830" si="1007">R767/100000</f>
        <v>-50.994321654169475</v>
      </c>
      <c r="T767">
        <f t="shared" ref="T767:T830" si="1008">S767/1000</f>
        <v>-5.0994321654169478E-2</v>
      </c>
    </row>
    <row r="768" spans="1:20" x14ac:dyDescent="0.25">
      <c r="A768" s="5">
        <v>43825</v>
      </c>
      <c r="B768">
        <v>0.24510000000000001</v>
      </c>
      <c r="C768">
        <v>0.25280000000000002</v>
      </c>
      <c r="D768">
        <v>0.2387</v>
      </c>
      <c r="E768">
        <v>0.24079999999999999</v>
      </c>
      <c r="F768">
        <v>442802.87</v>
      </c>
      <c r="G768">
        <v>0</v>
      </c>
      <c r="L768" t="s">
        <v>7</v>
      </c>
      <c r="M768" t="s">
        <v>7</v>
      </c>
      <c r="N768" t="s">
        <v>7</v>
      </c>
      <c r="P768">
        <f t="shared" si="1004"/>
        <v>-0.70212765957446999</v>
      </c>
      <c r="Q768">
        <f t="shared" si="1005"/>
        <v>-310904.14276595827</v>
      </c>
      <c r="R768">
        <f t="shared" si="1006"/>
        <v>-5194813.6964849075</v>
      </c>
      <c r="S768">
        <f t="shared" si="1007"/>
        <v>-51.948136964849077</v>
      </c>
      <c r="T768">
        <f t="shared" si="1008"/>
        <v>-5.1948136964849075E-2</v>
      </c>
    </row>
    <row r="769" spans="1:20" x14ac:dyDescent="0.25">
      <c r="A769" s="5">
        <v>43824</v>
      </c>
      <c r="B769">
        <v>0.2472</v>
      </c>
      <c r="C769">
        <v>0.24759999999999999</v>
      </c>
      <c r="D769">
        <v>0.2394</v>
      </c>
      <c r="E769">
        <v>0.24510000000000001</v>
      </c>
      <c r="F769">
        <v>323054.11</v>
      </c>
      <c r="G769">
        <v>0</v>
      </c>
      <c r="L769" t="s">
        <v>7</v>
      </c>
      <c r="M769" t="s">
        <v>7</v>
      </c>
      <c r="N769" t="s">
        <v>7</v>
      </c>
      <c r="P769">
        <f t="shared" si="1004"/>
        <v>0.39024390243902951</v>
      </c>
      <c r="Q769">
        <f t="shared" si="1005"/>
        <v>126069.8965853675</v>
      </c>
      <c r="R769">
        <f t="shared" si="1006"/>
        <v>-4883909.5537189497</v>
      </c>
      <c r="S769">
        <f t="shared" si="1007"/>
        <v>-48.839095537189493</v>
      </c>
      <c r="T769">
        <f t="shared" si="1008"/>
        <v>-4.8839095537189493E-2</v>
      </c>
    </row>
    <row r="770" spans="1:20" x14ac:dyDescent="0.25">
      <c r="A770" s="5">
        <v>43823</v>
      </c>
      <c r="B770">
        <v>0.24</v>
      </c>
      <c r="C770">
        <v>0.24909999999999999</v>
      </c>
      <c r="D770">
        <v>0.23980000000000001</v>
      </c>
      <c r="E770">
        <v>0.24540000000000001</v>
      </c>
      <c r="F770">
        <v>473295.6</v>
      </c>
      <c r="G770">
        <v>0</v>
      </c>
      <c r="L770" t="s">
        <v>7</v>
      </c>
      <c r="M770" t="s">
        <v>7</v>
      </c>
      <c r="N770" t="s">
        <v>7</v>
      </c>
      <c r="P770">
        <f t="shared" si="1004"/>
        <v>0.20430107526881913</v>
      </c>
      <c r="Q770">
        <f t="shared" si="1005"/>
        <v>96694.800000000905</v>
      </c>
      <c r="R770">
        <f t="shared" si="1006"/>
        <v>-5009979.4503043173</v>
      </c>
      <c r="S770">
        <f t="shared" si="1007"/>
        <v>-50.099794503043171</v>
      </c>
      <c r="T770">
        <f t="shared" si="1008"/>
        <v>-5.0099794503043173E-2</v>
      </c>
    </row>
    <row r="771" spans="1:20" x14ac:dyDescent="0.25">
      <c r="A771" s="5">
        <v>43822</v>
      </c>
      <c r="B771">
        <v>0.25469999999999998</v>
      </c>
      <c r="C771">
        <v>0.25740000000000002</v>
      </c>
      <c r="D771">
        <v>0.23830000000000001</v>
      </c>
      <c r="E771">
        <v>0.24</v>
      </c>
      <c r="F771">
        <v>389907.65</v>
      </c>
      <c r="G771">
        <v>0</v>
      </c>
      <c r="L771" t="s">
        <v>7</v>
      </c>
      <c r="M771" t="s">
        <v>7</v>
      </c>
      <c r="N771" t="s">
        <v>7</v>
      </c>
      <c r="P771">
        <f t="shared" si="1004"/>
        <v>-0.82198952879581377</v>
      </c>
      <c r="Q771">
        <f t="shared" si="1005"/>
        <v>-320500.00549738307</v>
      </c>
      <c r="R771">
        <f t="shared" si="1006"/>
        <v>-5106674.250304318</v>
      </c>
      <c r="S771">
        <f t="shared" si="1007"/>
        <v>-51.06674250304318</v>
      </c>
      <c r="T771">
        <f t="shared" si="1008"/>
        <v>-5.1066742503043182E-2</v>
      </c>
    </row>
    <row r="772" spans="1:20" x14ac:dyDescent="0.25">
      <c r="A772" s="5">
        <v>43821</v>
      </c>
      <c r="B772">
        <v>0.25</v>
      </c>
      <c r="C772">
        <v>0.25700000000000001</v>
      </c>
      <c r="D772">
        <v>0.249</v>
      </c>
      <c r="E772">
        <v>0.254</v>
      </c>
      <c r="F772">
        <v>152835.49</v>
      </c>
      <c r="G772">
        <v>0</v>
      </c>
      <c r="L772" t="s">
        <v>8</v>
      </c>
      <c r="M772" t="s">
        <v>7</v>
      </c>
      <c r="N772" t="s">
        <v>7</v>
      </c>
      <c r="P772">
        <f t="shared" si="1004"/>
        <v>0.25</v>
      </c>
      <c r="Q772">
        <f t="shared" si="1005"/>
        <v>38208.872499999998</v>
      </c>
      <c r="R772">
        <f t="shared" si="1006"/>
        <v>-4786174.2448069351</v>
      </c>
      <c r="S772">
        <f t="shared" si="1007"/>
        <v>-47.86174244806935</v>
      </c>
      <c r="T772">
        <f t="shared" si="1008"/>
        <v>-4.7861742448069351E-2</v>
      </c>
    </row>
    <row r="773" spans="1:20" x14ac:dyDescent="0.25">
      <c r="A773" s="5">
        <v>43820</v>
      </c>
      <c r="B773">
        <v>0.2535</v>
      </c>
      <c r="C773">
        <v>0.25409999999999999</v>
      </c>
      <c r="D773">
        <v>0.24879999999999999</v>
      </c>
      <c r="E773">
        <v>0.24979999999999999</v>
      </c>
      <c r="F773">
        <v>185394.1</v>
      </c>
      <c r="G773">
        <v>0</v>
      </c>
      <c r="L773" t="s">
        <v>8</v>
      </c>
      <c r="M773" t="s">
        <v>7</v>
      </c>
      <c r="N773" t="s">
        <v>7</v>
      </c>
      <c r="P773">
        <f t="shared" si="1004"/>
        <v>-0.6226415094339619</v>
      </c>
      <c r="Q773">
        <f t="shared" si="1005"/>
        <v>-115434.06226415088</v>
      </c>
      <c r="R773">
        <f t="shared" si="1006"/>
        <v>-4824383.1173069347</v>
      </c>
      <c r="S773">
        <f t="shared" si="1007"/>
        <v>-48.243831173069346</v>
      </c>
      <c r="T773">
        <f t="shared" si="1008"/>
        <v>-4.8243831173069344E-2</v>
      </c>
    </row>
    <row r="774" spans="1:20" x14ac:dyDescent="0.25">
      <c r="A774" s="5">
        <v>43819</v>
      </c>
      <c r="B774">
        <v>0.25140000000000001</v>
      </c>
      <c r="C774">
        <v>0.26440000000000002</v>
      </c>
      <c r="D774">
        <v>0.24590000000000001</v>
      </c>
      <c r="E774">
        <v>0.2535</v>
      </c>
      <c r="F774">
        <v>1181092.25</v>
      </c>
      <c r="G774">
        <v>0</v>
      </c>
      <c r="L774" t="s">
        <v>8</v>
      </c>
      <c r="M774" t="s">
        <v>7</v>
      </c>
      <c r="N774" t="s">
        <v>7</v>
      </c>
      <c r="P774">
        <f t="shared" si="1004"/>
        <v>-0.17837837837837958</v>
      </c>
      <c r="Q774">
        <f t="shared" si="1005"/>
        <v>-210681.32027027168</v>
      </c>
      <c r="R774">
        <f t="shared" si="1006"/>
        <v>-4708949.0550427837</v>
      </c>
      <c r="S774">
        <f t="shared" si="1007"/>
        <v>-47.08949055042784</v>
      </c>
      <c r="T774">
        <f t="shared" si="1008"/>
        <v>-4.708949055042784E-2</v>
      </c>
    </row>
    <row r="775" spans="1:20" x14ac:dyDescent="0.25">
      <c r="A775" s="5">
        <v>43818</v>
      </c>
      <c r="B775">
        <v>0.26100000000000001</v>
      </c>
      <c r="C775">
        <v>0.26150000000000001</v>
      </c>
      <c r="D775">
        <v>0.245</v>
      </c>
      <c r="E775">
        <v>0.25019999999999998</v>
      </c>
      <c r="F775">
        <v>561310.87</v>
      </c>
      <c r="G775">
        <v>0</v>
      </c>
      <c r="L775" t="s">
        <v>8</v>
      </c>
      <c r="M775" t="s">
        <v>7</v>
      </c>
      <c r="N775" t="s">
        <v>7</v>
      </c>
      <c r="P775">
        <f t="shared" si="1004"/>
        <v>-0.36969696969697241</v>
      </c>
      <c r="Q775">
        <f t="shared" si="1005"/>
        <v>-207514.92769697122</v>
      </c>
      <c r="R775">
        <f t="shared" si="1006"/>
        <v>-4498267.7347725118</v>
      </c>
      <c r="S775">
        <f t="shared" si="1007"/>
        <v>-44.982677347725115</v>
      </c>
      <c r="T775">
        <f t="shared" si="1008"/>
        <v>-4.4982677347725118E-2</v>
      </c>
    </row>
    <row r="776" spans="1:20" x14ac:dyDescent="0.25">
      <c r="A776" s="5">
        <v>43817</v>
      </c>
      <c r="B776">
        <v>0.24229999999999999</v>
      </c>
      <c r="C776">
        <v>0.26469999999999999</v>
      </c>
      <c r="D776">
        <v>0.23499999999999999</v>
      </c>
      <c r="E776">
        <v>0.26050000000000001</v>
      </c>
      <c r="F776">
        <v>515126.57</v>
      </c>
      <c r="G776">
        <v>0</v>
      </c>
      <c r="L776" t="s">
        <v>7</v>
      </c>
      <c r="M776" t="s">
        <v>7</v>
      </c>
      <c r="N776" t="s">
        <v>7</v>
      </c>
      <c r="P776">
        <f t="shared" si="1004"/>
        <v>0.71717171717171846</v>
      </c>
      <c r="Q776">
        <f t="shared" si="1005"/>
        <v>369434.20676767745</v>
      </c>
      <c r="R776">
        <f t="shared" si="1006"/>
        <v>-4290752.8070755405</v>
      </c>
      <c r="S776">
        <f t="shared" si="1007"/>
        <v>-42.907528070755404</v>
      </c>
      <c r="T776">
        <f t="shared" si="1008"/>
        <v>-4.2907528070755402E-2</v>
      </c>
    </row>
    <row r="777" spans="1:20" x14ac:dyDescent="0.25">
      <c r="A777" s="5">
        <v>43816</v>
      </c>
      <c r="B777">
        <v>0.25609999999999999</v>
      </c>
      <c r="C777">
        <v>0.26340000000000002</v>
      </c>
      <c r="D777">
        <v>0.24229999999999999</v>
      </c>
      <c r="E777">
        <v>0.24229999999999999</v>
      </c>
      <c r="F777">
        <v>547481.37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-1</v>
      </c>
      <c r="Q777">
        <f t="shared" si="1005"/>
        <v>-547481.37</v>
      </c>
      <c r="R777">
        <f t="shared" si="1006"/>
        <v>-4660187.0138432179</v>
      </c>
      <c r="S777">
        <f t="shared" si="1007"/>
        <v>-46.601870138432176</v>
      </c>
      <c r="T777">
        <f t="shared" si="1008"/>
        <v>-4.6601870138432179E-2</v>
      </c>
    </row>
    <row r="778" spans="1:20" x14ac:dyDescent="0.25">
      <c r="A778" s="5">
        <v>43815</v>
      </c>
      <c r="B778">
        <v>0.26989999999999997</v>
      </c>
      <c r="C778">
        <v>0.31</v>
      </c>
      <c r="D778">
        <v>0.25180000000000002</v>
      </c>
      <c r="E778">
        <v>0.25609999999999999</v>
      </c>
      <c r="F778">
        <v>2451180.48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-0.85223367697594599</v>
      </c>
      <c r="Q778">
        <f t="shared" si="1005"/>
        <v>-2088978.5534020641</v>
      </c>
      <c r="R778">
        <f t="shared" si="1006"/>
        <v>-4112705.6438432178</v>
      </c>
      <c r="S778">
        <f t="shared" si="1007"/>
        <v>-41.127056438432177</v>
      </c>
      <c r="T778">
        <f t="shared" si="1008"/>
        <v>-4.1127056438432175E-2</v>
      </c>
    </row>
    <row r="779" spans="1:20" x14ac:dyDescent="0.25">
      <c r="A779" s="5">
        <v>43814</v>
      </c>
      <c r="B779">
        <v>0.26419999999999999</v>
      </c>
      <c r="C779">
        <v>0.27150000000000002</v>
      </c>
      <c r="D779">
        <v>0.25779999999999997</v>
      </c>
      <c r="E779">
        <v>0.2702</v>
      </c>
      <c r="F779">
        <v>242504.49</v>
      </c>
      <c r="G779">
        <v>0</v>
      </c>
      <c r="L779" t="s">
        <v>7</v>
      </c>
      <c r="M779" t="s">
        <v>7</v>
      </c>
      <c r="N779" t="s">
        <v>7</v>
      </c>
      <c r="P779">
        <f t="shared" si="1004"/>
        <v>0.81021897810218702</v>
      </c>
      <c r="Q779">
        <f t="shared" si="1005"/>
        <v>196481.74007299202</v>
      </c>
      <c r="R779">
        <f t="shared" si="1006"/>
        <v>-2023727.0904411536</v>
      </c>
      <c r="S779">
        <f t="shared" si="1007"/>
        <v>-20.237270904411535</v>
      </c>
      <c r="T779">
        <f t="shared" si="1008"/>
        <v>-2.0237270904411533E-2</v>
      </c>
    </row>
    <row r="780" spans="1:20" x14ac:dyDescent="0.25">
      <c r="A780" s="5">
        <v>43813</v>
      </c>
      <c r="B780">
        <v>0.2707</v>
      </c>
      <c r="C780">
        <v>0.27479999999999999</v>
      </c>
      <c r="D780">
        <v>0.25779999999999997</v>
      </c>
      <c r="E780">
        <v>0.26590000000000003</v>
      </c>
      <c r="F780">
        <v>151460.13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-4.7058823529406539E-2</v>
      </c>
      <c r="Q780">
        <f t="shared" si="1005"/>
        <v>-7127.5355294109731</v>
      </c>
      <c r="R780">
        <f t="shared" si="1006"/>
        <v>-2220208.8305141455</v>
      </c>
      <c r="S780">
        <f t="shared" si="1007"/>
        <v>-22.202088305141455</v>
      </c>
      <c r="T780">
        <f t="shared" si="1008"/>
        <v>-2.2202088305141456E-2</v>
      </c>
    </row>
    <row r="781" spans="1:20" x14ac:dyDescent="0.25">
      <c r="A781" s="5">
        <v>43812</v>
      </c>
      <c r="B781">
        <v>0.27539999999999998</v>
      </c>
      <c r="C781">
        <v>0.27650000000000002</v>
      </c>
      <c r="D781">
        <v>0.26840000000000003</v>
      </c>
      <c r="E781">
        <v>0.26929999999999998</v>
      </c>
      <c r="F781">
        <v>393085.75</v>
      </c>
      <c r="G781">
        <v>0</v>
      </c>
      <c r="L781" t="s">
        <v>7</v>
      </c>
      <c r="M781" t="s">
        <v>7</v>
      </c>
      <c r="N781" t="s">
        <v>7</v>
      </c>
      <c r="P781">
        <f t="shared" si="1004"/>
        <v>-0.77777777777778845</v>
      </c>
      <c r="Q781">
        <f t="shared" si="1005"/>
        <v>-305733.36111111531</v>
      </c>
      <c r="R781">
        <f t="shared" si="1006"/>
        <v>-2213081.2949847346</v>
      </c>
      <c r="S781">
        <f t="shared" si="1007"/>
        <v>-22.130812949847346</v>
      </c>
      <c r="T781">
        <f t="shared" si="1008"/>
        <v>-2.2130812949847346E-2</v>
      </c>
    </row>
    <row r="782" spans="1:20" x14ac:dyDescent="0.25">
      <c r="A782" s="5">
        <v>43811</v>
      </c>
      <c r="B782">
        <v>0.28370000000000001</v>
      </c>
      <c r="C782">
        <v>0.28520000000000001</v>
      </c>
      <c r="D782">
        <v>0.26840000000000003</v>
      </c>
      <c r="E782">
        <v>0.27589999999999998</v>
      </c>
      <c r="F782">
        <v>982280.54</v>
      </c>
      <c r="G782">
        <v>0</v>
      </c>
      <c r="L782" t="s">
        <v>7</v>
      </c>
      <c r="M782" t="s">
        <v>7</v>
      </c>
      <c r="N782" t="s">
        <v>7</v>
      </c>
      <c r="P782">
        <f t="shared" si="1004"/>
        <v>-0.10714285714286198</v>
      </c>
      <c r="Q782">
        <f t="shared" si="1005"/>
        <v>-105244.34357143333</v>
      </c>
      <c r="R782">
        <f t="shared" si="1006"/>
        <v>-1907347.9338736192</v>
      </c>
      <c r="S782">
        <f t="shared" si="1007"/>
        <v>-19.073479338736192</v>
      </c>
      <c r="T782">
        <f t="shared" si="1008"/>
        <v>-1.9073479338736193E-2</v>
      </c>
    </row>
    <row r="783" spans="1:20" x14ac:dyDescent="0.25">
      <c r="A783" s="5">
        <v>43810</v>
      </c>
      <c r="B783">
        <v>0.28100000000000003</v>
      </c>
      <c r="C783">
        <v>0.2853</v>
      </c>
      <c r="D783">
        <v>0.2747</v>
      </c>
      <c r="E783">
        <v>0.28410000000000002</v>
      </c>
      <c r="F783">
        <v>344418.32</v>
      </c>
      <c r="G783">
        <v>0</v>
      </c>
      <c r="L783" t="s">
        <v>7</v>
      </c>
      <c r="M783" t="s">
        <v>7</v>
      </c>
      <c r="N783" t="s">
        <v>7</v>
      </c>
      <c r="P783">
        <f t="shared" si="1004"/>
        <v>0.77358490566038129</v>
      </c>
      <c r="Q783">
        <f t="shared" si="1005"/>
        <v>266436.81358490704</v>
      </c>
      <c r="R783">
        <f t="shared" si="1006"/>
        <v>-1802103.5903021859</v>
      </c>
      <c r="S783">
        <f t="shared" si="1007"/>
        <v>-18.021035903021858</v>
      </c>
      <c r="T783">
        <f t="shared" si="1008"/>
        <v>-1.8021035903021856E-2</v>
      </c>
    </row>
    <row r="784" spans="1:20" x14ac:dyDescent="0.25">
      <c r="A784" s="5">
        <v>43809</v>
      </c>
      <c r="B784">
        <v>0.29909999999999998</v>
      </c>
      <c r="C784">
        <v>0.29920000000000002</v>
      </c>
      <c r="D784">
        <v>0.27179999999999999</v>
      </c>
      <c r="E784">
        <v>0.2823</v>
      </c>
      <c r="F784">
        <v>184543.75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-0.23357664233576672</v>
      </c>
      <c r="Q784">
        <f t="shared" si="1005"/>
        <v>-43105.109489051152</v>
      </c>
      <c r="R784">
        <f t="shared" si="1006"/>
        <v>-2068540.4038870928</v>
      </c>
      <c r="S784">
        <f t="shared" si="1007"/>
        <v>-20.685404038870928</v>
      </c>
      <c r="T784">
        <f t="shared" si="1008"/>
        <v>-2.0685404038870928E-2</v>
      </c>
    </row>
    <row r="785" spans="1:20" x14ac:dyDescent="0.25">
      <c r="A785" s="5">
        <v>43808</v>
      </c>
      <c r="B785">
        <v>0.31040000000000001</v>
      </c>
      <c r="C785">
        <v>0.3201</v>
      </c>
      <c r="D785">
        <v>0.2949</v>
      </c>
      <c r="E785">
        <v>0.29920000000000002</v>
      </c>
      <c r="F785">
        <v>511079.22</v>
      </c>
      <c r="G785">
        <v>0</v>
      </c>
      <c r="L785" t="s">
        <v>8</v>
      </c>
      <c r="M785" t="s">
        <v>8</v>
      </c>
      <c r="N785" t="s">
        <v>7</v>
      </c>
      <c r="P785">
        <f t="shared" si="1004"/>
        <v>-0.65873015873015661</v>
      </c>
      <c r="Q785">
        <f t="shared" si="1005"/>
        <v>-336663.29571428458</v>
      </c>
      <c r="R785">
        <f t="shared" si="1006"/>
        <v>-2025435.2943980417</v>
      </c>
      <c r="S785">
        <f t="shared" si="1007"/>
        <v>-20.254352943980418</v>
      </c>
      <c r="T785">
        <f t="shared" si="1008"/>
        <v>-2.0254352943980418E-2</v>
      </c>
    </row>
    <row r="786" spans="1:20" x14ac:dyDescent="0.25">
      <c r="A786" s="5">
        <v>43807</v>
      </c>
      <c r="B786">
        <v>0.30509999999999998</v>
      </c>
      <c r="C786">
        <v>0.31040000000000001</v>
      </c>
      <c r="D786">
        <v>0.29620000000000002</v>
      </c>
      <c r="E786">
        <v>0.31040000000000001</v>
      </c>
      <c r="F786">
        <v>100995.96</v>
      </c>
      <c r="G786">
        <v>0</v>
      </c>
      <c r="L786" t="s">
        <v>7</v>
      </c>
      <c r="M786" t="s">
        <v>8</v>
      </c>
      <c r="N786" t="s">
        <v>7</v>
      </c>
      <c r="P786">
        <f t="shared" si="1004"/>
        <v>1</v>
      </c>
      <c r="Q786">
        <f t="shared" si="1005"/>
        <v>100995.96</v>
      </c>
      <c r="R786">
        <f t="shared" si="1006"/>
        <v>-1688771.9986837571</v>
      </c>
      <c r="S786">
        <f t="shared" si="1007"/>
        <v>-16.88771998683757</v>
      </c>
      <c r="T786">
        <f t="shared" si="1008"/>
        <v>-1.6887719986837569E-2</v>
      </c>
    </row>
    <row r="787" spans="1:20" x14ac:dyDescent="0.25">
      <c r="A787" s="5">
        <v>43806</v>
      </c>
      <c r="B787">
        <v>0.30620000000000003</v>
      </c>
      <c r="C787">
        <v>0.31219999999999998</v>
      </c>
      <c r="D787">
        <v>0.3</v>
      </c>
      <c r="E787">
        <v>0.30570000000000003</v>
      </c>
      <c r="F787">
        <v>560009.09</v>
      </c>
      <c r="G787">
        <v>0</v>
      </c>
      <c r="L787" t="s">
        <v>8</v>
      </c>
      <c r="M787" t="s">
        <v>8</v>
      </c>
      <c r="N787" t="s">
        <v>7</v>
      </c>
      <c r="P787">
        <f t="shared" si="1004"/>
        <v>-6.5573770491796121E-2</v>
      </c>
      <c r="Q787">
        <f t="shared" si="1005"/>
        <v>-36721.907540979599</v>
      </c>
      <c r="R787">
        <f t="shared" si="1006"/>
        <v>-1789767.9586837571</v>
      </c>
      <c r="S787">
        <f t="shared" si="1007"/>
        <v>-17.897679586837572</v>
      </c>
      <c r="T787">
        <f t="shared" si="1008"/>
        <v>-1.7897679586837571E-2</v>
      </c>
    </row>
    <row r="788" spans="1:20" x14ac:dyDescent="0.25">
      <c r="A788" s="5">
        <v>43805</v>
      </c>
      <c r="B788">
        <v>0.30430000000000001</v>
      </c>
      <c r="C788">
        <v>0.31990000000000002</v>
      </c>
      <c r="D788">
        <v>0.30070000000000002</v>
      </c>
      <c r="E788">
        <v>0.30620000000000003</v>
      </c>
      <c r="F788">
        <v>631001.63</v>
      </c>
      <c r="G788">
        <v>0</v>
      </c>
      <c r="L788" t="s">
        <v>8</v>
      </c>
      <c r="M788" t="s">
        <v>8</v>
      </c>
      <c r="N788" t="s">
        <v>7</v>
      </c>
      <c r="P788">
        <f t="shared" si="1004"/>
        <v>-0.42708333333333265</v>
      </c>
      <c r="Q788">
        <f t="shared" si="1005"/>
        <v>-269490.27947916626</v>
      </c>
      <c r="R788">
        <f t="shared" si="1006"/>
        <v>-1753046.0511427775</v>
      </c>
      <c r="S788">
        <f t="shared" si="1007"/>
        <v>-17.530460511427776</v>
      </c>
      <c r="T788">
        <f t="shared" si="1008"/>
        <v>-1.7530460511427776E-2</v>
      </c>
    </row>
    <row r="789" spans="1:20" x14ac:dyDescent="0.25">
      <c r="A789" s="5">
        <v>43804</v>
      </c>
      <c r="B789">
        <v>0.29099999999999998</v>
      </c>
      <c r="C789">
        <v>0.30840000000000001</v>
      </c>
      <c r="D789">
        <v>0.2878</v>
      </c>
      <c r="E789">
        <v>0.30099999999999999</v>
      </c>
      <c r="F789">
        <v>47609.91</v>
      </c>
      <c r="G789">
        <v>0</v>
      </c>
      <c r="L789" t="s">
        <v>8</v>
      </c>
      <c r="M789" t="s">
        <v>8</v>
      </c>
      <c r="N789" t="s">
        <v>7</v>
      </c>
      <c r="P789">
        <f t="shared" si="1004"/>
        <v>0.28155339805825097</v>
      </c>
      <c r="Q789">
        <f t="shared" si="1005"/>
        <v>13404.731941747505</v>
      </c>
      <c r="R789">
        <f t="shared" si="1006"/>
        <v>-1483555.7716636113</v>
      </c>
      <c r="S789">
        <f t="shared" si="1007"/>
        <v>-14.835557716636114</v>
      </c>
      <c r="T789">
        <f t="shared" si="1008"/>
        <v>-1.4835557716636114E-2</v>
      </c>
    </row>
    <row r="790" spans="1:20" x14ac:dyDescent="0.25">
      <c r="A790" s="5">
        <v>43803</v>
      </c>
      <c r="B790">
        <v>0.29870000000000002</v>
      </c>
      <c r="C790">
        <v>0.30599999999999999</v>
      </c>
      <c r="D790">
        <v>0.28460000000000002</v>
      </c>
      <c r="E790">
        <v>0.29099999999999998</v>
      </c>
      <c r="F790">
        <v>112685.94</v>
      </c>
      <c r="G790">
        <v>0</v>
      </c>
      <c r="L790" t="s">
        <v>7</v>
      </c>
      <c r="M790" t="s">
        <v>8</v>
      </c>
      <c r="N790" t="s">
        <v>7</v>
      </c>
      <c r="P790">
        <f t="shared" si="1004"/>
        <v>-0.4018691588785076</v>
      </c>
      <c r="Q790">
        <f t="shared" si="1005"/>
        <v>-45285.003925233977</v>
      </c>
      <c r="R790">
        <f t="shared" si="1006"/>
        <v>-1496960.5036053588</v>
      </c>
      <c r="S790">
        <f t="shared" si="1007"/>
        <v>-14.969605036053588</v>
      </c>
      <c r="T790">
        <f t="shared" si="1008"/>
        <v>-1.4969605036053588E-2</v>
      </c>
    </row>
    <row r="791" spans="1:20" x14ac:dyDescent="0.25">
      <c r="A791" s="5">
        <v>43802</v>
      </c>
      <c r="B791">
        <v>0.29239999999999999</v>
      </c>
      <c r="C791">
        <v>0.3085</v>
      </c>
      <c r="D791">
        <v>0.2888</v>
      </c>
      <c r="E791">
        <v>0.29859999999999998</v>
      </c>
      <c r="F791">
        <v>312845.86</v>
      </c>
      <c r="G791">
        <v>0</v>
      </c>
      <c r="L791" t="s">
        <v>8</v>
      </c>
      <c r="M791" t="s">
        <v>8</v>
      </c>
      <c r="N791" t="s">
        <v>7</v>
      </c>
      <c r="P791">
        <f t="shared" si="1004"/>
        <v>-5.0761421319819554E-3</v>
      </c>
      <c r="Q791">
        <f t="shared" si="1005"/>
        <v>-1588.0500507621282</v>
      </c>
      <c r="R791">
        <f t="shared" si="1006"/>
        <v>-1451675.4996801247</v>
      </c>
      <c r="S791">
        <f t="shared" si="1007"/>
        <v>-14.516754996801247</v>
      </c>
      <c r="T791">
        <f t="shared" si="1008"/>
        <v>-1.4516754996801247E-2</v>
      </c>
    </row>
    <row r="792" spans="1:20" x14ac:dyDescent="0.25">
      <c r="A792" s="5">
        <v>43801</v>
      </c>
      <c r="B792">
        <v>0.29580000000000001</v>
      </c>
      <c r="C792">
        <v>0.29949999999999999</v>
      </c>
      <c r="D792">
        <v>0.2843</v>
      </c>
      <c r="E792">
        <v>0.29260000000000003</v>
      </c>
      <c r="F792">
        <v>429534.23</v>
      </c>
      <c r="G792">
        <v>0</v>
      </c>
      <c r="L792" t="s">
        <v>7</v>
      </c>
      <c r="M792" t="s">
        <v>8</v>
      </c>
      <c r="N792" t="s">
        <v>7</v>
      </c>
      <c r="P792">
        <f t="shared" si="1004"/>
        <v>9.2105263157899256E-2</v>
      </c>
      <c r="Q792">
        <f t="shared" si="1005"/>
        <v>39562.363289475623</v>
      </c>
      <c r="R792">
        <f t="shared" si="1006"/>
        <v>-1450087.4496293627</v>
      </c>
      <c r="S792">
        <f t="shared" si="1007"/>
        <v>-14.500874496293626</v>
      </c>
      <c r="T792">
        <f t="shared" si="1008"/>
        <v>-1.4500874496293626E-2</v>
      </c>
    </row>
    <row r="793" spans="1:20" x14ac:dyDescent="0.25">
      <c r="A793" s="5">
        <v>43800</v>
      </c>
      <c r="B793">
        <v>0.30380000000000001</v>
      </c>
      <c r="C793">
        <v>0.3054</v>
      </c>
      <c r="D793">
        <v>0.28810000000000002</v>
      </c>
      <c r="E793">
        <v>0.29299999999999998</v>
      </c>
      <c r="F793">
        <v>204872.29</v>
      </c>
      <c r="G793">
        <v>0</v>
      </c>
      <c r="L793" t="s">
        <v>7</v>
      </c>
      <c r="M793" t="s">
        <v>8</v>
      </c>
      <c r="N793" t="s">
        <v>7</v>
      </c>
      <c r="P793">
        <f t="shared" si="1004"/>
        <v>-0.4335260115606977</v>
      </c>
      <c r="Q793">
        <f t="shared" si="1005"/>
        <v>-88817.466763006611</v>
      </c>
      <c r="R793">
        <f t="shared" si="1006"/>
        <v>-1489649.8129188383</v>
      </c>
      <c r="S793">
        <f t="shared" si="1007"/>
        <v>-14.896498129188384</v>
      </c>
      <c r="T793">
        <f t="shared" si="1008"/>
        <v>-1.4896498129188383E-2</v>
      </c>
    </row>
    <row r="794" spans="1:20" x14ac:dyDescent="0.25">
      <c r="A794" s="5">
        <v>43799</v>
      </c>
      <c r="B794">
        <v>0.3206</v>
      </c>
      <c r="C794">
        <v>0.3216</v>
      </c>
      <c r="D794">
        <v>0.30170000000000002</v>
      </c>
      <c r="E794">
        <v>0.30170000000000002</v>
      </c>
      <c r="F794">
        <v>403612.46</v>
      </c>
      <c r="G794">
        <v>0</v>
      </c>
      <c r="L794" t="s">
        <v>7</v>
      </c>
      <c r="M794" t="s">
        <v>8</v>
      </c>
      <c r="N794" t="s">
        <v>7</v>
      </c>
      <c r="P794">
        <f t="shared" si="1004"/>
        <v>-1</v>
      </c>
      <c r="Q794">
        <f t="shared" si="1005"/>
        <v>-403612.46</v>
      </c>
      <c r="R794">
        <f t="shared" si="1006"/>
        <v>-1400832.3461558318</v>
      </c>
      <c r="S794">
        <f t="shared" si="1007"/>
        <v>-14.008323461558318</v>
      </c>
      <c r="T794">
        <f t="shared" si="1008"/>
        <v>-1.4008323461558317E-2</v>
      </c>
    </row>
    <row r="795" spans="1:20" x14ac:dyDescent="0.25">
      <c r="A795" s="5">
        <v>43798</v>
      </c>
      <c r="B795">
        <v>0.31230000000000002</v>
      </c>
      <c r="C795">
        <v>0.3291</v>
      </c>
      <c r="D795">
        <v>0.30609999999999998</v>
      </c>
      <c r="E795">
        <v>0.31780000000000003</v>
      </c>
      <c r="F795">
        <v>131343.28</v>
      </c>
      <c r="G795">
        <v>0</v>
      </c>
      <c r="L795" t="s">
        <v>7</v>
      </c>
      <c r="M795" t="s">
        <v>8</v>
      </c>
      <c r="N795" t="s">
        <v>7</v>
      </c>
      <c r="P795">
        <f t="shared" si="1004"/>
        <v>1.7391304347828984E-2</v>
      </c>
      <c r="Q795">
        <f t="shared" si="1005"/>
        <v>2284.2309565221194</v>
      </c>
      <c r="R795">
        <f t="shared" si="1006"/>
        <v>-997219.88615583174</v>
      </c>
      <c r="S795">
        <f t="shared" si="1007"/>
        <v>-9.9721988615583168</v>
      </c>
      <c r="T795">
        <f t="shared" si="1008"/>
        <v>-9.9721988615583176E-3</v>
      </c>
    </row>
    <row r="796" spans="1:20" x14ac:dyDescent="0.25">
      <c r="A796" s="5">
        <v>43797</v>
      </c>
      <c r="B796">
        <v>0.32629999999999998</v>
      </c>
      <c r="C796">
        <v>0.33579999999999999</v>
      </c>
      <c r="D796">
        <v>0.308</v>
      </c>
      <c r="E796">
        <v>0.31230000000000002</v>
      </c>
      <c r="F796">
        <v>332420.99</v>
      </c>
      <c r="G796">
        <v>0</v>
      </c>
      <c r="L796" t="s">
        <v>7</v>
      </c>
      <c r="M796" t="s">
        <v>8</v>
      </c>
      <c r="N796" t="s">
        <v>7</v>
      </c>
      <c r="P796">
        <f t="shared" si="1004"/>
        <v>-0.69064748201438653</v>
      </c>
      <c r="Q796">
        <f t="shared" si="1005"/>
        <v>-229585.71971222956</v>
      </c>
      <c r="R796">
        <f t="shared" si="1006"/>
        <v>-999504.11711235391</v>
      </c>
      <c r="S796">
        <f t="shared" si="1007"/>
        <v>-9.995041171123539</v>
      </c>
      <c r="T796">
        <f t="shared" si="1008"/>
        <v>-9.9950411711235386E-3</v>
      </c>
    </row>
    <row r="797" spans="1:20" x14ac:dyDescent="0.25">
      <c r="A797" s="5">
        <v>43796</v>
      </c>
      <c r="B797">
        <v>0.29670000000000002</v>
      </c>
      <c r="C797">
        <v>0.33</v>
      </c>
      <c r="D797">
        <v>0.27489999999999998</v>
      </c>
      <c r="E797">
        <v>0.32629999999999998</v>
      </c>
      <c r="F797">
        <v>938172.04</v>
      </c>
      <c r="G797">
        <v>0</v>
      </c>
      <c r="L797" t="s">
        <v>8</v>
      </c>
      <c r="M797" t="s">
        <v>8</v>
      </c>
      <c r="N797" t="s">
        <v>7</v>
      </c>
      <c r="P797">
        <f t="shared" si="1004"/>
        <v>0.86569872958257588</v>
      </c>
      <c r="Q797">
        <f t="shared" si="1005"/>
        <v>812174.34315789363</v>
      </c>
      <c r="R797">
        <f t="shared" si="1006"/>
        <v>-769918.39740012435</v>
      </c>
      <c r="S797">
        <f t="shared" si="1007"/>
        <v>-7.6991839740012438</v>
      </c>
      <c r="T797">
        <f t="shared" si="1008"/>
        <v>-7.6991839740012434E-3</v>
      </c>
    </row>
    <row r="798" spans="1:20" x14ac:dyDescent="0.25">
      <c r="A798" s="5">
        <v>43795</v>
      </c>
      <c r="B798">
        <v>0.27639999999999998</v>
      </c>
      <c r="C798">
        <v>0.29949999999999999</v>
      </c>
      <c r="D798">
        <v>0.2732</v>
      </c>
      <c r="E798">
        <v>0.29630000000000001</v>
      </c>
      <c r="F798">
        <v>194957.89</v>
      </c>
      <c r="G798">
        <v>0</v>
      </c>
      <c r="L798" t="s">
        <v>8</v>
      </c>
      <c r="M798" t="s">
        <v>8</v>
      </c>
      <c r="N798" t="s">
        <v>7</v>
      </c>
      <c r="P798">
        <f t="shared" si="1004"/>
        <v>0.75665399239543862</v>
      </c>
      <c r="Q798">
        <f t="shared" si="1005"/>
        <v>147515.66581749078</v>
      </c>
      <c r="R798">
        <f t="shared" si="1006"/>
        <v>-1582092.740558018</v>
      </c>
      <c r="S798">
        <f t="shared" si="1007"/>
        <v>-15.82092740558018</v>
      </c>
      <c r="T798">
        <f t="shared" si="1008"/>
        <v>-1.5820927405580179E-2</v>
      </c>
    </row>
    <row r="799" spans="1:20" x14ac:dyDescent="0.25">
      <c r="A799" s="5">
        <v>43794</v>
      </c>
      <c r="B799">
        <v>0.26889999999999997</v>
      </c>
      <c r="C799">
        <v>0.28510000000000002</v>
      </c>
      <c r="D799">
        <v>0.25019999999999998</v>
      </c>
      <c r="E799">
        <v>0.27639999999999998</v>
      </c>
      <c r="F799">
        <v>186804.31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0.50143266475644521</v>
      </c>
      <c r="Q799">
        <f t="shared" si="1005"/>
        <v>93669.78295128906</v>
      </c>
      <c r="R799">
        <f t="shared" si="1006"/>
        <v>-1729608.4063755088</v>
      </c>
      <c r="S799">
        <f t="shared" si="1007"/>
        <v>-17.296084063755089</v>
      </c>
      <c r="T799">
        <f t="shared" si="1008"/>
        <v>-1.7296084063755088E-2</v>
      </c>
    </row>
    <row r="800" spans="1:20" x14ac:dyDescent="0.25">
      <c r="A800" s="5">
        <v>43793</v>
      </c>
      <c r="B800">
        <v>0.29759999999999998</v>
      </c>
      <c r="C800">
        <v>0.30070000000000002</v>
      </c>
      <c r="D800">
        <v>0.26889999999999997</v>
      </c>
      <c r="E800">
        <v>0.26889999999999997</v>
      </c>
      <c r="F800">
        <v>239004.03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-1</v>
      </c>
      <c r="Q800">
        <f t="shared" si="1005"/>
        <v>-239004.03</v>
      </c>
      <c r="R800">
        <f t="shared" si="1006"/>
        <v>-1823278.1893267978</v>
      </c>
      <c r="S800">
        <f t="shared" si="1007"/>
        <v>-18.23278189326798</v>
      </c>
      <c r="T800">
        <f t="shared" si="1008"/>
        <v>-1.823278189326798E-2</v>
      </c>
    </row>
    <row r="801" spans="1:20" x14ac:dyDescent="0.25">
      <c r="A801" s="5">
        <v>43792</v>
      </c>
      <c r="B801">
        <v>0.29120000000000001</v>
      </c>
      <c r="C801">
        <v>0.30709999999999998</v>
      </c>
      <c r="D801">
        <v>0.28339999999999999</v>
      </c>
      <c r="E801">
        <v>0.29849999999999999</v>
      </c>
      <c r="F801">
        <v>134895.28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0.27426160337552768</v>
      </c>
      <c r="Q801">
        <f t="shared" si="1005"/>
        <v>36996.595780590753</v>
      </c>
      <c r="R801">
        <f t="shared" si="1006"/>
        <v>-1584274.1593267978</v>
      </c>
      <c r="S801">
        <f t="shared" si="1007"/>
        <v>-15.842741593267979</v>
      </c>
      <c r="T801">
        <f t="shared" si="1008"/>
        <v>-1.584274159326798E-2</v>
      </c>
    </row>
    <row r="802" spans="1:20" x14ac:dyDescent="0.25">
      <c r="A802" s="5">
        <v>43791</v>
      </c>
      <c r="B802">
        <v>0.30640000000000001</v>
      </c>
      <c r="C802">
        <v>0.3463</v>
      </c>
      <c r="D802">
        <v>0.26069999999999999</v>
      </c>
      <c r="E802">
        <v>0.29120000000000001</v>
      </c>
      <c r="F802">
        <v>988426.85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-0.28738317757009291</v>
      </c>
      <c r="Q802">
        <f t="shared" si="1005"/>
        <v>-284057.24894859758</v>
      </c>
      <c r="R802">
        <f t="shared" si="1006"/>
        <v>-1621270.7551073886</v>
      </c>
      <c r="S802">
        <f t="shared" si="1007"/>
        <v>-16.212707551073887</v>
      </c>
      <c r="T802">
        <f t="shared" si="1008"/>
        <v>-1.6212707551073888E-2</v>
      </c>
    </row>
    <row r="803" spans="1:20" x14ac:dyDescent="0.25">
      <c r="A803" s="5">
        <v>43790</v>
      </c>
      <c r="B803">
        <v>0.32190000000000002</v>
      </c>
      <c r="C803">
        <v>0.33679999999999999</v>
      </c>
      <c r="D803">
        <v>0.29089999999999999</v>
      </c>
      <c r="E803">
        <v>0.30640000000000001</v>
      </c>
      <c r="F803">
        <v>328153.58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-0.32461873638344163</v>
      </c>
      <c r="Q803">
        <f t="shared" si="1005"/>
        <v>-106524.80047930263</v>
      </c>
      <c r="R803">
        <f t="shared" si="1006"/>
        <v>-1337213.506158791</v>
      </c>
      <c r="S803">
        <f t="shared" si="1007"/>
        <v>-13.37213506158791</v>
      </c>
      <c r="T803">
        <f t="shared" si="1008"/>
        <v>-1.337213506158791E-2</v>
      </c>
    </row>
    <row r="804" spans="1:20" x14ac:dyDescent="0.25">
      <c r="A804" s="5">
        <v>43789</v>
      </c>
      <c r="B804">
        <v>0.33210000000000001</v>
      </c>
      <c r="C804">
        <v>0.3327</v>
      </c>
      <c r="D804">
        <v>0.31790000000000002</v>
      </c>
      <c r="E804">
        <v>0.3241</v>
      </c>
      <c r="F804">
        <v>352367.87</v>
      </c>
      <c r="G804">
        <v>0</v>
      </c>
      <c r="L804" t="s">
        <v>7</v>
      </c>
      <c r="M804" t="s">
        <v>7</v>
      </c>
      <c r="N804" t="s">
        <v>7</v>
      </c>
      <c r="P804">
        <f t="shared" si="1004"/>
        <v>-0.16216216216216328</v>
      </c>
      <c r="Q804">
        <f t="shared" si="1005"/>
        <v>-57140.735675676071</v>
      </c>
      <c r="R804">
        <f t="shared" si="1006"/>
        <v>-1230688.7056794884</v>
      </c>
      <c r="S804">
        <f t="shared" si="1007"/>
        <v>-12.306887056794883</v>
      </c>
      <c r="T804">
        <f t="shared" si="1008"/>
        <v>-1.2306887056794884E-2</v>
      </c>
    </row>
    <row r="805" spans="1:20" x14ac:dyDescent="0.25">
      <c r="A805" s="5">
        <v>43788</v>
      </c>
      <c r="B805">
        <v>0.33989999999999998</v>
      </c>
      <c r="C805">
        <v>0.33989999999999998</v>
      </c>
      <c r="D805">
        <v>0.315</v>
      </c>
      <c r="E805">
        <v>0.33079999999999998</v>
      </c>
      <c r="F805">
        <v>322353.32</v>
      </c>
      <c r="G805">
        <v>0</v>
      </c>
      <c r="L805" t="s">
        <v>7</v>
      </c>
      <c r="M805" t="s">
        <v>7</v>
      </c>
      <c r="N805" t="s">
        <v>7</v>
      </c>
      <c r="P805">
        <f t="shared" si="1004"/>
        <v>0.26907630522088311</v>
      </c>
      <c r="Q805">
        <f t="shared" si="1005"/>
        <v>86737.640321284998</v>
      </c>
      <c r="R805">
        <f t="shared" si="1006"/>
        <v>-1173547.9700038123</v>
      </c>
      <c r="S805">
        <f t="shared" si="1007"/>
        <v>-11.735479700038123</v>
      </c>
      <c r="T805">
        <f t="shared" si="1008"/>
        <v>-1.1735479700038123E-2</v>
      </c>
    </row>
    <row r="806" spans="1:20" x14ac:dyDescent="0.25">
      <c r="A806" s="5">
        <v>43787</v>
      </c>
      <c r="B806">
        <v>0.35099999999999998</v>
      </c>
      <c r="C806">
        <v>0.36409999999999998</v>
      </c>
      <c r="D806">
        <v>0.33210000000000001</v>
      </c>
      <c r="E806">
        <v>0.3407</v>
      </c>
      <c r="F806">
        <v>178585</v>
      </c>
      <c r="G806">
        <v>0</v>
      </c>
      <c r="L806" t="s">
        <v>7</v>
      </c>
      <c r="M806" t="s">
        <v>7</v>
      </c>
      <c r="N806" t="s">
        <v>8</v>
      </c>
      <c r="P806">
        <f t="shared" si="1004"/>
        <v>-0.46249999999999974</v>
      </c>
      <c r="Q806">
        <f t="shared" si="1005"/>
        <v>-82595.562499999956</v>
      </c>
      <c r="R806">
        <f t="shared" si="1006"/>
        <v>-1260285.6103250973</v>
      </c>
      <c r="S806">
        <f t="shared" si="1007"/>
        <v>-12.602856103250973</v>
      </c>
      <c r="T806">
        <f t="shared" si="1008"/>
        <v>-1.2602856103250973E-2</v>
      </c>
    </row>
    <row r="807" spans="1:20" x14ac:dyDescent="0.25">
      <c r="A807" s="5">
        <v>43786</v>
      </c>
      <c r="B807">
        <v>0.35489999999999999</v>
      </c>
      <c r="C807">
        <v>0.36499999999999999</v>
      </c>
      <c r="D807">
        <v>0.34589999999999999</v>
      </c>
      <c r="E807">
        <v>0.35099999999999998</v>
      </c>
      <c r="F807">
        <v>254154.16</v>
      </c>
      <c r="G807">
        <v>0</v>
      </c>
      <c r="L807" t="s">
        <v>8</v>
      </c>
      <c r="M807" t="s">
        <v>7</v>
      </c>
      <c r="N807" t="s">
        <v>8</v>
      </c>
      <c r="P807">
        <f t="shared" si="1004"/>
        <v>-0.46596858638743538</v>
      </c>
      <c r="Q807">
        <f t="shared" si="1005"/>
        <v>-118427.85465968607</v>
      </c>
      <c r="R807">
        <f t="shared" si="1006"/>
        <v>-1177690.0478250973</v>
      </c>
      <c r="S807">
        <f t="shared" si="1007"/>
        <v>-11.776900478250973</v>
      </c>
      <c r="T807">
        <f t="shared" si="1008"/>
        <v>-1.1776900478250972E-2</v>
      </c>
    </row>
    <row r="808" spans="1:20" x14ac:dyDescent="0.25">
      <c r="A808" s="5">
        <v>43785</v>
      </c>
      <c r="B808">
        <v>0.35299999999999998</v>
      </c>
      <c r="C808">
        <v>0.36880000000000002</v>
      </c>
      <c r="D808">
        <v>0.34939999999999999</v>
      </c>
      <c r="E808">
        <v>0.35749999999999998</v>
      </c>
      <c r="F808">
        <v>300426.56</v>
      </c>
      <c r="G808">
        <v>0</v>
      </c>
      <c r="L808" t="s">
        <v>8</v>
      </c>
      <c r="M808" t="s">
        <v>7</v>
      </c>
      <c r="N808" t="s">
        <v>8</v>
      </c>
      <c r="P808">
        <f t="shared" si="1004"/>
        <v>-0.16494845360824906</v>
      </c>
      <c r="Q808">
        <f t="shared" si="1005"/>
        <v>-49554.896494845852</v>
      </c>
      <c r="R808">
        <f t="shared" si="1006"/>
        <v>-1059262.1931654112</v>
      </c>
      <c r="S808">
        <f t="shared" si="1007"/>
        <v>-10.592621931654113</v>
      </c>
      <c r="T808">
        <f t="shared" si="1008"/>
        <v>-1.0592621931654113E-2</v>
      </c>
    </row>
    <row r="809" spans="1:20" x14ac:dyDescent="0.25">
      <c r="A809" s="5">
        <v>43784</v>
      </c>
      <c r="B809">
        <v>0.34489999999999998</v>
      </c>
      <c r="C809">
        <v>0.36070000000000002</v>
      </c>
      <c r="D809">
        <v>0.33510000000000001</v>
      </c>
      <c r="E809">
        <v>0.35659999999999997</v>
      </c>
      <c r="F809">
        <v>476602.75</v>
      </c>
      <c r="G809">
        <v>0</v>
      </c>
      <c r="L809" t="s">
        <v>8</v>
      </c>
      <c r="M809" t="s">
        <v>7</v>
      </c>
      <c r="N809" t="s">
        <v>8</v>
      </c>
      <c r="P809">
        <f t="shared" si="1004"/>
        <v>0.67968749999999634</v>
      </c>
      <c r="Q809">
        <f t="shared" si="1005"/>
        <v>323940.93164062325</v>
      </c>
      <c r="R809">
        <f t="shared" si="1006"/>
        <v>-1009707.2966705655</v>
      </c>
      <c r="S809">
        <f t="shared" si="1007"/>
        <v>-10.097072966705655</v>
      </c>
      <c r="T809">
        <f t="shared" si="1008"/>
        <v>-1.0097072966705655E-2</v>
      </c>
    </row>
    <row r="810" spans="1:20" x14ac:dyDescent="0.25">
      <c r="A810" s="5">
        <v>43783</v>
      </c>
      <c r="B810">
        <v>0.34860000000000002</v>
      </c>
      <c r="C810">
        <v>0.35139999999999999</v>
      </c>
      <c r="D810">
        <v>0.33300000000000002</v>
      </c>
      <c r="E810">
        <v>0.34289999999999998</v>
      </c>
      <c r="F810">
        <v>210028</v>
      </c>
      <c r="G810">
        <v>0</v>
      </c>
      <c r="L810" t="s">
        <v>7</v>
      </c>
      <c r="M810" t="s">
        <v>7</v>
      </c>
      <c r="N810" t="s">
        <v>8</v>
      </c>
      <c r="P810">
        <f t="shared" si="1004"/>
        <v>7.6086956521736901E-2</v>
      </c>
      <c r="Q810">
        <f t="shared" si="1005"/>
        <v>15980.391304347359</v>
      </c>
      <c r="R810">
        <f t="shared" si="1006"/>
        <v>-1333648.2283111888</v>
      </c>
      <c r="S810">
        <f t="shared" si="1007"/>
        <v>-13.336482283111888</v>
      </c>
      <c r="T810">
        <f t="shared" si="1008"/>
        <v>-1.3336482283111888E-2</v>
      </c>
    </row>
    <row r="811" spans="1:20" x14ac:dyDescent="0.25">
      <c r="A811" s="5">
        <v>43782</v>
      </c>
      <c r="B811">
        <v>0.34739999999999999</v>
      </c>
      <c r="C811">
        <v>0.35449999999999998</v>
      </c>
      <c r="D811">
        <v>0.3427</v>
      </c>
      <c r="E811">
        <v>0.34660000000000002</v>
      </c>
      <c r="F811">
        <v>663283.52</v>
      </c>
      <c r="G811">
        <v>0</v>
      </c>
      <c r="L811" t="s">
        <v>7</v>
      </c>
      <c r="M811" t="s">
        <v>7</v>
      </c>
      <c r="N811" t="s">
        <v>8</v>
      </c>
      <c r="P811">
        <f t="shared" si="1004"/>
        <v>-0.33898305084745389</v>
      </c>
      <c r="Q811">
        <f t="shared" si="1005"/>
        <v>-224841.87118643822</v>
      </c>
      <c r="R811">
        <f t="shared" si="1006"/>
        <v>-1349628.6196155362</v>
      </c>
      <c r="S811">
        <f t="shared" si="1007"/>
        <v>-13.496286196155362</v>
      </c>
      <c r="T811">
        <f t="shared" si="1008"/>
        <v>-1.3496286196155362E-2</v>
      </c>
    </row>
    <row r="812" spans="1:20" x14ac:dyDescent="0.25">
      <c r="A812" s="5">
        <v>43781</v>
      </c>
      <c r="B812">
        <v>0.34749999999999998</v>
      </c>
      <c r="C812">
        <v>0.35899999999999999</v>
      </c>
      <c r="D812">
        <v>0.33579999999999999</v>
      </c>
      <c r="E812">
        <v>0.3503</v>
      </c>
      <c r="F812">
        <v>216484.82</v>
      </c>
      <c r="G812">
        <v>0</v>
      </c>
      <c r="L812" t="s">
        <v>7</v>
      </c>
      <c r="M812" t="s">
        <v>7</v>
      </c>
      <c r="N812" t="s">
        <v>8</v>
      </c>
      <c r="P812">
        <f t="shared" si="1004"/>
        <v>0.25000000000000122</v>
      </c>
      <c r="Q812">
        <f t="shared" si="1005"/>
        <v>54121.205000000264</v>
      </c>
      <c r="R812">
        <f t="shared" si="1006"/>
        <v>-1124786.7484290979</v>
      </c>
      <c r="S812">
        <f t="shared" si="1007"/>
        <v>-11.24786748429098</v>
      </c>
      <c r="T812">
        <f t="shared" si="1008"/>
        <v>-1.1247867484290981E-2</v>
      </c>
    </row>
    <row r="813" spans="1:20" x14ac:dyDescent="0.25">
      <c r="A813" s="5">
        <v>43780</v>
      </c>
      <c r="B813">
        <v>0.35449999999999998</v>
      </c>
      <c r="C813">
        <v>0.35870000000000002</v>
      </c>
      <c r="D813">
        <v>0.33810000000000001</v>
      </c>
      <c r="E813">
        <v>0.34810000000000002</v>
      </c>
      <c r="F813">
        <v>91675.9</v>
      </c>
      <c r="G813">
        <v>0</v>
      </c>
      <c r="L813" t="s">
        <v>7</v>
      </c>
      <c r="M813" t="s">
        <v>7</v>
      </c>
      <c r="N813" t="s">
        <v>8</v>
      </c>
      <c r="P813">
        <f t="shared" si="1004"/>
        <v>-2.9126213592232487E-2</v>
      </c>
      <c r="Q813">
        <f t="shared" si="1005"/>
        <v>-2670.1718446601462</v>
      </c>
      <c r="R813">
        <f t="shared" si="1006"/>
        <v>-1178907.9534290982</v>
      </c>
      <c r="S813">
        <f t="shared" si="1007"/>
        <v>-11.789079534290982</v>
      </c>
      <c r="T813">
        <f t="shared" si="1008"/>
        <v>-1.1789079534290982E-2</v>
      </c>
    </row>
    <row r="814" spans="1:20" x14ac:dyDescent="0.25">
      <c r="A814" s="5">
        <v>43779</v>
      </c>
      <c r="B814">
        <v>0.3513</v>
      </c>
      <c r="C814">
        <v>0.35899999999999999</v>
      </c>
      <c r="D814">
        <v>0.34399999999999997</v>
      </c>
      <c r="E814">
        <v>0.35730000000000001</v>
      </c>
      <c r="F814">
        <v>104844.28</v>
      </c>
      <c r="G814">
        <v>0</v>
      </c>
      <c r="L814" t="s">
        <v>8</v>
      </c>
      <c r="M814" t="s">
        <v>7</v>
      </c>
      <c r="N814" t="s">
        <v>8</v>
      </c>
      <c r="P814">
        <f t="shared" si="1004"/>
        <v>0.77333333333333631</v>
      </c>
      <c r="Q814">
        <f t="shared" si="1005"/>
        <v>81079.576533333646</v>
      </c>
      <c r="R814">
        <f t="shared" si="1006"/>
        <v>-1176237.7815844382</v>
      </c>
      <c r="S814">
        <f t="shared" si="1007"/>
        <v>-11.762377815844381</v>
      </c>
      <c r="T814">
        <f t="shared" si="1008"/>
        <v>-1.1762377815844381E-2</v>
      </c>
    </row>
    <row r="815" spans="1:20" x14ac:dyDescent="0.25">
      <c r="A815" s="5">
        <v>43778</v>
      </c>
      <c r="B815">
        <v>0.35070000000000001</v>
      </c>
      <c r="C815">
        <v>0.36499999999999999</v>
      </c>
      <c r="D815">
        <v>0.34389999999999998</v>
      </c>
      <c r="E815">
        <v>0.35299999999999998</v>
      </c>
      <c r="F815">
        <v>401906.79</v>
      </c>
      <c r="G815">
        <v>0</v>
      </c>
      <c r="L815" t="s">
        <v>8</v>
      </c>
      <c r="M815" t="s">
        <v>7</v>
      </c>
      <c r="N815" t="s">
        <v>8</v>
      </c>
      <c r="P815">
        <f t="shared" si="1004"/>
        <v>-0.13744075829383945</v>
      </c>
      <c r="Q815">
        <f t="shared" si="1005"/>
        <v>-55238.373981042889</v>
      </c>
      <c r="R815">
        <f t="shared" si="1006"/>
        <v>-1257317.3581177718</v>
      </c>
      <c r="S815">
        <f t="shared" si="1007"/>
        <v>-12.573173581177718</v>
      </c>
      <c r="T815">
        <f t="shared" si="1008"/>
        <v>-1.2573173581177719E-2</v>
      </c>
    </row>
    <row r="816" spans="1:20" x14ac:dyDescent="0.25">
      <c r="A816" s="5">
        <v>43777</v>
      </c>
      <c r="B816">
        <v>0.36020000000000002</v>
      </c>
      <c r="C816">
        <v>0.36259999999999998</v>
      </c>
      <c r="D816">
        <v>0.33</v>
      </c>
      <c r="E816">
        <v>0.34920000000000001</v>
      </c>
      <c r="F816">
        <v>617344.57999999996</v>
      </c>
      <c r="G816">
        <v>0</v>
      </c>
      <c r="L816" t="s">
        <v>7</v>
      </c>
      <c r="M816" t="s">
        <v>7</v>
      </c>
      <c r="N816" t="s">
        <v>8</v>
      </c>
      <c r="P816">
        <f t="shared" si="1004"/>
        <v>0.17791411042944891</v>
      </c>
      <c r="Q816">
        <f t="shared" si="1005"/>
        <v>109834.31177914175</v>
      </c>
      <c r="R816">
        <f t="shared" si="1006"/>
        <v>-1202078.9841367288</v>
      </c>
      <c r="S816">
        <f t="shared" si="1007"/>
        <v>-12.020789841367288</v>
      </c>
      <c r="T816">
        <f t="shared" si="1008"/>
        <v>-1.2020789841367287E-2</v>
      </c>
    </row>
    <row r="817" spans="1:20" x14ac:dyDescent="0.25">
      <c r="A817" s="5">
        <v>43776</v>
      </c>
      <c r="B817">
        <v>0.3805</v>
      </c>
      <c r="C817">
        <v>0.38229999999999997</v>
      </c>
      <c r="D817">
        <v>0.34649999999999997</v>
      </c>
      <c r="E817">
        <v>0.36020000000000002</v>
      </c>
      <c r="F817">
        <v>1117159.97</v>
      </c>
      <c r="G817">
        <v>0</v>
      </c>
      <c r="L817" t="s">
        <v>7</v>
      </c>
      <c r="M817" t="s">
        <v>7</v>
      </c>
      <c r="N817" t="s">
        <v>8</v>
      </c>
      <c r="P817">
        <f t="shared" si="1004"/>
        <v>-0.23463687150837731</v>
      </c>
      <c r="Q817">
        <f t="shared" si="1005"/>
        <v>-262126.92033519264</v>
      </c>
      <c r="R817">
        <f t="shared" si="1006"/>
        <v>-1311913.2959158705</v>
      </c>
      <c r="S817">
        <f t="shared" si="1007"/>
        <v>-13.119132959158705</v>
      </c>
      <c r="T817">
        <f t="shared" si="1008"/>
        <v>-1.3119132959158704E-2</v>
      </c>
    </row>
    <row r="818" spans="1:20" x14ac:dyDescent="0.25">
      <c r="A818" s="5">
        <v>43775</v>
      </c>
      <c r="B818">
        <v>0.3856</v>
      </c>
      <c r="C818">
        <v>0.38819999999999999</v>
      </c>
      <c r="D818">
        <v>0.37540000000000001</v>
      </c>
      <c r="E818">
        <v>0.37740000000000001</v>
      </c>
      <c r="F818">
        <v>706788.57</v>
      </c>
      <c r="G818">
        <v>0</v>
      </c>
      <c r="L818" t="s">
        <v>7</v>
      </c>
      <c r="M818" t="s">
        <v>7</v>
      </c>
      <c r="N818" t="s">
        <v>8</v>
      </c>
      <c r="P818">
        <f t="shared" si="1004"/>
        <v>-0.68749999999999922</v>
      </c>
      <c r="Q818">
        <f t="shared" si="1005"/>
        <v>-485917.14187499939</v>
      </c>
      <c r="R818">
        <f t="shared" si="1006"/>
        <v>-1049786.3755806778</v>
      </c>
      <c r="S818">
        <f t="shared" si="1007"/>
        <v>-10.497863755806778</v>
      </c>
      <c r="T818">
        <f t="shared" si="1008"/>
        <v>-1.0497863755806778E-2</v>
      </c>
    </row>
    <row r="819" spans="1:20" x14ac:dyDescent="0.25">
      <c r="A819" s="5">
        <v>43774</v>
      </c>
      <c r="B819">
        <v>0.38080000000000003</v>
      </c>
      <c r="C819">
        <v>0.38950000000000001</v>
      </c>
      <c r="D819">
        <v>0.36499999999999999</v>
      </c>
      <c r="E819">
        <v>0.38519999999999999</v>
      </c>
      <c r="F819">
        <v>549933.81000000006</v>
      </c>
      <c r="G819">
        <v>0</v>
      </c>
      <c r="L819" t="s">
        <v>7</v>
      </c>
      <c r="M819" t="s">
        <v>7</v>
      </c>
      <c r="N819" t="s">
        <v>8</v>
      </c>
      <c r="P819">
        <f t="shared" si="1004"/>
        <v>0.64897959183673293</v>
      </c>
      <c r="Q819">
        <f t="shared" si="1005"/>
        <v>356895.81955101946</v>
      </c>
      <c r="R819">
        <f t="shared" si="1006"/>
        <v>-563869.23370567826</v>
      </c>
      <c r="S819">
        <f t="shared" si="1007"/>
        <v>-5.6386923370567823</v>
      </c>
      <c r="T819">
        <f t="shared" si="1008"/>
        <v>-5.6386923370567825E-3</v>
      </c>
    </row>
    <row r="820" spans="1:20" x14ac:dyDescent="0.25">
      <c r="A820" s="5">
        <v>43773</v>
      </c>
      <c r="B820">
        <v>0.40539999999999998</v>
      </c>
      <c r="C820">
        <v>0.40550000000000003</v>
      </c>
      <c r="D820">
        <v>0.36909999999999998</v>
      </c>
      <c r="E820">
        <v>0.3805</v>
      </c>
      <c r="F820">
        <v>887725.57</v>
      </c>
      <c r="G820">
        <v>0</v>
      </c>
      <c r="L820" t="s">
        <v>7</v>
      </c>
      <c r="M820" t="s">
        <v>7</v>
      </c>
      <c r="N820" t="s">
        <v>8</v>
      </c>
      <c r="P820">
        <f t="shared" si="1004"/>
        <v>-0.37362637362637319</v>
      </c>
      <c r="Q820">
        <f t="shared" si="1005"/>
        <v>-331677.6854945051</v>
      </c>
      <c r="R820">
        <f t="shared" si="1006"/>
        <v>-920765.05325669772</v>
      </c>
      <c r="S820">
        <f t="shared" si="1007"/>
        <v>-9.2076505325669764</v>
      </c>
      <c r="T820">
        <f t="shared" si="1008"/>
        <v>-9.2076505325669761E-3</v>
      </c>
    </row>
    <row r="821" spans="1:20" x14ac:dyDescent="0.25">
      <c r="A821" s="5">
        <v>43772</v>
      </c>
      <c r="B821">
        <v>0.41520000000000001</v>
      </c>
      <c r="C821">
        <v>0.41830000000000001</v>
      </c>
      <c r="D821">
        <v>0.38540000000000002</v>
      </c>
      <c r="E821">
        <v>0.4047</v>
      </c>
      <c r="F821">
        <v>890464.39</v>
      </c>
      <c r="G821">
        <v>0</v>
      </c>
      <c r="L821" t="s">
        <v>7</v>
      </c>
      <c r="M821" t="s">
        <v>8</v>
      </c>
      <c r="N821" t="s">
        <v>8</v>
      </c>
      <c r="P821">
        <f t="shared" si="1004"/>
        <v>0.17325227963525791</v>
      </c>
      <c r="Q821">
        <f t="shared" si="1005"/>
        <v>154274.98550151935</v>
      </c>
      <c r="R821">
        <f t="shared" si="1006"/>
        <v>-589087.36776219262</v>
      </c>
      <c r="S821">
        <f t="shared" si="1007"/>
        <v>-5.8908736776219266</v>
      </c>
      <c r="T821">
        <f t="shared" si="1008"/>
        <v>-5.8908736776219269E-3</v>
      </c>
    </row>
    <row r="822" spans="1:20" x14ac:dyDescent="0.25">
      <c r="A822" s="5">
        <v>43771</v>
      </c>
      <c r="B822">
        <v>0.37469999999999998</v>
      </c>
      <c r="C822">
        <v>0.44479999999999997</v>
      </c>
      <c r="D822">
        <v>0.37169999999999997</v>
      </c>
      <c r="E822">
        <v>0.41520000000000001</v>
      </c>
      <c r="F822">
        <v>945189.38</v>
      </c>
      <c r="G822">
        <v>0</v>
      </c>
      <c r="L822" t="s">
        <v>8</v>
      </c>
      <c r="M822" t="s">
        <v>8</v>
      </c>
      <c r="N822" t="s">
        <v>8</v>
      </c>
      <c r="P822">
        <f t="shared" si="1004"/>
        <v>0.19015047879617072</v>
      </c>
      <c r="Q822">
        <f t="shared" si="1005"/>
        <v>179728.21316005575</v>
      </c>
      <c r="R822">
        <f t="shared" si="1006"/>
        <v>-743362.35326371202</v>
      </c>
      <c r="S822">
        <f t="shared" si="1007"/>
        <v>-7.4336235326371201</v>
      </c>
      <c r="T822">
        <f t="shared" si="1008"/>
        <v>-7.4336235326371205E-3</v>
      </c>
    </row>
    <row r="823" spans="1:20" x14ac:dyDescent="0.25">
      <c r="A823" s="5">
        <v>43770</v>
      </c>
      <c r="B823">
        <v>0.36520000000000002</v>
      </c>
      <c r="C823">
        <v>0.37490000000000001</v>
      </c>
      <c r="D823">
        <v>0.34410000000000002</v>
      </c>
      <c r="E823">
        <v>0.37019999999999997</v>
      </c>
      <c r="F823">
        <v>515319.97</v>
      </c>
      <c r="G823">
        <v>0</v>
      </c>
      <c r="L823" t="s">
        <v>7</v>
      </c>
      <c r="M823" t="s">
        <v>8</v>
      </c>
      <c r="N823" t="s">
        <v>8</v>
      </c>
      <c r="P823">
        <f t="shared" si="1004"/>
        <v>0.69480519480519232</v>
      </c>
      <c r="Q823">
        <f t="shared" si="1005"/>
        <v>358046.99214285583</v>
      </c>
      <c r="R823">
        <f t="shared" si="1006"/>
        <v>-923090.56642376771</v>
      </c>
      <c r="S823">
        <f t="shared" si="1007"/>
        <v>-9.2309056642376763</v>
      </c>
      <c r="T823">
        <f t="shared" si="1008"/>
        <v>-9.2309056642376763E-3</v>
      </c>
    </row>
    <row r="824" spans="1:20" x14ac:dyDescent="0.25">
      <c r="A824" s="5">
        <v>43769</v>
      </c>
      <c r="B824">
        <v>0.35160000000000002</v>
      </c>
      <c r="C824">
        <v>0.37930000000000003</v>
      </c>
      <c r="D824">
        <v>0.35089999999999999</v>
      </c>
      <c r="E824">
        <v>0.36580000000000001</v>
      </c>
      <c r="F824">
        <v>492261.55</v>
      </c>
      <c r="G824">
        <v>0</v>
      </c>
      <c r="L824" t="s">
        <v>8</v>
      </c>
      <c r="M824" t="s">
        <v>8</v>
      </c>
      <c r="N824" t="s">
        <v>8</v>
      </c>
      <c r="P824">
        <f t="shared" si="1004"/>
        <v>4.9295774647887695E-2</v>
      </c>
      <c r="Q824">
        <f t="shared" si="1005"/>
        <v>24266.4144366199</v>
      </c>
      <c r="R824">
        <f t="shared" si="1006"/>
        <v>-1281137.5585666236</v>
      </c>
      <c r="S824">
        <f t="shared" si="1007"/>
        <v>-12.811375585666235</v>
      </c>
      <c r="T824">
        <f t="shared" si="1008"/>
        <v>-1.2811375585666236E-2</v>
      </c>
    </row>
    <row r="825" spans="1:20" x14ac:dyDescent="0.25">
      <c r="A825" s="5">
        <v>43768</v>
      </c>
      <c r="B825">
        <v>0.34039999999999998</v>
      </c>
      <c r="C825">
        <v>0.37290000000000001</v>
      </c>
      <c r="D825">
        <v>0.33650000000000002</v>
      </c>
      <c r="E825">
        <v>0.35089999999999999</v>
      </c>
      <c r="F825">
        <v>636563.02</v>
      </c>
      <c r="G825">
        <v>0</v>
      </c>
      <c r="L825" t="s">
        <v>8</v>
      </c>
      <c r="M825" t="s">
        <v>8</v>
      </c>
      <c r="N825" t="s">
        <v>8</v>
      </c>
      <c r="P825">
        <f t="shared" si="1004"/>
        <v>-0.20879120879121027</v>
      </c>
      <c r="Q825">
        <f t="shared" si="1005"/>
        <v>-132908.76241758338</v>
      </c>
      <c r="R825">
        <f t="shared" si="1006"/>
        <v>-1305403.9730032436</v>
      </c>
      <c r="S825">
        <f t="shared" si="1007"/>
        <v>-13.054039730032436</v>
      </c>
      <c r="T825">
        <f t="shared" si="1008"/>
        <v>-1.3054039730032435E-2</v>
      </c>
    </row>
    <row r="826" spans="1:20" x14ac:dyDescent="0.25">
      <c r="A826" s="5">
        <v>43767</v>
      </c>
      <c r="B826">
        <v>0.35580000000000001</v>
      </c>
      <c r="C826">
        <v>0.35859999999999997</v>
      </c>
      <c r="D826">
        <v>0.33200000000000002</v>
      </c>
      <c r="E826">
        <v>0.34039999999999998</v>
      </c>
      <c r="F826">
        <v>836466.36</v>
      </c>
      <c r="G826">
        <v>0</v>
      </c>
      <c r="L826" t="s">
        <v>7</v>
      </c>
      <c r="M826" t="s">
        <v>8</v>
      </c>
      <c r="N826" t="s">
        <v>8</v>
      </c>
      <c r="P826">
        <f t="shared" si="1004"/>
        <v>-0.3684210526315807</v>
      </c>
      <c r="Q826">
        <f t="shared" si="1005"/>
        <v>-308171.81684210675</v>
      </c>
      <c r="R826">
        <f t="shared" si="1006"/>
        <v>-1172495.2105856603</v>
      </c>
      <c r="S826">
        <f t="shared" si="1007"/>
        <v>-11.724952105856604</v>
      </c>
      <c r="T826">
        <f t="shared" si="1008"/>
        <v>-1.1724952105856603E-2</v>
      </c>
    </row>
    <row r="827" spans="1:20" x14ac:dyDescent="0.25">
      <c r="A827" s="5">
        <v>43766</v>
      </c>
      <c r="B827">
        <v>0.31640000000000001</v>
      </c>
      <c r="C827">
        <v>0.37290000000000001</v>
      </c>
      <c r="D827">
        <v>0.31309999999999999</v>
      </c>
      <c r="E827">
        <v>0.35599999999999998</v>
      </c>
      <c r="F827">
        <v>1003399.92</v>
      </c>
      <c r="G827">
        <v>0</v>
      </c>
      <c r="L827" t="s">
        <v>8</v>
      </c>
      <c r="M827" t="s">
        <v>8</v>
      </c>
      <c r="N827" t="s">
        <v>8</v>
      </c>
      <c r="P827">
        <f t="shared" si="1004"/>
        <v>0.4347826086956515</v>
      </c>
      <c r="Q827">
        <f t="shared" si="1005"/>
        <v>436260.83478260803</v>
      </c>
      <c r="R827">
        <f t="shared" si="1006"/>
        <v>-864323.39374355366</v>
      </c>
      <c r="S827">
        <f t="shared" si="1007"/>
        <v>-8.6432339374355358</v>
      </c>
      <c r="T827">
        <f t="shared" si="1008"/>
        <v>-8.6432339374355356E-3</v>
      </c>
    </row>
    <row r="828" spans="1:20" x14ac:dyDescent="0.25">
      <c r="A828" s="5">
        <v>43765</v>
      </c>
      <c r="B828">
        <v>0.30070000000000002</v>
      </c>
      <c r="C828">
        <v>0.32969999999999999</v>
      </c>
      <c r="D828">
        <v>0.29089999999999999</v>
      </c>
      <c r="E828">
        <v>0.31609999999999999</v>
      </c>
      <c r="F828">
        <v>250591.33</v>
      </c>
      <c r="G828">
        <v>0</v>
      </c>
      <c r="L828" t="s">
        <v>8</v>
      </c>
      <c r="M828" t="s">
        <v>8</v>
      </c>
      <c r="N828" t="s">
        <v>7</v>
      </c>
      <c r="P828">
        <f t="shared" si="1004"/>
        <v>0.29896907216494845</v>
      </c>
      <c r="Q828">
        <f t="shared" si="1005"/>
        <v>74919.057422680402</v>
      </c>
      <c r="R828">
        <f t="shared" si="1006"/>
        <v>-1300584.2285261618</v>
      </c>
      <c r="S828">
        <f t="shared" si="1007"/>
        <v>-13.005842285261618</v>
      </c>
      <c r="T828">
        <f t="shared" si="1008"/>
        <v>-1.3005842285261618E-2</v>
      </c>
    </row>
    <row r="829" spans="1:20" x14ac:dyDescent="0.25">
      <c r="A829" s="5">
        <v>43764</v>
      </c>
      <c r="B829">
        <v>0.31190000000000001</v>
      </c>
      <c r="C829">
        <v>0.32</v>
      </c>
      <c r="D829">
        <v>0.29220000000000002</v>
      </c>
      <c r="E829">
        <v>0.30109999999999998</v>
      </c>
      <c r="F829">
        <v>844778.87</v>
      </c>
      <c r="G829">
        <v>0</v>
      </c>
      <c r="L829" t="s">
        <v>7</v>
      </c>
      <c r="M829" t="s">
        <v>8</v>
      </c>
      <c r="N829" t="s">
        <v>7</v>
      </c>
      <c r="P829">
        <f t="shared" si="1004"/>
        <v>-0.35971223021582976</v>
      </c>
      <c r="Q829">
        <f t="shared" si="1005"/>
        <v>-303877.29136690852</v>
      </c>
      <c r="R829">
        <f t="shared" si="1006"/>
        <v>-1375503.2859488421</v>
      </c>
      <c r="S829">
        <f t="shared" si="1007"/>
        <v>-13.75503285948842</v>
      </c>
      <c r="T829">
        <f t="shared" si="1008"/>
        <v>-1.375503285948842E-2</v>
      </c>
    </row>
    <row r="830" spans="1:20" x14ac:dyDescent="0.25">
      <c r="A830" s="5">
        <v>43763</v>
      </c>
      <c r="B830">
        <v>0.29310000000000003</v>
      </c>
      <c r="C830">
        <v>0.32950000000000002</v>
      </c>
      <c r="D830">
        <v>0.28149999999999997</v>
      </c>
      <c r="E830">
        <v>0.31190000000000001</v>
      </c>
      <c r="F830">
        <v>1471719.94</v>
      </c>
      <c r="G830">
        <v>0</v>
      </c>
      <c r="L830" t="s">
        <v>8</v>
      </c>
      <c r="M830" t="s">
        <v>8</v>
      </c>
      <c r="N830" t="s">
        <v>7</v>
      </c>
      <c r="P830">
        <f t="shared" si="1004"/>
        <v>0.26666666666666711</v>
      </c>
      <c r="Q830">
        <f t="shared" si="1005"/>
        <v>392458.65066666732</v>
      </c>
      <c r="R830">
        <f t="shared" si="1006"/>
        <v>-1071625.9945819336</v>
      </c>
      <c r="S830">
        <f t="shared" si="1007"/>
        <v>-10.716259945819337</v>
      </c>
      <c r="T830">
        <f t="shared" si="1008"/>
        <v>-1.0716259945819337E-2</v>
      </c>
    </row>
    <row r="831" spans="1:20" x14ac:dyDescent="0.25">
      <c r="A831" s="5">
        <v>43762</v>
      </c>
      <c r="B831">
        <v>0.27539999999999998</v>
      </c>
      <c r="C831">
        <v>0.30399999999999999</v>
      </c>
      <c r="D831">
        <v>0.2631</v>
      </c>
      <c r="E831">
        <v>0.29170000000000001</v>
      </c>
      <c r="F831">
        <v>620941.69999999995</v>
      </c>
      <c r="G831">
        <v>0</v>
      </c>
      <c r="L831" t="s">
        <v>7</v>
      </c>
      <c r="M831" t="s">
        <v>7</v>
      </c>
      <c r="N831" t="s">
        <v>7</v>
      </c>
      <c r="P831">
        <f t="shared" ref="P831:P893" si="1009">IF(C831=D831,0,((E831-D831)-(C831-E831))/(C831-D831))</f>
        <v>0.39853300733496427</v>
      </c>
      <c r="Q831">
        <f t="shared" ref="Q831:Q893" si="1010">F831*P831</f>
        <v>247465.76308068517</v>
      </c>
      <c r="R831">
        <f t="shared" ref="R831:R893" si="1011">R832+Q831</f>
        <v>-1464084.645248601</v>
      </c>
      <c r="S831">
        <f t="shared" ref="S831:S893" si="1012">R831/100000</f>
        <v>-14.640846452486009</v>
      </c>
      <c r="T831">
        <f t="shared" ref="T831:T893" si="1013">S831/1000</f>
        <v>-1.4640846452486009E-2</v>
      </c>
    </row>
    <row r="832" spans="1:20" x14ac:dyDescent="0.25">
      <c r="A832" s="5">
        <v>43761</v>
      </c>
      <c r="B832">
        <v>0.30499999999999999</v>
      </c>
      <c r="C832">
        <v>0.30969999999999998</v>
      </c>
      <c r="D832">
        <v>0.26629999999999998</v>
      </c>
      <c r="E832">
        <v>0.27500000000000002</v>
      </c>
      <c r="F832">
        <v>546010.88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-0.59907834101382296</v>
      </c>
      <c r="Q832">
        <f t="shared" si="1010"/>
        <v>-327103.29216589755</v>
      </c>
      <c r="R832">
        <f t="shared" si="1011"/>
        <v>-1711550.4083292861</v>
      </c>
      <c r="S832">
        <f t="shared" si="1012"/>
        <v>-17.115504083292862</v>
      </c>
      <c r="T832">
        <f t="shared" si="1013"/>
        <v>-1.7115504083292862E-2</v>
      </c>
    </row>
    <row r="833" spans="1:20" x14ac:dyDescent="0.25">
      <c r="A833" s="5">
        <v>43760</v>
      </c>
      <c r="B833">
        <v>0.30649999999999999</v>
      </c>
      <c r="C833">
        <v>0.31</v>
      </c>
      <c r="D833">
        <v>0.29299999999999998</v>
      </c>
      <c r="E833">
        <v>0.30590000000000001</v>
      </c>
      <c r="F833">
        <v>345614.93</v>
      </c>
      <c r="G833">
        <v>0</v>
      </c>
      <c r="L833" t="s">
        <v>7</v>
      </c>
      <c r="M833" t="s">
        <v>7</v>
      </c>
      <c r="N833" t="s">
        <v>7</v>
      </c>
      <c r="P833">
        <f t="shared" si="1009"/>
        <v>0.51764705882353068</v>
      </c>
      <c r="Q833">
        <f t="shared" si="1010"/>
        <v>178906.55200000043</v>
      </c>
      <c r="R833">
        <f t="shared" si="1011"/>
        <v>-1384447.1161633886</v>
      </c>
      <c r="S833">
        <f t="shared" si="1012"/>
        <v>-13.844471161633885</v>
      </c>
      <c r="T833">
        <f t="shared" si="1013"/>
        <v>-1.3844471161633886E-2</v>
      </c>
    </row>
    <row r="834" spans="1:20" x14ac:dyDescent="0.25">
      <c r="A834" s="5">
        <v>43759</v>
      </c>
      <c r="B834">
        <v>0.30499999999999999</v>
      </c>
      <c r="C834">
        <v>0.30830000000000002</v>
      </c>
      <c r="D834">
        <v>0.29339999999999999</v>
      </c>
      <c r="E834">
        <v>0.30680000000000002</v>
      </c>
      <c r="F834">
        <v>329100.89</v>
      </c>
      <c r="G834">
        <v>0</v>
      </c>
      <c r="L834" t="s">
        <v>7</v>
      </c>
      <c r="M834" t="s">
        <v>7</v>
      </c>
      <c r="N834" t="s">
        <v>7</v>
      </c>
      <c r="P834">
        <f t="shared" si="1009"/>
        <v>0.79865771812080555</v>
      </c>
      <c r="Q834">
        <f t="shared" si="1010"/>
        <v>262838.96583892626</v>
      </c>
      <c r="R834">
        <f t="shared" si="1011"/>
        <v>-1563353.668163389</v>
      </c>
      <c r="S834">
        <f t="shared" si="1012"/>
        <v>-15.63353668163389</v>
      </c>
      <c r="T834">
        <f t="shared" si="1013"/>
        <v>-1.5633536681633892E-2</v>
      </c>
    </row>
    <row r="835" spans="1:20" x14ac:dyDescent="0.25">
      <c r="A835" s="5">
        <v>43758</v>
      </c>
      <c r="B835">
        <v>0.30009999999999998</v>
      </c>
      <c r="C835">
        <v>0.31730000000000003</v>
      </c>
      <c r="D835">
        <v>0.28820000000000001</v>
      </c>
      <c r="E835">
        <v>0.30520000000000003</v>
      </c>
      <c r="F835">
        <v>405709.47</v>
      </c>
      <c r="G835">
        <v>0</v>
      </c>
      <c r="L835" t="s">
        <v>7</v>
      </c>
      <c r="M835" t="s">
        <v>7</v>
      </c>
      <c r="N835" t="s">
        <v>7</v>
      </c>
      <c r="P835">
        <f t="shared" si="1009"/>
        <v>0.16838487972508637</v>
      </c>
      <c r="Q835">
        <f t="shared" si="1010"/>
        <v>68315.34030927853</v>
      </c>
      <c r="R835">
        <f t="shared" si="1011"/>
        <v>-1826192.6340023151</v>
      </c>
      <c r="S835">
        <f t="shared" si="1012"/>
        <v>-18.261926340023152</v>
      </c>
      <c r="T835">
        <f t="shared" si="1013"/>
        <v>-1.8261926340023153E-2</v>
      </c>
    </row>
    <row r="836" spans="1:20" x14ac:dyDescent="0.25">
      <c r="A836" s="5">
        <v>43757</v>
      </c>
      <c r="B836">
        <v>0.30549999999999999</v>
      </c>
      <c r="C836">
        <v>0.30570000000000003</v>
      </c>
      <c r="D836">
        <v>0.29609999999999997</v>
      </c>
      <c r="E836">
        <v>0.29980000000000001</v>
      </c>
      <c r="F836">
        <v>86654.52</v>
      </c>
      <c r="G836">
        <v>0</v>
      </c>
      <c r="L836" t="s">
        <v>7</v>
      </c>
      <c r="M836" t="s">
        <v>7</v>
      </c>
      <c r="N836" t="s">
        <v>7</v>
      </c>
      <c r="P836">
        <f t="shared" si="1009"/>
        <v>-0.2291666666666633</v>
      </c>
      <c r="Q836">
        <f t="shared" si="1010"/>
        <v>-19858.327499999708</v>
      </c>
      <c r="R836">
        <f t="shared" si="1011"/>
        <v>-1894507.9743115937</v>
      </c>
      <c r="S836">
        <f t="shared" si="1012"/>
        <v>-18.945079743115937</v>
      </c>
      <c r="T836">
        <f t="shared" si="1013"/>
        <v>-1.8945079743115937E-2</v>
      </c>
    </row>
    <row r="837" spans="1:20" x14ac:dyDescent="0.25">
      <c r="A837" s="5">
        <v>43756</v>
      </c>
      <c r="B837">
        <v>0.31840000000000002</v>
      </c>
      <c r="C837">
        <v>0.32119999999999999</v>
      </c>
      <c r="D837">
        <v>0.29549999999999998</v>
      </c>
      <c r="E837">
        <v>0.30570000000000003</v>
      </c>
      <c r="F837">
        <v>635547.28</v>
      </c>
      <c r="G837">
        <v>0</v>
      </c>
      <c r="L837" t="s">
        <v>7</v>
      </c>
      <c r="M837" t="s">
        <v>7</v>
      </c>
      <c r="N837" t="s">
        <v>7</v>
      </c>
      <c r="P837">
        <f t="shared" si="1009"/>
        <v>-0.20622568093384885</v>
      </c>
      <c r="Q837">
        <f t="shared" si="1010"/>
        <v>-131066.1705836555</v>
      </c>
      <c r="R837">
        <f t="shared" si="1011"/>
        <v>-1874649.646811594</v>
      </c>
      <c r="S837">
        <f t="shared" si="1012"/>
        <v>-18.746496468115939</v>
      </c>
      <c r="T837">
        <f t="shared" si="1013"/>
        <v>-1.874649646811594E-2</v>
      </c>
    </row>
    <row r="838" spans="1:20" x14ac:dyDescent="0.25">
      <c r="A838" s="5">
        <v>43755</v>
      </c>
      <c r="B838">
        <v>0.315</v>
      </c>
      <c r="C838">
        <v>0.32550000000000001</v>
      </c>
      <c r="D838">
        <v>0.30680000000000002</v>
      </c>
      <c r="E838">
        <v>0.31840000000000002</v>
      </c>
      <c r="F838">
        <v>211805.06</v>
      </c>
      <c r="G838">
        <v>0</v>
      </c>
      <c r="L838" t="s">
        <v>8</v>
      </c>
      <c r="M838" t="s">
        <v>7</v>
      </c>
      <c r="N838" t="s">
        <v>7</v>
      </c>
      <c r="P838">
        <f t="shared" si="1009"/>
        <v>0.24064171122994682</v>
      </c>
      <c r="Q838">
        <f t="shared" si="1010"/>
        <v>50969.132085561556</v>
      </c>
      <c r="R838">
        <f t="shared" si="1011"/>
        <v>-1743583.4762279384</v>
      </c>
      <c r="S838">
        <f t="shared" si="1012"/>
        <v>-17.435834762279384</v>
      </c>
      <c r="T838">
        <f t="shared" si="1013"/>
        <v>-1.7435834762279383E-2</v>
      </c>
    </row>
    <row r="839" spans="1:20" x14ac:dyDescent="0.25">
      <c r="A839" s="5">
        <v>43754</v>
      </c>
      <c r="B839">
        <v>0.3337</v>
      </c>
      <c r="C839">
        <v>0.33629999999999999</v>
      </c>
      <c r="D839">
        <v>0.3</v>
      </c>
      <c r="E839">
        <v>0.31240000000000001</v>
      </c>
      <c r="F839">
        <v>590728.74</v>
      </c>
      <c r="G839">
        <v>0</v>
      </c>
      <c r="L839" t="s">
        <v>7</v>
      </c>
      <c r="M839" t="s">
        <v>7</v>
      </c>
      <c r="N839" t="s">
        <v>7</v>
      </c>
      <c r="P839">
        <f t="shared" si="1009"/>
        <v>-0.31680440771349738</v>
      </c>
      <c r="Q839">
        <f t="shared" si="1010"/>
        <v>-187145.46859504058</v>
      </c>
      <c r="R839">
        <f t="shared" si="1011"/>
        <v>-1794552.6083134999</v>
      </c>
      <c r="S839">
        <f t="shared" si="1012"/>
        <v>-17.945526083135</v>
      </c>
      <c r="T839">
        <f t="shared" si="1013"/>
        <v>-1.7945526083134999E-2</v>
      </c>
    </row>
    <row r="840" spans="1:20" x14ac:dyDescent="0.25">
      <c r="A840" s="5">
        <v>43753</v>
      </c>
      <c r="B840">
        <v>0.35</v>
      </c>
      <c r="C840">
        <v>0.35299999999999998</v>
      </c>
      <c r="D840">
        <v>0.32679999999999998</v>
      </c>
      <c r="E840">
        <v>0.33410000000000001</v>
      </c>
      <c r="F840">
        <v>521138.26</v>
      </c>
      <c r="G840">
        <v>0</v>
      </c>
      <c r="L840" t="s">
        <v>7</v>
      </c>
      <c r="M840" t="s">
        <v>7</v>
      </c>
      <c r="N840" t="s">
        <v>7</v>
      </c>
      <c r="P840">
        <f t="shared" si="1009"/>
        <v>-0.44274809160305129</v>
      </c>
      <c r="Q840">
        <f t="shared" si="1010"/>
        <v>-230732.97007633475</v>
      </c>
      <c r="R840">
        <f t="shared" si="1011"/>
        <v>-1607407.1397184595</v>
      </c>
      <c r="S840">
        <f t="shared" si="1012"/>
        <v>-16.074071397184593</v>
      </c>
      <c r="T840">
        <f t="shared" si="1013"/>
        <v>-1.6074071397184593E-2</v>
      </c>
    </row>
    <row r="841" spans="1:20" x14ac:dyDescent="0.25">
      <c r="A841" s="5">
        <v>43752</v>
      </c>
      <c r="B841">
        <v>0.34179999999999999</v>
      </c>
      <c r="C841">
        <v>0.3574</v>
      </c>
      <c r="D841">
        <v>0.33529999999999999</v>
      </c>
      <c r="E841">
        <v>0.35070000000000001</v>
      </c>
      <c r="F841">
        <v>611715.56999999995</v>
      </c>
      <c r="G841">
        <v>0</v>
      </c>
      <c r="L841" t="s">
        <v>8</v>
      </c>
      <c r="M841" t="s">
        <v>7</v>
      </c>
      <c r="N841" t="s">
        <v>7</v>
      </c>
      <c r="P841">
        <f t="shared" si="1009"/>
        <v>0.39366515837104243</v>
      </c>
      <c r="Q841">
        <f t="shared" si="1010"/>
        <v>240811.10674208248</v>
      </c>
      <c r="R841">
        <f t="shared" si="1011"/>
        <v>-1376674.1696421248</v>
      </c>
      <c r="S841">
        <f t="shared" si="1012"/>
        <v>-13.766741696421247</v>
      </c>
      <c r="T841">
        <f t="shared" si="1013"/>
        <v>-1.3766741696421248E-2</v>
      </c>
    </row>
    <row r="842" spans="1:20" x14ac:dyDescent="0.25">
      <c r="A842" s="5">
        <v>43751</v>
      </c>
      <c r="B842">
        <v>0.34499999999999997</v>
      </c>
      <c r="C842">
        <v>0.35099999999999998</v>
      </c>
      <c r="D842">
        <v>0.3372</v>
      </c>
      <c r="E842">
        <v>0.34279999999999999</v>
      </c>
      <c r="F842">
        <v>171056.08</v>
      </c>
      <c r="G842">
        <v>0</v>
      </c>
      <c r="L842" t="s">
        <v>7</v>
      </c>
      <c r="M842" t="s">
        <v>7</v>
      </c>
      <c r="N842" t="s">
        <v>7</v>
      </c>
      <c r="P842">
        <f t="shared" si="1009"/>
        <v>-0.18840579710144892</v>
      </c>
      <c r="Q842">
        <f t="shared" si="1010"/>
        <v>-32227.95710144921</v>
      </c>
      <c r="R842">
        <f t="shared" si="1011"/>
        <v>-1617485.2763842072</v>
      </c>
      <c r="S842">
        <f t="shared" si="1012"/>
        <v>-16.174852763842072</v>
      </c>
      <c r="T842">
        <f t="shared" si="1013"/>
        <v>-1.6174852763842073E-2</v>
      </c>
    </row>
    <row r="843" spans="1:20" x14ac:dyDescent="0.25">
      <c r="A843" s="5">
        <v>43750</v>
      </c>
      <c r="B843">
        <v>0.3387</v>
      </c>
      <c r="C843">
        <v>0.3538</v>
      </c>
      <c r="D843">
        <v>0.33689999999999998</v>
      </c>
      <c r="E843">
        <v>0.3458</v>
      </c>
      <c r="F843">
        <v>341116.28</v>
      </c>
      <c r="G843">
        <v>0</v>
      </c>
      <c r="L843" t="s">
        <v>7</v>
      </c>
      <c r="M843" t="s">
        <v>7</v>
      </c>
      <c r="N843" t="s">
        <v>7</v>
      </c>
      <c r="P843">
        <f t="shared" si="1009"/>
        <v>5.3254437869823104E-2</v>
      </c>
      <c r="Q843">
        <f t="shared" si="1010"/>
        <v>18165.955739645182</v>
      </c>
      <c r="R843">
        <f t="shared" si="1011"/>
        <v>-1585257.319282758</v>
      </c>
      <c r="S843">
        <f t="shared" si="1012"/>
        <v>-15.852573192827581</v>
      </c>
      <c r="T843">
        <f t="shared" si="1013"/>
        <v>-1.5852573192827582E-2</v>
      </c>
    </row>
    <row r="844" spans="1:20" x14ac:dyDescent="0.25">
      <c r="A844" s="5">
        <v>43749</v>
      </c>
      <c r="B844">
        <v>0.36159999999999998</v>
      </c>
      <c r="C844">
        <v>0.3634</v>
      </c>
      <c r="D844">
        <v>0.3306</v>
      </c>
      <c r="E844">
        <v>0.33860000000000001</v>
      </c>
      <c r="F844">
        <v>823601.45</v>
      </c>
      <c r="G844">
        <v>0</v>
      </c>
      <c r="L844" t="s">
        <v>7</v>
      </c>
      <c r="M844" t="s">
        <v>7</v>
      </c>
      <c r="N844" t="s">
        <v>7</v>
      </c>
      <c r="P844">
        <f t="shared" si="1009"/>
        <v>-0.51219512195121897</v>
      </c>
      <c r="Q844">
        <f t="shared" si="1010"/>
        <v>-421844.64512195077</v>
      </c>
      <c r="R844">
        <f t="shared" si="1011"/>
        <v>-1603423.2750224033</v>
      </c>
      <c r="S844">
        <f t="shared" si="1012"/>
        <v>-16.034232750224032</v>
      </c>
      <c r="T844">
        <f t="shared" si="1013"/>
        <v>-1.6034232750224031E-2</v>
      </c>
    </row>
    <row r="845" spans="1:20" x14ac:dyDescent="0.25">
      <c r="A845" s="5">
        <v>43748</v>
      </c>
      <c r="B845">
        <v>0.38150000000000001</v>
      </c>
      <c r="C845">
        <v>0.38640000000000002</v>
      </c>
      <c r="D845">
        <v>0.35589999999999999</v>
      </c>
      <c r="E845">
        <v>0.36159999999999998</v>
      </c>
      <c r="F845">
        <v>896644.15</v>
      </c>
      <c r="G845">
        <v>0</v>
      </c>
      <c r="L845" t="s">
        <v>7</v>
      </c>
      <c r="M845" t="s">
        <v>7</v>
      </c>
      <c r="N845" t="s">
        <v>7</v>
      </c>
      <c r="P845">
        <f t="shared" si="1009"/>
        <v>-0.62622950819672274</v>
      </c>
      <c r="Q845">
        <f t="shared" si="1010"/>
        <v>-561505.02508196852</v>
      </c>
      <c r="R845">
        <f t="shared" si="1011"/>
        <v>-1181578.6299004524</v>
      </c>
      <c r="S845">
        <f t="shared" si="1012"/>
        <v>-11.815786299004525</v>
      </c>
      <c r="T845">
        <f t="shared" si="1013"/>
        <v>-1.1815786299004526E-2</v>
      </c>
    </row>
    <row r="846" spans="1:20" x14ac:dyDescent="0.25">
      <c r="A846" s="5">
        <v>43747</v>
      </c>
      <c r="B846">
        <v>0.38200000000000001</v>
      </c>
      <c r="C846">
        <v>0.40989999999999999</v>
      </c>
      <c r="D846">
        <v>0.37</v>
      </c>
      <c r="E846">
        <v>0.38300000000000001</v>
      </c>
      <c r="F846">
        <v>1383182.94</v>
      </c>
      <c r="G846">
        <v>0</v>
      </c>
      <c r="L846" t="s">
        <v>8</v>
      </c>
      <c r="M846" t="s">
        <v>7</v>
      </c>
      <c r="N846" t="s">
        <v>7</v>
      </c>
      <c r="P846">
        <f t="shared" si="1009"/>
        <v>-0.348370927318295</v>
      </c>
      <c r="Q846">
        <f t="shared" si="1010"/>
        <v>-481860.72345864557</v>
      </c>
      <c r="R846">
        <f t="shared" si="1011"/>
        <v>-620073.60481848393</v>
      </c>
      <c r="S846">
        <f t="shared" si="1012"/>
        <v>-6.2007360481848393</v>
      </c>
      <c r="T846">
        <f t="shared" si="1013"/>
        <v>-6.200736048184839E-3</v>
      </c>
    </row>
    <row r="847" spans="1:20" x14ac:dyDescent="0.25">
      <c r="A847" s="5">
        <v>43746</v>
      </c>
      <c r="B847">
        <v>0.371</v>
      </c>
      <c r="C847">
        <v>0.39689999999999998</v>
      </c>
      <c r="D847">
        <v>0.36580000000000001</v>
      </c>
      <c r="E847">
        <v>0.3821</v>
      </c>
      <c r="F847">
        <v>1407538.77</v>
      </c>
      <c r="G847">
        <v>0</v>
      </c>
      <c r="L847" t="s">
        <v>8</v>
      </c>
      <c r="M847" t="s">
        <v>7</v>
      </c>
      <c r="N847" t="s">
        <v>7</v>
      </c>
      <c r="P847">
        <f t="shared" si="1009"/>
        <v>4.8231511254019394E-2</v>
      </c>
      <c r="Q847">
        <f t="shared" si="1010"/>
        <v>67887.722025723619</v>
      </c>
      <c r="R847">
        <f t="shared" si="1011"/>
        <v>-138212.88135983836</v>
      </c>
      <c r="S847">
        <f t="shared" si="1012"/>
        <v>-1.3821288135983836</v>
      </c>
      <c r="T847">
        <f t="shared" si="1013"/>
        <v>-1.3821288135983836E-3</v>
      </c>
    </row>
    <row r="848" spans="1:20" x14ac:dyDescent="0.25">
      <c r="A848" s="5">
        <v>43745</v>
      </c>
      <c r="B848">
        <v>0.3619</v>
      </c>
      <c r="C848">
        <v>0.38900000000000001</v>
      </c>
      <c r="D848">
        <v>0.35110000000000002</v>
      </c>
      <c r="E848">
        <v>0.37180000000000002</v>
      </c>
      <c r="F848">
        <v>1102235.02</v>
      </c>
      <c r="G848">
        <v>0</v>
      </c>
      <c r="L848" t="s">
        <v>7</v>
      </c>
      <c r="M848" t="s">
        <v>7</v>
      </c>
      <c r="N848" t="s">
        <v>7</v>
      </c>
      <c r="P848">
        <f t="shared" si="1009"/>
        <v>9.2348284960422272E-2</v>
      </c>
      <c r="Q848">
        <f t="shared" si="1010"/>
        <v>101789.51372031674</v>
      </c>
      <c r="R848">
        <f t="shared" si="1011"/>
        <v>-206100.60338556196</v>
      </c>
      <c r="S848">
        <f t="shared" si="1012"/>
        <v>-2.0610060338556195</v>
      </c>
      <c r="T848">
        <f t="shared" si="1013"/>
        <v>-2.0610060338556195E-3</v>
      </c>
    </row>
    <row r="849" spans="1:20" x14ac:dyDescent="0.25">
      <c r="A849" s="5">
        <v>43744</v>
      </c>
      <c r="B849">
        <v>0.40760000000000002</v>
      </c>
      <c r="C849">
        <v>0.40939999999999999</v>
      </c>
      <c r="D849">
        <v>0.35730000000000001</v>
      </c>
      <c r="E849">
        <v>0.36120000000000002</v>
      </c>
      <c r="F849">
        <v>643205.87</v>
      </c>
      <c r="G849">
        <v>0</v>
      </c>
      <c r="L849" t="s">
        <v>7</v>
      </c>
      <c r="M849" t="s">
        <v>7</v>
      </c>
      <c r="N849" t="s">
        <v>7</v>
      </c>
      <c r="P849">
        <f t="shared" si="1009"/>
        <v>-0.85028790786948116</v>
      </c>
      <c r="Q849">
        <f t="shared" si="1010"/>
        <v>-546910.17353166942</v>
      </c>
      <c r="R849">
        <f t="shared" si="1011"/>
        <v>-307890.11710587871</v>
      </c>
      <c r="S849">
        <f t="shared" si="1012"/>
        <v>-3.0789011710587872</v>
      </c>
      <c r="T849">
        <f t="shared" si="1013"/>
        <v>-3.0789011710587871E-3</v>
      </c>
    </row>
    <row r="850" spans="1:20" x14ac:dyDescent="0.25">
      <c r="A850" s="5">
        <v>43743</v>
      </c>
      <c r="B850">
        <v>0.43419999999999997</v>
      </c>
      <c r="C850">
        <v>0.43980000000000002</v>
      </c>
      <c r="D850">
        <v>0.39510000000000001</v>
      </c>
      <c r="E850">
        <v>0.4093</v>
      </c>
      <c r="F850">
        <v>739799.18</v>
      </c>
      <c r="G850">
        <v>0</v>
      </c>
      <c r="L850" t="s">
        <v>7</v>
      </c>
      <c r="M850" t="s">
        <v>7</v>
      </c>
      <c r="N850" t="s">
        <v>8</v>
      </c>
      <c r="P850">
        <f t="shared" si="1009"/>
        <v>-0.3646532438478754</v>
      </c>
      <c r="Q850">
        <f t="shared" si="1010"/>
        <v>-269770.17078299826</v>
      </c>
      <c r="R850">
        <f t="shared" si="1011"/>
        <v>239020.05642579071</v>
      </c>
      <c r="S850">
        <f t="shared" si="1012"/>
        <v>2.3902005642579072</v>
      </c>
      <c r="T850">
        <f t="shared" si="1013"/>
        <v>2.3902005642579072E-3</v>
      </c>
    </row>
    <row r="851" spans="1:20" x14ac:dyDescent="0.25">
      <c r="A851" s="5">
        <v>43742</v>
      </c>
      <c r="B851">
        <v>0.49559999999999998</v>
      </c>
      <c r="C851">
        <v>0.51060000000000005</v>
      </c>
      <c r="D851">
        <v>0.40510000000000002</v>
      </c>
      <c r="E851">
        <v>0.43380000000000002</v>
      </c>
      <c r="F851">
        <v>2601605.4900000002</v>
      </c>
      <c r="G851">
        <v>0</v>
      </c>
      <c r="L851" t="s">
        <v>7</v>
      </c>
      <c r="M851" t="s">
        <v>7</v>
      </c>
      <c r="N851" t="s">
        <v>8</v>
      </c>
      <c r="P851">
        <f t="shared" si="1009"/>
        <v>-0.4559241706161139</v>
      </c>
      <c r="Q851">
        <f t="shared" si="1010"/>
        <v>-1186134.8252985787</v>
      </c>
      <c r="R851">
        <f t="shared" si="1011"/>
        <v>508790.22720878897</v>
      </c>
      <c r="S851">
        <f t="shared" si="1012"/>
        <v>5.0879022720878897</v>
      </c>
      <c r="T851">
        <f t="shared" si="1013"/>
        <v>5.0879022720878896E-3</v>
      </c>
    </row>
    <row r="852" spans="1:20" x14ac:dyDescent="0.25">
      <c r="A852" s="5">
        <v>43741</v>
      </c>
      <c r="B852">
        <v>0.46700000000000003</v>
      </c>
      <c r="C852">
        <v>0.52410000000000001</v>
      </c>
      <c r="D852">
        <v>0.45789999999999997</v>
      </c>
      <c r="E852">
        <v>0.4955</v>
      </c>
      <c r="F852">
        <v>1797688.77</v>
      </c>
      <c r="G852">
        <v>0</v>
      </c>
      <c r="L852" t="s">
        <v>8</v>
      </c>
      <c r="M852" t="s">
        <v>8</v>
      </c>
      <c r="N852" t="s">
        <v>8</v>
      </c>
      <c r="P852">
        <f t="shared" si="1009"/>
        <v>0.13595166163141997</v>
      </c>
      <c r="Q852">
        <f t="shared" si="1010"/>
        <v>244398.77537764356</v>
      </c>
      <c r="R852">
        <f t="shared" si="1011"/>
        <v>1694925.0525073677</v>
      </c>
      <c r="S852">
        <f t="shared" si="1012"/>
        <v>16.949250525073676</v>
      </c>
      <c r="T852">
        <f t="shared" si="1013"/>
        <v>1.6949250525073675E-2</v>
      </c>
    </row>
    <row r="853" spans="1:20" x14ac:dyDescent="0.25">
      <c r="A853" s="5">
        <v>43740</v>
      </c>
      <c r="B853">
        <v>0.36080000000000001</v>
      </c>
      <c r="C853">
        <v>0.47320000000000001</v>
      </c>
      <c r="D853">
        <v>0.34499999999999997</v>
      </c>
      <c r="E853">
        <v>0.47170000000000001</v>
      </c>
      <c r="F853">
        <v>2209566.89</v>
      </c>
      <c r="G853">
        <v>0</v>
      </c>
      <c r="L853" t="s">
        <v>8</v>
      </c>
      <c r="M853" t="s">
        <v>8</v>
      </c>
      <c r="N853" t="s">
        <v>8</v>
      </c>
      <c r="P853">
        <f t="shared" si="1009"/>
        <v>0.97659906396255847</v>
      </c>
      <c r="Q853">
        <f t="shared" si="1010"/>
        <v>2157860.9565366614</v>
      </c>
      <c r="R853">
        <f t="shared" si="1011"/>
        <v>1450526.2771297242</v>
      </c>
      <c r="S853">
        <f t="shared" si="1012"/>
        <v>14.505262771297241</v>
      </c>
      <c r="T853">
        <f t="shared" si="1013"/>
        <v>1.4505262771297241E-2</v>
      </c>
    </row>
    <row r="854" spans="1:20" x14ac:dyDescent="0.25">
      <c r="A854" s="5">
        <v>43739</v>
      </c>
      <c r="B854">
        <v>0.34439999999999998</v>
      </c>
      <c r="C854">
        <v>0.38240000000000002</v>
      </c>
      <c r="D854">
        <v>0.34100000000000003</v>
      </c>
      <c r="E854">
        <v>0.36080000000000001</v>
      </c>
      <c r="F854">
        <v>584632.64</v>
      </c>
      <c r="G854">
        <v>0</v>
      </c>
      <c r="L854" t="s">
        <v>8</v>
      </c>
      <c r="M854" t="s">
        <v>8</v>
      </c>
      <c r="N854" t="s">
        <v>8</v>
      </c>
      <c r="P854">
        <f t="shared" si="1009"/>
        <v>-4.3478260869565799E-2</v>
      </c>
      <c r="Q854">
        <f t="shared" si="1010"/>
        <v>-25418.81043478295</v>
      </c>
      <c r="R854">
        <f t="shared" si="1011"/>
        <v>-707334.6794069371</v>
      </c>
      <c r="S854">
        <f t="shared" si="1012"/>
        <v>-7.0733467940693711</v>
      </c>
      <c r="T854">
        <f t="shared" si="1013"/>
        <v>-7.0733467940693713E-3</v>
      </c>
    </row>
    <row r="855" spans="1:20" x14ac:dyDescent="0.25">
      <c r="A855" s="5">
        <v>43738</v>
      </c>
      <c r="B855">
        <v>0.32540000000000002</v>
      </c>
      <c r="C855">
        <v>0.35099999999999998</v>
      </c>
      <c r="D855">
        <v>0.30249999999999999</v>
      </c>
      <c r="E855">
        <v>0.34339999999999998</v>
      </c>
      <c r="F855">
        <v>780952.2</v>
      </c>
      <c r="G855">
        <v>0</v>
      </c>
      <c r="L855" t="s">
        <v>8</v>
      </c>
      <c r="M855" t="s">
        <v>8</v>
      </c>
      <c r="N855" t="s">
        <v>8</v>
      </c>
      <c r="P855">
        <f t="shared" si="1009"/>
        <v>0.68659793814433001</v>
      </c>
      <c r="Q855">
        <f t="shared" si="1010"/>
        <v>536200.17030927842</v>
      </c>
      <c r="R855">
        <f t="shared" si="1011"/>
        <v>-681915.8689721541</v>
      </c>
      <c r="S855">
        <f t="shared" si="1012"/>
        <v>-6.819158689721541</v>
      </c>
      <c r="T855">
        <f t="shared" si="1013"/>
        <v>-6.8191586897215408E-3</v>
      </c>
    </row>
    <row r="856" spans="1:20" x14ac:dyDescent="0.25">
      <c r="A856" s="5">
        <v>43737</v>
      </c>
      <c r="B856">
        <v>0.32240000000000002</v>
      </c>
      <c r="C856">
        <v>0.34010000000000001</v>
      </c>
      <c r="D856">
        <v>0.30649999999999999</v>
      </c>
      <c r="E856">
        <v>0.32219999999999999</v>
      </c>
      <c r="F856">
        <v>621676.51</v>
      </c>
      <c r="G856">
        <v>0</v>
      </c>
      <c r="L856" t="s">
        <v>8</v>
      </c>
      <c r="M856" t="s">
        <v>8</v>
      </c>
      <c r="N856" t="s">
        <v>8</v>
      </c>
      <c r="P856">
        <f t="shared" si="1009"/>
        <v>-6.5476190476191493E-2</v>
      </c>
      <c r="Q856">
        <f t="shared" si="1010"/>
        <v>-40705.009583333966</v>
      </c>
      <c r="R856">
        <f t="shared" si="1011"/>
        <v>-1218116.0392814325</v>
      </c>
      <c r="S856">
        <f t="shared" si="1012"/>
        <v>-12.181160392814325</v>
      </c>
      <c r="T856">
        <f t="shared" si="1013"/>
        <v>-1.2181160392814326E-2</v>
      </c>
    </row>
    <row r="857" spans="1:20" x14ac:dyDescent="0.25">
      <c r="A857" s="5">
        <v>43736</v>
      </c>
      <c r="B857">
        <v>0.307</v>
      </c>
      <c r="C857">
        <v>0.33289999999999997</v>
      </c>
      <c r="D857">
        <v>0.30299999999999999</v>
      </c>
      <c r="E857">
        <v>0.32269999999999999</v>
      </c>
      <c r="F857">
        <v>1189333.33</v>
      </c>
      <c r="G857">
        <v>0</v>
      </c>
      <c r="L857" t="s">
        <v>8</v>
      </c>
      <c r="M857" t="s">
        <v>8</v>
      </c>
      <c r="N857" t="s">
        <v>8</v>
      </c>
      <c r="P857">
        <f t="shared" si="1009"/>
        <v>0.31772575250836166</v>
      </c>
      <c r="Q857">
        <f t="shared" si="1010"/>
        <v>377881.82725752564</v>
      </c>
      <c r="R857">
        <f t="shared" si="1011"/>
        <v>-1177411.0296980985</v>
      </c>
      <c r="S857">
        <f t="shared" si="1012"/>
        <v>-11.774110296980986</v>
      </c>
      <c r="T857">
        <f t="shared" si="1013"/>
        <v>-1.1774110296980986E-2</v>
      </c>
    </row>
    <row r="858" spans="1:20" x14ac:dyDescent="0.25">
      <c r="A858" s="5">
        <v>43735</v>
      </c>
      <c r="B858">
        <v>0.25509999999999999</v>
      </c>
      <c r="C858">
        <v>0.32240000000000002</v>
      </c>
      <c r="D858">
        <v>0.24829999999999999</v>
      </c>
      <c r="E858">
        <v>0.3095</v>
      </c>
      <c r="F858">
        <v>1107529.6599999999</v>
      </c>
      <c r="G858">
        <v>0</v>
      </c>
      <c r="L858" t="s">
        <v>8</v>
      </c>
      <c r="M858" t="s">
        <v>8</v>
      </c>
      <c r="N858" t="s">
        <v>8</v>
      </c>
      <c r="P858">
        <f t="shared" si="1009"/>
        <v>0.65182186234817763</v>
      </c>
      <c r="Q858">
        <f t="shared" si="1010"/>
        <v>721912.04558704386</v>
      </c>
      <c r="R858">
        <f t="shared" si="1011"/>
        <v>-1555292.8569556242</v>
      </c>
      <c r="S858">
        <f t="shared" si="1012"/>
        <v>-15.552928569556242</v>
      </c>
      <c r="T858">
        <f t="shared" si="1013"/>
        <v>-1.5552928569556241E-2</v>
      </c>
    </row>
    <row r="859" spans="1:20" x14ac:dyDescent="0.25">
      <c r="A859" s="5">
        <v>43734</v>
      </c>
      <c r="B859">
        <v>0.2301</v>
      </c>
      <c r="C859">
        <v>0.27800000000000002</v>
      </c>
      <c r="D859">
        <v>0.22620000000000001</v>
      </c>
      <c r="E859">
        <v>0.25979999999999998</v>
      </c>
      <c r="F859">
        <v>731553.26</v>
      </c>
      <c r="G859">
        <v>0</v>
      </c>
      <c r="L859" t="s">
        <v>8</v>
      </c>
      <c r="M859" t="s">
        <v>8</v>
      </c>
      <c r="N859" t="s">
        <v>7</v>
      </c>
      <c r="P859">
        <f t="shared" si="1009"/>
        <v>0.29729729729729554</v>
      </c>
      <c r="Q859">
        <f t="shared" si="1010"/>
        <v>217488.80702702573</v>
      </c>
      <c r="R859">
        <f t="shared" si="1011"/>
        <v>-2277204.9025426679</v>
      </c>
      <c r="S859">
        <f t="shared" si="1012"/>
        <v>-22.772049025426679</v>
      </c>
      <c r="T859">
        <f t="shared" si="1013"/>
        <v>-2.2772049025426677E-2</v>
      </c>
    </row>
    <row r="860" spans="1:20" x14ac:dyDescent="0.25">
      <c r="A860" s="5">
        <v>43733</v>
      </c>
      <c r="B860">
        <v>0.22320000000000001</v>
      </c>
      <c r="C860">
        <v>0.2419</v>
      </c>
      <c r="D860">
        <v>0.20469999999999999</v>
      </c>
      <c r="E860">
        <v>0.23080000000000001</v>
      </c>
      <c r="F860">
        <v>520793.53</v>
      </c>
      <c r="G860">
        <v>0</v>
      </c>
      <c r="L860" t="s">
        <v>7</v>
      </c>
      <c r="M860" t="s">
        <v>7</v>
      </c>
      <c r="N860" t="s">
        <v>7</v>
      </c>
      <c r="P860">
        <f t="shared" si="1009"/>
        <v>0.40322580645161316</v>
      </c>
      <c r="Q860">
        <f t="shared" si="1010"/>
        <v>209997.39112903239</v>
      </c>
      <c r="R860">
        <f t="shared" si="1011"/>
        <v>-2494693.7095696935</v>
      </c>
      <c r="S860">
        <f t="shared" si="1012"/>
        <v>-24.946937095696935</v>
      </c>
      <c r="T860">
        <f t="shared" si="1013"/>
        <v>-2.4946937095696935E-2</v>
      </c>
    </row>
    <row r="861" spans="1:20" x14ac:dyDescent="0.25">
      <c r="A861" s="5">
        <v>43732</v>
      </c>
      <c r="B861">
        <v>0.28789999999999999</v>
      </c>
      <c r="C861">
        <v>0.29260000000000003</v>
      </c>
      <c r="D861">
        <v>0.20580000000000001</v>
      </c>
      <c r="E861">
        <v>0.2238</v>
      </c>
      <c r="F861">
        <v>317806.21000000002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-0.58525345622119851</v>
      </c>
      <c r="Q861">
        <f t="shared" si="1010"/>
        <v>-185997.18281106002</v>
      </c>
      <c r="R861">
        <f t="shared" si="1011"/>
        <v>-2704691.1006987258</v>
      </c>
      <c r="S861">
        <f t="shared" si="1012"/>
        <v>-27.046911006987258</v>
      </c>
      <c r="T861">
        <f t="shared" si="1013"/>
        <v>-2.7046911006987258E-2</v>
      </c>
    </row>
    <row r="862" spans="1:20" x14ac:dyDescent="0.25">
      <c r="A862" s="5">
        <v>43731</v>
      </c>
      <c r="B862">
        <v>0.30149999999999999</v>
      </c>
      <c r="C862">
        <v>0.30620000000000003</v>
      </c>
      <c r="D862">
        <v>0.28399999999999997</v>
      </c>
      <c r="E862">
        <v>0.28810000000000002</v>
      </c>
      <c r="F862">
        <v>254042.11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-0.63063063063062719</v>
      </c>
      <c r="Q862">
        <f t="shared" si="1010"/>
        <v>-160206.73603603514</v>
      </c>
      <c r="R862">
        <f t="shared" si="1011"/>
        <v>-2518693.9178876658</v>
      </c>
      <c r="S862">
        <f t="shared" si="1012"/>
        <v>-25.186939178876656</v>
      </c>
      <c r="T862">
        <f t="shared" si="1013"/>
        <v>-2.5186939178876655E-2</v>
      </c>
    </row>
    <row r="863" spans="1:20" x14ac:dyDescent="0.25">
      <c r="A863" s="5">
        <v>43730</v>
      </c>
      <c r="B863">
        <v>0.315</v>
      </c>
      <c r="C863">
        <v>0.31559999999999999</v>
      </c>
      <c r="D863">
        <v>0.29680000000000001</v>
      </c>
      <c r="E863">
        <v>0.3029</v>
      </c>
      <c r="F863">
        <v>271149.65000000002</v>
      </c>
      <c r="G863">
        <v>0</v>
      </c>
      <c r="L863" t="s">
        <v>7</v>
      </c>
      <c r="M863" t="s">
        <v>7</v>
      </c>
      <c r="N863" t="s">
        <v>7</v>
      </c>
      <c r="P863">
        <f t="shared" si="1009"/>
        <v>-0.35106382978723405</v>
      </c>
      <c r="Q863">
        <f t="shared" si="1010"/>
        <v>-95190.834574468099</v>
      </c>
      <c r="R863">
        <f t="shared" si="1011"/>
        <v>-2358487.1818516306</v>
      </c>
      <c r="S863">
        <f t="shared" si="1012"/>
        <v>-23.584871818516305</v>
      </c>
      <c r="T863">
        <f t="shared" si="1013"/>
        <v>-2.3584871818516304E-2</v>
      </c>
    </row>
    <row r="864" spans="1:20" x14ac:dyDescent="0.25">
      <c r="A864" s="5">
        <v>43729</v>
      </c>
      <c r="B864">
        <v>0.3125</v>
      </c>
      <c r="C864">
        <v>0.32350000000000001</v>
      </c>
      <c r="D864">
        <v>0.30409999999999998</v>
      </c>
      <c r="E864">
        <v>0.3145</v>
      </c>
      <c r="F864">
        <v>499531</v>
      </c>
      <c r="G864">
        <v>0</v>
      </c>
      <c r="L864" t="s">
        <v>8</v>
      </c>
      <c r="M864" t="s">
        <v>7</v>
      </c>
      <c r="N864" t="s">
        <v>7</v>
      </c>
      <c r="P864">
        <f t="shared" si="1009"/>
        <v>7.2164948453608782E-2</v>
      </c>
      <c r="Q864">
        <f t="shared" si="1010"/>
        <v>36048.628865979648</v>
      </c>
      <c r="R864">
        <f t="shared" si="1011"/>
        <v>-2263296.3472771626</v>
      </c>
      <c r="S864">
        <f t="shared" si="1012"/>
        <v>-22.632963472771625</v>
      </c>
      <c r="T864">
        <f t="shared" si="1013"/>
        <v>-2.2632963472771626E-2</v>
      </c>
    </row>
    <row r="865" spans="1:20" x14ac:dyDescent="0.25">
      <c r="A865" s="5">
        <v>43728</v>
      </c>
      <c r="B865">
        <v>0.31530000000000002</v>
      </c>
      <c r="C865">
        <v>0.32029999999999997</v>
      </c>
      <c r="D865">
        <v>0.30690000000000001</v>
      </c>
      <c r="E865">
        <v>0.31409999999999999</v>
      </c>
      <c r="F865">
        <v>266164.21999999997</v>
      </c>
      <c r="G865">
        <v>0</v>
      </c>
      <c r="L865" t="s">
        <v>7</v>
      </c>
      <c r="M865" t="s">
        <v>7</v>
      </c>
      <c r="N865" t="s">
        <v>7</v>
      </c>
      <c r="P865">
        <f t="shared" si="1009"/>
        <v>7.4626865671642034E-2</v>
      </c>
      <c r="Q865">
        <f t="shared" si="1010"/>
        <v>19863.001492537376</v>
      </c>
      <c r="R865">
        <f t="shared" si="1011"/>
        <v>-2299344.9761431422</v>
      </c>
      <c r="S865">
        <f t="shared" si="1012"/>
        <v>-22.993449761431421</v>
      </c>
      <c r="T865">
        <f t="shared" si="1013"/>
        <v>-2.2993449761431421E-2</v>
      </c>
    </row>
    <row r="866" spans="1:20" x14ac:dyDescent="0.25">
      <c r="A866" s="5">
        <v>43727</v>
      </c>
      <c r="B866">
        <v>0.33610000000000001</v>
      </c>
      <c r="C866">
        <v>0.3362</v>
      </c>
      <c r="D866">
        <v>0.30130000000000001</v>
      </c>
      <c r="E866">
        <v>0.31690000000000002</v>
      </c>
      <c r="F866">
        <v>644515.71</v>
      </c>
      <c r="G866">
        <v>0</v>
      </c>
      <c r="L866" t="s">
        <v>7</v>
      </c>
      <c r="M866" t="s">
        <v>7</v>
      </c>
      <c r="N866" t="s">
        <v>7</v>
      </c>
      <c r="P866">
        <f t="shared" si="1009"/>
        <v>-0.10601719197707686</v>
      </c>
      <c r="Q866">
        <f t="shared" si="1010"/>
        <v>-68329.745759311991</v>
      </c>
      <c r="R866">
        <f t="shared" si="1011"/>
        <v>-2319207.9776356798</v>
      </c>
      <c r="S866">
        <f t="shared" si="1012"/>
        <v>-23.192079776356799</v>
      </c>
      <c r="T866">
        <f t="shared" si="1013"/>
        <v>-2.3192079776356799E-2</v>
      </c>
    </row>
    <row r="867" spans="1:20" x14ac:dyDescent="0.25">
      <c r="A867" s="5">
        <v>43726</v>
      </c>
      <c r="B867">
        <v>0.30609999999999998</v>
      </c>
      <c r="C867">
        <v>0.34060000000000001</v>
      </c>
      <c r="D867">
        <v>0.30509999999999998</v>
      </c>
      <c r="E867">
        <v>0.33279999999999998</v>
      </c>
      <c r="F867">
        <v>804158.1</v>
      </c>
      <c r="G867">
        <v>0</v>
      </c>
      <c r="L867" t="s">
        <v>8</v>
      </c>
      <c r="M867" t="s">
        <v>7</v>
      </c>
      <c r="N867" t="s">
        <v>7</v>
      </c>
      <c r="P867">
        <f t="shared" si="1009"/>
        <v>0.56056338028168884</v>
      </c>
      <c r="Q867">
        <f t="shared" si="1010"/>
        <v>450781.58281690034</v>
      </c>
      <c r="R867">
        <f t="shared" si="1011"/>
        <v>-2250878.2318763677</v>
      </c>
      <c r="S867">
        <f t="shared" si="1012"/>
        <v>-22.508782318763679</v>
      </c>
      <c r="T867">
        <f t="shared" si="1013"/>
        <v>-2.250878231876368E-2</v>
      </c>
    </row>
    <row r="868" spans="1:20" x14ac:dyDescent="0.25">
      <c r="A868" s="5">
        <v>43725</v>
      </c>
      <c r="B868">
        <v>0.31669999999999998</v>
      </c>
      <c r="C868">
        <v>0.31769999999999998</v>
      </c>
      <c r="D868">
        <v>0.29799999999999999</v>
      </c>
      <c r="E868">
        <v>0.30590000000000001</v>
      </c>
      <c r="F868">
        <v>695415.46</v>
      </c>
      <c r="G868">
        <v>0</v>
      </c>
      <c r="L868" t="s">
        <v>7</v>
      </c>
      <c r="M868" t="s">
        <v>7</v>
      </c>
      <c r="N868" t="s">
        <v>7</v>
      </c>
      <c r="P868">
        <f t="shared" si="1009"/>
        <v>-0.19796954314720608</v>
      </c>
      <c r="Q868">
        <f t="shared" si="1010"/>
        <v>-137671.08091370415</v>
      </c>
      <c r="R868">
        <f t="shared" si="1011"/>
        <v>-2701659.8146932679</v>
      </c>
      <c r="S868">
        <f t="shared" si="1012"/>
        <v>-27.016598146932679</v>
      </c>
      <c r="T868">
        <f t="shared" si="1013"/>
        <v>-2.7016598146932681E-2</v>
      </c>
    </row>
    <row r="869" spans="1:20" x14ac:dyDescent="0.25">
      <c r="A869" s="5">
        <v>43724</v>
      </c>
      <c r="B869">
        <v>0.32879999999999998</v>
      </c>
      <c r="C869">
        <v>0.33019999999999999</v>
      </c>
      <c r="D869">
        <v>0.30380000000000001</v>
      </c>
      <c r="E869">
        <v>0.31990000000000002</v>
      </c>
      <c r="F869">
        <v>646425.11</v>
      </c>
      <c r="G869">
        <v>0</v>
      </c>
      <c r="L869" t="s">
        <v>7</v>
      </c>
      <c r="M869" t="s">
        <v>7</v>
      </c>
      <c r="N869" t="s">
        <v>7</v>
      </c>
      <c r="P869">
        <f t="shared" si="1009"/>
        <v>0.21969696969697092</v>
      </c>
      <c r="Q869">
        <f t="shared" si="1010"/>
        <v>142017.6378030311</v>
      </c>
      <c r="R869">
        <f t="shared" si="1011"/>
        <v>-2563988.7337795636</v>
      </c>
      <c r="S869">
        <f t="shared" si="1012"/>
        <v>-25.639887337795635</v>
      </c>
      <c r="T869">
        <f t="shared" si="1013"/>
        <v>-2.5639887337795635E-2</v>
      </c>
    </row>
    <row r="870" spans="1:20" x14ac:dyDescent="0.25">
      <c r="A870" s="5">
        <v>43723</v>
      </c>
      <c r="B870">
        <v>0.33550000000000002</v>
      </c>
      <c r="C870">
        <v>0.33729999999999999</v>
      </c>
      <c r="D870">
        <v>0.32569999999999999</v>
      </c>
      <c r="E870">
        <v>0.32879999999999998</v>
      </c>
      <c r="F870">
        <v>231314.31</v>
      </c>
      <c r="G870">
        <v>0</v>
      </c>
      <c r="L870" t="s">
        <v>7</v>
      </c>
      <c r="M870" t="s">
        <v>7</v>
      </c>
      <c r="N870" t="s">
        <v>7</v>
      </c>
      <c r="P870">
        <f t="shared" si="1009"/>
        <v>-0.46551724137931177</v>
      </c>
      <c r="Q870">
        <f t="shared" si="1010"/>
        <v>-107680.79948275896</v>
      </c>
      <c r="R870">
        <f t="shared" si="1011"/>
        <v>-2706006.3715825947</v>
      </c>
      <c r="S870">
        <f t="shared" si="1012"/>
        <v>-27.060063715825947</v>
      </c>
      <c r="T870">
        <f t="shared" si="1013"/>
        <v>-2.7060063715825946E-2</v>
      </c>
    </row>
    <row r="871" spans="1:20" x14ac:dyDescent="0.25">
      <c r="A871" s="5">
        <v>43722</v>
      </c>
      <c r="B871">
        <v>0.32650000000000001</v>
      </c>
      <c r="C871">
        <v>0.34060000000000001</v>
      </c>
      <c r="D871">
        <v>0.32479999999999998</v>
      </c>
      <c r="E871">
        <v>0.33550000000000002</v>
      </c>
      <c r="F871">
        <v>552674.76</v>
      </c>
      <c r="G871">
        <v>0</v>
      </c>
      <c r="L871" t="s">
        <v>7</v>
      </c>
      <c r="M871" t="s">
        <v>7</v>
      </c>
      <c r="N871" t="s">
        <v>7</v>
      </c>
      <c r="P871">
        <f t="shared" si="1009"/>
        <v>0.35443037974683778</v>
      </c>
      <c r="Q871">
        <f t="shared" si="1010"/>
        <v>195884.72506329243</v>
      </c>
      <c r="R871">
        <f t="shared" si="1011"/>
        <v>-2598325.5720998356</v>
      </c>
      <c r="S871">
        <f t="shared" si="1012"/>
        <v>-25.983255720998358</v>
      </c>
      <c r="T871">
        <f t="shared" si="1013"/>
        <v>-2.5983255720998358E-2</v>
      </c>
    </row>
    <row r="872" spans="1:20" x14ac:dyDescent="0.25">
      <c r="A872" s="5">
        <v>43721</v>
      </c>
      <c r="B872">
        <v>0.34160000000000001</v>
      </c>
      <c r="C872">
        <v>0.34160000000000001</v>
      </c>
      <c r="D872">
        <v>0.32119999999999999</v>
      </c>
      <c r="E872">
        <v>0.32869999999999999</v>
      </c>
      <c r="F872">
        <v>469282.72</v>
      </c>
      <c r="G872">
        <v>0</v>
      </c>
      <c r="L872" t="s">
        <v>7</v>
      </c>
      <c r="M872" t="s">
        <v>7</v>
      </c>
      <c r="N872" t="s">
        <v>7</v>
      </c>
      <c r="P872">
        <f t="shared" si="1009"/>
        <v>-0.26470588235294157</v>
      </c>
      <c r="Q872">
        <f t="shared" si="1010"/>
        <v>-124221.89647058841</v>
      </c>
      <c r="R872">
        <f t="shared" si="1011"/>
        <v>-2794210.2971631279</v>
      </c>
      <c r="S872">
        <f t="shared" si="1012"/>
        <v>-27.942102971631279</v>
      </c>
      <c r="T872">
        <f t="shared" si="1013"/>
        <v>-2.7942102971631279E-2</v>
      </c>
    </row>
    <row r="873" spans="1:20" x14ac:dyDescent="0.25">
      <c r="A873" s="5">
        <v>43720</v>
      </c>
      <c r="B873">
        <v>0.37319999999999998</v>
      </c>
      <c r="C873">
        <v>0.3735</v>
      </c>
      <c r="D873">
        <v>0.33400000000000002</v>
      </c>
      <c r="E873">
        <v>0.34160000000000001</v>
      </c>
      <c r="F873">
        <v>634326.31999999995</v>
      </c>
      <c r="G873">
        <v>0</v>
      </c>
      <c r="L873" t="s">
        <v>7</v>
      </c>
      <c r="M873" t="s">
        <v>7</v>
      </c>
      <c r="N873" t="s">
        <v>7</v>
      </c>
      <c r="P873">
        <f t="shared" si="1009"/>
        <v>-0.61518987341772158</v>
      </c>
      <c r="Q873">
        <f t="shared" si="1010"/>
        <v>-390231.12850632914</v>
      </c>
      <c r="R873">
        <f t="shared" si="1011"/>
        <v>-2669988.4006925393</v>
      </c>
      <c r="S873">
        <f t="shared" si="1012"/>
        <v>-26.699884006925394</v>
      </c>
      <c r="T873">
        <f t="shared" si="1013"/>
        <v>-2.6699884006925394E-2</v>
      </c>
    </row>
    <row r="874" spans="1:20" x14ac:dyDescent="0.25">
      <c r="A874" s="5">
        <v>43719</v>
      </c>
      <c r="B874">
        <v>0.37409999999999999</v>
      </c>
      <c r="C874">
        <v>0.38080000000000003</v>
      </c>
      <c r="D874">
        <v>0.36130000000000001</v>
      </c>
      <c r="E874">
        <v>0.37319999999999998</v>
      </c>
      <c r="F874">
        <v>820776.67</v>
      </c>
      <c r="G874">
        <v>0</v>
      </c>
      <c r="L874" t="s">
        <v>7</v>
      </c>
      <c r="M874" t="s">
        <v>7</v>
      </c>
      <c r="N874" t="s">
        <v>7</v>
      </c>
      <c r="P874">
        <f t="shared" si="1009"/>
        <v>0.22051282051281595</v>
      </c>
      <c r="Q874">
        <f t="shared" si="1010"/>
        <v>180991.77851281679</v>
      </c>
      <c r="R874">
        <f t="shared" si="1011"/>
        <v>-2279757.2721862099</v>
      </c>
      <c r="S874">
        <f t="shared" si="1012"/>
        <v>-22.7975727218621</v>
      </c>
      <c r="T874">
        <f t="shared" si="1013"/>
        <v>-2.27975727218621E-2</v>
      </c>
    </row>
    <row r="875" spans="1:20" x14ac:dyDescent="0.25">
      <c r="A875" s="5">
        <v>43718</v>
      </c>
      <c r="B875">
        <v>0.38479999999999998</v>
      </c>
      <c r="C875">
        <v>0.39169999999999999</v>
      </c>
      <c r="D875">
        <v>0.3654</v>
      </c>
      <c r="E875">
        <v>0.37359999999999999</v>
      </c>
      <c r="F875">
        <v>307127.25</v>
      </c>
      <c r="G875">
        <v>0</v>
      </c>
      <c r="L875" t="s">
        <v>7</v>
      </c>
      <c r="M875" t="s">
        <v>7</v>
      </c>
      <c r="N875" t="s">
        <v>7</v>
      </c>
      <c r="P875">
        <f t="shared" si="1009"/>
        <v>-0.37642585551330887</v>
      </c>
      <c r="Q875">
        <f t="shared" si="1010"/>
        <v>-115610.6378326999</v>
      </c>
      <c r="R875">
        <f t="shared" si="1011"/>
        <v>-2460749.0506990268</v>
      </c>
      <c r="S875">
        <f t="shared" si="1012"/>
        <v>-24.607490506990267</v>
      </c>
      <c r="T875">
        <f t="shared" si="1013"/>
        <v>-2.4607490506990268E-2</v>
      </c>
    </row>
    <row r="876" spans="1:20" x14ac:dyDescent="0.25">
      <c r="A876" s="5">
        <v>43717</v>
      </c>
      <c r="B876">
        <v>0.38790000000000002</v>
      </c>
      <c r="C876">
        <v>0.39300000000000002</v>
      </c>
      <c r="D876">
        <v>0.372</v>
      </c>
      <c r="E876">
        <v>0.38519999999999999</v>
      </c>
      <c r="F876">
        <v>590531.39</v>
      </c>
      <c r="G876">
        <v>0</v>
      </c>
      <c r="L876" t="s">
        <v>7</v>
      </c>
      <c r="M876" t="s">
        <v>7</v>
      </c>
      <c r="N876" t="s">
        <v>7</v>
      </c>
      <c r="P876">
        <f t="shared" si="1009"/>
        <v>0.25714285714285501</v>
      </c>
      <c r="Q876">
        <f t="shared" si="1010"/>
        <v>151850.92885714161</v>
      </c>
      <c r="R876">
        <f t="shared" si="1011"/>
        <v>-2345138.412866327</v>
      </c>
      <c r="S876">
        <f t="shared" si="1012"/>
        <v>-23.451384128663271</v>
      </c>
      <c r="T876">
        <f t="shared" si="1013"/>
        <v>-2.345138412866327E-2</v>
      </c>
    </row>
    <row r="877" spans="1:20" x14ac:dyDescent="0.25">
      <c r="A877" s="5">
        <v>43716</v>
      </c>
      <c r="B877">
        <v>0.3871</v>
      </c>
      <c r="C877">
        <v>0.39069999999999999</v>
      </c>
      <c r="D877">
        <v>0.37869999999999998</v>
      </c>
      <c r="E877">
        <v>0.3866</v>
      </c>
      <c r="F877">
        <v>355201.13</v>
      </c>
      <c r="G877">
        <v>0</v>
      </c>
      <c r="L877" t="s">
        <v>7</v>
      </c>
      <c r="M877" t="s">
        <v>7</v>
      </c>
      <c r="N877" t="s">
        <v>7</v>
      </c>
      <c r="P877">
        <f t="shared" si="1009"/>
        <v>0.31666666666666854</v>
      </c>
      <c r="Q877">
        <f t="shared" si="1010"/>
        <v>112480.357833334</v>
      </c>
      <c r="R877">
        <f t="shared" si="1011"/>
        <v>-2496989.3417234686</v>
      </c>
      <c r="S877">
        <f t="shared" si="1012"/>
        <v>-24.969893417234687</v>
      </c>
      <c r="T877">
        <f t="shared" si="1013"/>
        <v>-2.4969893417234688E-2</v>
      </c>
    </row>
    <row r="878" spans="1:20" x14ac:dyDescent="0.25">
      <c r="A878" s="5">
        <v>43715</v>
      </c>
      <c r="B878">
        <v>0.3836</v>
      </c>
      <c r="C878">
        <v>0.39489999999999997</v>
      </c>
      <c r="D878">
        <v>0.37719999999999998</v>
      </c>
      <c r="E878">
        <v>0.38590000000000002</v>
      </c>
      <c r="F878">
        <v>640334.28</v>
      </c>
      <c r="G878">
        <v>0</v>
      </c>
      <c r="L878" t="s">
        <v>7</v>
      </c>
      <c r="M878" t="s">
        <v>7</v>
      </c>
      <c r="N878" t="s">
        <v>7</v>
      </c>
      <c r="P878">
        <f t="shared" si="1009"/>
        <v>-1.6949152542367885E-2</v>
      </c>
      <c r="Q878">
        <f t="shared" si="1010"/>
        <v>-10853.123389827309</v>
      </c>
      <c r="R878">
        <f t="shared" si="1011"/>
        <v>-2609469.6995568024</v>
      </c>
      <c r="S878">
        <f t="shared" si="1012"/>
        <v>-26.094696995568025</v>
      </c>
      <c r="T878">
        <f t="shared" si="1013"/>
        <v>-2.6094696995568024E-2</v>
      </c>
    </row>
    <row r="879" spans="1:20" x14ac:dyDescent="0.25">
      <c r="A879" s="5">
        <v>43714</v>
      </c>
      <c r="B879">
        <v>0.4133</v>
      </c>
      <c r="C879">
        <v>0.4173</v>
      </c>
      <c r="D879">
        <v>0.37559999999999999</v>
      </c>
      <c r="E879">
        <v>0.38240000000000002</v>
      </c>
      <c r="F879">
        <v>1318709.47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-0.67386091127098202</v>
      </c>
      <c r="Q879">
        <f t="shared" si="1010"/>
        <v>-888626.76515587373</v>
      </c>
      <c r="R879">
        <f t="shared" si="1011"/>
        <v>-2598616.5761669753</v>
      </c>
      <c r="S879">
        <f t="shared" si="1012"/>
        <v>-25.986165761669753</v>
      </c>
      <c r="T879">
        <f t="shared" si="1013"/>
        <v>-2.5986165761669754E-2</v>
      </c>
    </row>
    <row r="880" spans="1:20" x14ac:dyDescent="0.25">
      <c r="A880" s="5">
        <v>43713</v>
      </c>
      <c r="B880">
        <v>0.42659999999999998</v>
      </c>
      <c r="C880">
        <v>0.42920000000000003</v>
      </c>
      <c r="D880">
        <v>0.40510000000000002</v>
      </c>
      <c r="E880">
        <v>0.41160000000000002</v>
      </c>
      <c r="F880">
        <v>2650958.2599999998</v>
      </c>
      <c r="G880">
        <v>0</v>
      </c>
      <c r="L880" t="s">
        <v>8</v>
      </c>
      <c r="M880" t="s">
        <v>7</v>
      </c>
      <c r="N880" t="s">
        <v>7</v>
      </c>
      <c r="P880">
        <f t="shared" si="1009"/>
        <v>-0.46058091286307029</v>
      </c>
      <c r="Q880">
        <f t="shared" si="1010"/>
        <v>-1220980.7753526964</v>
      </c>
      <c r="R880">
        <f t="shared" si="1011"/>
        <v>-1709989.8110111016</v>
      </c>
      <c r="S880">
        <f t="shared" si="1012"/>
        <v>-17.099898110111017</v>
      </c>
      <c r="T880">
        <f t="shared" si="1013"/>
        <v>-1.7099898110111016E-2</v>
      </c>
    </row>
    <row r="881" spans="1:20" x14ac:dyDescent="0.25">
      <c r="A881" s="5">
        <v>43712</v>
      </c>
      <c r="B881">
        <v>0.40920000000000001</v>
      </c>
      <c r="C881">
        <v>0.43140000000000001</v>
      </c>
      <c r="D881">
        <v>0.38979999999999998</v>
      </c>
      <c r="E881">
        <v>0.42699999999999999</v>
      </c>
      <c r="F881">
        <v>1854469.39</v>
      </c>
      <c r="G881">
        <v>0</v>
      </c>
      <c r="L881" t="s">
        <v>7</v>
      </c>
      <c r="M881" t="s">
        <v>7</v>
      </c>
      <c r="N881" t="s">
        <v>7</v>
      </c>
      <c r="P881">
        <f t="shared" si="1009"/>
        <v>0.78846153846153788</v>
      </c>
      <c r="Q881">
        <f t="shared" si="1010"/>
        <v>1462177.7882692297</v>
      </c>
      <c r="R881">
        <f t="shared" si="1011"/>
        <v>-489009.03565840516</v>
      </c>
      <c r="S881">
        <f t="shared" si="1012"/>
        <v>-4.8900903565840519</v>
      </c>
      <c r="T881">
        <f t="shared" si="1013"/>
        <v>-4.8900903565840519E-3</v>
      </c>
    </row>
    <row r="882" spans="1:20" x14ac:dyDescent="0.25">
      <c r="A882" s="5">
        <v>43711</v>
      </c>
      <c r="B882">
        <v>0.39360000000000001</v>
      </c>
      <c r="C882">
        <v>0.43359999999999999</v>
      </c>
      <c r="D882">
        <v>0.37709999999999999</v>
      </c>
      <c r="E882">
        <v>0.40479999999999999</v>
      </c>
      <c r="F882">
        <v>4383555.04</v>
      </c>
      <c r="G882">
        <v>0</v>
      </c>
      <c r="L882" t="s">
        <v>8</v>
      </c>
      <c r="M882" t="s">
        <v>7</v>
      </c>
      <c r="N882" t="s">
        <v>7</v>
      </c>
      <c r="P882">
        <f t="shared" si="1009"/>
        <v>-1.9469026548672389E-2</v>
      </c>
      <c r="Q882">
        <f t="shared" si="1010"/>
        <v>-85343.54945132666</v>
      </c>
      <c r="R882">
        <f t="shared" si="1011"/>
        <v>-1951186.8239276349</v>
      </c>
      <c r="S882">
        <f t="shared" si="1012"/>
        <v>-19.51186823927635</v>
      </c>
      <c r="T882">
        <f t="shared" si="1013"/>
        <v>-1.951186823927635E-2</v>
      </c>
    </row>
    <row r="883" spans="1:20" x14ac:dyDescent="0.25">
      <c r="A883" s="5">
        <v>43710</v>
      </c>
      <c r="B883">
        <v>0.38009999999999999</v>
      </c>
      <c r="C883">
        <v>0.40239999999999998</v>
      </c>
      <c r="D883">
        <v>0.36809999999999998</v>
      </c>
      <c r="E883">
        <v>0.39360000000000001</v>
      </c>
      <c r="F883">
        <v>2298012.0099999998</v>
      </c>
      <c r="G883">
        <v>0</v>
      </c>
      <c r="L883" t="s">
        <v>7</v>
      </c>
      <c r="M883" t="s">
        <v>7</v>
      </c>
      <c r="N883" t="s">
        <v>7</v>
      </c>
      <c r="P883">
        <f t="shared" si="1009"/>
        <v>0.48688046647230465</v>
      </c>
      <c r="Q883">
        <f t="shared" si="1010"/>
        <v>1118857.1593877582</v>
      </c>
      <c r="R883">
        <f t="shared" si="1011"/>
        <v>-1865843.2744763081</v>
      </c>
      <c r="S883">
        <f t="shared" si="1012"/>
        <v>-18.658432744763083</v>
      </c>
      <c r="T883">
        <f t="shared" si="1013"/>
        <v>-1.8658432744763084E-2</v>
      </c>
    </row>
    <row r="884" spans="1:20" x14ac:dyDescent="0.25">
      <c r="A884" s="5">
        <v>43709</v>
      </c>
      <c r="B884">
        <v>0.40910000000000002</v>
      </c>
      <c r="C884">
        <v>0.4299</v>
      </c>
      <c r="D884">
        <v>0.37319999999999998</v>
      </c>
      <c r="E884">
        <v>0.38019999999999998</v>
      </c>
      <c r="F884">
        <v>811550.85</v>
      </c>
      <c r="G884">
        <v>0</v>
      </c>
      <c r="L884" t="s">
        <v>7</v>
      </c>
      <c r="M884" t="s">
        <v>7</v>
      </c>
      <c r="N884" t="s">
        <v>7</v>
      </c>
      <c r="P884">
        <f t="shared" si="1009"/>
        <v>-0.75308641975308632</v>
      </c>
      <c r="Q884">
        <f t="shared" si="1010"/>
        <v>-611167.92407407402</v>
      </c>
      <c r="R884">
        <f t="shared" si="1011"/>
        <v>-2984700.4338640664</v>
      </c>
      <c r="S884">
        <f t="shared" si="1012"/>
        <v>-29.847004338640662</v>
      </c>
      <c r="T884">
        <f t="shared" si="1013"/>
        <v>-2.9847004338640661E-2</v>
      </c>
    </row>
    <row r="885" spans="1:20" x14ac:dyDescent="0.25">
      <c r="A885" s="5">
        <v>43708</v>
      </c>
      <c r="B885">
        <v>0.39850000000000002</v>
      </c>
      <c r="C885">
        <v>0.439</v>
      </c>
      <c r="D885">
        <v>0.38719999999999999</v>
      </c>
      <c r="E885">
        <v>0.40649999999999997</v>
      </c>
      <c r="F885">
        <v>1152524.69</v>
      </c>
      <c r="G885">
        <v>0</v>
      </c>
      <c r="L885" t="s">
        <v>8</v>
      </c>
      <c r="M885" t="s">
        <v>8</v>
      </c>
      <c r="N885" t="s">
        <v>7</v>
      </c>
      <c r="P885">
        <f t="shared" si="1009"/>
        <v>-0.25482625482625565</v>
      </c>
      <c r="Q885">
        <f t="shared" si="1010"/>
        <v>-293693.55034749128</v>
      </c>
      <c r="R885">
        <f t="shared" si="1011"/>
        <v>-2373532.5097899921</v>
      </c>
      <c r="S885">
        <f t="shared" si="1012"/>
        <v>-23.735325097899921</v>
      </c>
      <c r="T885">
        <f t="shared" si="1013"/>
        <v>-2.3735325097899919E-2</v>
      </c>
    </row>
    <row r="886" spans="1:20" x14ac:dyDescent="0.25">
      <c r="A886" s="5">
        <v>43707</v>
      </c>
      <c r="B886">
        <v>0.3881</v>
      </c>
      <c r="C886">
        <v>0.41089999999999999</v>
      </c>
      <c r="D886">
        <v>0.38119999999999998</v>
      </c>
      <c r="E886">
        <v>0.3977</v>
      </c>
      <c r="F886">
        <v>635831.14</v>
      </c>
      <c r="G886">
        <v>0</v>
      </c>
      <c r="L886" t="s">
        <v>8</v>
      </c>
      <c r="M886" t="s">
        <v>7</v>
      </c>
      <c r="N886" t="s">
        <v>7</v>
      </c>
      <c r="P886">
        <f t="shared" si="1009"/>
        <v>0.11111111111111194</v>
      </c>
      <c r="Q886">
        <f t="shared" si="1010"/>
        <v>70647.904444444968</v>
      </c>
      <c r="R886">
        <f t="shared" si="1011"/>
        <v>-2079838.959442501</v>
      </c>
      <c r="S886">
        <f t="shared" si="1012"/>
        <v>-20.798389594425011</v>
      </c>
      <c r="T886">
        <f t="shared" si="1013"/>
        <v>-2.079838959442501E-2</v>
      </c>
    </row>
    <row r="887" spans="1:20" x14ac:dyDescent="0.25">
      <c r="A887" s="5">
        <v>43706</v>
      </c>
      <c r="B887">
        <v>0.38119999999999998</v>
      </c>
      <c r="C887">
        <v>0.39150000000000001</v>
      </c>
      <c r="D887">
        <v>0.35010000000000002</v>
      </c>
      <c r="E887">
        <v>0.38800000000000001</v>
      </c>
      <c r="F887">
        <v>445464.52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0.83091787439613507</v>
      </c>
      <c r="Q887">
        <f t="shared" si="1010"/>
        <v>370144.43207729462</v>
      </c>
      <c r="R887">
        <f t="shared" si="1011"/>
        <v>-2150486.8638869459</v>
      </c>
      <c r="S887">
        <f t="shared" si="1012"/>
        <v>-21.504868638869461</v>
      </c>
      <c r="T887">
        <f t="shared" si="1013"/>
        <v>-2.1504868638869461E-2</v>
      </c>
    </row>
    <row r="888" spans="1:20" x14ac:dyDescent="0.25">
      <c r="A888" s="5">
        <v>43705</v>
      </c>
      <c r="B888">
        <v>0.42080000000000001</v>
      </c>
      <c r="C888">
        <v>0.42909999999999998</v>
      </c>
      <c r="D888">
        <v>0.3725</v>
      </c>
      <c r="E888">
        <v>0.37930000000000003</v>
      </c>
      <c r="F888">
        <v>487725.78</v>
      </c>
      <c r="G888">
        <v>0</v>
      </c>
      <c r="L888" t="s">
        <v>7</v>
      </c>
      <c r="M888" t="s">
        <v>7</v>
      </c>
      <c r="N888" t="s">
        <v>8</v>
      </c>
      <c r="P888">
        <f t="shared" si="1009"/>
        <v>-0.75971731448763147</v>
      </c>
      <c r="Q888">
        <f t="shared" si="1010"/>
        <v>-370533.71978798538</v>
      </c>
      <c r="R888">
        <f t="shared" si="1011"/>
        <v>-2520631.2959642406</v>
      </c>
      <c r="S888">
        <f t="shared" si="1012"/>
        <v>-25.206312959642407</v>
      </c>
      <c r="T888">
        <f t="shared" si="1013"/>
        <v>-2.5206312959642405E-2</v>
      </c>
    </row>
    <row r="889" spans="1:20" x14ac:dyDescent="0.25">
      <c r="A889" s="5">
        <v>43704</v>
      </c>
      <c r="B889">
        <v>0.44500000000000001</v>
      </c>
      <c r="C889">
        <v>0.49</v>
      </c>
      <c r="D889">
        <v>0.40570000000000001</v>
      </c>
      <c r="E889">
        <v>0.42080000000000001</v>
      </c>
      <c r="F889">
        <v>1062596.43</v>
      </c>
      <c r="G889">
        <v>0</v>
      </c>
      <c r="L889" t="s">
        <v>7</v>
      </c>
      <c r="M889" t="s">
        <v>7</v>
      </c>
      <c r="N889" t="s">
        <v>8</v>
      </c>
      <c r="P889">
        <f t="shared" si="1009"/>
        <v>-0.64175563463819685</v>
      </c>
      <c r="Q889">
        <f t="shared" si="1010"/>
        <v>-681927.24629893224</v>
      </c>
      <c r="R889">
        <f t="shared" si="1011"/>
        <v>-2150097.576176255</v>
      </c>
      <c r="S889">
        <f t="shared" si="1012"/>
        <v>-21.50097576176255</v>
      </c>
      <c r="T889">
        <f t="shared" si="1013"/>
        <v>-2.1500975761762551E-2</v>
      </c>
    </row>
    <row r="890" spans="1:20" x14ac:dyDescent="0.25">
      <c r="A890" s="5">
        <v>43703</v>
      </c>
      <c r="B890">
        <v>0.35949999999999999</v>
      </c>
      <c r="C890">
        <v>0.49</v>
      </c>
      <c r="D890">
        <v>0.35</v>
      </c>
      <c r="E890">
        <v>0.44500000000000001</v>
      </c>
      <c r="F890">
        <v>3092037.5</v>
      </c>
      <c r="G890">
        <v>0</v>
      </c>
      <c r="L890" t="s">
        <v>8</v>
      </c>
      <c r="M890" t="s">
        <v>8</v>
      </c>
      <c r="N890" t="s">
        <v>8</v>
      </c>
      <c r="P890">
        <f t="shared" si="1009"/>
        <v>0.35714285714285743</v>
      </c>
      <c r="Q890">
        <f t="shared" si="1010"/>
        <v>1104299.107142858</v>
      </c>
      <c r="R890">
        <f t="shared" si="1011"/>
        <v>-1468170.3298773228</v>
      </c>
      <c r="S890">
        <f t="shared" si="1012"/>
        <v>-14.681703298773227</v>
      </c>
      <c r="T890">
        <f t="shared" si="1013"/>
        <v>-1.4681703298773227E-2</v>
      </c>
    </row>
    <row r="891" spans="1:20" x14ac:dyDescent="0.25">
      <c r="A891" s="5">
        <v>43702</v>
      </c>
      <c r="B891">
        <v>0.39389999999999997</v>
      </c>
      <c r="C891">
        <v>0.4153</v>
      </c>
      <c r="D891">
        <v>0.34589999999999999</v>
      </c>
      <c r="E891">
        <v>0.35659999999999997</v>
      </c>
      <c r="F891">
        <v>1995901.64</v>
      </c>
      <c r="G891">
        <v>0</v>
      </c>
      <c r="L891" t="s">
        <v>7</v>
      </c>
      <c r="M891" t="s">
        <v>7</v>
      </c>
      <c r="N891" t="s">
        <v>7</v>
      </c>
      <c r="P891">
        <f t="shared" si="1009"/>
        <v>-0.69164265129683045</v>
      </c>
      <c r="Q891">
        <f t="shared" si="1010"/>
        <v>-1380450.7020172919</v>
      </c>
      <c r="R891">
        <f t="shared" si="1011"/>
        <v>-2572469.4370201807</v>
      </c>
      <c r="S891">
        <f t="shared" si="1012"/>
        <v>-25.724694370201806</v>
      </c>
      <c r="T891">
        <f t="shared" si="1013"/>
        <v>-2.5724694370201806E-2</v>
      </c>
    </row>
    <row r="892" spans="1:20" x14ac:dyDescent="0.25">
      <c r="A892" s="5">
        <v>43701</v>
      </c>
      <c r="B892">
        <v>0.41120000000000001</v>
      </c>
      <c r="C892">
        <v>0.41789999999999999</v>
      </c>
      <c r="D892">
        <v>0.37080000000000002</v>
      </c>
      <c r="E892">
        <v>0.39250000000000002</v>
      </c>
      <c r="F892">
        <v>783334.72</v>
      </c>
      <c r="G892">
        <v>0</v>
      </c>
      <c r="L892" t="s">
        <v>7</v>
      </c>
      <c r="M892" t="s">
        <v>7</v>
      </c>
      <c r="N892" t="s">
        <v>7</v>
      </c>
      <c r="P892">
        <f t="shared" si="1009"/>
        <v>-7.8556263269638701E-2</v>
      </c>
      <c r="Q892">
        <f t="shared" si="1010"/>
        <v>-61535.848492568715</v>
      </c>
      <c r="R892">
        <f t="shared" si="1011"/>
        <v>-1192018.7350028891</v>
      </c>
      <c r="S892">
        <f t="shared" si="1012"/>
        <v>-11.920187350028892</v>
      </c>
      <c r="T892">
        <f t="shared" si="1013"/>
        <v>-1.1920187350028892E-2</v>
      </c>
    </row>
    <row r="893" spans="1:20" x14ac:dyDescent="0.25">
      <c r="A893" s="5">
        <v>43700</v>
      </c>
      <c r="B893">
        <v>0.45</v>
      </c>
      <c r="C893">
        <v>0.45</v>
      </c>
      <c r="D893">
        <v>0.3967</v>
      </c>
      <c r="E893">
        <v>0.41089999999999999</v>
      </c>
      <c r="F893">
        <v>2419868.9900000002</v>
      </c>
      <c r="G893">
        <v>0</v>
      </c>
      <c r="P893">
        <f t="shared" si="1009"/>
        <v>-0.46716697936210183</v>
      </c>
      <c r="Q893">
        <f t="shared" si="1010"/>
        <v>-1130482.8865103202</v>
      </c>
      <c r="R893">
        <f t="shared" si="1011"/>
        <v>-1130482.8865103202</v>
      </c>
      <c r="S893">
        <f t="shared" si="1012"/>
        <v>-11.304828865103202</v>
      </c>
      <c r="T893">
        <f t="shared" si="1013"/>
        <v>-1.1304828865103202E-2</v>
      </c>
    </row>
    <row r="894" spans="1:20" x14ac:dyDescent="0.25">
      <c r="A894" s="5"/>
      <c r="C894" s="4"/>
      <c r="D894" s="4"/>
    </row>
    <row r="895" spans="1:20" x14ac:dyDescent="0.25">
      <c r="A895" s="5"/>
      <c r="C895" s="4"/>
      <c r="D895" s="4"/>
    </row>
    <row r="896" spans="1:20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OP571" sqref="OP57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$A$570</v>
      </c>
      <c r="D111" s="1" t="str">
        <f>ADDRESS(C121-1,D121,1,1)</f>
        <v>$OP$570</v>
      </c>
      <c r="E111"/>
    </row>
    <row r="112" spans="1:5" x14ac:dyDescent="0.25">
      <c r="A112" s="7">
        <v>12164.144957890772</v>
      </c>
      <c r="C112" s="1" t="str">
        <f>ADDRESS(C121,1,1,1)</f>
        <v>$A$571</v>
      </c>
      <c r="D112" s="1" t="str">
        <f>ADDRESS(C121,D121-1,1,1)</f>
        <v>$OO$571</v>
      </c>
      <c r="E112"/>
    </row>
    <row r="113" spans="1:5" x14ac:dyDescent="0.25">
      <c r="A113" s="7">
        <v>11925.63231165762</v>
      </c>
      <c r="C113" s="1" t="str">
        <f>ADDRESS(C121+1,1,1,1)</f>
        <v>$A$572</v>
      </c>
      <c r="D113" s="1" t="str">
        <f>ADDRESS(C121-1,D121+1,1,1)</f>
        <v>$OQ$570</v>
      </c>
    </row>
    <row r="114" spans="1:5" x14ac:dyDescent="0.25">
      <c r="A114" s="7">
        <v>11691.796383978059</v>
      </c>
      <c r="C114" s="1" t="str">
        <f>ADDRESS(C121,D121,1,1)</f>
        <v>$OP$571</v>
      </c>
      <c r="D114" s="1" t="str">
        <f>ADDRESS(C121+1,D121+1,1,1)</f>
        <v>$OQ$572</v>
      </c>
    </row>
    <row r="115" spans="1:5" x14ac:dyDescent="0.25">
      <c r="A115" s="7">
        <v>11462.545474488292</v>
      </c>
      <c r="C115" s="1" t="str">
        <f>ADDRESS(C121+1,D121,1,1)</f>
        <v>$OP$572</v>
      </c>
    </row>
    <row r="116" spans="1:5" x14ac:dyDescent="0.25">
      <c r="A116" s="7">
        <v>11237.789680870874</v>
      </c>
      <c r="C116" s="1">
        <f>C117-1</f>
        <v>570</v>
      </c>
    </row>
    <row r="117" spans="1:5" x14ac:dyDescent="0.25">
      <c r="A117" s="7">
        <v>11017.440863598895</v>
      </c>
      <c r="C117" s="1">
        <f>C121</f>
        <v>571</v>
      </c>
      <c r="D117" s="1">
        <f>D121</f>
        <v>406</v>
      </c>
    </row>
    <row r="118" spans="1:5" x14ac:dyDescent="0.25">
      <c r="A118" s="7">
        <v>10801.412611371465</v>
      </c>
      <c r="C118" s="1">
        <f>C117+1</f>
        <v>572</v>
      </c>
      <c r="D118" s="1">
        <f>D117+1</f>
        <v>407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571</v>
      </c>
      <c r="D121" s="19">
        <v>406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R571</v>
      </c>
      <c r="D123" s="1" t="str">
        <f>"C"&amp;D121</f>
        <v>C406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1.3727857050906125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242" x14ac:dyDescent="0.25">
      <c r="A465" s="7">
        <v>11.200075620783522</v>
      </c>
      <c r="B465"/>
      <c r="C465"/>
      <c r="D465"/>
      <c r="E465"/>
    </row>
    <row r="466" spans="1:242" x14ac:dyDescent="0.25">
      <c r="A466" s="7">
        <v>10.980466294885806</v>
      </c>
      <c r="B466"/>
      <c r="C466"/>
      <c r="D466"/>
      <c r="E466"/>
    </row>
    <row r="467" spans="1:242" x14ac:dyDescent="0.25">
      <c r="A467" s="7">
        <v>10.765163034201771</v>
      </c>
      <c r="B467"/>
      <c r="C467"/>
      <c r="D467"/>
      <c r="E467"/>
    </row>
    <row r="468" spans="1:242" x14ac:dyDescent="0.25">
      <c r="A468" s="7">
        <v>10.554081406080169</v>
      </c>
      <c r="B468"/>
      <c r="C468"/>
      <c r="D468"/>
      <c r="E468"/>
    </row>
    <row r="469" spans="1:242" x14ac:dyDescent="0.25">
      <c r="A469" s="7">
        <v>10.34713863341193</v>
      </c>
      <c r="B469"/>
      <c r="C469"/>
      <c r="D469"/>
      <c r="E469"/>
      <c r="IG469" s="27" t="s">
        <v>8</v>
      </c>
    </row>
    <row r="470" spans="1:242" x14ac:dyDescent="0.25">
      <c r="A470" s="7">
        <v>10.14425356216856</v>
      </c>
      <c r="B470"/>
      <c r="C470"/>
      <c r="D470"/>
      <c r="E470"/>
      <c r="IG470" s="27" t="s">
        <v>8</v>
      </c>
      <c r="IH470" s="27" t="s">
        <v>7</v>
      </c>
    </row>
    <row r="471" spans="1:242" x14ac:dyDescent="0.25">
      <c r="A471" s="7">
        <v>9.9453466295770188</v>
      </c>
      <c r="B471"/>
      <c r="C471"/>
      <c r="D471"/>
      <c r="E471"/>
      <c r="IG471" s="27" t="s">
        <v>8</v>
      </c>
      <c r="IH471" s="27" t="s">
        <v>7</v>
      </c>
    </row>
    <row r="472" spans="1:242" x14ac:dyDescent="0.25">
      <c r="A472" s="7">
        <v>9.7503398329186464</v>
      </c>
      <c r="B472"/>
      <c r="C472"/>
      <c r="D472"/>
      <c r="E472"/>
      <c r="IG472" s="27" t="s">
        <v>8</v>
      </c>
      <c r="IH472" s="27" t="s">
        <v>7</v>
      </c>
    </row>
    <row r="473" spans="1:242" x14ac:dyDescent="0.25">
      <c r="A473" s="7">
        <v>9.5591566989398498</v>
      </c>
      <c r="B473"/>
      <c r="C473"/>
      <c r="D473"/>
      <c r="E473"/>
      <c r="IG473" s="27" t="s">
        <v>8</v>
      </c>
      <c r="IH473" s="27" t="s">
        <v>7</v>
      </c>
    </row>
    <row r="474" spans="1:242" x14ac:dyDescent="0.25">
      <c r="A474" s="7">
        <v>9.3717222538625968</v>
      </c>
      <c r="B474"/>
      <c r="C474"/>
      <c r="D474"/>
      <c r="E474"/>
      <c r="IG474" s="27" t="s">
        <v>8</v>
      </c>
      <c r="IH474" s="27" t="s">
        <v>7</v>
      </c>
    </row>
    <row r="475" spans="1:242" x14ac:dyDescent="0.25">
      <c r="A475" s="7">
        <v>9.1879629939829375</v>
      </c>
      <c r="B475"/>
      <c r="C475"/>
      <c r="D475"/>
      <c r="E475"/>
      <c r="IG475" s="27" t="s">
        <v>8</v>
      </c>
      <c r="IH475" s="27" t="s">
        <v>7</v>
      </c>
    </row>
    <row r="476" spans="1:242" x14ac:dyDescent="0.25">
      <c r="A476" s="7">
        <v>9.0078068568460168</v>
      </c>
      <c r="B476"/>
      <c r="C476"/>
      <c r="D476"/>
      <c r="E476"/>
      <c r="IG476" s="27" t="s">
        <v>8</v>
      </c>
      <c r="IH476" s="27" t="s">
        <v>7</v>
      </c>
    </row>
    <row r="477" spans="1:242" x14ac:dyDescent="0.25">
      <c r="A477" s="7">
        <v>8.8311831929862912</v>
      </c>
      <c r="B477"/>
      <c r="C477"/>
      <c r="D477"/>
      <c r="E477"/>
      <c r="IG477" s="27" t="s">
        <v>8</v>
      </c>
      <c r="IH477" s="27" t="s">
        <v>7</v>
      </c>
    </row>
    <row r="478" spans="1:242" x14ac:dyDescent="0.25">
      <c r="A478" s="7">
        <v>8.6580227382218542</v>
      </c>
      <c r="B478"/>
      <c r="C478"/>
      <c r="D478"/>
      <c r="E478"/>
      <c r="IG478" s="27" t="s">
        <v>8</v>
      </c>
      <c r="IH478" s="27" t="s">
        <v>7</v>
      </c>
    </row>
    <row r="479" spans="1:242" x14ac:dyDescent="0.25">
      <c r="A479" s="7">
        <v>8.4882575864920131</v>
      </c>
      <c r="B479"/>
      <c r="C479"/>
      <c r="D479"/>
      <c r="E479"/>
      <c r="IG479" s="27" t="s">
        <v>8</v>
      </c>
      <c r="IH479" s="27" t="s">
        <v>7</v>
      </c>
    </row>
    <row r="480" spans="1:242" x14ac:dyDescent="0.25">
      <c r="A480" s="7">
        <v>8.3218211632274635</v>
      </c>
      <c r="B480"/>
      <c r="C480"/>
      <c r="D480"/>
      <c r="E480"/>
      <c r="IG480" s="27" t="s">
        <v>8</v>
      </c>
      <c r="IH480" s="27" t="s">
        <v>7</v>
      </c>
    </row>
    <row r="481" spans="1:248" x14ac:dyDescent="0.25">
      <c r="A481" s="7">
        <v>8.1586481992426112</v>
      </c>
      <c r="B481"/>
      <c r="C481"/>
      <c r="D481"/>
      <c r="E481"/>
      <c r="IG481" s="27" t="s">
        <v>8</v>
      </c>
      <c r="IH481" s="27" t="s">
        <v>7</v>
      </c>
    </row>
    <row r="482" spans="1:248" x14ac:dyDescent="0.25">
      <c r="A482" s="7">
        <v>7.9986747051398144</v>
      </c>
      <c r="B482"/>
      <c r="C482"/>
      <c r="D482"/>
      <c r="E482"/>
      <c r="IG482" s="27" t="s">
        <v>8</v>
      </c>
      <c r="IH482" s="27" t="s">
        <v>7</v>
      </c>
    </row>
    <row r="483" spans="1:248" x14ac:dyDescent="0.25">
      <c r="A483" s="7">
        <v>7.8418379462155041</v>
      </c>
      <c r="B483"/>
      <c r="C483"/>
      <c r="D483"/>
      <c r="E483"/>
      <c r="IG483" s="27" t="s">
        <v>8</v>
      </c>
      <c r="IH483" s="27" t="s">
        <v>7</v>
      </c>
    </row>
    <row r="484" spans="1:248" x14ac:dyDescent="0.25">
      <c r="A484" s="7">
        <v>7.688076417858337</v>
      </c>
      <c r="B484"/>
      <c r="C484"/>
      <c r="D484"/>
      <c r="E484"/>
      <c r="IG484" s="27" t="s">
        <v>8</v>
      </c>
      <c r="IH484" s="27" t="s">
        <v>7</v>
      </c>
    </row>
    <row r="485" spans="1:248" x14ac:dyDescent="0.25">
      <c r="A485" s="7">
        <v>7.5373298214297417</v>
      </c>
      <c r="B485"/>
      <c r="C485"/>
      <c r="D485"/>
      <c r="E485"/>
      <c r="IG485" s="27" t="s">
        <v>8</v>
      </c>
      <c r="IH485" s="27" t="s">
        <v>7</v>
      </c>
    </row>
    <row r="486" spans="1:248" x14ac:dyDescent="0.25">
      <c r="A486" s="7">
        <v>7.389539040617394</v>
      </c>
      <c r="B486"/>
      <c r="C486"/>
      <c r="D486"/>
      <c r="E486"/>
      <c r="IG486" s="27" t="s">
        <v>8</v>
      </c>
      <c r="IH486" s="27" t="s">
        <v>7</v>
      </c>
    </row>
    <row r="487" spans="1:248" x14ac:dyDescent="0.25">
      <c r="A487" s="7">
        <v>7.2446461182523469</v>
      </c>
      <c r="B487"/>
      <c r="C487"/>
      <c r="D487"/>
      <c r="E487"/>
      <c r="IG487" s="27" t="s">
        <v>8</v>
      </c>
      <c r="IH487" s="27" t="s">
        <v>7</v>
      </c>
    </row>
    <row r="488" spans="1:248" x14ac:dyDescent="0.25">
      <c r="A488" s="7">
        <v>7.1025942335807324</v>
      </c>
      <c r="B488"/>
      <c r="C488"/>
      <c r="D488"/>
      <c r="E488"/>
      <c r="IG488" s="27" t="s">
        <v>8</v>
      </c>
      <c r="IH488" s="27" t="s">
        <v>7</v>
      </c>
    </row>
    <row r="489" spans="1:248" x14ac:dyDescent="0.25">
      <c r="A489" s="7">
        <v>6.9633276799811101</v>
      </c>
      <c r="B489"/>
      <c r="C489"/>
      <c r="D489"/>
      <c r="E489"/>
      <c r="IG489" s="27" t="s">
        <v>8</v>
      </c>
      <c r="IH489" s="27" t="s">
        <v>7</v>
      </c>
      <c r="II489" s="27" t="s">
        <v>8</v>
      </c>
    </row>
    <row r="490" spans="1:248" x14ac:dyDescent="0.25">
      <c r="A490" s="7">
        <v>6.8267918431187349</v>
      </c>
      <c r="B490"/>
      <c r="C490"/>
      <c r="D490"/>
      <c r="E490"/>
      <c r="IG490" s="27" t="s">
        <v>8</v>
      </c>
      <c r="IH490" s="27" t="s">
        <v>7</v>
      </c>
      <c r="II490" s="27" t="s">
        <v>8</v>
      </c>
      <c r="IJ490" s="27" t="s">
        <v>7</v>
      </c>
      <c r="IK490" s="27" t="s">
        <v>8</v>
      </c>
      <c r="IM490" s="27" t="s">
        <v>8</v>
      </c>
    </row>
    <row r="491" spans="1:248" x14ac:dyDescent="0.25">
      <c r="A491" s="7">
        <v>6.692933179528171</v>
      </c>
      <c r="B491"/>
      <c r="C491"/>
      <c r="D491"/>
      <c r="E491"/>
      <c r="IG491" s="27" t="s">
        <v>8</v>
      </c>
      <c r="IH491" s="27" t="s">
        <v>7</v>
      </c>
      <c r="II491" s="27" t="s">
        <v>8</v>
      </c>
      <c r="IJ491" s="27" t="s">
        <v>7</v>
      </c>
      <c r="IK491" s="27" t="s">
        <v>8</v>
      </c>
      <c r="IL491" s="27" t="s">
        <v>7</v>
      </c>
      <c r="IM491" s="27" t="s">
        <v>8</v>
      </c>
      <c r="IN491" s="27" t="s">
        <v>7</v>
      </c>
    </row>
    <row r="492" spans="1:248" x14ac:dyDescent="0.25">
      <c r="A492" s="7">
        <v>6.5616991956158541</v>
      </c>
      <c r="B492"/>
      <c r="C492"/>
      <c r="D492"/>
      <c r="E492"/>
      <c r="IG492" s="27" t="s">
        <v>8</v>
      </c>
      <c r="IH492" s="27" t="s">
        <v>7</v>
      </c>
      <c r="II492" s="27" t="s">
        <v>8</v>
      </c>
      <c r="IJ492" s="27" t="s">
        <v>7</v>
      </c>
      <c r="IK492" s="27" t="s">
        <v>8</v>
      </c>
      <c r="IL492" s="27" t="s">
        <v>7</v>
      </c>
      <c r="IM492" s="27" t="s">
        <v>8</v>
      </c>
      <c r="IN492" s="27" t="s">
        <v>7</v>
      </c>
    </row>
    <row r="493" spans="1:248" x14ac:dyDescent="0.25">
      <c r="A493" s="7">
        <v>6.4330384270743668</v>
      </c>
      <c r="B493"/>
      <c r="C493"/>
      <c r="D493"/>
      <c r="E493"/>
      <c r="IG493" s="27" t="s">
        <v>8</v>
      </c>
      <c r="IH493" s="27" t="s">
        <v>7</v>
      </c>
      <c r="II493" s="27" t="s">
        <v>8</v>
      </c>
      <c r="IJ493" s="27" t="s">
        <v>7</v>
      </c>
      <c r="IK493" s="27" t="s">
        <v>8</v>
      </c>
      <c r="IL493" s="27" t="s">
        <v>7</v>
      </c>
      <c r="IM493" s="27" t="s">
        <v>8</v>
      </c>
      <c r="IN493" s="27" t="s">
        <v>7</v>
      </c>
    </row>
    <row r="494" spans="1:248" x14ac:dyDescent="0.25">
      <c r="A494" s="7">
        <v>6.3069004187003594</v>
      </c>
      <c r="B494"/>
      <c r="C494"/>
      <c r="D494"/>
      <c r="E494"/>
      <c r="IG494" s="27" t="s">
        <v>8</v>
      </c>
      <c r="IH494" s="27" t="s">
        <v>7</v>
      </c>
      <c r="II494" s="27" t="s">
        <v>8</v>
      </c>
      <c r="IJ494" s="27" t="s">
        <v>7</v>
      </c>
      <c r="IK494" s="27" t="s">
        <v>8</v>
      </c>
      <c r="IL494" s="27" t="s">
        <v>7</v>
      </c>
      <c r="IM494" s="27" t="s">
        <v>8</v>
      </c>
      <c r="IN494" s="27" t="s">
        <v>7</v>
      </c>
    </row>
    <row r="495" spans="1:248" x14ac:dyDescent="0.25">
      <c r="A495" s="7">
        <v>6.1832357046081956</v>
      </c>
      <c r="B495"/>
      <c r="C495"/>
      <c r="D495"/>
      <c r="E495"/>
      <c r="IG495" s="27" t="s">
        <v>8</v>
      </c>
      <c r="IH495" s="27" t="s">
        <v>7</v>
      </c>
      <c r="II495" s="27" t="s">
        <v>8</v>
      </c>
      <c r="IJ495" s="27" t="s">
        <v>7</v>
      </c>
      <c r="IK495" s="27" t="s">
        <v>8</v>
      </c>
      <c r="IL495" s="27" t="s">
        <v>7</v>
      </c>
      <c r="IM495" s="27" t="s">
        <v>8</v>
      </c>
      <c r="IN495" s="27" t="s">
        <v>7</v>
      </c>
    </row>
    <row r="496" spans="1:248" x14ac:dyDescent="0.25">
      <c r="A496" s="7">
        <v>6.0619957888315641</v>
      </c>
      <c r="B496"/>
      <c r="C496"/>
      <c r="D496"/>
      <c r="E496"/>
      <c r="IG496" s="27" t="s">
        <v>8</v>
      </c>
      <c r="IH496" s="27" t="s">
        <v>7</v>
      </c>
      <c r="II496" s="27" t="s">
        <v>8</v>
      </c>
      <c r="IJ496" s="27" t="s">
        <v>7</v>
      </c>
      <c r="IK496" s="27" t="s">
        <v>8</v>
      </c>
      <c r="IL496" s="27" t="s">
        <v>7</v>
      </c>
      <c r="IM496" s="27" t="s">
        <v>8</v>
      </c>
      <c r="IN496" s="27" t="s">
        <v>7</v>
      </c>
    </row>
    <row r="497" spans="1:330" x14ac:dyDescent="0.25">
      <c r="A497" s="7">
        <v>5.9431331263054545</v>
      </c>
      <c r="B497"/>
      <c r="C497"/>
      <c r="D497"/>
      <c r="E497"/>
      <c r="IG497" s="27" t="s">
        <v>8</v>
      </c>
      <c r="IH497" s="27" t="s">
        <v>7</v>
      </c>
      <c r="II497" s="27" t="s">
        <v>8</v>
      </c>
      <c r="IJ497" s="27" t="s">
        <v>7</v>
      </c>
      <c r="IK497" s="27" t="s">
        <v>8</v>
      </c>
      <c r="IL497" s="27" t="s">
        <v>7</v>
      </c>
      <c r="IM497" s="27" t="s">
        <v>8</v>
      </c>
      <c r="IN497" s="27" t="s">
        <v>7</v>
      </c>
      <c r="IY497" s="27" t="s">
        <v>8</v>
      </c>
    </row>
    <row r="498" spans="1:330" x14ac:dyDescent="0.25">
      <c r="A498" s="7">
        <v>5.8266011042210337</v>
      </c>
      <c r="B498"/>
      <c r="C498"/>
      <c r="D498"/>
      <c r="E498"/>
      <c r="IG498" s="27" t="s">
        <v>8</v>
      </c>
      <c r="IH498" s="27" t="s">
        <v>7</v>
      </c>
      <c r="II498" s="27" t="s">
        <v>8</v>
      </c>
      <c r="IJ498" s="27" t="s">
        <v>7</v>
      </c>
      <c r="IK498" s="27" t="s">
        <v>8</v>
      </c>
      <c r="IL498" s="27" t="s">
        <v>7</v>
      </c>
      <c r="IM498" s="27" t="s">
        <v>8</v>
      </c>
      <c r="IN498" s="27" t="s">
        <v>7</v>
      </c>
      <c r="IY498" s="27" t="s">
        <v>8</v>
      </c>
      <c r="IZ498" s="27" t="s">
        <v>7</v>
      </c>
    </row>
    <row r="499" spans="1:330" x14ac:dyDescent="0.25">
      <c r="A499" s="7">
        <v>5.7123540237461112</v>
      </c>
      <c r="B499"/>
      <c r="C499"/>
      <c r="D499"/>
      <c r="E499"/>
      <c r="IG499" s="27" t="s">
        <v>8</v>
      </c>
      <c r="IH499" s="27" t="s">
        <v>7</v>
      </c>
      <c r="II499" s="27" t="s">
        <v>8</v>
      </c>
      <c r="IJ499" s="27" t="s">
        <v>7</v>
      </c>
      <c r="IK499" s="27" t="s">
        <v>8</v>
      </c>
      <c r="IL499" s="27" t="s">
        <v>7</v>
      </c>
      <c r="IM499" s="27" t="s">
        <v>8</v>
      </c>
      <c r="IN499" s="27" t="s">
        <v>7</v>
      </c>
      <c r="IY499" s="27" t="s">
        <v>8</v>
      </c>
      <c r="IZ499" s="27" t="s">
        <v>7</v>
      </c>
    </row>
    <row r="500" spans="1:330" x14ac:dyDescent="0.25">
      <c r="A500" s="7">
        <v>5.6003470821040304</v>
      </c>
      <c r="B500"/>
      <c r="C500"/>
      <c r="D500"/>
      <c r="E500"/>
      <c r="IG500" s="27" t="s">
        <v>8</v>
      </c>
      <c r="IH500" s="27" t="s">
        <v>7</v>
      </c>
      <c r="II500" s="27" t="s">
        <v>8</v>
      </c>
      <c r="IJ500" s="27" t="s">
        <v>7</v>
      </c>
      <c r="IK500" s="27" t="s">
        <v>8</v>
      </c>
      <c r="IL500" s="27" t="s">
        <v>7</v>
      </c>
      <c r="IM500" s="27" t="s">
        <v>8</v>
      </c>
      <c r="IN500" s="27" t="s">
        <v>7</v>
      </c>
      <c r="IY500" s="27" t="s">
        <v>8</v>
      </c>
      <c r="IZ500" s="27" t="s">
        <v>7</v>
      </c>
    </row>
    <row r="501" spans="1:330" x14ac:dyDescent="0.25">
      <c r="A501" s="7">
        <v>5.4905363550039512</v>
      </c>
      <c r="B501"/>
      <c r="C501"/>
      <c r="D501"/>
      <c r="E501"/>
      <c r="IG501" s="27" t="s">
        <v>8</v>
      </c>
      <c r="IH501" s="27" t="s">
        <v>7</v>
      </c>
      <c r="II501" s="27" t="s">
        <v>8</v>
      </c>
      <c r="IJ501" s="27" t="s">
        <v>7</v>
      </c>
      <c r="IK501" s="27" t="s">
        <v>8</v>
      </c>
      <c r="IL501" s="27" t="s">
        <v>7</v>
      </c>
      <c r="IM501" s="27" t="s">
        <v>8</v>
      </c>
      <c r="IN501" s="27" t="s">
        <v>7</v>
      </c>
      <c r="IQ501" s="27" t="s">
        <v>8</v>
      </c>
      <c r="IY501" s="27" t="s">
        <v>8</v>
      </c>
      <c r="IZ501" s="27" t="s">
        <v>7</v>
      </c>
      <c r="LQ501" s="27" t="s">
        <v>8</v>
      </c>
    </row>
    <row r="502" spans="1:330" x14ac:dyDescent="0.25">
      <c r="A502" s="7">
        <v>5.3828787794156385</v>
      </c>
      <c r="B502"/>
      <c r="C502"/>
      <c r="D502"/>
      <c r="E502"/>
      <c r="IG502" s="27" t="s">
        <v>8</v>
      </c>
      <c r="IH502" s="27" t="s">
        <v>7</v>
      </c>
      <c r="II502" s="27" t="s">
        <v>8</v>
      </c>
      <c r="IJ502" s="27" t="s">
        <v>7</v>
      </c>
      <c r="IK502" s="27" t="s">
        <v>8</v>
      </c>
      <c r="IL502" s="27" t="s">
        <v>7</v>
      </c>
      <c r="IM502" s="27" t="s">
        <v>8</v>
      </c>
      <c r="IN502" s="27" t="s">
        <v>7</v>
      </c>
      <c r="IO502" s="27" t="s">
        <v>8</v>
      </c>
      <c r="IQ502" s="27" t="s">
        <v>8</v>
      </c>
      <c r="IR502" s="27" t="s">
        <v>7</v>
      </c>
      <c r="IY502" s="27" t="s">
        <v>8</v>
      </c>
      <c r="IZ502" s="27" t="s">
        <v>7</v>
      </c>
      <c r="LQ502" s="27" t="s">
        <v>8</v>
      </c>
      <c r="LR502" s="27" t="s">
        <v>7</v>
      </c>
    </row>
    <row r="503" spans="1:330" x14ac:dyDescent="0.25">
      <c r="A503" s="7">
        <v>5.2773321366819985</v>
      </c>
      <c r="B503"/>
      <c r="C503"/>
      <c r="D503"/>
      <c r="E503"/>
      <c r="IG503" s="27" t="s">
        <v>8</v>
      </c>
      <c r="IH503" s="27" t="s">
        <v>7</v>
      </c>
      <c r="IJ503" s="27" t="s">
        <v>7</v>
      </c>
      <c r="IK503" s="27" t="s">
        <v>8</v>
      </c>
      <c r="IL503" s="27" t="s">
        <v>7</v>
      </c>
      <c r="IN503" s="27" t="s">
        <v>7</v>
      </c>
      <c r="IO503" s="27" t="s">
        <v>8</v>
      </c>
      <c r="IP503" s="27" t="s">
        <v>7</v>
      </c>
      <c r="IQ503" s="27" t="s">
        <v>8</v>
      </c>
      <c r="IR503" s="27" t="s">
        <v>7</v>
      </c>
      <c r="IY503" s="27" t="s">
        <v>8</v>
      </c>
      <c r="IZ503" s="27" t="s">
        <v>7</v>
      </c>
      <c r="LQ503" s="27" t="s">
        <v>8</v>
      </c>
      <c r="LR503" s="27" t="s">
        <v>7</v>
      </c>
    </row>
    <row r="504" spans="1:330" x14ac:dyDescent="0.25">
      <c r="A504" s="7">
        <v>5.1738550359627435</v>
      </c>
      <c r="B504"/>
      <c r="C504"/>
      <c r="D504"/>
      <c r="E504"/>
      <c r="IG504" s="27" t="s">
        <v>8</v>
      </c>
      <c r="IJ504" s="27" t="s">
        <v>7</v>
      </c>
      <c r="IK504" s="27" t="s">
        <v>8</v>
      </c>
      <c r="IN504" s="27" t="s">
        <v>7</v>
      </c>
      <c r="IO504" s="27" t="s">
        <v>8</v>
      </c>
      <c r="IP504" s="27" t="s">
        <v>7</v>
      </c>
      <c r="IQ504" s="27" t="s">
        <v>8</v>
      </c>
      <c r="IR504" s="27" t="s">
        <v>7</v>
      </c>
      <c r="IY504" s="27" t="s">
        <v>8</v>
      </c>
      <c r="IZ504" s="27" t="s">
        <v>7</v>
      </c>
      <c r="LQ504" s="27" t="s">
        <v>8</v>
      </c>
      <c r="LR504" s="27" t="s">
        <v>7</v>
      </c>
    </row>
    <row r="505" spans="1:330" x14ac:dyDescent="0.25">
      <c r="A505" s="7">
        <v>5.07240689800269</v>
      </c>
      <c r="B505"/>
      <c r="C505"/>
      <c r="D505"/>
      <c r="E505"/>
      <c r="IG505" s="27" t="s">
        <v>8</v>
      </c>
      <c r="IJ505" s="27" t="s">
        <v>7</v>
      </c>
      <c r="IN505" s="27" t="s">
        <v>7</v>
      </c>
      <c r="IO505" s="27" t="s">
        <v>8</v>
      </c>
      <c r="IP505" s="27" t="s">
        <v>7</v>
      </c>
      <c r="IQ505" s="27" t="s">
        <v>8</v>
      </c>
      <c r="IR505" s="27" t="s">
        <v>7</v>
      </c>
      <c r="IY505" s="27" t="s">
        <v>8</v>
      </c>
      <c r="IZ505" s="27" t="s">
        <v>7</v>
      </c>
      <c r="LQ505" s="27" t="s">
        <v>8</v>
      </c>
      <c r="LR505" s="27" t="s">
        <v>7</v>
      </c>
    </row>
    <row r="506" spans="1:330" x14ac:dyDescent="0.25">
      <c r="A506" s="7">
        <v>4.9729479392183231</v>
      </c>
      <c r="B506"/>
      <c r="C506"/>
      <c r="D506"/>
      <c r="E506"/>
      <c r="IG506" s="27" t="s">
        <v>8</v>
      </c>
      <c r="IN506" s="27" t="s">
        <v>7</v>
      </c>
      <c r="IO506" s="27" t="s">
        <v>8</v>
      </c>
      <c r="IP506" s="27" t="s">
        <v>7</v>
      </c>
      <c r="IQ506" s="27" t="s">
        <v>8</v>
      </c>
      <c r="IR506" s="27" t="s">
        <v>7</v>
      </c>
      <c r="IY506" s="27" t="s">
        <v>8</v>
      </c>
      <c r="IZ506" s="27" t="s">
        <v>7</v>
      </c>
      <c r="LQ506" s="27" t="s">
        <v>8</v>
      </c>
      <c r="LR506" s="27" t="s">
        <v>7</v>
      </c>
    </row>
    <row r="507" spans="1:330" x14ac:dyDescent="0.25">
      <c r="A507" s="7">
        <v>4.8754391560963954</v>
      </c>
      <c r="B507"/>
      <c r="C507"/>
      <c r="D507"/>
      <c r="E507"/>
      <c r="IG507" s="27" t="s">
        <v>8</v>
      </c>
      <c r="IN507" s="27" t="s">
        <v>7</v>
      </c>
      <c r="IO507" s="27" t="s">
        <v>8</v>
      </c>
      <c r="IP507" s="27" t="s">
        <v>7</v>
      </c>
      <c r="IQ507" s="27" t="s">
        <v>8</v>
      </c>
      <c r="IR507" s="27" t="s">
        <v>7</v>
      </c>
      <c r="IY507" s="27" t="s">
        <v>8</v>
      </c>
      <c r="IZ507" s="27" t="s">
        <v>7</v>
      </c>
      <c r="JG507" s="27" t="s">
        <v>8</v>
      </c>
      <c r="LQ507" s="27" t="s">
        <v>8</v>
      </c>
      <c r="LR507" s="27" t="s">
        <v>7</v>
      </c>
    </row>
    <row r="508" spans="1:330" x14ac:dyDescent="0.25">
      <c r="A508" s="7">
        <v>4.7798423098984264</v>
      </c>
      <c r="B508"/>
      <c r="C508"/>
      <c r="D508"/>
      <c r="E508"/>
      <c r="IG508" s="27" t="s">
        <v>8</v>
      </c>
      <c r="IN508" s="27" t="s">
        <v>7</v>
      </c>
      <c r="IO508" s="27" t="s">
        <v>8</v>
      </c>
      <c r="IP508" s="27" t="s">
        <v>7</v>
      </c>
      <c r="IQ508" s="27" t="s">
        <v>8</v>
      </c>
      <c r="IR508" s="27" t="s">
        <v>7</v>
      </c>
      <c r="IS508" s="27" t="s">
        <v>8</v>
      </c>
      <c r="IY508" s="27" t="s">
        <v>8</v>
      </c>
      <c r="IZ508" s="27" t="s">
        <v>7</v>
      </c>
      <c r="JG508" s="27" t="s">
        <v>8</v>
      </c>
      <c r="JH508" s="27" t="s">
        <v>7</v>
      </c>
      <c r="LQ508" s="27" t="s">
        <v>8</v>
      </c>
      <c r="LR508" s="27" t="s">
        <v>7</v>
      </c>
    </row>
    <row r="509" spans="1:330" x14ac:dyDescent="0.25">
      <c r="A509" s="7">
        <v>4.6861199116651235</v>
      </c>
      <c r="B509"/>
      <c r="C509"/>
      <c r="D509"/>
      <c r="E509"/>
      <c r="IG509" s="27" t="s">
        <v>8</v>
      </c>
      <c r="IN509" s="27" t="s">
        <v>7</v>
      </c>
      <c r="IO509" s="27" t="s">
        <v>8</v>
      </c>
      <c r="IP509" s="27" t="s">
        <v>7</v>
      </c>
      <c r="IQ509" s="27" t="s">
        <v>8</v>
      </c>
      <c r="IR509" s="27" t="s">
        <v>7</v>
      </c>
      <c r="IS509" s="27" t="s">
        <v>8</v>
      </c>
      <c r="IT509" s="27" t="s">
        <v>7</v>
      </c>
      <c r="IW509" s="27" t="s">
        <v>8</v>
      </c>
      <c r="IY509" s="27" t="s">
        <v>8</v>
      </c>
      <c r="IZ509" s="27" t="s">
        <v>7</v>
      </c>
      <c r="JG509" s="27" t="s">
        <v>8</v>
      </c>
      <c r="JH509" s="27" t="s">
        <v>7</v>
      </c>
      <c r="LQ509" s="27" t="s">
        <v>8</v>
      </c>
      <c r="LR509" s="27" t="s">
        <v>7</v>
      </c>
    </row>
    <row r="510" spans="1:330" x14ac:dyDescent="0.25">
      <c r="A510" s="7">
        <v>4.5942352075148269</v>
      </c>
      <c r="B510"/>
      <c r="C510"/>
      <c r="D510"/>
      <c r="E510"/>
      <c r="IG510" s="27" t="s">
        <v>8</v>
      </c>
      <c r="IN510" s="27" t="s">
        <v>7</v>
      </c>
      <c r="IO510" s="27" t="s">
        <v>8</v>
      </c>
      <c r="IP510" s="27" t="s">
        <v>7</v>
      </c>
      <c r="IQ510" s="27" t="s">
        <v>8</v>
      </c>
      <c r="IR510" s="27" t="s">
        <v>7</v>
      </c>
      <c r="IS510" s="27" t="s">
        <v>8</v>
      </c>
      <c r="IT510" s="27" t="s">
        <v>7</v>
      </c>
      <c r="IW510" s="27" t="s">
        <v>8</v>
      </c>
      <c r="IX510" s="27" t="s">
        <v>7</v>
      </c>
      <c r="IY510" s="27" t="s">
        <v>8</v>
      </c>
      <c r="IZ510" s="27" t="s">
        <v>7</v>
      </c>
      <c r="JG510" s="27" t="s">
        <v>8</v>
      </c>
      <c r="JH510" s="27" t="s">
        <v>7</v>
      </c>
      <c r="LQ510" s="27" t="s">
        <v>8</v>
      </c>
      <c r="LR510" s="27" t="s">
        <v>7</v>
      </c>
    </row>
    <row r="511" spans="1:330" x14ac:dyDescent="0.25">
      <c r="A511" s="7">
        <v>4.5041521642302227</v>
      </c>
      <c r="B511"/>
      <c r="C511"/>
      <c r="D511"/>
      <c r="E511"/>
      <c r="IG511" s="27" t="s">
        <v>8</v>
      </c>
      <c r="IN511" s="27" t="s">
        <v>7</v>
      </c>
      <c r="IO511" s="27" t="s">
        <v>8</v>
      </c>
      <c r="IP511" s="27" t="s">
        <v>7</v>
      </c>
      <c r="IR511" s="27" t="s">
        <v>7</v>
      </c>
      <c r="IS511" s="27" t="s">
        <v>8</v>
      </c>
      <c r="IT511" s="27" t="s">
        <v>7</v>
      </c>
      <c r="IU511" s="27" t="s">
        <v>8</v>
      </c>
      <c r="IW511" s="27" t="s">
        <v>8</v>
      </c>
      <c r="IX511" s="27" t="s">
        <v>7</v>
      </c>
      <c r="IY511" s="27" t="s">
        <v>8</v>
      </c>
      <c r="IZ511" s="27" t="s">
        <v>7</v>
      </c>
      <c r="JG511" s="27" t="s">
        <v>8</v>
      </c>
      <c r="JH511" s="27" t="s">
        <v>7</v>
      </c>
      <c r="JI511" s="27" t="s">
        <v>8</v>
      </c>
      <c r="LQ511" s="27" t="s">
        <v>8</v>
      </c>
      <c r="LR511" s="27" t="s">
        <v>7</v>
      </c>
    </row>
    <row r="512" spans="1:330" x14ac:dyDescent="0.25">
      <c r="A512" s="7">
        <v>4.4158354551276693</v>
      </c>
      <c r="B512"/>
      <c r="C512"/>
      <c r="D512"/>
      <c r="E512"/>
      <c r="IG512" s="27" t="s">
        <v>8</v>
      </c>
      <c r="IN512" s="27" t="s">
        <v>7</v>
      </c>
      <c r="IO512" s="27" t="s">
        <v>8</v>
      </c>
      <c r="IR512" s="27" t="s">
        <v>7</v>
      </c>
      <c r="IS512" s="27" t="s">
        <v>8</v>
      </c>
      <c r="IT512" s="27" t="s">
        <v>7</v>
      </c>
      <c r="IU512" s="27" t="s">
        <v>8</v>
      </c>
      <c r="IV512" s="27" t="s">
        <v>7</v>
      </c>
      <c r="IW512" s="27" t="s">
        <v>8</v>
      </c>
      <c r="IX512" s="27" t="s">
        <v>7</v>
      </c>
      <c r="IY512" s="27" t="s">
        <v>8</v>
      </c>
      <c r="IZ512" s="27" t="s">
        <v>7</v>
      </c>
      <c r="JG512" s="27" t="s">
        <v>8</v>
      </c>
      <c r="JH512" s="27" t="s">
        <v>7</v>
      </c>
      <c r="JI512" s="27" t="s">
        <v>8</v>
      </c>
      <c r="JJ512" s="27" t="s">
        <v>7</v>
      </c>
      <c r="LQ512" s="27" t="s">
        <v>8</v>
      </c>
      <c r="LR512" s="27" t="s">
        <v>7</v>
      </c>
    </row>
    <row r="513" spans="1:377" x14ac:dyDescent="0.25">
      <c r="A513" s="7">
        <v>4.3292504462035977</v>
      </c>
      <c r="B513"/>
      <c r="C513"/>
      <c r="D513"/>
      <c r="E513"/>
      <c r="IG513" s="27" t="s">
        <v>8</v>
      </c>
      <c r="IN513" s="27" t="s">
        <v>7</v>
      </c>
      <c r="IO513" s="27" t="s">
        <v>8</v>
      </c>
      <c r="IR513" s="27" t="s">
        <v>7</v>
      </c>
      <c r="IS513" s="27" t="s">
        <v>8</v>
      </c>
      <c r="IT513" s="27" t="s">
        <v>7</v>
      </c>
      <c r="IU513" s="27" t="s">
        <v>8</v>
      </c>
      <c r="IV513" s="27" t="s">
        <v>7</v>
      </c>
      <c r="IW513" s="27" t="s">
        <v>8</v>
      </c>
      <c r="IX513" s="27" t="s">
        <v>7</v>
      </c>
      <c r="IY513" s="27" t="s">
        <v>8</v>
      </c>
      <c r="IZ513" s="27" t="s">
        <v>7</v>
      </c>
      <c r="JC513" s="27" t="s">
        <v>8</v>
      </c>
      <c r="JG513" s="27" t="s">
        <v>8</v>
      </c>
      <c r="JH513" s="27" t="s">
        <v>7</v>
      </c>
      <c r="JI513" s="27" t="s">
        <v>8</v>
      </c>
      <c r="JJ513" s="27" t="s">
        <v>7</v>
      </c>
      <c r="LQ513" s="27" t="s">
        <v>8</v>
      </c>
      <c r="LR513" s="27" t="s">
        <v>7</v>
      </c>
    </row>
    <row r="514" spans="1:377" x14ac:dyDescent="0.25">
      <c r="A514" s="7">
        <v>4.2443631825525463</v>
      </c>
      <c r="B514"/>
      <c r="C514"/>
      <c r="D514"/>
      <c r="E514"/>
      <c r="IG514" s="27" t="s">
        <v>8</v>
      </c>
      <c r="IN514" s="27" t="s">
        <v>7</v>
      </c>
      <c r="IO514" s="27" t="s">
        <v>8</v>
      </c>
      <c r="IR514" s="27" t="s">
        <v>7</v>
      </c>
      <c r="IT514" s="27" t="s">
        <v>7</v>
      </c>
      <c r="IU514" s="27" t="s">
        <v>8</v>
      </c>
      <c r="IV514" s="27" t="s">
        <v>7</v>
      </c>
      <c r="IW514" s="27" t="s">
        <v>8</v>
      </c>
      <c r="IX514" s="27" t="s">
        <v>7</v>
      </c>
      <c r="IY514" s="27" t="s">
        <v>8</v>
      </c>
      <c r="IZ514" s="27" t="s">
        <v>7</v>
      </c>
      <c r="JC514" s="27" t="s">
        <v>8</v>
      </c>
      <c r="JD514" s="27" t="s">
        <v>7</v>
      </c>
      <c r="JG514" s="27" t="s">
        <v>8</v>
      </c>
      <c r="JH514" s="27" t="s">
        <v>7</v>
      </c>
      <c r="JI514" s="27" t="s">
        <v>8</v>
      </c>
      <c r="JJ514" s="27" t="s">
        <v>7</v>
      </c>
      <c r="LQ514" s="27" t="s">
        <v>8</v>
      </c>
      <c r="LR514" s="27" t="s">
        <v>7</v>
      </c>
    </row>
    <row r="515" spans="1:377" x14ac:dyDescent="0.25">
      <c r="A515" s="7">
        <v>4.1611403750515157</v>
      </c>
      <c r="B515"/>
      <c r="C515"/>
      <c r="D515"/>
      <c r="E515"/>
      <c r="IG515" s="27" t="s">
        <v>8</v>
      </c>
      <c r="IN515" s="27" t="s">
        <v>7</v>
      </c>
      <c r="IO515" s="27" t="s">
        <v>8</v>
      </c>
      <c r="IT515" s="27" t="s">
        <v>7</v>
      </c>
      <c r="IV515" s="27" t="s">
        <v>7</v>
      </c>
      <c r="IW515" s="27" t="s">
        <v>8</v>
      </c>
      <c r="IX515" s="27" t="s">
        <v>7</v>
      </c>
      <c r="IY515" s="27" t="s">
        <v>8</v>
      </c>
      <c r="IZ515" s="27" t="s">
        <v>7</v>
      </c>
      <c r="JC515" s="27" t="s">
        <v>8</v>
      </c>
      <c r="JD515" s="27" t="s">
        <v>7</v>
      </c>
      <c r="JE515" s="27" t="s">
        <v>8</v>
      </c>
      <c r="JG515" s="27" t="s">
        <v>8</v>
      </c>
      <c r="JH515" s="27" t="s">
        <v>7</v>
      </c>
      <c r="JI515" s="27" t="s">
        <v>8</v>
      </c>
      <c r="JJ515" s="27" t="s">
        <v>7</v>
      </c>
      <c r="LQ515" s="27" t="s">
        <v>8</v>
      </c>
      <c r="LR515" s="27" t="s">
        <v>7</v>
      </c>
    </row>
    <row r="516" spans="1:377" x14ac:dyDescent="0.25">
      <c r="A516" s="7">
        <v>4.0795493873054074</v>
      </c>
      <c r="B516"/>
      <c r="C516"/>
      <c r="D516"/>
      <c r="E516"/>
      <c r="IG516" s="27" t="s">
        <v>8</v>
      </c>
      <c r="IN516" s="27" t="s">
        <v>7</v>
      </c>
      <c r="IV516" s="27" t="s">
        <v>7</v>
      </c>
      <c r="IW516" s="27" t="s">
        <v>8</v>
      </c>
      <c r="IX516" s="27" t="s">
        <v>7</v>
      </c>
      <c r="IY516" s="27" t="s">
        <v>8</v>
      </c>
      <c r="IZ516" s="27" t="s">
        <v>7</v>
      </c>
      <c r="JC516" s="27" t="s">
        <v>8</v>
      </c>
      <c r="JD516" s="27" t="s">
        <v>7</v>
      </c>
      <c r="JE516" s="27" t="s">
        <v>8</v>
      </c>
      <c r="JF516" s="27" t="s">
        <v>7</v>
      </c>
      <c r="JG516" s="27" t="s">
        <v>8</v>
      </c>
      <c r="JH516" s="27" t="s">
        <v>7</v>
      </c>
      <c r="JI516" s="27" t="s">
        <v>8</v>
      </c>
      <c r="JJ516" s="27" t="s">
        <v>7</v>
      </c>
      <c r="LQ516" s="27" t="s">
        <v>8</v>
      </c>
      <c r="LR516" s="27" t="s">
        <v>7</v>
      </c>
      <c r="MK516" s="27" t="s">
        <v>8</v>
      </c>
    </row>
    <row r="517" spans="1:377" x14ac:dyDescent="0.25">
      <c r="A517" s="7">
        <v>3.9995582228484383</v>
      </c>
      <c r="B517"/>
      <c r="C517"/>
      <c r="D517"/>
      <c r="E517"/>
      <c r="IG517" s="27" t="s">
        <v>8</v>
      </c>
      <c r="IV517" s="27" t="s">
        <v>7</v>
      </c>
      <c r="IW517" s="27" t="s">
        <v>8</v>
      </c>
      <c r="IX517" s="27" t="s">
        <v>7</v>
      </c>
      <c r="IY517" s="27" t="s">
        <v>8</v>
      </c>
      <c r="IZ517" s="27" t="s">
        <v>7</v>
      </c>
      <c r="JC517" s="27" t="s">
        <v>8</v>
      </c>
      <c r="JD517" s="27" t="s">
        <v>7</v>
      </c>
      <c r="JE517" s="27" t="s">
        <v>8</v>
      </c>
      <c r="JF517" s="27" t="s">
        <v>7</v>
      </c>
      <c r="JG517" s="27" t="s">
        <v>8</v>
      </c>
      <c r="JH517" s="27" t="s">
        <v>7</v>
      </c>
      <c r="JI517" s="27" t="s">
        <v>8</v>
      </c>
      <c r="JJ517" s="27" t="s">
        <v>7</v>
      </c>
      <c r="JK517" s="27" t="s">
        <v>8</v>
      </c>
      <c r="LQ517" s="27" t="s">
        <v>8</v>
      </c>
      <c r="LR517" s="27" t="s">
        <v>7</v>
      </c>
      <c r="MK517" s="27" t="s">
        <v>8</v>
      </c>
      <c r="ML517" s="27" t="s">
        <v>7</v>
      </c>
    </row>
    <row r="518" spans="1:377" x14ac:dyDescent="0.25">
      <c r="A518" s="7">
        <v>3.9211355125965079</v>
      </c>
      <c r="B518"/>
      <c r="C518"/>
      <c r="D518"/>
      <c r="E518"/>
      <c r="IG518" s="27" t="s">
        <v>8</v>
      </c>
      <c r="IV518" s="27" t="s">
        <v>7</v>
      </c>
      <c r="IW518" s="27" t="s">
        <v>8</v>
      </c>
      <c r="IX518" s="27" t="s">
        <v>7</v>
      </c>
      <c r="IY518" s="27" t="s">
        <v>8</v>
      </c>
      <c r="IZ518" s="27" t="s">
        <v>7</v>
      </c>
      <c r="JA518" s="27" t="s">
        <v>8</v>
      </c>
      <c r="JC518" s="27" t="s">
        <v>8</v>
      </c>
      <c r="JD518" s="27" t="s">
        <v>7</v>
      </c>
      <c r="JE518" s="27" t="s">
        <v>8</v>
      </c>
      <c r="JF518" s="27" t="s">
        <v>7</v>
      </c>
      <c r="JG518" s="27" t="s">
        <v>8</v>
      </c>
      <c r="JH518" s="27" t="s">
        <v>7</v>
      </c>
      <c r="JI518" s="27" t="s">
        <v>8</v>
      </c>
      <c r="JJ518" s="27" t="s">
        <v>7</v>
      </c>
      <c r="JK518" s="27" t="s">
        <v>8</v>
      </c>
      <c r="JL518" s="27" t="s">
        <v>7</v>
      </c>
      <c r="LQ518" s="27" t="s">
        <v>8</v>
      </c>
      <c r="LR518" s="27" t="s">
        <v>7</v>
      </c>
      <c r="MK518" s="27" t="s">
        <v>8</v>
      </c>
      <c r="ML518" s="27" t="s">
        <v>7</v>
      </c>
    </row>
    <row r="519" spans="1:377" x14ac:dyDescent="0.25">
      <c r="A519" s="7">
        <v>3.844250502545596</v>
      </c>
      <c r="B519"/>
      <c r="C519"/>
      <c r="D519"/>
      <c r="E519"/>
      <c r="IG519" s="27" t="s">
        <v>8</v>
      </c>
      <c r="IV519" s="27" t="s">
        <v>7</v>
      </c>
      <c r="IW519" s="27" t="s">
        <v>8</v>
      </c>
      <c r="IX519" s="27" t="s">
        <v>7</v>
      </c>
      <c r="IY519" s="27" t="s">
        <v>8</v>
      </c>
      <c r="IZ519" s="27" t="s">
        <v>7</v>
      </c>
      <c r="JA519" s="27" t="s">
        <v>8</v>
      </c>
      <c r="JB519" s="27" t="s">
        <v>7</v>
      </c>
      <c r="JC519" s="27" t="s">
        <v>8</v>
      </c>
      <c r="JD519" s="27" t="s">
        <v>7</v>
      </c>
      <c r="JE519" s="27" t="s">
        <v>8</v>
      </c>
      <c r="JF519" s="27" t="s">
        <v>7</v>
      </c>
      <c r="JG519" s="27" t="s">
        <v>8</v>
      </c>
      <c r="JH519" s="27" t="s">
        <v>7</v>
      </c>
      <c r="JI519" s="27" t="s">
        <v>8</v>
      </c>
      <c r="JJ519" s="27" t="s">
        <v>7</v>
      </c>
      <c r="JK519" s="27" t="s">
        <v>8</v>
      </c>
      <c r="JL519" s="27" t="s">
        <v>7</v>
      </c>
      <c r="LQ519" s="27" t="s">
        <v>8</v>
      </c>
      <c r="LR519" s="27" t="s">
        <v>7</v>
      </c>
      <c r="LY519" s="27" t="s">
        <v>8</v>
      </c>
      <c r="MA519" s="27" t="s">
        <v>8</v>
      </c>
      <c r="MK519" s="27" t="s">
        <v>8</v>
      </c>
      <c r="ML519" s="27" t="s">
        <v>7</v>
      </c>
    </row>
    <row r="520" spans="1:377" x14ac:dyDescent="0.25">
      <c r="A520" s="7">
        <v>3.7688730417113687</v>
      </c>
      <c r="B520"/>
      <c r="C520"/>
      <c r="D520"/>
      <c r="E520"/>
      <c r="IG520" s="27" t="s">
        <v>8</v>
      </c>
      <c r="IV520" s="27" t="s">
        <v>7</v>
      </c>
      <c r="IW520" s="27" t="s">
        <v>8</v>
      </c>
      <c r="IX520" s="27" t="s">
        <v>7</v>
      </c>
      <c r="IY520" s="27" t="s">
        <v>8</v>
      </c>
      <c r="IZ520" s="27" t="s">
        <v>7</v>
      </c>
      <c r="JA520" s="27" t="s">
        <v>8</v>
      </c>
      <c r="JB520" s="27" t="s">
        <v>7</v>
      </c>
      <c r="JC520" s="27" t="s">
        <v>8</v>
      </c>
      <c r="JD520" s="27" t="s">
        <v>7</v>
      </c>
      <c r="JF520" s="27" t="s">
        <v>7</v>
      </c>
      <c r="JH520" s="27" t="s">
        <v>7</v>
      </c>
      <c r="JI520" s="27" t="s">
        <v>8</v>
      </c>
      <c r="JJ520" s="27" t="s">
        <v>7</v>
      </c>
      <c r="JK520" s="27" t="s">
        <v>8</v>
      </c>
      <c r="JL520" s="27" t="s">
        <v>7</v>
      </c>
      <c r="LQ520" s="27" t="s">
        <v>8</v>
      </c>
      <c r="LR520" s="27" t="s">
        <v>7</v>
      </c>
      <c r="LY520" s="27" t="s">
        <v>8</v>
      </c>
      <c r="LZ520" s="27" t="s">
        <v>7</v>
      </c>
      <c r="MA520" s="27" t="s">
        <v>8</v>
      </c>
      <c r="MB520" s="27" t="s">
        <v>7</v>
      </c>
      <c r="MK520" s="27" t="s">
        <v>8</v>
      </c>
      <c r="ML520" s="27" t="s">
        <v>7</v>
      </c>
      <c r="MM520" s="27" t="s">
        <v>8</v>
      </c>
      <c r="MO520" s="27" t="s">
        <v>8</v>
      </c>
    </row>
    <row r="521" spans="1:377" x14ac:dyDescent="0.25">
      <c r="A521" s="7">
        <v>3.6949735703052635</v>
      </c>
      <c r="B521"/>
      <c r="C521"/>
      <c r="D521"/>
      <c r="E521"/>
      <c r="IG521" s="27" t="s">
        <v>8</v>
      </c>
      <c r="IV521" s="27" t="s">
        <v>7</v>
      </c>
      <c r="IW521" s="27" t="s">
        <v>8</v>
      </c>
      <c r="IX521" s="27" t="s">
        <v>7</v>
      </c>
      <c r="IY521" s="27" t="s">
        <v>8</v>
      </c>
      <c r="IZ521" s="27" t="s">
        <v>7</v>
      </c>
      <c r="JA521" s="27" t="s">
        <v>8</v>
      </c>
      <c r="JB521" s="27" t="s">
        <v>7</v>
      </c>
      <c r="JC521" s="27" t="s">
        <v>8</v>
      </c>
      <c r="JH521" s="27" t="s">
        <v>7</v>
      </c>
      <c r="JI521" s="27" t="s">
        <v>8</v>
      </c>
      <c r="JJ521" s="27" t="s">
        <v>7</v>
      </c>
      <c r="JK521" s="27" t="s">
        <v>8</v>
      </c>
      <c r="JL521" s="27" t="s">
        <v>7</v>
      </c>
      <c r="LQ521" s="27" t="s">
        <v>8</v>
      </c>
      <c r="LR521" s="27" t="s">
        <v>7</v>
      </c>
      <c r="LY521" s="27" t="s">
        <v>8</v>
      </c>
      <c r="LZ521" s="27" t="s">
        <v>7</v>
      </c>
      <c r="MA521" s="27" t="s">
        <v>8</v>
      </c>
      <c r="MB521" s="27" t="s">
        <v>7</v>
      </c>
      <c r="MK521" s="27" t="s">
        <v>8</v>
      </c>
      <c r="ML521" s="27" t="s">
        <v>7</v>
      </c>
      <c r="MM521" s="27" t="s">
        <v>8</v>
      </c>
      <c r="MN521" s="27" t="s">
        <v>7</v>
      </c>
      <c r="MO521" s="27" t="s">
        <v>8</v>
      </c>
      <c r="MP521" s="27" t="s">
        <v>7</v>
      </c>
      <c r="MQ521" s="27" t="s">
        <v>8</v>
      </c>
    </row>
    <row r="522" spans="1:377" x14ac:dyDescent="0.25">
      <c r="A522" s="7">
        <v>3.6225231081424152</v>
      </c>
      <c r="B522"/>
      <c r="C522"/>
      <c r="D522"/>
      <c r="E522"/>
      <c r="IG522" s="27" t="s">
        <v>8</v>
      </c>
      <c r="IV522" s="27" t="s">
        <v>7</v>
      </c>
      <c r="IW522" s="27" t="s">
        <v>8</v>
      </c>
      <c r="IX522" s="27" t="s">
        <v>7</v>
      </c>
      <c r="IY522" s="27" t="s">
        <v>8</v>
      </c>
      <c r="IZ522" s="27" t="s">
        <v>7</v>
      </c>
      <c r="JA522" s="27" t="s">
        <v>8</v>
      </c>
      <c r="JB522" s="27" t="s">
        <v>7</v>
      </c>
      <c r="JC522" s="27" t="s">
        <v>8</v>
      </c>
      <c r="JH522" s="27" t="s">
        <v>7</v>
      </c>
      <c r="JJ522" s="27" t="s">
        <v>7</v>
      </c>
      <c r="JK522" s="27" t="s">
        <v>8</v>
      </c>
      <c r="JL522" s="27" t="s">
        <v>7</v>
      </c>
      <c r="KA522" s="27" t="s">
        <v>8</v>
      </c>
      <c r="LQ522" s="27" t="s">
        <v>8</v>
      </c>
      <c r="LR522" s="27" t="s">
        <v>7</v>
      </c>
      <c r="LY522" s="27" t="s">
        <v>8</v>
      </c>
      <c r="LZ522" s="27" t="s">
        <v>7</v>
      </c>
      <c r="MA522" s="27" t="s">
        <v>8</v>
      </c>
      <c r="MB522" s="27" t="s">
        <v>7</v>
      </c>
      <c r="MK522" s="27" t="s">
        <v>8</v>
      </c>
      <c r="ML522" s="27" t="s">
        <v>7</v>
      </c>
      <c r="MM522" s="27" t="s">
        <v>8</v>
      </c>
      <c r="MN522" s="27" t="s">
        <v>7</v>
      </c>
      <c r="MO522" s="27" t="s">
        <v>8</v>
      </c>
      <c r="MP522" s="27" t="s">
        <v>7</v>
      </c>
      <c r="MQ522" s="27" t="s">
        <v>8</v>
      </c>
      <c r="MR522" s="27" t="s">
        <v>7</v>
      </c>
    </row>
    <row r="523" spans="1:377" x14ac:dyDescent="0.25">
      <c r="A523" s="7">
        <v>3.5514932432768775</v>
      </c>
      <c r="B523"/>
      <c r="C523"/>
      <c r="D523"/>
      <c r="E523"/>
      <c r="IG523" s="27" t="s">
        <v>8</v>
      </c>
      <c r="IV523" s="27" t="s">
        <v>7</v>
      </c>
      <c r="IW523" s="27" t="s">
        <v>8</v>
      </c>
      <c r="IX523" s="27" t="s">
        <v>7</v>
      </c>
      <c r="IY523" s="27" t="s">
        <v>8</v>
      </c>
      <c r="IZ523" s="27" t="s">
        <v>7</v>
      </c>
      <c r="JA523" s="27" t="s">
        <v>8</v>
      </c>
      <c r="JB523" s="27" t="s">
        <v>7</v>
      </c>
      <c r="JC523" s="27" t="s">
        <v>8</v>
      </c>
      <c r="JJ523" s="27" t="s">
        <v>7</v>
      </c>
      <c r="JK523" s="27" t="s">
        <v>8</v>
      </c>
      <c r="JL523" s="27" t="s">
        <v>7</v>
      </c>
      <c r="JM523" s="27" t="s">
        <v>8</v>
      </c>
      <c r="KA523" s="27" t="s">
        <v>8</v>
      </c>
      <c r="KB523" s="27" t="s">
        <v>7</v>
      </c>
      <c r="LQ523" s="27" t="s">
        <v>8</v>
      </c>
      <c r="LR523" s="27" t="s">
        <v>7</v>
      </c>
      <c r="LW523" s="27" t="s">
        <v>8</v>
      </c>
      <c r="LY523" s="27" t="s">
        <v>8</v>
      </c>
      <c r="LZ523" s="27" t="s">
        <v>7</v>
      </c>
      <c r="MA523" s="27" t="s">
        <v>8</v>
      </c>
      <c r="MB523" s="27" t="s">
        <v>7</v>
      </c>
      <c r="MK523" s="27" t="s">
        <v>8</v>
      </c>
      <c r="ML523" s="27" t="s">
        <v>7</v>
      </c>
      <c r="MM523" s="27" t="s">
        <v>8</v>
      </c>
      <c r="MN523" s="27" t="s">
        <v>7</v>
      </c>
      <c r="MO523" s="27" t="s">
        <v>8</v>
      </c>
      <c r="MP523" s="27" t="s">
        <v>7</v>
      </c>
      <c r="MQ523" s="27" t="s">
        <v>8</v>
      </c>
      <c r="MR523" s="27" t="s">
        <v>7</v>
      </c>
      <c r="MW523" s="27" t="s">
        <v>8</v>
      </c>
      <c r="MY523" s="27" t="s">
        <v>8</v>
      </c>
      <c r="NC523" s="27" t="s">
        <v>8</v>
      </c>
    </row>
    <row r="524" spans="1:377" x14ac:dyDescent="0.25">
      <c r="A524" s="7">
        <v>3.4818561208596837</v>
      </c>
      <c r="B524"/>
      <c r="C524"/>
      <c r="D524"/>
      <c r="E524"/>
      <c r="IG524" s="27" t="s">
        <v>8</v>
      </c>
      <c r="IV524" s="27" t="s">
        <v>7</v>
      </c>
      <c r="IW524" s="27" t="s">
        <v>8</v>
      </c>
      <c r="IX524" s="27" t="s">
        <v>7</v>
      </c>
      <c r="IY524" s="27" t="s">
        <v>8</v>
      </c>
      <c r="IZ524" s="27" t="s">
        <v>7</v>
      </c>
      <c r="JA524" s="27" t="s">
        <v>8</v>
      </c>
      <c r="JB524" s="27" t="s">
        <v>7</v>
      </c>
      <c r="JC524" s="27" t="s">
        <v>8</v>
      </c>
      <c r="JJ524" s="27" t="s">
        <v>7</v>
      </c>
      <c r="JK524" s="27" t="s">
        <v>8</v>
      </c>
      <c r="JL524" s="27" t="s">
        <v>7</v>
      </c>
      <c r="JM524" s="27" t="s">
        <v>8</v>
      </c>
      <c r="JN524" s="27" t="s">
        <v>7</v>
      </c>
      <c r="JO524" s="27" t="s">
        <v>8</v>
      </c>
      <c r="KA524" s="27" t="s">
        <v>8</v>
      </c>
      <c r="KB524" s="27" t="s">
        <v>7</v>
      </c>
      <c r="LQ524" s="27" t="s">
        <v>8</v>
      </c>
      <c r="LR524" s="27" t="s">
        <v>7</v>
      </c>
      <c r="LS524" s="27" t="s">
        <v>8</v>
      </c>
      <c r="LU524" s="27" t="s">
        <v>8</v>
      </c>
      <c r="LW524" s="27" t="s">
        <v>8</v>
      </c>
      <c r="LX524" s="27" t="s">
        <v>7</v>
      </c>
      <c r="LY524" s="27" t="s">
        <v>8</v>
      </c>
      <c r="LZ524" s="27" t="s">
        <v>7</v>
      </c>
      <c r="MA524" s="27" t="s">
        <v>8</v>
      </c>
      <c r="MB524" s="27" t="s">
        <v>7</v>
      </c>
      <c r="MK524" s="27" t="s">
        <v>8</v>
      </c>
      <c r="ML524" s="27" t="s">
        <v>7</v>
      </c>
      <c r="MM524" s="27" t="s">
        <v>8</v>
      </c>
      <c r="MN524" s="27" t="s">
        <v>7</v>
      </c>
      <c r="MO524" s="27" t="s">
        <v>8</v>
      </c>
      <c r="MP524" s="27" t="s">
        <v>7</v>
      </c>
      <c r="MQ524" s="27" t="s">
        <v>8</v>
      </c>
      <c r="MR524" s="27" t="s">
        <v>7</v>
      </c>
      <c r="MS524" s="27" t="s">
        <v>8</v>
      </c>
      <c r="MW524" s="27" t="s">
        <v>8</v>
      </c>
      <c r="MX524" s="27" t="s">
        <v>7</v>
      </c>
      <c r="MY524" s="27" t="s">
        <v>8</v>
      </c>
      <c r="MZ524" s="27" t="s">
        <v>7</v>
      </c>
      <c r="NA524" s="27" t="s">
        <v>8</v>
      </c>
      <c r="NC524" s="27" t="s">
        <v>8</v>
      </c>
      <c r="ND524" s="27" t="s">
        <v>7</v>
      </c>
      <c r="NI524" s="27" t="s">
        <v>8</v>
      </c>
    </row>
    <row r="525" spans="1:377" x14ac:dyDescent="0.25">
      <c r="A525" s="7">
        <v>3.4135844322153761</v>
      </c>
      <c r="B525"/>
      <c r="C525"/>
      <c r="D525"/>
      <c r="E525"/>
      <c r="IG525" s="27" t="s">
        <v>8</v>
      </c>
      <c r="IV525" s="27" t="s">
        <v>7</v>
      </c>
      <c r="IW525" s="27" t="s">
        <v>8</v>
      </c>
      <c r="IX525" s="27" t="s">
        <v>7</v>
      </c>
      <c r="IY525" s="27" t="s">
        <v>8</v>
      </c>
      <c r="IZ525" s="27" t="s">
        <v>7</v>
      </c>
      <c r="JA525" s="27" t="s">
        <v>8</v>
      </c>
      <c r="JB525" s="27" t="s">
        <v>7</v>
      </c>
      <c r="JC525" s="27" t="s">
        <v>8</v>
      </c>
      <c r="JJ525" s="27" t="s">
        <v>7</v>
      </c>
      <c r="JK525" s="27" t="s">
        <v>8</v>
      </c>
      <c r="JL525" s="27" t="s">
        <v>7</v>
      </c>
      <c r="JM525" s="27" t="s">
        <v>8</v>
      </c>
      <c r="JN525" s="27" t="s">
        <v>7</v>
      </c>
      <c r="JO525" s="27" t="s">
        <v>8</v>
      </c>
      <c r="JP525" s="27" t="s">
        <v>7</v>
      </c>
      <c r="KA525" s="27" t="s">
        <v>8</v>
      </c>
      <c r="KB525" s="27" t="s">
        <v>7</v>
      </c>
      <c r="LI525" s="27" t="s">
        <v>8</v>
      </c>
      <c r="LQ525" s="27" t="s">
        <v>8</v>
      </c>
      <c r="LR525" s="27" t="s">
        <v>7</v>
      </c>
      <c r="LS525" s="27" t="s">
        <v>8</v>
      </c>
      <c r="LT525" s="27" t="s">
        <v>7</v>
      </c>
      <c r="LU525" s="27" t="s">
        <v>8</v>
      </c>
      <c r="LV525" s="27" t="s">
        <v>7</v>
      </c>
      <c r="LW525" s="27" t="s">
        <v>8</v>
      </c>
      <c r="LX525" s="27" t="s">
        <v>7</v>
      </c>
      <c r="LY525" s="27" t="s">
        <v>8</v>
      </c>
      <c r="LZ525" s="27" t="s">
        <v>7</v>
      </c>
      <c r="MA525" s="27" t="s">
        <v>8</v>
      </c>
      <c r="MB525" s="27" t="s">
        <v>7</v>
      </c>
      <c r="MI525" s="27" t="s">
        <v>8</v>
      </c>
      <c r="MK525" s="27" t="s">
        <v>8</v>
      </c>
      <c r="ML525" s="27" t="s">
        <v>7</v>
      </c>
      <c r="MN525" s="27" t="s">
        <v>7</v>
      </c>
      <c r="MP525" s="27" t="s">
        <v>7</v>
      </c>
      <c r="MQ525" s="27" t="s">
        <v>8</v>
      </c>
      <c r="MR525" s="27" t="s">
        <v>7</v>
      </c>
      <c r="MS525" s="27" t="s">
        <v>8</v>
      </c>
      <c r="MT525" s="27" t="s">
        <v>7</v>
      </c>
      <c r="MU525" s="27" t="s">
        <v>8</v>
      </c>
      <c r="MW525" s="27" t="s">
        <v>8</v>
      </c>
      <c r="MX525" s="27" t="s">
        <v>7</v>
      </c>
      <c r="MY525" s="27" t="s">
        <v>8</v>
      </c>
      <c r="MZ525" s="27" t="s">
        <v>7</v>
      </c>
      <c r="NA525" s="27" t="s">
        <v>8</v>
      </c>
      <c r="NB525" s="27" t="s">
        <v>7</v>
      </c>
      <c r="NC525" s="27" t="s">
        <v>8</v>
      </c>
      <c r="ND525" s="27" t="s">
        <v>7</v>
      </c>
      <c r="NI525" s="27" t="s">
        <v>8</v>
      </c>
      <c r="NJ525" s="27" t="s">
        <v>7</v>
      </c>
    </row>
    <row r="526" spans="1:377" x14ac:dyDescent="0.25">
      <c r="A526" s="7">
        <v>3.3466514041327216</v>
      </c>
      <c r="B526"/>
      <c r="C526"/>
      <c r="D526"/>
      <c r="E526"/>
      <c r="IG526" s="27" t="s">
        <v>8</v>
      </c>
      <c r="IV526" s="27" t="s">
        <v>7</v>
      </c>
      <c r="IW526" s="27" t="s">
        <v>8</v>
      </c>
      <c r="IX526" s="27" t="s">
        <v>7</v>
      </c>
      <c r="IY526" s="27" t="s">
        <v>8</v>
      </c>
      <c r="IZ526" s="27" t="s">
        <v>7</v>
      </c>
      <c r="JA526" s="27" t="s">
        <v>8</v>
      </c>
      <c r="JB526" s="27" t="s">
        <v>7</v>
      </c>
      <c r="JC526" s="27" t="s">
        <v>8</v>
      </c>
      <c r="JJ526" s="27" t="s">
        <v>7</v>
      </c>
      <c r="JL526" s="27" t="s">
        <v>7</v>
      </c>
      <c r="JM526" s="27" t="s">
        <v>8</v>
      </c>
      <c r="JN526" s="27" t="s">
        <v>7</v>
      </c>
      <c r="JO526" s="27" t="s">
        <v>8</v>
      </c>
      <c r="JP526" s="27" t="s">
        <v>7</v>
      </c>
      <c r="KA526" s="27" t="s">
        <v>8</v>
      </c>
      <c r="KB526" s="27" t="s">
        <v>7</v>
      </c>
      <c r="LI526" s="27" t="s">
        <v>8</v>
      </c>
      <c r="LJ526" s="27" t="s">
        <v>7</v>
      </c>
      <c r="LQ526" s="27" t="s">
        <v>8</v>
      </c>
      <c r="LR526" s="27" t="s">
        <v>7</v>
      </c>
      <c r="LS526" s="27" t="s">
        <v>8</v>
      </c>
      <c r="LT526" s="27" t="s">
        <v>7</v>
      </c>
      <c r="LU526" s="27" t="s">
        <v>8</v>
      </c>
      <c r="LV526" s="27" t="s">
        <v>7</v>
      </c>
      <c r="LW526" s="27" t="s">
        <v>8</v>
      </c>
      <c r="LX526" s="27" t="s">
        <v>7</v>
      </c>
      <c r="LZ526" s="27" t="s">
        <v>7</v>
      </c>
      <c r="MB526" s="27" t="s">
        <v>7</v>
      </c>
      <c r="MI526" s="27" t="s">
        <v>8</v>
      </c>
      <c r="MJ526" s="27" t="s">
        <v>7</v>
      </c>
      <c r="MK526" s="27" t="s">
        <v>8</v>
      </c>
      <c r="MP526" s="27" t="s">
        <v>7</v>
      </c>
      <c r="MQ526" s="27" t="s">
        <v>8</v>
      </c>
      <c r="MR526" s="27" t="s">
        <v>7</v>
      </c>
      <c r="MS526" s="27" t="s">
        <v>8</v>
      </c>
      <c r="MT526" s="27" t="s">
        <v>7</v>
      </c>
      <c r="MU526" s="27" t="s">
        <v>8</v>
      </c>
      <c r="MV526" s="27" t="s">
        <v>7</v>
      </c>
      <c r="MW526" s="27" t="s">
        <v>8</v>
      </c>
      <c r="MX526" s="27" t="s">
        <v>7</v>
      </c>
      <c r="MY526" s="27" t="s">
        <v>8</v>
      </c>
      <c r="MZ526" s="27" t="s">
        <v>7</v>
      </c>
      <c r="NA526" s="27" t="s">
        <v>8</v>
      </c>
      <c r="NB526" s="27" t="s">
        <v>7</v>
      </c>
      <c r="NC526" s="27" t="s">
        <v>8</v>
      </c>
      <c r="ND526" s="27" t="s">
        <v>7</v>
      </c>
      <c r="NI526" s="27" t="s">
        <v>8</v>
      </c>
      <c r="NJ526" s="27" t="s">
        <v>7</v>
      </c>
    </row>
    <row r="527" spans="1:377" x14ac:dyDescent="0.25">
      <c r="A527" s="7">
        <v>3.2810307883654133</v>
      </c>
      <c r="B527"/>
      <c r="C527"/>
      <c r="D527"/>
      <c r="E527"/>
      <c r="IG527" s="27" t="s">
        <v>8</v>
      </c>
      <c r="IV527" s="27" t="s">
        <v>7</v>
      </c>
      <c r="IW527" s="27" t="s">
        <v>8</v>
      </c>
      <c r="IX527" s="27" t="s">
        <v>7</v>
      </c>
      <c r="IY527" s="27" t="s">
        <v>8</v>
      </c>
      <c r="IZ527" s="27" t="s">
        <v>7</v>
      </c>
      <c r="JA527" s="27" t="s">
        <v>8</v>
      </c>
      <c r="JB527" s="27" t="s">
        <v>7</v>
      </c>
      <c r="JC527" s="27" t="s">
        <v>8</v>
      </c>
      <c r="JL527" s="27" t="s">
        <v>7</v>
      </c>
      <c r="JM527" s="27" t="s">
        <v>8</v>
      </c>
      <c r="JN527" s="27" t="s">
        <v>7</v>
      </c>
      <c r="JO527" s="27" t="s">
        <v>8</v>
      </c>
      <c r="JP527" s="27" t="s">
        <v>7</v>
      </c>
      <c r="KA527" s="27" t="s">
        <v>8</v>
      </c>
      <c r="KB527" s="27" t="s">
        <v>7</v>
      </c>
      <c r="LG527" s="27" t="s">
        <v>8</v>
      </c>
      <c r="LI527" s="27" t="s">
        <v>8</v>
      </c>
      <c r="LJ527" s="27" t="s">
        <v>7</v>
      </c>
      <c r="LQ527" s="27" t="s">
        <v>8</v>
      </c>
      <c r="LR527" s="27" t="s">
        <v>7</v>
      </c>
      <c r="LS527" s="27" t="s">
        <v>8</v>
      </c>
      <c r="LT527" s="27" t="s">
        <v>7</v>
      </c>
      <c r="LU527" s="27" t="s">
        <v>8</v>
      </c>
      <c r="LV527" s="27" t="s">
        <v>7</v>
      </c>
      <c r="LW527" s="27" t="s">
        <v>8</v>
      </c>
      <c r="MB527" s="27" t="s">
        <v>7</v>
      </c>
      <c r="ME527" s="27" t="s">
        <v>8</v>
      </c>
      <c r="MI527" s="27" t="s">
        <v>8</v>
      </c>
      <c r="MJ527" s="27" t="s">
        <v>7</v>
      </c>
      <c r="MK527" s="27" t="s">
        <v>8</v>
      </c>
      <c r="MP527" s="27" t="s">
        <v>7</v>
      </c>
      <c r="MQ527" s="27" t="s">
        <v>8</v>
      </c>
      <c r="MR527" s="27" t="s">
        <v>7</v>
      </c>
      <c r="MS527" s="27" t="s">
        <v>8</v>
      </c>
      <c r="MT527" s="27" t="s">
        <v>7</v>
      </c>
      <c r="MU527" s="27" t="s">
        <v>8</v>
      </c>
      <c r="MV527" s="27" t="s">
        <v>7</v>
      </c>
      <c r="MW527" s="27" t="s">
        <v>8</v>
      </c>
      <c r="MX527" s="27" t="s">
        <v>7</v>
      </c>
      <c r="MY527" s="27" t="s">
        <v>8</v>
      </c>
      <c r="MZ527" s="27" t="s">
        <v>7</v>
      </c>
      <c r="NB527" s="27" t="s">
        <v>7</v>
      </c>
      <c r="NC527" s="27" t="s">
        <v>8</v>
      </c>
      <c r="ND527" s="27" t="s">
        <v>7</v>
      </c>
      <c r="NE527" s="27" t="s">
        <v>8</v>
      </c>
      <c r="NG527" s="27" t="s">
        <v>8</v>
      </c>
      <c r="NI527" s="27" t="s">
        <v>8</v>
      </c>
      <c r="NJ527" s="27" t="s">
        <v>7</v>
      </c>
    </row>
    <row r="528" spans="1:377" x14ac:dyDescent="0.25">
      <c r="A528" s="7">
        <v>3.2166968513386403</v>
      </c>
      <c r="B528"/>
      <c r="C528"/>
      <c r="D528"/>
      <c r="E528"/>
      <c r="IG528" s="27" t="s">
        <v>8</v>
      </c>
      <c r="IV528" s="27" t="s">
        <v>7</v>
      </c>
      <c r="IW528" s="27" t="s">
        <v>8</v>
      </c>
      <c r="IX528" s="27" t="s">
        <v>7</v>
      </c>
      <c r="IZ528" s="27" t="s">
        <v>7</v>
      </c>
      <c r="JA528" s="27" t="s">
        <v>8</v>
      </c>
      <c r="JB528" s="27" t="s">
        <v>7</v>
      </c>
      <c r="JC528" s="27" t="s">
        <v>8</v>
      </c>
      <c r="JL528" s="27" t="s">
        <v>7</v>
      </c>
      <c r="JM528" s="27" t="s">
        <v>8</v>
      </c>
      <c r="JN528" s="27" t="s">
        <v>7</v>
      </c>
      <c r="JO528" s="27" t="s">
        <v>8</v>
      </c>
      <c r="JP528" s="27" t="s">
        <v>7</v>
      </c>
      <c r="KA528" s="27" t="s">
        <v>8</v>
      </c>
      <c r="KB528" s="27" t="s">
        <v>7</v>
      </c>
      <c r="LG528" s="27" t="s">
        <v>8</v>
      </c>
      <c r="LH528" s="27" t="s">
        <v>7</v>
      </c>
      <c r="LI528" s="27" t="s">
        <v>8</v>
      </c>
      <c r="LJ528" s="27" t="s">
        <v>7</v>
      </c>
      <c r="LQ528" s="27" t="s">
        <v>8</v>
      </c>
      <c r="LR528" s="27" t="s">
        <v>7</v>
      </c>
      <c r="LS528" s="27" t="s">
        <v>8</v>
      </c>
      <c r="LT528" s="27" t="s">
        <v>7</v>
      </c>
      <c r="LU528" s="27" t="s">
        <v>8</v>
      </c>
      <c r="LV528" s="27" t="s">
        <v>7</v>
      </c>
      <c r="LW528" s="27" t="s">
        <v>8</v>
      </c>
      <c r="MB528" s="27" t="s">
        <v>7</v>
      </c>
      <c r="ME528" s="27" t="s">
        <v>8</v>
      </c>
      <c r="MF528" s="27" t="s">
        <v>7</v>
      </c>
      <c r="MI528" s="27" t="s">
        <v>8</v>
      </c>
      <c r="MJ528" s="27" t="s">
        <v>7</v>
      </c>
      <c r="MK528" s="27" t="s">
        <v>8</v>
      </c>
      <c r="MP528" s="27" t="s">
        <v>7</v>
      </c>
      <c r="MQ528" s="27" t="s">
        <v>8</v>
      </c>
      <c r="MR528" s="27" t="s">
        <v>7</v>
      </c>
      <c r="MS528" s="27" t="s">
        <v>8</v>
      </c>
      <c r="MT528" s="27" t="s">
        <v>7</v>
      </c>
      <c r="MV528" s="27" t="s">
        <v>7</v>
      </c>
      <c r="MW528" s="27" t="s">
        <v>8</v>
      </c>
      <c r="MX528" s="27" t="s">
        <v>7</v>
      </c>
      <c r="NB528" s="27" t="s">
        <v>7</v>
      </c>
      <c r="ND528" s="27" t="s">
        <v>7</v>
      </c>
      <c r="NE528" s="27" t="s">
        <v>8</v>
      </c>
      <c r="NF528" s="27" t="s">
        <v>7</v>
      </c>
      <c r="NG528" s="27" t="s">
        <v>8</v>
      </c>
      <c r="NH528" s="27" t="s">
        <v>7</v>
      </c>
      <c r="NI528" s="27" t="s">
        <v>8</v>
      </c>
      <c r="NJ528" s="27" t="s">
        <v>7</v>
      </c>
      <c r="NM528" s="27" t="s">
        <v>8</v>
      </c>
    </row>
    <row r="529" spans="1:397" x14ac:dyDescent="0.25">
      <c r="A529" s="7">
        <v>3.1536243640574906</v>
      </c>
      <c r="B529"/>
      <c r="C529"/>
      <c r="D529"/>
      <c r="E529"/>
      <c r="IG529" s="27" t="s">
        <v>8</v>
      </c>
      <c r="IV529" s="27" t="s">
        <v>7</v>
      </c>
      <c r="IZ529" s="27" t="s">
        <v>7</v>
      </c>
      <c r="JA529" s="27" t="s">
        <v>8</v>
      </c>
      <c r="JB529" s="27" t="s">
        <v>7</v>
      </c>
      <c r="JL529" s="27" t="s">
        <v>7</v>
      </c>
      <c r="JM529" s="27" t="s">
        <v>8</v>
      </c>
      <c r="JN529" s="27" t="s">
        <v>7</v>
      </c>
      <c r="JO529" s="27" t="s">
        <v>8</v>
      </c>
      <c r="JP529" s="27" t="s">
        <v>7</v>
      </c>
      <c r="KA529" s="27" t="s">
        <v>8</v>
      </c>
      <c r="KB529" s="27" t="s">
        <v>7</v>
      </c>
      <c r="LG529" s="27" t="s">
        <v>8</v>
      </c>
      <c r="LH529" s="27" t="s">
        <v>7</v>
      </c>
      <c r="LI529" s="27" t="s">
        <v>8</v>
      </c>
      <c r="LJ529" s="27" t="s">
        <v>7</v>
      </c>
      <c r="LK529" s="27" t="s">
        <v>8</v>
      </c>
      <c r="LM529" s="27" t="s">
        <v>8</v>
      </c>
      <c r="LQ529" s="27" t="s">
        <v>8</v>
      </c>
      <c r="LR529" s="27" t="s">
        <v>7</v>
      </c>
      <c r="LS529" s="27" t="s">
        <v>8</v>
      </c>
      <c r="LT529" s="27" t="s">
        <v>7</v>
      </c>
      <c r="LV529" s="27" t="s">
        <v>7</v>
      </c>
      <c r="LW529" s="27" t="s">
        <v>8</v>
      </c>
      <c r="MB529" s="27" t="s">
        <v>7</v>
      </c>
      <c r="ME529" s="27" t="s">
        <v>8</v>
      </c>
      <c r="MF529" s="27" t="s">
        <v>7</v>
      </c>
      <c r="MI529" s="27" t="s">
        <v>8</v>
      </c>
      <c r="MJ529" s="27" t="s">
        <v>7</v>
      </c>
      <c r="MP529" s="27" t="s">
        <v>7</v>
      </c>
      <c r="MR529" s="27" t="s">
        <v>7</v>
      </c>
      <c r="MS529" s="27" t="s">
        <v>8</v>
      </c>
      <c r="MV529" s="27" t="s">
        <v>7</v>
      </c>
      <c r="MW529" s="27" t="s">
        <v>8</v>
      </c>
      <c r="ND529" s="27" t="s">
        <v>7</v>
      </c>
      <c r="NE529" s="27" t="s">
        <v>8</v>
      </c>
      <c r="NF529" s="27" t="s">
        <v>7</v>
      </c>
      <c r="NG529" s="27" t="s">
        <v>8</v>
      </c>
      <c r="NH529" s="27" t="s">
        <v>7</v>
      </c>
      <c r="NI529" s="27" t="s">
        <v>8</v>
      </c>
      <c r="NJ529" s="27" t="s">
        <v>7</v>
      </c>
      <c r="NK529" s="27" t="s">
        <v>8</v>
      </c>
      <c r="NM529" s="27" t="s">
        <v>8</v>
      </c>
      <c r="NN529" s="27" t="s">
        <v>7</v>
      </c>
    </row>
    <row r="530" spans="1:397" x14ac:dyDescent="0.25">
      <c r="A530" s="7">
        <v>3.0917885922132262</v>
      </c>
      <c r="B530"/>
      <c r="C530"/>
      <c r="D530"/>
      <c r="E530"/>
      <c r="IG530" s="27" t="s">
        <v>8</v>
      </c>
      <c r="IZ530" s="27" t="s">
        <v>7</v>
      </c>
      <c r="JA530" s="27" t="s">
        <v>8</v>
      </c>
      <c r="JL530" s="27" t="s">
        <v>7</v>
      </c>
      <c r="JM530" s="27" t="s">
        <v>8</v>
      </c>
      <c r="JN530" s="27" t="s">
        <v>7</v>
      </c>
      <c r="JO530" s="27" t="s">
        <v>8</v>
      </c>
      <c r="JP530" s="27" t="s">
        <v>7</v>
      </c>
      <c r="KA530" s="27" t="s">
        <v>8</v>
      </c>
      <c r="KB530" s="27" t="s">
        <v>7</v>
      </c>
      <c r="LG530" s="27" t="s">
        <v>8</v>
      </c>
      <c r="LH530" s="27" t="s">
        <v>7</v>
      </c>
      <c r="LI530" s="27" t="s">
        <v>8</v>
      </c>
      <c r="LJ530" s="27" t="s">
        <v>7</v>
      </c>
      <c r="LK530" s="27" t="s">
        <v>8</v>
      </c>
      <c r="LL530" s="27" t="s">
        <v>7</v>
      </c>
      <c r="LM530" s="27" t="s">
        <v>8</v>
      </c>
      <c r="LN530" s="27" t="s">
        <v>7</v>
      </c>
      <c r="LQ530" s="27" t="s">
        <v>8</v>
      </c>
      <c r="LR530" s="27" t="s">
        <v>7</v>
      </c>
      <c r="LS530" s="27" t="s">
        <v>8</v>
      </c>
      <c r="LV530" s="27" t="s">
        <v>7</v>
      </c>
      <c r="LW530" s="27" t="s">
        <v>8</v>
      </c>
      <c r="MB530" s="27" t="s">
        <v>7</v>
      </c>
      <c r="MC530" s="27" t="s">
        <v>8</v>
      </c>
      <c r="ME530" s="27" t="s">
        <v>8</v>
      </c>
      <c r="MF530" s="27" t="s">
        <v>7</v>
      </c>
      <c r="MI530" s="27" t="s">
        <v>8</v>
      </c>
      <c r="MR530" s="27" t="s">
        <v>7</v>
      </c>
      <c r="MS530" s="27" t="s">
        <v>8</v>
      </c>
      <c r="MV530" s="27" t="s">
        <v>7</v>
      </c>
      <c r="MW530" s="27" t="s">
        <v>8</v>
      </c>
      <c r="ND530" s="27" t="s">
        <v>7</v>
      </c>
      <c r="NE530" s="27" t="s">
        <v>8</v>
      </c>
      <c r="NF530" s="27" t="s">
        <v>7</v>
      </c>
      <c r="NH530" s="27" t="s">
        <v>7</v>
      </c>
      <c r="NI530" s="27" t="s">
        <v>8</v>
      </c>
      <c r="NJ530" s="27" t="s">
        <v>7</v>
      </c>
      <c r="NK530" s="27" t="s">
        <v>8</v>
      </c>
      <c r="NL530" s="27" t="s">
        <v>7</v>
      </c>
      <c r="NM530" s="27" t="s">
        <v>8</v>
      </c>
      <c r="NN530" s="27" t="s">
        <v>7</v>
      </c>
      <c r="NO530" s="27" t="s">
        <v>8</v>
      </c>
      <c r="NQ530" s="27" t="s">
        <v>8</v>
      </c>
    </row>
    <row r="531" spans="1:397" x14ac:dyDescent="0.25">
      <c r="A531" s="7">
        <v>3.0311652864835552</v>
      </c>
      <c r="B531"/>
      <c r="C531"/>
      <c r="D531"/>
      <c r="E531"/>
      <c r="IG531" s="27" t="s">
        <v>8</v>
      </c>
      <c r="IZ531" s="27" t="s">
        <v>7</v>
      </c>
      <c r="JA531" s="27" t="s">
        <v>8</v>
      </c>
      <c r="JL531" s="27" t="s">
        <v>7</v>
      </c>
      <c r="JN531" s="27" t="s">
        <v>7</v>
      </c>
      <c r="JO531" s="27" t="s">
        <v>8</v>
      </c>
      <c r="JP531" s="27" t="s">
        <v>7</v>
      </c>
      <c r="JQ531" s="27" t="s">
        <v>8</v>
      </c>
      <c r="KA531" s="27" t="s">
        <v>8</v>
      </c>
      <c r="KB531" s="27" t="s">
        <v>7</v>
      </c>
      <c r="LG531" s="27" t="s">
        <v>8</v>
      </c>
      <c r="LH531" s="27" t="s">
        <v>7</v>
      </c>
      <c r="LI531" s="27" t="s">
        <v>8</v>
      </c>
      <c r="LJ531" s="27" t="s">
        <v>7</v>
      </c>
      <c r="LK531" s="27" t="s">
        <v>8</v>
      </c>
      <c r="LL531" s="27" t="s">
        <v>7</v>
      </c>
      <c r="LM531" s="27" t="s">
        <v>8</v>
      </c>
      <c r="LN531" s="27" t="s">
        <v>7</v>
      </c>
      <c r="LQ531" s="27" t="s">
        <v>8</v>
      </c>
      <c r="LR531" s="27" t="s">
        <v>7</v>
      </c>
      <c r="LS531" s="27" t="s">
        <v>8</v>
      </c>
      <c r="LV531" s="27" t="s">
        <v>7</v>
      </c>
      <c r="MB531" s="27" t="s">
        <v>7</v>
      </c>
      <c r="MC531" s="27" t="s">
        <v>8</v>
      </c>
      <c r="MD531" s="27" t="s">
        <v>7</v>
      </c>
      <c r="ME531" s="27" t="s">
        <v>8</v>
      </c>
      <c r="MF531" s="27" t="s">
        <v>7</v>
      </c>
      <c r="MI531" s="27" t="s">
        <v>8</v>
      </c>
      <c r="MR531" s="27" t="s">
        <v>7</v>
      </c>
      <c r="MV531" s="27" t="s">
        <v>7</v>
      </c>
      <c r="MW531" s="27" t="s">
        <v>8</v>
      </c>
      <c r="ND531" s="27" t="s">
        <v>7</v>
      </c>
      <c r="NE531" s="27" t="s">
        <v>8</v>
      </c>
      <c r="NH531" s="27" t="s">
        <v>7</v>
      </c>
      <c r="NI531" s="27" t="s">
        <v>8</v>
      </c>
      <c r="NJ531" s="27" t="s">
        <v>7</v>
      </c>
      <c r="NK531" s="27" t="s">
        <v>8</v>
      </c>
      <c r="NL531" s="27" t="s">
        <v>7</v>
      </c>
      <c r="NM531" s="27" t="s">
        <v>8</v>
      </c>
      <c r="NN531" s="27" t="s">
        <v>7</v>
      </c>
      <c r="NO531" s="27" t="s">
        <v>8</v>
      </c>
      <c r="NP531" s="27" t="s">
        <v>7</v>
      </c>
      <c r="NQ531" s="27" t="s">
        <v>8</v>
      </c>
      <c r="NR531" s="27" t="s">
        <v>7</v>
      </c>
    </row>
    <row r="532" spans="1:397" x14ac:dyDescent="0.25">
      <c r="A532" s="7">
        <v>2.9717306730230932</v>
      </c>
      <c r="B532"/>
      <c r="C532"/>
      <c r="D532"/>
      <c r="E532"/>
      <c r="IG532" s="27" t="s">
        <v>8</v>
      </c>
      <c r="IZ532" s="27" t="s">
        <v>7</v>
      </c>
      <c r="JA532" s="27" t="s">
        <v>8</v>
      </c>
      <c r="JN532" s="27" t="s">
        <v>7</v>
      </c>
      <c r="JO532" s="27" t="s">
        <v>8</v>
      </c>
      <c r="JP532" s="27" t="s">
        <v>7</v>
      </c>
      <c r="JQ532" s="27" t="s">
        <v>8</v>
      </c>
      <c r="JR532" s="27" t="s">
        <v>7</v>
      </c>
      <c r="KA532" s="27" t="s">
        <v>8</v>
      </c>
      <c r="KB532" s="27" t="s">
        <v>7</v>
      </c>
      <c r="LG532" s="27" t="s">
        <v>8</v>
      </c>
      <c r="LH532" s="27" t="s">
        <v>7</v>
      </c>
      <c r="LI532" s="27" t="s">
        <v>8</v>
      </c>
      <c r="LJ532" s="27" t="s">
        <v>7</v>
      </c>
      <c r="LL532" s="27" t="s">
        <v>7</v>
      </c>
      <c r="LM532" s="27" t="s">
        <v>8</v>
      </c>
      <c r="LN532" s="27" t="s">
        <v>7</v>
      </c>
      <c r="LQ532" s="27" t="s">
        <v>8</v>
      </c>
      <c r="LR532" s="27" t="s">
        <v>7</v>
      </c>
      <c r="LS532" s="27" t="s">
        <v>8</v>
      </c>
      <c r="MB532" s="27" t="s">
        <v>7</v>
      </c>
      <c r="MC532" s="27" t="s">
        <v>8</v>
      </c>
      <c r="MD532" s="27" t="s">
        <v>7</v>
      </c>
      <c r="ME532" s="27" t="s">
        <v>8</v>
      </c>
      <c r="MF532" s="27" t="s">
        <v>7</v>
      </c>
      <c r="MI532" s="27" t="s">
        <v>8</v>
      </c>
      <c r="MV532" s="27" t="s">
        <v>7</v>
      </c>
      <c r="MW532" s="27" t="s">
        <v>8</v>
      </c>
      <c r="ND532" s="27" t="s">
        <v>7</v>
      </c>
      <c r="NH532" s="27" t="s">
        <v>7</v>
      </c>
      <c r="NI532" s="27" t="s">
        <v>8</v>
      </c>
      <c r="NJ532" s="27" t="s">
        <v>7</v>
      </c>
      <c r="NK532" s="27" t="s">
        <v>8</v>
      </c>
      <c r="NL532" s="27" t="s">
        <v>7</v>
      </c>
      <c r="NM532" s="27" t="s">
        <v>8</v>
      </c>
      <c r="NN532" s="27" t="s">
        <v>7</v>
      </c>
      <c r="NO532" s="27" t="s">
        <v>8</v>
      </c>
      <c r="NP532" s="27" t="s">
        <v>7</v>
      </c>
      <c r="NQ532" s="27" t="s">
        <v>8</v>
      </c>
      <c r="NR532" s="27" t="s">
        <v>7</v>
      </c>
    </row>
    <row r="533" spans="1:397" x14ac:dyDescent="0.25">
      <c r="A533" s="7">
        <v>2.9134614441402875</v>
      </c>
      <c r="B533"/>
      <c r="C533"/>
      <c r="D533"/>
      <c r="E533"/>
      <c r="IG533" s="27" t="s">
        <v>8</v>
      </c>
      <c r="IZ533" s="27" t="s">
        <v>7</v>
      </c>
      <c r="JA533" s="27" t="s">
        <v>8</v>
      </c>
      <c r="JN533" s="27" t="s">
        <v>7</v>
      </c>
      <c r="JO533" s="27" t="s">
        <v>8</v>
      </c>
      <c r="JP533" s="27" t="s">
        <v>7</v>
      </c>
      <c r="JQ533" s="27" t="s">
        <v>8</v>
      </c>
      <c r="JR533" s="27" t="s">
        <v>7</v>
      </c>
      <c r="KA533" s="27" t="s">
        <v>8</v>
      </c>
      <c r="KB533" s="27" t="s">
        <v>7</v>
      </c>
      <c r="LG533" s="27" t="s">
        <v>8</v>
      </c>
      <c r="LH533" s="27" t="s">
        <v>7</v>
      </c>
      <c r="LI533" s="27" t="s">
        <v>8</v>
      </c>
      <c r="LL533" s="27" t="s">
        <v>7</v>
      </c>
      <c r="LM533" s="27" t="s">
        <v>8</v>
      </c>
      <c r="LN533" s="27" t="s">
        <v>7</v>
      </c>
      <c r="LO533" s="27" t="s">
        <v>8</v>
      </c>
      <c r="LQ533" s="27" t="s">
        <v>8</v>
      </c>
      <c r="LR533" s="27" t="s">
        <v>7</v>
      </c>
      <c r="MB533" s="27" t="s">
        <v>7</v>
      </c>
      <c r="MC533" s="27" t="s">
        <v>8</v>
      </c>
      <c r="MD533" s="27" t="s">
        <v>7</v>
      </c>
      <c r="ME533" s="27" t="s">
        <v>8</v>
      </c>
      <c r="MF533" s="27" t="s">
        <v>7</v>
      </c>
      <c r="MG533" s="27" t="s">
        <v>8</v>
      </c>
      <c r="MI533" s="27" t="s">
        <v>8</v>
      </c>
      <c r="MV533" s="27" t="s">
        <v>7</v>
      </c>
      <c r="MW533" s="27" t="s">
        <v>8</v>
      </c>
      <c r="NH533" s="27" t="s">
        <v>7</v>
      </c>
      <c r="NI533" s="27" t="s">
        <v>8</v>
      </c>
      <c r="NJ533" s="27" t="s">
        <v>7</v>
      </c>
      <c r="NK533" s="27" t="s">
        <v>8</v>
      </c>
      <c r="NL533" s="27" t="s">
        <v>7</v>
      </c>
      <c r="NN533" s="27" t="s">
        <v>7</v>
      </c>
      <c r="NO533" s="27" t="s">
        <v>8</v>
      </c>
      <c r="NP533" s="27" t="s">
        <v>7</v>
      </c>
      <c r="NQ533" s="27" t="s">
        <v>8</v>
      </c>
      <c r="NR533" s="27" t="s">
        <v>7</v>
      </c>
    </row>
    <row r="534" spans="1:397" x14ac:dyDescent="0.25">
      <c r="A534" s="7">
        <v>2.8563347491571447</v>
      </c>
      <c r="B534"/>
      <c r="C534"/>
      <c r="D534"/>
      <c r="E534"/>
      <c r="IG534" s="27" t="s">
        <v>8</v>
      </c>
      <c r="IZ534" s="27" t="s">
        <v>7</v>
      </c>
      <c r="JA534" s="27" t="s">
        <v>8</v>
      </c>
      <c r="JN534" s="27" t="s">
        <v>7</v>
      </c>
      <c r="JP534" s="27" t="s">
        <v>7</v>
      </c>
      <c r="JQ534" s="27" t="s">
        <v>8</v>
      </c>
      <c r="JR534" s="27" t="s">
        <v>7</v>
      </c>
      <c r="KA534" s="27" t="s">
        <v>8</v>
      </c>
      <c r="KB534" s="27" t="s">
        <v>7</v>
      </c>
      <c r="LG534" s="27" t="s">
        <v>8</v>
      </c>
      <c r="LH534" s="27" t="s">
        <v>7</v>
      </c>
      <c r="LI534" s="27" t="s">
        <v>8</v>
      </c>
      <c r="LL534" s="27" t="s">
        <v>7</v>
      </c>
      <c r="LM534" s="27" t="s">
        <v>8</v>
      </c>
      <c r="LN534" s="27" t="s">
        <v>7</v>
      </c>
      <c r="LO534" s="27" t="s">
        <v>8</v>
      </c>
      <c r="LP534" s="27" t="s">
        <v>7</v>
      </c>
      <c r="LQ534" s="27" t="s">
        <v>8</v>
      </c>
      <c r="MB534" s="27" t="s">
        <v>7</v>
      </c>
      <c r="MC534" s="27" t="s">
        <v>8</v>
      </c>
      <c r="MD534" s="27" t="s">
        <v>7</v>
      </c>
      <c r="ME534" s="27" t="s">
        <v>8</v>
      </c>
      <c r="MF534" s="27" t="s">
        <v>7</v>
      </c>
      <c r="MG534" s="27" t="s">
        <v>8</v>
      </c>
      <c r="MH534" s="27" t="s">
        <v>7</v>
      </c>
      <c r="MI534" s="27" t="s">
        <v>8</v>
      </c>
      <c r="MV534" s="27" t="s">
        <v>7</v>
      </c>
      <c r="MW534" s="27" t="s">
        <v>8</v>
      </c>
      <c r="NH534" s="27" t="s">
        <v>7</v>
      </c>
      <c r="NJ534" s="27" t="s">
        <v>7</v>
      </c>
      <c r="NN534" s="27" t="s">
        <v>7</v>
      </c>
      <c r="NO534" s="27" t="s">
        <v>8</v>
      </c>
      <c r="NP534" s="27" t="s">
        <v>7</v>
      </c>
      <c r="NQ534" s="27" t="s">
        <v>8</v>
      </c>
      <c r="NR534" s="27" t="s">
        <v>7</v>
      </c>
    </row>
    <row r="535" spans="1:397" x14ac:dyDescent="0.25">
      <c r="A535" s="7">
        <v>2.8003281854481812</v>
      </c>
      <c r="B535"/>
      <c r="C535"/>
      <c r="D535"/>
      <c r="E535"/>
      <c r="IG535" s="27" t="s">
        <v>8</v>
      </c>
      <c r="IZ535" s="27" t="s">
        <v>7</v>
      </c>
      <c r="JA535" s="27" t="s">
        <v>8</v>
      </c>
      <c r="JP535" s="27" t="s">
        <v>7</v>
      </c>
      <c r="JQ535" s="27" t="s">
        <v>8</v>
      </c>
      <c r="JR535" s="27" t="s">
        <v>7</v>
      </c>
      <c r="KA535" s="27" t="s">
        <v>8</v>
      </c>
      <c r="KB535" s="27" t="s">
        <v>7</v>
      </c>
      <c r="LG535" s="27" t="s">
        <v>8</v>
      </c>
      <c r="LH535" s="27" t="s">
        <v>7</v>
      </c>
      <c r="LI535" s="27" t="s">
        <v>8</v>
      </c>
      <c r="LL535" s="27" t="s">
        <v>7</v>
      </c>
      <c r="LM535" s="27" t="s">
        <v>8</v>
      </c>
      <c r="LN535" s="27" t="s">
        <v>7</v>
      </c>
      <c r="LO535" s="27" t="s">
        <v>8</v>
      </c>
      <c r="LP535" s="27" t="s">
        <v>7</v>
      </c>
      <c r="LQ535" s="27" t="s">
        <v>8</v>
      </c>
      <c r="MB535" s="27" t="s">
        <v>7</v>
      </c>
      <c r="MC535" s="27" t="s">
        <v>8</v>
      </c>
      <c r="MD535" s="27" t="s">
        <v>7</v>
      </c>
      <c r="ME535" s="27" t="s">
        <v>8</v>
      </c>
      <c r="MF535" s="27" t="s">
        <v>7</v>
      </c>
      <c r="MG535" s="27" t="s">
        <v>8</v>
      </c>
      <c r="MH535" s="27" t="s">
        <v>7</v>
      </c>
      <c r="MI535" s="27" t="s">
        <v>8</v>
      </c>
      <c r="MV535" s="27" t="s">
        <v>7</v>
      </c>
      <c r="MW535" s="27" t="s">
        <v>8</v>
      </c>
      <c r="NN535" s="27" t="s">
        <v>7</v>
      </c>
      <c r="NP535" s="27" t="s">
        <v>7</v>
      </c>
      <c r="NQ535" s="27" t="s">
        <v>8</v>
      </c>
      <c r="NR535" s="27" t="s">
        <v>7</v>
      </c>
    </row>
    <row r="536" spans="1:397" x14ac:dyDescent="0.25">
      <c r="A536" s="7">
        <v>2.7454197896550796</v>
      </c>
      <c r="B536"/>
      <c r="C536"/>
      <c r="D536"/>
      <c r="E536"/>
      <c r="IG536" s="27" t="s">
        <v>8</v>
      </c>
      <c r="IZ536" s="27" t="s">
        <v>7</v>
      </c>
      <c r="JA536" s="27" t="s">
        <v>8</v>
      </c>
      <c r="JP536" s="27" t="s">
        <v>7</v>
      </c>
      <c r="JQ536" s="27" t="s">
        <v>8</v>
      </c>
      <c r="JR536" s="27" t="s">
        <v>7</v>
      </c>
      <c r="KA536" s="27" t="s">
        <v>8</v>
      </c>
      <c r="KB536" s="27" t="s">
        <v>7</v>
      </c>
      <c r="KC536" s="27" t="s">
        <v>8</v>
      </c>
      <c r="LG536" s="27" t="s">
        <v>8</v>
      </c>
      <c r="LH536" s="27" t="s">
        <v>7</v>
      </c>
      <c r="LL536" s="27" t="s">
        <v>7</v>
      </c>
      <c r="LM536" s="27" t="s">
        <v>8</v>
      </c>
      <c r="LN536" s="27" t="s">
        <v>7</v>
      </c>
      <c r="LO536" s="27" t="s">
        <v>8</v>
      </c>
      <c r="LP536" s="27" t="s">
        <v>7</v>
      </c>
      <c r="LQ536" s="27" t="s">
        <v>8</v>
      </c>
      <c r="MB536" s="27" t="s">
        <v>7</v>
      </c>
      <c r="MD536" s="27" t="s">
        <v>7</v>
      </c>
      <c r="ME536" s="27" t="s">
        <v>8</v>
      </c>
      <c r="MF536" s="27" t="s">
        <v>7</v>
      </c>
      <c r="MG536" s="27" t="s">
        <v>8</v>
      </c>
      <c r="MH536" s="27" t="s">
        <v>7</v>
      </c>
      <c r="MI536" s="27" t="s">
        <v>8</v>
      </c>
      <c r="MV536" s="27" t="s">
        <v>7</v>
      </c>
      <c r="MW536" s="27" t="s">
        <v>8</v>
      </c>
      <c r="NP536" s="27" t="s">
        <v>7</v>
      </c>
      <c r="NR536" s="27" t="s">
        <v>7</v>
      </c>
    </row>
    <row r="537" spans="1:397" x14ac:dyDescent="0.25">
      <c r="A537" s="7">
        <v>2.6915880290736074</v>
      </c>
      <c r="B537"/>
      <c r="C537"/>
      <c r="D537"/>
      <c r="E537"/>
      <c r="IG537" s="27" t="s">
        <v>8</v>
      </c>
      <c r="IZ537" s="27" t="s">
        <v>7</v>
      </c>
      <c r="JA537" s="27" t="s">
        <v>8</v>
      </c>
      <c r="JP537" s="27" t="s">
        <v>7</v>
      </c>
      <c r="JQ537" s="27" t="s">
        <v>8</v>
      </c>
      <c r="JR537" s="27" t="s">
        <v>7</v>
      </c>
      <c r="JS537" s="27" t="s">
        <v>8</v>
      </c>
      <c r="KA537" s="27" t="s">
        <v>8</v>
      </c>
      <c r="KB537" s="27" t="s">
        <v>7</v>
      </c>
      <c r="KC537" s="27" t="s">
        <v>8</v>
      </c>
      <c r="KD537" s="27" t="s">
        <v>7</v>
      </c>
      <c r="LG537" s="27" t="s">
        <v>8</v>
      </c>
      <c r="LL537" s="27" t="s">
        <v>7</v>
      </c>
      <c r="LM537" s="27" t="s">
        <v>8</v>
      </c>
      <c r="LN537" s="27" t="s">
        <v>7</v>
      </c>
      <c r="LO537" s="27" t="s">
        <v>8</v>
      </c>
      <c r="LP537" s="27" t="s">
        <v>7</v>
      </c>
      <c r="MD537" s="27" t="s">
        <v>7</v>
      </c>
      <c r="ME537" s="27" t="s">
        <v>8</v>
      </c>
      <c r="MF537" s="27" t="s">
        <v>7</v>
      </c>
      <c r="MH537" s="27" t="s">
        <v>7</v>
      </c>
      <c r="MV537" s="27" t="s">
        <v>7</v>
      </c>
      <c r="NR537" s="27" t="s">
        <v>7</v>
      </c>
    </row>
    <row r="538" spans="1:397" x14ac:dyDescent="0.25">
      <c r="A538" s="7">
        <v>2.6388117932094191</v>
      </c>
      <c r="B538"/>
      <c r="C538"/>
      <c r="D538"/>
      <c r="E538"/>
      <c r="IG538" s="27" t="s">
        <v>8</v>
      </c>
      <c r="IZ538" s="27" t="s">
        <v>7</v>
      </c>
      <c r="JA538" s="27" t="s">
        <v>8</v>
      </c>
      <c r="JP538" s="27" t="s">
        <v>7</v>
      </c>
      <c r="JQ538" s="27" t="s">
        <v>8</v>
      </c>
      <c r="JR538" s="27" t="s">
        <v>7</v>
      </c>
      <c r="JS538" s="27" t="s">
        <v>8</v>
      </c>
      <c r="JT538" s="27" t="s">
        <v>7</v>
      </c>
      <c r="KA538" s="27" t="s">
        <v>8</v>
      </c>
      <c r="KB538" s="27" t="s">
        <v>7</v>
      </c>
      <c r="KC538" s="27" t="s">
        <v>8</v>
      </c>
      <c r="KD538" s="27" t="s">
        <v>7</v>
      </c>
      <c r="LG538" s="27" t="s">
        <v>8</v>
      </c>
      <c r="LL538" s="27" t="s">
        <v>7</v>
      </c>
      <c r="LM538" s="27" t="s">
        <v>8</v>
      </c>
      <c r="LN538" s="27" t="s">
        <v>7</v>
      </c>
      <c r="LO538" s="27" t="s">
        <v>8</v>
      </c>
      <c r="MD538" s="27" t="s">
        <v>7</v>
      </c>
      <c r="NR538" s="27" t="s">
        <v>7</v>
      </c>
    </row>
    <row r="539" spans="1:397" x14ac:dyDescent="0.25">
      <c r="A539" s="7">
        <v>2.5870703854994304</v>
      </c>
      <c r="B539"/>
      <c r="C539"/>
      <c r="D539"/>
      <c r="E539"/>
      <c r="IG539" s="27" t="s">
        <v>8</v>
      </c>
      <c r="IZ539" s="27" t="s">
        <v>7</v>
      </c>
      <c r="JA539" s="27" t="s">
        <v>8</v>
      </c>
      <c r="JP539" s="27" t="s">
        <v>7</v>
      </c>
      <c r="JQ539" s="27" t="s">
        <v>8</v>
      </c>
      <c r="JR539" s="27" t="s">
        <v>7</v>
      </c>
      <c r="JS539" s="27" t="s">
        <v>8</v>
      </c>
      <c r="JT539" s="27" t="s">
        <v>7</v>
      </c>
      <c r="JU539" s="27" t="s">
        <v>8</v>
      </c>
      <c r="KA539" s="27" t="s">
        <v>8</v>
      </c>
      <c r="KB539" s="27" t="s">
        <v>7</v>
      </c>
      <c r="KC539" s="27" t="s">
        <v>8</v>
      </c>
      <c r="KD539" s="27" t="s">
        <v>7</v>
      </c>
      <c r="LG539" s="27" t="s">
        <v>8</v>
      </c>
      <c r="LL539" s="27" t="s">
        <v>7</v>
      </c>
      <c r="LM539" s="27" t="s">
        <v>8</v>
      </c>
      <c r="LN539" s="27" t="s">
        <v>7</v>
      </c>
      <c r="NR539" s="27" t="s">
        <v>7</v>
      </c>
    </row>
    <row r="540" spans="1:397" x14ac:dyDescent="0.25">
      <c r="A540" s="7">
        <v>2.53634351519552</v>
      </c>
      <c r="B540"/>
      <c r="C540"/>
      <c r="D540"/>
      <c r="E540"/>
      <c r="IG540" s="27" t="s">
        <v>8</v>
      </c>
      <c r="IZ540" s="27" t="s">
        <v>7</v>
      </c>
      <c r="JA540" s="27" t="s">
        <v>8</v>
      </c>
      <c r="JP540" s="27" t="s">
        <v>7</v>
      </c>
      <c r="JQ540" s="27" t="s">
        <v>8</v>
      </c>
      <c r="JR540" s="27" t="s">
        <v>7</v>
      </c>
      <c r="JS540" s="27" t="s">
        <v>8</v>
      </c>
      <c r="JT540" s="27" t="s">
        <v>7</v>
      </c>
      <c r="JU540" s="27" t="s">
        <v>8</v>
      </c>
      <c r="JV540" s="27" t="s">
        <v>7</v>
      </c>
      <c r="KA540" s="27" t="s">
        <v>8</v>
      </c>
      <c r="KB540" s="27" t="s">
        <v>7</v>
      </c>
      <c r="KC540" s="27" t="s">
        <v>8</v>
      </c>
      <c r="KD540" s="27" t="s">
        <v>7</v>
      </c>
      <c r="LG540" s="27" t="s">
        <v>8</v>
      </c>
      <c r="LL540" s="27" t="s">
        <v>7</v>
      </c>
      <c r="NR540" s="27" t="s">
        <v>7</v>
      </c>
      <c r="NU540" s="27" t="s">
        <v>8</v>
      </c>
    </row>
    <row r="541" spans="1:397" x14ac:dyDescent="0.25">
      <c r="A541" s="7">
        <v>2.4866112894073726</v>
      </c>
      <c r="B541"/>
      <c r="C541"/>
      <c r="D541"/>
      <c r="E541"/>
      <c r="IG541" s="27" t="s">
        <v>8</v>
      </c>
      <c r="IZ541" s="27" t="s">
        <v>7</v>
      </c>
      <c r="JP541" s="27" t="s">
        <v>7</v>
      </c>
      <c r="JQ541" s="27" t="s">
        <v>8</v>
      </c>
      <c r="JR541" s="27" t="s">
        <v>7</v>
      </c>
      <c r="JS541" s="27" t="s">
        <v>8</v>
      </c>
      <c r="JT541" s="27" t="s">
        <v>7</v>
      </c>
      <c r="JU541" s="27" t="s">
        <v>8</v>
      </c>
      <c r="JV541" s="27" t="s">
        <v>7</v>
      </c>
      <c r="JY541" s="27" t="s">
        <v>8</v>
      </c>
      <c r="KA541" s="27" t="s">
        <v>8</v>
      </c>
      <c r="KB541" s="27" t="s">
        <v>7</v>
      </c>
      <c r="KC541" s="27" t="s">
        <v>8</v>
      </c>
      <c r="KD541" s="27" t="s">
        <v>7</v>
      </c>
      <c r="LA541" s="27" t="s">
        <v>8</v>
      </c>
      <c r="LG541" s="27" t="s">
        <v>8</v>
      </c>
      <c r="NR541" s="27" t="s">
        <v>7</v>
      </c>
      <c r="NS541" s="27" t="s">
        <v>8</v>
      </c>
      <c r="NU541" s="27" t="s">
        <v>8</v>
      </c>
      <c r="NV541" s="27" t="s">
        <v>7</v>
      </c>
    </row>
    <row r="542" spans="1:397" x14ac:dyDescent="0.25">
      <c r="A542" s="7">
        <v>2.4378542053013459</v>
      </c>
      <c r="B542"/>
      <c r="C542"/>
      <c r="D542"/>
      <c r="E542"/>
      <c r="IG542" s="27" t="s">
        <v>8</v>
      </c>
      <c r="JP542" s="27" t="s">
        <v>7</v>
      </c>
      <c r="JQ542" s="27" t="s">
        <v>8</v>
      </c>
      <c r="JR542" s="27" t="s">
        <v>7</v>
      </c>
      <c r="JS542" s="27" t="s">
        <v>8</v>
      </c>
      <c r="JT542" s="27" t="s">
        <v>7</v>
      </c>
      <c r="JU542" s="27" t="s">
        <v>8</v>
      </c>
      <c r="JV542" s="27" t="s">
        <v>7</v>
      </c>
      <c r="JY542" s="27" t="s">
        <v>8</v>
      </c>
      <c r="JZ542" s="27" t="s">
        <v>7</v>
      </c>
      <c r="KA542" s="27" t="s">
        <v>8</v>
      </c>
      <c r="KB542" s="27" t="s">
        <v>7</v>
      </c>
      <c r="KC542" s="27" t="s">
        <v>8</v>
      </c>
      <c r="KD542" s="27" t="s">
        <v>7</v>
      </c>
      <c r="LA542" s="27" t="s">
        <v>8</v>
      </c>
      <c r="LB542" s="27" t="s">
        <v>7</v>
      </c>
      <c r="LE542" s="27" t="s">
        <v>8</v>
      </c>
      <c r="LG542" s="27" t="s">
        <v>8</v>
      </c>
      <c r="NR542" s="27" t="s">
        <v>7</v>
      </c>
      <c r="NS542" s="27" t="s">
        <v>8</v>
      </c>
      <c r="NT542" s="27" t="s">
        <v>7</v>
      </c>
      <c r="NU542" s="27" t="s">
        <v>8</v>
      </c>
      <c r="NV542" s="27" t="s">
        <v>7</v>
      </c>
      <c r="NY542" s="27" t="s">
        <v>8</v>
      </c>
    </row>
    <row r="543" spans="1:397" x14ac:dyDescent="0.25">
      <c r="A543" s="7">
        <v>2.3900531424522997</v>
      </c>
      <c r="B543"/>
      <c r="C543"/>
      <c r="D543"/>
      <c r="E543"/>
      <c r="IG543" s="27" t="s">
        <v>8</v>
      </c>
      <c r="JP543" s="27" t="s">
        <v>7</v>
      </c>
      <c r="JQ543" s="27" t="s">
        <v>8</v>
      </c>
      <c r="JR543" s="27" t="s">
        <v>7</v>
      </c>
      <c r="JS543" s="27" t="s">
        <v>8</v>
      </c>
      <c r="JT543" s="27" t="s">
        <v>7</v>
      </c>
      <c r="JV543" s="27" t="s">
        <v>7</v>
      </c>
      <c r="JY543" s="27" t="s">
        <v>8</v>
      </c>
      <c r="JZ543" s="27" t="s">
        <v>7</v>
      </c>
      <c r="KA543" s="27" t="s">
        <v>8</v>
      </c>
      <c r="KB543" s="27" t="s">
        <v>7</v>
      </c>
      <c r="KC543" s="27" t="s">
        <v>8</v>
      </c>
      <c r="KD543" s="27" t="s">
        <v>7</v>
      </c>
      <c r="LA543" s="27" t="s">
        <v>8</v>
      </c>
      <c r="LB543" s="27" t="s">
        <v>7</v>
      </c>
      <c r="LE543" s="27" t="s">
        <v>8</v>
      </c>
      <c r="LF543" s="27" t="s">
        <v>7</v>
      </c>
      <c r="LG543" s="27" t="s">
        <v>8</v>
      </c>
      <c r="NR543" s="27" t="s">
        <v>7</v>
      </c>
      <c r="NS543" s="27" t="s">
        <v>8</v>
      </c>
      <c r="NT543" s="27" t="s">
        <v>7</v>
      </c>
      <c r="NU543" s="27" t="s">
        <v>8</v>
      </c>
      <c r="NV543" s="27" t="s">
        <v>7</v>
      </c>
      <c r="NY543" s="27" t="s">
        <v>8</v>
      </c>
      <c r="NZ543" s="27" t="s">
        <v>7</v>
      </c>
      <c r="OA543" s="27" t="s">
        <v>8</v>
      </c>
      <c r="OE543" s="27" t="s">
        <v>8</v>
      </c>
    </row>
    <row r="544" spans="1:397" x14ac:dyDescent="0.25">
      <c r="A544" s="7">
        <v>2.343189355345392</v>
      </c>
      <c r="B544"/>
      <c r="C544"/>
      <c r="D544"/>
      <c r="E544"/>
      <c r="IG544" s="27" t="s">
        <v>8</v>
      </c>
      <c r="JP544" s="27" t="s">
        <v>7</v>
      </c>
      <c r="JQ544" s="27" t="s">
        <v>8</v>
      </c>
      <c r="JR544" s="27" t="s">
        <v>7</v>
      </c>
      <c r="JS544" s="27" t="s">
        <v>8</v>
      </c>
      <c r="JV544" s="27" t="s">
        <v>7</v>
      </c>
      <c r="JY544" s="27" t="s">
        <v>8</v>
      </c>
      <c r="JZ544" s="27" t="s">
        <v>7</v>
      </c>
      <c r="KA544" s="27" t="s">
        <v>8</v>
      </c>
      <c r="KB544" s="27" t="s">
        <v>7</v>
      </c>
      <c r="KC544" s="27" t="s">
        <v>8</v>
      </c>
      <c r="KD544" s="27" t="s">
        <v>7</v>
      </c>
      <c r="LA544" s="27" t="s">
        <v>8</v>
      </c>
      <c r="LB544" s="27" t="s">
        <v>7</v>
      </c>
      <c r="LE544" s="27" t="s">
        <v>8</v>
      </c>
      <c r="LF544" s="27" t="s">
        <v>7</v>
      </c>
      <c r="LG544" s="27" t="s">
        <v>8</v>
      </c>
      <c r="NR544" s="27" t="s">
        <v>7</v>
      </c>
      <c r="NS544" s="27" t="s">
        <v>8</v>
      </c>
      <c r="NT544" s="27" t="s">
        <v>7</v>
      </c>
      <c r="NU544" s="27" t="s">
        <v>8</v>
      </c>
      <c r="NV544" s="27" t="s">
        <v>7</v>
      </c>
      <c r="NY544" s="27" t="s">
        <v>8</v>
      </c>
      <c r="NZ544" s="27" t="s">
        <v>7</v>
      </c>
      <c r="OA544" s="27" t="s">
        <v>8</v>
      </c>
      <c r="OB544" s="27" t="s">
        <v>7</v>
      </c>
      <c r="OE544" s="27" t="s">
        <v>8</v>
      </c>
      <c r="OF544" s="27" t="s">
        <v>7</v>
      </c>
      <c r="OG544" s="27" t="s">
        <v>8</v>
      </c>
    </row>
    <row r="545" spans="1:402" x14ac:dyDescent="0.25">
      <c r="A545" s="7">
        <v>2.2972444660248938</v>
      </c>
      <c r="B545"/>
      <c r="C545"/>
      <c r="D545"/>
      <c r="E545"/>
      <c r="IG545" s="27" t="s">
        <v>8</v>
      </c>
      <c r="JP545" s="27" t="s">
        <v>7</v>
      </c>
      <c r="JQ545" s="27" t="s">
        <v>8</v>
      </c>
      <c r="JR545" s="27" t="s">
        <v>7</v>
      </c>
      <c r="JS545" s="27" t="s">
        <v>8</v>
      </c>
      <c r="JV545" s="27" t="s">
        <v>7</v>
      </c>
      <c r="JY545" s="27" t="s">
        <v>8</v>
      </c>
      <c r="JZ545" s="27" t="s">
        <v>7</v>
      </c>
      <c r="KA545" s="27" t="s">
        <v>8</v>
      </c>
      <c r="KB545" s="27" t="s">
        <v>7</v>
      </c>
      <c r="KD545" s="27" t="s">
        <v>7</v>
      </c>
      <c r="LA545" s="27" t="s">
        <v>8</v>
      </c>
      <c r="LB545" s="27" t="s">
        <v>7</v>
      </c>
      <c r="LC545" s="27" t="s">
        <v>8</v>
      </c>
      <c r="LE545" s="27" t="s">
        <v>8</v>
      </c>
      <c r="LF545" s="27" t="s">
        <v>7</v>
      </c>
      <c r="NR545" s="27" t="s">
        <v>7</v>
      </c>
      <c r="NS545" s="27" t="s">
        <v>8</v>
      </c>
      <c r="NT545" s="27" t="s">
        <v>7</v>
      </c>
      <c r="NV545" s="27" t="s">
        <v>7</v>
      </c>
      <c r="NY545" s="27" t="s">
        <v>8</v>
      </c>
      <c r="NZ545" s="27" t="s">
        <v>7</v>
      </c>
      <c r="OA545" s="27" t="s">
        <v>8</v>
      </c>
      <c r="OB545" s="27" t="s">
        <v>7</v>
      </c>
      <c r="OE545" s="27" t="s">
        <v>8</v>
      </c>
      <c r="OF545" s="27" t="s">
        <v>7</v>
      </c>
      <c r="OG545" s="27" t="s">
        <v>8</v>
      </c>
      <c r="OH545" s="27" t="s">
        <v>7</v>
      </c>
    </row>
    <row r="546" spans="1:402" x14ac:dyDescent="0.25">
      <c r="A546" s="7">
        <v>2.252200456887151</v>
      </c>
      <c r="B546"/>
      <c r="C546"/>
      <c r="D546"/>
      <c r="E546"/>
      <c r="IG546" s="27" t="s">
        <v>8</v>
      </c>
      <c r="JP546" s="27" t="s">
        <v>7</v>
      </c>
      <c r="JQ546" s="27" t="s">
        <v>8</v>
      </c>
      <c r="JR546" s="27" t="s">
        <v>7</v>
      </c>
      <c r="JS546" s="27" t="s">
        <v>8</v>
      </c>
      <c r="JV546" s="27" t="s">
        <v>7</v>
      </c>
      <c r="JW546" s="27" t="s">
        <v>8</v>
      </c>
      <c r="JY546" s="27" t="s">
        <v>8</v>
      </c>
      <c r="JZ546" s="27" t="s">
        <v>7</v>
      </c>
      <c r="KA546" s="27" t="s">
        <v>8</v>
      </c>
      <c r="KD546" s="27" t="s">
        <v>7</v>
      </c>
      <c r="KE546" s="27" t="s">
        <v>8</v>
      </c>
      <c r="KG546" s="27" t="s">
        <v>8</v>
      </c>
      <c r="LA546" s="27" t="s">
        <v>8</v>
      </c>
      <c r="LB546" s="27" t="s">
        <v>7</v>
      </c>
      <c r="LC546" s="27" t="s">
        <v>8</v>
      </c>
      <c r="LD546" s="27" t="s">
        <v>7</v>
      </c>
      <c r="LE546" s="27" t="s">
        <v>8</v>
      </c>
      <c r="NR546" s="27" t="s">
        <v>7</v>
      </c>
      <c r="NS546" s="27" t="s">
        <v>8</v>
      </c>
      <c r="NV546" s="27" t="s">
        <v>7</v>
      </c>
      <c r="NW546" s="27" t="s">
        <v>8</v>
      </c>
      <c r="NY546" s="27" t="s">
        <v>8</v>
      </c>
      <c r="NZ546" s="27" t="s">
        <v>7</v>
      </c>
      <c r="OA546" s="27" t="s">
        <v>8</v>
      </c>
      <c r="OB546" s="27" t="s">
        <v>7</v>
      </c>
      <c r="OE546" s="27" t="s">
        <v>8</v>
      </c>
      <c r="OF546" s="27" t="s">
        <v>7</v>
      </c>
      <c r="OG546" s="27" t="s">
        <v>8</v>
      </c>
      <c r="OH546" s="27" t="s">
        <v>7</v>
      </c>
    </row>
    <row r="547" spans="1:402" x14ac:dyDescent="0.25">
      <c r="A547" s="7">
        <v>2.208039663614854</v>
      </c>
      <c r="B547"/>
      <c r="C547"/>
      <c r="D547"/>
      <c r="E547"/>
      <c r="IG547" s="27" t="s">
        <v>8</v>
      </c>
      <c r="JP547" s="27" t="s">
        <v>7</v>
      </c>
      <c r="JQ547" s="27" t="s">
        <v>8</v>
      </c>
      <c r="JR547" s="27" t="s">
        <v>7</v>
      </c>
      <c r="JS547" s="27" t="s">
        <v>8</v>
      </c>
      <c r="JV547" s="27" t="s">
        <v>7</v>
      </c>
      <c r="JW547" s="27" t="s">
        <v>8</v>
      </c>
      <c r="JX547" s="27" t="s">
        <v>7</v>
      </c>
      <c r="JY547" s="27" t="s">
        <v>8</v>
      </c>
      <c r="JZ547" s="27" t="s">
        <v>7</v>
      </c>
      <c r="KA547" s="27" t="s">
        <v>8</v>
      </c>
      <c r="KD547" s="27" t="s">
        <v>7</v>
      </c>
      <c r="KE547" s="27" t="s">
        <v>8</v>
      </c>
      <c r="KF547" s="27" t="s">
        <v>7</v>
      </c>
      <c r="KG547" s="27" t="s">
        <v>8</v>
      </c>
      <c r="KH547" s="27" t="s">
        <v>7</v>
      </c>
      <c r="LA547" s="27" t="s">
        <v>8</v>
      </c>
      <c r="LB547" s="27" t="s">
        <v>7</v>
      </c>
      <c r="LC547" s="27" t="s">
        <v>8</v>
      </c>
      <c r="LD547" s="27" t="s">
        <v>7</v>
      </c>
      <c r="LE547" s="27" t="s">
        <v>8</v>
      </c>
      <c r="NR547" s="27" t="s">
        <v>7</v>
      </c>
      <c r="NS547" s="27" t="s">
        <v>8</v>
      </c>
      <c r="NV547" s="27" t="s">
        <v>7</v>
      </c>
      <c r="NW547" s="27" t="s">
        <v>8</v>
      </c>
      <c r="NX547" s="27" t="s">
        <v>7</v>
      </c>
      <c r="NY547" s="27" t="s">
        <v>8</v>
      </c>
      <c r="NZ547" s="27" t="s">
        <v>7</v>
      </c>
      <c r="OA547" s="27" t="s">
        <v>8</v>
      </c>
      <c r="OB547" s="27" t="s">
        <v>7</v>
      </c>
      <c r="OE547" s="27" t="s">
        <v>8</v>
      </c>
      <c r="OF547" s="27" t="s">
        <v>7</v>
      </c>
      <c r="OG547" s="27" t="s">
        <v>8</v>
      </c>
      <c r="OH547" s="27" t="s">
        <v>7</v>
      </c>
    </row>
    <row r="548" spans="1:402" x14ac:dyDescent="0.25">
      <c r="A548" s="7">
        <v>2.1647447682498568</v>
      </c>
      <c r="B548"/>
      <c r="C548"/>
      <c r="D548"/>
      <c r="E548"/>
      <c r="IG548" s="27" t="s">
        <v>8</v>
      </c>
      <c r="JP548" s="27" t="s">
        <v>7</v>
      </c>
      <c r="JQ548" s="27" t="s">
        <v>8</v>
      </c>
      <c r="JR548" s="27" t="s">
        <v>7</v>
      </c>
      <c r="JS548" s="27" t="s">
        <v>8</v>
      </c>
      <c r="JV548" s="27" t="s">
        <v>7</v>
      </c>
      <c r="JW548" s="27" t="s">
        <v>8</v>
      </c>
      <c r="JX548" s="27" t="s">
        <v>7</v>
      </c>
      <c r="JY548" s="27" t="s">
        <v>8</v>
      </c>
      <c r="JZ548" s="27" t="s">
        <v>7</v>
      </c>
      <c r="KA548" s="27" t="s">
        <v>8</v>
      </c>
      <c r="KD548" s="27" t="s">
        <v>7</v>
      </c>
      <c r="KE548" s="27" t="s">
        <v>8</v>
      </c>
      <c r="KF548" s="27" t="s">
        <v>7</v>
      </c>
      <c r="KG548" s="27" t="s">
        <v>8</v>
      </c>
      <c r="KH548" s="27" t="s">
        <v>7</v>
      </c>
      <c r="LA548" s="27" t="s">
        <v>8</v>
      </c>
      <c r="LB548" s="27" t="s">
        <v>7</v>
      </c>
      <c r="LC548" s="27" t="s">
        <v>8</v>
      </c>
      <c r="LD548" s="27" t="s">
        <v>7</v>
      </c>
      <c r="LE548" s="27" t="s">
        <v>8</v>
      </c>
      <c r="NR548" s="27" t="s">
        <v>7</v>
      </c>
      <c r="NS548" s="27" t="s">
        <v>8</v>
      </c>
      <c r="NV548" s="27" t="s">
        <v>7</v>
      </c>
      <c r="NW548" s="27" t="s">
        <v>8</v>
      </c>
      <c r="NX548" s="27" t="s">
        <v>7</v>
      </c>
      <c r="NY548" s="27" t="s">
        <v>8</v>
      </c>
      <c r="NZ548" s="27" t="s">
        <v>7</v>
      </c>
      <c r="OA548" s="27" t="s">
        <v>8</v>
      </c>
      <c r="OB548" s="27" t="s">
        <v>7</v>
      </c>
      <c r="OC548" s="27" t="s">
        <v>8</v>
      </c>
      <c r="OE548" s="27" t="s">
        <v>8</v>
      </c>
      <c r="OF548" s="27" t="s">
        <v>7</v>
      </c>
      <c r="OG548" s="27" t="s">
        <v>8</v>
      </c>
      <c r="OH548" s="27" t="s">
        <v>7</v>
      </c>
    </row>
    <row r="549" spans="1:402" x14ac:dyDescent="0.25">
      <c r="A549" s="7">
        <v>2.1222987924018204</v>
      </c>
      <c r="B549"/>
      <c r="C549"/>
      <c r="D549"/>
      <c r="E549"/>
      <c r="IC549" s="27" t="s">
        <v>8</v>
      </c>
      <c r="IG549" s="27" t="s">
        <v>8</v>
      </c>
      <c r="JP549" s="27" t="s">
        <v>7</v>
      </c>
      <c r="JQ549" s="27" t="s">
        <v>8</v>
      </c>
      <c r="JR549" s="27" t="s">
        <v>7</v>
      </c>
      <c r="JS549" s="27" t="s">
        <v>8</v>
      </c>
      <c r="JV549" s="27" t="s">
        <v>7</v>
      </c>
      <c r="JW549" s="27" t="s">
        <v>8</v>
      </c>
      <c r="JX549" s="27" t="s">
        <v>7</v>
      </c>
      <c r="JZ549" s="27" t="s">
        <v>7</v>
      </c>
      <c r="KD549" s="27" t="s">
        <v>7</v>
      </c>
      <c r="KE549" s="27" t="s">
        <v>8</v>
      </c>
      <c r="KF549" s="27" t="s">
        <v>7</v>
      </c>
      <c r="KH549" s="27" t="s">
        <v>7</v>
      </c>
      <c r="KQ549" s="27" t="s">
        <v>8</v>
      </c>
      <c r="LA549" s="27" t="s">
        <v>8</v>
      </c>
      <c r="LB549" s="27" t="s">
        <v>7</v>
      </c>
      <c r="LC549" s="27" t="s">
        <v>8</v>
      </c>
      <c r="LD549" s="27" t="s">
        <v>7</v>
      </c>
      <c r="LE549" s="27" t="s">
        <v>8</v>
      </c>
      <c r="NR549" s="27" t="s">
        <v>7</v>
      </c>
      <c r="NS549" s="27" t="s">
        <v>8</v>
      </c>
      <c r="NV549" s="27" t="s">
        <v>7</v>
      </c>
      <c r="NX549" s="27" t="s">
        <v>7</v>
      </c>
      <c r="NY549" s="27" t="s">
        <v>8</v>
      </c>
      <c r="NZ549" s="27" t="s">
        <v>7</v>
      </c>
      <c r="OA549" s="27" t="s">
        <v>8</v>
      </c>
      <c r="OB549" s="27" t="s">
        <v>7</v>
      </c>
      <c r="OC549" s="27" t="s">
        <v>8</v>
      </c>
      <c r="OD549" s="27" t="s">
        <v>7</v>
      </c>
      <c r="OE549" s="27" t="s">
        <v>8</v>
      </c>
      <c r="OF549" s="27" t="s">
        <v>7</v>
      </c>
      <c r="OG549" s="27" t="s">
        <v>8</v>
      </c>
      <c r="OH549" s="27" t="s">
        <v>7</v>
      </c>
    </row>
    <row r="550" spans="1:402" x14ac:dyDescent="0.25">
      <c r="A550" s="7">
        <v>2.0806850905900198</v>
      </c>
      <c r="B550"/>
      <c r="C550"/>
      <c r="D550"/>
      <c r="E550"/>
      <c r="IC550" s="27" t="s">
        <v>8</v>
      </c>
      <c r="ID550" s="27" t="s">
        <v>7</v>
      </c>
      <c r="IG550" s="27" t="s">
        <v>8</v>
      </c>
      <c r="JP550" s="27" t="s">
        <v>7</v>
      </c>
      <c r="JQ550" s="27" t="s">
        <v>8</v>
      </c>
      <c r="JR550" s="27" t="s">
        <v>7</v>
      </c>
      <c r="JS550" s="27" t="s">
        <v>8</v>
      </c>
      <c r="JV550" s="27" t="s">
        <v>7</v>
      </c>
      <c r="JW550" s="27" t="s">
        <v>8</v>
      </c>
      <c r="KD550" s="27" t="s">
        <v>7</v>
      </c>
      <c r="KE550" s="27" t="s">
        <v>8</v>
      </c>
      <c r="KH550" s="27" t="s">
        <v>7</v>
      </c>
      <c r="KQ550" s="27" t="s">
        <v>8</v>
      </c>
      <c r="KR550" s="27" t="s">
        <v>7</v>
      </c>
      <c r="LA550" s="27" t="s">
        <v>8</v>
      </c>
      <c r="LB550" s="27" t="s">
        <v>7</v>
      </c>
      <c r="LC550" s="27" t="s">
        <v>8</v>
      </c>
      <c r="LD550" s="27" t="s">
        <v>7</v>
      </c>
      <c r="NR550" s="27" t="s">
        <v>7</v>
      </c>
      <c r="NS550" s="27" t="s">
        <v>8</v>
      </c>
      <c r="NX550" s="27" t="s">
        <v>7</v>
      </c>
      <c r="NY550" s="27" t="s">
        <v>8</v>
      </c>
      <c r="NZ550" s="27" t="s">
        <v>7</v>
      </c>
      <c r="OA550" s="27" t="s">
        <v>8</v>
      </c>
      <c r="OB550" s="27" t="s">
        <v>7</v>
      </c>
      <c r="OC550" s="27" t="s">
        <v>8</v>
      </c>
      <c r="OD550" s="27" t="s">
        <v>7</v>
      </c>
      <c r="OE550" s="27" t="s">
        <v>8</v>
      </c>
      <c r="OF550" s="27" t="s">
        <v>7</v>
      </c>
      <c r="OG550" s="27" t="s">
        <v>8</v>
      </c>
      <c r="OH550" s="27" t="s">
        <v>7</v>
      </c>
    </row>
    <row r="551" spans="1:402" x14ac:dyDescent="0.25">
      <c r="A551" s="7">
        <v>2.0398873437157055</v>
      </c>
      <c r="B551"/>
      <c r="C551"/>
      <c r="D551"/>
      <c r="E551"/>
      <c r="IC551" s="27" t="s">
        <v>8</v>
      </c>
      <c r="ID551" s="27" t="s">
        <v>7</v>
      </c>
      <c r="IG551" s="27" t="s">
        <v>8</v>
      </c>
      <c r="JP551" s="27" t="s">
        <v>7</v>
      </c>
      <c r="JR551" s="27" t="s">
        <v>7</v>
      </c>
      <c r="JS551" s="27" t="s">
        <v>8</v>
      </c>
      <c r="JV551" s="27" t="s">
        <v>7</v>
      </c>
      <c r="JW551" s="27" t="s">
        <v>8</v>
      </c>
      <c r="KD551" s="27" t="s">
        <v>7</v>
      </c>
      <c r="KE551" s="27" t="s">
        <v>8</v>
      </c>
      <c r="KH551" s="27" t="s">
        <v>7</v>
      </c>
      <c r="KQ551" s="27" t="s">
        <v>8</v>
      </c>
      <c r="KR551" s="27" t="s">
        <v>7</v>
      </c>
      <c r="LA551" s="27" t="s">
        <v>8</v>
      </c>
      <c r="LB551" s="27" t="s">
        <v>7</v>
      </c>
      <c r="LC551" s="27" t="s">
        <v>8</v>
      </c>
      <c r="NR551" s="27" t="s">
        <v>7</v>
      </c>
      <c r="NS551" s="27" t="s">
        <v>8</v>
      </c>
      <c r="NX551" s="27" t="s">
        <v>7</v>
      </c>
      <c r="NY551" s="27" t="s">
        <v>8</v>
      </c>
      <c r="NZ551" s="27" t="s">
        <v>7</v>
      </c>
      <c r="OA551" s="27" t="s">
        <v>8</v>
      </c>
      <c r="OB551" s="27" t="s">
        <v>7</v>
      </c>
      <c r="OD551" s="27" t="s">
        <v>7</v>
      </c>
      <c r="OE551" s="27" t="s">
        <v>8</v>
      </c>
      <c r="OF551" s="27" t="s">
        <v>7</v>
      </c>
      <c r="OG551" s="27" t="s">
        <v>8</v>
      </c>
      <c r="OH551" s="27" t="s">
        <v>7</v>
      </c>
    </row>
    <row r="552" spans="1:402" x14ac:dyDescent="0.25">
      <c r="A552" s="7">
        <v>1.9998895526624565</v>
      </c>
      <c r="B552"/>
      <c r="C552"/>
      <c r="D552"/>
      <c r="E552"/>
      <c r="IC552" s="27" t="s">
        <v>8</v>
      </c>
      <c r="ID552" s="27" t="s">
        <v>7</v>
      </c>
      <c r="IG552" s="27" t="s">
        <v>8</v>
      </c>
      <c r="JR552" s="27" t="s">
        <v>7</v>
      </c>
      <c r="JS552" s="27" t="s">
        <v>8</v>
      </c>
      <c r="JV552" s="27" t="s">
        <v>7</v>
      </c>
      <c r="KD552" s="27" t="s">
        <v>7</v>
      </c>
      <c r="KH552" s="27" t="s">
        <v>7</v>
      </c>
      <c r="KQ552" s="27" t="s">
        <v>8</v>
      </c>
      <c r="KR552" s="27" t="s">
        <v>7</v>
      </c>
      <c r="LA552" s="27" t="s">
        <v>8</v>
      </c>
      <c r="LB552" s="27" t="s">
        <v>7</v>
      </c>
      <c r="LC552" s="27" t="s">
        <v>8</v>
      </c>
      <c r="NR552" s="27" t="s">
        <v>7</v>
      </c>
      <c r="NS552" s="27" t="s">
        <v>8</v>
      </c>
      <c r="NX552" s="27" t="s">
        <v>7</v>
      </c>
      <c r="NY552" s="27" t="s">
        <v>8</v>
      </c>
      <c r="NZ552" s="27" t="s">
        <v>7</v>
      </c>
      <c r="OA552" s="27" t="s">
        <v>8</v>
      </c>
      <c r="OD552" s="27" t="s">
        <v>7</v>
      </c>
      <c r="OF552" s="27" t="s">
        <v>7</v>
      </c>
      <c r="OH552" s="27" t="s">
        <v>7</v>
      </c>
      <c r="OI552" s="27" t="s">
        <v>8</v>
      </c>
    </row>
    <row r="553" spans="1:402" x14ac:dyDescent="0.25">
      <c r="A553" s="7">
        <v>1.9606760320220162</v>
      </c>
      <c r="B553"/>
      <c r="C553"/>
      <c r="D553"/>
      <c r="E553"/>
      <c r="IC553" s="27" t="s">
        <v>8</v>
      </c>
      <c r="ID553" s="27" t="s">
        <v>7</v>
      </c>
      <c r="IG553" s="27" t="s">
        <v>8</v>
      </c>
      <c r="JR553" s="27" t="s">
        <v>7</v>
      </c>
      <c r="JS553" s="27" t="s">
        <v>8</v>
      </c>
      <c r="KH553" s="27" t="s">
        <v>7</v>
      </c>
      <c r="KQ553" s="27" t="s">
        <v>8</v>
      </c>
      <c r="KR553" s="27" t="s">
        <v>7</v>
      </c>
      <c r="LA553" s="27" t="s">
        <v>8</v>
      </c>
      <c r="LB553" s="27" t="s">
        <v>7</v>
      </c>
      <c r="LC553" s="27" t="s">
        <v>8</v>
      </c>
      <c r="NR553" s="27" t="s">
        <v>7</v>
      </c>
      <c r="NS553" s="27" t="s">
        <v>8</v>
      </c>
      <c r="NX553" s="27" t="s">
        <v>7</v>
      </c>
      <c r="NY553" s="27" t="s">
        <v>8</v>
      </c>
      <c r="NZ553" s="27" t="s">
        <v>7</v>
      </c>
      <c r="OA553" s="27" t="s">
        <v>8</v>
      </c>
      <c r="OH553" s="27" t="s">
        <v>7</v>
      </c>
      <c r="OI553" s="27" t="s">
        <v>8</v>
      </c>
      <c r="OJ553" s="27" t="s">
        <v>7</v>
      </c>
    </row>
    <row r="554" spans="1:402" x14ac:dyDescent="0.25">
      <c r="A554" s="7">
        <v>1.9222314039431532</v>
      </c>
      <c r="B554"/>
      <c r="C554"/>
      <c r="D554"/>
      <c r="E554"/>
      <c r="IC554" s="27" t="s">
        <v>8</v>
      </c>
      <c r="ID554" s="27" t="s">
        <v>7</v>
      </c>
      <c r="IG554" s="27" t="s">
        <v>8</v>
      </c>
      <c r="JR554" s="27" t="s">
        <v>7</v>
      </c>
      <c r="JS554" s="27" t="s">
        <v>8</v>
      </c>
      <c r="KH554" s="27" t="s">
        <v>7</v>
      </c>
      <c r="KQ554" s="27" t="s">
        <v>8</v>
      </c>
      <c r="KR554" s="27" t="s">
        <v>7</v>
      </c>
      <c r="LA554" s="27" t="s">
        <v>8</v>
      </c>
      <c r="LB554" s="27" t="s">
        <v>7</v>
      </c>
      <c r="LC554" s="27" t="s">
        <v>8</v>
      </c>
      <c r="NR554" s="27" t="s">
        <v>7</v>
      </c>
      <c r="NS554" s="27" t="s">
        <v>8</v>
      </c>
      <c r="NX554" s="27" t="s">
        <v>7</v>
      </c>
      <c r="NZ554" s="27" t="s">
        <v>7</v>
      </c>
      <c r="OH554" s="27" t="s">
        <v>7</v>
      </c>
      <c r="OI554" s="27" t="s">
        <v>8</v>
      </c>
      <c r="OJ554" s="27" t="s">
        <v>7</v>
      </c>
      <c r="OK554" s="27" t="s">
        <v>8</v>
      </c>
    </row>
    <row r="555" spans="1:402" x14ac:dyDescent="0.25">
      <c r="A555" s="7">
        <v>1.8845405921011305</v>
      </c>
      <c r="B555"/>
      <c r="C555"/>
      <c r="D555"/>
      <c r="E555"/>
      <c r="HW555" s="27" t="s">
        <v>8</v>
      </c>
      <c r="IC555" s="27" t="s">
        <v>8</v>
      </c>
      <c r="ID555" s="27" t="s">
        <v>7</v>
      </c>
      <c r="IG555" s="27" t="s">
        <v>8</v>
      </c>
      <c r="JR555" s="27" t="s">
        <v>7</v>
      </c>
      <c r="JS555" s="27" t="s">
        <v>8</v>
      </c>
      <c r="KH555" s="27" t="s">
        <v>7</v>
      </c>
      <c r="KK555" s="27" t="s">
        <v>8</v>
      </c>
      <c r="KM555" s="27" t="s">
        <v>8</v>
      </c>
      <c r="KQ555" s="27" t="s">
        <v>8</v>
      </c>
      <c r="KR555" s="27" t="s">
        <v>7</v>
      </c>
      <c r="LA555" s="27" t="s">
        <v>8</v>
      </c>
      <c r="LB555" s="27" t="s">
        <v>7</v>
      </c>
      <c r="NR555" s="27" t="s">
        <v>7</v>
      </c>
      <c r="NS555" s="27" t="s">
        <v>8</v>
      </c>
      <c r="OH555" s="27" t="s">
        <v>7</v>
      </c>
      <c r="OI555" s="27" t="s">
        <v>8</v>
      </c>
      <c r="OJ555" s="27" t="s">
        <v>7</v>
      </c>
      <c r="OK555" s="27" t="s">
        <v>8</v>
      </c>
      <c r="OL555" s="27" t="s">
        <v>7</v>
      </c>
    </row>
    <row r="556" spans="1:402" x14ac:dyDescent="0.25">
      <c r="A556" s="7">
        <v>1.8475888157854219</v>
      </c>
      <c r="B556"/>
      <c r="C556"/>
      <c r="D556"/>
      <c r="E556"/>
      <c r="HW556" s="27" t="s">
        <v>8</v>
      </c>
      <c r="HX556" s="27" t="s">
        <v>7</v>
      </c>
      <c r="IC556" s="27" t="s">
        <v>8</v>
      </c>
      <c r="ID556" s="27" t="s">
        <v>7</v>
      </c>
      <c r="IG556" s="27" t="s">
        <v>8</v>
      </c>
      <c r="JR556" s="27" t="s">
        <v>7</v>
      </c>
      <c r="JS556" s="27" t="s">
        <v>8</v>
      </c>
      <c r="KH556" s="27" t="s">
        <v>7</v>
      </c>
      <c r="KK556" s="27" t="s">
        <v>8</v>
      </c>
      <c r="KL556" s="27" t="s">
        <v>7</v>
      </c>
      <c r="KM556" s="27" t="s">
        <v>8</v>
      </c>
      <c r="KN556" s="27" t="s">
        <v>7</v>
      </c>
      <c r="KQ556" s="27" t="s">
        <v>8</v>
      </c>
      <c r="KR556" s="27" t="s">
        <v>7</v>
      </c>
      <c r="LA556" s="27" t="s">
        <v>8</v>
      </c>
      <c r="NR556" s="27" t="s">
        <v>7</v>
      </c>
      <c r="NS556" s="27" t="s">
        <v>8</v>
      </c>
      <c r="OH556" s="27" t="s">
        <v>7</v>
      </c>
      <c r="OI556" s="27" t="s">
        <v>8</v>
      </c>
      <c r="OJ556" s="27" t="s">
        <v>7</v>
      </c>
      <c r="OK556" s="27" t="s">
        <v>8</v>
      </c>
      <c r="OL556" s="27" t="s">
        <v>7</v>
      </c>
    </row>
    <row r="557" spans="1:402" x14ac:dyDescent="0.25">
      <c r="A557" s="7">
        <v>1.8113615841033548</v>
      </c>
      <c r="B557"/>
      <c r="C557"/>
      <c r="D557"/>
      <c r="E557"/>
      <c r="HW557" s="27" t="s">
        <v>8</v>
      </c>
      <c r="HX557" s="27" t="s">
        <v>7</v>
      </c>
      <c r="IC557" s="27" t="s">
        <v>8</v>
      </c>
      <c r="ID557" s="27" t="s">
        <v>7</v>
      </c>
      <c r="IG557" s="27" t="s">
        <v>8</v>
      </c>
      <c r="JR557" s="27" t="s">
        <v>7</v>
      </c>
      <c r="JS557" s="27" t="s">
        <v>8</v>
      </c>
      <c r="KH557" s="27" t="s">
        <v>7</v>
      </c>
      <c r="KK557" s="27" t="s">
        <v>8</v>
      </c>
      <c r="KL557" s="27" t="s">
        <v>7</v>
      </c>
      <c r="KM557" s="27" t="s">
        <v>8</v>
      </c>
      <c r="KN557" s="27" t="s">
        <v>7</v>
      </c>
      <c r="KO557" s="27" t="s">
        <v>8</v>
      </c>
      <c r="KQ557" s="27" t="s">
        <v>8</v>
      </c>
      <c r="KR557" s="27" t="s">
        <v>7</v>
      </c>
      <c r="LA557" s="27" t="s">
        <v>8</v>
      </c>
      <c r="NR557" s="27" t="s">
        <v>7</v>
      </c>
      <c r="NS557" s="27" t="s">
        <v>8</v>
      </c>
      <c r="OH557" s="27" t="s">
        <v>7</v>
      </c>
      <c r="OJ557" s="27" t="s">
        <v>7</v>
      </c>
      <c r="OK557" s="27" t="s">
        <v>8</v>
      </c>
      <c r="OL557" s="27" t="s">
        <v>7</v>
      </c>
    </row>
    <row r="558" spans="1:402" x14ac:dyDescent="0.25">
      <c r="A558" s="7">
        <v>1.7758446902974065</v>
      </c>
      <c r="B558"/>
      <c r="C558"/>
      <c r="D558"/>
      <c r="E558"/>
      <c r="HW558" s="27" t="s">
        <v>8</v>
      </c>
      <c r="HX558" s="27" t="s">
        <v>7</v>
      </c>
      <c r="IC558" s="27" t="s">
        <v>8</v>
      </c>
      <c r="ID558" s="27" t="s">
        <v>7</v>
      </c>
      <c r="IE558" s="27" t="s">
        <v>8</v>
      </c>
      <c r="IG558" s="27" t="s">
        <v>8</v>
      </c>
      <c r="JR558" s="27" t="s">
        <v>7</v>
      </c>
      <c r="JS558" s="27" t="s">
        <v>8</v>
      </c>
      <c r="KH558" s="27" t="s">
        <v>7</v>
      </c>
      <c r="KK558" s="27" t="s">
        <v>8</v>
      </c>
      <c r="KL558" s="27" t="s">
        <v>7</v>
      </c>
      <c r="KM558" s="27" t="s">
        <v>8</v>
      </c>
      <c r="KN558" s="27" t="s">
        <v>7</v>
      </c>
      <c r="KO558" s="27" t="s">
        <v>8</v>
      </c>
      <c r="KP558" s="27" t="s">
        <v>7</v>
      </c>
      <c r="KQ558" s="27" t="s">
        <v>8</v>
      </c>
      <c r="KR558" s="27" t="s">
        <v>7</v>
      </c>
      <c r="KS558" s="27" t="s">
        <v>8</v>
      </c>
      <c r="KY558" s="27" t="s">
        <v>8</v>
      </c>
      <c r="LA558" s="27" t="s">
        <v>8</v>
      </c>
      <c r="NR558" s="27" t="s">
        <v>7</v>
      </c>
      <c r="OJ558" s="27" t="s">
        <v>7</v>
      </c>
      <c r="OK558" s="27" t="s">
        <v>8</v>
      </c>
      <c r="OL558" s="27" t="s">
        <v>7</v>
      </c>
    </row>
    <row r="559" spans="1:402" x14ac:dyDescent="0.25">
      <c r="A559" s="7">
        <v>1.7410242061739281</v>
      </c>
      <c r="B559"/>
      <c r="C559"/>
      <c r="D559"/>
      <c r="E559"/>
      <c r="HM559" s="27" t="s">
        <v>8</v>
      </c>
      <c r="HW559" s="27" t="s">
        <v>8</v>
      </c>
      <c r="HX559" s="27" t="s">
        <v>7</v>
      </c>
      <c r="IC559" s="27" t="s">
        <v>8</v>
      </c>
      <c r="ID559" s="27" t="s">
        <v>7</v>
      </c>
      <c r="IE559" s="27" t="s">
        <v>8</v>
      </c>
      <c r="IF559" s="27" t="s">
        <v>7</v>
      </c>
      <c r="IG559" s="27" t="s">
        <v>8</v>
      </c>
      <c r="JR559" s="27" t="s">
        <v>7</v>
      </c>
      <c r="KH559" s="27" t="s">
        <v>7</v>
      </c>
      <c r="KK559" s="27" t="s">
        <v>8</v>
      </c>
      <c r="KL559" s="27" t="s">
        <v>7</v>
      </c>
      <c r="KM559" s="27" t="s">
        <v>8</v>
      </c>
      <c r="KN559" s="27" t="s">
        <v>7</v>
      </c>
      <c r="KO559" s="27" t="s">
        <v>8</v>
      </c>
      <c r="KP559" s="27" t="s">
        <v>7</v>
      </c>
      <c r="KQ559" s="27" t="s">
        <v>8</v>
      </c>
      <c r="KR559" s="27" t="s">
        <v>7</v>
      </c>
      <c r="KS559" s="27" t="s">
        <v>8</v>
      </c>
      <c r="KT559" s="27" t="s">
        <v>7</v>
      </c>
      <c r="KY559" s="27" t="s">
        <v>8</v>
      </c>
      <c r="KZ559" s="27" t="s">
        <v>7</v>
      </c>
      <c r="LA559" s="27" t="s">
        <v>8</v>
      </c>
      <c r="OJ559" s="27" t="s">
        <v>7</v>
      </c>
      <c r="OK559" s="27" t="s">
        <v>8</v>
      </c>
      <c r="OL559" s="27" t="s">
        <v>7</v>
      </c>
    </row>
    <row r="560" spans="1:402" x14ac:dyDescent="0.25">
      <c r="A560" s="7">
        <v>1.7068864766411058</v>
      </c>
      <c r="B560"/>
      <c r="C560"/>
      <c r="D560"/>
      <c r="E560"/>
      <c r="HM560" s="27" t="s">
        <v>8</v>
      </c>
      <c r="HN560" s="27" t="s">
        <v>7</v>
      </c>
      <c r="HW560" s="27" t="s">
        <v>8</v>
      </c>
      <c r="HX560" s="27" t="s">
        <v>7</v>
      </c>
      <c r="IC560" s="27" t="s">
        <v>8</v>
      </c>
      <c r="ID560" s="27" t="s">
        <v>7</v>
      </c>
      <c r="IE560" s="27" t="s">
        <v>8</v>
      </c>
      <c r="IF560" s="27" t="s">
        <v>7</v>
      </c>
      <c r="IG560" s="27" t="s">
        <v>8</v>
      </c>
      <c r="KH560" s="27" t="s">
        <v>7</v>
      </c>
      <c r="KK560" s="27" t="s">
        <v>8</v>
      </c>
      <c r="KL560" s="27" t="s">
        <v>7</v>
      </c>
      <c r="KM560" s="27" t="s">
        <v>8</v>
      </c>
      <c r="KN560" s="27" t="s">
        <v>7</v>
      </c>
      <c r="KP560" s="27" t="s">
        <v>7</v>
      </c>
      <c r="KQ560" s="27" t="s">
        <v>8</v>
      </c>
      <c r="KR560" s="27" t="s">
        <v>7</v>
      </c>
      <c r="KS560" s="27" t="s">
        <v>8</v>
      </c>
      <c r="KT560" s="27" t="s">
        <v>7</v>
      </c>
      <c r="KY560" s="27" t="s">
        <v>8</v>
      </c>
      <c r="KZ560" s="27" t="s">
        <v>7</v>
      </c>
      <c r="LA560" s="27" t="s">
        <v>8</v>
      </c>
      <c r="OJ560" s="27" t="s">
        <v>7</v>
      </c>
      <c r="OL560" s="27" t="s">
        <v>7</v>
      </c>
    </row>
    <row r="561" spans="1:406" x14ac:dyDescent="0.25">
      <c r="A561" s="7">
        <v>1.6734181143540252</v>
      </c>
      <c r="B561"/>
      <c r="C561"/>
      <c r="D561"/>
      <c r="E561"/>
      <c r="HM561" s="27" t="s">
        <v>8</v>
      </c>
      <c r="HN561" s="27" t="s">
        <v>7</v>
      </c>
      <c r="HW561" s="27" t="s">
        <v>8</v>
      </c>
      <c r="HX561" s="27" t="s">
        <v>7</v>
      </c>
      <c r="IA561" s="27" t="s">
        <v>8</v>
      </c>
      <c r="IC561" s="27" t="s">
        <v>8</v>
      </c>
      <c r="ID561" s="27" t="s">
        <v>7</v>
      </c>
      <c r="IE561" s="27" t="s">
        <v>8</v>
      </c>
      <c r="IF561" s="27" t="s">
        <v>7</v>
      </c>
      <c r="IG561" s="27" t="s">
        <v>8</v>
      </c>
      <c r="KH561" s="27" t="s">
        <v>7</v>
      </c>
      <c r="KK561" s="27" t="s">
        <v>8</v>
      </c>
      <c r="KL561" s="27" t="s">
        <v>7</v>
      </c>
      <c r="KM561" s="27" t="s">
        <v>8</v>
      </c>
      <c r="KP561" s="27" t="s">
        <v>7</v>
      </c>
      <c r="KQ561" s="27" t="s">
        <v>8</v>
      </c>
      <c r="KR561" s="27" t="s">
        <v>7</v>
      </c>
      <c r="KS561" s="27" t="s">
        <v>8</v>
      </c>
      <c r="KT561" s="27" t="s">
        <v>7</v>
      </c>
      <c r="KY561" s="27" t="s">
        <v>8</v>
      </c>
      <c r="KZ561" s="27" t="s">
        <v>7</v>
      </c>
      <c r="LA561" s="27" t="s">
        <v>8</v>
      </c>
      <c r="OL561" s="27" t="s">
        <v>7</v>
      </c>
    </row>
    <row r="562" spans="1:406" x14ac:dyDescent="0.25">
      <c r="A562" s="7">
        <v>1.6406059944647307</v>
      </c>
      <c r="B562"/>
      <c r="C562"/>
      <c r="D562"/>
      <c r="E562"/>
      <c r="HM562" s="27" t="s">
        <v>8</v>
      </c>
      <c r="HN562" s="27" t="s">
        <v>7</v>
      </c>
      <c r="HW562" s="27" t="s">
        <v>8</v>
      </c>
      <c r="HX562" s="27" t="s">
        <v>7</v>
      </c>
      <c r="IA562" s="27" t="s">
        <v>8</v>
      </c>
      <c r="IB562" s="27" t="s">
        <v>7</v>
      </c>
      <c r="IC562" s="27" t="s">
        <v>8</v>
      </c>
      <c r="ID562" s="27" t="s">
        <v>7</v>
      </c>
      <c r="IE562" s="27" t="s">
        <v>8</v>
      </c>
      <c r="IF562" s="27" t="s">
        <v>7</v>
      </c>
      <c r="KH562" s="27" t="s">
        <v>7</v>
      </c>
      <c r="KK562" s="27" t="s">
        <v>8</v>
      </c>
      <c r="KL562" s="27" t="s">
        <v>7</v>
      </c>
      <c r="KM562" s="27" t="s">
        <v>8</v>
      </c>
      <c r="KP562" s="27" t="s">
        <v>7</v>
      </c>
      <c r="KQ562" s="27" t="s">
        <v>8</v>
      </c>
      <c r="KR562" s="27" t="s">
        <v>7</v>
      </c>
      <c r="KS562" s="27" t="s">
        <v>8</v>
      </c>
      <c r="KT562" s="27" t="s">
        <v>7</v>
      </c>
      <c r="KY562" s="27" t="s">
        <v>8</v>
      </c>
      <c r="KZ562" s="27" t="s">
        <v>7</v>
      </c>
      <c r="LA562" s="27" t="s">
        <v>8</v>
      </c>
      <c r="OL562" s="27" t="s">
        <v>7</v>
      </c>
    </row>
    <row r="563" spans="1:406" x14ac:dyDescent="0.25">
      <c r="A563" s="7">
        <v>1.6084372494752261</v>
      </c>
      <c r="B563"/>
      <c r="C563"/>
      <c r="D563"/>
      <c r="E563"/>
      <c r="HM563" s="27" t="s">
        <v>8</v>
      </c>
      <c r="HN563" s="27" t="s">
        <v>7</v>
      </c>
      <c r="HW563" s="27" t="s">
        <v>8</v>
      </c>
      <c r="HX563" s="27" t="s">
        <v>7</v>
      </c>
      <c r="IA563" s="27" t="s">
        <v>8</v>
      </c>
      <c r="IB563" s="27" t="s">
        <v>7</v>
      </c>
      <c r="IC563" s="27" t="s">
        <v>8</v>
      </c>
      <c r="ID563" s="27" t="s">
        <v>7</v>
      </c>
      <c r="IE563" s="27" t="s">
        <v>8</v>
      </c>
      <c r="KH563" s="27" t="s">
        <v>7</v>
      </c>
      <c r="KK563" s="27" t="s">
        <v>8</v>
      </c>
      <c r="KL563" s="27" t="s">
        <v>7</v>
      </c>
      <c r="KM563" s="27" t="s">
        <v>8</v>
      </c>
      <c r="KP563" s="27" t="s">
        <v>7</v>
      </c>
      <c r="KQ563" s="27" t="s">
        <v>8</v>
      </c>
      <c r="KR563" s="27" t="s">
        <v>7</v>
      </c>
      <c r="KS563" s="27" t="s">
        <v>8</v>
      </c>
      <c r="KT563" s="27" t="s">
        <v>7</v>
      </c>
      <c r="KW563" s="27" t="s">
        <v>8</v>
      </c>
      <c r="KY563" s="27" t="s">
        <v>8</v>
      </c>
      <c r="KZ563" s="27" t="s">
        <v>7</v>
      </c>
      <c r="OL563" s="27" t="s">
        <v>7</v>
      </c>
    </row>
    <row r="564" spans="1:406" x14ac:dyDescent="0.25">
      <c r="A564" s="7">
        <v>1.5768992641913981</v>
      </c>
      <c r="B564"/>
      <c r="C564"/>
      <c r="D564"/>
      <c r="E564"/>
      <c r="HM564" s="27" t="s">
        <v>8</v>
      </c>
      <c r="HN564" s="27" t="s">
        <v>7</v>
      </c>
      <c r="HW564" s="27" t="s">
        <v>8</v>
      </c>
      <c r="HX564" s="27" t="s">
        <v>7</v>
      </c>
      <c r="IA564" s="27" t="s">
        <v>8</v>
      </c>
      <c r="IB564" s="27" t="s">
        <v>7</v>
      </c>
      <c r="IC564" s="27" t="s">
        <v>8</v>
      </c>
      <c r="ID564" s="27" t="s">
        <v>7</v>
      </c>
      <c r="IE564" s="27" t="s">
        <v>8</v>
      </c>
      <c r="KH564" s="27" t="s">
        <v>7</v>
      </c>
      <c r="KK564" s="27" t="s">
        <v>8</v>
      </c>
      <c r="KL564" s="27" t="s">
        <v>7</v>
      </c>
      <c r="KP564" s="27" t="s">
        <v>7</v>
      </c>
      <c r="KQ564" s="27" t="s">
        <v>8</v>
      </c>
      <c r="KR564" s="27" t="s">
        <v>7</v>
      </c>
      <c r="KT564" s="27" t="s">
        <v>7</v>
      </c>
      <c r="KU564" s="27" t="s">
        <v>8</v>
      </c>
      <c r="KW564" s="27" t="s">
        <v>8</v>
      </c>
      <c r="KX564" s="27" t="s">
        <v>7</v>
      </c>
      <c r="KY564" s="27" t="s">
        <v>8</v>
      </c>
      <c r="OL564" s="27" t="s">
        <v>7</v>
      </c>
    </row>
    <row r="565" spans="1:406" x14ac:dyDescent="0.25">
      <c r="A565" s="7">
        <v>1.5459796707758806</v>
      </c>
      <c r="B565"/>
      <c r="C565"/>
      <c r="D565"/>
      <c r="E565"/>
      <c r="HM565" s="27" t="s">
        <v>8</v>
      </c>
      <c r="HN565" s="27" t="s">
        <v>7</v>
      </c>
      <c r="HW565" s="27" t="s">
        <v>8</v>
      </c>
      <c r="HX565" s="27" t="s">
        <v>7</v>
      </c>
      <c r="HY565" s="27" t="s">
        <v>8</v>
      </c>
      <c r="IA565" s="27" t="s">
        <v>8</v>
      </c>
      <c r="IB565" s="27" t="s">
        <v>7</v>
      </c>
      <c r="IC565" s="27" t="s">
        <v>8</v>
      </c>
      <c r="ID565" s="27" t="s">
        <v>7</v>
      </c>
      <c r="IE565" s="27" t="s">
        <v>8</v>
      </c>
      <c r="KH565" s="27" t="s">
        <v>7</v>
      </c>
      <c r="KK565" s="27" t="s">
        <v>8</v>
      </c>
      <c r="KP565" s="27" t="s">
        <v>7</v>
      </c>
      <c r="KQ565" s="27" t="s">
        <v>8</v>
      </c>
      <c r="KT565" s="27" t="s">
        <v>7</v>
      </c>
      <c r="KU565" s="27" t="s">
        <v>8</v>
      </c>
      <c r="KV565" s="27" t="s">
        <v>7</v>
      </c>
      <c r="KW565" s="27" t="s">
        <v>8</v>
      </c>
      <c r="KX565" s="27" t="s">
        <v>7</v>
      </c>
      <c r="KY565" s="27" t="s">
        <v>8</v>
      </c>
      <c r="OL565" s="27" t="s">
        <v>7</v>
      </c>
      <c r="OO565" s="27" t="s">
        <v>8</v>
      </c>
    </row>
    <row r="566" spans="1:406" x14ac:dyDescent="0.25">
      <c r="A566" s="7">
        <v>1.5156663438979221</v>
      </c>
      <c r="B566"/>
      <c r="C566"/>
      <c r="D566"/>
      <c r="E566"/>
      <c r="HM566" s="27" t="s">
        <v>8</v>
      </c>
      <c r="HN566" s="27" t="s">
        <v>7</v>
      </c>
      <c r="HO566" s="27" t="s">
        <v>8</v>
      </c>
      <c r="HW566" s="27" t="s">
        <v>8</v>
      </c>
      <c r="HX566" s="27" t="s">
        <v>7</v>
      </c>
      <c r="HY566" s="27" t="s">
        <v>8</v>
      </c>
      <c r="HZ566" s="27" t="s">
        <v>7</v>
      </c>
      <c r="IA566" s="27" t="s">
        <v>8</v>
      </c>
      <c r="IB566" s="27" t="s">
        <v>7</v>
      </c>
      <c r="IC566" s="27" t="s">
        <v>8</v>
      </c>
      <c r="ID566" s="27" t="s">
        <v>7</v>
      </c>
      <c r="IE566" s="27" t="s">
        <v>8</v>
      </c>
      <c r="KH566" s="27" t="s">
        <v>7</v>
      </c>
      <c r="KK566" s="27" t="s">
        <v>8</v>
      </c>
      <c r="KP566" s="27" t="s">
        <v>7</v>
      </c>
      <c r="KQ566" s="27" t="s">
        <v>8</v>
      </c>
      <c r="KT566" s="27" t="s">
        <v>7</v>
      </c>
      <c r="KU566" s="27" t="s">
        <v>8</v>
      </c>
      <c r="KV566" s="27" t="s">
        <v>7</v>
      </c>
      <c r="KW566" s="27" t="s">
        <v>8</v>
      </c>
      <c r="KX566" s="27" t="s">
        <v>7</v>
      </c>
      <c r="KY566" s="27" t="s">
        <v>8</v>
      </c>
      <c r="OL566" s="27" t="s">
        <v>7</v>
      </c>
      <c r="OO566" s="27" t="s">
        <v>8</v>
      </c>
      <c r="OP566" s="27" t="s">
        <v>7</v>
      </c>
    </row>
    <row r="567" spans="1:406" x14ac:dyDescent="0.25">
      <c r="A567" s="7">
        <v>1.4859473959783549</v>
      </c>
      <c r="B567"/>
      <c r="C567"/>
      <c r="D567"/>
      <c r="E567"/>
      <c r="HM567" s="27" t="s">
        <v>8</v>
      </c>
      <c r="HN567" s="27" t="s">
        <v>7</v>
      </c>
      <c r="HO567" s="27" t="s">
        <v>8</v>
      </c>
      <c r="HP567" s="27" t="s">
        <v>7</v>
      </c>
      <c r="HW567" s="27" t="s">
        <v>8</v>
      </c>
      <c r="HX567" s="27" t="s">
        <v>7</v>
      </c>
      <c r="HY567" s="27" t="s">
        <v>8</v>
      </c>
      <c r="HZ567" s="27" t="s">
        <v>7</v>
      </c>
      <c r="IA567" s="27" t="s">
        <v>8</v>
      </c>
      <c r="IB567" s="27" t="s">
        <v>7</v>
      </c>
      <c r="IC567" s="27" t="s">
        <v>8</v>
      </c>
      <c r="ID567" s="27" t="s">
        <v>7</v>
      </c>
      <c r="KH567" s="27" t="s">
        <v>7</v>
      </c>
      <c r="KI567" s="27" t="s">
        <v>8</v>
      </c>
      <c r="KK567" s="27" t="s">
        <v>8</v>
      </c>
      <c r="KP567" s="27" t="s">
        <v>7</v>
      </c>
      <c r="KQ567" s="27" t="s">
        <v>8</v>
      </c>
      <c r="KT567" s="27" t="s">
        <v>7</v>
      </c>
      <c r="KU567" s="27" t="s">
        <v>8</v>
      </c>
      <c r="KV567" s="27" t="s">
        <v>7</v>
      </c>
      <c r="KW567" s="27" t="s">
        <v>8</v>
      </c>
      <c r="KX567" s="27" t="s">
        <v>7</v>
      </c>
      <c r="OL567" s="27" t="s">
        <v>7</v>
      </c>
      <c r="OM567" s="27" t="s">
        <v>8</v>
      </c>
      <c r="OO567" s="27" t="s">
        <v>8</v>
      </c>
      <c r="OP567" s="27" t="s">
        <v>7</v>
      </c>
    </row>
    <row r="568" spans="1:406" x14ac:dyDescent="0.25">
      <c r="A568" s="7">
        <v>1.4568111725277988</v>
      </c>
      <c r="B568"/>
      <c r="C568"/>
      <c r="D568"/>
      <c r="E568"/>
      <c r="HM568" s="27" t="s">
        <v>8</v>
      </c>
      <c r="HN568" s="27" t="s">
        <v>7</v>
      </c>
      <c r="HO568" s="27" t="s">
        <v>8</v>
      </c>
      <c r="HP568" s="27" t="s">
        <v>7</v>
      </c>
      <c r="HW568" s="27" t="s">
        <v>8</v>
      </c>
      <c r="HX568" s="27" t="s">
        <v>7</v>
      </c>
      <c r="HY568" s="27" t="s">
        <v>8</v>
      </c>
      <c r="HZ568" s="27" t="s">
        <v>7</v>
      </c>
      <c r="IA568" s="27" t="s">
        <v>8</v>
      </c>
      <c r="IB568" s="27" t="s">
        <v>7</v>
      </c>
      <c r="IC568" s="27" t="s">
        <v>8</v>
      </c>
      <c r="KH568" s="27" t="s">
        <v>7</v>
      </c>
      <c r="KI568" s="27" t="s">
        <v>8</v>
      </c>
      <c r="KJ568" s="27" t="s">
        <v>7</v>
      </c>
      <c r="KK568" s="27" t="s">
        <v>8</v>
      </c>
      <c r="KP568" s="27" t="s">
        <v>7</v>
      </c>
      <c r="KT568" s="27" t="s">
        <v>7</v>
      </c>
      <c r="KU568" s="27" t="s">
        <v>8</v>
      </c>
      <c r="KV568" s="27" t="s">
        <v>7</v>
      </c>
      <c r="KW568" s="27" t="s">
        <v>8</v>
      </c>
      <c r="OL568" s="27" t="s">
        <v>7</v>
      </c>
      <c r="OM568" s="27" t="s">
        <v>8</v>
      </c>
      <c r="ON568" s="27" t="s">
        <v>7</v>
      </c>
      <c r="OO568" s="27" t="s">
        <v>8</v>
      </c>
      <c r="OP568" s="27" t="s">
        <v>7</v>
      </c>
    </row>
    <row r="569" spans="1:406" x14ac:dyDescent="0.25">
      <c r="A569" s="7">
        <v>1.4282462475762734</v>
      </c>
      <c r="B569"/>
      <c r="C569"/>
      <c r="D569"/>
      <c r="E569"/>
      <c r="HM569" s="27" t="s">
        <v>8</v>
      </c>
      <c r="HN569" s="27" t="s">
        <v>7</v>
      </c>
      <c r="HO569" s="27" t="s">
        <v>8</v>
      </c>
      <c r="HP569" s="27" t="s">
        <v>7</v>
      </c>
      <c r="HW569" s="27" t="s">
        <v>8</v>
      </c>
      <c r="HX569" s="27" t="s">
        <v>7</v>
      </c>
      <c r="HY569" s="27" t="s">
        <v>8</v>
      </c>
      <c r="HZ569" s="27" t="s">
        <v>7</v>
      </c>
      <c r="IA569" s="27" t="s">
        <v>8</v>
      </c>
      <c r="IB569" s="27" t="s">
        <v>7</v>
      </c>
      <c r="KH569" s="27" t="s">
        <v>7</v>
      </c>
      <c r="KI569" s="27" t="s">
        <v>8</v>
      </c>
      <c r="KJ569" s="27" t="s">
        <v>7</v>
      </c>
      <c r="KK569" s="27" t="s">
        <v>8</v>
      </c>
      <c r="KT569" s="27" t="s">
        <v>7</v>
      </c>
      <c r="KV569" s="27" t="s">
        <v>7</v>
      </c>
      <c r="KW569" s="27" t="s">
        <v>8</v>
      </c>
      <c r="OL569" s="27" t="s">
        <v>7</v>
      </c>
      <c r="OM569" s="27" t="s">
        <v>8</v>
      </c>
      <c r="ON569" s="27" t="s">
        <v>7</v>
      </c>
      <c r="OO569" s="27" t="s">
        <v>8</v>
      </c>
      <c r="OP569" s="27" t="s">
        <v>7</v>
      </c>
    </row>
    <row r="570" spans="1:406" x14ac:dyDescent="0.25">
      <c r="A570" s="7">
        <v>1.4002414191924248</v>
      </c>
      <c r="B570"/>
      <c r="C570"/>
      <c r="D570"/>
      <c r="E570"/>
      <c r="HM570" s="27" t="s">
        <v>8</v>
      </c>
      <c r="HN570" s="27" t="s">
        <v>7</v>
      </c>
      <c r="HO570" s="27" t="s">
        <v>8</v>
      </c>
      <c r="HP570" s="27" t="s">
        <v>7</v>
      </c>
      <c r="HW570" s="27" t="s">
        <v>8</v>
      </c>
      <c r="HX570" s="27" t="s">
        <v>7</v>
      </c>
      <c r="HY570" s="27" t="s">
        <v>8</v>
      </c>
      <c r="HZ570" s="27" t="s">
        <v>7</v>
      </c>
      <c r="IA570" s="27" t="s">
        <v>8</v>
      </c>
      <c r="KH570" s="27" t="s">
        <v>7</v>
      </c>
      <c r="KI570" s="27" t="s">
        <v>8</v>
      </c>
      <c r="KJ570" s="27" t="s">
        <v>7</v>
      </c>
      <c r="KK570" s="27" t="s">
        <v>8</v>
      </c>
      <c r="KV570" s="27" t="s">
        <v>7</v>
      </c>
      <c r="KW570" s="27" t="s">
        <v>8</v>
      </c>
      <c r="OL570" s="27" t="s">
        <v>7</v>
      </c>
      <c r="OM570" s="27" t="s">
        <v>8</v>
      </c>
      <c r="ON570" s="27" t="s">
        <v>7</v>
      </c>
      <c r="OO570" s="27" t="s">
        <v>8</v>
      </c>
      <c r="OP570" s="27" t="s">
        <v>7</v>
      </c>
    </row>
    <row r="571" spans="1:406" x14ac:dyDescent="0.25">
      <c r="A571" s="7">
        <v>1.3727857050906125</v>
      </c>
      <c r="B571"/>
      <c r="C571"/>
      <c r="D571"/>
      <c r="E571"/>
      <c r="HM571" s="27" t="s">
        <v>8</v>
      </c>
      <c r="HN571" s="27" t="s">
        <v>7</v>
      </c>
      <c r="HO571" s="27" t="s">
        <v>8</v>
      </c>
      <c r="HP571" s="27" t="s">
        <v>7</v>
      </c>
      <c r="HS571" s="27" t="s">
        <v>8</v>
      </c>
      <c r="HW571" s="27" t="s">
        <v>8</v>
      </c>
      <c r="HX571" s="27" t="s">
        <v>7</v>
      </c>
      <c r="HY571" s="27" t="s">
        <v>8</v>
      </c>
      <c r="HZ571" s="27" t="s">
        <v>7</v>
      </c>
      <c r="IA571" s="27" t="s">
        <v>8</v>
      </c>
      <c r="KH571" s="27" t="s">
        <v>7</v>
      </c>
      <c r="KI571" s="27" t="s">
        <v>8</v>
      </c>
      <c r="KJ571" s="27" t="s">
        <v>7</v>
      </c>
      <c r="KK571" s="27" t="s">
        <v>8</v>
      </c>
      <c r="KV571" s="18" t="s">
        <v>7</v>
      </c>
      <c r="KW571" s="27" t="s">
        <v>8</v>
      </c>
      <c r="OL571" s="27" t="s">
        <v>7</v>
      </c>
      <c r="OM571" s="27" t="s">
        <v>8</v>
      </c>
      <c r="ON571" s="27" t="s">
        <v>7</v>
      </c>
      <c r="OP571" s="27" t="s">
        <v>7</v>
      </c>
    </row>
    <row r="572" spans="1:406" x14ac:dyDescent="0.25">
      <c r="A572" s="7">
        <v>1.3458683383241299</v>
      </c>
      <c r="B572"/>
      <c r="C572"/>
      <c r="D572"/>
      <c r="E572"/>
      <c r="HM572" s="27" t="s">
        <v>8</v>
      </c>
      <c r="HN572" s="27" t="s">
        <v>7</v>
      </c>
      <c r="HO572" s="27" t="s">
        <v>8</v>
      </c>
      <c r="HP572" s="27" t="s">
        <v>7</v>
      </c>
      <c r="HQ572" s="27" t="s">
        <v>8</v>
      </c>
      <c r="HS572" s="27" t="s">
        <v>8</v>
      </c>
      <c r="HT572" s="27" t="s">
        <v>7</v>
      </c>
      <c r="HW572" s="27" t="s">
        <v>8</v>
      </c>
      <c r="HX572" s="27" t="s">
        <v>7</v>
      </c>
      <c r="HY572" s="27" t="s">
        <v>8</v>
      </c>
      <c r="HZ572" s="27" t="s">
        <v>7</v>
      </c>
      <c r="IA572" s="27" t="s">
        <v>8</v>
      </c>
      <c r="KH572" s="27" t="s">
        <v>7</v>
      </c>
      <c r="KI572" s="27" t="s">
        <v>8</v>
      </c>
      <c r="KJ572" s="27" t="s">
        <v>7</v>
      </c>
      <c r="KK572" s="27" t="s">
        <v>8</v>
      </c>
      <c r="KV572" s="27" t="s">
        <v>7</v>
      </c>
      <c r="KW572" s="27" t="s">
        <v>8</v>
      </c>
      <c r="OL572" s="27" t="s">
        <v>7</v>
      </c>
      <c r="OM572" s="27" t="s">
        <v>8</v>
      </c>
    </row>
    <row r="573" spans="1:406" x14ac:dyDescent="0.25">
      <c r="A573" s="7">
        <v>1.3194787630628724</v>
      </c>
      <c r="B573"/>
      <c r="C573"/>
      <c r="D573"/>
      <c r="E573"/>
      <c r="HM573" s="27" t="s">
        <v>8</v>
      </c>
      <c r="HN573" s="27" t="s">
        <v>7</v>
      </c>
      <c r="HO573" s="27" t="s">
        <v>8</v>
      </c>
      <c r="HP573" s="27" t="s">
        <v>7</v>
      </c>
      <c r="HQ573" s="27" t="s">
        <v>8</v>
      </c>
      <c r="HR573" s="27" t="s">
        <v>7</v>
      </c>
      <c r="HS573" s="27" t="s">
        <v>8</v>
      </c>
      <c r="HT573" s="27" t="s">
        <v>7</v>
      </c>
      <c r="HU573" s="27" t="s">
        <v>8</v>
      </c>
      <c r="HW573" s="27" t="s">
        <v>8</v>
      </c>
      <c r="HX573" s="27" t="s">
        <v>7</v>
      </c>
      <c r="HY573" s="27" t="s">
        <v>8</v>
      </c>
      <c r="HZ573" s="27" t="s">
        <v>7</v>
      </c>
      <c r="KH573" s="27" t="s">
        <v>7</v>
      </c>
      <c r="KI573" s="27" t="s">
        <v>8</v>
      </c>
      <c r="KJ573" s="27" t="s">
        <v>7</v>
      </c>
      <c r="KK573" s="27" t="s">
        <v>8</v>
      </c>
      <c r="KV573" s="27" t="s">
        <v>7</v>
      </c>
      <c r="KW573" s="27" t="s">
        <v>8</v>
      </c>
      <c r="OL573" s="27" t="s">
        <v>7</v>
      </c>
      <c r="OM573" s="27" t="s">
        <v>8</v>
      </c>
    </row>
    <row r="574" spans="1:406" x14ac:dyDescent="0.25">
      <c r="A574" s="7">
        <v>1.2936066304537963</v>
      </c>
      <c r="B574"/>
      <c r="C574"/>
      <c r="D574"/>
      <c r="E574"/>
      <c r="HM574" s="27" t="s">
        <v>8</v>
      </c>
      <c r="HN574" s="27" t="s">
        <v>7</v>
      </c>
      <c r="HO574" s="27" t="s">
        <v>8</v>
      </c>
      <c r="HP574" s="27" t="s">
        <v>7</v>
      </c>
      <c r="HQ574" s="27" t="s">
        <v>8</v>
      </c>
      <c r="HR574" s="27" t="s">
        <v>7</v>
      </c>
      <c r="HS574" s="27" t="s">
        <v>8</v>
      </c>
      <c r="HT574" s="27" t="s">
        <v>7</v>
      </c>
      <c r="HU574" s="27" t="s">
        <v>8</v>
      </c>
      <c r="HV574" s="27" t="s">
        <v>7</v>
      </c>
      <c r="HW574" s="27" t="s">
        <v>8</v>
      </c>
      <c r="HX574" s="27" t="s">
        <v>7</v>
      </c>
      <c r="KH574" s="27" t="s">
        <v>7</v>
      </c>
      <c r="KI574" s="27" t="s">
        <v>8</v>
      </c>
      <c r="KJ574" s="27" t="s">
        <v>7</v>
      </c>
      <c r="KK574" s="27" t="s">
        <v>8</v>
      </c>
      <c r="KV574" s="27" t="s">
        <v>7</v>
      </c>
      <c r="KW574" s="27" t="s">
        <v>8</v>
      </c>
      <c r="OL574" s="27" t="s">
        <v>7</v>
      </c>
      <c r="OM574" s="27" t="s">
        <v>8</v>
      </c>
    </row>
    <row r="575" spans="1:406" x14ac:dyDescent="0.25">
      <c r="A575" s="7">
        <v>1.2682417945625455</v>
      </c>
      <c r="B575"/>
      <c r="C575"/>
      <c r="D575"/>
      <c r="E575"/>
      <c r="HI575" s="27" t="s">
        <v>8</v>
      </c>
      <c r="HM575" s="27" t="s">
        <v>8</v>
      </c>
      <c r="HN575" s="27" t="s">
        <v>7</v>
      </c>
      <c r="HO575" s="27" t="s">
        <v>8</v>
      </c>
      <c r="HP575" s="27" t="s">
        <v>7</v>
      </c>
      <c r="HQ575" s="27" t="s">
        <v>8</v>
      </c>
      <c r="HR575" s="27" t="s">
        <v>7</v>
      </c>
      <c r="HS575" s="27" t="s">
        <v>8</v>
      </c>
      <c r="HT575" s="27" t="s">
        <v>7</v>
      </c>
      <c r="HU575" s="27" t="s">
        <v>8</v>
      </c>
      <c r="HV575" s="27" t="s">
        <v>7</v>
      </c>
      <c r="HW575" s="27" t="s">
        <v>8</v>
      </c>
      <c r="KH575" s="27" t="s">
        <v>7</v>
      </c>
      <c r="KI575" s="27" t="s">
        <v>8</v>
      </c>
      <c r="KJ575" s="27" t="s">
        <v>7</v>
      </c>
      <c r="KK575" s="27" t="s">
        <v>8</v>
      </c>
      <c r="KV575" s="27" t="s">
        <v>7</v>
      </c>
      <c r="KW575" s="27" t="s">
        <v>8</v>
      </c>
      <c r="OL575" s="27" t="s">
        <v>7</v>
      </c>
      <c r="OM575" s="27" t="s">
        <v>8</v>
      </c>
    </row>
    <row r="576" spans="1:406" x14ac:dyDescent="0.25">
      <c r="A576" s="7">
        <v>1.2433743083946525</v>
      </c>
      <c r="B576"/>
      <c r="C576"/>
      <c r="D576"/>
      <c r="E576"/>
      <c r="HI576" s="27" t="s">
        <v>8</v>
      </c>
      <c r="HJ576" s="27" t="s">
        <v>7</v>
      </c>
      <c r="HM576" s="27" t="s">
        <v>8</v>
      </c>
      <c r="HN576" s="27" t="s">
        <v>7</v>
      </c>
      <c r="HO576" s="27" t="s">
        <v>8</v>
      </c>
      <c r="HP576" s="27" t="s">
        <v>7</v>
      </c>
      <c r="HR576" s="27" t="s">
        <v>7</v>
      </c>
      <c r="HS576" s="27" t="s">
        <v>8</v>
      </c>
      <c r="HT576" s="27" t="s">
        <v>7</v>
      </c>
      <c r="HV576" s="27" t="s">
        <v>7</v>
      </c>
      <c r="HW576" s="27" t="s">
        <v>8</v>
      </c>
      <c r="KH576" s="27" t="s">
        <v>7</v>
      </c>
      <c r="KI576" s="27" t="s">
        <v>8</v>
      </c>
      <c r="KJ576" s="27" t="s">
        <v>7</v>
      </c>
      <c r="KK576" s="27" t="s">
        <v>8</v>
      </c>
      <c r="KV576" s="27" t="s">
        <v>7</v>
      </c>
      <c r="OL576" s="27" t="s">
        <v>7</v>
      </c>
      <c r="OM576" s="27" t="s">
        <v>8</v>
      </c>
    </row>
    <row r="577" spans="1:403" x14ac:dyDescent="0.25">
      <c r="A577" s="7">
        <v>1.2189944199947573</v>
      </c>
      <c r="B577"/>
      <c r="C577"/>
      <c r="D577"/>
      <c r="E577"/>
      <c r="HG577" s="27" t="s">
        <v>8</v>
      </c>
      <c r="HI577" s="27" t="s">
        <v>8</v>
      </c>
      <c r="HJ577" s="27" t="s">
        <v>7</v>
      </c>
      <c r="HM577" s="27" t="s">
        <v>8</v>
      </c>
      <c r="HN577" s="27" t="s">
        <v>7</v>
      </c>
      <c r="HO577" s="27" t="s">
        <v>8</v>
      </c>
      <c r="HR577" s="27" t="s">
        <v>7</v>
      </c>
      <c r="HS577" s="27" t="s">
        <v>8</v>
      </c>
      <c r="HV577" s="27" t="s">
        <v>7</v>
      </c>
      <c r="KH577" s="27" t="s">
        <v>7</v>
      </c>
      <c r="KI577" s="27" t="s">
        <v>8</v>
      </c>
      <c r="KJ577" s="27" t="s">
        <v>7</v>
      </c>
      <c r="KK577" s="27" t="s">
        <v>8</v>
      </c>
      <c r="OL577" s="27" t="s">
        <v>7</v>
      </c>
      <c r="OM577" s="27" t="s">
        <v>8</v>
      </c>
    </row>
    <row r="578" spans="1:403" x14ac:dyDescent="0.25">
      <c r="A578" s="7">
        <v>1.1950925686223111</v>
      </c>
      <c r="B578"/>
      <c r="C578"/>
      <c r="D578"/>
      <c r="E578"/>
      <c r="HG578" s="27" t="s">
        <v>8</v>
      </c>
      <c r="HH578" s="27" t="s">
        <v>7</v>
      </c>
      <c r="HI578" s="27" t="s">
        <v>8</v>
      </c>
      <c r="HJ578" s="27" t="s">
        <v>7</v>
      </c>
      <c r="HM578" s="27" t="s">
        <v>8</v>
      </c>
      <c r="HN578" s="27" t="s">
        <v>7</v>
      </c>
      <c r="HO578" s="27" t="s">
        <v>8</v>
      </c>
      <c r="HR578" s="27" t="s">
        <v>7</v>
      </c>
      <c r="HS578" s="27" t="s">
        <v>8</v>
      </c>
      <c r="KH578" s="27" t="s">
        <v>7</v>
      </c>
      <c r="KI578" s="27" t="s">
        <v>8</v>
      </c>
      <c r="KJ578" s="27" t="s">
        <v>7</v>
      </c>
      <c r="KK578" s="27" t="s">
        <v>8</v>
      </c>
      <c r="OL578" s="27" t="s">
        <v>7</v>
      </c>
    </row>
    <row r="579" spans="1:403" x14ac:dyDescent="0.25">
      <c r="A579" s="7">
        <v>1.1716593810022657</v>
      </c>
      <c r="B579"/>
      <c r="C579"/>
      <c r="D579"/>
      <c r="E579"/>
      <c r="HG579" s="27" t="s">
        <v>8</v>
      </c>
      <c r="HH579" s="27" t="s">
        <v>7</v>
      </c>
      <c r="HI579" s="27" t="s">
        <v>8</v>
      </c>
      <c r="HJ579" s="27" t="s">
        <v>7</v>
      </c>
      <c r="HM579" s="27" t="s">
        <v>8</v>
      </c>
      <c r="HN579" s="27" t="s">
        <v>7</v>
      </c>
      <c r="HO579" s="27" t="s">
        <v>8</v>
      </c>
      <c r="HR579" s="27" t="s">
        <v>7</v>
      </c>
      <c r="KH579" s="27" t="s">
        <v>7</v>
      </c>
      <c r="KI579" s="27" t="s">
        <v>8</v>
      </c>
      <c r="KJ579" s="27" t="s">
        <v>7</v>
      </c>
    </row>
    <row r="580" spans="1:403" x14ac:dyDescent="0.25">
      <c r="A580" s="7">
        <v>1.14868566764928</v>
      </c>
      <c r="B580"/>
      <c r="C580"/>
      <c r="D580"/>
      <c r="E580"/>
      <c r="HG580" s="27" t="s">
        <v>8</v>
      </c>
      <c r="HH580" s="27" t="s">
        <v>7</v>
      </c>
      <c r="HI580" s="27" t="s">
        <v>8</v>
      </c>
      <c r="HJ580" s="27" t="s">
        <v>7</v>
      </c>
      <c r="HM580" s="27" t="s">
        <v>8</v>
      </c>
      <c r="HN580" s="27" t="s">
        <v>7</v>
      </c>
      <c r="HO580" s="27" t="s">
        <v>8</v>
      </c>
      <c r="KH580" s="27" t="s">
        <v>7</v>
      </c>
      <c r="KI580" s="27" t="s">
        <v>8</v>
      </c>
    </row>
    <row r="581" spans="1:403" x14ac:dyDescent="0.25">
      <c r="A581" s="7">
        <v>1.1261624192640001</v>
      </c>
      <c r="B581"/>
      <c r="C581"/>
      <c r="D581"/>
      <c r="E581"/>
      <c r="HG581" s="27" t="s">
        <v>8</v>
      </c>
      <c r="HH581" s="27" t="s">
        <v>7</v>
      </c>
      <c r="HI581" s="27" t="s">
        <v>8</v>
      </c>
      <c r="HJ581" s="27" t="s">
        <v>7</v>
      </c>
      <c r="HM581" s="27" t="s">
        <v>8</v>
      </c>
      <c r="HN581" s="27" t="s">
        <v>7</v>
      </c>
      <c r="HO581" s="27" t="s">
        <v>8</v>
      </c>
      <c r="KH581" s="27" t="s">
        <v>7</v>
      </c>
      <c r="KI581" s="27" t="s">
        <v>8</v>
      </c>
    </row>
    <row r="582" spans="1:403" x14ac:dyDescent="0.25">
      <c r="A582" s="7">
        <v>1.1040808032</v>
      </c>
      <c r="B582"/>
      <c r="C582"/>
      <c r="D582"/>
      <c r="E582"/>
      <c r="HG582" s="27" t="s">
        <v>8</v>
      </c>
      <c r="HH582" s="27" t="s">
        <v>7</v>
      </c>
      <c r="HI582" s="27" t="s">
        <v>8</v>
      </c>
      <c r="HJ582" s="27" t="s">
        <v>7</v>
      </c>
      <c r="HM582" s="27" t="s">
        <v>8</v>
      </c>
      <c r="HN582" s="27" t="s">
        <v>7</v>
      </c>
      <c r="HO582" s="27" t="s">
        <v>8</v>
      </c>
      <c r="KH582" s="27" t="s">
        <v>7</v>
      </c>
      <c r="KI582" s="27" t="s">
        <v>8</v>
      </c>
    </row>
    <row r="583" spans="1:403" x14ac:dyDescent="0.25">
      <c r="A583" s="7">
        <v>1.08243216</v>
      </c>
      <c r="B583"/>
      <c r="C583"/>
      <c r="D583"/>
      <c r="E583"/>
      <c r="HG583" s="27" t="s">
        <v>8</v>
      </c>
      <c r="HH583" s="27" t="s">
        <v>7</v>
      </c>
      <c r="HI583" s="27" t="s">
        <v>8</v>
      </c>
      <c r="HJ583" s="27" t="s">
        <v>7</v>
      </c>
      <c r="HM583" s="27" t="s">
        <v>8</v>
      </c>
      <c r="HN583" s="27" t="s">
        <v>7</v>
      </c>
      <c r="HO583" s="27" t="s">
        <v>8</v>
      </c>
      <c r="KH583" s="27" t="s">
        <v>7</v>
      </c>
      <c r="KI583" s="27" t="s">
        <v>8</v>
      </c>
    </row>
    <row r="584" spans="1:403" x14ac:dyDescent="0.25">
      <c r="A584" s="7">
        <v>1.0612079999999999</v>
      </c>
      <c r="B584"/>
      <c r="C584"/>
      <c r="D584"/>
      <c r="E584"/>
      <c r="HG584" s="27" t="s">
        <v>8</v>
      </c>
      <c r="HH584" s="27" t="s">
        <v>7</v>
      </c>
      <c r="HI584" s="27" t="s">
        <v>8</v>
      </c>
      <c r="HJ584" s="27" t="s">
        <v>7</v>
      </c>
      <c r="HM584" s="27" t="s">
        <v>8</v>
      </c>
      <c r="HN584" s="27" t="s">
        <v>7</v>
      </c>
      <c r="HO584" s="27" t="s">
        <v>8</v>
      </c>
      <c r="KH584" s="27" t="s">
        <v>7</v>
      </c>
      <c r="KI584" s="27" t="s">
        <v>8</v>
      </c>
    </row>
    <row r="585" spans="1:403" x14ac:dyDescent="0.25">
      <c r="A585" s="7">
        <v>1.0404</v>
      </c>
      <c r="B585"/>
      <c r="C585"/>
      <c r="D585"/>
      <c r="E585"/>
      <c r="HG585" s="27" t="s">
        <v>8</v>
      </c>
      <c r="HH585" s="27" t="s">
        <v>7</v>
      </c>
      <c r="HI585" s="27" t="s">
        <v>8</v>
      </c>
      <c r="HJ585" s="27" t="s">
        <v>7</v>
      </c>
      <c r="HM585" s="27" t="s">
        <v>8</v>
      </c>
      <c r="HN585" s="27" t="s">
        <v>7</v>
      </c>
      <c r="HO585" s="27" t="s">
        <v>8</v>
      </c>
      <c r="KH585" s="27" t="s">
        <v>7</v>
      </c>
      <c r="KI585" s="27" t="s">
        <v>8</v>
      </c>
    </row>
    <row r="586" spans="1:403" x14ac:dyDescent="0.25">
      <c r="A586" s="7">
        <v>1.02</v>
      </c>
      <c r="B586"/>
      <c r="C586"/>
      <c r="D586"/>
      <c r="E586"/>
      <c r="GY586" s="27" t="s">
        <v>8</v>
      </c>
      <c r="HG586" s="27" t="s">
        <v>8</v>
      </c>
      <c r="HH586" s="27" t="s">
        <v>7</v>
      </c>
      <c r="HI586" s="27" t="s">
        <v>8</v>
      </c>
      <c r="HJ586" s="27" t="s">
        <v>7</v>
      </c>
      <c r="HM586" s="27" t="s">
        <v>8</v>
      </c>
      <c r="HN586" s="27" t="s">
        <v>7</v>
      </c>
      <c r="HO586" s="27" t="s">
        <v>8</v>
      </c>
      <c r="KH586" s="27" t="s">
        <v>7</v>
      </c>
      <c r="KI586" s="27" t="s">
        <v>8</v>
      </c>
    </row>
    <row r="587" spans="1:403" x14ac:dyDescent="0.25">
      <c r="A587" s="7">
        <v>1</v>
      </c>
      <c r="B587"/>
      <c r="C587"/>
      <c r="D587"/>
      <c r="E587" s="29" t="s">
        <v>8</v>
      </c>
      <c r="GY587" s="27" t="s">
        <v>8</v>
      </c>
      <c r="GZ587" s="27" t="s">
        <v>7</v>
      </c>
      <c r="HG587" s="27" t="s">
        <v>8</v>
      </c>
      <c r="HH587" s="27" t="s">
        <v>7</v>
      </c>
      <c r="HI587" s="27" t="s">
        <v>8</v>
      </c>
      <c r="HJ587" s="27" t="s">
        <v>7</v>
      </c>
      <c r="HM587" s="27" t="s">
        <v>8</v>
      </c>
      <c r="HN587" s="27" t="s">
        <v>7</v>
      </c>
      <c r="KH587" s="27" t="s">
        <v>7</v>
      </c>
      <c r="KI587" s="27" t="s">
        <v>8</v>
      </c>
    </row>
    <row r="588" spans="1:403" x14ac:dyDescent="0.25">
      <c r="A588" s="7">
        <v>0.98039215686274506</v>
      </c>
      <c r="B588"/>
      <c r="C588"/>
      <c r="D588"/>
      <c r="E588"/>
      <c r="F588" s="27" t="s">
        <v>7</v>
      </c>
      <c r="GY588" s="27" t="s">
        <v>8</v>
      </c>
      <c r="GZ588" s="27" t="s">
        <v>7</v>
      </c>
      <c r="HG588" s="27" t="s">
        <v>8</v>
      </c>
      <c r="HH588" s="27" t="s">
        <v>7</v>
      </c>
      <c r="HI588" s="27" t="s">
        <v>8</v>
      </c>
      <c r="HJ588" s="27" t="s">
        <v>7</v>
      </c>
      <c r="HM588" s="27" t="s">
        <v>8</v>
      </c>
      <c r="KH588" s="27" t="s">
        <v>7</v>
      </c>
      <c r="KI588" s="27" t="s">
        <v>8</v>
      </c>
    </row>
    <row r="589" spans="1:403" x14ac:dyDescent="0.25">
      <c r="A589" s="7">
        <v>0.96116878123798544</v>
      </c>
      <c r="B589"/>
      <c r="C589"/>
      <c r="D589"/>
      <c r="E589"/>
      <c r="F589" s="27" t="s">
        <v>7</v>
      </c>
      <c r="GY589" s="27" t="s">
        <v>8</v>
      </c>
      <c r="GZ589" s="27" t="s">
        <v>7</v>
      </c>
      <c r="HG589" s="27" t="s">
        <v>8</v>
      </c>
      <c r="HH589" s="27" t="s">
        <v>7</v>
      </c>
      <c r="HI589" s="27" t="s">
        <v>8</v>
      </c>
      <c r="HJ589" s="27" t="s">
        <v>7</v>
      </c>
      <c r="HM589" s="27" t="s">
        <v>8</v>
      </c>
      <c r="KH589" s="27" t="s">
        <v>7</v>
      </c>
      <c r="KI589" s="27" t="s">
        <v>8</v>
      </c>
    </row>
    <row r="590" spans="1:403" x14ac:dyDescent="0.25">
      <c r="A590" s="7">
        <v>0.94232233454704462</v>
      </c>
      <c r="B590"/>
      <c r="C590"/>
      <c r="D590"/>
      <c r="E590"/>
      <c r="F590" s="27" t="s">
        <v>7</v>
      </c>
      <c r="GY590" s="27" t="s">
        <v>8</v>
      </c>
      <c r="GZ590" s="27" t="s">
        <v>7</v>
      </c>
      <c r="HC590" s="27" t="s">
        <v>8</v>
      </c>
      <c r="HG590" s="27" t="s">
        <v>8</v>
      </c>
      <c r="HH590" s="27" t="s">
        <v>7</v>
      </c>
      <c r="HI590" s="27" t="s">
        <v>8</v>
      </c>
      <c r="HJ590" s="27" t="s">
        <v>7</v>
      </c>
      <c r="HM590" s="27" t="s">
        <v>8</v>
      </c>
      <c r="KH590" s="27" t="s">
        <v>7</v>
      </c>
      <c r="KI590" s="27" t="s">
        <v>8</v>
      </c>
    </row>
    <row r="591" spans="1:403" x14ac:dyDescent="0.25">
      <c r="A591" s="7">
        <v>0.92384542602651432</v>
      </c>
      <c r="B591"/>
      <c r="C591"/>
      <c r="D591"/>
      <c r="E591"/>
      <c r="F591" s="27" t="s">
        <v>7</v>
      </c>
      <c r="GY591" s="27" t="s">
        <v>8</v>
      </c>
      <c r="GZ591" s="27" t="s">
        <v>7</v>
      </c>
      <c r="HC591" s="27" t="s">
        <v>8</v>
      </c>
      <c r="HD591" s="27" t="s">
        <v>7</v>
      </c>
      <c r="HG591" s="27" t="s">
        <v>8</v>
      </c>
      <c r="HH591" s="27" t="s">
        <v>7</v>
      </c>
      <c r="HJ591" s="27" t="s">
        <v>7</v>
      </c>
      <c r="HM591" s="27" t="s">
        <v>8</v>
      </c>
      <c r="KH591" s="27" t="s">
        <v>7</v>
      </c>
      <c r="KI591" s="27" t="s">
        <v>8</v>
      </c>
    </row>
    <row r="592" spans="1:403" x14ac:dyDescent="0.25">
      <c r="A592" s="7">
        <v>0.90573080982991594</v>
      </c>
      <c r="B592"/>
      <c r="C592"/>
      <c r="D592"/>
      <c r="E592"/>
      <c r="F592" s="27" t="s">
        <v>7</v>
      </c>
      <c r="GY592" s="27" t="s">
        <v>8</v>
      </c>
      <c r="GZ592" s="27" t="s">
        <v>7</v>
      </c>
      <c r="HC592" s="27" t="s">
        <v>8</v>
      </c>
      <c r="HD592" s="27" t="s">
        <v>7</v>
      </c>
      <c r="HG592" s="27" t="s">
        <v>8</v>
      </c>
      <c r="HJ592" s="27" t="s">
        <v>7</v>
      </c>
      <c r="HK592" s="27" t="s">
        <v>8</v>
      </c>
      <c r="HM592" s="27" t="s">
        <v>8</v>
      </c>
      <c r="KH592" s="27" t="s">
        <v>7</v>
      </c>
    </row>
    <row r="593" spans="1:221" x14ac:dyDescent="0.25">
      <c r="A593" s="7">
        <v>0.8879713821861922</v>
      </c>
      <c r="B593"/>
      <c r="C593"/>
      <c r="D593"/>
      <c r="E593"/>
      <c r="F593" s="27" t="s">
        <v>7</v>
      </c>
      <c r="GY593" s="27" t="s">
        <v>8</v>
      </c>
      <c r="GZ593" s="27" t="s">
        <v>7</v>
      </c>
      <c r="HC593" s="27" t="s">
        <v>8</v>
      </c>
      <c r="HD593" s="27" t="s">
        <v>7</v>
      </c>
      <c r="HE593" s="27" t="s">
        <v>8</v>
      </c>
      <c r="HG593" s="27" t="s">
        <v>8</v>
      </c>
      <c r="HJ593" s="27" t="s">
        <v>7</v>
      </c>
      <c r="HK593" s="27" t="s">
        <v>8</v>
      </c>
      <c r="HL593" s="27" t="s">
        <v>7</v>
      </c>
      <c r="HM593" s="27" t="s">
        <v>8</v>
      </c>
    </row>
    <row r="594" spans="1:221" x14ac:dyDescent="0.25">
      <c r="A594" s="7">
        <v>0.87056017861391399</v>
      </c>
      <c r="B594"/>
      <c r="C594"/>
      <c r="D594"/>
      <c r="E594"/>
      <c r="F594" s="27" t="s">
        <v>7</v>
      </c>
      <c r="GY594" s="27" t="s">
        <v>8</v>
      </c>
      <c r="GZ594" s="27" t="s">
        <v>7</v>
      </c>
      <c r="HC594" s="27" t="s">
        <v>8</v>
      </c>
      <c r="HD594" s="27" t="s">
        <v>7</v>
      </c>
      <c r="HE594" s="27" t="s">
        <v>8</v>
      </c>
      <c r="HF594" s="27" t="s">
        <v>7</v>
      </c>
      <c r="HG594" s="27" t="s">
        <v>8</v>
      </c>
      <c r="HJ594" s="27" t="s">
        <v>7</v>
      </c>
      <c r="HK594" s="27" t="s">
        <v>8</v>
      </c>
      <c r="HL594" s="27" t="s">
        <v>7</v>
      </c>
      <c r="HM594" s="27" t="s">
        <v>8</v>
      </c>
    </row>
    <row r="595" spans="1:221" x14ac:dyDescent="0.25">
      <c r="A595" s="7">
        <v>0.85349037119011173</v>
      </c>
      <c r="B595"/>
      <c r="C595"/>
      <c r="D595"/>
      <c r="E595"/>
      <c r="F595" s="27" t="s">
        <v>7</v>
      </c>
      <c r="GY595" s="27" t="s">
        <v>8</v>
      </c>
      <c r="GZ595" s="27" t="s">
        <v>7</v>
      </c>
      <c r="HC595" s="27" t="s">
        <v>8</v>
      </c>
      <c r="HD595" s="27" t="s">
        <v>7</v>
      </c>
      <c r="HE595" s="27" t="s">
        <v>8</v>
      </c>
      <c r="HF595" s="27" t="s">
        <v>7</v>
      </c>
      <c r="HG595" s="27" t="s">
        <v>8</v>
      </c>
      <c r="HJ595" s="27" t="s">
        <v>7</v>
      </c>
      <c r="HK595" s="27" t="s">
        <v>8</v>
      </c>
      <c r="HL595" s="27" t="s">
        <v>7</v>
      </c>
      <c r="HM595" s="27" t="s">
        <v>8</v>
      </c>
    </row>
    <row r="596" spans="1:221" x14ac:dyDescent="0.25">
      <c r="A596" s="7">
        <v>0.83675526587265858</v>
      </c>
      <c r="B596"/>
      <c r="C596"/>
      <c r="D596"/>
      <c r="E596"/>
      <c r="F596" s="27" t="s">
        <v>7</v>
      </c>
      <c r="GY596" s="27" t="s">
        <v>8</v>
      </c>
      <c r="GZ596" s="27" t="s">
        <v>7</v>
      </c>
      <c r="HC596" s="27" t="s">
        <v>8</v>
      </c>
      <c r="HD596" s="27" t="s">
        <v>7</v>
      </c>
      <c r="HE596" s="27" t="s">
        <v>8</v>
      </c>
      <c r="HF596" s="27" t="s">
        <v>7</v>
      </c>
      <c r="HG596" s="27" t="s">
        <v>8</v>
      </c>
      <c r="HJ596" s="27" t="s">
        <v>7</v>
      </c>
      <c r="HK596" s="27" t="s">
        <v>8</v>
      </c>
      <c r="HL596" s="27" t="s">
        <v>7</v>
      </c>
      <c r="HM596" s="27" t="s">
        <v>8</v>
      </c>
    </row>
    <row r="597" spans="1:221" x14ac:dyDescent="0.25">
      <c r="A597" s="7">
        <v>0.82034829987515545</v>
      </c>
      <c r="B597"/>
      <c r="C597"/>
      <c r="D597"/>
      <c r="E597"/>
      <c r="F597" s="27" t="s">
        <v>7</v>
      </c>
      <c r="GY597" s="27" t="s">
        <v>8</v>
      </c>
      <c r="GZ597" s="27" t="s">
        <v>7</v>
      </c>
      <c r="HC597" s="27" t="s">
        <v>8</v>
      </c>
      <c r="HD597" s="27" t="s">
        <v>7</v>
      </c>
      <c r="HE597" s="27" t="s">
        <v>8</v>
      </c>
      <c r="HF597" s="27" t="s">
        <v>7</v>
      </c>
      <c r="HG597" s="27" t="s">
        <v>8</v>
      </c>
      <c r="HJ597" s="27" t="s">
        <v>7</v>
      </c>
      <c r="HK597" s="27" t="s">
        <v>8</v>
      </c>
      <c r="HL597" s="27" t="s">
        <v>7</v>
      </c>
      <c r="HM597" s="27" t="s">
        <v>8</v>
      </c>
    </row>
    <row r="598" spans="1:221" x14ac:dyDescent="0.25">
      <c r="A598" s="7">
        <v>0.80426303909328967</v>
      </c>
      <c r="B598"/>
      <c r="C598"/>
      <c r="D598"/>
      <c r="E598"/>
      <c r="F598" s="27" t="s">
        <v>7</v>
      </c>
      <c r="GY598" s="27" t="s">
        <v>8</v>
      </c>
      <c r="GZ598" s="27" t="s">
        <v>7</v>
      </c>
      <c r="HC598" s="27" t="s">
        <v>8</v>
      </c>
      <c r="HD598" s="27" t="s">
        <v>7</v>
      </c>
      <c r="HE598" s="27" t="s">
        <v>8</v>
      </c>
      <c r="HF598" s="27" t="s">
        <v>7</v>
      </c>
      <c r="HG598" s="27" t="s">
        <v>8</v>
      </c>
      <c r="HJ598" s="27" t="s">
        <v>7</v>
      </c>
      <c r="HK598" s="27" t="s">
        <v>8</v>
      </c>
      <c r="HL598" s="27" t="s">
        <v>7</v>
      </c>
      <c r="HM598" s="27" t="s">
        <v>8</v>
      </c>
    </row>
    <row r="599" spans="1:221" x14ac:dyDescent="0.25">
      <c r="A599" s="7">
        <v>0.78849317558165644</v>
      </c>
      <c r="B599"/>
      <c r="C599"/>
      <c r="D599"/>
      <c r="E599"/>
      <c r="F599" s="27" t="s">
        <v>7</v>
      </c>
      <c r="GY599" s="27" t="s">
        <v>8</v>
      </c>
      <c r="GZ599" s="27" t="s">
        <v>7</v>
      </c>
      <c r="HC599" s="27" t="s">
        <v>8</v>
      </c>
      <c r="HD599" s="27" t="s">
        <v>7</v>
      </c>
      <c r="HE599" s="27" t="s">
        <v>8</v>
      </c>
      <c r="HF599" s="27" t="s">
        <v>7</v>
      </c>
      <c r="HG599" s="27" t="s">
        <v>8</v>
      </c>
      <c r="HJ599" s="27" t="s">
        <v>7</v>
      </c>
      <c r="HK599" s="27" t="s">
        <v>8</v>
      </c>
      <c r="HL599" s="27" t="s">
        <v>7</v>
      </c>
      <c r="HM599" s="27" t="s">
        <v>8</v>
      </c>
    </row>
    <row r="600" spans="1:221" x14ac:dyDescent="0.25">
      <c r="A600" s="7">
        <v>0.77303252508005538</v>
      </c>
      <c r="B600"/>
      <c r="C600"/>
      <c r="D600"/>
      <c r="E600"/>
      <c r="F600" s="27" t="s">
        <v>7</v>
      </c>
      <c r="GY600" s="27" t="s">
        <v>8</v>
      </c>
      <c r="GZ600" s="27" t="s">
        <v>7</v>
      </c>
      <c r="HC600" s="27" t="s">
        <v>8</v>
      </c>
      <c r="HD600" s="27" t="s">
        <v>7</v>
      </c>
      <c r="HE600" s="27" t="s">
        <v>8</v>
      </c>
      <c r="HF600" s="27" t="s">
        <v>7</v>
      </c>
      <c r="HG600" s="27" t="s">
        <v>8</v>
      </c>
      <c r="HJ600" s="27" t="s">
        <v>7</v>
      </c>
      <c r="HK600" s="27" t="s">
        <v>8</v>
      </c>
      <c r="HL600" s="27" t="s">
        <v>7</v>
      </c>
      <c r="HM600" s="27" t="s">
        <v>8</v>
      </c>
    </row>
    <row r="601" spans="1:221" x14ac:dyDescent="0.25">
      <c r="A601" s="7">
        <v>0.75787502458828959</v>
      </c>
      <c r="B601"/>
      <c r="C601"/>
      <c r="D601"/>
      <c r="E601"/>
      <c r="F601" s="27" t="s">
        <v>7</v>
      </c>
      <c r="GY601" s="27" t="s">
        <v>8</v>
      </c>
      <c r="GZ601" s="27" t="s">
        <v>7</v>
      </c>
      <c r="HC601" s="27" t="s">
        <v>8</v>
      </c>
      <c r="HD601" s="27" t="s">
        <v>7</v>
      </c>
      <c r="HE601" s="27" t="s">
        <v>8</v>
      </c>
      <c r="HF601" s="27" t="s">
        <v>7</v>
      </c>
      <c r="HJ601" s="27" t="s">
        <v>7</v>
      </c>
      <c r="HK601" s="27" t="s">
        <v>8</v>
      </c>
      <c r="HL601" s="27" t="s">
        <v>7</v>
      </c>
      <c r="HM601" s="27" t="s">
        <v>8</v>
      </c>
    </row>
    <row r="602" spans="1:221" x14ac:dyDescent="0.25">
      <c r="A602" s="7">
        <v>0.74301472998851925</v>
      </c>
      <c r="B602"/>
      <c r="C602"/>
      <c r="D602"/>
      <c r="E602"/>
      <c r="F602" s="27" t="s">
        <v>7</v>
      </c>
      <c r="GY602" s="27" t="s">
        <v>8</v>
      </c>
      <c r="GZ602" s="27" t="s">
        <v>7</v>
      </c>
      <c r="HA602" s="27" t="s">
        <v>8</v>
      </c>
      <c r="HC602" s="27" t="s">
        <v>8</v>
      </c>
      <c r="HD602" s="27" t="s">
        <v>7</v>
      </c>
      <c r="HE602" s="27" t="s">
        <v>8</v>
      </c>
      <c r="HJ602" s="27" t="s">
        <v>7</v>
      </c>
      <c r="HK602" s="27" t="s">
        <v>8</v>
      </c>
      <c r="HL602" s="27" t="s">
        <v>7</v>
      </c>
      <c r="HM602" s="27" t="s">
        <v>8</v>
      </c>
    </row>
    <row r="603" spans="1:221" x14ac:dyDescent="0.25">
      <c r="A603" s="7">
        <v>0.72844581371423456</v>
      </c>
      <c r="B603"/>
      <c r="C603"/>
      <c r="D603"/>
      <c r="E603"/>
      <c r="F603" s="27" t="s">
        <v>7</v>
      </c>
      <c r="GY603" s="27" t="s">
        <v>8</v>
      </c>
      <c r="GZ603" s="27" t="s">
        <v>7</v>
      </c>
      <c r="HA603" s="27" t="s">
        <v>8</v>
      </c>
      <c r="HB603" s="27" t="s">
        <v>7</v>
      </c>
      <c r="HC603" s="27" t="s">
        <v>8</v>
      </c>
      <c r="HD603" s="27" t="s">
        <v>7</v>
      </c>
      <c r="HE603" s="27" t="s">
        <v>8</v>
      </c>
      <c r="HJ603" s="27" t="s">
        <v>7</v>
      </c>
      <c r="HK603" s="27" t="s">
        <v>8</v>
      </c>
      <c r="HL603" s="27" t="s">
        <v>7</v>
      </c>
    </row>
    <row r="604" spans="1:221" x14ac:dyDescent="0.25">
      <c r="A604" s="7">
        <v>0.71416256246493581</v>
      </c>
      <c r="B604"/>
      <c r="C604"/>
      <c r="D604"/>
      <c r="E604"/>
      <c r="F604" s="27" t="s">
        <v>7</v>
      </c>
      <c r="GY604" s="27" t="s">
        <v>8</v>
      </c>
      <c r="GZ604" s="27" t="s">
        <v>7</v>
      </c>
      <c r="HA604" s="27" t="s">
        <v>8</v>
      </c>
      <c r="HB604" s="27" t="s">
        <v>7</v>
      </c>
      <c r="HC604" s="27" t="s">
        <v>8</v>
      </c>
      <c r="HD604" s="27" t="s">
        <v>7</v>
      </c>
      <c r="HE604" s="27" t="s">
        <v>8</v>
      </c>
      <c r="HJ604" s="27" t="s">
        <v>7</v>
      </c>
      <c r="HK604" s="27" t="s">
        <v>8</v>
      </c>
    </row>
    <row r="605" spans="1:221" x14ac:dyDescent="0.25">
      <c r="A605" s="7">
        <v>0.7001593749656233</v>
      </c>
      <c r="B605"/>
      <c r="C605"/>
      <c r="D605"/>
      <c r="E605"/>
      <c r="F605" s="27" t="s">
        <v>7</v>
      </c>
      <c r="GY605" s="27" t="s">
        <v>8</v>
      </c>
      <c r="GZ605" s="27" t="s">
        <v>7</v>
      </c>
      <c r="HA605" s="27" t="s">
        <v>8</v>
      </c>
      <c r="HB605" s="27" t="s">
        <v>7</v>
      </c>
      <c r="HC605" s="27" t="s">
        <v>8</v>
      </c>
      <c r="HD605" s="27" t="s">
        <v>7</v>
      </c>
      <c r="HE605" s="27" t="s">
        <v>8</v>
      </c>
      <c r="HJ605" s="27" t="s">
        <v>7</v>
      </c>
      <c r="HK605" s="27" t="s">
        <v>8</v>
      </c>
    </row>
    <row r="606" spans="1:221" x14ac:dyDescent="0.25">
      <c r="A606" s="7">
        <v>0.68643075977021883</v>
      </c>
      <c r="B606"/>
      <c r="C606"/>
      <c r="D606"/>
      <c r="E606"/>
      <c r="F606" s="27" t="s">
        <v>7</v>
      </c>
      <c r="GY606" s="27" t="s">
        <v>8</v>
      </c>
      <c r="GZ606" s="27" t="s">
        <v>7</v>
      </c>
      <c r="HA606" s="27" t="s">
        <v>8</v>
      </c>
      <c r="HB606" s="27" t="s">
        <v>7</v>
      </c>
      <c r="HC606" s="27" t="s">
        <v>8</v>
      </c>
      <c r="HD606" s="27" t="s">
        <v>7</v>
      </c>
      <c r="HJ606" s="27" t="s">
        <v>7</v>
      </c>
      <c r="HK606" s="27" t="s">
        <v>8</v>
      </c>
    </row>
    <row r="607" spans="1:221" x14ac:dyDescent="0.25">
      <c r="A607" s="7">
        <v>0.67297133310805768</v>
      </c>
      <c r="B607"/>
      <c r="C607"/>
      <c r="D607"/>
      <c r="E607"/>
      <c r="F607" s="27" t="s">
        <v>7</v>
      </c>
      <c r="GY607" s="27" t="s">
        <v>8</v>
      </c>
      <c r="GZ607" s="27" t="s">
        <v>7</v>
      </c>
      <c r="HA607" s="27" t="s">
        <v>8</v>
      </c>
      <c r="HB607" s="27" t="s">
        <v>7</v>
      </c>
      <c r="HC607" s="27" t="s">
        <v>8</v>
      </c>
      <c r="HJ607" s="27" t="s">
        <v>7</v>
      </c>
      <c r="HK607" s="27" t="s">
        <v>8</v>
      </c>
    </row>
    <row r="608" spans="1:221" x14ac:dyDescent="0.25">
      <c r="A608" s="7">
        <v>0.65977581677260566</v>
      </c>
      <c r="B608"/>
      <c r="C608"/>
      <c r="D608"/>
      <c r="E608"/>
      <c r="F608" s="27" t="s">
        <v>7</v>
      </c>
      <c r="GY608" s="27" t="s">
        <v>8</v>
      </c>
      <c r="GZ608" s="27" t="s">
        <v>7</v>
      </c>
      <c r="HA608" s="27" t="s">
        <v>8</v>
      </c>
      <c r="HB608" s="27" t="s">
        <v>7</v>
      </c>
      <c r="HC608" s="27" t="s">
        <v>8</v>
      </c>
      <c r="HJ608" s="27" t="s">
        <v>7</v>
      </c>
      <c r="HK608" s="27" t="s">
        <v>8</v>
      </c>
    </row>
    <row r="609" spans="1:218" x14ac:dyDescent="0.25">
      <c r="A609" s="7">
        <v>0.64683903605157422</v>
      </c>
      <c r="B609"/>
      <c r="C609"/>
      <c r="D609"/>
      <c r="E609"/>
      <c r="F609" s="27" t="s">
        <v>7</v>
      </c>
      <c r="GY609" s="27" t="s">
        <v>8</v>
      </c>
      <c r="GZ609" s="27" t="s">
        <v>7</v>
      </c>
      <c r="HA609" s="27" t="s">
        <v>8</v>
      </c>
      <c r="HB609" s="27" t="s">
        <v>7</v>
      </c>
      <c r="HJ609" s="27" t="s">
        <v>7</v>
      </c>
    </row>
    <row r="610" spans="1:218" x14ac:dyDescent="0.25">
      <c r="A610" s="7">
        <v>0.63415591769762181</v>
      </c>
      <c r="B610"/>
      <c r="C610"/>
      <c r="D610"/>
      <c r="E610"/>
      <c r="F610" s="27" t="s">
        <v>7</v>
      </c>
      <c r="FW610" s="27" t="s">
        <v>8</v>
      </c>
      <c r="GY610" s="27" t="s">
        <v>8</v>
      </c>
      <c r="GZ610" s="27" t="s">
        <v>7</v>
      </c>
      <c r="HA610" s="27" t="s">
        <v>8</v>
      </c>
    </row>
    <row r="611" spans="1:218" x14ac:dyDescent="0.25">
      <c r="A611" s="7">
        <v>0.62172148793884496</v>
      </c>
      <c r="B611"/>
      <c r="C611"/>
      <c r="D611"/>
      <c r="E611"/>
      <c r="F611" s="27" t="s">
        <v>7</v>
      </c>
      <c r="FW611" s="27" t="s">
        <v>8</v>
      </c>
      <c r="FX611" s="27" t="s">
        <v>7</v>
      </c>
      <c r="GY611" s="27" t="s">
        <v>8</v>
      </c>
      <c r="GZ611" s="27" t="s">
        <v>7</v>
      </c>
    </row>
    <row r="612" spans="1:218" x14ac:dyDescent="0.25">
      <c r="A612" s="7">
        <v>0.60953087052827937</v>
      </c>
      <c r="B612"/>
      <c r="C612"/>
      <c r="D612"/>
      <c r="E612"/>
      <c r="F612" s="27" t="s">
        <v>7</v>
      </c>
      <c r="FW612" s="27" t="s">
        <v>8</v>
      </c>
      <c r="FX612" s="27" t="s">
        <v>7</v>
      </c>
      <c r="GY612" s="27" t="s">
        <v>8</v>
      </c>
    </row>
    <row r="613" spans="1:218" x14ac:dyDescent="0.25">
      <c r="A613" s="7">
        <v>0.59757928483164646</v>
      </c>
      <c r="B613"/>
      <c r="C613"/>
      <c r="D613"/>
      <c r="E613"/>
      <c r="F613" s="27" t="s">
        <v>7</v>
      </c>
      <c r="FW613" s="27" t="s">
        <v>8</v>
      </c>
      <c r="FX613" s="27" t="s">
        <v>7</v>
      </c>
      <c r="GY613" s="27" t="s">
        <v>8</v>
      </c>
    </row>
    <row r="614" spans="1:218" x14ac:dyDescent="0.25">
      <c r="A614" s="7">
        <v>0.58586204395259456</v>
      </c>
      <c r="B614"/>
      <c r="C614"/>
      <c r="D614"/>
      <c r="E614"/>
      <c r="F614" s="27" t="s">
        <v>7</v>
      </c>
      <c r="FW614" s="27" t="s">
        <v>8</v>
      </c>
      <c r="FX614" s="27" t="s">
        <v>7</v>
      </c>
      <c r="GY614" s="27" t="s">
        <v>8</v>
      </c>
    </row>
    <row r="615" spans="1:218" x14ac:dyDescent="0.25">
      <c r="A615" s="7">
        <v>0.57437455289470052</v>
      </c>
      <c r="B615"/>
      <c r="C615"/>
      <c r="D615"/>
      <c r="E615"/>
      <c r="F615" s="27" t="s">
        <v>7</v>
      </c>
      <c r="FW615" s="27" t="s">
        <v>8</v>
      </c>
      <c r="FX615" s="27" t="s">
        <v>7</v>
      </c>
      <c r="GY615" s="27" t="s">
        <v>8</v>
      </c>
    </row>
    <row r="616" spans="1:218" x14ac:dyDescent="0.25">
      <c r="A616" s="7">
        <v>0.56311230675951029</v>
      </c>
      <c r="B616"/>
      <c r="C616"/>
      <c r="D616"/>
      <c r="E616"/>
      <c r="F616" s="27" t="s">
        <v>7</v>
      </c>
      <c r="FW616" s="27" t="s">
        <v>8</v>
      </c>
      <c r="FX616" s="27" t="s">
        <v>7</v>
      </c>
      <c r="GY616" s="27" t="s">
        <v>8</v>
      </c>
    </row>
    <row r="617" spans="1:218" x14ac:dyDescent="0.25">
      <c r="A617" s="7">
        <v>0.55207088897991208</v>
      </c>
      <c r="B617"/>
      <c r="C617"/>
      <c r="D617"/>
      <c r="E617"/>
      <c r="F617" s="27" t="s">
        <v>7</v>
      </c>
      <c r="FW617" s="27" t="s">
        <v>8</v>
      </c>
      <c r="FX617" s="27" t="s">
        <v>7</v>
      </c>
      <c r="GY617" s="27" t="s">
        <v>8</v>
      </c>
    </row>
    <row r="618" spans="1:218" x14ac:dyDescent="0.25">
      <c r="A618" s="7">
        <v>0.54124596958814908</v>
      </c>
      <c r="B618"/>
      <c r="C618"/>
      <c r="D618"/>
      <c r="E618"/>
      <c r="F618" s="27" t="s">
        <v>7</v>
      </c>
      <c r="CI618" s="27" t="s">
        <v>8</v>
      </c>
      <c r="FW618" s="27" t="s">
        <v>8</v>
      </c>
      <c r="FX618" s="27" t="s">
        <v>7</v>
      </c>
      <c r="GE618" s="27" t="s">
        <v>8</v>
      </c>
      <c r="GY618" s="27" t="s">
        <v>8</v>
      </c>
    </row>
    <row r="619" spans="1:218" x14ac:dyDescent="0.25">
      <c r="A619" s="7">
        <v>0.53063330351779314</v>
      </c>
      <c r="B619"/>
      <c r="C619"/>
      <c r="D619"/>
      <c r="E619"/>
      <c r="F619" s="27" t="s">
        <v>7</v>
      </c>
      <c r="CI619" s="27" t="s">
        <v>8</v>
      </c>
      <c r="CJ619" s="27" t="s">
        <v>7</v>
      </c>
      <c r="FW619" s="27" t="s">
        <v>8</v>
      </c>
      <c r="FX619" s="27" t="s">
        <v>7</v>
      </c>
      <c r="GE619" s="27" t="s">
        <v>8</v>
      </c>
      <c r="GF619" s="27" t="s">
        <v>7</v>
      </c>
      <c r="GY619" s="27" t="s">
        <v>8</v>
      </c>
    </row>
    <row r="620" spans="1:218" x14ac:dyDescent="0.25">
      <c r="A620" s="7">
        <v>0.52022872893901284</v>
      </c>
      <c r="B620"/>
      <c r="C620"/>
      <c r="D620"/>
      <c r="E620"/>
      <c r="F620" s="27" t="s">
        <v>7</v>
      </c>
      <c r="S620" s="27" t="s">
        <v>8</v>
      </c>
      <c r="BK620" s="27" t="s">
        <v>8</v>
      </c>
      <c r="CI620" s="27" t="s">
        <v>8</v>
      </c>
      <c r="CJ620" s="27" t="s">
        <v>7</v>
      </c>
      <c r="FW620" s="27" t="s">
        <v>8</v>
      </c>
      <c r="FX620" s="27" t="s">
        <v>7</v>
      </c>
      <c r="GE620" s="27" t="s">
        <v>8</v>
      </c>
      <c r="GF620" s="27" t="s">
        <v>7</v>
      </c>
      <c r="GY620" s="27" t="s">
        <v>8</v>
      </c>
    </row>
    <row r="621" spans="1:218" x14ac:dyDescent="0.25">
      <c r="A621" s="7">
        <v>0.51002816562648323</v>
      </c>
      <c r="B621"/>
      <c r="C621"/>
      <c r="D621"/>
      <c r="E621"/>
      <c r="F621" s="27" t="s">
        <v>7</v>
      </c>
      <c r="S621" s="27" t="s">
        <v>8</v>
      </c>
      <c r="T621" s="27" t="s">
        <v>7</v>
      </c>
      <c r="BK621" s="27" t="s">
        <v>8</v>
      </c>
      <c r="BL621" s="27" t="s">
        <v>7</v>
      </c>
      <c r="CI621" s="27" t="s">
        <v>8</v>
      </c>
      <c r="CJ621" s="27" t="s">
        <v>7</v>
      </c>
      <c r="FW621" s="27" t="s">
        <v>8</v>
      </c>
      <c r="FX621" s="27" t="s">
        <v>7</v>
      </c>
      <c r="GE621" s="27" t="s">
        <v>8</v>
      </c>
      <c r="GF621" s="27" t="s">
        <v>7</v>
      </c>
      <c r="GY621" s="27" t="s">
        <v>8</v>
      </c>
    </row>
    <row r="622" spans="1:218" x14ac:dyDescent="0.25">
      <c r="A622" s="7">
        <v>0.50002761335929735</v>
      </c>
      <c r="B622"/>
      <c r="C622"/>
      <c r="D622"/>
      <c r="E622"/>
      <c r="F622" s="27" t="s">
        <v>7</v>
      </c>
      <c r="S622" s="27" t="s">
        <v>8</v>
      </c>
      <c r="T622" s="27" t="s">
        <v>7</v>
      </c>
      <c r="BK622" s="27" t="s">
        <v>8</v>
      </c>
      <c r="BL622" s="27" t="s">
        <v>7</v>
      </c>
      <c r="CI622" s="27" t="s">
        <v>8</v>
      </c>
      <c r="CJ622" s="27" t="s">
        <v>7</v>
      </c>
      <c r="FW622" s="27" t="s">
        <v>8</v>
      </c>
      <c r="FX622" s="27" t="s">
        <v>7</v>
      </c>
      <c r="GE622" s="27" t="s">
        <v>8</v>
      </c>
      <c r="GF622" s="27" t="s">
        <v>7</v>
      </c>
      <c r="GY622" s="27" t="s">
        <v>8</v>
      </c>
    </row>
    <row r="623" spans="1:218" x14ac:dyDescent="0.25">
      <c r="A623" s="7">
        <v>0.49022315035225228</v>
      </c>
      <c r="B623"/>
      <c r="C623"/>
      <c r="D623"/>
      <c r="E623"/>
      <c r="F623" s="27" t="s">
        <v>7</v>
      </c>
      <c r="S623" s="27" t="s">
        <v>8</v>
      </c>
      <c r="T623" s="27" t="s">
        <v>7</v>
      </c>
      <c r="BK623" s="27" t="s">
        <v>8</v>
      </c>
      <c r="BL623" s="27" t="s">
        <v>7</v>
      </c>
      <c r="CG623" s="27" t="s">
        <v>8</v>
      </c>
      <c r="CI623" s="27" t="s">
        <v>8</v>
      </c>
      <c r="CJ623" s="27" t="s">
        <v>7</v>
      </c>
      <c r="FW623" s="27" t="s">
        <v>8</v>
      </c>
      <c r="FX623" s="27" t="s">
        <v>7</v>
      </c>
      <c r="GE623" s="27" t="s">
        <v>8</v>
      </c>
      <c r="GF623" s="27" t="s">
        <v>7</v>
      </c>
      <c r="GY623" s="27" t="s">
        <v>8</v>
      </c>
    </row>
    <row r="624" spans="1:218" x14ac:dyDescent="0.25">
      <c r="A624" s="7">
        <v>0.48061093171789437</v>
      </c>
      <c r="B624"/>
      <c r="C624"/>
      <c r="D624"/>
      <c r="E624"/>
      <c r="F624" s="27" t="s">
        <v>7</v>
      </c>
      <c r="G624" s="27" t="s">
        <v>8</v>
      </c>
      <c r="S624" s="27" t="s">
        <v>8</v>
      </c>
      <c r="T624" s="27" t="s">
        <v>7</v>
      </c>
      <c r="BK624" s="27" t="s">
        <v>8</v>
      </c>
      <c r="BL624" s="27" t="s">
        <v>7</v>
      </c>
      <c r="CG624" s="27" t="s">
        <v>8</v>
      </c>
      <c r="CH624" s="27" t="s">
        <v>7</v>
      </c>
      <c r="CI624" s="27" t="s">
        <v>8</v>
      </c>
      <c r="CJ624" s="27" t="s">
        <v>7</v>
      </c>
      <c r="FW624" s="27" t="s">
        <v>8</v>
      </c>
      <c r="FX624" s="27" t="s">
        <v>7</v>
      </c>
      <c r="GE624" s="27" t="s">
        <v>8</v>
      </c>
      <c r="GF624" s="27" t="s">
        <v>7</v>
      </c>
      <c r="GS624" s="27" t="s">
        <v>8</v>
      </c>
      <c r="GY624" s="27" t="s">
        <v>8</v>
      </c>
    </row>
    <row r="625" spans="1:207" x14ac:dyDescent="0.25">
      <c r="A625" s="7">
        <v>0.47118718795871994</v>
      </c>
      <c r="B625"/>
      <c r="C625"/>
      <c r="D625"/>
      <c r="E625"/>
      <c r="F625" s="27" t="s">
        <v>7</v>
      </c>
      <c r="G625" s="27" t="s">
        <v>8</v>
      </c>
      <c r="H625" s="27" t="s">
        <v>7</v>
      </c>
      <c r="S625" s="27" t="s">
        <v>8</v>
      </c>
      <c r="T625" s="27" t="s">
        <v>7</v>
      </c>
      <c r="BK625" s="27" t="s">
        <v>8</v>
      </c>
      <c r="BL625" s="27" t="s">
        <v>7</v>
      </c>
      <c r="CG625" s="27" t="s">
        <v>8</v>
      </c>
      <c r="CH625" s="27" t="s">
        <v>7</v>
      </c>
      <c r="CI625" s="27" t="s">
        <v>8</v>
      </c>
      <c r="CJ625" s="27" t="s">
        <v>7</v>
      </c>
      <c r="FW625" s="27" t="s">
        <v>8</v>
      </c>
      <c r="FX625" s="27" t="s">
        <v>7</v>
      </c>
      <c r="GE625" s="27" t="s">
        <v>8</v>
      </c>
      <c r="GF625" s="27" t="s">
        <v>7</v>
      </c>
      <c r="GM625" s="27" t="s">
        <v>8</v>
      </c>
      <c r="GQ625" s="27" t="s">
        <v>8</v>
      </c>
      <c r="GS625" s="27" t="s">
        <v>8</v>
      </c>
      <c r="GT625" s="27" t="s">
        <v>7</v>
      </c>
      <c r="GY625" s="27" t="s">
        <v>8</v>
      </c>
    </row>
    <row r="626" spans="1:207" x14ac:dyDescent="0.25">
      <c r="A626" s="7">
        <v>0.46194822348894116</v>
      </c>
      <c r="B626"/>
      <c r="C626"/>
      <c r="D626"/>
      <c r="E626"/>
      <c r="F626" s="27" t="s">
        <v>7</v>
      </c>
      <c r="G626" s="27" t="s">
        <v>8</v>
      </c>
      <c r="H626" s="27" t="s">
        <v>7</v>
      </c>
      <c r="S626" s="27" t="s">
        <v>8</v>
      </c>
      <c r="T626" s="27" t="s">
        <v>7</v>
      </c>
      <c r="BK626" s="27" t="s">
        <v>8</v>
      </c>
      <c r="BL626" s="27" t="s">
        <v>7</v>
      </c>
      <c r="CG626" s="27" t="s">
        <v>8</v>
      </c>
      <c r="CH626" s="27" t="s">
        <v>7</v>
      </c>
      <c r="CI626" s="27" t="s">
        <v>8</v>
      </c>
      <c r="CJ626" s="27" t="s">
        <v>7</v>
      </c>
      <c r="EK626" s="27" t="s">
        <v>8</v>
      </c>
      <c r="FW626" s="27" t="s">
        <v>8</v>
      </c>
      <c r="FX626" s="27" t="s">
        <v>7</v>
      </c>
      <c r="GE626" s="27" t="s">
        <v>8</v>
      </c>
      <c r="GF626" s="27" t="s">
        <v>7</v>
      </c>
      <c r="GM626" s="27" t="s">
        <v>8</v>
      </c>
      <c r="GN626" s="27" t="s">
        <v>7</v>
      </c>
      <c r="GQ626" s="27" t="s">
        <v>8</v>
      </c>
      <c r="GR626" s="27" t="s">
        <v>7</v>
      </c>
      <c r="GS626" s="27" t="s">
        <v>8</v>
      </c>
      <c r="GT626" s="27" t="s">
        <v>7</v>
      </c>
      <c r="GY626" s="27" t="s">
        <v>8</v>
      </c>
    </row>
    <row r="627" spans="1:207" x14ac:dyDescent="0.25">
      <c r="A627" s="7">
        <v>0.45289041518523643</v>
      </c>
      <c r="B627"/>
      <c r="C627"/>
      <c r="D627"/>
      <c r="E627"/>
      <c r="F627" s="27" t="s">
        <v>7</v>
      </c>
      <c r="G627" s="27" t="s">
        <v>8</v>
      </c>
      <c r="H627" s="27" t="s">
        <v>7</v>
      </c>
      <c r="S627" s="27" t="s">
        <v>8</v>
      </c>
      <c r="T627" s="27" t="s">
        <v>7</v>
      </c>
      <c r="BK627" s="27" t="s">
        <v>8</v>
      </c>
      <c r="BL627" s="27" t="s">
        <v>7</v>
      </c>
      <c r="CG627" s="27" t="s">
        <v>8</v>
      </c>
      <c r="CH627" s="27" t="s">
        <v>7</v>
      </c>
      <c r="CI627" s="27" t="s">
        <v>8</v>
      </c>
      <c r="CJ627" s="27" t="s">
        <v>7</v>
      </c>
      <c r="EK627" s="27" t="s">
        <v>8</v>
      </c>
      <c r="EL627" s="27" t="s">
        <v>7</v>
      </c>
      <c r="FW627" s="27" t="s">
        <v>8</v>
      </c>
      <c r="FX627" s="27" t="s">
        <v>7</v>
      </c>
      <c r="GE627" s="27" t="s">
        <v>8</v>
      </c>
      <c r="GF627" s="27" t="s">
        <v>7</v>
      </c>
      <c r="GM627" s="27" t="s">
        <v>8</v>
      </c>
      <c r="GN627" s="27" t="s">
        <v>7</v>
      </c>
      <c r="GQ627" s="27" t="s">
        <v>8</v>
      </c>
      <c r="GR627" s="27" t="s">
        <v>7</v>
      </c>
      <c r="GS627" s="27" t="s">
        <v>8</v>
      </c>
      <c r="GT627" s="27" t="s">
        <v>7</v>
      </c>
      <c r="GU627" s="27" t="s">
        <v>8</v>
      </c>
      <c r="GY627" s="27" t="s">
        <v>8</v>
      </c>
    </row>
    <row r="628" spans="1:207" x14ac:dyDescent="0.25">
      <c r="A628" s="7">
        <v>0.44401021096591808</v>
      </c>
      <c r="B628"/>
      <c r="C628"/>
      <c r="D628"/>
      <c r="E628"/>
      <c r="F628" s="27" t="s">
        <v>7</v>
      </c>
      <c r="G628" s="27" t="s">
        <v>8</v>
      </c>
      <c r="H628" s="27" t="s">
        <v>7</v>
      </c>
      <c r="S628" s="27" t="s">
        <v>8</v>
      </c>
      <c r="T628" s="27" t="s">
        <v>7</v>
      </c>
      <c r="AG628" s="27" t="s">
        <v>8</v>
      </c>
      <c r="BK628" s="27" t="s">
        <v>8</v>
      </c>
      <c r="BL628" s="27" t="s">
        <v>7</v>
      </c>
      <c r="CG628" s="27" t="s">
        <v>8</v>
      </c>
      <c r="CH628" s="27" t="s">
        <v>7</v>
      </c>
      <c r="CI628" s="27" t="s">
        <v>8</v>
      </c>
      <c r="CJ628" s="27" t="s">
        <v>7</v>
      </c>
      <c r="EK628" s="27" t="s">
        <v>8</v>
      </c>
      <c r="EL628" s="27" t="s">
        <v>7</v>
      </c>
      <c r="FW628" s="27" t="s">
        <v>8</v>
      </c>
      <c r="FX628" s="27" t="s">
        <v>7</v>
      </c>
      <c r="GE628" s="27" t="s">
        <v>8</v>
      </c>
      <c r="GF628" s="27" t="s">
        <v>7</v>
      </c>
      <c r="GM628" s="27" t="s">
        <v>8</v>
      </c>
      <c r="GN628" s="27" t="s">
        <v>7</v>
      </c>
      <c r="GQ628" s="27" t="s">
        <v>8</v>
      </c>
      <c r="GR628" s="27" t="s">
        <v>7</v>
      </c>
      <c r="GS628" s="27" t="s">
        <v>8</v>
      </c>
      <c r="GT628" s="27" t="s">
        <v>7</v>
      </c>
      <c r="GU628" s="27" t="s">
        <v>8</v>
      </c>
      <c r="GV628" s="27" t="s">
        <v>7</v>
      </c>
      <c r="GY628" s="27" t="s">
        <v>8</v>
      </c>
    </row>
    <row r="629" spans="1:207" x14ac:dyDescent="0.25">
      <c r="A629" s="7">
        <v>0.4353041283979589</v>
      </c>
      <c r="B629"/>
      <c r="C629"/>
      <c r="D629"/>
      <c r="E629"/>
      <c r="F629" s="27" t="s">
        <v>7</v>
      </c>
      <c r="G629" s="27" t="s">
        <v>8</v>
      </c>
      <c r="H629" s="27" t="s">
        <v>7</v>
      </c>
      <c r="I629" s="27" t="s">
        <v>8</v>
      </c>
      <c r="S629" s="27" t="s">
        <v>8</v>
      </c>
      <c r="T629" s="27" t="s">
        <v>7</v>
      </c>
      <c r="AG629" s="27" t="s">
        <v>8</v>
      </c>
      <c r="AH629" s="27" t="s">
        <v>7</v>
      </c>
      <c r="BK629" s="27" t="s">
        <v>8</v>
      </c>
      <c r="BL629" s="27" t="s">
        <v>7</v>
      </c>
      <c r="CG629" s="27" t="s">
        <v>8</v>
      </c>
      <c r="CH629" s="27" t="s">
        <v>7</v>
      </c>
      <c r="CI629" s="27" t="s">
        <v>8</v>
      </c>
      <c r="CJ629" s="27" t="s">
        <v>7</v>
      </c>
      <c r="EK629" s="27" t="s">
        <v>8</v>
      </c>
      <c r="EL629" s="27" t="s">
        <v>7</v>
      </c>
      <c r="FW629" s="27" t="s">
        <v>8</v>
      </c>
      <c r="FX629" s="27" t="s">
        <v>7</v>
      </c>
      <c r="GE629" s="27" t="s">
        <v>8</v>
      </c>
      <c r="GF629" s="27" t="s">
        <v>7</v>
      </c>
      <c r="GM629" s="27" t="s">
        <v>8</v>
      </c>
      <c r="GN629" s="27" t="s">
        <v>7</v>
      </c>
      <c r="GO629" s="27" t="s">
        <v>8</v>
      </c>
      <c r="GQ629" s="27" t="s">
        <v>8</v>
      </c>
      <c r="GR629" s="27" t="s">
        <v>7</v>
      </c>
      <c r="GS629" s="27" t="s">
        <v>8</v>
      </c>
      <c r="GT629" s="27" t="s">
        <v>7</v>
      </c>
      <c r="GU629" s="27" t="s">
        <v>8</v>
      </c>
      <c r="GV629" s="27" t="s">
        <v>7</v>
      </c>
      <c r="GY629" s="27" t="s">
        <v>8</v>
      </c>
    </row>
    <row r="630" spans="1:207" x14ac:dyDescent="0.25">
      <c r="A630" s="7">
        <v>0.4267687533313323</v>
      </c>
      <c r="B630"/>
      <c r="C630"/>
      <c r="D630"/>
      <c r="E630"/>
      <c r="F630" s="27" t="s">
        <v>7</v>
      </c>
      <c r="G630" s="27" t="s">
        <v>8</v>
      </c>
      <c r="H630" s="27" t="s">
        <v>7</v>
      </c>
      <c r="I630" s="27" t="s">
        <v>8</v>
      </c>
      <c r="J630" s="27" t="s">
        <v>7</v>
      </c>
      <c r="K630" s="27" t="s">
        <v>8</v>
      </c>
      <c r="M630" s="27" t="s">
        <v>8</v>
      </c>
      <c r="S630" s="27" t="s">
        <v>8</v>
      </c>
      <c r="T630" s="27" t="s">
        <v>7</v>
      </c>
      <c r="AG630" s="27" t="s">
        <v>8</v>
      </c>
      <c r="AH630" s="27" t="s">
        <v>7</v>
      </c>
      <c r="BK630" s="27" t="s">
        <v>8</v>
      </c>
      <c r="BL630" s="27" t="s">
        <v>7</v>
      </c>
      <c r="CG630" s="27" t="s">
        <v>8</v>
      </c>
      <c r="CH630" s="27" t="s">
        <v>7</v>
      </c>
      <c r="CI630" s="27" t="s">
        <v>8</v>
      </c>
      <c r="CJ630" s="27" t="s">
        <v>7</v>
      </c>
      <c r="EK630" s="27" t="s">
        <v>8</v>
      </c>
      <c r="EL630" s="27" t="s">
        <v>7</v>
      </c>
      <c r="FO630" s="27" t="s">
        <v>8</v>
      </c>
      <c r="FW630" s="27" t="s">
        <v>8</v>
      </c>
      <c r="FX630" s="27" t="s">
        <v>7</v>
      </c>
      <c r="GE630" s="27" t="s">
        <v>8</v>
      </c>
      <c r="GF630" s="27" t="s">
        <v>7</v>
      </c>
      <c r="GM630" s="27" t="s">
        <v>8</v>
      </c>
      <c r="GN630" s="27" t="s">
        <v>7</v>
      </c>
      <c r="GO630" s="27" t="s">
        <v>8</v>
      </c>
      <c r="GP630" s="27" t="s">
        <v>7</v>
      </c>
      <c r="GQ630" s="27" t="s">
        <v>8</v>
      </c>
      <c r="GR630" s="27" t="s">
        <v>7</v>
      </c>
      <c r="GS630" s="27" t="s">
        <v>8</v>
      </c>
      <c r="GT630" s="27" t="s">
        <v>7</v>
      </c>
      <c r="GU630" s="27" t="s">
        <v>8</v>
      </c>
      <c r="GV630" s="27" t="s">
        <v>7</v>
      </c>
      <c r="GW630" s="27" t="s">
        <v>8</v>
      </c>
      <c r="GY630" s="27" t="s">
        <v>8</v>
      </c>
    </row>
    <row r="631" spans="1:207" x14ac:dyDescent="0.25">
      <c r="A631" s="7">
        <v>0.41840073856012971</v>
      </c>
      <c r="B631"/>
      <c r="C631"/>
      <c r="D631"/>
      <c r="E631"/>
      <c r="F631" s="27" t="s">
        <v>7</v>
      </c>
      <c r="G631" s="27" t="s">
        <v>8</v>
      </c>
      <c r="H631" s="27" t="s">
        <v>7</v>
      </c>
      <c r="I631" s="27" t="s">
        <v>8</v>
      </c>
      <c r="J631" s="27" t="s">
        <v>7</v>
      </c>
      <c r="K631" s="27" t="s">
        <v>8</v>
      </c>
      <c r="L631" s="27" t="s">
        <v>7</v>
      </c>
      <c r="M631" s="27" t="s">
        <v>8</v>
      </c>
      <c r="N631" s="27" t="s">
        <v>7</v>
      </c>
      <c r="S631" s="27" t="s">
        <v>8</v>
      </c>
      <c r="T631" s="27" t="s">
        <v>7</v>
      </c>
      <c r="AG631" s="27" t="s">
        <v>8</v>
      </c>
      <c r="AH631" s="27" t="s">
        <v>7</v>
      </c>
      <c r="BG631" s="27" t="s">
        <v>8</v>
      </c>
      <c r="BK631" s="27" t="s">
        <v>8</v>
      </c>
      <c r="BL631" s="27" t="s">
        <v>7</v>
      </c>
      <c r="CG631" s="27" t="s">
        <v>8</v>
      </c>
      <c r="CH631" s="27" t="s">
        <v>7</v>
      </c>
      <c r="CI631" s="27" t="s">
        <v>8</v>
      </c>
      <c r="CJ631" s="27" t="s">
        <v>7</v>
      </c>
      <c r="EK631" s="27" t="s">
        <v>8</v>
      </c>
      <c r="EL631" s="27" t="s">
        <v>7</v>
      </c>
      <c r="FO631" s="27" t="s">
        <v>8</v>
      </c>
      <c r="FP631" s="27" t="s">
        <v>7</v>
      </c>
      <c r="FS631" s="27" t="s">
        <v>8</v>
      </c>
      <c r="FW631" s="27" t="s">
        <v>8</v>
      </c>
      <c r="FX631" s="27" t="s">
        <v>7</v>
      </c>
      <c r="GE631" s="27" t="s">
        <v>8</v>
      </c>
      <c r="GF631" s="27" t="s">
        <v>7</v>
      </c>
      <c r="GM631" s="27" t="s">
        <v>8</v>
      </c>
      <c r="GN631" s="27" t="s">
        <v>7</v>
      </c>
      <c r="GO631" s="27" t="s">
        <v>8</v>
      </c>
      <c r="GP631" s="27" t="s">
        <v>7</v>
      </c>
      <c r="GQ631" s="27" t="s">
        <v>8</v>
      </c>
      <c r="GR631" s="27" t="s">
        <v>7</v>
      </c>
      <c r="GS631" s="27" t="s">
        <v>8</v>
      </c>
      <c r="GT631" s="27" t="s">
        <v>7</v>
      </c>
      <c r="GU631" s="27" t="s">
        <v>8</v>
      </c>
      <c r="GV631" s="27" t="s">
        <v>7</v>
      </c>
      <c r="GW631" s="27" t="s">
        <v>8</v>
      </c>
      <c r="GX631" s="27" t="s">
        <v>7</v>
      </c>
      <c r="GY631" s="27" t="s">
        <v>8</v>
      </c>
    </row>
    <row r="632" spans="1:207" x14ac:dyDescent="0.25">
      <c r="A632" s="7">
        <v>0.41019680250993112</v>
      </c>
      <c r="B632"/>
      <c r="C632"/>
      <c r="D632"/>
      <c r="E632"/>
      <c r="F632" s="27" t="s">
        <v>7</v>
      </c>
      <c r="G632" s="27" t="s">
        <v>8</v>
      </c>
      <c r="H632" s="27" t="s">
        <v>7</v>
      </c>
      <c r="I632" s="27" t="s">
        <v>8</v>
      </c>
      <c r="J632" s="27" t="s">
        <v>7</v>
      </c>
      <c r="K632" s="27" t="s">
        <v>8</v>
      </c>
      <c r="L632" s="27" t="s">
        <v>7</v>
      </c>
      <c r="M632" s="27" t="s">
        <v>8</v>
      </c>
      <c r="N632" s="27" t="s">
        <v>7</v>
      </c>
      <c r="S632" s="27" t="s">
        <v>8</v>
      </c>
      <c r="T632" s="27" t="s">
        <v>7</v>
      </c>
      <c r="AG632" s="27" t="s">
        <v>8</v>
      </c>
      <c r="AH632" s="27" t="s">
        <v>7</v>
      </c>
      <c r="BG632" s="27" t="s">
        <v>8</v>
      </c>
      <c r="BH632" s="27" t="s">
        <v>7</v>
      </c>
      <c r="BK632" s="27" t="s">
        <v>8</v>
      </c>
      <c r="BL632" s="27" t="s">
        <v>7</v>
      </c>
      <c r="CG632" s="27" t="s">
        <v>8</v>
      </c>
      <c r="CH632" s="27" t="s">
        <v>7</v>
      </c>
      <c r="CI632" s="27" t="s">
        <v>8</v>
      </c>
      <c r="CJ632" s="27" t="s">
        <v>7</v>
      </c>
      <c r="EK632" s="27" t="s">
        <v>8</v>
      </c>
      <c r="EL632" s="27" t="s">
        <v>7</v>
      </c>
      <c r="FO632" s="27" t="s">
        <v>8</v>
      </c>
      <c r="FP632" s="27" t="s">
        <v>7</v>
      </c>
      <c r="FS632" s="27" t="s">
        <v>8</v>
      </c>
      <c r="FT632" s="27" t="s">
        <v>7</v>
      </c>
      <c r="FW632" s="27" t="s">
        <v>8</v>
      </c>
      <c r="FX632" s="27" t="s">
        <v>7</v>
      </c>
      <c r="GE632" s="27" t="s">
        <v>8</v>
      </c>
      <c r="GF632" s="27" t="s">
        <v>7</v>
      </c>
      <c r="GM632" s="27" t="s">
        <v>8</v>
      </c>
      <c r="GN632" s="27" t="s">
        <v>7</v>
      </c>
      <c r="GO632" s="27" t="s">
        <v>8</v>
      </c>
      <c r="GP632" s="27" t="s">
        <v>7</v>
      </c>
      <c r="GQ632" s="27" t="s">
        <v>8</v>
      </c>
      <c r="GR632" s="27" t="s">
        <v>7</v>
      </c>
      <c r="GT632" s="27" t="s">
        <v>7</v>
      </c>
      <c r="GU632" s="27" t="s">
        <v>8</v>
      </c>
      <c r="GV632" s="27" t="s">
        <v>7</v>
      </c>
      <c r="GW632" s="27" t="s">
        <v>8</v>
      </c>
      <c r="GX632" s="27" t="s">
        <v>7</v>
      </c>
      <c r="GY632" s="27" t="s">
        <v>8</v>
      </c>
    </row>
    <row r="633" spans="1:207" x14ac:dyDescent="0.25">
      <c r="A633" s="7">
        <v>0.40215372795091286</v>
      </c>
      <c r="B633"/>
      <c r="C633"/>
      <c r="D633"/>
      <c r="E633"/>
      <c r="F633" s="27" t="s">
        <v>7</v>
      </c>
      <c r="G633" s="27" t="s">
        <v>8</v>
      </c>
      <c r="H633" s="27" t="s">
        <v>7</v>
      </c>
      <c r="I633" s="27" t="s">
        <v>8</v>
      </c>
      <c r="J633" s="27" t="s">
        <v>7</v>
      </c>
      <c r="K633" s="27" t="s">
        <v>8</v>
      </c>
      <c r="L633" s="27" t="s">
        <v>7</v>
      </c>
      <c r="M633" s="27" t="s">
        <v>8</v>
      </c>
      <c r="N633" s="27" t="s">
        <v>7</v>
      </c>
      <c r="S633" s="27" t="s">
        <v>8</v>
      </c>
      <c r="T633" s="27" t="s">
        <v>7</v>
      </c>
      <c r="U633" s="27" t="s">
        <v>8</v>
      </c>
      <c r="AG633" s="27" t="s">
        <v>8</v>
      </c>
      <c r="AH633" s="27" t="s">
        <v>7</v>
      </c>
      <c r="BG633" s="27" t="s">
        <v>8</v>
      </c>
      <c r="BH633" s="27" t="s">
        <v>7</v>
      </c>
      <c r="BK633" s="27" t="s">
        <v>8</v>
      </c>
      <c r="BL633" s="27" t="s">
        <v>7</v>
      </c>
      <c r="CG633" s="27" t="s">
        <v>8</v>
      </c>
      <c r="CH633" s="27" t="s">
        <v>7</v>
      </c>
      <c r="CI633" s="27" t="s">
        <v>8</v>
      </c>
      <c r="CJ633" s="27" t="s">
        <v>7</v>
      </c>
      <c r="EI633" s="27" t="s">
        <v>8</v>
      </c>
      <c r="EK633" s="27" t="s">
        <v>8</v>
      </c>
      <c r="EL633" s="27" t="s">
        <v>7</v>
      </c>
      <c r="FO633" s="27" t="s">
        <v>8</v>
      </c>
      <c r="FP633" s="27" t="s">
        <v>7</v>
      </c>
      <c r="FS633" s="27" t="s">
        <v>8</v>
      </c>
      <c r="FT633" s="27" t="s">
        <v>7</v>
      </c>
      <c r="FW633" s="27" t="s">
        <v>8</v>
      </c>
      <c r="FX633" s="27" t="s">
        <v>7</v>
      </c>
      <c r="GE633" s="27" t="s">
        <v>8</v>
      </c>
      <c r="GF633" s="27" t="s">
        <v>7</v>
      </c>
      <c r="GK633" s="27" t="s">
        <v>8</v>
      </c>
      <c r="GM633" s="27" t="s">
        <v>8</v>
      </c>
      <c r="GN633" s="27" t="s">
        <v>7</v>
      </c>
      <c r="GO633" s="27" t="s">
        <v>8</v>
      </c>
      <c r="GP633" s="27" t="s">
        <v>7</v>
      </c>
      <c r="GQ633" s="27" t="s">
        <v>8</v>
      </c>
      <c r="GT633" s="27" t="s">
        <v>7</v>
      </c>
      <c r="GU633" s="27" t="s">
        <v>8</v>
      </c>
      <c r="GV633" s="27" t="s">
        <v>7</v>
      </c>
      <c r="GW633" s="27" t="s">
        <v>8</v>
      </c>
      <c r="GX633" s="27" t="s">
        <v>7</v>
      </c>
    </row>
    <row r="634" spans="1:207" x14ac:dyDescent="0.25">
      <c r="A634" s="7">
        <v>0.39426836073618904</v>
      </c>
      <c r="B634"/>
      <c r="C634"/>
      <c r="D634"/>
      <c r="E634"/>
      <c r="F634" s="27" t="s">
        <v>7</v>
      </c>
      <c r="G634" s="27" t="s">
        <v>8</v>
      </c>
      <c r="H634" s="27" t="s">
        <v>7</v>
      </c>
      <c r="I634" s="27" t="s">
        <v>8</v>
      </c>
      <c r="J634" s="27" t="s">
        <v>7</v>
      </c>
      <c r="K634" s="27" t="s">
        <v>8</v>
      </c>
      <c r="L634" s="27" t="s">
        <v>7</v>
      </c>
      <c r="N634" s="27" t="s">
        <v>7</v>
      </c>
      <c r="S634" s="27" t="s">
        <v>8</v>
      </c>
      <c r="T634" s="27" t="s">
        <v>7</v>
      </c>
      <c r="U634" s="27" t="s">
        <v>8</v>
      </c>
      <c r="V634" s="27" t="s">
        <v>7</v>
      </c>
      <c r="AG634" s="27" t="s">
        <v>8</v>
      </c>
      <c r="AH634" s="27" t="s">
        <v>7</v>
      </c>
      <c r="BG634" s="27" t="s">
        <v>8</v>
      </c>
      <c r="BH634" s="27" t="s">
        <v>7</v>
      </c>
      <c r="BK634" s="27" t="s">
        <v>8</v>
      </c>
      <c r="BL634" s="27" t="s">
        <v>7</v>
      </c>
      <c r="CG634" s="27" t="s">
        <v>8</v>
      </c>
      <c r="CH634" s="27" t="s">
        <v>7</v>
      </c>
      <c r="CI634" s="27" t="s">
        <v>8</v>
      </c>
      <c r="CJ634" s="27" t="s">
        <v>7</v>
      </c>
      <c r="EC634" s="27" t="s">
        <v>8</v>
      </c>
      <c r="EI634" s="27" t="s">
        <v>8</v>
      </c>
      <c r="EJ634" s="27" t="s">
        <v>7</v>
      </c>
      <c r="EK634" s="27" t="s">
        <v>8</v>
      </c>
      <c r="EL634" s="27" t="s">
        <v>7</v>
      </c>
      <c r="FO634" s="27" t="s">
        <v>8</v>
      </c>
      <c r="FP634" s="27" t="s">
        <v>7</v>
      </c>
      <c r="FS634" s="27" t="s">
        <v>8</v>
      </c>
      <c r="FT634" s="27" t="s">
        <v>7</v>
      </c>
      <c r="FW634" s="27" t="s">
        <v>8</v>
      </c>
      <c r="FX634" s="27" t="s">
        <v>7</v>
      </c>
      <c r="GE634" s="27" t="s">
        <v>8</v>
      </c>
      <c r="GF634" s="27" t="s">
        <v>7</v>
      </c>
      <c r="GK634" s="27" t="s">
        <v>8</v>
      </c>
      <c r="GL634" s="27" t="s">
        <v>7</v>
      </c>
      <c r="GM634" s="27" t="s">
        <v>8</v>
      </c>
      <c r="GN634" s="27" t="s">
        <v>7</v>
      </c>
      <c r="GO634" s="27" t="s">
        <v>8</v>
      </c>
      <c r="GP634" s="27" t="s">
        <v>7</v>
      </c>
      <c r="GQ634" s="27" t="s">
        <v>8</v>
      </c>
      <c r="GT634" s="27" t="s">
        <v>7</v>
      </c>
      <c r="GU634" s="27" t="s">
        <v>8</v>
      </c>
      <c r="GV634" s="27" t="s">
        <v>7</v>
      </c>
      <c r="GW634" s="27" t="s">
        <v>8</v>
      </c>
    </row>
    <row r="635" spans="1:207" x14ac:dyDescent="0.25">
      <c r="A635" s="7">
        <v>0.38653760856489122</v>
      </c>
      <c r="B635"/>
      <c r="C635"/>
      <c r="D635"/>
      <c r="E635"/>
      <c r="F635" s="27" t="s">
        <v>7</v>
      </c>
      <c r="G635" s="27" t="s">
        <v>8</v>
      </c>
      <c r="H635" s="27" t="s">
        <v>7</v>
      </c>
      <c r="I635" s="27" t="s">
        <v>8</v>
      </c>
      <c r="J635" s="27" t="s">
        <v>7</v>
      </c>
      <c r="K635" s="27" t="s">
        <v>8</v>
      </c>
      <c r="N635" s="27" t="s">
        <v>7</v>
      </c>
      <c r="S635" s="27" t="s">
        <v>8</v>
      </c>
      <c r="T635" s="27" t="s">
        <v>7</v>
      </c>
      <c r="U635" s="27" t="s">
        <v>8</v>
      </c>
      <c r="V635" s="27" t="s">
        <v>7</v>
      </c>
      <c r="AG635" s="27" t="s">
        <v>8</v>
      </c>
      <c r="AH635" s="27" t="s">
        <v>7</v>
      </c>
      <c r="BG635" s="27" t="s">
        <v>8</v>
      </c>
      <c r="BH635" s="27" t="s">
        <v>7</v>
      </c>
      <c r="BK635" s="27" t="s">
        <v>8</v>
      </c>
      <c r="BL635" s="27" t="s">
        <v>7</v>
      </c>
      <c r="CG635" s="27" t="s">
        <v>8</v>
      </c>
      <c r="CH635" s="27" t="s">
        <v>7</v>
      </c>
      <c r="CI635" s="27" t="s">
        <v>8</v>
      </c>
      <c r="CJ635" s="27" t="s">
        <v>7</v>
      </c>
      <c r="EC635" s="27" t="s">
        <v>8</v>
      </c>
      <c r="ED635" s="27" t="s">
        <v>7</v>
      </c>
      <c r="EI635" s="27" t="s">
        <v>8</v>
      </c>
      <c r="EJ635" s="27" t="s">
        <v>7</v>
      </c>
      <c r="EK635" s="27" t="s">
        <v>8</v>
      </c>
      <c r="EL635" s="27" t="s">
        <v>7</v>
      </c>
      <c r="EO635" s="27" t="s">
        <v>8</v>
      </c>
      <c r="FO635" s="27" t="s">
        <v>8</v>
      </c>
      <c r="FP635" s="27" t="s">
        <v>7</v>
      </c>
      <c r="FS635" s="27" t="s">
        <v>8</v>
      </c>
      <c r="FT635" s="27" t="s">
        <v>7</v>
      </c>
      <c r="FW635" s="27" t="s">
        <v>8</v>
      </c>
      <c r="FX635" s="27" t="s">
        <v>7</v>
      </c>
      <c r="GE635" s="27" t="s">
        <v>8</v>
      </c>
      <c r="GF635" s="27" t="s">
        <v>7</v>
      </c>
      <c r="GK635" s="27" t="s">
        <v>8</v>
      </c>
      <c r="GL635" s="27" t="s">
        <v>7</v>
      </c>
      <c r="GM635" s="27" t="s">
        <v>8</v>
      </c>
      <c r="GN635" s="27" t="s">
        <v>7</v>
      </c>
      <c r="GO635" s="27" t="s">
        <v>8</v>
      </c>
      <c r="GP635" s="27" t="s">
        <v>7</v>
      </c>
      <c r="GQ635" s="27" t="s">
        <v>8</v>
      </c>
      <c r="GT635" s="27" t="s">
        <v>7</v>
      </c>
      <c r="GU635" s="27" t="s">
        <v>8</v>
      </c>
      <c r="GV635" s="27" t="s">
        <v>7</v>
      </c>
      <c r="GW635" s="27" t="s">
        <v>8</v>
      </c>
    </row>
    <row r="636" spans="1:207" x14ac:dyDescent="0.25">
      <c r="A636" s="7">
        <v>0.37895843976950117</v>
      </c>
      <c r="B636"/>
      <c r="C636"/>
      <c r="D636"/>
      <c r="E636"/>
      <c r="F636" s="27" t="s">
        <v>7</v>
      </c>
      <c r="G636" s="27" t="s">
        <v>8</v>
      </c>
      <c r="H636" s="27" t="s">
        <v>7</v>
      </c>
      <c r="I636" s="27" t="s">
        <v>8</v>
      </c>
      <c r="J636" s="27" t="s">
        <v>7</v>
      </c>
      <c r="K636" s="27" t="s">
        <v>8</v>
      </c>
      <c r="N636" s="27" t="s">
        <v>7</v>
      </c>
      <c r="S636" s="27" t="s">
        <v>8</v>
      </c>
      <c r="T636" s="27" t="s">
        <v>7</v>
      </c>
      <c r="U636" s="27" t="s">
        <v>8</v>
      </c>
      <c r="V636" s="27" t="s">
        <v>7</v>
      </c>
      <c r="AE636" s="27" t="s">
        <v>8</v>
      </c>
      <c r="AG636" s="27" t="s">
        <v>8</v>
      </c>
      <c r="AH636" s="27" t="s">
        <v>7</v>
      </c>
      <c r="BG636" s="27" t="s">
        <v>8</v>
      </c>
      <c r="BH636" s="27" t="s">
        <v>7</v>
      </c>
      <c r="BK636" s="27" t="s">
        <v>8</v>
      </c>
      <c r="BL636" s="27" t="s">
        <v>7</v>
      </c>
      <c r="BM636" s="27" t="s">
        <v>8</v>
      </c>
      <c r="CG636" s="27" t="s">
        <v>8</v>
      </c>
      <c r="CH636" s="27" t="s">
        <v>7</v>
      </c>
      <c r="CI636" s="27" t="s">
        <v>8</v>
      </c>
      <c r="CJ636" s="27" t="s">
        <v>7</v>
      </c>
      <c r="EC636" s="27" t="s">
        <v>8</v>
      </c>
      <c r="ED636" s="27" t="s">
        <v>7</v>
      </c>
      <c r="EG636" s="27" t="s">
        <v>8</v>
      </c>
      <c r="EI636" s="27" t="s">
        <v>8</v>
      </c>
      <c r="EJ636" s="27" t="s">
        <v>7</v>
      </c>
      <c r="EK636" s="27" t="s">
        <v>8</v>
      </c>
      <c r="EL636" s="27" t="s">
        <v>7</v>
      </c>
      <c r="EM636" s="27" t="s">
        <v>8</v>
      </c>
      <c r="EO636" s="27" t="s">
        <v>8</v>
      </c>
      <c r="EP636" s="27" t="s">
        <v>7</v>
      </c>
      <c r="FO636" s="27" t="s">
        <v>8</v>
      </c>
      <c r="FP636" s="27" t="s">
        <v>7</v>
      </c>
      <c r="FQ636" s="27" t="s">
        <v>8</v>
      </c>
      <c r="FS636" s="27" t="s">
        <v>8</v>
      </c>
      <c r="FT636" s="27" t="s">
        <v>7</v>
      </c>
      <c r="FW636" s="27" t="s">
        <v>8</v>
      </c>
      <c r="FX636" s="27" t="s">
        <v>7</v>
      </c>
      <c r="FY636" s="27" t="s">
        <v>8</v>
      </c>
      <c r="GA636" s="27" t="s">
        <v>8</v>
      </c>
      <c r="GC636" s="27" t="s">
        <v>8</v>
      </c>
      <c r="GE636" s="27" t="s">
        <v>8</v>
      </c>
      <c r="GF636" s="27" t="s">
        <v>7</v>
      </c>
      <c r="GI636" s="27" t="s">
        <v>8</v>
      </c>
      <c r="GK636" s="27" t="s">
        <v>8</v>
      </c>
      <c r="GL636" s="27" t="s">
        <v>7</v>
      </c>
      <c r="GM636" s="27" t="s">
        <v>8</v>
      </c>
      <c r="GN636" s="27" t="s">
        <v>7</v>
      </c>
      <c r="GO636" s="27" t="s">
        <v>8</v>
      </c>
      <c r="GP636" s="27" t="s">
        <v>7</v>
      </c>
      <c r="GT636" s="27" t="s">
        <v>7</v>
      </c>
      <c r="GU636" s="27" t="s">
        <v>8</v>
      </c>
      <c r="GV636" s="27" t="s">
        <v>7</v>
      </c>
    </row>
    <row r="637" spans="1:207" x14ac:dyDescent="0.25">
      <c r="A637" s="7">
        <v>0.37152788212696197</v>
      </c>
      <c r="B637"/>
      <c r="C637"/>
      <c r="D637"/>
      <c r="E637"/>
      <c r="F637" s="27" t="s">
        <v>7</v>
      </c>
      <c r="G637" s="27" t="s">
        <v>8</v>
      </c>
      <c r="H637" s="27" t="s">
        <v>7</v>
      </c>
      <c r="I637" s="27" t="s">
        <v>8</v>
      </c>
      <c r="J637" s="27" t="s">
        <v>7</v>
      </c>
      <c r="N637" s="27" t="s">
        <v>7</v>
      </c>
      <c r="S637" s="27" t="s">
        <v>8</v>
      </c>
      <c r="T637" s="27" t="s">
        <v>7</v>
      </c>
      <c r="U637" s="27" t="s">
        <v>8</v>
      </c>
      <c r="V637" s="27" t="s">
        <v>7</v>
      </c>
      <c r="AC637" s="27" t="s">
        <v>8</v>
      </c>
      <c r="AE637" s="27" t="s">
        <v>8</v>
      </c>
      <c r="AF637" s="27" t="s">
        <v>7</v>
      </c>
      <c r="AG637" s="27" t="s">
        <v>8</v>
      </c>
      <c r="AH637" s="27" t="s">
        <v>7</v>
      </c>
      <c r="BG637" s="27" t="s">
        <v>8</v>
      </c>
      <c r="BH637" s="27" t="s">
        <v>7</v>
      </c>
      <c r="BK637" s="27" t="s">
        <v>8</v>
      </c>
      <c r="BL637" s="27" t="s">
        <v>7</v>
      </c>
      <c r="BM637" s="27" t="s">
        <v>8</v>
      </c>
      <c r="BN637" s="27" t="s">
        <v>7</v>
      </c>
      <c r="CG637" s="27" t="s">
        <v>8</v>
      </c>
      <c r="CH637" s="27" t="s">
        <v>7</v>
      </c>
      <c r="CI637" s="27" t="s">
        <v>8</v>
      </c>
      <c r="CJ637" s="27" t="s">
        <v>7</v>
      </c>
      <c r="DO637" s="27" t="s">
        <v>8</v>
      </c>
      <c r="EC637" s="27" t="s">
        <v>8</v>
      </c>
      <c r="ED637" s="27" t="s">
        <v>7</v>
      </c>
      <c r="EG637" s="27" t="s">
        <v>8</v>
      </c>
      <c r="EH637" s="27" t="s">
        <v>7</v>
      </c>
      <c r="EI637" s="27" t="s">
        <v>8</v>
      </c>
      <c r="EJ637" s="27" t="s">
        <v>7</v>
      </c>
      <c r="EK637" s="27" t="s">
        <v>8</v>
      </c>
      <c r="EL637" s="27" t="s">
        <v>7</v>
      </c>
      <c r="EM637" s="27" t="s">
        <v>8</v>
      </c>
      <c r="EN637" s="27" t="s">
        <v>7</v>
      </c>
      <c r="EO637" s="27" t="s">
        <v>8</v>
      </c>
      <c r="EP637" s="27" t="s">
        <v>7</v>
      </c>
      <c r="ES637" s="27" t="s">
        <v>8</v>
      </c>
      <c r="FO637" s="27" t="s">
        <v>8</v>
      </c>
      <c r="FP637" s="27" t="s">
        <v>7</v>
      </c>
      <c r="FQ637" s="27" t="s">
        <v>8</v>
      </c>
      <c r="FR637" s="27" t="s">
        <v>7</v>
      </c>
      <c r="FS637" s="27" t="s">
        <v>8</v>
      </c>
      <c r="FT637" s="27" t="s">
        <v>7</v>
      </c>
      <c r="FU637" s="27" t="s">
        <v>8</v>
      </c>
      <c r="FW637" s="27" t="s">
        <v>8</v>
      </c>
      <c r="FX637" s="27" t="s">
        <v>7</v>
      </c>
      <c r="FY637" s="27" t="s">
        <v>8</v>
      </c>
      <c r="FZ637" s="27" t="s">
        <v>7</v>
      </c>
      <c r="GA637" s="27" t="s">
        <v>8</v>
      </c>
      <c r="GB637" s="27" t="s">
        <v>7</v>
      </c>
      <c r="GC637" s="27" t="s">
        <v>8</v>
      </c>
      <c r="GD637" s="27" t="s">
        <v>7</v>
      </c>
      <c r="GE637" s="27" t="s">
        <v>8</v>
      </c>
      <c r="GF637" s="27" t="s">
        <v>7</v>
      </c>
      <c r="GG637" s="27" t="s">
        <v>8</v>
      </c>
      <c r="GI637" s="27" t="s">
        <v>8</v>
      </c>
      <c r="GJ637" s="27" t="s">
        <v>7</v>
      </c>
      <c r="GK637" s="27" t="s">
        <v>8</v>
      </c>
      <c r="GL637" s="27" t="s">
        <v>7</v>
      </c>
      <c r="GM637" s="27" t="s">
        <v>8</v>
      </c>
      <c r="GN637" s="27" t="s">
        <v>7</v>
      </c>
      <c r="GO637" s="27" t="s">
        <v>8</v>
      </c>
      <c r="GT637" s="27" t="s">
        <v>7</v>
      </c>
      <c r="GU637" s="27" t="s">
        <v>8</v>
      </c>
    </row>
    <row r="638" spans="1:207" x14ac:dyDescent="0.25">
      <c r="A638" s="7">
        <v>0.36424302169310002</v>
      </c>
      <c r="B638"/>
      <c r="C638"/>
      <c r="D638"/>
      <c r="E638"/>
      <c r="F638" s="27" t="s">
        <v>7</v>
      </c>
      <c r="G638" s="27" t="s">
        <v>8</v>
      </c>
      <c r="H638" s="27" t="s">
        <v>7</v>
      </c>
      <c r="I638" s="27" t="s">
        <v>8</v>
      </c>
      <c r="N638" s="27" t="s">
        <v>7</v>
      </c>
      <c r="S638" s="27" t="s">
        <v>8</v>
      </c>
      <c r="T638" s="27" t="s">
        <v>7</v>
      </c>
      <c r="U638" s="27" t="s">
        <v>8</v>
      </c>
      <c r="V638" s="27" t="s">
        <v>7</v>
      </c>
      <c r="AC638" s="27" t="s">
        <v>8</v>
      </c>
      <c r="AD638" s="27" t="s">
        <v>7</v>
      </c>
      <c r="AE638" s="27" t="s">
        <v>8</v>
      </c>
      <c r="AF638" s="27" t="s">
        <v>7</v>
      </c>
      <c r="AG638" s="27" t="s">
        <v>8</v>
      </c>
      <c r="AH638" s="27" t="s">
        <v>7</v>
      </c>
      <c r="AI638" s="27" t="s">
        <v>8</v>
      </c>
      <c r="AK638" s="27" t="s">
        <v>8</v>
      </c>
      <c r="BG638" s="27" t="s">
        <v>8</v>
      </c>
      <c r="BH638" s="27" t="s">
        <v>7</v>
      </c>
      <c r="BK638" s="27" t="s">
        <v>8</v>
      </c>
      <c r="BL638" s="27" t="s">
        <v>7</v>
      </c>
      <c r="BM638" s="27" t="s">
        <v>8</v>
      </c>
      <c r="BN638" s="27" t="s">
        <v>7</v>
      </c>
      <c r="BO638" s="27" t="s">
        <v>8</v>
      </c>
      <c r="CG638" s="27" t="s">
        <v>8</v>
      </c>
      <c r="CH638" s="27" t="s">
        <v>7</v>
      </c>
      <c r="CI638" s="27" t="s">
        <v>8</v>
      </c>
      <c r="CJ638" s="27" t="s">
        <v>7</v>
      </c>
      <c r="DO638" s="27" t="s">
        <v>8</v>
      </c>
      <c r="DP638" s="27" t="s">
        <v>7</v>
      </c>
      <c r="EC638" s="27" t="s">
        <v>8</v>
      </c>
      <c r="ED638" s="27" t="s">
        <v>7</v>
      </c>
      <c r="EG638" s="27" t="s">
        <v>8</v>
      </c>
      <c r="EH638" s="27" t="s">
        <v>7</v>
      </c>
      <c r="EI638" s="27" t="s">
        <v>8</v>
      </c>
      <c r="EJ638" s="27" t="s">
        <v>7</v>
      </c>
      <c r="EK638" s="27" t="s">
        <v>8</v>
      </c>
      <c r="EL638" s="27" t="s">
        <v>7</v>
      </c>
      <c r="EM638" s="27" t="s">
        <v>8</v>
      </c>
      <c r="EN638" s="27" t="s">
        <v>7</v>
      </c>
      <c r="EO638" s="27" t="s">
        <v>8</v>
      </c>
      <c r="EP638" s="27" t="s">
        <v>7</v>
      </c>
      <c r="ES638" s="27" t="s">
        <v>8</v>
      </c>
      <c r="ET638" s="27" t="s">
        <v>7</v>
      </c>
      <c r="FO638" s="27" t="s">
        <v>8</v>
      </c>
      <c r="FP638" s="27" t="s">
        <v>7</v>
      </c>
      <c r="FQ638" s="27" t="s">
        <v>8</v>
      </c>
      <c r="FR638" s="27" t="s">
        <v>7</v>
      </c>
      <c r="FS638" s="27" t="s">
        <v>8</v>
      </c>
      <c r="FT638" s="27" t="s">
        <v>7</v>
      </c>
      <c r="FU638" s="27" t="s">
        <v>8</v>
      </c>
      <c r="FV638" s="27" t="s">
        <v>7</v>
      </c>
      <c r="FW638" s="27" t="s">
        <v>8</v>
      </c>
      <c r="FX638" s="27" t="s">
        <v>7</v>
      </c>
      <c r="FY638" s="27" t="s">
        <v>8</v>
      </c>
      <c r="FZ638" s="27" t="s">
        <v>7</v>
      </c>
      <c r="GA638" s="27" t="s">
        <v>8</v>
      </c>
      <c r="GB638" s="27" t="s">
        <v>7</v>
      </c>
      <c r="GC638" s="27" t="s">
        <v>8</v>
      </c>
      <c r="GD638" s="27" t="s">
        <v>7</v>
      </c>
      <c r="GE638" s="27" t="s">
        <v>8</v>
      </c>
      <c r="GF638" s="27" t="s">
        <v>7</v>
      </c>
      <c r="GG638" s="27" t="s">
        <v>8</v>
      </c>
      <c r="GH638" s="27" t="s">
        <v>7</v>
      </c>
      <c r="GI638" s="27" t="s">
        <v>8</v>
      </c>
      <c r="GJ638" s="27" t="s">
        <v>7</v>
      </c>
      <c r="GK638" s="27" t="s">
        <v>8</v>
      </c>
      <c r="GL638" s="27" t="s">
        <v>7</v>
      </c>
      <c r="GM638" s="27" t="s">
        <v>8</v>
      </c>
      <c r="GN638" s="27" t="s">
        <v>7</v>
      </c>
      <c r="GO638" s="27" t="s">
        <v>8</v>
      </c>
      <c r="GT638" s="27" t="s">
        <v>7</v>
      </c>
    </row>
    <row r="639" spans="1:207" x14ac:dyDescent="0.25">
      <c r="A639" s="7">
        <v>0.35710100165990194</v>
      </c>
      <c r="B639"/>
      <c r="C639"/>
      <c r="D639"/>
      <c r="E639"/>
      <c r="F639" s="27" t="s">
        <v>7</v>
      </c>
      <c r="G639" s="27" t="s">
        <v>8</v>
      </c>
      <c r="H639" s="27" t="s">
        <v>7</v>
      </c>
      <c r="N639" s="27" t="s">
        <v>7</v>
      </c>
      <c r="S639" s="27" t="s">
        <v>8</v>
      </c>
      <c r="T639" s="27" t="s">
        <v>7</v>
      </c>
      <c r="V639" s="27" t="s">
        <v>7</v>
      </c>
      <c r="W639" s="27" t="s">
        <v>8</v>
      </c>
      <c r="AC639" s="27" t="s">
        <v>8</v>
      </c>
      <c r="AD639" s="27" t="s">
        <v>7</v>
      </c>
      <c r="AE639" s="27" t="s">
        <v>8</v>
      </c>
      <c r="AF639" s="27" t="s">
        <v>7</v>
      </c>
      <c r="AG639" s="27" t="s">
        <v>8</v>
      </c>
      <c r="AH639" s="27" t="s">
        <v>7</v>
      </c>
      <c r="AI639" s="27" t="s">
        <v>8</v>
      </c>
      <c r="AJ639" s="27" t="s">
        <v>7</v>
      </c>
      <c r="AK639" s="27" t="s">
        <v>8</v>
      </c>
      <c r="AL639" s="27" t="s">
        <v>7</v>
      </c>
      <c r="BG639" s="27" t="s">
        <v>8</v>
      </c>
      <c r="BH639" s="27" t="s">
        <v>7</v>
      </c>
      <c r="BK639" s="27" t="s">
        <v>8</v>
      </c>
      <c r="BL639" s="27" t="s">
        <v>7</v>
      </c>
      <c r="BM639" s="27" t="s">
        <v>8</v>
      </c>
      <c r="BN639" s="27" t="s">
        <v>7</v>
      </c>
      <c r="BO639" s="27" t="s">
        <v>8</v>
      </c>
      <c r="BP639" s="27" t="s">
        <v>7</v>
      </c>
      <c r="BQ639" s="27" t="s">
        <v>8</v>
      </c>
      <c r="CG639" s="27" t="s">
        <v>8</v>
      </c>
      <c r="CH639" s="27" t="s">
        <v>7</v>
      </c>
      <c r="CI639" s="27" t="s">
        <v>8</v>
      </c>
      <c r="CJ639" s="27" t="s">
        <v>7</v>
      </c>
      <c r="CQ639" s="27" t="s">
        <v>8</v>
      </c>
      <c r="DO639" s="27" t="s">
        <v>8</v>
      </c>
      <c r="DP639" s="27" t="s">
        <v>7</v>
      </c>
      <c r="EA639" s="27" t="s">
        <v>8</v>
      </c>
      <c r="EC639" s="27" t="s">
        <v>8</v>
      </c>
      <c r="ED639" s="27" t="s">
        <v>7</v>
      </c>
      <c r="EG639" s="27" t="s">
        <v>8</v>
      </c>
      <c r="EH639" s="27" t="s">
        <v>7</v>
      </c>
      <c r="EJ639" s="27" t="s">
        <v>7</v>
      </c>
      <c r="EK639" s="27" t="s">
        <v>8</v>
      </c>
      <c r="EL639" s="27" t="s">
        <v>7</v>
      </c>
      <c r="EN639" s="27" t="s">
        <v>7</v>
      </c>
      <c r="EO639" s="27" t="s">
        <v>8</v>
      </c>
      <c r="EP639" s="27" t="s">
        <v>7</v>
      </c>
      <c r="ES639" s="27" t="s">
        <v>8</v>
      </c>
      <c r="ET639" s="27" t="s">
        <v>7</v>
      </c>
      <c r="FO639" s="27" t="s">
        <v>8</v>
      </c>
      <c r="FP639" s="27" t="s">
        <v>7</v>
      </c>
      <c r="FQ639" s="27" t="s">
        <v>8</v>
      </c>
      <c r="FR639" s="27" t="s">
        <v>7</v>
      </c>
      <c r="FS639" s="27" t="s">
        <v>8</v>
      </c>
      <c r="FT639" s="27" t="s">
        <v>7</v>
      </c>
      <c r="FU639" s="27" t="s">
        <v>8</v>
      </c>
      <c r="FV639" s="27" t="s">
        <v>7</v>
      </c>
      <c r="FW639" s="27" t="s">
        <v>8</v>
      </c>
      <c r="FX639" s="27" t="s">
        <v>7</v>
      </c>
      <c r="FZ639" s="27" t="s">
        <v>7</v>
      </c>
      <c r="GA639" s="27" t="s">
        <v>8</v>
      </c>
      <c r="GB639" s="27" t="s">
        <v>7</v>
      </c>
      <c r="GC639" s="27" t="s">
        <v>8</v>
      </c>
      <c r="GD639" s="27" t="s">
        <v>7</v>
      </c>
      <c r="GF639" s="27" t="s">
        <v>7</v>
      </c>
      <c r="GG639" s="27" t="s">
        <v>8</v>
      </c>
      <c r="GH639" s="27" t="s">
        <v>7</v>
      </c>
      <c r="GI639" s="27" t="s">
        <v>8</v>
      </c>
      <c r="GJ639" s="27" t="s">
        <v>7</v>
      </c>
      <c r="GK639" s="27" t="s">
        <v>8</v>
      </c>
      <c r="GL639" s="27" t="s">
        <v>7</v>
      </c>
      <c r="GM639" s="27" t="s">
        <v>8</v>
      </c>
      <c r="GN639" s="27" t="s">
        <v>7</v>
      </c>
      <c r="GO639" s="27" t="s">
        <v>8</v>
      </c>
    </row>
    <row r="640" spans="1:207" x14ac:dyDescent="0.25">
      <c r="A640" s="7">
        <v>0.35009902123519804</v>
      </c>
      <c r="B640"/>
      <c r="C640"/>
      <c r="D640"/>
      <c r="E640"/>
      <c r="F640" s="27" t="s">
        <v>7</v>
      </c>
      <c r="N640" s="27" t="s">
        <v>7</v>
      </c>
      <c r="S640" s="27" t="s">
        <v>8</v>
      </c>
      <c r="V640" s="27" t="s">
        <v>7</v>
      </c>
      <c r="W640" s="27" t="s">
        <v>8</v>
      </c>
      <c r="X640" s="27" t="s">
        <v>7</v>
      </c>
      <c r="AC640" s="27" t="s">
        <v>8</v>
      </c>
      <c r="AD640" s="27" t="s">
        <v>7</v>
      </c>
      <c r="AE640" s="27" t="s">
        <v>8</v>
      </c>
      <c r="AF640" s="27" t="s">
        <v>7</v>
      </c>
      <c r="AH640" s="27" t="s">
        <v>7</v>
      </c>
      <c r="AI640" s="27" t="s">
        <v>8</v>
      </c>
      <c r="AJ640" s="27" t="s">
        <v>7</v>
      </c>
      <c r="AK640" s="27" t="s">
        <v>8</v>
      </c>
      <c r="AL640" s="27" t="s">
        <v>7</v>
      </c>
      <c r="BG640" s="27" t="s">
        <v>8</v>
      </c>
      <c r="BH640" s="27" t="s">
        <v>7</v>
      </c>
      <c r="BI640" s="27" t="s">
        <v>8</v>
      </c>
      <c r="BK640" s="27" t="s">
        <v>8</v>
      </c>
      <c r="BL640" s="27" t="s">
        <v>7</v>
      </c>
      <c r="BM640" s="27" t="s">
        <v>8</v>
      </c>
      <c r="BN640" s="27" t="s">
        <v>7</v>
      </c>
      <c r="BO640" s="27" t="s">
        <v>8</v>
      </c>
      <c r="BP640" s="27" t="s">
        <v>7</v>
      </c>
      <c r="BQ640" s="27" t="s">
        <v>8</v>
      </c>
      <c r="BR640" s="27" t="s">
        <v>7</v>
      </c>
      <c r="BU640" s="27" t="s">
        <v>8</v>
      </c>
      <c r="CG640" s="27" t="s">
        <v>8</v>
      </c>
      <c r="CH640" s="27" t="s">
        <v>7</v>
      </c>
      <c r="CI640" s="27" t="s">
        <v>8</v>
      </c>
      <c r="CJ640" s="27" t="s">
        <v>7</v>
      </c>
      <c r="CQ640" s="27" t="s">
        <v>8</v>
      </c>
      <c r="CR640" s="27" t="s">
        <v>7</v>
      </c>
      <c r="DO640" s="27" t="s">
        <v>8</v>
      </c>
      <c r="DP640" s="27" t="s">
        <v>7</v>
      </c>
      <c r="DQ640" s="27" t="s">
        <v>8</v>
      </c>
      <c r="EA640" s="27" t="s">
        <v>8</v>
      </c>
      <c r="EB640" s="27" t="s">
        <v>7</v>
      </c>
      <c r="EC640" s="27" t="s">
        <v>8</v>
      </c>
      <c r="ED640" s="27" t="s">
        <v>7</v>
      </c>
      <c r="EE640" s="27" t="s">
        <v>8</v>
      </c>
      <c r="EG640" s="27" t="s">
        <v>8</v>
      </c>
      <c r="EJ640" s="27" t="s">
        <v>7</v>
      </c>
      <c r="EK640" s="27" t="s">
        <v>8</v>
      </c>
      <c r="EN640" s="27" t="s">
        <v>7</v>
      </c>
      <c r="EO640" s="27" t="s">
        <v>8</v>
      </c>
      <c r="EP640" s="27" t="s">
        <v>7</v>
      </c>
      <c r="EQ640" s="27" t="s">
        <v>8</v>
      </c>
      <c r="ES640" s="27" t="s">
        <v>8</v>
      </c>
      <c r="ET640" s="27" t="s">
        <v>7</v>
      </c>
      <c r="EY640" s="27" t="s">
        <v>8</v>
      </c>
      <c r="FO640" s="27" t="s">
        <v>8</v>
      </c>
      <c r="FP640" s="27" t="s">
        <v>7</v>
      </c>
      <c r="FQ640" s="27" t="s">
        <v>8</v>
      </c>
      <c r="FR640" s="27" t="s">
        <v>7</v>
      </c>
      <c r="FT640" s="27" t="s">
        <v>7</v>
      </c>
      <c r="FV640" s="27" t="s">
        <v>7</v>
      </c>
      <c r="FZ640" s="27" t="s">
        <v>7</v>
      </c>
      <c r="GA640" s="27" t="s">
        <v>8</v>
      </c>
      <c r="GB640" s="27" t="s">
        <v>7</v>
      </c>
      <c r="GC640" s="27" t="s">
        <v>8</v>
      </c>
      <c r="GF640" s="27" t="s">
        <v>7</v>
      </c>
      <c r="GH640" s="27" t="s">
        <v>7</v>
      </c>
      <c r="GI640" s="27" t="s">
        <v>8</v>
      </c>
      <c r="GJ640" s="27" t="s">
        <v>7</v>
      </c>
      <c r="GK640" s="27" t="s">
        <v>8</v>
      </c>
      <c r="GL640" s="27" t="s">
        <v>7</v>
      </c>
      <c r="GM640" s="27" t="s">
        <v>8</v>
      </c>
      <c r="GN640" s="27" t="s">
        <v>7</v>
      </c>
      <c r="GO640" s="27" t="s">
        <v>8</v>
      </c>
    </row>
    <row r="641" spans="1:197" x14ac:dyDescent="0.25">
      <c r="A641" s="7">
        <v>0.34323433454431179</v>
      </c>
      <c r="B641"/>
      <c r="C641"/>
      <c r="D641"/>
      <c r="E641"/>
      <c r="N641" s="27" t="s">
        <v>7</v>
      </c>
      <c r="S641" s="27" t="s">
        <v>8</v>
      </c>
      <c r="V641" s="27" t="s">
        <v>7</v>
      </c>
      <c r="W641" s="27" t="s">
        <v>8</v>
      </c>
      <c r="X641" s="27" t="s">
        <v>7</v>
      </c>
      <c r="AC641" s="27" t="s">
        <v>8</v>
      </c>
      <c r="AD641" s="27" t="s">
        <v>7</v>
      </c>
      <c r="AE641" s="27" t="s">
        <v>8</v>
      </c>
      <c r="AH641" s="27" t="s">
        <v>7</v>
      </c>
      <c r="AI641" s="27" t="s">
        <v>8</v>
      </c>
      <c r="AJ641" s="27" t="s">
        <v>7</v>
      </c>
      <c r="AK641" s="27" t="s">
        <v>8</v>
      </c>
      <c r="AL641" s="27" t="s">
        <v>7</v>
      </c>
      <c r="BG641" s="27" t="s">
        <v>8</v>
      </c>
      <c r="BH641" s="27" t="s">
        <v>7</v>
      </c>
      <c r="BI641" s="27" t="s">
        <v>8</v>
      </c>
      <c r="BJ641" s="27" t="s">
        <v>7</v>
      </c>
      <c r="BK641" s="27" t="s">
        <v>8</v>
      </c>
      <c r="BL641" s="27" t="s">
        <v>7</v>
      </c>
      <c r="BN641" s="27" t="s">
        <v>7</v>
      </c>
      <c r="BO641" s="27" t="s">
        <v>8</v>
      </c>
      <c r="BP641" s="27" t="s">
        <v>7</v>
      </c>
      <c r="BQ641" s="27" t="s">
        <v>8</v>
      </c>
      <c r="BR641" s="27" t="s">
        <v>7</v>
      </c>
      <c r="BU641" s="27" t="s">
        <v>8</v>
      </c>
      <c r="BV641" s="27" t="s">
        <v>7</v>
      </c>
      <c r="CG641" s="27" t="s">
        <v>8</v>
      </c>
      <c r="CH641" s="27" t="s">
        <v>7</v>
      </c>
      <c r="CI641" s="27" t="s">
        <v>8</v>
      </c>
      <c r="CJ641" s="27" t="s">
        <v>7</v>
      </c>
      <c r="CQ641" s="27" t="s">
        <v>8</v>
      </c>
      <c r="CR641" s="27" t="s">
        <v>7</v>
      </c>
      <c r="CW641" s="27" t="s">
        <v>8</v>
      </c>
      <c r="DO641" s="27" t="s">
        <v>8</v>
      </c>
      <c r="DP641" s="27" t="s">
        <v>7</v>
      </c>
      <c r="DQ641" s="27" t="s">
        <v>8</v>
      </c>
      <c r="DR641" s="27" t="s">
        <v>7</v>
      </c>
      <c r="DY641" s="27" t="s">
        <v>8</v>
      </c>
      <c r="EA641" s="27" t="s">
        <v>8</v>
      </c>
      <c r="EB641" s="27" t="s">
        <v>7</v>
      </c>
      <c r="EC641" s="27" t="s">
        <v>8</v>
      </c>
      <c r="ED641" s="27" t="s">
        <v>7</v>
      </c>
      <c r="EE641" s="27" t="s">
        <v>8</v>
      </c>
      <c r="EF641" s="27" t="s">
        <v>7</v>
      </c>
      <c r="EG641" s="27" t="s">
        <v>8</v>
      </c>
      <c r="EJ641" s="27" t="s">
        <v>7</v>
      </c>
      <c r="EN641" s="27" t="s">
        <v>7</v>
      </c>
      <c r="EP641" s="27" t="s">
        <v>7</v>
      </c>
      <c r="EQ641" s="27" t="s">
        <v>8</v>
      </c>
      <c r="ER641" s="27" t="s">
        <v>7</v>
      </c>
      <c r="ES641" s="27" t="s">
        <v>8</v>
      </c>
      <c r="ET641" s="27" t="s">
        <v>7</v>
      </c>
      <c r="EY641" s="27" t="s">
        <v>8</v>
      </c>
      <c r="EZ641" s="27" t="s">
        <v>7</v>
      </c>
      <c r="FA641" s="27" t="s">
        <v>8</v>
      </c>
      <c r="FO641" s="27" t="s">
        <v>8</v>
      </c>
      <c r="FP641" s="27" t="s">
        <v>7</v>
      </c>
      <c r="FQ641" s="27" t="s">
        <v>8</v>
      </c>
      <c r="FZ641" s="27" t="s">
        <v>7</v>
      </c>
      <c r="GA641" s="27" t="s">
        <v>8</v>
      </c>
      <c r="GB641" s="27" t="s">
        <v>7</v>
      </c>
      <c r="GC641" s="27" t="s">
        <v>8</v>
      </c>
      <c r="GH641" s="27" t="s">
        <v>7</v>
      </c>
      <c r="GI641" s="27" t="s">
        <v>8</v>
      </c>
      <c r="GJ641" s="27" t="s">
        <v>7</v>
      </c>
      <c r="GK641" s="27" t="s">
        <v>8</v>
      </c>
      <c r="GL641" s="27" t="s">
        <v>7</v>
      </c>
      <c r="GN641" s="27" t="s">
        <v>7</v>
      </c>
      <c r="GO641" s="27" t="s">
        <v>8</v>
      </c>
    </row>
    <row r="642" spans="1:197" x14ac:dyDescent="0.25">
      <c r="A642" s="7">
        <v>0.33650424955324681</v>
      </c>
      <c r="B642"/>
      <c r="C642"/>
      <c r="D642"/>
      <c r="E642"/>
      <c r="N642" s="27" t="s">
        <v>7</v>
      </c>
      <c r="O642" s="27" t="s">
        <v>8</v>
      </c>
      <c r="S642" s="27" t="s">
        <v>8</v>
      </c>
      <c r="V642" s="27" t="s">
        <v>7</v>
      </c>
      <c r="X642" s="27" t="s">
        <v>7</v>
      </c>
      <c r="AC642" s="27" t="s">
        <v>8</v>
      </c>
      <c r="AD642" s="27" t="s">
        <v>7</v>
      </c>
      <c r="AH642" s="27" t="s">
        <v>7</v>
      </c>
      <c r="AJ642" s="27" t="s">
        <v>7</v>
      </c>
      <c r="AL642" s="27" t="s">
        <v>7</v>
      </c>
      <c r="BG642" s="27" t="s">
        <v>8</v>
      </c>
      <c r="BH642" s="27" t="s">
        <v>7</v>
      </c>
      <c r="BI642" s="27" t="s">
        <v>8</v>
      </c>
      <c r="BJ642" s="27" t="s">
        <v>7</v>
      </c>
      <c r="BK642" s="27" t="s">
        <v>8</v>
      </c>
      <c r="BN642" s="27" t="s">
        <v>7</v>
      </c>
      <c r="BP642" s="27" t="s">
        <v>7</v>
      </c>
      <c r="BR642" s="27" t="s">
        <v>7</v>
      </c>
      <c r="BU642" s="27" t="s">
        <v>8</v>
      </c>
      <c r="BV642" s="27" t="s">
        <v>7</v>
      </c>
      <c r="CG642" s="27" t="s">
        <v>8</v>
      </c>
      <c r="CH642" s="27" t="s">
        <v>7</v>
      </c>
      <c r="CI642" s="27" t="s">
        <v>8</v>
      </c>
      <c r="CJ642" s="27" t="s">
        <v>7</v>
      </c>
      <c r="CQ642" s="27" t="s">
        <v>8</v>
      </c>
      <c r="CR642" s="27" t="s">
        <v>7</v>
      </c>
      <c r="CW642" s="27" t="s">
        <v>8</v>
      </c>
      <c r="CX642" s="27" t="s">
        <v>7</v>
      </c>
      <c r="DO642" s="27" t="s">
        <v>8</v>
      </c>
      <c r="DP642" s="27" t="s">
        <v>7</v>
      </c>
      <c r="DQ642" s="27" t="s">
        <v>8</v>
      </c>
      <c r="DR642" s="27" t="s">
        <v>7</v>
      </c>
      <c r="DU642" s="27" t="s">
        <v>8</v>
      </c>
      <c r="DY642" s="27" t="s">
        <v>8</v>
      </c>
      <c r="DZ642" s="27" t="s">
        <v>7</v>
      </c>
      <c r="EA642" s="27" t="s">
        <v>8</v>
      </c>
      <c r="EB642" s="27" t="s">
        <v>7</v>
      </c>
      <c r="EC642" s="27" t="s">
        <v>8</v>
      </c>
      <c r="ED642" s="27" t="s">
        <v>7</v>
      </c>
      <c r="EE642" s="27" t="s">
        <v>8</v>
      </c>
      <c r="EF642" s="27" t="s">
        <v>7</v>
      </c>
      <c r="EG642" s="27" t="s">
        <v>8</v>
      </c>
      <c r="EP642" s="27" t="s">
        <v>7</v>
      </c>
      <c r="EQ642" s="27" t="s">
        <v>8</v>
      </c>
      <c r="ER642" s="27" t="s">
        <v>7</v>
      </c>
      <c r="ES642" s="27" t="s">
        <v>8</v>
      </c>
      <c r="ET642" s="27" t="s">
        <v>7</v>
      </c>
      <c r="EY642" s="27" t="s">
        <v>8</v>
      </c>
      <c r="EZ642" s="27" t="s">
        <v>7</v>
      </c>
      <c r="FA642" s="27" t="s">
        <v>8</v>
      </c>
      <c r="FB642" s="27" t="s">
        <v>7</v>
      </c>
      <c r="FK642" s="27" t="s">
        <v>8</v>
      </c>
      <c r="FO642" s="27" t="s">
        <v>8</v>
      </c>
      <c r="FP642" s="27" t="s">
        <v>7</v>
      </c>
      <c r="FQ642" s="27" t="s">
        <v>8</v>
      </c>
      <c r="FZ642" s="27" t="s">
        <v>7</v>
      </c>
      <c r="GB642" s="27" t="s">
        <v>7</v>
      </c>
      <c r="GH642" s="27" t="s">
        <v>7</v>
      </c>
      <c r="GI642" s="27" t="s">
        <v>8</v>
      </c>
      <c r="GJ642" s="27" t="s">
        <v>7</v>
      </c>
      <c r="GN642" s="27" t="s">
        <v>7</v>
      </c>
    </row>
    <row r="643" spans="1:197" x14ac:dyDescent="0.25">
      <c r="A643" s="7">
        <v>0.3299061270129871</v>
      </c>
      <c r="B643"/>
      <c r="C643"/>
      <c r="D643"/>
      <c r="E643"/>
      <c r="N643" s="27" t="s">
        <v>7</v>
      </c>
      <c r="O643" s="27" t="s">
        <v>8</v>
      </c>
      <c r="P643" s="27" t="s">
        <v>7</v>
      </c>
      <c r="S643" s="27" t="s">
        <v>8</v>
      </c>
      <c r="X643" s="27" t="s">
        <v>7</v>
      </c>
      <c r="AC643" s="27" t="s">
        <v>8</v>
      </c>
      <c r="AL643" s="27" t="s">
        <v>7</v>
      </c>
      <c r="AO643" s="27" t="s">
        <v>8</v>
      </c>
      <c r="BG643" s="27" t="s">
        <v>8</v>
      </c>
      <c r="BH643" s="27" t="s">
        <v>7</v>
      </c>
      <c r="BI643" s="27" t="s">
        <v>8</v>
      </c>
      <c r="BJ643" s="27" t="s">
        <v>7</v>
      </c>
      <c r="BK643" s="27" t="s">
        <v>8</v>
      </c>
      <c r="BR643" s="27" t="s">
        <v>7</v>
      </c>
      <c r="BU643" s="27" t="s">
        <v>8</v>
      </c>
      <c r="BV643" s="27" t="s">
        <v>7</v>
      </c>
      <c r="BW643" s="27" t="s">
        <v>8</v>
      </c>
      <c r="CG643" s="27" t="s">
        <v>8</v>
      </c>
      <c r="CH643" s="27" t="s">
        <v>7</v>
      </c>
      <c r="CI643" s="27" t="s">
        <v>8</v>
      </c>
      <c r="CJ643" s="27" t="s">
        <v>7</v>
      </c>
      <c r="CQ643" s="27" t="s">
        <v>8</v>
      </c>
      <c r="CR643" s="27" t="s">
        <v>7</v>
      </c>
      <c r="CW643" s="27" t="s">
        <v>8</v>
      </c>
      <c r="CX643" s="27" t="s">
        <v>7</v>
      </c>
      <c r="DI643" s="27" t="s">
        <v>8</v>
      </c>
      <c r="DK643" s="27" t="s">
        <v>8</v>
      </c>
      <c r="DM643" s="27" t="s">
        <v>8</v>
      </c>
      <c r="DO643" s="27" t="s">
        <v>8</v>
      </c>
      <c r="DP643" s="27" t="s">
        <v>7</v>
      </c>
      <c r="DR643" s="27" t="s">
        <v>7</v>
      </c>
      <c r="DU643" s="27" t="s">
        <v>8</v>
      </c>
      <c r="DV643" s="27" t="s">
        <v>7</v>
      </c>
      <c r="DY643" s="27" t="s">
        <v>8</v>
      </c>
      <c r="DZ643" s="27" t="s">
        <v>7</v>
      </c>
      <c r="EA643" s="27" t="s">
        <v>8</v>
      </c>
      <c r="EB643" s="27" t="s">
        <v>7</v>
      </c>
      <c r="ED643" s="27" t="s">
        <v>7</v>
      </c>
      <c r="EE643" s="27" t="s">
        <v>8</v>
      </c>
      <c r="EF643" s="27" t="s">
        <v>7</v>
      </c>
      <c r="EG643" s="27" t="s">
        <v>8</v>
      </c>
      <c r="EP643" s="27" t="s">
        <v>7</v>
      </c>
      <c r="EQ643" s="27" t="s">
        <v>8</v>
      </c>
      <c r="ER643" s="27" t="s">
        <v>7</v>
      </c>
      <c r="ES643" s="27" t="s">
        <v>8</v>
      </c>
      <c r="ET643" s="27" t="s">
        <v>7</v>
      </c>
      <c r="EY643" s="27" t="s">
        <v>8</v>
      </c>
      <c r="EZ643" s="27" t="s">
        <v>7</v>
      </c>
      <c r="FA643" s="27" t="s">
        <v>8</v>
      </c>
      <c r="FB643" s="27" t="s">
        <v>7</v>
      </c>
      <c r="FC643" s="27" t="s">
        <v>8</v>
      </c>
      <c r="FK643" s="27" t="s">
        <v>8</v>
      </c>
      <c r="FL643" s="27" t="s">
        <v>7</v>
      </c>
      <c r="FM643" s="27" t="s">
        <v>8</v>
      </c>
      <c r="FO643" s="27" t="s">
        <v>8</v>
      </c>
      <c r="FP643" s="27" t="s">
        <v>7</v>
      </c>
      <c r="FQ643" s="27" t="s">
        <v>8</v>
      </c>
      <c r="GH643" s="27" t="s">
        <v>7</v>
      </c>
      <c r="GI643" s="27" t="s">
        <v>8</v>
      </c>
    </row>
    <row r="644" spans="1:197" x14ac:dyDescent="0.25">
      <c r="A644" s="7">
        <v>0.32343737942449713</v>
      </c>
      <c r="B644"/>
      <c r="C644"/>
      <c r="D644"/>
      <c r="E644"/>
      <c r="N644" s="27" t="s">
        <v>7</v>
      </c>
      <c r="O644" s="27" t="s">
        <v>8</v>
      </c>
      <c r="P644" s="27" t="s">
        <v>7</v>
      </c>
      <c r="Q644" s="27" t="s">
        <v>8</v>
      </c>
      <c r="S644" s="27" t="s">
        <v>8</v>
      </c>
      <c r="X644" s="27" t="s">
        <v>7</v>
      </c>
      <c r="Y644" s="27" t="s">
        <v>8</v>
      </c>
      <c r="AA644" s="27" t="s">
        <v>8</v>
      </c>
      <c r="AC644" s="27" t="s">
        <v>8</v>
      </c>
      <c r="AL644" s="27" t="s">
        <v>7</v>
      </c>
      <c r="AO644" s="27" t="s">
        <v>8</v>
      </c>
      <c r="AP644" s="27" t="s">
        <v>7</v>
      </c>
      <c r="BG644" s="27" t="s">
        <v>8</v>
      </c>
      <c r="BH644" s="27" t="s">
        <v>7</v>
      </c>
      <c r="BI644" s="27" t="s">
        <v>8</v>
      </c>
      <c r="BJ644" s="27" t="s">
        <v>7</v>
      </c>
      <c r="BK644" s="27" t="s">
        <v>8</v>
      </c>
      <c r="BR644" s="27" t="s">
        <v>7</v>
      </c>
      <c r="BU644" s="27" t="s">
        <v>8</v>
      </c>
      <c r="BV644" s="27" t="s">
        <v>7</v>
      </c>
      <c r="BW644" s="27" t="s">
        <v>8</v>
      </c>
      <c r="BX644" s="27" t="s">
        <v>7</v>
      </c>
      <c r="CG644" s="27" t="s">
        <v>8</v>
      </c>
      <c r="CH644" s="27" t="s">
        <v>7</v>
      </c>
      <c r="CI644" s="27" t="s">
        <v>8</v>
      </c>
      <c r="CJ644" s="27" t="s">
        <v>7</v>
      </c>
      <c r="CQ644" s="27" t="s">
        <v>8</v>
      </c>
      <c r="CR644" s="27" t="s">
        <v>7</v>
      </c>
      <c r="CU644" s="27" t="s">
        <v>8</v>
      </c>
      <c r="CW644" s="27" t="s">
        <v>8</v>
      </c>
      <c r="CX644" s="27" t="s">
        <v>7</v>
      </c>
      <c r="CY644" s="27" t="s">
        <v>8</v>
      </c>
      <c r="DI644" s="27" t="s">
        <v>8</v>
      </c>
      <c r="DJ644" s="27" t="s">
        <v>7</v>
      </c>
      <c r="DK644" s="27" t="s">
        <v>8</v>
      </c>
      <c r="DL644" s="27" t="s">
        <v>7</v>
      </c>
      <c r="DM644" s="27" t="s">
        <v>8</v>
      </c>
      <c r="DN644" s="27" t="s">
        <v>7</v>
      </c>
      <c r="DO644" s="27" t="s">
        <v>8</v>
      </c>
      <c r="DR644" s="27" t="s">
        <v>7</v>
      </c>
      <c r="DS644" s="27" t="s">
        <v>8</v>
      </c>
      <c r="DU644" s="27" t="s">
        <v>8</v>
      </c>
      <c r="DV644" s="27" t="s">
        <v>7</v>
      </c>
      <c r="DY644" s="27" t="s">
        <v>8</v>
      </c>
      <c r="DZ644" s="27" t="s">
        <v>7</v>
      </c>
      <c r="EA644" s="27" t="s">
        <v>8</v>
      </c>
      <c r="ED644" s="27" t="s">
        <v>7</v>
      </c>
      <c r="EE644" s="27" t="s">
        <v>8</v>
      </c>
      <c r="EF644" s="27" t="s">
        <v>7</v>
      </c>
      <c r="EG644" s="27" t="s">
        <v>8</v>
      </c>
      <c r="EP644" s="27" t="s">
        <v>7</v>
      </c>
      <c r="EQ644" s="27" t="s">
        <v>8</v>
      </c>
      <c r="ER644" s="27" t="s">
        <v>7</v>
      </c>
      <c r="ES644" s="27" t="s">
        <v>8</v>
      </c>
      <c r="ET644" s="27" t="s">
        <v>7</v>
      </c>
      <c r="EU644" s="27" t="s">
        <v>8</v>
      </c>
      <c r="EW644" s="27" t="s">
        <v>8</v>
      </c>
      <c r="EY644" s="27" t="s">
        <v>8</v>
      </c>
      <c r="EZ644" s="27" t="s">
        <v>7</v>
      </c>
      <c r="FA644" s="27" t="s">
        <v>8</v>
      </c>
      <c r="FB644" s="27" t="s">
        <v>7</v>
      </c>
      <c r="FC644" s="27" t="s">
        <v>8</v>
      </c>
      <c r="FD644" s="27" t="s">
        <v>7</v>
      </c>
      <c r="FK644" s="27" t="s">
        <v>8</v>
      </c>
      <c r="FL644" s="27" t="s">
        <v>7</v>
      </c>
      <c r="FM644" s="27" t="s">
        <v>8</v>
      </c>
      <c r="FN644" s="27" t="s">
        <v>7</v>
      </c>
      <c r="FO644" s="27" t="s">
        <v>8</v>
      </c>
      <c r="FP644" s="27" t="s">
        <v>7</v>
      </c>
      <c r="FQ644" s="27" t="s">
        <v>8</v>
      </c>
      <c r="GH644" s="27" t="s">
        <v>7</v>
      </c>
      <c r="GI644" s="27" t="s">
        <v>8</v>
      </c>
    </row>
    <row r="645" spans="1:197" x14ac:dyDescent="0.25">
      <c r="A645" s="7">
        <v>0.31709547002401678</v>
      </c>
      <c r="B645"/>
      <c r="C645"/>
      <c r="D645"/>
      <c r="E645"/>
      <c r="N645" s="27" t="s">
        <v>7</v>
      </c>
      <c r="O645" s="27" t="s">
        <v>8</v>
      </c>
      <c r="P645" s="27" t="s">
        <v>7</v>
      </c>
      <c r="Q645" s="27" t="s">
        <v>8</v>
      </c>
      <c r="R645" s="27" t="s">
        <v>7</v>
      </c>
      <c r="S645" s="27" t="s">
        <v>8</v>
      </c>
      <c r="X645" s="27" t="s">
        <v>7</v>
      </c>
      <c r="Y645" s="27" t="s">
        <v>8</v>
      </c>
      <c r="Z645" s="27" t="s">
        <v>7</v>
      </c>
      <c r="AA645" s="27" t="s">
        <v>8</v>
      </c>
      <c r="AB645" s="27" t="s">
        <v>7</v>
      </c>
      <c r="AC645" s="27" t="s">
        <v>8</v>
      </c>
      <c r="AL645" s="27" t="s">
        <v>7</v>
      </c>
      <c r="AO645" s="27" t="s">
        <v>8</v>
      </c>
      <c r="AP645" s="27" t="s">
        <v>7</v>
      </c>
      <c r="AS645" s="27" t="s">
        <v>8</v>
      </c>
      <c r="AU645" s="27" t="s">
        <v>8</v>
      </c>
      <c r="BA645" s="27" t="s">
        <v>8</v>
      </c>
      <c r="BG645" s="27" t="s">
        <v>8</v>
      </c>
      <c r="BH645" s="27" t="s">
        <v>7</v>
      </c>
      <c r="BI645" s="27" t="s">
        <v>8</v>
      </c>
      <c r="BJ645" s="27" t="s">
        <v>7</v>
      </c>
      <c r="BK645" s="27" t="s">
        <v>8</v>
      </c>
      <c r="BR645" s="27" t="s">
        <v>7</v>
      </c>
      <c r="BU645" s="27" t="s">
        <v>8</v>
      </c>
      <c r="BV645" s="27" t="s">
        <v>7</v>
      </c>
      <c r="BW645" s="27" t="s">
        <v>8</v>
      </c>
      <c r="BX645" s="27" t="s">
        <v>7</v>
      </c>
      <c r="CG645" s="27" t="s">
        <v>8</v>
      </c>
      <c r="CH645" s="27" t="s">
        <v>7</v>
      </c>
      <c r="CI645" s="27" t="s">
        <v>8</v>
      </c>
      <c r="CJ645" s="27" t="s">
        <v>7</v>
      </c>
      <c r="CQ645" s="27" t="s">
        <v>8</v>
      </c>
      <c r="CR645" s="27" t="s">
        <v>7</v>
      </c>
      <c r="CU645" s="27" t="s">
        <v>8</v>
      </c>
      <c r="CV645" s="27" t="s">
        <v>7</v>
      </c>
      <c r="CW645" s="27" t="s">
        <v>8</v>
      </c>
      <c r="CX645" s="27" t="s">
        <v>7</v>
      </c>
      <c r="CY645" s="27" t="s">
        <v>8</v>
      </c>
      <c r="CZ645" s="27" t="s">
        <v>7</v>
      </c>
      <c r="DE645" s="27" t="s">
        <v>8</v>
      </c>
      <c r="DG645" s="27" t="s">
        <v>8</v>
      </c>
      <c r="DI645" s="27" t="s">
        <v>8</v>
      </c>
      <c r="DJ645" s="27" t="s">
        <v>7</v>
      </c>
      <c r="DK645" s="27" t="s">
        <v>8</v>
      </c>
      <c r="DL645" s="27" t="s">
        <v>7</v>
      </c>
      <c r="DM645" s="27" t="s">
        <v>8</v>
      </c>
      <c r="DN645" s="27" t="s">
        <v>7</v>
      </c>
      <c r="DO645" s="27" t="s">
        <v>8</v>
      </c>
      <c r="DR645" s="27" t="s">
        <v>7</v>
      </c>
      <c r="DS645" s="27" t="s">
        <v>8</v>
      </c>
      <c r="DT645" s="27" t="s">
        <v>7</v>
      </c>
      <c r="DU645" s="27" t="s">
        <v>8</v>
      </c>
      <c r="DV645" s="27" t="s">
        <v>7</v>
      </c>
      <c r="DW645" s="27" t="s">
        <v>8</v>
      </c>
      <c r="DY645" s="27" t="s">
        <v>8</v>
      </c>
      <c r="DZ645" s="27" t="s">
        <v>7</v>
      </c>
      <c r="EA645" s="27" t="s">
        <v>8</v>
      </c>
      <c r="ED645" s="27" t="s">
        <v>7</v>
      </c>
      <c r="EE645" s="27" t="s">
        <v>8</v>
      </c>
      <c r="EF645" s="27" t="s">
        <v>7</v>
      </c>
      <c r="EG645" s="27" t="s">
        <v>8</v>
      </c>
      <c r="EP645" s="27" t="s">
        <v>7</v>
      </c>
      <c r="EQ645" s="27" t="s">
        <v>8</v>
      </c>
      <c r="ER645" s="27" t="s">
        <v>7</v>
      </c>
      <c r="ES645" s="27" t="s">
        <v>8</v>
      </c>
      <c r="ET645" s="27" t="s">
        <v>7</v>
      </c>
      <c r="EU645" s="27" t="s">
        <v>8</v>
      </c>
      <c r="EV645" s="27" t="s">
        <v>7</v>
      </c>
      <c r="EW645" s="27" t="s">
        <v>8</v>
      </c>
      <c r="EX645" s="27" t="s">
        <v>7</v>
      </c>
      <c r="EY645" s="27" t="s">
        <v>8</v>
      </c>
      <c r="EZ645" s="27" t="s">
        <v>7</v>
      </c>
      <c r="FA645" s="27" t="s">
        <v>8</v>
      </c>
      <c r="FB645" s="27" t="s">
        <v>7</v>
      </c>
      <c r="FC645" s="27" t="s">
        <v>8</v>
      </c>
      <c r="FD645" s="27" t="s">
        <v>7</v>
      </c>
      <c r="FK645" s="27" t="s">
        <v>8</v>
      </c>
      <c r="FL645" s="27" t="s">
        <v>7</v>
      </c>
      <c r="FM645" s="27" t="s">
        <v>8</v>
      </c>
      <c r="FN645" s="27" t="s">
        <v>7</v>
      </c>
      <c r="FO645" s="27" t="s">
        <v>8</v>
      </c>
      <c r="FP645" s="27" t="s">
        <v>7</v>
      </c>
      <c r="FQ645" s="27" t="s">
        <v>8</v>
      </c>
      <c r="GH645" s="27" t="s">
        <v>7</v>
      </c>
    </row>
    <row r="646" spans="1:197" x14ac:dyDescent="0.25">
      <c r="A646" s="7">
        <v>0.31087791178825175</v>
      </c>
      <c r="B646"/>
      <c r="C646"/>
      <c r="D646"/>
      <c r="E646"/>
      <c r="N646" s="27" t="s">
        <v>7</v>
      </c>
      <c r="O646" s="27" t="s">
        <v>8</v>
      </c>
      <c r="P646" s="27" t="s">
        <v>7</v>
      </c>
      <c r="Q646" s="27" t="s">
        <v>8</v>
      </c>
      <c r="R646" s="27" t="s">
        <v>7</v>
      </c>
      <c r="S646" s="27" t="s">
        <v>8</v>
      </c>
      <c r="X646" s="27" t="s">
        <v>7</v>
      </c>
      <c r="Y646" s="27" t="s">
        <v>8</v>
      </c>
      <c r="Z646" s="27" t="s">
        <v>7</v>
      </c>
      <c r="AA646" s="27" t="s">
        <v>8</v>
      </c>
      <c r="AB646" s="27" t="s">
        <v>7</v>
      </c>
      <c r="AC646" s="27" t="s">
        <v>8</v>
      </c>
      <c r="AL646" s="27" t="s">
        <v>7</v>
      </c>
      <c r="AO646" s="27" t="s">
        <v>8</v>
      </c>
      <c r="AP646" s="27" t="s">
        <v>7</v>
      </c>
      <c r="AS646" s="27" t="s">
        <v>8</v>
      </c>
      <c r="AT646" s="27" t="s">
        <v>7</v>
      </c>
      <c r="AU646" s="27" t="s">
        <v>8</v>
      </c>
      <c r="AV646" s="27" t="s">
        <v>7</v>
      </c>
      <c r="BA646" s="27" t="s">
        <v>8</v>
      </c>
      <c r="BB646" s="27" t="s">
        <v>7</v>
      </c>
      <c r="BG646" s="27" t="s">
        <v>8</v>
      </c>
      <c r="BH646" s="27" t="s">
        <v>7</v>
      </c>
      <c r="BJ646" s="27" t="s">
        <v>7</v>
      </c>
      <c r="BR646" s="27" t="s">
        <v>7</v>
      </c>
      <c r="BU646" s="27" t="s">
        <v>8</v>
      </c>
      <c r="BV646" s="27" t="s">
        <v>7</v>
      </c>
      <c r="BW646" s="27" t="s">
        <v>8</v>
      </c>
      <c r="BX646" s="27" t="s">
        <v>7</v>
      </c>
      <c r="CG646" s="27" t="s">
        <v>8</v>
      </c>
      <c r="CH646" s="27" t="s">
        <v>7</v>
      </c>
      <c r="CI646" s="27" t="s">
        <v>8</v>
      </c>
      <c r="CJ646" s="27" t="s">
        <v>7</v>
      </c>
      <c r="CQ646" s="27" t="s">
        <v>8</v>
      </c>
      <c r="CR646" s="27" t="s">
        <v>7</v>
      </c>
      <c r="CS646" s="27" t="s">
        <v>8</v>
      </c>
      <c r="CU646" s="27" t="s">
        <v>8</v>
      </c>
      <c r="CV646" s="27" t="s">
        <v>7</v>
      </c>
      <c r="CW646" s="27" t="s">
        <v>8</v>
      </c>
      <c r="CX646" s="27" t="s">
        <v>7</v>
      </c>
      <c r="CY646" s="27" t="s">
        <v>8</v>
      </c>
      <c r="CZ646" s="27" t="s">
        <v>7</v>
      </c>
      <c r="DA646" s="27" t="s">
        <v>8</v>
      </c>
      <c r="DE646" s="27" t="s">
        <v>8</v>
      </c>
      <c r="DF646" s="27" t="s">
        <v>7</v>
      </c>
      <c r="DG646" s="27" t="s">
        <v>8</v>
      </c>
      <c r="DH646" s="27" t="s">
        <v>7</v>
      </c>
      <c r="DI646" s="27" t="s">
        <v>8</v>
      </c>
      <c r="DJ646" s="27" t="s">
        <v>7</v>
      </c>
      <c r="DK646" s="27" t="s">
        <v>8</v>
      </c>
      <c r="DL646" s="27" t="s">
        <v>7</v>
      </c>
      <c r="DM646" s="27" t="s">
        <v>8</v>
      </c>
      <c r="DN646" s="27" t="s">
        <v>7</v>
      </c>
      <c r="DR646" s="27" t="s">
        <v>7</v>
      </c>
      <c r="DS646" s="27" t="s">
        <v>8</v>
      </c>
      <c r="DT646" s="27" t="s">
        <v>7</v>
      </c>
      <c r="DU646" s="27" t="s">
        <v>8</v>
      </c>
      <c r="DV646" s="27" t="s">
        <v>7</v>
      </c>
      <c r="DW646" s="27" t="s">
        <v>8</v>
      </c>
      <c r="DX646" s="27" t="s">
        <v>7</v>
      </c>
      <c r="DY646" s="27" t="s">
        <v>8</v>
      </c>
      <c r="DZ646" s="27" t="s">
        <v>7</v>
      </c>
      <c r="ED646" s="27" t="s">
        <v>7</v>
      </c>
      <c r="EE646" s="27" t="s">
        <v>8</v>
      </c>
      <c r="EF646" s="27" t="s">
        <v>7</v>
      </c>
      <c r="EP646" s="27" t="s">
        <v>7</v>
      </c>
      <c r="EQ646" s="27" t="s">
        <v>8</v>
      </c>
      <c r="ER646" s="27" t="s">
        <v>7</v>
      </c>
      <c r="ES646" s="27" t="s">
        <v>8</v>
      </c>
      <c r="ET646" s="27" t="s">
        <v>7</v>
      </c>
      <c r="EU646" s="27" t="s">
        <v>8</v>
      </c>
      <c r="EV646" s="27" t="s">
        <v>7</v>
      </c>
      <c r="EW646" s="27" t="s">
        <v>8</v>
      </c>
      <c r="EX646" s="27" t="s">
        <v>7</v>
      </c>
      <c r="EY646" s="27" t="s">
        <v>8</v>
      </c>
      <c r="EZ646" s="27" t="s">
        <v>7</v>
      </c>
      <c r="FB646" s="27" t="s">
        <v>7</v>
      </c>
      <c r="FC646" s="27" t="s">
        <v>8</v>
      </c>
      <c r="FD646" s="27" t="s">
        <v>7</v>
      </c>
      <c r="FG646" s="27" t="s">
        <v>8</v>
      </c>
      <c r="FI646" s="27" t="s">
        <v>8</v>
      </c>
      <c r="FK646" s="27" t="s">
        <v>8</v>
      </c>
      <c r="FL646" s="27" t="s">
        <v>7</v>
      </c>
      <c r="FM646" s="27" t="s">
        <v>8</v>
      </c>
      <c r="FN646" s="27" t="s">
        <v>7</v>
      </c>
      <c r="FP646" s="27" t="s">
        <v>7</v>
      </c>
      <c r="FQ646" s="27" t="s">
        <v>8</v>
      </c>
    </row>
    <row r="647" spans="1:197" x14ac:dyDescent="0.25">
      <c r="A647" s="7">
        <v>0.30478226645907036</v>
      </c>
      <c r="B647"/>
      <c r="C647"/>
      <c r="D647"/>
      <c r="E647"/>
      <c r="N647" s="27" t="s">
        <v>7</v>
      </c>
      <c r="O647" s="27" t="s">
        <v>8</v>
      </c>
      <c r="P647" s="27" t="s">
        <v>7</v>
      </c>
      <c r="R647" s="27" t="s">
        <v>7</v>
      </c>
      <c r="S647" s="27" t="s">
        <v>8</v>
      </c>
      <c r="X647" s="27" t="s">
        <v>7</v>
      </c>
      <c r="Z647" s="27" t="s">
        <v>7</v>
      </c>
      <c r="AA647" s="27" t="s">
        <v>8</v>
      </c>
      <c r="AB647" s="27" t="s">
        <v>7</v>
      </c>
      <c r="AC647" s="27" t="s">
        <v>8</v>
      </c>
      <c r="AL647" s="27" t="s">
        <v>7</v>
      </c>
      <c r="AM647" s="27" t="s">
        <v>8</v>
      </c>
      <c r="AO647" s="27" t="s">
        <v>8</v>
      </c>
      <c r="AP647" s="27" t="s">
        <v>7</v>
      </c>
      <c r="AQ647" s="27" t="s">
        <v>8</v>
      </c>
      <c r="AS647" s="27" t="s">
        <v>8</v>
      </c>
      <c r="AT647" s="27" t="s">
        <v>7</v>
      </c>
      <c r="AU647" s="27" t="s">
        <v>8</v>
      </c>
      <c r="AV647" s="27" t="s">
        <v>7</v>
      </c>
      <c r="BA647" s="27" t="s">
        <v>8</v>
      </c>
      <c r="BB647" s="27" t="s">
        <v>7</v>
      </c>
      <c r="BG647" s="27" t="s">
        <v>8</v>
      </c>
      <c r="BR647" s="27" t="s">
        <v>7</v>
      </c>
      <c r="BU647" s="27" t="s">
        <v>8</v>
      </c>
      <c r="BV647" s="27" t="s">
        <v>7</v>
      </c>
      <c r="BW647" s="27" t="s">
        <v>8</v>
      </c>
      <c r="BX647" s="27" t="s">
        <v>7</v>
      </c>
      <c r="CG647" s="27" t="s">
        <v>8</v>
      </c>
      <c r="CH647" s="27" t="s">
        <v>7</v>
      </c>
      <c r="CI647" s="27" t="s">
        <v>8</v>
      </c>
      <c r="CJ647" s="27" t="s">
        <v>7</v>
      </c>
      <c r="CK647" s="27" t="s">
        <v>8</v>
      </c>
      <c r="CQ647" s="27" t="s">
        <v>8</v>
      </c>
      <c r="CR647" s="27" t="s">
        <v>7</v>
      </c>
      <c r="CS647" s="27" t="s">
        <v>8</v>
      </c>
      <c r="CT647" s="27" t="s">
        <v>7</v>
      </c>
      <c r="CU647" s="27" t="s">
        <v>8</v>
      </c>
      <c r="CV647" s="27" t="s">
        <v>7</v>
      </c>
      <c r="CX647" s="27" t="s">
        <v>7</v>
      </c>
      <c r="CY647" s="27" t="s">
        <v>8</v>
      </c>
      <c r="CZ647" s="27" t="s">
        <v>7</v>
      </c>
      <c r="DA647" s="27" t="s">
        <v>8</v>
      </c>
      <c r="DB647" s="27" t="s">
        <v>7</v>
      </c>
      <c r="DC647" s="27" t="s">
        <v>8</v>
      </c>
      <c r="DE647" s="27" t="s">
        <v>8</v>
      </c>
      <c r="DF647" s="27" t="s">
        <v>7</v>
      </c>
      <c r="DG647" s="27" t="s">
        <v>8</v>
      </c>
      <c r="DH647" s="27" t="s">
        <v>7</v>
      </c>
      <c r="DI647" s="27" t="s">
        <v>8</v>
      </c>
      <c r="DJ647" s="27" t="s">
        <v>7</v>
      </c>
      <c r="DL647" s="27" t="s">
        <v>7</v>
      </c>
      <c r="DM647" s="27" t="s">
        <v>8</v>
      </c>
      <c r="DR647" s="27" t="s">
        <v>7</v>
      </c>
      <c r="DT647" s="27" t="s">
        <v>7</v>
      </c>
      <c r="DU647" s="27" t="s">
        <v>8</v>
      </c>
      <c r="DV647" s="27" t="s">
        <v>7</v>
      </c>
      <c r="DW647" s="27" t="s">
        <v>8</v>
      </c>
      <c r="DX647" s="27" t="s">
        <v>7</v>
      </c>
      <c r="DY647" s="27" t="s">
        <v>8</v>
      </c>
      <c r="ED647" s="27" t="s">
        <v>7</v>
      </c>
      <c r="EP647" s="27" t="s">
        <v>7</v>
      </c>
      <c r="EQ647" s="27" t="s">
        <v>8</v>
      </c>
      <c r="ER647" s="27" t="s">
        <v>7</v>
      </c>
      <c r="ES647" s="27" t="s">
        <v>8</v>
      </c>
      <c r="ET647" s="27" t="s">
        <v>7</v>
      </c>
      <c r="EV647" s="27" t="s">
        <v>7</v>
      </c>
      <c r="EW647" s="27" t="s">
        <v>8</v>
      </c>
      <c r="EX647" s="27" t="s">
        <v>7</v>
      </c>
      <c r="EY647" s="27" t="s">
        <v>8</v>
      </c>
      <c r="FB647" s="27" t="s">
        <v>7</v>
      </c>
      <c r="FD647" s="27" t="s">
        <v>7</v>
      </c>
      <c r="FE647" s="27" t="s">
        <v>8</v>
      </c>
      <c r="FG647" s="27" t="s">
        <v>8</v>
      </c>
      <c r="FH647" s="27" t="s">
        <v>7</v>
      </c>
      <c r="FI647" s="27" t="s">
        <v>8</v>
      </c>
      <c r="FJ647" s="27" t="s">
        <v>7</v>
      </c>
      <c r="FK647" s="27" t="s">
        <v>8</v>
      </c>
      <c r="FL647" s="27" t="s">
        <v>7</v>
      </c>
      <c r="FM647" s="27" t="s">
        <v>8</v>
      </c>
      <c r="FP647" s="27" t="s">
        <v>7</v>
      </c>
    </row>
    <row r="648" spans="1:197" x14ac:dyDescent="0.25">
      <c r="A648" s="7">
        <v>0.29880614358732388</v>
      </c>
      <c r="B648"/>
      <c r="C648"/>
      <c r="D648"/>
      <c r="E648"/>
      <c r="N648" s="27" t="s">
        <v>7</v>
      </c>
      <c r="R648" s="27" t="s">
        <v>7</v>
      </c>
      <c r="S648" s="27" t="s">
        <v>8</v>
      </c>
      <c r="Z648" s="27" t="s">
        <v>7</v>
      </c>
      <c r="AA648" s="27" t="s">
        <v>8</v>
      </c>
      <c r="AB648" s="27" t="s">
        <v>7</v>
      </c>
      <c r="AC648" s="27" t="s">
        <v>8</v>
      </c>
      <c r="AL648" s="27" t="s">
        <v>7</v>
      </c>
      <c r="AM648" s="27" t="s">
        <v>8</v>
      </c>
      <c r="AN648" s="27" t="s">
        <v>7</v>
      </c>
      <c r="AO648" s="27" t="s">
        <v>8</v>
      </c>
      <c r="AP648" s="27" t="s">
        <v>7</v>
      </c>
      <c r="AQ648" s="27" t="s">
        <v>8</v>
      </c>
      <c r="AR648" s="27" t="s">
        <v>7</v>
      </c>
      <c r="AS648" s="27" t="s">
        <v>8</v>
      </c>
      <c r="AT648" s="27" t="s">
        <v>7</v>
      </c>
      <c r="AV648" s="27" t="s">
        <v>7</v>
      </c>
      <c r="BA648" s="27" t="s">
        <v>8</v>
      </c>
      <c r="BB648" s="27" t="s">
        <v>7</v>
      </c>
      <c r="BG648" s="27" t="s">
        <v>8</v>
      </c>
      <c r="BR648" s="27" t="s">
        <v>7</v>
      </c>
      <c r="BS648" s="27" t="s">
        <v>8</v>
      </c>
      <c r="BU648" s="27" t="s">
        <v>8</v>
      </c>
      <c r="BV648" s="27" t="s">
        <v>7</v>
      </c>
      <c r="BX648" s="27" t="s">
        <v>7</v>
      </c>
      <c r="CG648" s="27" t="s">
        <v>8</v>
      </c>
      <c r="CH648" s="27" t="s">
        <v>7</v>
      </c>
      <c r="CI648" s="27" t="s">
        <v>8</v>
      </c>
      <c r="CJ648" s="27" t="s">
        <v>7</v>
      </c>
      <c r="CK648" s="27" t="s">
        <v>8</v>
      </c>
      <c r="CL648" s="27" t="s">
        <v>7</v>
      </c>
      <c r="CQ648" s="27" t="s">
        <v>8</v>
      </c>
      <c r="CR648" s="27" t="s">
        <v>7</v>
      </c>
      <c r="CS648" s="27" t="s">
        <v>8</v>
      </c>
      <c r="CT648" s="27" t="s">
        <v>7</v>
      </c>
      <c r="CU648" s="27" t="s">
        <v>8</v>
      </c>
      <c r="CX648" s="27" t="s">
        <v>7</v>
      </c>
      <c r="CZ648" s="27" t="s">
        <v>7</v>
      </c>
      <c r="DA648" s="27" t="s">
        <v>8</v>
      </c>
      <c r="DB648" s="27" t="s">
        <v>7</v>
      </c>
      <c r="DC648" s="27" t="s">
        <v>8</v>
      </c>
      <c r="DD648" s="27" t="s">
        <v>7</v>
      </c>
      <c r="DE648" s="27" t="s">
        <v>8</v>
      </c>
      <c r="DF648" s="27" t="s">
        <v>7</v>
      </c>
      <c r="DG648" s="27" t="s">
        <v>8</v>
      </c>
      <c r="DH648" s="27" t="s">
        <v>7</v>
      </c>
      <c r="DI648" s="27" t="s">
        <v>8</v>
      </c>
      <c r="DL648" s="27" t="s">
        <v>7</v>
      </c>
      <c r="DM648" s="27" t="s">
        <v>8</v>
      </c>
      <c r="DT648" s="27" t="s">
        <v>7</v>
      </c>
      <c r="DU648" s="27" t="s">
        <v>8</v>
      </c>
      <c r="DV648" s="27" t="s">
        <v>7</v>
      </c>
      <c r="DW648" s="27" t="s">
        <v>8</v>
      </c>
      <c r="DX648" s="27" t="s">
        <v>7</v>
      </c>
      <c r="EP648" s="27" t="s">
        <v>7</v>
      </c>
      <c r="EQ648" s="27" t="s">
        <v>8</v>
      </c>
      <c r="ER648" s="27" t="s">
        <v>7</v>
      </c>
      <c r="ES648" s="27" t="s">
        <v>8</v>
      </c>
      <c r="EV648" s="27" t="s">
        <v>7</v>
      </c>
      <c r="EW648" s="27" t="s">
        <v>8</v>
      </c>
      <c r="EX648" s="27" t="s">
        <v>7</v>
      </c>
      <c r="EY648" s="27" t="s">
        <v>8</v>
      </c>
      <c r="FD648" s="27" t="s">
        <v>7</v>
      </c>
      <c r="FE648" s="27" t="s">
        <v>8</v>
      </c>
      <c r="FF648" s="27" t="s">
        <v>7</v>
      </c>
      <c r="FG648" s="27" t="s">
        <v>8</v>
      </c>
      <c r="FH648" s="27" t="s">
        <v>7</v>
      </c>
      <c r="FI648" s="27" t="s">
        <v>8</v>
      </c>
      <c r="FJ648" s="27" t="s">
        <v>7</v>
      </c>
      <c r="FK648" s="27" t="s">
        <v>8</v>
      </c>
      <c r="FL648" s="27" t="s">
        <v>7</v>
      </c>
    </row>
    <row r="649" spans="1:197" x14ac:dyDescent="0.25">
      <c r="A649" s="7">
        <v>0.2929471995954156</v>
      </c>
      <c r="B649"/>
      <c r="C649"/>
      <c r="D649"/>
      <c r="E649"/>
      <c r="R649" s="27" t="s">
        <v>7</v>
      </c>
      <c r="S649" s="27" t="s">
        <v>8</v>
      </c>
      <c r="Z649" s="27" t="s">
        <v>7</v>
      </c>
      <c r="AA649" s="27" t="s">
        <v>8</v>
      </c>
      <c r="AB649" s="27" t="s">
        <v>7</v>
      </c>
      <c r="AL649" s="27" t="s">
        <v>7</v>
      </c>
      <c r="AM649" s="27" t="s">
        <v>8</v>
      </c>
      <c r="AN649" s="27" t="s">
        <v>7</v>
      </c>
      <c r="AO649" s="27" t="s">
        <v>8</v>
      </c>
      <c r="AP649" s="27" t="s">
        <v>7</v>
      </c>
      <c r="AQ649" s="27" t="s">
        <v>8</v>
      </c>
      <c r="AR649" s="27" t="s">
        <v>7</v>
      </c>
      <c r="AS649" s="27" t="s">
        <v>8</v>
      </c>
      <c r="AV649" s="27" t="s">
        <v>7</v>
      </c>
      <c r="BA649" s="27" t="s">
        <v>8</v>
      </c>
      <c r="BB649" s="27" t="s">
        <v>7</v>
      </c>
      <c r="BG649" s="27" t="s">
        <v>8</v>
      </c>
      <c r="BR649" s="27" t="s">
        <v>7</v>
      </c>
      <c r="BS649" s="27" t="s">
        <v>8</v>
      </c>
      <c r="BT649" s="27" t="s">
        <v>7</v>
      </c>
      <c r="BU649" s="27" t="s">
        <v>8</v>
      </c>
      <c r="BX649" s="27" t="s">
        <v>7</v>
      </c>
      <c r="CG649" s="27" t="s">
        <v>8</v>
      </c>
      <c r="CH649" s="27" t="s">
        <v>7</v>
      </c>
      <c r="CI649" s="27" t="s">
        <v>8</v>
      </c>
      <c r="CJ649" s="27" t="s">
        <v>7</v>
      </c>
      <c r="CK649" s="27" t="s">
        <v>8</v>
      </c>
      <c r="CL649" s="27" t="s">
        <v>7</v>
      </c>
      <c r="CQ649" s="27" t="s">
        <v>8</v>
      </c>
      <c r="CR649" s="27" t="s">
        <v>7</v>
      </c>
      <c r="CS649" s="27" t="s">
        <v>8</v>
      </c>
      <c r="CT649" s="27" t="s">
        <v>7</v>
      </c>
      <c r="CZ649" s="27" t="s">
        <v>7</v>
      </c>
      <c r="DA649" s="27" t="s">
        <v>8</v>
      </c>
      <c r="DB649" s="27" t="s">
        <v>7</v>
      </c>
      <c r="DC649" s="27" t="s">
        <v>8</v>
      </c>
      <c r="DD649" s="27" t="s">
        <v>7</v>
      </c>
      <c r="DE649" s="27" t="s">
        <v>8</v>
      </c>
      <c r="DF649" s="27" t="s">
        <v>7</v>
      </c>
      <c r="DG649" s="27" t="s">
        <v>8</v>
      </c>
      <c r="DH649" s="27" t="s">
        <v>7</v>
      </c>
      <c r="DL649" s="27" t="s">
        <v>7</v>
      </c>
      <c r="DT649" s="27" t="s">
        <v>7</v>
      </c>
      <c r="DU649" s="27" t="s">
        <v>8</v>
      </c>
      <c r="DV649" s="27" t="s">
        <v>7</v>
      </c>
      <c r="DW649" s="27" t="s">
        <v>8</v>
      </c>
      <c r="EP649" s="27" t="s">
        <v>7</v>
      </c>
      <c r="EQ649" s="27" t="s">
        <v>8</v>
      </c>
      <c r="ER649" s="27" t="s">
        <v>7</v>
      </c>
      <c r="ES649" s="27" t="s">
        <v>8</v>
      </c>
      <c r="EV649" s="27" t="s">
        <v>7</v>
      </c>
      <c r="EW649" s="27" t="s">
        <v>8</v>
      </c>
      <c r="EX649" s="27" t="s">
        <v>7</v>
      </c>
      <c r="FD649" s="27" t="s">
        <v>7</v>
      </c>
      <c r="FE649" s="27" t="s">
        <v>8</v>
      </c>
      <c r="FF649" s="27" t="s">
        <v>7</v>
      </c>
      <c r="FG649" s="27" t="s">
        <v>8</v>
      </c>
      <c r="FH649" s="27" t="s">
        <v>7</v>
      </c>
      <c r="FI649" s="27" t="s">
        <v>8</v>
      </c>
      <c r="FJ649" s="27" t="s">
        <v>7</v>
      </c>
    </row>
    <row r="650" spans="1:197" x14ac:dyDescent="0.25">
      <c r="A650" s="7">
        <v>0.28720313685825055</v>
      </c>
      <c r="B650"/>
      <c r="C650"/>
      <c r="D650"/>
      <c r="E650"/>
      <c r="R650" s="27" t="s">
        <v>7</v>
      </c>
      <c r="S650" s="27" t="s">
        <v>8</v>
      </c>
      <c r="Z650" s="27" t="s">
        <v>7</v>
      </c>
      <c r="AA650" s="27" t="s">
        <v>8</v>
      </c>
      <c r="AL650" s="27" t="s">
        <v>7</v>
      </c>
      <c r="AM650" s="27" t="s">
        <v>8</v>
      </c>
      <c r="AN650" s="27" t="s">
        <v>7</v>
      </c>
      <c r="AO650" s="27" t="s">
        <v>8</v>
      </c>
      <c r="AP650" s="27" t="s">
        <v>7</v>
      </c>
      <c r="AR650" s="27" t="s">
        <v>7</v>
      </c>
      <c r="AV650" s="27" t="s">
        <v>7</v>
      </c>
      <c r="BA650" s="27" t="s">
        <v>8</v>
      </c>
      <c r="BB650" s="27" t="s">
        <v>7</v>
      </c>
      <c r="BE650" s="27" t="s">
        <v>8</v>
      </c>
      <c r="BG650" s="27" t="s">
        <v>8</v>
      </c>
      <c r="BR650" s="27" t="s">
        <v>7</v>
      </c>
      <c r="BS650" s="27" t="s">
        <v>8</v>
      </c>
      <c r="BT650" s="27" t="s">
        <v>7</v>
      </c>
      <c r="BU650" s="27" t="s">
        <v>8</v>
      </c>
      <c r="BX650" s="27" t="s">
        <v>7</v>
      </c>
      <c r="CG650" s="27" t="s">
        <v>8</v>
      </c>
      <c r="CH650" s="27" t="s">
        <v>7</v>
      </c>
      <c r="CJ650" s="27" t="s">
        <v>7</v>
      </c>
      <c r="CK650" s="27" t="s">
        <v>8</v>
      </c>
      <c r="CL650" s="27" t="s">
        <v>7</v>
      </c>
      <c r="CQ650" s="27" t="s">
        <v>8</v>
      </c>
      <c r="CR650" s="27" t="s">
        <v>7</v>
      </c>
      <c r="CZ650" s="27" t="s">
        <v>7</v>
      </c>
      <c r="DB650" s="27" t="s">
        <v>7</v>
      </c>
      <c r="DC650" s="27" t="s">
        <v>8</v>
      </c>
      <c r="DD650" s="27" t="s">
        <v>7</v>
      </c>
      <c r="DE650" s="27" t="s">
        <v>8</v>
      </c>
      <c r="DF650" s="27" t="s">
        <v>7</v>
      </c>
      <c r="DT650" s="27" t="s">
        <v>7</v>
      </c>
      <c r="DV650" s="27" t="s">
        <v>7</v>
      </c>
      <c r="EP650" s="27" t="s">
        <v>7</v>
      </c>
      <c r="EQ650" s="27" t="s">
        <v>8</v>
      </c>
      <c r="ER650" s="27" t="s">
        <v>7</v>
      </c>
      <c r="ES650" s="27" t="s">
        <v>8</v>
      </c>
      <c r="EV650" s="27" t="s">
        <v>7</v>
      </c>
      <c r="EW650" s="27" t="s">
        <v>8</v>
      </c>
      <c r="FD650" s="27" t="s">
        <v>7</v>
      </c>
      <c r="FE650" s="27" t="s">
        <v>8</v>
      </c>
      <c r="FF650" s="27" t="s">
        <v>7</v>
      </c>
      <c r="FG650" s="27" t="s">
        <v>8</v>
      </c>
      <c r="FH650" s="27" t="s">
        <v>7</v>
      </c>
      <c r="FI650" s="27" t="s">
        <v>8</v>
      </c>
    </row>
    <row r="651" spans="1:197" x14ac:dyDescent="0.25">
      <c r="A651" s="7">
        <v>0.28157170280220645</v>
      </c>
      <c r="B651"/>
      <c r="C651"/>
      <c r="D651"/>
      <c r="E651"/>
      <c r="R651" s="27" t="s">
        <v>7</v>
      </c>
      <c r="S651" s="27" t="s">
        <v>8</v>
      </c>
      <c r="Z651" s="27" t="s">
        <v>7</v>
      </c>
      <c r="AA651" s="27" t="s">
        <v>8</v>
      </c>
      <c r="AL651" s="27" t="s">
        <v>7</v>
      </c>
      <c r="AM651" s="27" t="s">
        <v>8</v>
      </c>
      <c r="AN651" s="27" t="s">
        <v>7</v>
      </c>
      <c r="AO651" s="27" t="s">
        <v>8</v>
      </c>
      <c r="AV651" s="27" t="s">
        <v>7</v>
      </c>
      <c r="BA651" s="27" t="s">
        <v>8</v>
      </c>
      <c r="BB651" s="27" t="s">
        <v>7</v>
      </c>
      <c r="BE651" s="27" t="s">
        <v>8</v>
      </c>
      <c r="BF651" s="27" t="s">
        <v>7</v>
      </c>
      <c r="BG651" s="27" t="s">
        <v>8</v>
      </c>
      <c r="BR651" s="27" t="s">
        <v>7</v>
      </c>
      <c r="BS651" s="27" t="s">
        <v>8</v>
      </c>
      <c r="BT651" s="27" t="s">
        <v>7</v>
      </c>
      <c r="BU651" s="27" t="s">
        <v>8</v>
      </c>
      <c r="BX651" s="27" t="s">
        <v>7</v>
      </c>
      <c r="CG651" s="27" t="s">
        <v>8</v>
      </c>
      <c r="CJ651" s="27" t="s">
        <v>7</v>
      </c>
      <c r="CK651" s="27" t="s">
        <v>8</v>
      </c>
      <c r="CL651" s="27" t="s">
        <v>7</v>
      </c>
      <c r="CQ651" s="27" t="s">
        <v>8</v>
      </c>
      <c r="DB651" s="27" t="s">
        <v>7</v>
      </c>
      <c r="DC651" s="27" t="s">
        <v>8</v>
      </c>
      <c r="DD651" s="27" t="s">
        <v>7</v>
      </c>
      <c r="EP651" s="27" t="s">
        <v>7</v>
      </c>
      <c r="EQ651" s="27" t="s">
        <v>8</v>
      </c>
      <c r="ER651" s="27" t="s">
        <v>7</v>
      </c>
      <c r="EV651" s="27" t="s">
        <v>7</v>
      </c>
      <c r="FD651" s="27" t="s">
        <v>7</v>
      </c>
      <c r="FE651" s="27" t="s">
        <v>8</v>
      </c>
      <c r="FF651" s="27" t="s">
        <v>7</v>
      </c>
      <c r="FG651" s="27" t="s">
        <v>8</v>
      </c>
      <c r="FH651" s="27" t="s">
        <v>7</v>
      </c>
    </row>
    <row r="652" spans="1:197" x14ac:dyDescent="0.25">
      <c r="A652" s="7">
        <v>0.27605068902177105</v>
      </c>
      <c r="B652"/>
      <c r="C652"/>
      <c r="D652"/>
      <c r="E652"/>
      <c r="R652" s="27" t="s">
        <v>7</v>
      </c>
      <c r="S652" s="27" t="s">
        <v>8</v>
      </c>
      <c r="Z652" s="27" t="s">
        <v>7</v>
      </c>
      <c r="AA652" s="27" t="s">
        <v>8</v>
      </c>
      <c r="AL652" s="27" t="s">
        <v>7</v>
      </c>
      <c r="AM652" s="27" t="s">
        <v>8</v>
      </c>
      <c r="AN652" s="27" t="s">
        <v>7</v>
      </c>
      <c r="AO652" s="27" t="s">
        <v>8</v>
      </c>
      <c r="AV652" s="27" t="s">
        <v>7</v>
      </c>
      <c r="BA652" s="27" t="s">
        <v>8</v>
      </c>
      <c r="BB652" s="27" t="s">
        <v>7</v>
      </c>
      <c r="BE652" s="27" t="s">
        <v>8</v>
      </c>
      <c r="BF652" s="27" t="s">
        <v>7</v>
      </c>
      <c r="BG652" s="27" t="s">
        <v>8</v>
      </c>
      <c r="BR652" s="27" t="s">
        <v>7</v>
      </c>
      <c r="BS652" s="27" t="s">
        <v>8</v>
      </c>
      <c r="BT652" s="27" t="s">
        <v>7</v>
      </c>
      <c r="BU652" s="27" t="s">
        <v>8</v>
      </c>
      <c r="BX652" s="27" t="s">
        <v>7</v>
      </c>
      <c r="CG652" s="27" t="s">
        <v>8</v>
      </c>
      <c r="CJ652" s="27" t="s">
        <v>7</v>
      </c>
      <c r="CK652" s="27" t="s">
        <v>8</v>
      </c>
      <c r="CL652" s="27" t="s">
        <v>7</v>
      </c>
      <c r="CQ652" s="27" t="s">
        <v>8</v>
      </c>
      <c r="DB652" s="27" t="s">
        <v>7</v>
      </c>
      <c r="DC652" s="27" t="s">
        <v>8</v>
      </c>
      <c r="EP652" s="27" t="s">
        <v>7</v>
      </c>
      <c r="EQ652" s="27" t="s">
        <v>8</v>
      </c>
      <c r="FD652" s="27" t="s">
        <v>7</v>
      </c>
      <c r="FF652" s="27" t="s">
        <v>7</v>
      </c>
      <c r="FG652" s="27" t="s">
        <v>8</v>
      </c>
    </row>
    <row r="653" spans="1:197" x14ac:dyDescent="0.25">
      <c r="A653" s="7">
        <v>0.27063793041350104</v>
      </c>
      <c r="B653"/>
      <c r="C653"/>
      <c r="D653"/>
      <c r="E653"/>
      <c r="R653" s="27" t="s">
        <v>7</v>
      </c>
      <c r="S653" s="27" t="s">
        <v>8</v>
      </c>
      <c r="Z653" s="27" t="s">
        <v>7</v>
      </c>
      <c r="AA653" s="27" t="s">
        <v>8</v>
      </c>
      <c r="AL653" s="27" t="s">
        <v>7</v>
      </c>
      <c r="AM653" s="27" t="s">
        <v>8</v>
      </c>
      <c r="AN653" s="27" t="s">
        <v>7</v>
      </c>
      <c r="AO653" s="27" t="s">
        <v>8</v>
      </c>
      <c r="AV653" s="27" t="s">
        <v>7</v>
      </c>
      <c r="BA653" s="27" t="s">
        <v>8</v>
      </c>
      <c r="BB653" s="27" t="s">
        <v>7</v>
      </c>
      <c r="BE653" s="27" t="s">
        <v>8</v>
      </c>
      <c r="BF653" s="27" t="s">
        <v>7</v>
      </c>
      <c r="BG653" s="27" t="s">
        <v>8</v>
      </c>
      <c r="BR653" s="27" t="s">
        <v>7</v>
      </c>
      <c r="BS653" s="27" t="s">
        <v>8</v>
      </c>
      <c r="BT653" s="27" t="s">
        <v>7</v>
      </c>
      <c r="BX653" s="27" t="s">
        <v>7</v>
      </c>
      <c r="BY653" s="27" t="s">
        <v>8</v>
      </c>
      <c r="CG653" s="27" t="s">
        <v>8</v>
      </c>
      <c r="CJ653" s="27" t="s">
        <v>7</v>
      </c>
      <c r="CK653" s="27" t="s">
        <v>8</v>
      </c>
      <c r="CL653" s="27" t="s">
        <v>7</v>
      </c>
      <c r="CQ653" s="27" t="s">
        <v>8</v>
      </c>
      <c r="DB653" s="27" t="s">
        <v>7</v>
      </c>
      <c r="DC653" s="27" t="s">
        <v>8</v>
      </c>
      <c r="EP653" s="27" t="s">
        <v>7</v>
      </c>
      <c r="FF653" s="27" t="s">
        <v>7</v>
      </c>
    </row>
    <row r="654" spans="1:197" x14ac:dyDescent="0.25">
      <c r="A654" s="7">
        <v>0.26533130432696184</v>
      </c>
      <c r="B654"/>
      <c r="C654"/>
      <c r="D654"/>
      <c r="E654"/>
      <c r="R654" s="27" t="s">
        <v>7</v>
      </c>
      <c r="S654" s="27" t="s">
        <v>8</v>
      </c>
      <c r="Z654" s="27" t="s">
        <v>7</v>
      </c>
      <c r="AL654" s="27" t="s">
        <v>7</v>
      </c>
      <c r="AN654" s="27" t="s">
        <v>7</v>
      </c>
      <c r="AO654" s="27" t="s">
        <v>8</v>
      </c>
      <c r="AV654" s="27" t="s">
        <v>7</v>
      </c>
      <c r="BA654" s="27" t="s">
        <v>8</v>
      </c>
      <c r="BB654" s="27" t="s">
        <v>7</v>
      </c>
      <c r="BE654" s="27" t="s">
        <v>8</v>
      </c>
      <c r="BF654" s="27" t="s">
        <v>7</v>
      </c>
      <c r="BG654" s="27" t="s">
        <v>8</v>
      </c>
      <c r="BR654" s="27" t="s">
        <v>7</v>
      </c>
      <c r="BS654" s="27" t="s">
        <v>8</v>
      </c>
      <c r="BX654" s="27" t="s">
        <v>7</v>
      </c>
      <c r="BY654" s="27" t="s">
        <v>8</v>
      </c>
      <c r="BZ654" s="27" t="s">
        <v>7</v>
      </c>
      <c r="CG654" s="27" t="s">
        <v>8</v>
      </c>
      <c r="CJ654" s="27" t="s">
        <v>7</v>
      </c>
      <c r="CL654" s="27" t="s">
        <v>7</v>
      </c>
      <c r="CQ654" s="27" t="s">
        <v>8</v>
      </c>
      <c r="DB654" s="27" t="s">
        <v>7</v>
      </c>
      <c r="DC654" s="27" t="s">
        <v>8</v>
      </c>
    </row>
    <row r="655" spans="1:197" x14ac:dyDescent="0.25">
      <c r="A655" s="7">
        <v>0.26012872973231554</v>
      </c>
      <c r="B655"/>
      <c r="C655"/>
      <c r="D655"/>
      <c r="E655"/>
      <c r="R655" s="27" t="s">
        <v>7</v>
      </c>
      <c r="S655" s="27" t="s">
        <v>8</v>
      </c>
      <c r="AN655" s="27" t="s">
        <v>7</v>
      </c>
      <c r="AO655" s="27" t="s">
        <v>8</v>
      </c>
      <c r="AV655" s="27" t="s">
        <v>7</v>
      </c>
      <c r="AW655" s="27" t="s">
        <v>8</v>
      </c>
      <c r="BA655" s="27" t="s">
        <v>8</v>
      </c>
      <c r="BB655" s="27" t="s">
        <v>7</v>
      </c>
      <c r="BE655" s="27" t="s">
        <v>8</v>
      </c>
      <c r="BF655" s="27" t="s">
        <v>7</v>
      </c>
      <c r="BG655" s="27" t="s">
        <v>8</v>
      </c>
      <c r="BR655" s="27" t="s">
        <v>7</v>
      </c>
      <c r="BX655" s="27" t="s">
        <v>7</v>
      </c>
      <c r="BY655" s="27" t="s">
        <v>8</v>
      </c>
      <c r="BZ655" s="27" t="s">
        <v>7</v>
      </c>
      <c r="CG655" s="27" t="s">
        <v>8</v>
      </c>
      <c r="CL655" s="27" t="s">
        <v>7</v>
      </c>
      <c r="CM655" s="27" t="s">
        <v>8</v>
      </c>
      <c r="CO655" s="27" t="s">
        <v>8</v>
      </c>
      <c r="CQ655" s="27" t="s">
        <v>8</v>
      </c>
      <c r="DB655" s="27" t="s">
        <v>7</v>
      </c>
    </row>
    <row r="656" spans="1:197" x14ac:dyDescent="0.25">
      <c r="A656" s="7">
        <v>0.25502816640423093</v>
      </c>
      <c r="B656"/>
      <c r="C656"/>
      <c r="D656"/>
      <c r="E656"/>
      <c r="R656" s="27" t="s">
        <v>7</v>
      </c>
      <c r="S656" s="27" t="s">
        <v>8</v>
      </c>
      <c r="AN656" s="27" t="s">
        <v>7</v>
      </c>
      <c r="AV656" s="27" t="s">
        <v>7</v>
      </c>
      <c r="AW656" s="27" t="s">
        <v>8</v>
      </c>
      <c r="AX656" s="27" t="s">
        <v>7</v>
      </c>
      <c r="BA656" s="27" t="s">
        <v>8</v>
      </c>
      <c r="BB656" s="27" t="s">
        <v>7</v>
      </c>
      <c r="BE656" s="27" t="s">
        <v>8</v>
      </c>
      <c r="BF656" s="27" t="s">
        <v>7</v>
      </c>
      <c r="BX656" s="27" t="s">
        <v>7</v>
      </c>
      <c r="BY656" s="27" t="s">
        <v>8</v>
      </c>
      <c r="BZ656" s="27" t="s">
        <v>7</v>
      </c>
      <c r="CG656" s="27" t="s">
        <v>8</v>
      </c>
      <c r="CL656" s="27" t="s">
        <v>7</v>
      </c>
      <c r="CM656" s="27" t="s">
        <v>8</v>
      </c>
      <c r="CN656" s="27" t="s">
        <v>7</v>
      </c>
      <c r="CO656" s="27" t="s">
        <v>8</v>
      </c>
      <c r="CP656" s="27" t="s">
        <v>7</v>
      </c>
      <c r="CQ656" s="27" t="s">
        <v>8</v>
      </c>
    </row>
    <row r="657" spans="1:95" x14ac:dyDescent="0.25">
      <c r="A657" s="7">
        <v>0.25002761412179503</v>
      </c>
      <c r="B657"/>
      <c r="C657"/>
      <c r="D657"/>
      <c r="E657"/>
      <c r="R657" s="27" t="s">
        <v>7</v>
      </c>
      <c r="S657" s="27" t="s">
        <v>8</v>
      </c>
      <c r="AV657" s="27" t="s">
        <v>7</v>
      </c>
      <c r="AW657" s="27" t="s">
        <v>8</v>
      </c>
      <c r="AX657" s="27" t="s">
        <v>7</v>
      </c>
      <c r="BA657" s="27" t="s">
        <v>8</v>
      </c>
      <c r="BB657" s="27" t="s">
        <v>7</v>
      </c>
      <c r="BC657" s="27" t="s">
        <v>8</v>
      </c>
      <c r="BE657" s="27" t="s">
        <v>8</v>
      </c>
      <c r="BX657" s="27" t="s">
        <v>7</v>
      </c>
      <c r="BZ657" s="27" t="s">
        <v>7</v>
      </c>
      <c r="CG657" s="27" t="s">
        <v>8</v>
      </c>
      <c r="CL657" s="27" t="s">
        <v>7</v>
      </c>
      <c r="CM657" s="27" t="s">
        <v>8</v>
      </c>
      <c r="CN657" s="27" t="s">
        <v>7</v>
      </c>
      <c r="CO657" s="27" t="s">
        <v>8</v>
      </c>
      <c r="CP657" s="27" t="s">
        <v>7</v>
      </c>
      <c r="CQ657" s="27" t="s">
        <v>8</v>
      </c>
    </row>
    <row r="658" spans="1:95" x14ac:dyDescent="0.25">
      <c r="A658" s="7">
        <v>0.24512511188411276</v>
      </c>
      <c r="B658"/>
      <c r="C658"/>
      <c r="D658"/>
      <c r="E658"/>
      <c r="R658" s="27" t="s">
        <v>7</v>
      </c>
      <c r="S658" s="27" t="s">
        <v>8</v>
      </c>
      <c r="AV658" s="27" t="s">
        <v>7</v>
      </c>
      <c r="AW658" s="27" t="s">
        <v>8</v>
      </c>
      <c r="AX658" s="27" t="s">
        <v>7</v>
      </c>
      <c r="BA658" s="27" t="s">
        <v>8</v>
      </c>
      <c r="BB658" s="27" t="s">
        <v>7</v>
      </c>
      <c r="BC658" s="27" t="s">
        <v>8</v>
      </c>
      <c r="BD658" s="27" t="s">
        <v>7</v>
      </c>
      <c r="BE658" s="27" t="s">
        <v>8</v>
      </c>
      <c r="BZ658" s="27" t="s">
        <v>7</v>
      </c>
      <c r="CG658" s="27" t="s">
        <v>8</v>
      </c>
      <c r="CL658" s="27" t="s">
        <v>7</v>
      </c>
      <c r="CN658" s="27" t="s">
        <v>7</v>
      </c>
      <c r="CP658" s="27" t="s">
        <v>7</v>
      </c>
      <c r="CQ658" s="27" t="s">
        <v>8</v>
      </c>
    </row>
    <row r="659" spans="1:95" x14ac:dyDescent="0.25">
      <c r="A659" s="7">
        <v>0.24031873714128701</v>
      </c>
      <c r="B659"/>
      <c r="C659"/>
      <c r="D659"/>
      <c r="E659"/>
      <c r="R659" s="27" t="s">
        <v>7</v>
      </c>
      <c r="S659" s="27" t="s">
        <v>8</v>
      </c>
      <c r="AV659" s="27" t="s">
        <v>7</v>
      </c>
      <c r="AW659" s="27" t="s">
        <v>8</v>
      </c>
      <c r="AX659" s="27" t="s">
        <v>7</v>
      </c>
      <c r="AY659" s="27" t="s">
        <v>8</v>
      </c>
      <c r="BA659" s="27" t="s">
        <v>8</v>
      </c>
      <c r="BB659" s="27" t="s">
        <v>7</v>
      </c>
      <c r="BC659" s="27" t="s">
        <v>8</v>
      </c>
      <c r="BD659" s="27" t="s">
        <v>7</v>
      </c>
      <c r="BE659" s="27" t="s">
        <v>8</v>
      </c>
      <c r="BZ659" s="27" t="s">
        <v>7</v>
      </c>
      <c r="CG659" s="27" t="s">
        <v>8</v>
      </c>
      <c r="CP659" s="27" t="s">
        <v>7</v>
      </c>
    </row>
    <row r="660" spans="1:95" x14ac:dyDescent="0.25">
      <c r="A660" s="7">
        <v>0.23560660504047748</v>
      </c>
      <c r="B660"/>
      <c r="C660"/>
      <c r="D660"/>
      <c r="E660"/>
      <c r="R660" s="27" t="s">
        <v>7</v>
      </c>
      <c r="S660" s="27" t="s">
        <v>8</v>
      </c>
      <c r="AV660" s="27" t="s">
        <v>7</v>
      </c>
      <c r="AX660" s="27" t="s">
        <v>7</v>
      </c>
      <c r="AY660" s="27" t="s">
        <v>8</v>
      </c>
      <c r="AZ660" s="27" t="s">
        <v>7</v>
      </c>
      <c r="BA660" s="27" t="s">
        <v>8</v>
      </c>
      <c r="BB660" s="27" t="s">
        <v>7</v>
      </c>
      <c r="BC660" s="27" t="s">
        <v>8</v>
      </c>
      <c r="BD660" s="27" t="s">
        <v>7</v>
      </c>
      <c r="BE660" s="27" t="s">
        <v>8</v>
      </c>
      <c r="BZ660" s="27" t="s">
        <v>7</v>
      </c>
      <c r="CG660" s="27" t="s">
        <v>8</v>
      </c>
    </row>
    <row r="661" spans="1:95" x14ac:dyDescent="0.25">
      <c r="A661" s="7">
        <v>0.23098686768674265</v>
      </c>
      <c r="B661"/>
      <c r="C661"/>
      <c r="D661"/>
      <c r="E661"/>
      <c r="R661" s="27" t="s">
        <v>7</v>
      </c>
      <c r="S661" s="27" t="s">
        <v>8</v>
      </c>
      <c r="AX661" s="27" t="s">
        <v>7</v>
      </c>
      <c r="AY661" s="27" t="s">
        <v>8</v>
      </c>
      <c r="AZ661" s="27" t="s">
        <v>7</v>
      </c>
      <c r="BA661" s="27" t="s">
        <v>8</v>
      </c>
      <c r="BB661" s="27" t="s">
        <v>7</v>
      </c>
      <c r="BC661" s="27" t="s">
        <v>8</v>
      </c>
      <c r="BD661" s="27" t="s">
        <v>7</v>
      </c>
      <c r="BZ661" s="27" t="s">
        <v>7</v>
      </c>
      <c r="CC661" s="27" t="s">
        <v>8</v>
      </c>
      <c r="CG661" s="27" t="s">
        <v>8</v>
      </c>
    </row>
    <row r="662" spans="1:95" x14ac:dyDescent="0.25">
      <c r="A662" s="7">
        <v>0.22645771341837515</v>
      </c>
      <c r="B662"/>
      <c r="C662"/>
      <c r="D662"/>
      <c r="E662"/>
      <c r="R662" s="27" t="s">
        <v>7</v>
      </c>
      <c r="S662" s="27" t="s">
        <v>8</v>
      </c>
      <c r="AX662" s="27" t="s">
        <v>7</v>
      </c>
      <c r="AY662" s="27" t="s">
        <v>8</v>
      </c>
      <c r="AZ662" s="27" t="s">
        <v>7</v>
      </c>
      <c r="BA662" s="27" t="s">
        <v>8</v>
      </c>
      <c r="BB662" s="27" t="s">
        <v>7</v>
      </c>
      <c r="BZ662" s="27" t="s">
        <v>7</v>
      </c>
      <c r="CC662" s="27" t="s">
        <v>8</v>
      </c>
      <c r="CD662" s="27" t="s">
        <v>7</v>
      </c>
      <c r="CG662" s="27" t="s">
        <v>8</v>
      </c>
    </row>
    <row r="663" spans="1:95" x14ac:dyDescent="0.25">
      <c r="A663" s="7">
        <v>0.22201736609644623</v>
      </c>
      <c r="B663"/>
      <c r="C663"/>
      <c r="D663"/>
      <c r="E663"/>
      <c r="R663" s="27" t="s">
        <v>7</v>
      </c>
      <c r="S663" s="27" t="s">
        <v>8</v>
      </c>
      <c r="AX663" s="27" t="s">
        <v>7</v>
      </c>
      <c r="AY663" s="27" t="s">
        <v>8</v>
      </c>
      <c r="AZ663" s="27" t="s">
        <v>7</v>
      </c>
      <c r="BA663" s="27" t="s">
        <v>8</v>
      </c>
      <c r="BZ663" s="27" t="s">
        <v>7</v>
      </c>
      <c r="CC663" s="27" t="s">
        <v>8</v>
      </c>
      <c r="CD663" s="27" t="s">
        <v>7</v>
      </c>
      <c r="CG663" s="27" t="s">
        <v>8</v>
      </c>
    </row>
    <row r="664" spans="1:95" x14ac:dyDescent="0.25">
      <c r="A664" s="7">
        <v>0.21766408440828061</v>
      </c>
      <c r="B664"/>
      <c r="C664"/>
      <c r="D664"/>
      <c r="E664"/>
      <c r="R664" s="27" t="s">
        <v>7</v>
      </c>
      <c r="S664" s="27" t="s">
        <v>8</v>
      </c>
      <c r="AX664" s="27" t="s">
        <v>7</v>
      </c>
      <c r="AY664" s="27" t="s">
        <v>8</v>
      </c>
      <c r="AZ664" s="27" t="s">
        <v>7</v>
      </c>
      <c r="BA664" s="27" t="s">
        <v>8</v>
      </c>
      <c r="BZ664" s="27" t="s">
        <v>7</v>
      </c>
      <c r="CC664" s="27" t="s">
        <v>8</v>
      </c>
      <c r="CD664" s="27" t="s">
        <v>7</v>
      </c>
      <c r="CG664" s="27" t="s">
        <v>8</v>
      </c>
    </row>
    <row r="665" spans="1:95" x14ac:dyDescent="0.25">
      <c r="A665" s="7">
        <v>0.21339616118458882</v>
      </c>
      <c r="B665"/>
      <c r="C665"/>
      <c r="D665"/>
      <c r="E665"/>
      <c r="R665" s="27" t="s">
        <v>7</v>
      </c>
      <c r="S665" s="27" t="s">
        <v>8</v>
      </c>
      <c r="AX665" s="27" t="s">
        <v>7</v>
      </c>
      <c r="AY665" s="27" t="s">
        <v>8</v>
      </c>
      <c r="AZ665" s="27" t="s">
        <v>7</v>
      </c>
      <c r="BZ665" s="27" t="s">
        <v>7</v>
      </c>
      <c r="CC665" s="27" t="s">
        <v>8</v>
      </c>
      <c r="CD665" s="27" t="s">
        <v>7</v>
      </c>
      <c r="CG665" s="27" t="s">
        <v>8</v>
      </c>
    </row>
    <row r="666" spans="1:95" x14ac:dyDescent="0.25">
      <c r="A666" s="7">
        <v>0.20921192272998904</v>
      </c>
      <c r="B666"/>
      <c r="C666"/>
      <c r="D666"/>
      <c r="E666"/>
      <c r="R666" s="27" t="s">
        <v>7</v>
      </c>
      <c r="S666" s="27" t="s">
        <v>8</v>
      </c>
      <c r="AX666" s="27" t="s">
        <v>7</v>
      </c>
      <c r="BZ666" s="27" t="s">
        <v>7</v>
      </c>
      <c r="CC666" s="27" t="s">
        <v>8</v>
      </c>
      <c r="CD666" s="27" t="s">
        <v>7</v>
      </c>
      <c r="CE666" s="27" t="s">
        <v>8</v>
      </c>
      <c r="CG666" s="27" t="s">
        <v>8</v>
      </c>
    </row>
    <row r="667" spans="1:95" x14ac:dyDescent="0.25">
      <c r="A667" s="7">
        <v>0.20510972816665593</v>
      </c>
      <c r="B667"/>
      <c r="C667"/>
      <c r="D667"/>
      <c r="E667"/>
      <c r="R667" s="27" t="s">
        <v>7</v>
      </c>
      <c r="BZ667" s="27" t="s">
        <v>7</v>
      </c>
      <c r="CC667" s="27" t="s">
        <v>8</v>
      </c>
      <c r="CD667" s="27" t="s">
        <v>7</v>
      </c>
      <c r="CE667" s="27" t="s">
        <v>8</v>
      </c>
      <c r="CF667" s="27" t="s">
        <v>7</v>
      </c>
      <c r="CG667" s="27" t="s">
        <v>8</v>
      </c>
    </row>
    <row r="668" spans="1:95" x14ac:dyDescent="0.25">
      <c r="A668" s="7">
        <v>0.20108796879083912</v>
      </c>
      <c r="B668"/>
      <c r="C668"/>
      <c r="D668"/>
      <c r="E668"/>
      <c r="BZ668" s="27" t="s">
        <v>7</v>
      </c>
      <c r="CC668" s="27" t="s">
        <v>8</v>
      </c>
      <c r="CD668" s="27" t="s">
        <v>7</v>
      </c>
      <c r="CE668" s="27" t="s">
        <v>8</v>
      </c>
      <c r="CF668" s="27" t="s">
        <v>7</v>
      </c>
      <c r="CG668" s="27" t="s">
        <v>8</v>
      </c>
    </row>
    <row r="669" spans="1:95" x14ac:dyDescent="0.25">
      <c r="A669" s="7">
        <v>0.19714506744199917</v>
      </c>
      <c r="B669"/>
      <c r="C669"/>
      <c r="D669"/>
      <c r="E669"/>
      <c r="BZ669" s="27" t="s">
        <v>7</v>
      </c>
      <c r="CC669" s="27" t="s">
        <v>8</v>
      </c>
      <c r="CD669" s="27" t="s">
        <v>7</v>
      </c>
      <c r="CE669" s="27" t="s">
        <v>8</v>
      </c>
      <c r="CF669" s="27" t="s">
        <v>7</v>
      </c>
      <c r="CG669" s="27" t="s">
        <v>8</v>
      </c>
    </row>
    <row r="670" spans="1:95" x14ac:dyDescent="0.25">
      <c r="A670" s="7">
        <v>0.19327947788431293</v>
      </c>
      <c r="B670"/>
      <c r="C670"/>
      <c r="D670"/>
      <c r="E670"/>
      <c r="BZ670" s="27" t="s">
        <v>7</v>
      </c>
      <c r="CC670" s="27" t="s">
        <v>8</v>
      </c>
      <c r="CD670" s="27" t="s">
        <v>7</v>
      </c>
      <c r="CE670" s="27" t="s">
        <v>8</v>
      </c>
      <c r="CF670" s="27" t="s">
        <v>7</v>
      </c>
      <c r="CG670" s="27" t="s">
        <v>8</v>
      </c>
    </row>
    <row r="671" spans="1:95" x14ac:dyDescent="0.25">
      <c r="A671" s="7">
        <v>0.18948968420030682</v>
      </c>
      <c r="B671"/>
      <c r="C671"/>
      <c r="D671"/>
      <c r="E671"/>
      <c r="BZ671" s="27" t="s">
        <v>7</v>
      </c>
      <c r="CA671" s="27" t="s">
        <v>8</v>
      </c>
      <c r="CC671" s="27" t="s">
        <v>8</v>
      </c>
      <c r="CD671" s="27" t="s">
        <v>7</v>
      </c>
      <c r="CE671" s="27" t="s">
        <v>8</v>
      </c>
      <c r="CF671" s="27" t="s">
        <v>7</v>
      </c>
      <c r="CG671" s="27" t="s">
        <v>8</v>
      </c>
    </row>
    <row r="672" spans="1:95" x14ac:dyDescent="0.25">
      <c r="A672" s="7">
        <v>0.18577420019637925</v>
      </c>
      <c r="B672"/>
      <c r="C672"/>
      <c r="D672"/>
      <c r="E672"/>
      <c r="BZ672" s="27" t="s">
        <v>7</v>
      </c>
      <c r="CA672" s="27" t="s">
        <v>8</v>
      </c>
      <c r="CB672" s="27" t="s">
        <v>7</v>
      </c>
      <c r="CC672" s="27" t="s">
        <v>8</v>
      </c>
      <c r="CD672" s="27" t="s">
        <v>7</v>
      </c>
      <c r="CF672" s="27" t="s">
        <v>7</v>
      </c>
      <c r="CG672" s="27" t="s">
        <v>8</v>
      </c>
    </row>
    <row r="673" spans="1:84" x14ac:dyDescent="0.25">
      <c r="A673" s="7">
        <v>0.18213156881997963</v>
      </c>
      <c r="B673"/>
      <c r="C673"/>
      <c r="D673"/>
      <c r="E673"/>
      <c r="BZ673" s="27" t="s">
        <v>7</v>
      </c>
      <c r="CA673" s="27" t="s">
        <v>8</v>
      </c>
      <c r="CB673" s="27" t="s">
        <v>7</v>
      </c>
      <c r="CC673" s="27" t="s">
        <v>8</v>
      </c>
      <c r="CF673" s="27" t="s">
        <v>7</v>
      </c>
    </row>
    <row r="674" spans="1:84" x14ac:dyDescent="0.25">
      <c r="A674" s="7">
        <v>0.17856036158821534</v>
      </c>
      <c r="B674"/>
      <c r="C674"/>
      <c r="D674"/>
      <c r="E674"/>
      <c r="BZ674" s="27" t="s">
        <v>7</v>
      </c>
      <c r="CA674" s="27" t="s">
        <v>8</v>
      </c>
      <c r="CB674" s="27" t="s">
        <v>7</v>
      </c>
      <c r="CC674" s="27" t="s">
        <v>8</v>
      </c>
    </row>
    <row r="675" spans="1:84" x14ac:dyDescent="0.25">
      <c r="A675" s="7">
        <v>0.17505917802766208</v>
      </c>
      <c r="B675"/>
      <c r="C675"/>
      <c r="D675"/>
      <c r="E675"/>
      <c r="BZ675" s="27" t="s">
        <v>7</v>
      </c>
      <c r="CA675" s="27" t="s">
        <v>8</v>
      </c>
      <c r="CB675" s="27" t="s">
        <v>7</v>
      </c>
      <c r="CC675" s="27" t="s">
        <v>8</v>
      </c>
    </row>
    <row r="676" spans="1:84" x14ac:dyDescent="0.25">
      <c r="A676" s="7">
        <v>0.17162664512515888</v>
      </c>
      <c r="B676"/>
      <c r="C676"/>
      <c r="D676"/>
      <c r="E676"/>
      <c r="BZ676" s="27" t="s">
        <v>7</v>
      </c>
      <c r="CA676" s="27" t="s">
        <v>8</v>
      </c>
      <c r="CB676" s="27" t="s">
        <v>7</v>
      </c>
      <c r="CC676" s="27" t="s">
        <v>8</v>
      </c>
    </row>
    <row r="677" spans="1:84" x14ac:dyDescent="0.25">
      <c r="A677" s="7">
        <v>0.16826141678937145</v>
      </c>
      <c r="B677"/>
      <c r="C677"/>
      <c r="D677"/>
      <c r="E677"/>
      <c r="BZ677" s="27" t="s">
        <v>7</v>
      </c>
      <c r="CA677" s="27" t="s">
        <v>8</v>
      </c>
      <c r="CB677" s="27" t="s">
        <v>7</v>
      </c>
      <c r="CC677" s="27" t="s">
        <v>8</v>
      </c>
    </row>
    <row r="678" spans="1:84" x14ac:dyDescent="0.25">
      <c r="A678" s="7">
        <v>0.16496217332291319</v>
      </c>
      <c r="B678"/>
      <c r="C678"/>
      <c r="D678"/>
      <c r="E678"/>
      <c r="BZ678" s="27" t="s">
        <v>7</v>
      </c>
      <c r="CA678" s="27" t="s">
        <v>8</v>
      </c>
      <c r="CB678" s="27" t="s">
        <v>7</v>
      </c>
      <c r="CC678" s="27" t="s">
        <v>8</v>
      </c>
    </row>
    <row r="679" spans="1:84" x14ac:dyDescent="0.25">
      <c r="A679" s="7">
        <v>0.16172762090481685</v>
      </c>
      <c r="B679"/>
      <c r="C679"/>
      <c r="D679"/>
      <c r="E679"/>
      <c r="BZ679" s="27" t="s">
        <v>7</v>
      </c>
      <c r="CA679" s="27" t="s">
        <v>8</v>
      </c>
      <c r="CB679" s="27" t="s">
        <v>7</v>
      </c>
      <c r="CC679" s="27" t="s">
        <v>8</v>
      </c>
    </row>
    <row r="680" spans="1:84" x14ac:dyDescent="0.25">
      <c r="A680" s="7">
        <v>0.15855649108315376</v>
      </c>
      <c r="B680"/>
      <c r="C680"/>
      <c r="D680"/>
      <c r="E680"/>
      <c r="BZ680" s="27" t="s">
        <v>7</v>
      </c>
      <c r="CA680" s="27" t="s">
        <v>8</v>
      </c>
      <c r="CB680" s="27" t="s">
        <v>7</v>
      </c>
      <c r="CC680" s="27" t="s">
        <v>8</v>
      </c>
    </row>
    <row r="681" spans="1:84" x14ac:dyDescent="0.25">
      <c r="A681" s="7">
        <v>0.15544754027760171</v>
      </c>
      <c r="B681"/>
      <c r="C681"/>
      <c r="D681"/>
      <c r="E681"/>
      <c r="BZ681" s="27" t="s">
        <v>7</v>
      </c>
      <c r="CA681" s="27" t="s">
        <v>8</v>
      </c>
      <c r="CB681" s="27" t="s">
        <v>7</v>
      </c>
      <c r="CC681" s="27" t="s">
        <v>8</v>
      </c>
    </row>
    <row r="682" spans="1:84" x14ac:dyDescent="0.25">
      <c r="A682" s="7">
        <v>0.15239954929176638</v>
      </c>
      <c r="B682"/>
      <c r="C682"/>
      <c r="D682"/>
      <c r="E682"/>
      <c r="BZ682" s="27" t="s">
        <v>7</v>
      </c>
      <c r="CA682" s="27" t="s">
        <v>8</v>
      </c>
      <c r="CB682" s="27" t="s">
        <v>7</v>
      </c>
      <c r="CC682" s="27" t="s">
        <v>8</v>
      </c>
    </row>
    <row r="683" spans="1:84" x14ac:dyDescent="0.25">
      <c r="A683" s="7">
        <v>0.14941132283506509</v>
      </c>
      <c r="B683"/>
      <c r="C683"/>
      <c r="D683"/>
      <c r="E683"/>
      <c r="BZ683" s="27" t="s">
        <v>7</v>
      </c>
      <c r="CA683" s="27" t="s">
        <v>8</v>
      </c>
      <c r="CB683" s="27" t="s">
        <v>7</v>
      </c>
      <c r="CC683" s="27" t="s">
        <v>8</v>
      </c>
    </row>
    <row r="684" spans="1:84" x14ac:dyDescent="0.25">
      <c r="A684" s="7">
        <v>0.14648168905398537</v>
      </c>
      <c r="B684"/>
      <c r="C684"/>
      <c r="D684"/>
      <c r="E684"/>
      <c r="BZ684" s="27" t="s">
        <v>7</v>
      </c>
      <c r="CA684" s="27" t="s">
        <v>8</v>
      </c>
      <c r="CB684" s="27" t="s">
        <v>7</v>
      </c>
      <c r="CC684" s="27" t="s">
        <v>8</v>
      </c>
    </row>
    <row r="685" spans="1:84" x14ac:dyDescent="0.25">
      <c r="A685" s="7">
        <v>0.14360949907253467</v>
      </c>
      <c r="B685"/>
      <c r="C685"/>
      <c r="D685"/>
      <c r="E685"/>
      <c r="BZ685" s="27" t="s">
        <v>7</v>
      </c>
      <c r="CA685" s="27" t="s">
        <v>8</v>
      </c>
      <c r="CB685" s="27" t="s">
        <v>7</v>
      </c>
      <c r="CC685" s="27" t="s">
        <v>8</v>
      </c>
    </row>
    <row r="686" spans="1:84" x14ac:dyDescent="0.25">
      <c r="A686" s="7">
        <v>0.14079362654170066</v>
      </c>
      <c r="B686"/>
      <c r="C686"/>
      <c r="D686"/>
      <c r="E686"/>
      <c r="BZ686" s="27" t="s">
        <v>7</v>
      </c>
      <c r="CA686" s="27" t="s">
        <v>8</v>
      </c>
      <c r="CB686" s="27" t="s">
        <v>7</v>
      </c>
      <c r="CC686" s="27" t="s">
        <v>8</v>
      </c>
    </row>
    <row r="687" spans="1:84" x14ac:dyDescent="0.25">
      <c r="A687" s="7">
        <v>0.13803296719774574</v>
      </c>
      <c r="B687"/>
      <c r="C687"/>
      <c r="D687"/>
      <c r="E687"/>
      <c r="BZ687" s="27" t="s">
        <v>7</v>
      </c>
      <c r="CA687" s="27" t="s">
        <v>8</v>
      </c>
      <c r="CB687" s="27" t="s">
        <v>7</v>
      </c>
    </row>
    <row r="688" spans="1:84" x14ac:dyDescent="0.25">
      <c r="A688" s="7">
        <v>0.1353264384291625</v>
      </c>
      <c r="B688"/>
      <c r="C688"/>
      <c r="D688"/>
      <c r="E688"/>
      <c r="BZ688" s="27" t="s">
        <v>7</v>
      </c>
      <c r="CA688" s="27" t="s">
        <v>8</v>
      </c>
    </row>
    <row r="689" spans="1:79" x14ac:dyDescent="0.25">
      <c r="A689" s="7">
        <v>0.13267297885212009</v>
      </c>
      <c r="B689"/>
      <c r="C689"/>
      <c r="D689"/>
      <c r="E689"/>
      <c r="BZ689" s="27" t="s">
        <v>7</v>
      </c>
      <c r="CA689" s="27" t="s">
        <v>8</v>
      </c>
    </row>
    <row r="690" spans="1:79" x14ac:dyDescent="0.25">
      <c r="A690" s="7">
        <v>0.13007154789423539</v>
      </c>
      <c r="B690"/>
      <c r="C690"/>
      <c r="D690"/>
      <c r="E690"/>
      <c r="BZ690" s="27" t="s">
        <v>7</v>
      </c>
      <c r="CA690" s="27" t="s">
        <v>8</v>
      </c>
    </row>
    <row r="691" spans="1:79" x14ac:dyDescent="0.25">
      <c r="A691" s="7">
        <v>0.12752112538650529</v>
      </c>
      <c r="B691"/>
      <c r="C691"/>
      <c r="D691"/>
      <c r="E691"/>
      <c r="BZ691" s="27" t="s">
        <v>7</v>
      </c>
      <c r="CA691" s="27" t="s">
        <v>8</v>
      </c>
    </row>
    <row r="692" spans="1:79" x14ac:dyDescent="0.25">
      <c r="A692" s="7">
        <v>0.12502071116324048</v>
      </c>
      <c r="B692"/>
      <c r="C692"/>
      <c r="D692"/>
      <c r="E692"/>
      <c r="BZ692" s="27" t="s">
        <v>7</v>
      </c>
      <c r="CA692" s="27" t="s">
        <v>8</v>
      </c>
    </row>
    <row r="693" spans="1:79" x14ac:dyDescent="0.25">
      <c r="A693" s="7">
        <v>0.1225693246698436</v>
      </c>
      <c r="B693"/>
      <c r="C693"/>
      <c r="D693"/>
      <c r="E693"/>
      <c r="BZ693" s="27" t="s">
        <v>7</v>
      </c>
      <c r="CA693" s="27" t="s">
        <v>8</v>
      </c>
    </row>
    <row r="694" spans="1:79" x14ac:dyDescent="0.25">
      <c r="A694" s="7">
        <v>0.12016600457827803</v>
      </c>
      <c r="B694"/>
      <c r="C694"/>
      <c r="D694"/>
      <c r="E694"/>
      <c r="BZ694" s="27" t="s">
        <v>7</v>
      </c>
      <c r="CA694" s="27" t="s">
        <v>8</v>
      </c>
    </row>
    <row r="695" spans="1:79" x14ac:dyDescent="0.25">
      <c r="A695" s="7">
        <v>0.1178098084100765</v>
      </c>
      <c r="B695"/>
      <c r="C695"/>
      <c r="D695"/>
      <c r="E695"/>
      <c r="BZ695" s="27" t="s">
        <v>7</v>
      </c>
      <c r="CA695" s="27" t="s">
        <v>8</v>
      </c>
    </row>
    <row r="696" spans="1:79" x14ac:dyDescent="0.25">
      <c r="A696" s="7">
        <v>0.11549981216674166</v>
      </c>
      <c r="B696"/>
      <c r="C696"/>
      <c r="D696"/>
      <c r="E696"/>
      <c r="BZ696" s="27" t="s">
        <v>7</v>
      </c>
      <c r="CA696" s="27" t="s">
        <v>8</v>
      </c>
    </row>
    <row r="697" spans="1:79" x14ac:dyDescent="0.25">
      <c r="A697" s="7">
        <v>0.11323510996739378</v>
      </c>
      <c r="B697"/>
      <c r="C697"/>
      <c r="D697"/>
      <c r="E697"/>
      <c r="BZ697" s="27" t="s">
        <v>7</v>
      </c>
      <c r="CA697" s="27" t="s">
        <v>8</v>
      </c>
    </row>
    <row r="698" spans="1:79" x14ac:dyDescent="0.25">
      <c r="A698" s="7">
        <v>0.11101481369352331</v>
      </c>
      <c r="B698"/>
      <c r="C698"/>
      <c r="D698"/>
      <c r="E698"/>
      <c r="BZ698" s="27" t="s">
        <v>7</v>
      </c>
      <c r="CA698" s="27" t="s">
        <v>8</v>
      </c>
    </row>
    <row r="699" spans="1:79" x14ac:dyDescent="0.25">
      <c r="A699" s="7">
        <v>0.10883805264070913</v>
      </c>
      <c r="B699"/>
      <c r="C699"/>
      <c r="D699"/>
      <c r="E699"/>
      <c r="BZ699" s="27" t="s">
        <v>7</v>
      </c>
      <c r="CA699" s="27" t="s">
        <v>8</v>
      </c>
    </row>
    <row r="700" spans="1:79" x14ac:dyDescent="0.25">
      <c r="A700" s="7">
        <v>0.10670397317716582</v>
      </c>
      <c r="B700"/>
      <c r="C700"/>
      <c r="D700"/>
      <c r="E700"/>
      <c r="BZ700" s="27" t="s">
        <v>7</v>
      </c>
    </row>
    <row r="701" spans="1:79" x14ac:dyDescent="0.25">
      <c r="A701" s="7">
        <v>0.1046117384089861</v>
      </c>
      <c r="B701"/>
      <c r="C701"/>
      <c r="D701"/>
      <c r="E701"/>
    </row>
    <row r="702" spans="1:79" x14ac:dyDescent="0.25">
      <c r="A702" s="7">
        <v>0.10256052785194716</v>
      </c>
      <c r="B702"/>
      <c r="C702"/>
      <c r="D702"/>
      <c r="E702"/>
    </row>
    <row r="703" spans="1:79" x14ac:dyDescent="0.25">
      <c r="A703" s="7">
        <v>0.10054953710975212</v>
      </c>
      <c r="B703"/>
      <c r="C703"/>
      <c r="D703"/>
      <c r="E703"/>
    </row>
    <row r="704" spans="1:79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294" operator="equal">
      <formula>$U$1</formula>
    </cfRule>
    <cfRule type="cellIs" dxfId="89" priority="1295" operator="equal">
      <formula>$S$1</formula>
    </cfRule>
  </conditionalFormatting>
  <conditionalFormatting sqref="D27">
    <cfRule type="cellIs" dxfId="88" priority="1292" operator="equal">
      <formula>$S$1</formula>
    </cfRule>
    <cfRule type="cellIs" dxfId="87" priority="1293" operator="equal">
      <formula>$U$1</formula>
    </cfRule>
  </conditionalFormatting>
  <conditionalFormatting sqref="C164">
    <cfRule type="cellIs" dxfId="86" priority="1290" operator="equal">
      <formula>$U$1</formula>
    </cfRule>
    <cfRule type="cellIs" dxfId="85" priority="1291" operator="equal">
      <formula>$S$1</formula>
    </cfRule>
  </conditionalFormatting>
  <conditionalFormatting sqref="D164">
    <cfRule type="cellIs" dxfId="84" priority="1288" operator="equal">
      <formula>$S$1</formula>
    </cfRule>
    <cfRule type="cellIs" dxfId="83" priority="1289" operator="equal">
      <formula>$U$1</formula>
    </cfRule>
  </conditionalFormatting>
  <conditionalFormatting sqref="C55">
    <cfRule type="cellIs" dxfId="82" priority="1286" operator="equal">
      <formula>$U$1</formula>
    </cfRule>
    <cfRule type="cellIs" dxfId="81" priority="1287" operator="equal">
      <formula>$S$1</formula>
    </cfRule>
  </conditionalFormatting>
  <conditionalFormatting sqref="D55">
    <cfRule type="cellIs" dxfId="80" priority="1284" operator="equal">
      <formula>$S$1</formula>
    </cfRule>
    <cfRule type="cellIs" dxfId="79" priority="1285" operator="equal">
      <formula>$U$1</formula>
    </cfRule>
  </conditionalFormatting>
  <conditionalFormatting sqref="C89">
    <cfRule type="cellIs" dxfId="78" priority="1282" operator="equal">
      <formula>$U$1</formula>
    </cfRule>
    <cfRule type="cellIs" dxfId="77" priority="1283" operator="equal">
      <formula>$S$1</formula>
    </cfRule>
  </conditionalFormatting>
  <conditionalFormatting sqref="D89">
    <cfRule type="cellIs" dxfId="76" priority="1280" operator="equal">
      <formula>$S$1</formula>
    </cfRule>
    <cfRule type="cellIs" dxfId="75" priority="1281" operator="equal">
      <formula>$U$1</formula>
    </cfRule>
  </conditionalFormatting>
  <conditionalFormatting sqref="C136">
    <cfRule type="cellIs" dxfId="74" priority="1278" operator="equal">
      <formula>$U$1</formula>
    </cfRule>
    <cfRule type="cellIs" dxfId="73" priority="1279" operator="equal">
      <formula>$S$1</formula>
    </cfRule>
  </conditionalFormatting>
  <conditionalFormatting sqref="D136">
    <cfRule type="cellIs" dxfId="72" priority="1276" operator="equal">
      <formula>$S$1</formula>
    </cfRule>
    <cfRule type="cellIs" dxfId="71" priority="1277" operator="equal">
      <formula>$U$1</formula>
    </cfRule>
  </conditionalFormatting>
  <conditionalFormatting sqref="C1">
    <cfRule type="cellIs" dxfId="70" priority="1275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15" zoomScale="90" zoomScaleNormal="90" workbookViewId="0">
      <pane xSplit="4" topLeftCell="CZ1" activePane="topRight" state="frozen"/>
      <selection activeCell="A109" sqref="A109"/>
      <selection pane="topRight" activeCell="FM231" sqref="FM231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$A$230</v>
      </c>
      <c r="D111" s="1" t="str">
        <f>ADDRESS(C121-1,D121,1,1)</f>
        <v>$FM$230</v>
      </c>
      <c r="E111"/>
    </row>
    <row r="112" spans="1:5" x14ac:dyDescent="0.25">
      <c r="A112" s="30">
        <v>515.50191262726139</v>
      </c>
      <c r="C112" s="1" t="str">
        <f>ADDRESS(C121,1,1,1)</f>
        <v>$A$231</v>
      </c>
      <c r="D112" s="1" t="str">
        <f>ADDRESS(C121,D121-1,1,1)</f>
        <v>$FL$231</v>
      </c>
      <c r="E112"/>
    </row>
    <row r="113" spans="1:5" x14ac:dyDescent="0.25">
      <c r="A113" s="30">
        <v>490.95420250215363</v>
      </c>
      <c r="C113" s="1" t="str">
        <f>ADDRESS(C121+1,1,1,1)</f>
        <v>$A$232</v>
      </c>
      <c r="D113" s="1" t="str">
        <f>ADDRESS(C121-1,D121+1,1,1)</f>
        <v>$FN$230</v>
      </c>
    </row>
    <row r="114" spans="1:5" x14ac:dyDescent="0.25">
      <c r="A114" s="30">
        <v>467.57543095443202</v>
      </c>
      <c r="C114" s="1" t="str">
        <f>ADDRESS(C121,D121,1,1)</f>
        <v>$FM$231</v>
      </c>
      <c r="D114" s="1" t="str">
        <f>ADDRESS(C121+1,D121+1,1,1)</f>
        <v>$FN$232</v>
      </c>
    </row>
    <row r="115" spans="1:5" x14ac:dyDescent="0.25">
      <c r="A115" s="30">
        <v>445.30993424231622</v>
      </c>
      <c r="C115" s="1" t="str">
        <f>ADDRESS(C121+1,D121,1,1)</f>
        <v>$FM$232</v>
      </c>
    </row>
    <row r="116" spans="1:5" x14ac:dyDescent="0.25">
      <c r="A116" s="30">
        <v>424.10469927839637</v>
      </c>
      <c r="C116" s="1">
        <f>C117-1</f>
        <v>230</v>
      </c>
    </row>
    <row r="117" spans="1:5" x14ac:dyDescent="0.25">
      <c r="A117" s="30">
        <v>403.9092374079965</v>
      </c>
      <c r="C117" s="1">
        <f>C121</f>
        <v>231</v>
      </c>
      <c r="D117" s="1">
        <f>D121</f>
        <v>169</v>
      </c>
    </row>
    <row r="118" spans="1:5" x14ac:dyDescent="0.25">
      <c r="A118" s="30">
        <v>384.6754641980919</v>
      </c>
      <c r="C118" s="1">
        <f>C117+1</f>
        <v>232</v>
      </c>
      <c r="D118" s="1">
        <f>D117+1</f>
        <v>170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231</v>
      </c>
      <c r="D121" s="19">
        <v>169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R231</v>
      </c>
      <c r="D123" s="1" t="str">
        <f>"C"&amp;D121</f>
        <v>C169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1.5513282159785162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140" x14ac:dyDescent="0.25">
      <c r="A193" s="30">
        <v>9.9059710923258422</v>
      </c>
      <c r="E193"/>
      <c r="CI193" s="31" t="s">
        <v>8</v>
      </c>
    </row>
    <row r="194" spans="1:140" x14ac:dyDescent="0.25">
      <c r="A194" s="30">
        <v>9.4342581831674686</v>
      </c>
      <c r="E194"/>
      <c r="CI194" s="27" t="s">
        <v>8</v>
      </c>
      <c r="CJ194" s="31" t="s">
        <v>7</v>
      </c>
    </row>
    <row r="195" spans="1:140" x14ac:dyDescent="0.25">
      <c r="A195" s="30">
        <v>8.9850077934928265</v>
      </c>
      <c r="E195"/>
      <c r="CI195" s="27" t="s">
        <v>8</v>
      </c>
      <c r="CJ195" s="27" t="s">
        <v>7</v>
      </c>
      <c r="CK195" s="31"/>
    </row>
    <row r="196" spans="1:140" x14ac:dyDescent="0.25">
      <c r="A196" s="30">
        <v>8.5571502795169767</v>
      </c>
      <c r="E196"/>
      <c r="CI196" s="27" t="s">
        <v>8</v>
      </c>
      <c r="CJ196" s="27" t="s">
        <v>7</v>
      </c>
      <c r="CL196" s="31"/>
    </row>
    <row r="197" spans="1:140" x14ac:dyDescent="0.25">
      <c r="A197" s="30">
        <v>8.1496669328733109</v>
      </c>
      <c r="E197"/>
      <c r="CI197" s="27" t="s">
        <v>8</v>
      </c>
      <c r="CJ197" s="27" t="s">
        <v>7</v>
      </c>
      <c r="CM197" s="31"/>
    </row>
    <row r="198" spans="1:140" x14ac:dyDescent="0.25">
      <c r="A198" s="30">
        <v>7.7615875551174378</v>
      </c>
      <c r="E198"/>
      <c r="CI198" s="27" t="s">
        <v>8</v>
      </c>
      <c r="CJ198" s="27" t="s">
        <v>7</v>
      </c>
      <c r="CN198" s="31"/>
    </row>
    <row r="199" spans="1:140" x14ac:dyDescent="0.25">
      <c r="A199" s="30">
        <v>7.3919881477308929</v>
      </c>
      <c r="E199"/>
      <c r="CI199" s="27" t="s">
        <v>8</v>
      </c>
      <c r="CJ199" s="27" t="s">
        <v>7</v>
      </c>
      <c r="CO199" s="31"/>
    </row>
    <row r="200" spans="1:140" x14ac:dyDescent="0.25">
      <c r="A200" s="30">
        <v>7.0399887121246598</v>
      </c>
      <c r="E200"/>
      <c r="CI200" s="27" t="s">
        <v>8</v>
      </c>
      <c r="CJ200" s="27" t="s">
        <v>7</v>
      </c>
      <c r="CP200" s="31"/>
    </row>
    <row r="201" spans="1:140" x14ac:dyDescent="0.25">
      <c r="A201" s="30">
        <v>6.7047511544044376</v>
      </c>
      <c r="E201"/>
      <c r="CI201" s="27" t="s">
        <v>8</v>
      </c>
      <c r="CJ201" s="27" t="s">
        <v>7</v>
      </c>
      <c r="CK201" s="32" t="s">
        <v>8</v>
      </c>
      <c r="CM201" s="32" t="s">
        <v>8</v>
      </c>
      <c r="CO201" s="32" t="s">
        <v>8</v>
      </c>
      <c r="CQ201" s="31"/>
    </row>
    <row r="202" spans="1:140" x14ac:dyDescent="0.25">
      <c r="A202" s="30">
        <v>6.3854772899089882</v>
      </c>
      <c r="E202"/>
      <c r="CI202" s="27" t="s">
        <v>8</v>
      </c>
      <c r="CJ202" s="27" t="s">
        <v>7</v>
      </c>
      <c r="CK202" s="27" t="s">
        <v>8</v>
      </c>
      <c r="CL202" s="27" t="s">
        <v>7</v>
      </c>
      <c r="CM202" s="27" t="s">
        <v>8</v>
      </c>
      <c r="CN202" s="27" t="s">
        <v>7</v>
      </c>
      <c r="CO202" s="27" t="s">
        <v>8</v>
      </c>
      <c r="CP202" s="27" t="s">
        <v>7</v>
      </c>
      <c r="CR202" s="31"/>
    </row>
    <row r="203" spans="1:140" x14ac:dyDescent="0.25">
      <c r="A203" s="30">
        <v>6.0814069427704647</v>
      </c>
      <c r="C203" s="7"/>
      <c r="D203"/>
      <c r="E203"/>
      <c r="CI203" s="27" t="s">
        <v>8</v>
      </c>
      <c r="CJ203" s="27" t="s">
        <v>7</v>
      </c>
      <c r="CK203" s="27" t="s">
        <v>8</v>
      </c>
      <c r="CL203" s="27" t="s">
        <v>7</v>
      </c>
      <c r="CM203" s="27" t="s">
        <v>8</v>
      </c>
      <c r="CN203" s="27" t="s">
        <v>7</v>
      </c>
      <c r="CO203" s="27" t="s">
        <v>8</v>
      </c>
      <c r="CP203" s="27" t="s">
        <v>7</v>
      </c>
      <c r="CS203" s="31"/>
    </row>
    <row r="204" spans="1:140" x14ac:dyDescent="0.25">
      <c r="A204" s="30">
        <v>5.7918161359718709</v>
      </c>
      <c r="E204"/>
      <c r="CI204" s="27" t="s">
        <v>8</v>
      </c>
      <c r="CJ204" s="27" t="s">
        <v>7</v>
      </c>
      <c r="CK204" s="27" t="s">
        <v>8</v>
      </c>
      <c r="CL204" s="27" t="s">
        <v>7</v>
      </c>
      <c r="CM204" s="27" t="s">
        <v>8</v>
      </c>
      <c r="CN204" s="27" t="s">
        <v>7</v>
      </c>
      <c r="CO204" s="27" t="s">
        <v>8</v>
      </c>
      <c r="CP204" s="27" t="s">
        <v>7</v>
      </c>
      <c r="CT204" s="31"/>
      <c r="CW204" s="27" t="s">
        <v>8</v>
      </c>
    </row>
    <row r="205" spans="1:140" x14ac:dyDescent="0.25">
      <c r="A205" s="30">
        <v>5.5160153675922574</v>
      </c>
      <c r="E205"/>
      <c r="CI205" s="27" t="s">
        <v>8</v>
      </c>
      <c r="CJ205" s="27" t="s">
        <v>7</v>
      </c>
      <c r="CK205" s="27" t="s">
        <v>8</v>
      </c>
      <c r="CL205" s="27" t="s">
        <v>7</v>
      </c>
      <c r="CM205" s="27" t="s">
        <v>8</v>
      </c>
      <c r="CN205" s="27" t="s">
        <v>7</v>
      </c>
      <c r="CO205" s="27" t="s">
        <v>8</v>
      </c>
      <c r="CP205" s="27" t="s">
        <v>7</v>
      </c>
      <c r="CS205" s="33" t="s">
        <v>8</v>
      </c>
      <c r="CU205" s="31"/>
      <c r="CW205" s="27" t="s">
        <v>8</v>
      </c>
      <c r="CX205" s="31" t="s">
        <v>7</v>
      </c>
    </row>
    <row r="206" spans="1:140" x14ac:dyDescent="0.25">
      <c r="A206" s="30">
        <v>5.2533479691354827</v>
      </c>
      <c r="C206"/>
      <c r="D206"/>
      <c r="E206"/>
      <c r="CI206" s="27" t="s">
        <v>8</v>
      </c>
      <c r="CJ206" s="32" t="s">
        <v>7</v>
      </c>
      <c r="CL206" s="32" t="s">
        <v>7</v>
      </c>
      <c r="CN206" s="32" t="s">
        <v>7</v>
      </c>
      <c r="CP206" s="27" t="s">
        <v>7</v>
      </c>
      <c r="CQ206" s="27" t="s">
        <v>8</v>
      </c>
      <c r="CS206" s="27" t="s">
        <v>8</v>
      </c>
      <c r="CT206" s="27" t="s">
        <v>7</v>
      </c>
      <c r="CV206" s="31"/>
      <c r="CW206" s="27" t="s">
        <v>8</v>
      </c>
      <c r="CX206" s="27" t="s">
        <v>7</v>
      </c>
      <c r="CY206" s="31"/>
      <c r="EI206" s="27" t="s">
        <v>8</v>
      </c>
    </row>
    <row r="207" spans="1:140" x14ac:dyDescent="0.25">
      <c r="A207" s="30">
        <v>5.0031885420337927</v>
      </c>
      <c r="E207"/>
      <c r="CI207" s="27" t="s">
        <v>8</v>
      </c>
      <c r="CP207" s="34" t="s">
        <v>7</v>
      </c>
      <c r="CQ207" s="27" t="s">
        <v>8</v>
      </c>
      <c r="CR207" s="27" t="s">
        <v>7</v>
      </c>
      <c r="CS207" s="27" t="s">
        <v>8</v>
      </c>
      <c r="CT207" s="27" t="s">
        <v>7</v>
      </c>
      <c r="CW207" s="31" t="s">
        <v>8</v>
      </c>
      <c r="CX207" s="27" t="s">
        <v>7</v>
      </c>
      <c r="CZ207" s="31"/>
      <c r="EI207" s="27" t="s">
        <v>8</v>
      </c>
      <c r="EJ207" s="27" t="s">
        <v>7</v>
      </c>
    </row>
    <row r="208" spans="1:140" x14ac:dyDescent="0.25">
      <c r="A208" s="30">
        <v>4.7649414686036122</v>
      </c>
      <c r="E208"/>
      <c r="CI208" s="27" t="s">
        <v>8</v>
      </c>
      <c r="CP208" s="27" t="s">
        <v>7</v>
      </c>
      <c r="CQ208" s="27" t="s">
        <v>8</v>
      </c>
      <c r="CR208" s="27" t="s">
        <v>7</v>
      </c>
      <c r="CS208" s="27" t="s">
        <v>8</v>
      </c>
      <c r="CT208" s="27" t="s">
        <v>7</v>
      </c>
      <c r="CW208" s="33" t="s">
        <v>8</v>
      </c>
      <c r="CX208" s="31" t="s">
        <v>7</v>
      </c>
      <c r="DA208" s="31" t="s">
        <v>8</v>
      </c>
      <c r="EI208" s="27" t="s">
        <v>8</v>
      </c>
      <c r="EJ208" s="27" t="s">
        <v>7</v>
      </c>
    </row>
    <row r="209" spans="1:168" x14ac:dyDescent="0.25">
      <c r="A209" s="30">
        <v>4.5380394939082018</v>
      </c>
      <c r="E209"/>
      <c r="CI209" s="27" t="s">
        <v>8</v>
      </c>
      <c r="CP209" s="27" t="s">
        <v>7</v>
      </c>
      <c r="CQ209" s="27" t="s">
        <v>8</v>
      </c>
      <c r="CR209" s="27" t="s">
        <v>7</v>
      </c>
      <c r="CT209" s="27" t="s">
        <v>7</v>
      </c>
      <c r="CU209" s="27" t="s">
        <v>8</v>
      </c>
      <c r="CW209" s="27" t="s">
        <v>8</v>
      </c>
      <c r="CX209" s="27" t="s">
        <v>7</v>
      </c>
      <c r="DA209" s="27" t="s">
        <v>8</v>
      </c>
      <c r="DB209" s="31" t="s">
        <v>7</v>
      </c>
      <c r="DC209" s="31" t="s">
        <v>8</v>
      </c>
      <c r="EI209" s="27" t="s">
        <v>8</v>
      </c>
      <c r="EJ209" s="27" t="s">
        <v>7</v>
      </c>
    </row>
    <row r="210" spans="1:168" x14ac:dyDescent="0.25">
      <c r="A210" s="30">
        <v>4.3219423751506678</v>
      </c>
      <c r="C210"/>
      <c r="E210"/>
      <c r="CI210" s="27" t="s">
        <v>8</v>
      </c>
      <c r="CP210" s="27" t="s">
        <v>7</v>
      </c>
      <c r="CQ210" s="27" t="s">
        <v>8</v>
      </c>
      <c r="CT210" s="34" t="s">
        <v>7</v>
      </c>
      <c r="CU210" s="27" t="s">
        <v>8</v>
      </c>
      <c r="CV210" s="27" t="s">
        <v>7</v>
      </c>
      <c r="CW210" s="27" t="s">
        <v>8</v>
      </c>
      <c r="CX210" s="27" t="s">
        <v>7</v>
      </c>
      <c r="DA210" s="27" t="s">
        <v>8</v>
      </c>
      <c r="DB210" s="27" t="s">
        <v>7</v>
      </c>
      <c r="DC210" s="27" t="s">
        <v>8</v>
      </c>
      <c r="DD210" s="31" t="s">
        <v>7</v>
      </c>
      <c r="EI210" s="27" t="s">
        <v>8</v>
      </c>
      <c r="EJ210" s="27" t="s">
        <v>7</v>
      </c>
    </row>
    <row r="211" spans="1:168" x14ac:dyDescent="0.25">
      <c r="A211" s="30">
        <v>4.1161355953815884</v>
      </c>
      <c r="E211"/>
      <c r="CI211" s="27" t="s">
        <v>8</v>
      </c>
      <c r="CP211" s="27" t="s">
        <v>7</v>
      </c>
      <c r="CT211" s="27" t="s">
        <v>7</v>
      </c>
      <c r="CU211" s="27" t="s">
        <v>8</v>
      </c>
      <c r="CV211" s="27" t="s">
        <v>7</v>
      </c>
      <c r="CW211" s="27" t="s">
        <v>8</v>
      </c>
      <c r="CX211" s="27" t="s">
        <v>7</v>
      </c>
      <c r="DA211" s="33" t="s">
        <v>8</v>
      </c>
      <c r="DB211" s="27" t="s">
        <v>7</v>
      </c>
      <c r="DC211" s="27" t="s">
        <v>8</v>
      </c>
      <c r="DD211" s="27" t="s">
        <v>7</v>
      </c>
      <c r="DE211" s="31"/>
      <c r="EI211" s="27" t="s">
        <v>8</v>
      </c>
      <c r="EJ211" s="27" t="s">
        <v>7</v>
      </c>
      <c r="ES211" s="27" t="s">
        <v>8</v>
      </c>
    </row>
    <row r="212" spans="1:168" x14ac:dyDescent="0.25">
      <c r="A212" s="30">
        <v>3.9201291384586554</v>
      </c>
      <c r="E212"/>
      <c r="CI212" s="27" t="s">
        <v>8</v>
      </c>
      <c r="CT212" s="27" t="s">
        <v>7</v>
      </c>
      <c r="CU212" s="27" t="s">
        <v>8</v>
      </c>
      <c r="CV212" s="27" t="s">
        <v>7</v>
      </c>
      <c r="CW212" s="27" t="s">
        <v>8</v>
      </c>
      <c r="CX212" s="27" t="s">
        <v>7</v>
      </c>
      <c r="CY212" s="27" t="s">
        <v>8</v>
      </c>
      <c r="DA212" s="27" t="s">
        <v>8</v>
      </c>
      <c r="DB212" s="27" t="s">
        <v>7</v>
      </c>
      <c r="DC212" s="27" t="s">
        <v>8</v>
      </c>
      <c r="DD212" s="27" t="s">
        <v>7</v>
      </c>
      <c r="DE212" s="27" t="s">
        <v>8</v>
      </c>
      <c r="DF212" s="31"/>
      <c r="EI212" s="27" t="s">
        <v>8</v>
      </c>
      <c r="EJ212" s="27" t="s">
        <v>7</v>
      </c>
      <c r="ES212" s="27" t="s">
        <v>8</v>
      </c>
      <c r="ET212" s="27" t="s">
        <v>7</v>
      </c>
    </row>
    <row r="213" spans="1:168" x14ac:dyDescent="0.25">
      <c r="A213" s="30">
        <v>3.7334563223415764</v>
      </c>
      <c r="E213"/>
      <c r="CI213" s="27" t="s">
        <v>8</v>
      </c>
      <c r="CT213" s="27" t="s">
        <v>7</v>
      </c>
      <c r="CU213" s="27" t="s">
        <v>8</v>
      </c>
      <c r="CV213" s="27" t="s">
        <v>7</v>
      </c>
      <c r="CW213" s="27" t="s">
        <v>8</v>
      </c>
      <c r="CX213" s="27" t="s">
        <v>7</v>
      </c>
      <c r="CY213" s="27" t="s">
        <v>8</v>
      </c>
      <c r="CZ213" s="27" t="s">
        <v>7</v>
      </c>
      <c r="DA213" s="27" t="s">
        <v>8</v>
      </c>
      <c r="DB213" s="27" t="s">
        <v>7</v>
      </c>
      <c r="DD213" s="27" t="s">
        <v>7</v>
      </c>
      <c r="DE213" s="27" t="s">
        <v>8</v>
      </c>
      <c r="DF213" s="27" t="s">
        <v>7</v>
      </c>
      <c r="DG213" s="31"/>
      <c r="EI213" s="27" t="s">
        <v>8</v>
      </c>
      <c r="EJ213" s="27" t="s">
        <v>7</v>
      </c>
      <c r="EM213" s="27" t="s">
        <v>8</v>
      </c>
      <c r="ES213" s="27" t="s">
        <v>8</v>
      </c>
      <c r="ET213" s="27" t="s">
        <v>7</v>
      </c>
      <c r="EU213" s="27" t="s">
        <v>8</v>
      </c>
    </row>
    <row r="214" spans="1:168" x14ac:dyDescent="0.25">
      <c r="A214" s="30">
        <v>3.5556726879443583</v>
      </c>
      <c r="E214"/>
      <c r="CI214" s="27" t="s">
        <v>8</v>
      </c>
      <c r="CT214" s="27" t="s">
        <v>7</v>
      </c>
      <c r="CU214" s="27" t="s">
        <v>8</v>
      </c>
      <c r="CV214" s="27" t="s">
        <v>7</v>
      </c>
      <c r="CW214" s="27" t="s">
        <v>8</v>
      </c>
      <c r="CX214" s="27" t="s">
        <v>7</v>
      </c>
      <c r="CY214" s="27" t="s">
        <v>8</v>
      </c>
      <c r="CZ214" s="27" t="s">
        <v>7</v>
      </c>
      <c r="DA214" s="27" t="s">
        <v>8</v>
      </c>
      <c r="DD214" s="34" t="s">
        <v>7</v>
      </c>
      <c r="DE214" s="27" t="s">
        <v>8</v>
      </c>
      <c r="DF214" s="27" t="s">
        <v>7</v>
      </c>
      <c r="DG214" s="32" t="s">
        <v>8</v>
      </c>
      <c r="DH214" s="31"/>
      <c r="DI214" s="32" t="s">
        <v>8</v>
      </c>
      <c r="DO214" s="31" t="s">
        <v>8</v>
      </c>
      <c r="EI214" s="27" t="s">
        <v>8</v>
      </c>
      <c r="EJ214" s="27" t="s">
        <v>7</v>
      </c>
      <c r="EK214" s="27" t="s">
        <v>8</v>
      </c>
      <c r="EM214" s="27" t="s">
        <v>8</v>
      </c>
      <c r="EN214" s="27" t="s">
        <v>7</v>
      </c>
      <c r="ES214" s="27" t="s">
        <v>8</v>
      </c>
      <c r="ET214" s="27" t="s">
        <v>7</v>
      </c>
      <c r="EU214" s="27" t="s">
        <v>8</v>
      </c>
      <c r="EV214" s="27" t="s">
        <v>7</v>
      </c>
      <c r="EW214" s="27" t="s">
        <v>8</v>
      </c>
    </row>
    <row r="215" spans="1:168" x14ac:dyDescent="0.25">
      <c r="A215" s="30">
        <v>3.3863549408993889</v>
      </c>
      <c r="E215"/>
      <c r="CI215" s="27" t="s">
        <v>8</v>
      </c>
      <c r="CT215" s="27" t="s">
        <v>7</v>
      </c>
      <c r="CU215" s="27" t="s">
        <v>8</v>
      </c>
      <c r="CV215" s="27" t="s">
        <v>7</v>
      </c>
      <c r="CW215" s="27" t="s">
        <v>8</v>
      </c>
      <c r="CX215" s="27" t="s">
        <v>7</v>
      </c>
      <c r="CY215" s="27" t="s">
        <v>8</v>
      </c>
      <c r="CZ215" s="27" t="s">
        <v>7</v>
      </c>
      <c r="DA215" s="27" t="s">
        <v>8</v>
      </c>
      <c r="DD215" s="27" t="s">
        <v>7</v>
      </c>
      <c r="DF215" s="31" t="s">
        <v>7</v>
      </c>
      <c r="DG215" s="27" t="s">
        <v>8</v>
      </c>
      <c r="DH215" s="27" t="s">
        <v>7</v>
      </c>
      <c r="DI215" s="27" t="s">
        <v>8</v>
      </c>
      <c r="DJ215" s="27" t="s">
        <v>7</v>
      </c>
      <c r="DO215" s="27" t="s">
        <v>8</v>
      </c>
      <c r="DP215" s="31" t="s">
        <v>7</v>
      </c>
      <c r="EE215" s="27" t="s">
        <v>8</v>
      </c>
      <c r="EI215" s="27" t="s">
        <v>8</v>
      </c>
      <c r="EJ215" s="27" t="s">
        <v>7</v>
      </c>
      <c r="EK215" s="27" t="s">
        <v>8</v>
      </c>
      <c r="EL215" s="27" t="s">
        <v>7</v>
      </c>
      <c r="EM215" s="27" t="s">
        <v>8</v>
      </c>
      <c r="EN215" s="27" t="s">
        <v>7</v>
      </c>
      <c r="ES215" s="27" t="s">
        <v>8</v>
      </c>
      <c r="ET215" s="27" t="s">
        <v>7</v>
      </c>
      <c r="EU215" s="27" t="s">
        <v>8</v>
      </c>
      <c r="EV215" s="27" t="s">
        <v>7</v>
      </c>
      <c r="EW215" s="27" t="s">
        <v>8</v>
      </c>
      <c r="EX215" s="27" t="s">
        <v>7</v>
      </c>
      <c r="EY215" s="27" t="s">
        <v>8</v>
      </c>
    </row>
    <row r="216" spans="1:168" x14ac:dyDescent="0.25">
      <c r="A216" s="30">
        <v>3.2250999437137038</v>
      </c>
      <c r="E216"/>
      <c r="CI216" s="27" t="s">
        <v>8</v>
      </c>
      <c r="CT216" s="32" t="s">
        <v>7</v>
      </c>
      <c r="CV216" s="32" t="s">
        <v>7</v>
      </c>
      <c r="CX216" s="27" t="s">
        <v>7</v>
      </c>
      <c r="CY216" s="27" t="s">
        <v>8</v>
      </c>
      <c r="CZ216" s="27" t="s">
        <v>7</v>
      </c>
      <c r="DE216" s="31"/>
      <c r="DF216" s="27" t="s">
        <v>7</v>
      </c>
      <c r="DG216" s="27" t="s">
        <v>8</v>
      </c>
      <c r="DH216" s="27" t="s">
        <v>7</v>
      </c>
      <c r="DI216" s="27" t="s">
        <v>8</v>
      </c>
      <c r="DJ216" s="27" t="s">
        <v>7</v>
      </c>
      <c r="DO216" s="27" t="s">
        <v>8</v>
      </c>
      <c r="DP216" s="27" t="s">
        <v>7</v>
      </c>
      <c r="DQ216" s="31"/>
      <c r="EC216" s="27" t="s">
        <v>8</v>
      </c>
      <c r="EE216" s="27" t="s">
        <v>8</v>
      </c>
      <c r="EF216" s="27" t="s">
        <v>7</v>
      </c>
      <c r="EI216" s="27" t="s">
        <v>8</v>
      </c>
      <c r="EJ216" s="27" t="s">
        <v>7</v>
      </c>
      <c r="EK216" s="27" t="s">
        <v>8</v>
      </c>
      <c r="EL216" s="27" t="s">
        <v>7</v>
      </c>
      <c r="EM216" s="27" t="s">
        <v>8</v>
      </c>
      <c r="EN216" s="27" t="s">
        <v>7</v>
      </c>
      <c r="EO216" s="27" t="s">
        <v>8</v>
      </c>
      <c r="EQ216" s="27" t="s">
        <v>8</v>
      </c>
      <c r="ES216" s="27" t="s">
        <v>8</v>
      </c>
      <c r="ET216" s="27" t="s">
        <v>7</v>
      </c>
      <c r="EV216" s="27" t="s">
        <v>7</v>
      </c>
      <c r="EW216" s="27" t="s">
        <v>8</v>
      </c>
      <c r="EX216" s="27" t="s">
        <v>7</v>
      </c>
      <c r="EY216" s="27" t="s">
        <v>8</v>
      </c>
      <c r="EZ216" s="27" t="s">
        <v>7</v>
      </c>
    </row>
    <row r="217" spans="1:168" x14ac:dyDescent="0.25">
      <c r="A217" s="30">
        <v>3.0715237559178128</v>
      </c>
      <c r="E217"/>
      <c r="CI217" s="27" t="s">
        <v>8</v>
      </c>
      <c r="CX217" s="34" t="s">
        <v>7</v>
      </c>
      <c r="CY217" s="27" t="s">
        <v>8</v>
      </c>
      <c r="DD217" s="31"/>
      <c r="DF217" s="32" t="s">
        <v>7</v>
      </c>
      <c r="DH217" s="32" t="s">
        <v>7</v>
      </c>
      <c r="DJ217" s="27" t="s">
        <v>7</v>
      </c>
      <c r="DO217" s="27" t="s">
        <v>8</v>
      </c>
      <c r="DP217" s="27" t="s">
        <v>7</v>
      </c>
      <c r="DR217" s="31"/>
      <c r="EC217" s="27" t="s">
        <v>8</v>
      </c>
      <c r="ED217" s="27" t="s">
        <v>7</v>
      </c>
      <c r="EE217" s="27" t="s">
        <v>8</v>
      </c>
      <c r="EF217" s="27" t="s">
        <v>7</v>
      </c>
      <c r="EG217" s="27" t="s">
        <v>8</v>
      </c>
      <c r="EI217" s="27" t="s">
        <v>8</v>
      </c>
      <c r="EJ217" s="27" t="s">
        <v>7</v>
      </c>
      <c r="EK217" s="27" t="s">
        <v>8</v>
      </c>
      <c r="EL217" s="27" t="s">
        <v>7</v>
      </c>
      <c r="EN217" s="27" t="s">
        <v>7</v>
      </c>
      <c r="EO217" s="27" t="s">
        <v>8</v>
      </c>
      <c r="EP217" s="27" t="s">
        <v>7</v>
      </c>
      <c r="EQ217" s="27" t="s">
        <v>8</v>
      </c>
      <c r="ER217" s="27" t="s">
        <v>7</v>
      </c>
      <c r="ES217" s="27" t="s">
        <v>8</v>
      </c>
      <c r="EV217" s="27" t="s">
        <v>7</v>
      </c>
      <c r="EW217" s="27" t="s">
        <v>8</v>
      </c>
      <c r="EX217" s="27" t="s">
        <v>7</v>
      </c>
      <c r="EY217" s="27" t="s">
        <v>8</v>
      </c>
      <c r="EZ217" s="27" t="s">
        <v>7</v>
      </c>
    </row>
    <row r="218" spans="1:168" x14ac:dyDescent="0.25">
      <c r="A218" s="30">
        <v>2.9252607199217264</v>
      </c>
      <c r="E218"/>
      <c r="CI218" s="27" t="s">
        <v>8</v>
      </c>
      <c r="CX218" s="27" t="s">
        <v>7</v>
      </c>
      <c r="CY218" s="27" t="s">
        <v>8</v>
      </c>
      <c r="DC218" s="31"/>
      <c r="DJ218" s="27" t="s">
        <v>7</v>
      </c>
      <c r="DK218" s="27" t="s">
        <v>8</v>
      </c>
      <c r="DO218" s="27" t="s">
        <v>8</v>
      </c>
      <c r="DP218" s="27" t="s">
        <v>7</v>
      </c>
      <c r="DS218" s="31"/>
      <c r="EC218" s="27" t="s">
        <v>8</v>
      </c>
      <c r="ED218" s="27" t="s">
        <v>7</v>
      </c>
      <c r="EE218" s="27" t="s">
        <v>8</v>
      </c>
      <c r="EF218" s="27" t="s">
        <v>7</v>
      </c>
      <c r="EG218" s="27" t="s">
        <v>8</v>
      </c>
      <c r="EH218" s="27" t="s">
        <v>7</v>
      </c>
      <c r="EI218" s="27" t="s">
        <v>8</v>
      </c>
      <c r="EJ218" s="27" t="s">
        <v>7</v>
      </c>
      <c r="EN218" s="27" t="s">
        <v>7</v>
      </c>
      <c r="EO218" s="27" t="s">
        <v>8</v>
      </c>
      <c r="EP218" s="27" t="s">
        <v>7</v>
      </c>
      <c r="EQ218" s="27" t="s">
        <v>8</v>
      </c>
      <c r="ER218" s="27" t="s">
        <v>7</v>
      </c>
      <c r="ES218" s="27" t="s">
        <v>8</v>
      </c>
      <c r="EV218" s="27" t="s">
        <v>7</v>
      </c>
      <c r="EW218" s="27" t="s">
        <v>8</v>
      </c>
      <c r="EX218" s="27" t="s">
        <v>7</v>
      </c>
      <c r="EZ218" s="27" t="s">
        <v>7</v>
      </c>
    </row>
    <row r="219" spans="1:168" x14ac:dyDescent="0.25">
      <c r="A219" s="30">
        <v>2.7859625904016441</v>
      </c>
      <c r="E219"/>
      <c r="CI219" s="27" t="s">
        <v>8</v>
      </c>
      <c r="CX219" s="27" t="s">
        <v>7</v>
      </c>
      <c r="CY219" s="27" t="s">
        <v>8</v>
      </c>
      <c r="DB219" s="31"/>
      <c r="DJ219" s="27" t="s">
        <v>7</v>
      </c>
      <c r="DK219" s="27" t="s">
        <v>8</v>
      </c>
      <c r="DL219" s="27" t="s">
        <v>7</v>
      </c>
      <c r="DO219" s="33" t="s">
        <v>8</v>
      </c>
      <c r="DP219" s="27" t="s">
        <v>7</v>
      </c>
      <c r="DT219" s="31"/>
      <c r="EC219" s="27" t="s">
        <v>8</v>
      </c>
      <c r="ED219" s="27" t="s">
        <v>7</v>
      </c>
      <c r="EF219" s="27" t="s">
        <v>7</v>
      </c>
      <c r="EG219" s="27" t="s">
        <v>8</v>
      </c>
      <c r="EH219" s="27" t="s">
        <v>7</v>
      </c>
      <c r="EI219" s="27" t="s">
        <v>8</v>
      </c>
      <c r="EN219" s="27" t="s">
        <v>7</v>
      </c>
      <c r="EP219" s="27" t="s">
        <v>7</v>
      </c>
      <c r="EQ219" s="27" t="s">
        <v>8</v>
      </c>
      <c r="ER219" s="27" t="s">
        <v>7</v>
      </c>
      <c r="ES219" s="27" t="s">
        <v>8</v>
      </c>
      <c r="EV219" s="27" t="s">
        <v>7</v>
      </c>
      <c r="EW219" s="27" t="s">
        <v>8</v>
      </c>
      <c r="EZ219" s="27" t="s">
        <v>7</v>
      </c>
    </row>
    <row r="220" spans="1:168" x14ac:dyDescent="0.25">
      <c r="A220" s="30">
        <v>2.6532977051444226</v>
      </c>
      <c r="E220"/>
      <c r="CI220" s="27" t="s">
        <v>8</v>
      </c>
      <c r="CX220" s="27" t="s">
        <v>7</v>
      </c>
      <c r="CY220" s="27" t="s">
        <v>8</v>
      </c>
      <c r="DA220" s="31"/>
      <c r="DJ220" s="27" t="s">
        <v>7</v>
      </c>
      <c r="DK220" s="27" t="s">
        <v>8</v>
      </c>
      <c r="DL220" s="27" t="s">
        <v>7</v>
      </c>
      <c r="DM220" s="27" t="s">
        <v>8</v>
      </c>
      <c r="DO220" s="27" t="s">
        <v>8</v>
      </c>
      <c r="DP220" s="27" t="s">
        <v>7</v>
      </c>
      <c r="DQ220" s="27" t="s">
        <v>8</v>
      </c>
      <c r="DU220" s="31"/>
      <c r="EC220" s="27" t="s">
        <v>8</v>
      </c>
      <c r="EF220" s="34" t="s">
        <v>7</v>
      </c>
      <c r="EH220" s="27" t="s">
        <v>7</v>
      </c>
      <c r="EP220" s="27" t="s">
        <v>7</v>
      </c>
      <c r="ER220" s="27" t="s">
        <v>7</v>
      </c>
      <c r="EV220" s="27" t="s">
        <v>7</v>
      </c>
      <c r="EZ220" s="27" t="s">
        <v>7</v>
      </c>
    </row>
    <row r="221" spans="1:168" x14ac:dyDescent="0.25">
      <c r="A221" s="30">
        <v>2.5269501953756404</v>
      </c>
      <c r="E221"/>
      <c r="CI221" s="27" t="s">
        <v>8</v>
      </c>
      <c r="CX221" s="27" t="s">
        <v>7</v>
      </c>
      <c r="CZ221" s="31"/>
      <c r="DJ221" s="27" t="s">
        <v>7</v>
      </c>
      <c r="DK221" s="27" t="s">
        <v>8</v>
      </c>
      <c r="DL221" s="27" t="s">
        <v>7</v>
      </c>
      <c r="DM221" s="27" t="s">
        <v>8</v>
      </c>
      <c r="DN221" s="27" t="s">
        <v>7</v>
      </c>
      <c r="DO221" s="27" t="s">
        <v>8</v>
      </c>
      <c r="DP221" s="27" t="s">
        <v>7</v>
      </c>
      <c r="DQ221" s="27" t="s">
        <v>8</v>
      </c>
      <c r="DR221" s="27" t="s">
        <v>7</v>
      </c>
      <c r="DV221" s="31"/>
      <c r="EC221" s="27" t="s">
        <v>8</v>
      </c>
      <c r="EZ221" s="27" t="s">
        <v>7</v>
      </c>
      <c r="FC221" s="27" t="s">
        <v>8</v>
      </c>
    </row>
    <row r="222" spans="1:168" x14ac:dyDescent="0.25">
      <c r="A222" s="30">
        <v>2.4066192336910861</v>
      </c>
      <c r="E222"/>
      <c r="CI222" s="27" t="s">
        <v>8</v>
      </c>
      <c r="CY222" s="31"/>
      <c r="DJ222" s="27" t="s">
        <v>7</v>
      </c>
      <c r="DK222" s="27" t="s">
        <v>8</v>
      </c>
      <c r="DL222" s="27" t="s">
        <v>7</v>
      </c>
      <c r="DM222" s="27" t="s">
        <v>8</v>
      </c>
      <c r="DN222" s="27" t="s">
        <v>7</v>
      </c>
      <c r="DO222" s="27" t="s">
        <v>8</v>
      </c>
      <c r="DP222" s="27" t="s">
        <v>7</v>
      </c>
      <c r="DQ222" s="27" t="s">
        <v>8</v>
      </c>
      <c r="DR222" s="31" t="s">
        <v>7</v>
      </c>
      <c r="DW222" s="31"/>
      <c r="EA222" s="27" t="s">
        <v>8</v>
      </c>
      <c r="EC222" s="27" t="s">
        <v>8</v>
      </c>
      <c r="EM222" s="31"/>
      <c r="EZ222" s="27" t="s">
        <v>7</v>
      </c>
      <c r="FA222" s="27" t="s">
        <v>8</v>
      </c>
      <c r="FC222" s="27" t="s">
        <v>8</v>
      </c>
      <c r="FD222" s="27" t="s">
        <v>7</v>
      </c>
      <c r="FE222" s="27" t="s">
        <v>8</v>
      </c>
      <c r="FG222" s="27" t="s">
        <v>8</v>
      </c>
      <c r="FI222" s="27" t="s">
        <v>8</v>
      </c>
      <c r="FK222" s="27" t="s">
        <v>8</v>
      </c>
    </row>
    <row r="223" spans="1:168" x14ac:dyDescent="0.25">
      <c r="A223" s="30">
        <v>2.2920183178010345</v>
      </c>
      <c r="E223"/>
      <c r="CI223" s="27" t="s">
        <v>8</v>
      </c>
      <c r="CX223" s="31"/>
      <c r="DJ223" s="27" t="s">
        <v>7</v>
      </c>
      <c r="DK223" s="27" t="s">
        <v>8</v>
      </c>
      <c r="DL223" s="27" t="s">
        <v>7</v>
      </c>
      <c r="DM223" s="27" t="s">
        <v>8</v>
      </c>
      <c r="DN223" s="27" t="s">
        <v>7</v>
      </c>
      <c r="DO223" s="27" t="s">
        <v>8</v>
      </c>
      <c r="DP223" s="27" t="s">
        <v>7</v>
      </c>
      <c r="DQ223" s="31"/>
      <c r="DR223" s="27" t="s">
        <v>7</v>
      </c>
      <c r="DX223" s="31"/>
      <c r="EA223" s="27" t="s">
        <v>8</v>
      </c>
      <c r="EB223" s="27" t="s">
        <v>7</v>
      </c>
      <c r="EC223" s="27" t="s">
        <v>8</v>
      </c>
      <c r="EL223" s="31"/>
      <c r="EZ223" s="27" t="s">
        <v>7</v>
      </c>
      <c r="FA223" s="27" t="s">
        <v>8</v>
      </c>
      <c r="FB223" s="27" t="s">
        <v>7</v>
      </c>
      <c r="FC223" s="27" t="s">
        <v>8</v>
      </c>
      <c r="FD223" s="27" t="s">
        <v>7</v>
      </c>
      <c r="FE223" s="27" t="s">
        <v>8</v>
      </c>
      <c r="FF223" s="27" t="s">
        <v>7</v>
      </c>
      <c r="FG223" s="27" t="s">
        <v>8</v>
      </c>
      <c r="FH223" s="27" t="s">
        <v>7</v>
      </c>
      <c r="FI223" s="27" t="s">
        <v>8</v>
      </c>
      <c r="FJ223" s="27" t="s">
        <v>7</v>
      </c>
      <c r="FK223" s="27" t="s">
        <v>8</v>
      </c>
      <c r="FL223" s="27" t="s">
        <v>7</v>
      </c>
    </row>
    <row r="224" spans="1:168" x14ac:dyDescent="0.25">
      <c r="A224" s="30">
        <v>2.1828745883819374</v>
      </c>
      <c r="E224"/>
      <c r="CI224" s="27" t="s">
        <v>8</v>
      </c>
      <c r="CW224" s="31"/>
      <c r="DJ224" s="27" t="s">
        <v>7</v>
      </c>
      <c r="DK224" s="27" t="s">
        <v>8</v>
      </c>
      <c r="DL224" s="27" t="s">
        <v>7</v>
      </c>
      <c r="DM224" s="27" t="s">
        <v>8</v>
      </c>
      <c r="DN224" s="27" t="s">
        <v>7</v>
      </c>
      <c r="DO224" s="27" t="s">
        <v>8</v>
      </c>
      <c r="DP224" s="31"/>
      <c r="DR224" s="34" t="s">
        <v>7</v>
      </c>
      <c r="DY224" s="31"/>
      <c r="EA224" s="33" t="s">
        <v>8</v>
      </c>
      <c r="EB224" s="27" t="s">
        <v>7</v>
      </c>
      <c r="EC224" s="27" t="s">
        <v>8</v>
      </c>
      <c r="EK224" s="31"/>
      <c r="EZ224" s="27" t="s">
        <v>7</v>
      </c>
      <c r="FA224" s="27" t="s">
        <v>8</v>
      </c>
      <c r="FB224" s="27" t="s">
        <v>7</v>
      </c>
      <c r="FC224" s="27" t="s">
        <v>8</v>
      </c>
      <c r="FD224" s="27" t="s">
        <v>7</v>
      </c>
      <c r="FE224" s="27" t="s">
        <v>8</v>
      </c>
      <c r="FF224" s="27" t="s">
        <v>7</v>
      </c>
      <c r="FG224" s="27" t="s">
        <v>8</v>
      </c>
      <c r="FH224" s="27" t="s">
        <v>7</v>
      </c>
      <c r="FI224" s="27" t="s">
        <v>8</v>
      </c>
      <c r="FJ224" s="27" t="s">
        <v>7</v>
      </c>
      <c r="FK224" s="27" t="s">
        <v>8</v>
      </c>
      <c r="FL224" s="27" t="s">
        <v>7</v>
      </c>
    </row>
    <row r="225" spans="1:169" x14ac:dyDescent="0.25">
      <c r="A225" s="30">
        <v>2.0789281794113688</v>
      </c>
      <c r="E225"/>
      <c r="CG225" s="27" t="s">
        <v>8</v>
      </c>
      <c r="CI225" s="27" t="s">
        <v>8</v>
      </c>
      <c r="CV225" s="31"/>
      <c r="DJ225" s="27" t="s">
        <v>7</v>
      </c>
      <c r="DK225" s="27" t="s">
        <v>8</v>
      </c>
      <c r="DL225" s="27" t="s">
        <v>7</v>
      </c>
      <c r="DM225" s="27" t="s">
        <v>8</v>
      </c>
      <c r="DN225" s="27" t="s">
        <v>7</v>
      </c>
      <c r="DO225" s="31" t="s">
        <v>8</v>
      </c>
      <c r="DR225" s="27" t="s">
        <v>7</v>
      </c>
      <c r="DY225" s="27" t="s">
        <v>8</v>
      </c>
      <c r="DZ225" s="31"/>
      <c r="EA225" s="27" t="s">
        <v>8</v>
      </c>
      <c r="EB225" s="27" t="s">
        <v>7</v>
      </c>
      <c r="EC225" s="27" t="s">
        <v>8</v>
      </c>
      <c r="EJ225" s="31"/>
      <c r="EZ225" s="27" t="s">
        <v>7</v>
      </c>
      <c r="FA225" s="27" t="s">
        <v>8</v>
      </c>
      <c r="FB225" s="27" t="s">
        <v>7</v>
      </c>
      <c r="FC225" s="27" t="s">
        <v>8</v>
      </c>
      <c r="FD225" s="27" t="s">
        <v>7</v>
      </c>
      <c r="FE225" s="27" t="s">
        <v>8</v>
      </c>
      <c r="FF225" s="27" t="s">
        <v>7</v>
      </c>
      <c r="FG225" s="27" t="s">
        <v>8</v>
      </c>
      <c r="FH225" s="27" t="s">
        <v>7</v>
      </c>
      <c r="FI225" s="27" t="s">
        <v>8</v>
      </c>
      <c r="FJ225" s="27" t="s">
        <v>7</v>
      </c>
      <c r="FK225" s="27" t="s">
        <v>8</v>
      </c>
      <c r="FL225" s="27" t="s">
        <v>7</v>
      </c>
    </row>
    <row r="226" spans="1:169" x14ac:dyDescent="0.25">
      <c r="A226" s="30">
        <v>1.9799315994393987</v>
      </c>
      <c r="E226"/>
      <c r="CG226" s="27" t="s">
        <v>8</v>
      </c>
      <c r="CH226" s="27" t="s">
        <v>7</v>
      </c>
      <c r="CI226" s="27" t="s">
        <v>8</v>
      </c>
      <c r="CU226" s="31"/>
      <c r="DJ226" s="27" t="s">
        <v>7</v>
      </c>
      <c r="DK226" s="27" t="s">
        <v>8</v>
      </c>
      <c r="DL226" s="27" t="s">
        <v>7</v>
      </c>
      <c r="DM226" s="27" t="s">
        <v>8</v>
      </c>
      <c r="DN226" s="31" t="s">
        <v>7</v>
      </c>
      <c r="DR226" s="27" t="s">
        <v>7</v>
      </c>
      <c r="DY226" s="33" t="s">
        <v>8</v>
      </c>
      <c r="DZ226" s="27" t="s">
        <v>7</v>
      </c>
      <c r="EA226" s="31" t="s">
        <v>8</v>
      </c>
      <c r="EB226" s="27" t="s">
        <v>7</v>
      </c>
      <c r="EC226" s="27" t="s">
        <v>8</v>
      </c>
      <c r="EI226" s="31"/>
      <c r="EZ226" s="27" t="s">
        <v>7</v>
      </c>
      <c r="FA226" s="27" t="s">
        <v>8</v>
      </c>
      <c r="FB226" s="27" t="s">
        <v>7</v>
      </c>
      <c r="FD226" s="27" t="s">
        <v>7</v>
      </c>
      <c r="FF226" s="27" t="s">
        <v>7</v>
      </c>
      <c r="FH226" s="27" t="s">
        <v>7</v>
      </c>
      <c r="FJ226" s="27" t="s">
        <v>7</v>
      </c>
      <c r="FL226" s="27" t="s">
        <v>7</v>
      </c>
    </row>
    <row r="227" spans="1:169" x14ac:dyDescent="0.25">
      <c r="A227" s="30">
        <v>1.8856491423232367</v>
      </c>
      <c r="E227"/>
      <c r="CE227" s="27" t="s">
        <v>8</v>
      </c>
      <c r="CG227" s="27" t="s">
        <v>8</v>
      </c>
      <c r="CH227" s="27" t="s">
        <v>7</v>
      </c>
      <c r="CI227" s="27" t="s">
        <v>8</v>
      </c>
      <c r="CT227" s="31"/>
      <c r="DJ227" s="27" t="s">
        <v>7</v>
      </c>
      <c r="DK227" s="27" t="s">
        <v>8</v>
      </c>
      <c r="DL227" s="27" t="s">
        <v>7</v>
      </c>
      <c r="DM227" s="31" t="s">
        <v>8</v>
      </c>
      <c r="DR227" s="27" t="s">
        <v>7</v>
      </c>
      <c r="DU227" s="27" t="s">
        <v>8</v>
      </c>
      <c r="DW227" s="27" t="s">
        <v>8</v>
      </c>
      <c r="DY227" s="27" t="s">
        <v>8</v>
      </c>
      <c r="DZ227" s="27" t="s">
        <v>7</v>
      </c>
      <c r="EA227" s="27" t="s">
        <v>8</v>
      </c>
      <c r="EB227" s="31" t="s">
        <v>7</v>
      </c>
      <c r="EH227" s="31"/>
      <c r="EZ227" s="27" t="s">
        <v>7</v>
      </c>
      <c r="FA227" s="27" t="s">
        <v>8</v>
      </c>
      <c r="FL227" s="27" t="s">
        <v>7</v>
      </c>
    </row>
    <row r="228" spans="1:169" x14ac:dyDescent="0.25">
      <c r="A228" s="30">
        <v>1.7958563260221301</v>
      </c>
      <c r="C228" s="7"/>
      <c r="D228"/>
      <c r="E228"/>
      <c r="CE228" s="27" t="s">
        <v>8</v>
      </c>
      <c r="CF228" s="27" t="s">
        <v>7</v>
      </c>
      <c r="CG228" s="27" t="s">
        <v>8</v>
      </c>
      <c r="CH228" s="27" t="s">
        <v>7</v>
      </c>
      <c r="CI228" s="27" t="s">
        <v>8</v>
      </c>
      <c r="CS228" s="31"/>
      <c r="DJ228" s="27" t="s">
        <v>7</v>
      </c>
      <c r="DK228" s="27" t="s">
        <v>8</v>
      </c>
      <c r="DL228" s="31" t="s">
        <v>7</v>
      </c>
      <c r="DR228" s="27" t="s">
        <v>7</v>
      </c>
      <c r="DU228" s="27" t="s">
        <v>8</v>
      </c>
      <c r="DV228" s="27" t="s">
        <v>7</v>
      </c>
      <c r="DW228" s="27" t="s">
        <v>8</v>
      </c>
      <c r="DX228" s="27" t="s">
        <v>7</v>
      </c>
      <c r="DY228" s="27" t="s">
        <v>8</v>
      </c>
      <c r="DZ228" s="27" t="s">
        <v>7</v>
      </c>
      <c r="EA228" s="27" t="s">
        <v>8</v>
      </c>
      <c r="EG228" s="31"/>
      <c r="EZ228" s="27" t="s">
        <v>7</v>
      </c>
      <c r="FL228" s="27" t="s">
        <v>7</v>
      </c>
    </row>
    <row r="229" spans="1:169" x14ac:dyDescent="0.25">
      <c r="A229" s="30">
        <v>1.7103393581163142</v>
      </c>
      <c r="E229"/>
      <c r="CA229" s="27" t="s">
        <v>8</v>
      </c>
      <c r="CE229" s="27" t="s">
        <v>8</v>
      </c>
      <c r="CF229" s="27" t="s">
        <v>7</v>
      </c>
      <c r="CG229" s="27" t="s">
        <v>8</v>
      </c>
      <c r="CH229" s="27" t="s">
        <v>7</v>
      </c>
      <c r="CI229" s="27" t="s">
        <v>8</v>
      </c>
      <c r="CR229" s="31"/>
      <c r="DJ229" s="27" t="s">
        <v>7</v>
      </c>
      <c r="DK229" s="31" t="s">
        <v>8</v>
      </c>
      <c r="DR229" s="27" t="s">
        <v>7</v>
      </c>
      <c r="DU229" s="27" t="s">
        <v>8</v>
      </c>
      <c r="DV229" s="27" t="s">
        <v>7</v>
      </c>
      <c r="DW229" s="27" t="s">
        <v>8</v>
      </c>
      <c r="DX229" s="27" t="s">
        <v>7</v>
      </c>
      <c r="DY229" s="27" t="s">
        <v>8</v>
      </c>
      <c r="DZ229" s="27" t="s">
        <v>7</v>
      </c>
      <c r="EA229" s="27" t="s">
        <v>8</v>
      </c>
      <c r="EF229" s="31"/>
      <c r="FL229" s="27" t="s">
        <v>7</v>
      </c>
    </row>
    <row r="230" spans="1:169" x14ac:dyDescent="0.25">
      <c r="A230" s="30">
        <v>1.628894626777442</v>
      </c>
      <c r="E230"/>
      <c r="CA230" s="27" t="s">
        <v>8</v>
      </c>
      <c r="CB230" s="27" t="s">
        <v>7</v>
      </c>
      <c r="CE230" s="27" t="s">
        <v>8</v>
      </c>
      <c r="CF230" s="27" t="s">
        <v>7</v>
      </c>
      <c r="CG230" s="27" t="s">
        <v>8</v>
      </c>
      <c r="CH230" s="27" t="s">
        <v>7</v>
      </c>
      <c r="CI230" s="27" t="s">
        <v>8</v>
      </c>
      <c r="CQ230" s="31"/>
      <c r="DJ230" s="31" t="s">
        <v>7</v>
      </c>
      <c r="DR230" s="27" t="s">
        <v>7</v>
      </c>
      <c r="DU230" s="27" t="s">
        <v>8</v>
      </c>
      <c r="DV230" s="27" t="s">
        <v>7</v>
      </c>
      <c r="DW230" s="27" t="s">
        <v>8</v>
      </c>
      <c r="DX230" s="27" t="s">
        <v>7</v>
      </c>
      <c r="DY230" s="27" t="s">
        <v>8</v>
      </c>
      <c r="DZ230" s="27" t="s">
        <v>7</v>
      </c>
      <c r="EA230" s="27" t="s">
        <v>8</v>
      </c>
      <c r="EE230" s="31"/>
      <c r="FL230" s="27" t="s">
        <v>7</v>
      </c>
    </row>
    <row r="231" spans="1:169" x14ac:dyDescent="0.25">
      <c r="A231" s="30">
        <v>1.5513282159785162</v>
      </c>
      <c r="C231"/>
      <c r="D231"/>
      <c r="E231"/>
      <c r="CA231" s="27" t="s">
        <v>8</v>
      </c>
      <c r="CB231" s="27" t="s">
        <v>7</v>
      </c>
      <c r="CE231" s="27" t="s">
        <v>8</v>
      </c>
      <c r="CF231" s="27" t="s">
        <v>7</v>
      </c>
      <c r="CG231" s="27" t="s">
        <v>8</v>
      </c>
      <c r="CH231" s="27" t="s">
        <v>7</v>
      </c>
      <c r="CI231" s="27" t="s">
        <v>8</v>
      </c>
      <c r="CP231" s="31"/>
      <c r="DR231" s="27" t="s">
        <v>7</v>
      </c>
      <c r="DU231" s="33" t="s">
        <v>8</v>
      </c>
      <c r="DV231" s="27" t="s">
        <v>7</v>
      </c>
      <c r="DX231" s="27" t="s">
        <v>7</v>
      </c>
      <c r="DY231" s="27" t="s">
        <v>8</v>
      </c>
      <c r="DZ231" s="27" t="s">
        <v>7</v>
      </c>
      <c r="EA231" s="27" t="s">
        <v>8</v>
      </c>
      <c r="ED231" s="31"/>
      <c r="FL231" s="27" t="s">
        <v>7</v>
      </c>
      <c r="FM231" s="27" t="s">
        <v>8</v>
      </c>
    </row>
    <row r="232" spans="1:169" x14ac:dyDescent="0.25">
      <c r="A232" s="30">
        <v>1.477455443789063</v>
      </c>
      <c r="E232"/>
      <c r="CA232" s="27" t="s">
        <v>8</v>
      </c>
      <c r="CB232" s="27" t="s">
        <v>7</v>
      </c>
      <c r="CC232" s="27" t="s">
        <v>8</v>
      </c>
      <c r="CE232" s="27" t="s">
        <v>8</v>
      </c>
      <c r="CF232" s="27" t="s">
        <v>7</v>
      </c>
      <c r="CG232" s="27" t="s">
        <v>8</v>
      </c>
      <c r="CH232" s="27" t="s">
        <v>7</v>
      </c>
      <c r="CO232" s="31"/>
      <c r="DR232" s="27" t="s">
        <v>7</v>
      </c>
      <c r="DS232" s="27" t="s">
        <v>8</v>
      </c>
      <c r="DU232" s="27" t="s">
        <v>8</v>
      </c>
      <c r="DX232" s="34" t="s">
        <v>7</v>
      </c>
      <c r="DZ232" s="27" t="s">
        <v>7</v>
      </c>
      <c r="EA232" s="27" t="s">
        <v>8</v>
      </c>
      <c r="EC232" s="31"/>
      <c r="FL232" s="27" t="s">
        <v>7</v>
      </c>
      <c r="FM232" s="27" t="s">
        <v>8</v>
      </c>
    </row>
    <row r="233" spans="1:169" x14ac:dyDescent="0.25">
      <c r="A233" s="30">
        <v>1.4071004226562505</v>
      </c>
      <c r="E233"/>
      <c r="CA233" s="27" t="s">
        <v>8</v>
      </c>
      <c r="CB233" s="27" t="s">
        <v>7</v>
      </c>
      <c r="CC233" s="27" t="s">
        <v>8</v>
      </c>
      <c r="CD233" s="27" t="s">
        <v>7</v>
      </c>
      <c r="CE233" s="27" t="s">
        <v>8</v>
      </c>
      <c r="CF233" s="27" t="s">
        <v>7</v>
      </c>
      <c r="CG233" s="27" t="s">
        <v>8</v>
      </c>
      <c r="CN233" s="31"/>
      <c r="DR233" s="27" t="s">
        <v>7</v>
      </c>
      <c r="DS233" s="27" t="s">
        <v>8</v>
      </c>
      <c r="DT233" s="27" t="s">
        <v>7</v>
      </c>
      <c r="DU233" s="27" t="s">
        <v>8</v>
      </c>
      <c r="DZ233" s="34" t="s">
        <v>7</v>
      </c>
      <c r="EA233" s="27" t="s">
        <v>8</v>
      </c>
      <c r="EB233" s="31"/>
      <c r="FL233" s="27" t="s">
        <v>7</v>
      </c>
      <c r="FM233" s="27" t="s">
        <v>8</v>
      </c>
    </row>
    <row r="234" spans="1:169" x14ac:dyDescent="0.25">
      <c r="A234" s="30">
        <v>1.3400956406250004</v>
      </c>
      <c r="E234"/>
      <c r="CA234" s="27" t="s">
        <v>8</v>
      </c>
      <c r="CB234" s="27" t="s">
        <v>7</v>
      </c>
      <c r="CC234" s="27" t="s">
        <v>8</v>
      </c>
      <c r="CD234" s="27" t="s">
        <v>7</v>
      </c>
      <c r="CE234" s="27" t="s">
        <v>8</v>
      </c>
      <c r="CF234" s="27" t="s">
        <v>7</v>
      </c>
      <c r="CG234" s="27" t="s">
        <v>8</v>
      </c>
      <c r="CM234" s="31"/>
      <c r="DR234" s="27" t="s">
        <v>7</v>
      </c>
      <c r="DS234" s="27" t="s">
        <v>8</v>
      </c>
      <c r="DT234" s="27" t="s">
        <v>7</v>
      </c>
      <c r="DU234" s="27" t="s">
        <v>8</v>
      </c>
      <c r="DZ234" s="27" t="s">
        <v>7</v>
      </c>
      <c r="EA234" s="31" t="s">
        <v>8</v>
      </c>
      <c r="FL234" s="27" t="s">
        <v>7</v>
      </c>
      <c r="FM234" s="27" t="s">
        <v>8</v>
      </c>
    </row>
    <row r="235" spans="1:169" x14ac:dyDescent="0.25">
      <c r="A235" s="30">
        <v>1.2762815625000004</v>
      </c>
      <c r="C235"/>
      <c r="E235"/>
      <c r="BW235" s="27" t="s">
        <v>8</v>
      </c>
      <c r="CA235" s="27" t="s">
        <v>8</v>
      </c>
      <c r="CB235" s="27" t="s">
        <v>7</v>
      </c>
      <c r="CC235" s="27" t="s">
        <v>8</v>
      </c>
      <c r="CD235" s="27" t="s">
        <v>7</v>
      </c>
      <c r="CE235" s="27" t="s">
        <v>8</v>
      </c>
      <c r="CF235" s="27" t="s">
        <v>7</v>
      </c>
      <c r="CL235" s="31"/>
      <c r="DR235" s="27" t="s">
        <v>7</v>
      </c>
      <c r="DS235" s="27" t="s">
        <v>8</v>
      </c>
      <c r="DT235" s="27" t="s">
        <v>7</v>
      </c>
      <c r="DU235" s="27" t="s">
        <v>8</v>
      </c>
      <c r="DZ235" s="31" t="s">
        <v>7</v>
      </c>
      <c r="FL235" s="27" t="s">
        <v>7</v>
      </c>
      <c r="FM235" s="27" t="s">
        <v>8</v>
      </c>
    </row>
    <row r="236" spans="1:169" x14ac:dyDescent="0.25">
      <c r="A236" s="30">
        <v>1.2155062500000002</v>
      </c>
      <c r="E236"/>
      <c r="BU236" s="27" t="s">
        <v>8</v>
      </c>
      <c r="BW236" s="27" t="s">
        <v>8</v>
      </c>
      <c r="BX236" s="27" t="s">
        <v>7</v>
      </c>
      <c r="CA236" s="27" t="s">
        <v>8</v>
      </c>
      <c r="CB236" s="27" t="s">
        <v>7</v>
      </c>
      <c r="CC236" s="27" t="s">
        <v>8</v>
      </c>
      <c r="CD236" s="27" t="s">
        <v>7</v>
      </c>
      <c r="CE236" s="27" t="s">
        <v>8</v>
      </c>
      <c r="CK236" s="31"/>
      <c r="DR236" s="27" t="s">
        <v>7</v>
      </c>
      <c r="DS236" s="27" t="s">
        <v>8</v>
      </c>
      <c r="DT236" s="27" t="s">
        <v>7</v>
      </c>
      <c r="FL236" s="27" t="s">
        <v>7</v>
      </c>
    </row>
    <row r="237" spans="1:169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BU237" s="27" t="s">
        <v>8</v>
      </c>
      <c r="BV237" s="27" t="s">
        <v>7</v>
      </c>
      <c r="BW237" s="27" t="s">
        <v>8</v>
      </c>
      <c r="BX237" s="27" t="s">
        <v>7</v>
      </c>
      <c r="CA237" s="27" t="s">
        <v>8</v>
      </c>
      <c r="CB237" s="27" t="s">
        <v>7</v>
      </c>
      <c r="CC237" s="27" t="s">
        <v>8</v>
      </c>
      <c r="CD237" s="27" t="s">
        <v>7</v>
      </c>
      <c r="CJ237" s="31"/>
      <c r="DR237" s="27" t="s">
        <v>7</v>
      </c>
      <c r="DS237" s="27" t="s">
        <v>8</v>
      </c>
    </row>
    <row r="238" spans="1:169" x14ac:dyDescent="0.25">
      <c r="A238" s="30">
        <v>1.1025</v>
      </c>
      <c r="E238"/>
      <c r="BU238" s="27" t="s">
        <v>8</v>
      </c>
      <c r="BV238" s="27" t="s">
        <v>7</v>
      </c>
      <c r="BW238" s="27" t="s">
        <v>8</v>
      </c>
      <c r="BX238" s="27" t="s">
        <v>7</v>
      </c>
      <c r="CA238" s="27" t="s">
        <v>8</v>
      </c>
      <c r="CB238" s="27" t="s">
        <v>7</v>
      </c>
      <c r="CC238" s="27" t="s">
        <v>8</v>
      </c>
      <c r="CI238" s="31"/>
      <c r="DR238" s="27" t="s">
        <v>7</v>
      </c>
      <c r="DS238" s="27" t="s">
        <v>8</v>
      </c>
    </row>
    <row r="239" spans="1:169" x14ac:dyDescent="0.25">
      <c r="A239" s="30">
        <v>1.05</v>
      </c>
      <c r="E239"/>
      <c r="BU239" s="27" t="s">
        <v>8</v>
      </c>
      <c r="BV239" s="27" t="s">
        <v>7</v>
      </c>
      <c r="BW239" s="27" t="s">
        <v>8</v>
      </c>
      <c r="BX239" s="27" t="s">
        <v>7</v>
      </c>
      <c r="CA239" s="27" t="s">
        <v>8</v>
      </c>
      <c r="CB239" s="27" t="s">
        <v>7</v>
      </c>
      <c r="CC239" s="27" t="s">
        <v>8</v>
      </c>
      <c r="CH239" s="31"/>
      <c r="DR239" s="27" t="s">
        <v>7</v>
      </c>
      <c r="DS239" s="27" t="s">
        <v>8</v>
      </c>
    </row>
    <row r="240" spans="1:169" x14ac:dyDescent="0.25">
      <c r="A240" s="30">
        <v>1</v>
      </c>
      <c r="E240" s="29" t="s">
        <v>8</v>
      </c>
      <c r="BO240" s="27" t="s">
        <v>8</v>
      </c>
      <c r="BU240" s="27" t="s">
        <v>8</v>
      </c>
      <c r="BV240" s="27" t="s">
        <v>7</v>
      </c>
      <c r="BW240" s="27" t="s">
        <v>8</v>
      </c>
      <c r="BX240" s="27" t="s">
        <v>7</v>
      </c>
      <c r="CA240" s="27" t="s">
        <v>8</v>
      </c>
      <c r="CB240" s="27" t="s">
        <v>7</v>
      </c>
      <c r="CG240" s="31"/>
      <c r="DR240" s="27" t="s">
        <v>7</v>
      </c>
      <c r="DS240" s="27" t="s">
        <v>8</v>
      </c>
    </row>
    <row r="241" spans="1:123" x14ac:dyDescent="0.25">
      <c r="A241" s="30">
        <v>0.952380952380952</v>
      </c>
      <c r="B241"/>
      <c r="C241"/>
      <c r="D241"/>
      <c r="E241"/>
      <c r="F241" s="27" t="s">
        <v>7</v>
      </c>
      <c r="BO241" s="27" t="s">
        <v>8</v>
      </c>
      <c r="BP241" s="27" t="s">
        <v>7</v>
      </c>
      <c r="BU241" s="27" t="s">
        <v>8</v>
      </c>
      <c r="BV241" s="27" t="s">
        <v>7</v>
      </c>
      <c r="BX241" s="27" t="s">
        <v>7</v>
      </c>
      <c r="CA241" s="33" t="s">
        <v>8</v>
      </c>
      <c r="CF241" s="31"/>
      <c r="DR241" s="27" t="s">
        <v>7</v>
      </c>
      <c r="DS241" s="27" t="s">
        <v>8</v>
      </c>
    </row>
    <row r="242" spans="1:123" x14ac:dyDescent="0.25">
      <c r="A242" s="30">
        <v>0.90702947845804915</v>
      </c>
      <c r="B242"/>
      <c r="C242"/>
      <c r="D242"/>
      <c r="E242"/>
      <c r="F242" s="27" t="s">
        <v>7</v>
      </c>
      <c r="BO242" s="27" t="s">
        <v>8</v>
      </c>
      <c r="BP242" s="27" t="s">
        <v>7</v>
      </c>
      <c r="BS242" s="27" t="s">
        <v>8</v>
      </c>
      <c r="BU242" s="27" t="s">
        <v>8</v>
      </c>
      <c r="BX242" s="27" t="s">
        <v>7</v>
      </c>
      <c r="BY242" s="27" t="s">
        <v>8</v>
      </c>
      <c r="CA242" s="27" t="s">
        <v>8</v>
      </c>
      <c r="CE242" s="31"/>
      <c r="DR242" s="27" t="s">
        <v>7</v>
      </c>
    </row>
    <row r="243" spans="1:123" x14ac:dyDescent="0.25">
      <c r="A243" s="30">
        <v>0.86383759853147501</v>
      </c>
      <c r="B243"/>
      <c r="C243"/>
      <c r="D243"/>
      <c r="E243"/>
      <c r="F243" s="27" t="s">
        <v>7</v>
      </c>
      <c r="BO243" s="27" t="s">
        <v>8</v>
      </c>
      <c r="BP243" s="27" t="s">
        <v>7</v>
      </c>
      <c r="BS243" s="27" t="s">
        <v>8</v>
      </c>
      <c r="BT243" s="27" t="s">
        <v>7</v>
      </c>
      <c r="BU243" s="27" t="s">
        <v>8</v>
      </c>
      <c r="BX243" s="27" t="s">
        <v>7</v>
      </c>
      <c r="BY243" s="27" t="s">
        <v>8</v>
      </c>
      <c r="BZ243" s="27" t="s">
        <v>7</v>
      </c>
      <c r="CA243" s="27" t="s">
        <v>8</v>
      </c>
      <c r="CD243" s="31"/>
    </row>
    <row r="244" spans="1:123" x14ac:dyDescent="0.25">
      <c r="A244" s="30">
        <v>0.82270247479188063</v>
      </c>
      <c r="B244"/>
      <c r="C244"/>
      <c r="D244"/>
      <c r="E244"/>
      <c r="F244" s="27" t="s">
        <v>7</v>
      </c>
      <c r="BO244" s="27" t="s">
        <v>8</v>
      </c>
      <c r="BP244" s="27" t="s">
        <v>7</v>
      </c>
      <c r="BS244" s="27" t="s">
        <v>8</v>
      </c>
      <c r="BT244" s="27" t="s">
        <v>7</v>
      </c>
      <c r="BU244" s="27" t="s">
        <v>8</v>
      </c>
      <c r="BX244" s="27" t="s">
        <v>7</v>
      </c>
      <c r="BY244" s="27" t="s">
        <v>8</v>
      </c>
      <c r="BZ244" s="27" t="s">
        <v>7</v>
      </c>
      <c r="CA244" s="27" t="s">
        <v>8</v>
      </c>
      <c r="CC244" s="31"/>
    </row>
    <row r="245" spans="1:123" x14ac:dyDescent="0.25">
      <c r="A245" s="30">
        <v>0.78352616646845741</v>
      </c>
      <c r="B245"/>
      <c r="C245"/>
      <c r="D245"/>
      <c r="E245"/>
      <c r="F245" s="27" t="s">
        <v>7</v>
      </c>
      <c r="BO245" s="27" t="s">
        <v>8</v>
      </c>
      <c r="BP245" s="27" t="s">
        <v>7</v>
      </c>
      <c r="BS245" s="27" t="s">
        <v>8</v>
      </c>
      <c r="BT245" s="27" t="s">
        <v>7</v>
      </c>
      <c r="BU245" s="27" t="s">
        <v>8</v>
      </c>
      <c r="BX245" s="27" t="s">
        <v>7</v>
      </c>
      <c r="BY245" s="27" t="s">
        <v>8</v>
      </c>
      <c r="BZ245" s="27" t="s">
        <v>7</v>
      </c>
      <c r="CA245" s="27" t="s">
        <v>8</v>
      </c>
      <c r="CB245" s="31"/>
    </row>
    <row r="246" spans="1:123" x14ac:dyDescent="0.25">
      <c r="A246" s="30">
        <v>0.74621539663662584</v>
      </c>
      <c r="B246"/>
      <c r="C246"/>
      <c r="D246"/>
      <c r="E246"/>
      <c r="F246" s="27" t="s">
        <v>7</v>
      </c>
      <c r="BO246" s="27" t="s">
        <v>8</v>
      </c>
      <c r="BP246" s="27" t="s">
        <v>7</v>
      </c>
      <c r="BQ246" s="27" t="s">
        <v>8</v>
      </c>
      <c r="BS246" s="27" t="s">
        <v>8</v>
      </c>
      <c r="BT246" s="27" t="s">
        <v>7</v>
      </c>
      <c r="BU246" s="27" t="s">
        <v>8</v>
      </c>
      <c r="BX246" s="27" t="s">
        <v>7</v>
      </c>
      <c r="BY246" s="27" t="s">
        <v>8</v>
      </c>
      <c r="BZ246" s="27" t="s">
        <v>7</v>
      </c>
      <c r="CA246" s="31"/>
    </row>
    <row r="247" spans="1:123" x14ac:dyDescent="0.25">
      <c r="A247" s="30">
        <v>0.71068133013011958</v>
      </c>
      <c r="B247"/>
      <c r="C247"/>
      <c r="D247"/>
      <c r="E247"/>
      <c r="F247" s="27" t="s">
        <v>7</v>
      </c>
      <c r="BO247" s="27" t="s">
        <v>8</v>
      </c>
      <c r="BP247" s="27" t="s">
        <v>7</v>
      </c>
      <c r="BQ247" s="27" t="s">
        <v>8</v>
      </c>
      <c r="BR247" s="27" t="s">
        <v>7</v>
      </c>
      <c r="BS247" s="27" t="s">
        <v>8</v>
      </c>
      <c r="BT247" s="27" t="s">
        <v>7</v>
      </c>
      <c r="BX247" s="27" t="s">
        <v>7</v>
      </c>
      <c r="BY247" s="27" t="s">
        <v>8</v>
      </c>
      <c r="BZ247" s="31"/>
    </row>
    <row r="248" spans="1:123" x14ac:dyDescent="0.25">
      <c r="A248" s="30">
        <v>0.676839362028685</v>
      </c>
      <c r="B248"/>
      <c r="C248"/>
      <c r="D248"/>
      <c r="E248"/>
      <c r="F248" s="27" t="s">
        <v>7</v>
      </c>
      <c r="BO248" s="27" t="s">
        <v>8</v>
      </c>
      <c r="BP248" s="27" t="s">
        <v>7</v>
      </c>
      <c r="BQ248" s="27" t="s">
        <v>8</v>
      </c>
      <c r="BR248" s="27" t="s">
        <v>7</v>
      </c>
      <c r="BS248" s="27" t="s">
        <v>8</v>
      </c>
      <c r="BX248" s="27" t="s">
        <v>7</v>
      </c>
      <c r="BY248" s="31" t="s">
        <v>8</v>
      </c>
    </row>
    <row r="249" spans="1:123" x14ac:dyDescent="0.25">
      <c r="A249" s="30">
        <v>0.64460891621779492</v>
      </c>
      <c r="B249"/>
      <c r="C249"/>
      <c r="D249"/>
      <c r="E249"/>
      <c r="F249" s="27" t="s">
        <v>7</v>
      </c>
      <c r="BO249" s="27" t="s">
        <v>8</v>
      </c>
      <c r="BP249" s="27" t="s">
        <v>7</v>
      </c>
      <c r="BQ249" s="27" t="s">
        <v>8</v>
      </c>
      <c r="BR249" s="27" t="s">
        <v>7</v>
      </c>
      <c r="BX249" s="31" t="s">
        <v>7</v>
      </c>
    </row>
    <row r="250" spans="1:123" x14ac:dyDescent="0.25">
      <c r="A250" s="30">
        <v>0.61391325354075688</v>
      </c>
      <c r="B250"/>
      <c r="C250"/>
      <c r="D250"/>
      <c r="E250"/>
      <c r="F250" s="27" t="s">
        <v>7</v>
      </c>
      <c r="BA250" s="27" t="s">
        <v>8</v>
      </c>
      <c r="BO250" s="27" t="s">
        <v>8</v>
      </c>
      <c r="BP250" s="27" t="s">
        <v>7</v>
      </c>
    </row>
    <row r="251" spans="1:123" x14ac:dyDescent="0.25">
      <c r="A251" s="30">
        <v>0.58467928908643485</v>
      </c>
      <c r="B251"/>
      <c r="C251"/>
      <c r="D251"/>
      <c r="E251"/>
      <c r="F251" s="27" t="s">
        <v>7</v>
      </c>
      <c r="BA251" s="27" t="s">
        <v>8</v>
      </c>
      <c r="BB251" s="27" t="s">
        <v>7</v>
      </c>
      <c r="BO251" s="27" t="s">
        <v>8</v>
      </c>
    </row>
    <row r="252" spans="1:123" x14ac:dyDescent="0.25">
      <c r="A252" s="30">
        <v>0.55683741817755672</v>
      </c>
      <c r="B252"/>
      <c r="C252"/>
      <c r="D252"/>
      <c r="E252"/>
      <c r="F252" s="27" t="s">
        <v>7</v>
      </c>
      <c r="BA252" s="27" t="s">
        <v>8</v>
      </c>
      <c r="BB252" s="27" t="s">
        <v>7</v>
      </c>
      <c r="BO252" s="27" t="s">
        <v>8</v>
      </c>
    </row>
    <row r="253" spans="1:123" x14ac:dyDescent="0.25">
      <c r="A253" s="30">
        <v>0.53032135064529184</v>
      </c>
      <c r="B253"/>
      <c r="C253"/>
      <c r="D253"/>
      <c r="E253"/>
      <c r="F253" s="27" t="s">
        <v>7</v>
      </c>
      <c r="AE253" s="27" t="s">
        <v>8</v>
      </c>
      <c r="BA253" s="27" t="s">
        <v>8</v>
      </c>
      <c r="BB253" s="27" t="s">
        <v>7</v>
      </c>
      <c r="BC253" s="27" t="s">
        <v>8</v>
      </c>
      <c r="BO253" s="27" t="s">
        <v>8</v>
      </c>
    </row>
    <row r="254" spans="1:123" x14ac:dyDescent="0.25">
      <c r="A254" s="30">
        <v>0.50506795299551588</v>
      </c>
      <c r="B254"/>
      <c r="C254"/>
      <c r="D254"/>
      <c r="E254"/>
      <c r="F254" s="27" t="s">
        <v>7</v>
      </c>
      <c r="K254" s="27" t="s">
        <v>8</v>
      </c>
      <c r="U254" s="27" t="s">
        <v>8</v>
      </c>
      <c r="AE254" s="27" t="s">
        <v>8</v>
      </c>
      <c r="AF254" s="27" t="s">
        <v>7</v>
      </c>
      <c r="BA254" s="27" t="s">
        <v>8</v>
      </c>
      <c r="BB254" s="27" t="s">
        <v>7</v>
      </c>
      <c r="BC254" s="27" t="s">
        <v>8</v>
      </c>
      <c r="BD254" s="27" t="s">
        <v>7</v>
      </c>
      <c r="BO254" s="27" t="s">
        <v>8</v>
      </c>
    </row>
    <row r="255" spans="1:123" x14ac:dyDescent="0.25">
      <c r="A255" s="30">
        <v>0.48101709809096732</v>
      </c>
      <c r="E255"/>
      <c r="F255" s="27" t="s">
        <v>7</v>
      </c>
      <c r="G255" s="27" t="s">
        <v>8</v>
      </c>
      <c r="K255" s="27" t="s">
        <v>8</v>
      </c>
      <c r="L255" s="27" t="s">
        <v>7</v>
      </c>
      <c r="U255" s="27" t="s">
        <v>8</v>
      </c>
      <c r="V255" s="27" t="s">
        <v>7</v>
      </c>
      <c r="AC255" s="27" t="s">
        <v>8</v>
      </c>
      <c r="AE255" s="27" t="s">
        <v>8</v>
      </c>
      <c r="AF255" s="27" t="s">
        <v>7</v>
      </c>
      <c r="BA255" s="27" t="s">
        <v>8</v>
      </c>
      <c r="BB255" s="27" t="s">
        <v>7</v>
      </c>
      <c r="BC255" s="27" t="s">
        <v>8</v>
      </c>
      <c r="BD255" s="27" t="s">
        <v>7</v>
      </c>
      <c r="BK255" s="27" t="s">
        <v>8</v>
      </c>
      <c r="BO255" s="27" t="s">
        <v>8</v>
      </c>
    </row>
    <row r="256" spans="1:123" x14ac:dyDescent="0.25">
      <c r="A256" s="30">
        <v>0.45811152199139726</v>
      </c>
      <c r="E256"/>
      <c r="F256" s="27" t="s">
        <v>7</v>
      </c>
      <c r="G256" s="27" t="s">
        <v>8</v>
      </c>
      <c r="H256" s="27" t="s">
        <v>7</v>
      </c>
      <c r="K256" s="27" t="s">
        <v>8</v>
      </c>
      <c r="L256" s="27" t="s">
        <v>7</v>
      </c>
      <c r="U256" s="27" t="s">
        <v>8</v>
      </c>
      <c r="V256" s="27" t="s">
        <v>7</v>
      </c>
      <c r="AC256" s="27" t="s">
        <v>8</v>
      </c>
      <c r="AD256" s="27" t="s">
        <v>7</v>
      </c>
      <c r="AE256" s="27" t="s">
        <v>8</v>
      </c>
      <c r="AF256" s="27" t="s">
        <v>7</v>
      </c>
      <c r="AO256" s="27" t="s">
        <v>8</v>
      </c>
      <c r="BA256" s="27" t="s">
        <v>8</v>
      </c>
      <c r="BB256" s="27" t="s">
        <v>7</v>
      </c>
      <c r="BC256" s="27" t="s">
        <v>8</v>
      </c>
      <c r="BD256" s="27" t="s">
        <v>7</v>
      </c>
      <c r="BG256" s="27" t="s">
        <v>8</v>
      </c>
      <c r="BK256" s="27" t="s">
        <v>8</v>
      </c>
      <c r="BL256" s="27" t="s">
        <v>7</v>
      </c>
      <c r="BM256" s="27" t="s">
        <v>8</v>
      </c>
      <c r="BO256" s="27" t="s">
        <v>8</v>
      </c>
    </row>
    <row r="257" spans="1:67" x14ac:dyDescent="0.25">
      <c r="A257" s="30">
        <v>0.43629668761085438</v>
      </c>
      <c r="B257"/>
      <c r="C257"/>
      <c r="D257"/>
      <c r="E257"/>
      <c r="F257" s="27" t="s">
        <v>7</v>
      </c>
      <c r="G257" s="27" t="s">
        <v>8</v>
      </c>
      <c r="H257" s="27" t="s">
        <v>7</v>
      </c>
      <c r="I257" s="27" t="s">
        <v>8</v>
      </c>
      <c r="K257" s="27" t="s">
        <v>8</v>
      </c>
      <c r="L257" s="27" t="s">
        <v>7</v>
      </c>
      <c r="M257" s="27" t="s">
        <v>8</v>
      </c>
      <c r="U257" s="27" t="s">
        <v>8</v>
      </c>
      <c r="V257" s="27" t="s">
        <v>7</v>
      </c>
      <c r="AC257" s="27" t="s">
        <v>8</v>
      </c>
      <c r="AD257" s="27" t="s">
        <v>7</v>
      </c>
      <c r="AE257" s="27" t="s">
        <v>8</v>
      </c>
      <c r="AF257" s="27" t="s">
        <v>7</v>
      </c>
      <c r="AO257" s="27" t="s">
        <v>8</v>
      </c>
      <c r="AP257" s="27" t="s">
        <v>7</v>
      </c>
      <c r="BA257" s="27" t="s">
        <v>8</v>
      </c>
      <c r="BB257" s="27" t="s">
        <v>7</v>
      </c>
      <c r="BC257" s="27" t="s">
        <v>8</v>
      </c>
      <c r="BD257" s="27" t="s">
        <v>7</v>
      </c>
      <c r="BG257" s="27" t="s">
        <v>8</v>
      </c>
      <c r="BH257" s="27" t="s">
        <v>7</v>
      </c>
      <c r="BI257" s="27" t="s">
        <v>8</v>
      </c>
      <c r="BK257" s="27" t="s">
        <v>8</v>
      </c>
      <c r="BL257" s="27" t="s">
        <v>7</v>
      </c>
      <c r="BM257" s="27" t="s">
        <v>8</v>
      </c>
      <c r="BN257" s="27" t="s">
        <v>7</v>
      </c>
      <c r="BO257" s="27" t="s">
        <v>8</v>
      </c>
    </row>
    <row r="258" spans="1:67" x14ac:dyDescent="0.25">
      <c r="A258" s="30">
        <v>0.41552065486748019</v>
      </c>
      <c r="B258"/>
      <c r="C258"/>
      <c r="D258"/>
      <c r="E258"/>
      <c r="F258" s="27" t="s">
        <v>7</v>
      </c>
      <c r="G258" s="27" t="s">
        <v>8</v>
      </c>
      <c r="H258" s="27" t="s">
        <v>7</v>
      </c>
      <c r="I258" s="27" t="s">
        <v>8</v>
      </c>
      <c r="J258" s="27" t="s">
        <v>7</v>
      </c>
      <c r="K258" s="27" t="s">
        <v>8</v>
      </c>
      <c r="L258" s="27" t="s">
        <v>7</v>
      </c>
      <c r="M258" s="27" t="s">
        <v>8</v>
      </c>
      <c r="N258" s="27" t="s">
        <v>7</v>
      </c>
      <c r="S258" s="27" t="s">
        <v>8</v>
      </c>
      <c r="U258" s="27" t="s">
        <v>8</v>
      </c>
      <c r="V258" s="27" t="s">
        <v>7</v>
      </c>
      <c r="AC258" s="27" t="s">
        <v>8</v>
      </c>
      <c r="AD258" s="27" t="s">
        <v>7</v>
      </c>
      <c r="AE258" s="27" t="s">
        <v>8</v>
      </c>
      <c r="AF258" s="27" t="s">
        <v>7</v>
      </c>
      <c r="AO258" s="27" t="s">
        <v>8</v>
      </c>
      <c r="AP258" s="27" t="s">
        <v>7</v>
      </c>
      <c r="AW258" s="27" t="s">
        <v>8</v>
      </c>
      <c r="AY258" s="27" t="s">
        <v>8</v>
      </c>
      <c r="BA258" s="27" t="s">
        <v>8</v>
      </c>
      <c r="BB258" s="27" t="s">
        <v>7</v>
      </c>
      <c r="BC258" s="27" t="s">
        <v>8</v>
      </c>
      <c r="BD258" s="27" t="s">
        <v>7</v>
      </c>
      <c r="BE258" s="27" t="s">
        <v>8</v>
      </c>
      <c r="BG258" s="27" t="s">
        <v>8</v>
      </c>
      <c r="BH258" s="27" t="s">
        <v>7</v>
      </c>
      <c r="BI258" s="27" t="s">
        <v>8</v>
      </c>
      <c r="BJ258" s="27" t="s">
        <v>7</v>
      </c>
      <c r="BK258" s="27" t="s">
        <v>8</v>
      </c>
      <c r="BL258" s="27" t="s">
        <v>7</v>
      </c>
      <c r="BM258" s="27" t="s">
        <v>8</v>
      </c>
      <c r="BN258" s="27" t="s">
        <v>7</v>
      </c>
      <c r="BO258" s="27" t="s">
        <v>8</v>
      </c>
    </row>
    <row r="259" spans="1:67" x14ac:dyDescent="0.25">
      <c r="A259" s="30">
        <v>0.39573395701664765</v>
      </c>
      <c r="B259"/>
      <c r="C259"/>
      <c r="D259"/>
      <c r="E259"/>
      <c r="F259" s="27" t="s">
        <v>7</v>
      </c>
      <c r="G259" s="27" t="s">
        <v>8</v>
      </c>
      <c r="H259" s="27" t="s">
        <v>7</v>
      </c>
      <c r="I259" s="27" t="s">
        <v>8</v>
      </c>
      <c r="J259" s="27" t="s">
        <v>7</v>
      </c>
      <c r="K259" s="27" t="s">
        <v>8</v>
      </c>
      <c r="L259" s="27" t="s">
        <v>7</v>
      </c>
      <c r="M259" s="27" t="s">
        <v>8</v>
      </c>
      <c r="N259" s="27" t="s">
        <v>7</v>
      </c>
      <c r="S259" s="27" t="s">
        <v>8</v>
      </c>
      <c r="T259" s="27" t="s">
        <v>7</v>
      </c>
      <c r="U259" s="27" t="s">
        <v>8</v>
      </c>
      <c r="V259" s="27" t="s">
        <v>7</v>
      </c>
      <c r="AC259" s="27" t="s">
        <v>8</v>
      </c>
      <c r="AD259" s="27" t="s">
        <v>7</v>
      </c>
      <c r="AE259" s="27" t="s">
        <v>8</v>
      </c>
      <c r="AF259" s="27" t="s">
        <v>7</v>
      </c>
      <c r="AM259" s="27" t="s">
        <v>8</v>
      </c>
      <c r="AO259" s="27" t="s">
        <v>8</v>
      </c>
      <c r="AP259" s="27" t="s">
        <v>7</v>
      </c>
      <c r="AW259" s="27" t="s">
        <v>8</v>
      </c>
      <c r="AX259" s="27" t="s">
        <v>7</v>
      </c>
      <c r="AY259" s="27" t="s">
        <v>8</v>
      </c>
      <c r="AZ259" s="27" t="s">
        <v>7</v>
      </c>
      <c r="BA259" s="27" t="s">
        <v>8</v>
      </c>
      <c r="BB259" s="27" t="s">
        <v>7</v>
      </c>
      <c r="BC259" s="27" t="s">
        <v>8</v>
      </c>
      <c r="BD259" s="27" t="s">
        <v>7</v>
      </c>
      <c r="BE259" s="27" t="s">
        <v>8</v>
      </c>
      <c r="BF259" s="27" t="s">
        <v>7</v>
      </c>
      <c r="BG259" s="27" t="s">
        <v>8</v>
      </c>
      <c r="BH259" s="27" t="s">
        <v>7</v>
      </c>
      <c r="BI259" s="27" t="s">
        <v>8</v>
      </c>
      <c r="BJ259" s="27" t="s">
        <v>7</v>
      </c>
      <c r="BK259" s="27" t="s">
        <v>8</v>
      </c>
      <c r="BL259" s="27" t="s">
        <v>7</v>
      </c>
      <c r="BM259" s="27" t="s">
        <v>8</v>
      </c>
      <c r="BN259" s="27" t="s">
        <v>7</v>
      </c>
    </row>
    <row r="260" spans="1:67" x14ac:dyDescent="0.25">
      <c r="A260" s="30">
        <v>0.37688948287299762</v>
      </c>
      <c r="B260"/>
      <c r="C260"/>
      <c r="D260"/>
      <c r="E260"/>
      <c r="F260" s="27" t="s">
        <v>7</v>
      </c>
      <c r="G260" s="27" t="s">
        <v>8</v>
      </c>
      <c r="H260" s="27" t="s">
        <v>7</v>
      </c>
      <c r="I260" s="27" t="s">
        <v>8</v>
      </c>
      <c r="J260" s="27" t="s">
        <v>7</v>
      </c>
      <c r="K260" s="27" t="s">
        <v>8</v>
      </c>
      <c r="L260" s="27" t="s">
        <v>7</v>
      </c>
      <c r="M260" s="27" t="s">
        <v>8</v>
      </c>
      <c r="N260" s="27" t="s">
        <v>7</v>
      </c>
      <c r="S260" s="27" t="s">
        <v>8</v>
      </c>
      <c r="T260" s="27" t="s">
        <v>7</v>
      </c>
      <c r="U260" s="27" t="s">
        <v>8</v>
      </c>
      <c r="V260" s="27" t="s">
        <v>7</v>
      </c>
      <c r="AC260" s="27" t="s">
        <v>8</v>
      </c>
      <c r="AD260" s="27" t="s">
        <v>7</v>
      </c>
      <c r="AE260" s="27" t="s">
        <v>8</v>
      </c>
      <c r="AF260" s="27" t="s">
        <v>7</v>
      </c>
      <c r="AM260" s="27" t="s">
        <v>8</v>
      </c>
      <c r="AN260" s="27" t="s">
        <v>7</v>
      </c>
      <c r="AO260" s="27" t="s">
        <v>8</v>
      </c>
      <c r="AP260" s="27" t="s">
        <v>7</v>
      </c>
      <c r="AW260" s="27" t="s">
        <v>8</v>
      </c>
      <c r="AX260" s="27" t="s">
        <v>7</v>
      </c>
      <c r="AY260" s="27" t="s">
        <v>8</v>
      </c>
      <c r="AZ260" s="27" t="s">
        <v>7</v>
      </c>
      <c r="BA260" s="27" t="s">
        <v>8</v>
      </c>
      <c r="BB260" s="27" t="s">
        <v>7</v>
      </c>
      <c r="BC260" s="27" t="s">
        <v>8</v>
      </c>
      <c r="BD260" s="27" t="s">
        <v>7</v>
      </c>
      <c r="BE260" s="27" t="s">
        <v>8</v>
      </c>
      <c r="BF260" s="27" t="s">
        <v>7</v>
      </c>
      <c r="BG260" s="27" t="s">
        <v>8</v>
      </c>
      <c r="BH260" s="27" t="s">
        <v>7</v>
      </c>
      <c r="BI260" s="27" t="s">
        <v>8</v>
      </c>
      <c r="BJ260" s="27" t="s">
        <v>7</v>
      </c>
      <c r="BL260" s="27" t="s">
        <v>7</v>
      </c>
      <c r="BM260" s="27" t="s">
        <v>8</v>
      </c>
    </row>
    <row r="261" spans="1:67" x14ac:dyDescent="0.25">
      <c r="A261" s="30">
        <v>0.35894236464094997</v>
      </c>
      <c r="B261"/>
      <c r="C261"/>
      <c r="D261"/>
      <c r="E261"/>
      <c r="F261" s="27" t="s">
        <v>7</v>
      </c>
      <c r="H261" s="27" t="s">
        <v>7</v>
      </c>
      <c r="J261" s="27" t="s">
        <v>7</v>
      </c>
      <c r="K261" s="27" t="s">
        <v>8</v>
      </c>
      <c r="L261" s="27" t="s">
        <v>7</v>
      </c>
      <c r="M261" s="27" t="s">
        <v>8</v>
      </c>
      <c r="N261" s="27" t="s">
        <v>7</v>
      </c>
      <c r="S261" s="27" t="s">
        <v>8</v>
      </c>
      <c r="T261" s="27" t="s">
        <v>7</v>
      </c>
      <c r="U261" s="27" t="s">
        <v>8</v>
      </c>
      <c r="V261" s="27" t="s">
        <v>7</v>
      </c>
      <c r="AC261" s="27" t="s">
        <v>8</v>
      </c>
      <c r="AD261" s="27" t="s">
        <v>7</v>
      </c>
      <c r="AE261" s="27" t="s">
        <v>8</v>
      </c>
      <c r="AF261" s="27" t="s">
        <v>7</v>
      </c>
      <c r="AK261" s="27" t="s">
        <v>8</v>
      </c>
      <c r="AM261" s="27" t="s">
        <v>8</v>
      </c>
      <c r="AN261" s="27" t="s">
        <v>7</v>
      </c>
      <c r="AO261" s="27" t="s">
        <v>8</v>
      </c>
      <c r="AP261" s="27" t="s">
        <v>7</v>
      </c>
      <c r="AS261" s="27" t="s">
        <v>8</v>
      </c>
      <c r="AW261" s="27" t="s">
        <v>8</v>
      </c>
      <c r="AX261" s="27" t="s">
        <v>7</v>
      </c>
      <c r="AY261" s="27" t="s">
        <v>8</v>
      </c>
      <c r="AZ261" s="27" t="s">
        <v>7</v>
      </c>
      <c r="BB261" s="27" t="s">
        <v>7</v>
      </c>
      <c r="BC261" s="27" t="s">
        <v>8</v>
      </c>
      <c r="BD261" s="27" t="s">
        <v>7</v>
      </c>
      <c r="BE261" s="27" t="s">
        <v>8</v>
      </c>
      <c r="BF261" s="27" t="s">
        <v>7</v>
      </c>
      <c r="BH261" s="27" t="s">
        <v>7</v>
      </c>
      <c r="BI261" s="27" t="s">
        <v>8</v>
      </c>
      <c r="BL261" s="27" t="s">
        <v>7</v>
      </c>
    </row>
    <row r="262" spans="1:67" x14ac:dyDescent="0.25">
      <c r="A262" s="30">
        <v>0.34184987108661891</v>
      </c>
      <c r="B262"/>
      <c r="C262"/>
      <c r="D262"/>
      <c r="E262"/>
      <c r="J262" s="27" t="s">
        <v>7</v>
      </c>
      <c r="K262" s="27" t="s">
        <v>8</v>
      </c>
      <c r="L262" s="27" t="s">
        <v>7</v>
      </c>
      <c r="M262" s="27" t="s">
        <v>8</v>
      </c>
      <c r="N262" s="27" t="s">
        <v>7</v>
      </c>
      <c r="S262" s="27" t="s">
        <v>8</v>
      </c>
      <c r="T262" s="27" t="s">
        <v>7</v>
      </c>
      <c r="U262" s="27" t="s">
        <v>8</v>
      </c>
      <c r="V262" s="27" t="s">
        <v>7</v>
      </c>
      <c r="W262" s="27" t="s">
        <v>8</v>
      </c>
      <c r="AC262" s="27" t="s">
        <v>8</v>
      </c>
      <c r="AD262" s="27" t="s">
        <v>7</v>
      </c>
      <c r="AE262" s="27" t="s">
        <v>8</v>
      </c>
      <c r="AF262" s="27" t="s">
        <v>7</v>
      </c>
      <c r="AG262" s="27" t="s">
        <v>8</v>
      </c>
      <c r="AI262" s="27" t="s">
        <v>8</v>
      </c>
      <c r="AK262" s="27" t="s">
        <v>8</v>
      </c>
      <c r="AL262" s="27" t="s">
        <v>7</v>
      </c>
      <c r="AM262" s="27" t="s">
        <v>8</v>
      </c>
      <c r="AN262" s="27" t="s">
        <v>7</v>
      </c>
      <c r="AO262" s="27" t="s">
        <v>8</v>
      </c>
      <c r="AP262" s="27" t="s">
        <v>7</v>
      </c>
      <c r="AQ262" s="27" t="s">
        <v>8</v>
      </c>
      <c r="AS262" s="27" t="s">
        <v>8</v>
      </c>
      <c r="AT262" s="27" t="s">
        <v>7</v>
      </c>
      <c r="AU262" s="27" t="s">
        <v>8</v>
      </c>
      <c r="AW262" s="27" t="s">
        <v>8</v>
      </c>
      <c r="AX262" s="27" t="s">
        <v>7</v>
      </c>
      <c r="AY262" s="27" t="s">
        <v>8</v>
      </c>
      <c r="BB262" s="27" t="s">
        <v>7</v>
      </c>
      <c r="BD262" s="27" t="s">
        <v>7</v>
      </c>
      <c r="BE262" s="27" t="s">
        <v>8</v>
      </c>
      <c r="BH262" s="27" t="s">
        <v>7</v>
      </c>
    </row>
    <row r="263" spans="1:67" x14ac:dyDescent="0.25">
      <c r="A263" s="30">
        <v>0.32557130579677979</v>
      </c>
      <c r="B263"/>
      <c r="C263"/>
      <c r="D263"/>
      <c r="E263"/>
      <c r="J263" s="27" t="s">
        <v>7</v>
      </c>
      <c r="K263" s="27" t="s">
        <v>8</v>
      </c>
      <c r="L263" s="27" t="s">
        <v>7</v>
      </c>
      <c r="M263" s="27" t="s">
        <v>8</v>
      </c>
      <c r="N263" s="27" t="s">
        <v>7</v>
      </c>
      <c r="O263" s="27" t="s">
        <v>8</v>
      </c>
      <c r="S263" s="27" t="s">
        <v>8</v>
      </c>
      <c r="T263" s="27" t="s">
        <v>7</v>
      </c>
      <c r="U263" s="27" t="s">
        <v>8</v>
      </c>
      <c r="V263" s="27" t="s">
        <v>7</v>
      </c>
      <c r="W263" s="27" t="s">
        <v>8</v>
      </c>
      <c r="X263" s="27" t="s">
        <v>7</v>
      </c>
      <c r="AC263" s="27" t="s">
        <v>8</v>
      </c>
      <c r="AD263" s="27" t="s">
        <v>7</v>
      </c>
      <c r="AE263" s="27" t="s">
        <v>8</v>
      </c>
      <c r="AF263" s="27" t="s">
        <v>7</v>
      </c>
      <c r="AG263" s="27" t="s">
        <v>8</v>
      </c>
      <c r="AH263" s="27" t="s">
        <v>7</v>
      </c>
      <c r="AI263" s="27" t="s">
        <v>8</v>
      </c>
      <c r="AJ263" s="27" t="s">
        <v>7</v>
      </c>
      <c r="AK263" s="27" t="s">
        <v>8</v>
      </c>
      <c r="AL263" s="27" t="s">
        <v>7</v>
      </c>
      <c r="AM263" s="27" t="s">
        <v>8</v>
      </c>
      <c r="AN263" s="27" t="s">
        <v>7</v>
      </c>
      <c r="AO263" s="27" t="s">
        <v>8</v>
      </c>
      <c r="AP263" s="27" t="s">
        <v>7</v>
      </c>
      <c r="AQ263" s="27" t="s">
        <v>8</v>
      </c>
      <c r="AR263" s="27" t="s">
        <v>7</v>
      </c>
      <c r="AS263" s="27" t="s">
        <v>8</v>
      </c>
      <c r="AT263" s="27" t="s">
        <v>7</v>
      </c>
      <c r="AU263" s="27" t="s">
        <v>8</v>
      </c>
      <c r="AV263" s="27" t="s">
        <v>7</v>
      </c>
      <c r="AW263" s="27" t="s">
        <v>8</v>
      </c>
      <c r="AX263" s="27" t="s">
        <v>7</v>
      </c>
      <c r="AY263" s="27" t="s">
        <v>8</v>
      </c>
      <c r="BD263" s="27" t="s">
        <v>7</v>
      </c>
    </row>
    <row r="264" spans="1:67" x14ac:dyDescent="0.25">
      <c r="A264" s="30">
        <v>0.3100679102826473</v>
      </c>
      <c r="B264"/>
      <c r="C264"/>
      <c r="D264"/>
      <c r="E264"/>
      <c r="J264" s="27" t="s">
        <v>7</v>
      </c>
      <c r="K264" s="27" t="s">
        <v>8</v>
      </c>
      <c r="L264" s="27" t="s">
        <v>7</v>
      </c>
      <c r="M264" s="27" t="s">
        <v>8</v>
      </c>
      <c r="N264" s="27" t="s">
        <v>7</v>
      </c>
      <c r="O264" s="27" t="s">
        <v>8</v>
      </c>
      <c r="P264" s="27" t="s">
        <v>7</v>
      </c>
      <c r="Q264" s="27" t="s">
        <v>8</v>
      </c>
      <c r="S264" s="27" t="s">
        <v>8</v>
      </c>
      <c r="T264" s="27" t="s">
        <v>7</v>
      </c>
      <c r="V264" s="27" t="s">
        <v>7</v>
      </c>
      <c r="W264" s="27" t="s">
        <v>8</v>
      </c>
      <c r="X264" s="27" t="s">
        <v>7</v>
      </c>
      <c r="AC264" s="27" t="s">
        <v>8</v>
      </c>
      <c r="AD264" s="27" t="s">
        <v>7</v>
      </c>
      <c r="AE264" s="27" t="s">
        <v>8</v>
      </c>
      <c r="AF264" s="27" t="s">
        <v>7</v>
      </c>
      <c r="AG264" s="27" t="s">
        <v>8</v>
      </c>
      <c r="AH264" s="27" t="s">
        <v>7</v>
      </c>
      <c r="AI264" s="27" t="s">
        <v>8</v>
      </c>
      <c r="AJ264" s="27" t="s">
        <v>7</v>
      </c>
      <c r="AK264" s="27" t="s">
        <v>8</v>
      </c>
      <c r="AL264" s="27" t="s">
        <v>7</v>
      </c>
      <c r="AM264" s="27" t="s">
        <v>8</v>
      </c>
      <c r="AN264" s="27" t="s">
        <v>7</v>
      </c>
      <c r="AP264" s="27" t="s">
        <v>7</v>
      </c>
      <c r="AQ264" s="27" t="s">
        <v>8</v>
      </c>
      <c r="AR264" s="27" t="s">
        <v>7</v>
      </c>
      <c r="AS264" s="27" t="s">
        <v>8</v>
      </c>
      <c r="AT264" s="27" t="s">
        <v>7</v>
      </c>
      <c r="AU264" s="27" t="s">
        <v>8</v>
      </c>
      <c r="AV264" s="27" t="s">
        <v>7</v>
      </c>
      <c r="AW264" s="27" t="s">
        <v>8</v>
      </c>
      <c r="AX264" s="27" t="s">
        <v>7</v>
      </c>
    </row>
    <row r="265" spans="1:67" x14ac:dyDescent="0.25">
      <c r="A265" s="30">
        <v>0.2953027716977592</v>
      </c>
      <c r="B265"/>
      <c r="C265"/>
      <c r="D265"/>
      <c r="E265"/>
      <c r="J265" s="27" t="s">
        <v>7</v>
      </c>
      <c r="K265" s="27" t="s">
        <v>8</v>
      </c>
      <c r="L265" s="27" t="s">
        <v>7</v>
      </c>
      <c r="M265" s="27" t="s">
        <v>8</v>
      </c>
      <c r="N265" s="27" t="s">
        <v>7</v>
      </c>
      <c r="O265" s="27" t="s">
        <v>8</v>
      </c>
      <c r="P265" s="27" t="s">
        <v>7</v>
      </c>
      <c r="Q265" s="27" t="s">
        <v>8</v>
      </c>
      <c r="R265" s="27" t="s">
        <v>7</v>
      </c>
      <c r="S265" s="27" t="s">
        <v>8</v>
      </c>
      <c r="V265" s="27" t="s">
        <v>7</v>
      </c>
      <c r="W265" s="27" t="s">
        <v>8</v>
      </c>
      <c r="X265" s="27" t="s">
        <v>7</v>
      </c>
      <c r="AC265" s="27" t="s">
        <v>8</v>
      </c>
      <c r="AD265" s="27" t="s">
        <v>7</v>
      </c>
      <c r="AF265" s="27" t="s">
        <v>7</v>
      </c>
      <c r="AG265" s="27" t="s">
        <v>8</v>
      </c>
      <c r="AH265" s="27" t="s">
        <v>7</v>
      </c>
      <c r="AJ265" s="27" t="s">
        <v>7</v>
      </c>
      <c r="AK265" s="27" t="s">
        <v>8</v>
      </c>
      <c r="AL265" s="27" t="s">
        <v>7</v>
      </c>
      <c r="AP265" s="27" t="s">
        <v>7</v>
      </c>
      <c r="AQ265" s="27" t="s">
        <v>8</v>
      </c>
      <c r="AR265" s="27" t="s">
        <v>7</v>
      </c>
      <c r="AS265" s="27" t="s">
        <v>8</v>
      </c>
      <c r="AT265" s="27" t="s">
        <v>7</v>
      </c>
      <c r="AU265" s="27" t="s">
        <v>8</v>
      </c>
      <c r="AV265" s="27" t="s">
        <v>7</v>
      </c>
      <c r="AW265" s="27" t="s">
        <v>8</v>
      </c>
    </row>
    <row r="266" spans="1:67" x14ac:dyDescent="0.25">
      <c r="A266" s="30">
        <v>0.28124073495024676</v>
      </c>
      <c r="B266"/>
      <c r="C266"/>
      <c r="D266"/>
      <c r="E266"/>
      <c r="J266" s="27" t="s">
        <v>7</v>
      </c>
      <c r="K266" s="27" t="s">
        <v>8</v>
      </c>
      <c r="L266" s="27" t="s">
        <v>7</v>
      </c>
      <c r="M266" s="27" t="s">
        <v>8</v>
      </c>
      <c r="N266" s="27" t="s">
        <v>7</v>
      </c>
      <c r="O266" s="27" t="s">
        <v>8</v>
      </c>
      <c r="P266" s="27" t="s">
        <v>7</v>
      </c>
      <c r="Q266" s="27" t="s">
        <v>8</v>
      </c>
      <c r="R266" s="27" t="s">
        <v>7</v>
      </c>
      <c r="S266" s="27" t="s">
        <v>8</v>
      </c>
      <c r="V266" s="27" t="s">
        <v>7</v>
      </c>
      <c r="W266" s="27" t="s">
        <v>8</v>
      </c>
      <c r="X266" s="27" t="s">
        <v>7</v>
      </c>
      <c r="AC266" s="27" t="s">
        <v>8</v>
      </c>
      <c r="AF266" s="27" t="s">
        <v>7</v>
      </c>
      <c r="AG266" s="27" t="s">
        <v>8</v>
      </c>
      <c r="AJ266" s="27" t="s">
        <v>7</v>
      </c>
      <c r="AK266" s="27" t="s">
        <v>8</v>
      </c>
      <c r="AP266" s="27" t="s">
        <v>7</v>
      </c>
      <c r="AQ266" s="27" t="s">
        <v>8</v>
      </c>
      <c r="AR266" s="27" t="s">
        <v>7</v>
      </c>
      <c r="AT266" s="27" t="s">
        <v>7</v>
      </c>
      <c r="AV266" s="27" t="s">
        <v>7</v>
      </c>
    </row>
    <row r="267" spans="1:67" x14ac:dyDescent="0.25">
      <c r="A267" s="30">
        <v>0.26784831900023492</v>
      </c>
      <c r="B267"/>
      <c r="C267"/>
      <c r="D267"/>
      <c r="E267"/>
      <c r="J267" s="27" t="s">
        <v>7</v>
      </c>
      <c r="K267" s="27" t="s">
        <v>8</v>
      </c>
      <c r="L267" s="27" t="s">
        <v>7</v>
      </c>
      <c r="N267" s="27" t="s">
        <v>7</v>
      </c>
      <c r="O267" s="27" t="s">
        <v>8</v>
      </c>
      <c r="P267" s="27" t="s">
        <v>7</v>
      </c>
      <c r="Q267" s="27" t="s">
        <v>8</v>
      </c>
      <c r="R267" s="27" t="s">
        <v>7</v>
      </c>
      <c r="S267" s="27" t="s">
        <v>8</v>
      </c>
      <c r="V267" s="27" t="s">
        <v>7</v>
      </c>
      <c r="X267" s="27" t="s">
        <v>7</v>
      </c>
      <c r="AC267" s="27" t="s">
        <v>8</v>
      </c>
      <c r="AF267" s="27" t="s">
        <v>7</v>
      </c>
      <c r="AG267" s="27" t="s">
        <v>8</v>
      </c>
      <c r="AJ267" s="27" t="s">
        <v>7</v>
      </c>
      <c r="AP267" s="27" t="s">
        <v>7</v>
      </c>
    </row>
    <row r="268" spans="1:67" x14ac:dyDescent="0.25">
      <c r="A268" s="30">
        <v>0.25509363714308075</v>
      </c>
      <c r="B268"/>
      <c r="C268"/>
      <c r="D268"/>
      <c r="E268"/>
      <c r="J268" s="27" t="s">
        <v>7</v>
      </c>
      <c r="K268" s="27" t="s">
        <v>8</v>
      </c>
      <c r="N268" s="27" t="s">
        <v>7</v>
      </c>
      <c r="P268" s="27" t="s">
        <v>7</v>
      </c>
      <c r="Q268" s="27" t="s">
        <v>8</v>
      </c>
      <c r="R268" s="27" t="s">
        <v>7</v>
      </c>
      <c r="S268" s="27" t="s">
        <v>8</v>
      </c>
      <c r="X268" s="27" t="s">
        <v>7</v>
      </c>
      <c r="AC268" s="27" t="s">
        <v>8</v>
      </c>
      <c r="AF268" s="27" t="s">
        <v>7</v>
      </c>
      <c r="AG268" s="27" t="s">
        <v>8</v>
      </c>
    </row>
    <row r="269" spans="1:67" x14ac:dyDescent="0.25">
      <c r="A269" s="30">
        <v>0.24294632108864825</v>
      </c>
      <c r="B269"/>
      <c r="C269"/>
      <c r="D269"/>
      <c r="E269"/>
      <c r="J269" s="27" t="s">
        <v>7</v>
      </c>
      <c r="K269" s="27" t="s">
        <v>8</v>
      </c>
      <c r="P269" s="27" t="s">
        <v>7</v>
      </c>
      <c r="Q269" s="27" t="s">
        <v>8</v>
      </c>
      <c r="R269" s="27" t="s">
        <v>7</v>
      </c>
      <c r="S269" s="27" t="s">
        <v>8</v>
      </c>
      <c r="X269" s="27" t="s">
        <v>7</v>
      </c>
      <c r="AC269" s="27" t="s">
        <v>8</v>
      </c>
      <c r="AF269" s="27" t="s">
        <v>7</v>
      </c>
    </row>
    <row r="270" spans="1:67" x14ac:dyDescent="0.25">
      <c r="A270" s="30">
        <v>0.23137744865585538</v>
      </c>
      <c r="B270"/>
      <c r="C270"/>
      <c r="D270"/>
      <c r="E270"/>
      <c r="J270" s="27" t="s">
        <v>7</v>
      </c>
      <c r="K270" s="27" t="s">
        <v>8</v>
      </c>
      <c r="P270" s="27" t="s">
        <v>7</v>
      </c>
      <c r="Q270" s="27" t="s">
        <v>8</v>
      </c>
      <c r="R270" s="27" t="s">
        <v>7</v>
      </c>
      <c r="X270" s="27" t="s">
        <v>7</v>
      </c>
      <c r="AA270" s="27" t="s">
        <v>8</v>
      </c>
      <c r="AC270" s="27" t="s">
        <v>8</v>
      </c>
    </row>
    <row r="271" spans="1:67" x14ac:dyDescent="0.25">
      <c r="A271" s="30">
        <v>0.22035947491033836</v>
      </c>
      <c r="B271"/>
      <c r="C271"/>
      <c r="D271"/>
      <c r="E271"/>
      <c r="J271" s="27" t="s">
        <v>7</v>
      </c>
      <c r="K271" s="27" t="s">
        <v>8</v>
      </c>
      <c r="P271" s="27" t="s">
        <v>7</v>
      </c>
      <c r="Q271" s="27" t="s">
        <v>8</v>
      </c>
      <c r="X271" s="27" t="s">
        <v>7</v>
      </c>
      <c r="AA271" s="27" t="s">
        <v>8</v>
      </c>
      <c r="AB271" s="27" t="s">
        <v>7</v>
      </c>
      <c r="AC271" s="27" t="s">
        <v>8</v>
      </c>
    </row>
    <row r="272" spans="1:67" x14ac:dyDescent="0.25">
      <c r="A272" s="30">
        <v>0.20986616658127455</v>
      </c>
      <c r="B272"/>
      <c r="C272"/>
      <c r="D272"/>
      <c r="E272"/>
      <c r="J272" s="27" t="s">
        <v>7</v>
      </c>
      <c r="P272" s="27" t="s">
        <v>7</v>
      </c>
      <c r="X272" s="27" t="s">
        <v>7</v>
      </c>
      <c r="AA272" s="27" t="s">
        <v>8</v>
      </c>
      <c r="AB272" s="27" t="s">
        <v>7</v>
      </c>
      <c r="AC272" s="27" t="s">
        <v>8</v>
      </c>
    </row>
    <row r="273" spans="1:29" x14ac:dyDescent="0.25">
      <c r="A273" s="30">
        <v>0.19987253960121379</v>
      </c>
      <c r="B273"/>
      <c r="C273"/>
      <c r="D273"/>
      <c r="E273"/>
      <c r="X273" s="27" t="s">
        <v>7</v>
      </c>
      <c r="AA273" s="27" t="s">
        <v>8</v>
      </c>
      <c r="AB273" s="27" t="s">
        <v>7</v>
      </c>
      <c r="AC273" s="27" t="s">
        <v>8</v>
      </c>
    </row>
    <row r="274" spans="1:29" x14ac:dyDescent="0.25">
      <c r="A274" s="30">
        <v>0.19035479962020352</v>
      </c>
      <c r="B274"/>
      <c r="C274"/>
      <c r="D274"/>
      <c r="E274"/>
      <c r="X274" s="27" t="s">
        <v>7</v>
      </c>
      <c r="AA274" s="27" t="s">
        <v>8</v>
      </c>
      <c r="AB274" s="27" t="s">
        <v>7</v>
      </c>
      <c r="AC274" s="27" t="s">
        <v>8</v>
      </c>
    </row>
    <row r="275" spans="1:29" x14ac:dyDescent="0.25">
      <c r="A275" s="30">
        <v>0.18129028535257471</v>
      </c>
      <c r="B275"/>
      <c r="C275"/>
      <c r="D275"/>
      <c r="E275"/>
      <c r="X275" s="27" t="s">
        <v>7</v>
      </c>
      <c r="Y275" s="27" t="s">
        <v>8</v>
      </c>
      <c r="AA275" s="27" t="s">
        <v>8</v>
      </c>
      <c r="AB275" s="27" t="s">
        <v>7</v>
      </c>
    </row>
    <row r="276" spans="1:29" x14ac:dyDescent="0.25">
      <c r="A276" s="30">
        <v>0.17265741462149967</v>
      </c>
      <c r="B276"/>
      <c r="C276"/>
      <c r="D276"/>
      <c r="E276"/>
      <c r="X276" s="27" t="s">
        <v>7</v>
      </c>
      <c r="Y276" s="27" t="s">
        <v>8</v>
      </c>
      <c r="Z276" s="27" t="s">
        <v>7</v>
      </c>
      <c r="AA276" s="27" t="s">
        <v>8</v>
      </c>
    </row>
    <row r="277" spans="1:29" x14ac:dyDescent="0.25">
      <c r="A277" s="30">
        <v>0.16443563297285677</v>
      </c>
      <c r="B277"/>
      <c r="C277"/>
      <c r="D277"/>
      <c r="E277"/>
      <c r="X277" s="27" t="s">
        <v>7</v>
      </c>
      <c r="Y277" s="27" t="s">
        <v>8</v>
      </c>
      <c r="Z277" s="27" t="s">
        <v>7</v>
      </c>
      <c r="AA277" s="27" t="s">
        <v>8</v>
      </c>
    </row>
    <row r="278" spans="1:29" x14ac:dyDescent="0.25">
      <c r="A278" s="30">
        <v>0.15660536473605399</v>
      </c>
      <c r="B278"/>
      <c r="C278"/>
      <c r="D278"/>
      <c r="E278"/>
      <c r="X278" s="27" t="s">
        <v>7</v>
      </c>
      <c r="Y278" s="27" t="s">
        <v>8</v>
      </c>
      <c r="Z278" s="27" t="s">
        <v>7</v>
      </c>
      <c r="AA278" s="27" t="s">
        <v>8</v>
      </c>
    </row>
    <row r="279" spans="1:29" x14ac:dyDescent="0.25">
      <c r="A279" s="30">
        <v>0.14914796641528946</v>
      </c>
      <c r="B279"/>
      <c r="C279"/>
      <c r="D279"/>
      <c r="E279"/>
      <c r="X279" s="27" t="s">
        <v>7</v>
      </c>
      <c r="Y279" s="27" t="s">
        <v>8</v>
      </c>
      <c r="Z279" s="27" t="s">
        <v>7</v>
      </c>
      <c r="AA279" s="27" t="s">
        <v>8</v>
      </c>
    </row>
    <row r="280" spans="1:29" x14ac:dyDescent="0.25">
      <c r="A280" s="30">
        <v>0.14204568230027562</v>
      </c>
      <c r="B280"/>
      <c r="C280"/>
      <c r="D280"/>
      <c r="E280"/>
      <c r="X280" s="27" t="s">
        <v>7</v>
      </c>
      <c r="Y280" s="27" t="s">
        <v>8</v>
      </c>
      <c r="Z280" s="27" t="s">
        <v>7</v>
      </c>
    </row>
    <row r="281" spans="1:29" x14ac:dyDescent="0.25">
      <c r="A281" s="30">
        <v>0.13528160219073862</v>
      </c>
      <c r="B281"/>
      <c r="C281"/>
      <c r="D281"/>
      <c r="E281"/>
      <c r="X281" s="27" t="s">
        <v>7</v>
      </c>
      <c r="Y281" s="27" t="s">
        <v>8</v>
      </c>
    </row>
    <row r="282" spans="1:29" x14ac:dyDescent="0.25">
      <c r="A282" s="30">
        <v>0.12883962113403674</v>
      </c>
      <c r="B282"/>
      <c r="C282"/>
      <c r="D282"/>
      <c r="E282"/>
      <c r="X282" s="27" t="s">
        <v>7</v>
      </c>
      <c r="Y282" s="27" t="s">
        <v>8</v>
      </c>
    </row>
    <row r="283" spans="1:29" x14ac:dyDescent="0.25">
      <c r="A283" s="30">
        <v>0.12270440108003494</v>
      </c>
      <c r="B283"/>
      <c r="C283"/>
      <c r="D283"/>
      <c r="E283"/>
      <c r="X283" s="27" t="s">
        <v>7</v>
      </c>
      <c r="Y283" s="27" t="s">
        <v>8</v>
      </c>
    </row>
    <row r="284" spans="1:29" x14ac:dyDescent="0.25">
      <c r="A284" s="30">
        <v>0.11686133436193799</v>
      </c>
      <c r="B284"/>
      <c r="C284"/>
      <c r="D284"/>
      <c r="E284"/>
      <c r="X284" s="27" t="s">
        <v>7</v>
      </c>
      <c r="Y284" s="27" t="s">
        <v>8</v>
      </c>
    </row>
    <row r="285" spans="1:29" x14ac:dyDescent="0.25">
      <c r="A285" s="30">
        <v>0.11129650891613138</v>
      </c>
      <c r="B285"/>
      <c r="C285"/>
      <c r="D285"/>
      <c r="E285"/>
      <c r="X285" s="27" t="s">
        <v>7</v>
      </c>
      <c r="Y285" s="27" t="s">
        <v>8</v>
      </c>
    </row>
    <row r="286" spans="1:29" x14ac:dyDescent="0.25">
      <c r="A286" s="30">
        <v>0.10599667515822032</v>
      </c>
      <c r="B286"/>
      <c r="C286"/>
      <c r="D286"/>
      <c r="E286"/>
      <c r="X286" s="27" t="s">
        <v>7</v>
      </c>
    </row>
    <row r="287" spans="1:29" x14ac:dyDescent="0.25">
      <c r="A287" s="30">
        <v>0.10094921443640027</v>
      </c>
      <c r="B287"/>
      <c r="C287"/>
      <c r="D287"/>
      <c r="E287"/>
    </row>
    <row r="288" spans="1:29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309" operator="equal">
      <formula>$U$1</formula>
    </cfRule>
    <cfRule type="cellIs" dxfId="67" priority="1310" operator="equal">
      <formula>$S$1</formula>
    </cfRule>
  </conditionalFormatting>
  <conditionalFormatting sqref="D136">
    <cfRule type="cellIs" dxfId="66" priority="1307" operator="equal">
      <formula>$S$1</formula>
    </cfRule>
    <cfRule type="cellIs" dxfId="65" priority="1308" operator="equal">
      <formula>$U$1</formula>
    </cfRule>
  </conditionalFormatting>
  <conditionalFormatting sqref="C162">
    <cfRule type="cellIs" dxfId="64" priority="1305" operator="equal">
      <formula>$U$1</formula>
    </cfRule>
    <cfRule type="cellIs" dxfId="63" priority="1306" operator="equal">
      <formula>$S$1</formula>
    </cfRule>
  </conditionalFormatting>
  <conditionalFormatting sqref="D162">
    <cfRule type="cellIs" dxfId="62" priority="1303" operator="equal">
      <formula>$S$1</formula>
    </cfRule>
    <cfRule type="cellIs" dxfId="61" priority="1304" operator="equal">
      <formula>$U$1</formula>
    </cfRule>
  </conditionalFormatting>
  <conditionalFormatting sqref="C187">
    <cfRule type="cellIs" dxfId="60" priority="1301" operator="equal">
      <formula>$U$1</formula>
    </cfRule>
    <cfRule type="cellIs" dxfId="59" priority="1302" operator="equal">
      <formula>$S$1</formula>
    </cfRule>
  </conditionalFormatting>
  <conditionalFormatting sqref="D187">
    <cfRule type="cellIs" dxfId="58" priority="1299" operator="equal">
      <formula>$S$1</formula>
    </cfRule>
    <cfRule type="cellIs" dxfId="57" priority="1300" operator="equal">
      <formula>$U$1</formula>
    </cfRule>
  </conditionalFormatting>
  <conditionalFormatting sqref="C212">
    <cfRule type="cellIs" dxfId="56" priority="1297" operator="equal">
      <formula>$U$1</formula>
    </cfRule>
    <cfRule type="cellIs" dxfId="55" priority="1298" operator="equal">
      <formula>$S$1</formula>
    </cfRule>
  </conditionalFormatting>
  <conditionalFormatting sqref="D212">
    <cfRule type="cellIs" dxfId="54" priority="1295" operator="equal">
      <formula>$S$1</formula>
    </cfRule>
    <cfRule type="cellIs" dxfId="53" priority="1296" operator="equal">
      <formula>$U$1</formula>
    </cfRule>
  </conditionalFormatting>
  <conditionalFormatting sqref="C237">
    <cfRule type="cellIs" dxfId="52" priority="1293" operator="equal">
      <formula>$U$1</formula>
    </cfRule>
    <cfRule type="cellIs" dxfId="51" priority="1294" operator="equal">
      <formula>$S$1</formula>
    </cfRule>
  </conditionalFormatting>
  <conditionalFormatting sqref="D237">
    <cfRule type="cellIs" dxfId="50" priority="1291" operator="equal">
      <formula>$S$1</formula>
    </cfRule>
    <cfRule type="cellIs" dxfId="49" priority="1292" operator="equal">
      <formula>$U$1</formula>
    </cfRule>
  </conditionalFormatting>
  <conditionalFormatting sqref="C106">
    <cfRule type="cellIs" dxfId="48" priority="1289" operator="equal">
      <formula>$U$1</formula>
    </cfRule>
    <cfRule type="cellIs" dxfId="47" priority="1290" operator="equal">
      <formula>$S$1</formula>
    </cfRule>
  </conditionalFormatting>
  <conditionalFormatting sqref="D106">
    <cfRule type="cellIs" dxfId="46" priority="1287" operator="equal">
      <formula>$S$1</formula>
    </cfRule>
    <cfRule type="cellIs" dxfId="45" priority="1288" operator="equal">
      <formula>$U$1</formula>
    </cfRule>
  </conditionalFormatting>
  <conditionalFormatting sqref="C81">
    <cfRule type="cellIs" dxfId="44" priority="1285" operator="equal">
      <formula>$U$1</formula>
    </cfRule>
    <cfRule type="cellIs" dxfId="43" priority="1286" operator="equal">
      <formula>$S$1</formula>
    </cfRule>
  </conditionalFormatting>
  <conditionalFormatting sqref="D81">
    <cfRule type="cellIs" dxfId="42" priority="1283" operator="equal">
      <formula>$S$1</formula>
    </cfRule>
    <cfRule type="cellIs" dxfId="41" priority="1284" operator="equal">
      <formula>$U$1</formula>
    </cfRule>
  </conditionalFormatting>
  <conditionalFormatting sqref="C56">
    <cfRule type="cellIs" dxfId="40" priority="1281" operator="equal">
      <formula>$U$1</formula>
    </cfRule>
    <cfRule type="cellIs" dxfId="39" priority="1282" operator="equal">
      <formula>$S$1</formula>
    </cfRule>
  </conditionalFormatting>
  <conditionalFormatting sqref="D56">
    <cfRule type="cellIs" dxfId="38" priority="1279" operator="equal">
      <formula>$S$1</formula>
    </cfRule>
    <cfRule type="cellIs" dxfId="37" priority="1280" operator="equal">
      <formula>$U$1</formula>
    </cfRule>
  </conditionalFormatting>
  <conditionalFormatting sqref="C31">
    <cfRule type="cellIs" dxfId="36" priority="1277" operator="equal">
      <formula>$U$1</formula>
    </cfRule>
    <cfRule type="cellIs" dxfId="35" priority="1278" operator="equal">
      <formula>$S$1</formula>
    </cfRule>
  </conditionalFormatting>
  <conditionalFormatting sqref="D31">
    <cfRule type="cellIs" dxfId="34" priority="1275" operator="equal">
      <formula>$S$1</formula>
    </cfRule>
    <cfRule type="cellIs" dxfId="33" priority="1276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91" zoomScale="90" zoomScaleNormal="90" workbookViewId="0">
      <pane xSplit="4" topLeftCell="G1" activePane="topRight" state="frozen"/>
      <selection activeCell="A109" sqref="A109"/>
      <selection pane="topRight" activeCell="BT119" sqref="BT11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71" x14ac:dyDescent="0.25">
      <c r="A97" s="30">
        <v>9.849732675807628</v>
      </c>
      <c r="E97"/>
      <c r="AU97" s="31" t="s">
        <v>8</v>
      </c>
    </row>
    <row r="98" spans="1:71" x14ac:dyDescent="0.25">
      <c r="A98" s="30">
        <v>8.9543024325523888</v>
      </c>
      <c r="C98" s="1" t="s">
        <v>13</v>
      </c>
      <c r="E98"/>
      <c r="AU98" s="27" t="s">
        <v>8</v>
      </c>
      <c r="AV98" s="31" t="s">
        <v>7</v>
      </c>
    </row>
    <row r="99" spans="1:71" x14ac:dyDescent="0.25">
      <c r="A99" s="30">
        <v>8.140274938683989</v>
      </c>
      <c r="C99" s="1">
        <f>C88</f>
        <v>0</v>
      </c>
      <c r="E99"/>
      <c r="AU99" s="27" t="s">
        <v>8</v>
      </c>
      <c r="AV99" s="27" t="s">
        <v>7</v>
      </c>
      <c r="AW99" s="31"/>
    </row>
    <row r="100" spans="1:71" x14ac:dyDescent="0.25">
      <c r="A100" s="30">
        <v>7.4002499442581717</v>
      </c>
      <c r="C100"/>
      <c r="D100"/>
      <c r="E100"/>
      <c r="AU100" s="27" t="s">
        <v>8</v>
      </c>
      <c r="AV100" s="27" t="s">
        <v>7</v>
      </c>
      <c r="AX100" s="31"/>
    </row>
    <row r="101" spans="1:71" x14ac:dyDescent="0.25">
      <c r="A101" s="30">
        <v>6.72749994932561</v>
      </c>
      <c r="C101" s="1" t="s">
        <v>14</v>
      </c>
      <c r="E101"/>
      <c r="AU101" s="27" t="s">
        <v>8</v>
      </c>
      <c r="AV101" s="27" t="s">
        <v>7</v>
      </c>
      <c r="AW101" s="27" t="s">
        <v>8</v>
      </c>
      <c r="AY101" s="31"/>
    </row>
    <row r="102" spans="1:71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AU102" s="27" t="s">
        <v>8</v>
      </c>
      <c r="AV102" s="27" t="s">
        <v>7</v>
      </c>
      <c r="AW102" s="27" t="s">
        <v>8</v>
      </c>
      <c r="AX102" s="27" t="s">
        <v>7</v>
      </c>
      <c r="AZ102" s="31"/>
    </row>
    <row r="103" spans="1:71" x14ac:dyDescent="0.25">
      <c r="A103" s="30">
        <v>5.5599173134922388</v>
      </c>
      <c r="E103"/>
      <c r="AU103" s="27" t="s">
        <v>8</v>
      </c>
      <c r="AV103" s="27" t="s">
        <v>7</v>
      </c>
      <c r="AW103" s="27" t="s">
        <v>8</v>
      </c>
      <c r="AX103" s="27" t="s">
        <v>7</v>
      </c>
      <c r="AY103" s="27" t="s">
        <v>8</v>
      </c>
      <c r="BA103" s="31"/>
      <c r="BC103" s="27" t="s">
        <v>8</v>
      </c>
    </row>
    <row r="104" spans="1:71" x14ac:dyDescent="0.25">
      <c r="A104" s="30">
        <v>5.0544702849929442</v>
      </c>
      <c r="E104"/>
      <c r="AU104" s="27" t="s">
        <v>8</v>
      </c>
      <c r="AV104" s="27" t="s">
        <v>7</v>
      </c>
      <c r="AX104" s="27" t="s">
        <v>7</v>
      </c>
      <c r="AY104" s="27" t="s">
        <v>8</v>
      </c>
      <c r="AZ104" s="27" t="s">
        <v>7</v>
      </c>
      <c r="BB104" s="31"/>
      <c r="BC104" s="33" t="s">
        <v>8</v>
      </c>
      <c r="BD104" s="27" t="s">
        <v>7</v>
      </c>
      <c r="BO104" s="27" t="s">
        <v>8</v>
      </c>
    </row>
    <row r="105" spans="1:71" x14ac:dyDescent="0.25">
      <c r="A105" s="30">
        <v>4.594972986357222</v>
      </c>
      <c r="E105"/>
      <c r="AU105" s="27" t="s">
        <v>8</v>
      </c>
      <c r="AX105" s="34" t="s">
        <v>7</v>
      </c>
      <c r="AY105" s="27" t="s">
        <v>8</v>
      </c>
      <c r="AZ105" s="27" t="s">
        <v>7</v>
      </c>
      <c r="BA105" s="27" t="s">
        <v>8</v>
      </c>
      <c r="BC105" s="31" t="s">
        <v>8</v>
      </c>
      <c r="BD105" s="31" t="s">
        <v>7</v>
      </c>
      <c r="BE105" s="31" t="s">
        <v>8</v>
      </c>
      <c r="BO105" s="27" t="s">
        <v>8</v>
      </c>
      <c r="BP105" s="27" t="s">
        <v>7</v>
      </c>
    </row>
    <row r="106" spans="1:71" x14ac:dyDescent="0.25">
      <c r="A106" s="30">
        <v>4.1772481694156562</v>
      </c>
      <c r="E106"/>
      <c r="AU106" s="27" t="s">
        <v>8</v>
      </c>
      <c r="AX106" s="27" t="s">
        <v>7</v>
      </c>
      <c r="AZ106" s="27" t="s">
        <v>7</v>
      </c>
      <c r="BA106" s="27" t="s">
        <v>8</v>
      </c>
      <c r="BB106" s="27" t="s">
        <v>7</v>
      </c>
      <c r="BC106" s="27" t="s">
        <v>8</v>
      </c>
      <c r="BD106" s="27" t="s">
        <v>7</v>
      </c>
      <c r="BE106" s="27" t="s">
        <v>8</v>
      </c>
      <c r="BF106" s="31" t="s">
        <v>7</v>
      </c>
      <c r="BO106" s="27" t="s">
        <v>8</v>
      </c>
      <c r="BP106" s="27" t="s">
        <v>7</v>
      </c>
    </row>
    <row r="107" spans="1:71" x14ac:dyDescent="0.25">
      <c r="A107" s="30">
        <v>3.7974983358324148</v>
      </c>
      <c r="E107"/>
      <c r="AU107" s="27" t="s">
        <v>8</v>
      </c>
      <c r="AZ107" s="27" t="s">
        <v>7</v>
      </c>
      <c r="BA107" s="27" t="s">
        <v>8</v>
      </c>
      <c r="BB107" s="27" t="s">
        <v>7</v>
      </c>
      <c r="BC107" s="27" t="s">
        <v>8</v>
      </c>
      <c r="BD107" s="27" t="s">
        <v>7</v>
      </c>
      <c r="BE107" s="27" t="s">
        <v>8</v>
      </c>
      <c r="BF107" s="27" t="s">
        <v>7</v>
      </c>
      <c r="BG107" s="31"/>
      <c r="BO107" s="27" t="s">
        <v>8</v>
      </c>
      <c r="BP107" s="27" t="s">
        <v>7</v>
      </c>
      <c r="BQ107" s="27" t="s">
        <v>8</v>
      </c>
    </row>
    <row r="108" spans="1:71" x14ac:dyDescent="0.25">
      <c r="A108" s="30">
        <v>3.4522712143931042</v>
      </c>
      <c r="E108"/>
      <c r="AU108" s="27" t="s">
        <v>8</v>
      </c>
      <c r="AZ108" s="27" t="s">
        <v>7</v>
      </c>
      <c r="BA108" s="27" t="s">
        <v>8</v>
      </c>
      <c r="BB108" s="27" t="s">
        <v>7</v>
      </c>
      <c r="BD108" s="27" t="s">
        <v>7</v>
      </c>
      <c r="BE108" s="27" t="s">
        <v>8</v>
      </c>
      <c r="BF108" s="27" t="s">
        <v>7</v>
      </c>
      <c r="BH108" s="31"/>
      <c r="BI108" s="27" t="s">
        <v>8</v>
      </c>
      <c r="BM108" s="27" t="s">
        <v>8</v>
      </c>
      <c r="BO108" s="27" t="s">
        <v>8</v>
      </c>
      <c r="BP108" s="27" t="s">
        <v>7</v>
      </c>
      <c r="BQ108" s="27" t="s">
        <v>8</v>
      </c>
      <c r="BR108" s="27" t="s">
        <v>7</v>
      </c>
    </row>
    <row r="109" spans="1:71" x14ac:dyDescent="0.25">
      <c r="A109" s="30">
        <v>3.1384283767210035</v>
      </c>
      <c r="E109"/>
      <c r="AU109" s="27" t="s">
        <v>8</v>
      </c>
      <c r="AZ109" s="27" t="s">
        <v>7</v>
      </c>
      <c r="BD109" s="34" t="s">
        <v>7</v>
      </c>
      <c r="BE109" s="27" t="s">
        <v>8</v>
      </c>
      <c r="BF109" s="27" t="s">
        <v>7</v>
      </c>
      <c r="BI109" s="33" t="s">
        <v>8</v>
      </c>
      <c r="BJ109" s="31" t="s">
        <v>7</v>
      </c>
      <c r="BM109" s="27" t="s">
        <v>8</v>
      </c>
      <c r="BN109" s="27" t="s">
        <v>7</v>
      </c>
      <c r="BO109" s="27" t="s">
        <v>8</v>
      </c>
      <c r="BP109" s="27" t="s">
        <v>7</v>
      </c>
      <c r="BQ109" s="27" t="s">
        <v>8</v>
      </c>
      <c r="BR109" s="27" t="s">
        <v>7</v>
      </c>
    </row>
    <row r="110" spans="1:71" x14ac:dyDescent="0.25">
      <c r="A110" s="30">
        <v>2.8531167061100029</v>
      </c>
      <c r="E110"/>
      <c r="AU110" s="27" t="s">
        <v>8</v>
      </c>
      <c r="BD110" s="31" t="s">
        <v>7</v>
      </c>
      <c r="BE110" s="27" t="s">
        <v>8</v>
      </c>
      <c r="BF110" s="27" t="s">
        <v>7</v>
      </c>
      <c r="BG110" s="27" t="s">
        <v>8</v>
      </c>
      <c r="BI110" s="27" t="s">
        <v>8</v>
      </c>
      <c r="BJ110" s="27" t="s">
        <v>7</v>
      </c>
      <c r="BK110" s="31"/>
      <c r="BM110" s="27" t="s">
        <v>8</v>
      </c>
      <c r="BN110" s="27" t="s">
        <v>7</v>
      </c>
      <c r="BO110" s="27" t="s">
        <v>8</v>
      </c>
      <c r="BP110" s="27" t="s">
        <v>7</v>
      </c>
      <c r="BR110" s="27" t="s">
        <v>7</v>
      </c>
    </row>
    <row r="111" spans="1:71" x14ac:dyDescent="0.25">
      <c r="A111" s="30">
        <v>2.5937424601000023</v>
      </c>
      <c r="C111" s="1" t="str">
        <f>ADDRESS(C121-1,1,1,1)</f>
        <v>$A$118</v>
      </c>
      <c r="D111" s="1" t="str">
        <f>ADDRESS(C121-1,D121,1,1)</f>
        <v>$BT$118</v>
      </c>
      <c r="E111"/>
      <c r="AU111" s="27" t="s">
        <v>8</v>
      </c>
      <c r="BC111" s="31"/>
      <c r="BD111" s="27" t="s">
        <v>7</v>
      </c>
      <c r="BF111" s="27" t="s">
        <v>7</v>
      </c>
      <c r="BG111" s="27" t="s">
        <v>8</v>
      </c>
      <c r="BH111" s="27" t="s">
        <v>7</v>
      </c>
      <c r="BI111" s="27" t="s">
        <v>8</v>
      </c>
      <c r="BJ111" s="27" t="s">
        <v>7</v>
      </c>
      <c r="BL111" s="31"/>
      <c r="BM111" s="27" t="s">
        <v>8</v>
      </c>
      <c r="BN111" s="27" t="s">
        <v>7</v>
      </c>
      <c r="BR111" s="27" t="s">
        <v>7</v>
      </c>
    </row>
    <row r="112" spans="1:71" x14ac:dyDescent="0.25">
      <c r="A112" s="30">
        <v>2.3579476910000019</v>
      </c>
      <c r="C112" s="1" t="str">
        <f>ADDRESS(C121,1,1,1)</f>
        <v>$A$119</v>
      </c>
      <c r="D112" s="1" t="str">
        <f>ADDRESS(C121,D121-1,1,1)</f>
        <v>$BS$119</v>
      </c>
      <c r="E112"/>
      <c r="AU112" s="27" t="s">
        <v>8</v>
      </c>
      <c r="BB112" s="31"/>
      <c r="BF112" s="27" t="s">
        <v>7</v>
      </c>
      <c r="BG112" s="27" t="s">
        <v>8</v>
      </c>
      <c r="BH112" s="27" t="s">
        <v>7</v>
      </c>
      <c r="BI112" s="27" t="s">
        <v>8</v>
      </c>
      <c r="BJ112" s="27" t="s">
        <v>7</v>
      </c>
      <c r="BM112" s="31" t="s">
        <v>8</v>
      </c>
      <c r="BR112" s="27" t="s">
        <v>7</v>
      </c>
      <c r="BS112" s="27" t="s">
        <v>8</v>
      </c>
    </row>
    <row r="113" spans="1:72" x14ac:dyDescent="0.25">
      <c r="A113" s="30">
        <v>2.1435888100000016</v>
      </c>
      <c r="C113" s="1" t="str">
        <f>ADDRESS(C121+1,1,1,1)</f>
        <v>$A$120</v>
      </c>
      <c r="D113" s="1" t="str">
        <f>ADDRESS(C121-1,D121+1,1,1)</f>
        <v>$BU$118</v>
      </c>
      <c r="AS113" s="27" t="s">
        <v>8</v>
      </c>
      <c r="AU113" s="27" t="s">
        <v>8</v>
      </c>
      <c r="BA113" s="31"/>
      <c r="BF113" s="27" t="s">
        <v>7</v>
      </c>
      <c r="BG113" s="27" t="s">
        <v>8</v>
      </c>
      <c r="BH113" s="27" t="s">
        <v>7</v>
      </c>
      <c r="BI113" s="27" t="s">
        <v>8</v>
      </c>
      <c r="BJ113" s="27" t="s">
        <v>7</v>
      </c>
      <c r="BM113" s="27" t="s">
        <v>8</v>
      </c>
      <c r="BN113" s="31"/>
      <c r="BR113" s="27" t="s">
        <v>7</v>
      </c>
      <c r="BS113" s="27" t="s">
        <v>8</v>
      </c>
      <c r="BT113" s="27" t="s">
        <v>7</v>
      </c>
    </row>
    <row r="114" spans="1:72" x14ac:dyDescent="0.25">
      <c r="A114" s="30">
        <v>1.9487171000000014</v>
      </c>
      <c r="C114" s="1" t="str">
        <f>ADDRESS(C121,D121,1,1)</f>
        <v>$BT$119</v>
      </c>
      <c r="D114" s="1" t="str">
        <f>ADDRESS(C121+1,D121+1,1,1)</f>
        <v>$BU$120</v>
      </c>
      <c r="AS114" s="27" t="s">
        <v>8</v>
      </c>
      <c r="AT114" s="27" t="s">
        <v>7</v>
      </c>
      <c r="AU114" s="27" t="s">
        <v>8</v>
      </c>
      <c r="AZ114" s="31"/>
      <c r="BF114" s="27" t="s">
        <v>7</v>
      </c>
      <c r="BG114" s="27" t="s">
        <v>8</v>
      </c>
      <c r="BH114" s="27" t="s">
        <v>7</v>
      </c>
      <c r="BI114" s="27" t="s">
        <v>8</v>
      </c>
      <c r="BJ114" s="27" t="s">
        <v>7</v>
      </c>
      <c r="BK114" s="27" t="s">
        <v>8</v>
      </c>
      <c r="BM114" s="27" t="s">
        <v>8</v>
      </c>
      <c r="BO114" s="31"/>
      <c r="BR114" s="27" t="s">
        <v>7</v>
      </c>
      <c r="BS114" s="27" t="s">
        <v>8</v>
      </c>
      <c r="BT114" s="27" t="s">
        <v>7</v>
      </c>
    </row>
    <row r="115" spans="1:72" x14ac:dyDescent="0.25">
      <c r="A115" s="30">
        <v>1.7715610000000011</v>
      </c>
      <c r="C115" s="1" t="str">
        <f>ADDRESS(C121+1,D121,1,1)</f>
        <v>$BT$120</v>
      </c>
      <c r="AQ115" s="27" t="s">
        <v>8</v>
      </c>
      <c r="AS115" s="27" t="s">
        <v>8</v>
      </c>
      <c r="AT115" s="27" t="s">
        <v>7</v>
      </c>
      <c r="AU115" s="27" t="s">
        <v>8</v>
      </c>
      <c r="AY115" s="31"/>
      <c r="BF115" s="27" t="s">
        <v>7</v>
      </c>
      <c r="BG115" s="27" t="s">
        <v>8</v>
      </c>
      <c r="BH115" s="27" t="s">
        <v>7</v>
      </c>
      <c r="BJ115" s="27" t="s">
        <v>7</v>
      </c>
      <c r="BK115" s="27" t="s">
        <v>8</v>
      </c>
      <c r="BL115" s="27" t="s">
        <v>7</v>
      </c>
      <c r="BM115" s="27" t="s">
        <v>8</v>
      </c>
      <c r="BR115" s="27" t="s">
        <v>7</v>
      </c>
      <c r="BT115" s="27" t="s">
        <v>7</v>
      </c>
    </row>
    <row r="116" spans="1:72" x14ac:dyDescent="0.25">
      <c r="A116" s="30">
        <v>1.6105100000000008</v>
      </c>
      <c r="C116" s="1">
        <f>C117-1</f>
        <v>118</v>
      </c>
      <c r="AO116" s="27" t="s">
        <v>8</v>
      </c>
      <c r="AQ116" s="27" t="s">
        <v>8</v>
      </c>
      <c r="AR116" s="27" t="s">
        <v>7</v>
      </c>
      <c r="AS116" s="27" t="s">
        <v>8</v>
      </c>
      <c r="AT116" s="27" t="s">
        <v>7</v>
      </c>
      <c r="AX116" s="31"/>
      <c r="BF116" s="27" t="s">
        <v>7</v>
      </c>
      <c r="BJ116" s="34" t="s">
        <v>7</v>
      </c>
      <c r="BK116" s="27" t="s">
        <v>8</v>
      </c>
      <c r="BL116" s="27" t="s">
        <v>7</v>
      </c>
      <c r="BM116" s="27" t="s">
        <v>8</v>
      </c>
      <c r="BT116" s="27" t="s">
        <v>7</v>
      </c>
    </row>
    <row r="117" spans="1:72" x14ac:dyDescent="0.25">
      <c r="A117" s="30">
        <v>1.4641000000000006</v>
      </c>
      <c r="C117" s="1">
        <f>C121</f>
        <v>119</v>
      </c>
      <c r="D117" s="1">
        <f>D121</f>
        <v>72</v>
      </c>
      <c r="AO117" s="27" t="s">
        <v>8</v>
      </c>
      <c r="AP117" s="27" t="s">
        <v>7</v>
      </c>
      <c r="AQ117" s="27" t="s">
        <v>8</v>
      </c>
      <c r="AR117" s="27" t="s">
        <v>7</v>
      </c>
      <c r="AS117" s="27" t="s">
        <v>8</v>
      </c>
      <c r="AW117" s="31"/>
      <c r="BJ117" s="27" t="s">
        <v>7</v>
      </c>
      <c r="BK117" s="27" t="s">
        <v>8</v>
      </c>
      <c r="BL117" s="18" t="s">
        <v>7</v>
      </c>
      <c r="BM117" s="27" t="s">
        <v>8</v>
      </c>
      <c r="BT117" s="27" t="s">
        <v>7</v>
      </c>
    </row>
    <row r="118" spans="1:72" x14ac:dyDescent="0.25">
      <c r="A118" s="30">
        <v>1.3310000000000004</v>
      </c>
      <c r="C118" s="1">
        <f>C117+1</f>
        <v>120</v>
      </c>
      <c r="D118" s="1">
        <f>D117+1</f>
        <v>73</v>
      </c>
      <c r="AO118" s="27" t="s">
        <v>8</v>
      </c>
      <c r="AP118" s="27" t="s">
        <v>7</v>
      </c>
      <c r="AQ118" s="27" t="s">
        <v>8</v>
      </c>
      <c r="AR118" s="27" t="s">
        <v>7</v>
      </c>
      <c r="AV118" s="31"/>
      <c r="BJ118" s="27" t="s">
        <v>7</v>
      </c>
      <c r="BK118" s="27" t="s">
        <v>8</v>
      </c>
      <c r="BL118" s="27" t="s">
        <v>7</v>
      </c>
      <c r="BT118" s="27" t="s">
        <v>7</v>
      </c>
    </row>
    <row r="119" spans="1:72" x14ac:dyDescent="0.25">
      <c r="A119" s="30">
        <v>1.2100000000000002</v>
      </c>
      <c r="AM119" s="27" t="s">
        <v>8</v>
      </c>
      <c r="AO119" s="27" t="s">
        <v>8</v>
      </c>
      <c r="AP119" s="27" t="s">
        <v>7</v>
      </c>
      <c r="AQ119" s="27" t="s">
        <v>8</v>
      </c>
      <c r="AU119" s="31"/>
      <c r="BJ119" s="27" t="s">
        <v>7</v>
      </c>
      <c r="BK119" s="27" t="s">
        <v>8</v>
      </c>
      <c r="BT119" s="27" t="s">
        <v>7</v>
      </c>
    </row>
    <row r="120" spans="1:72" x14ac:dyDescent="0.25">
      <c r="A120" s="30">
        <v>1.1000000000000001</v>
      </c>
      <c r="C120" s="1" t="s">
        <v>9</v>
      </c>
      <c r="AM120" s="27" t="s">
        <v>8</v>
      </c>
      <c r="AN120" s="27" t="s">
        <v>7</v>
      </c>
      <c r="AO120" s="27" t="s">
        <v>8</v>
      </c>
      <c r="AP120" s="27" t="s">
        <v>7</v>
      </c>
      <c r="AQ120" s="27" t="s">
        <v>8</v>
      </c>
      <c r="AT120" s="31"/>
      <c r="BJ120" s="27" t="s">
        <v>7</v>
      </c>
      <c r="BK120" s="27" t="s">
        <v>8</v>
      </c>
    </row>
    <row r="121" spans="1:72" x14ac:dyDescent="0.25">
      <c r="A121" s="30">
        <v>1</v>
      </c>
      <c r="C121" s="18">
        <v>119</v>
      </c>
      <c r="D121" s="19">
        <v>72</v>
      </c>
      <c r="E121" s="18" t="s">
        <v>8</v>
      </c>
      <c r="AI121" s="27" t="s">
        <v>8</v>
      </c>
      <c r="AM121" s="27" t="s">
        <v>8</v>
      </c>
      <c r="AN121" s="27" t="s">
        <v>7</v>
      </c>
      <c r="AO121" s="27" t="s">
        <v>8</v>
      </c>
      <c r="AP121" s="27" t="s">
        <v>7</v>
      </c>
      <c r="AS121" s="31"/>
      <c r="BJ121" s="27" t="s">
        <v>7</v>
      </c>
      <c r="BK121" s="27" t="s">
        <v>8</v>
      </c>
    </row>
    <row r="122" spans="1:72" x14ac:dyDescent="0.25">
      <c r="A122" s="30">
        <v>0.90909090909090895</v>
      </c>
      <c r="C122" s="1" t="str">
        <f>INDEX(1:1048576,C117,D117)</f>
        <v>O</v>
      </c>
      <c r="F122" s="27" t="s">
        <v>7</v>
      </c>
      <c r="AI122" s="27" t="s">
        <v>8</v>
      </c>
      <c r="AJ122" s="27" t="s">
        <v>7</v>
      </c>
      <c r="AK122" s="27" t="s">
        <v>8</v>
      </c>
      <c r="AM122" s="27" t="s">
        <v>8</v>
      </c>
      <c r="AN122" s="27" t="s">
        <v>7</v>
      </c>
      <c r="AO122" s="27" t="s">
        <v>8</v>
      </c>
      <c r="AR122" s="31"/>
      <c r="BJ122" s="27" t="s">
        <v>7</v>
      </c>
    </row>
    <row r="123" spans="1:72" x14ac:dyDescent="0.25">
      <c r="A123" s="30">
        <v>0.82644628099173523</v>
      </c>
      <c r="C123" s="1" t="str">
        <f>"R"&amp;C121</f>
        <v>R119</v>
      </c>
      <c r="D123" s="1" t="str">
        <f>"C"&amp;D121</f>
        <v>C72</v>
      </c>
      <c r="F123" s="27" t="s">
        <v>7</v>
      </c>
      <c r="AI123" s="27" t="s">
        <v>8</v>
      </c>
      <c r="AJ123" s="27" t="s">
        <v>7</v>
      </c>
      <c r="AK123" s="27" t="s">
        <v>8</v>
      </c>
      <c r="AL123" s="27" t="s">
        <v>7</v>
      </c>
      <c r="AM123" s="27" t="s">
        <v>8</v>
      </c>
      <c r="AN123" s="27" t="s">
        <v>7</v>
      </c>
      <c r="AO123" s="27" t="s">
        <v>8</v>
      </c>
      <c r="AQ123" s="31"/>
    </row>
    <row r="124" spans="1:72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AI124" s="27" t="s">
        <v>8</v>
      </c>
      <c r="AJ124" s="27" t="s">
        <v>7</v>
      </c>
      <c r="AK124" s="27" t="s">
        <v>8</v>
      </c>
      <c r="AL124" s="27" t="s">
        <v>7</v>
      </c>
      <c r="AM124" s="27" t="s">
        <v>8</v>
      </c>
      <c r="AN124" s="27" t="s">
        <v>7</v>
      </c>
      <c r="AO124" s="27" t="s">
        <v>8</v>
      </c>
      <c r="AP124" s="31"/>
    </row>
    <row r="125" spans="1:72" x14ac:dyDescent="0.25">
      <c r="A125" s="30">
        <v>0.68301345536507019</v>
      </c>
      <c r="F125" s="27" t="s">
        <v>7</v>
      </c>
      <c r="AI125" s="27" t="s">
        <v>8</v>
      </c>
      <c r="AJ125" s="27" t="s">
        <v>7</v>
      </c>
      <c r="AK125" s="27" t="s">
        <v>8</v>
      </c>
      <c r="AL125" s="32" t="s">
        <v>7</v>
      </c>
      <c r="AN125" s="32" t="s">
        <v>7</v>
      </c>
      <c r="AO125" s="31"/>
    </row>
    <row r="126" spans="1:72" x14ac:dyDescent="0.25">
      <c r="A126" s="30">
        <v>0.6209213230591546</v>
      </c>
      <c r="C126" s="1" t="s">
        <v>10</v>
      </c>
      <c r="F126" s="27" t="s">
        <v>7</v>
      </c>
      <c r="AC126" s="27" t="s">
        <v>8</v>
      </c>
      <c r="AI126" s="27" t="s">
        <v>8</v>
      </c>
      <c r="AJ126" s="27" t="s">
        <v>7</v>
      </c>
      <c r="AN126" s="31"/>
    </row>
    <row r="127" spans="1:72" x14ac:dyDescent="0.25">
      <c r="A127" s="30">
        <v>0.56447393005377677</v>
      </c>
      <c r="C127" s="30">
        <v>1.2100000000000002</v>
      </c>
      <c r="D127"/>
      <c r="F127" s="27" t="s">
        <v>7</v>
      </c>
      <c r="AC127" s="27" t="s">
        <v>8</v>
      </c>
      <c r="AD127" s="27" t="s">
        <v>7</v>
      </c>
      <c r="AI127" s="27" t="s">
        <v>8</v>
      </c>
      <c r="AM127" s="31"/>
    </row>
    <row r="128" spans="1:72" x14ac:dyDescent="0.25">
      <c r="A128" s="30">
        <v>0.51315811823070612</v>
      </c>
      <c r="F128" s="27" t="s">
        <v>7</v>
      </c>
      <c r="I128" s="27" t="s">
        <v>8</v>
      </c>
      <c r="O128" s="27" t="s">
        <v>8</v>
      </c>
      <c r="U128" s="27" t="s">
        <v>8</v>
      </c>
      <c r="AC128" s="27" t="s">
        <v>8</v>
      </c>
      <c r="AD128" s="27" t="s">
        <v>7</v>
      </c>
      <c r="AE128" s="27" t="s">
        <v>8</v>
      </c>
      <c r="AI128" s="33" t="s">
        <v>8</v>
      </c>
      <c r="AL128" s="31"/>
    </row>
    <row r="129" spans="1:37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G129" s="27" t="s">
        <v>8</v>
      </c>
      <c r="I129" s="27" t="s">
        <v>8</v>
      </c>
      <c r="J129" s="27" t="s">
        <v>7</v>
      </c>
      <c r="O129" s="27" t="s">
        <v>8</v>
      </c>
      <c r="P129" s="27" t="s">
        <v>7</v>
      </c>
      <c r="S129" s="27" t="s">
        <v>8</v>
      </c>
      <c r="U129" s="27" t="s">
        <v>8</v>
      </c>
      <c r="V129" s="27" t="s">
        <v>7</v>
      </c>
      <c r="Y129" s="27" t="s">
        <v>8</v>
      </c>
      <c r="AC129" s="27" t="s">
        <v>8</v>
      </c>
      <c r="AD129" s="27" t="s">
        <v>7</v>
      </c>
      <c r="AE129" s="27" t="s">
        <v>8</v>
      </c>
      <c r="AF129" s="27" t="s">
        <v>7</v>
      </c>
      <c r="AG129" s="27" t="s">
        <v>8</v>
      </c>
      <c r="AI129" s="27" t="s">
        <v>8</v>
      </c>
      <c r="AK129" s="31"/>
    </row>
    <row r="130" spans="1:37" x14ac:dyDescent="0.25">
      <c r="A130" s="30">
        <v>0.42409761837248428</v>
      </c>
      <c r="C130" s="6"/>
      <c r="D130" s="6"/>
      <c r="E130"/>
      <c r="F130" s="27" t="s">
        <v>7</v>
      </c>
      <c r="G130" s="27" t="s">
        <v>8</v>
      </c>
      <c r="H130" s="27" t="s">
        <v>7</v>
      </c>
      <c r="I130" s="27" t="s">
        <v>8</v>
      </c>
      <c r="J130" s="27" t="s">
        <v>7</v>
      </c>
      <c r="K130" s="27" t="s">
        <v>8</v>
      </c>
      <c r="O130" s="27" t="s">
        <v>8</v>
      </c>
      <c r="P130" s="27" t="s">
        <v>7</v>
      </c>
      <c r="S130" s="27" t="s">
        <v>8</v>
      </c>
      <c r="T130" s="27" t="s">
        <v>7</v>
      </c>
      <c r="U130" s="27" t="s">
        <v>8</v>
      </c>
      <c r="V130" s="27" t="s">
        <v>7</v>
      </c>
      <c r="Y130" s="27" t="s">
        <v>8</v>
      </c>
      <c r="Z130" s="27" t="s">
        <v>7</v>
      </c>
      <c r="AA130" s="27" t="s">
        <v>8</v>
      </c>
      <c r="AC130" s="27" t="s">
        <v>8</v>
      </c>
      <c r="AD130" s="27" t="s">
        <v>7</v>
      </c>
      <c r="AE130" s="27" t="s">
        <v>8</v>
      </c>
      <c r="AF130" s="27" t="s">
        <v>7</v>
      </c>
      <c r="AG130" s="27" t="s">
        <v>8</v>
      </c>
      <c r="AH130" s="27" t="s">
        <v>7</v>
      </c>
      <c r="AI130" s="27" t="s">
        <v>8</v>
      </c>
      <c r="AJ130" s="31"/>
    </row>
    <row r="131" spans="1:37" x14ac:dyDescent="0.25">
      <c r="A131" s="30">
        <v>0.38554328942953109</v>
      </c>
      <c r="E131"/>
      <c r="F131" s="27" t="s">
        <v>7</v>
      </c>
      <c r="G131" s="27" t="s">
        <v>8</v>
      </c>
      <c r="H131" s="27" t="s">
        <v>7</v>
      </c>
      <c r="I131" s="27" t="s">
        <v>8</v>
      </c>
      <c r="J131" s="27" t="s">
        <v>7</v>
      </c>
      <c r="K131" s="27" t="s">
        <v>8</v>
      </c>
      <c r="L131" s="27" t="s">
        <v>7</v>
      </c>
      <c r="O131" s="27" t="s">
        <v>8</v>
      </c>
      <c r="P131" s="27" t="s">
        <v>7</v>
      </c>
      <c r="S131" s="27" t="s">
        <v>8</v>
      </c>
      <c r="T131" s="27" t="s">
        <v>7</v>
      </c>
      <c r="U131" s="27" t="s">
        <v>8</v>
      </c>
      <c r="V131" s="27" t="s">
        <v>7</v>
      </c>
      <c r="Y131" s="27" t="s">
        <v>8</v>
      </c>
      <c r="Z131" s="27" t="s">
        <v>7</v>
      </c>
      <c r="AA131" s="27" t="s">
        <v>8</v>
      </c>
      <c r="AB131" s="27" t="s">
        <v>7</v>
      </c>
      <c r="AC131" s="27" t="s">
        <v>8</v>
      </c>
      <c r="AD131" s="27" t="s">
        <v>7</v>
      </c>
      <c r="AE131" s="27" t="s">
        <v>8</v>
      </c>
      <c r="AF131" s="27" t="s">
        <v>7</v>
      </c>
      <c r="AG131" s="27" t="s">
        <v>8</v>
      </c>
      <c r="AH131" s="27" t="s">
        <v>7</v>
      </c>
      <c r="AI131" s="31" t="s">
        <v>8</v>
      </c>
    </row>
    <row r="132" spans="1:37" x14ac:dyDescent="0.25">
      <c r="A132" s="30">
        <v>0.35049389948139187</v>
      </c>
      <c r="C132" s="1" t="s">
        <v>13</v>
      </c>
      <c r="E132"/>
      <c r="F132" s="27" t="s">
        <v>7</v>
      </c>
      <c r="H132" s="27" t="s">
        <v>7</v>
      </c>
      <c r="I132" s="27" t="s">
        <v>8</v>
      </c>
      <c r="J132" s="27" t="s">
        <v>7</v>
      </c>
      <c r="K132" s="27" t="s">
        <v>8</v>
      </c>
      <c r="L132" s="27" t="s">
        <v>7</v>
      </c>
      <c r="O132" s="27" t="s">
        <v>8</v>
      </c>
      <c r="P132" s="27" t="s">
        <v>7</v>
      </c>
      <c r="Q132" s="27" t="s">
        <v>8</v>
      </c>
      <c r="S132" s="27" t="s">
        <v>8</v>
      </c>
      <c r="T132" s="27" t="s">
        <v>7</v>
      </c>
      <c r="U132" s="27" t="s">
        <v>8</v>
      </c>
      <c r="V132" s="27" t="s">
        <v>7</v>
      </c>
      <c r="W132" s="27" t="s">
        <v>8</v>
      </c>
      <c r="Y132" s="27" t="s">
        <v>8</v>
      </c>
      <c r="Z132" s="27" t="s">
        <v>7</v>
      </c>
      <c r="AA132" s="27" t="s">
        <v>8</v>
      </c>
      <c r="AB132" s="27" t="s">
        <v>7</v>
      </c>
      <c r="AC132" s="27" t="s">
        <v>8</v>
      </c>
      <c r="AD132" s="27" t="s">
        <v>7</v>
      </c>
      <c r="AF132" s="27" t="s">
        <v>7</v>
      </c>
      <c r="AG132" s="27" t="s">
        <v>8</v>
      </c>
      <c r="AH132" s="31" t="s">
        <v>7</v>
      </c>
    </row>
    <row r="133" spans="1:37" x14ac:dyDescent="0.25">
      <c r="A133" s="30">
        <v>0.31863081771035617</v>
      </c>
      <c r="C133" s="1" t="str">
        <f>C122</f>
        <v>O</v>
      </c>
      <c r="E133"/>
      <c r="H133" s="27" t="s">
        <v>7</v>
      </c>
      <c r="I133" s="27" t="s">
        <v>8</v>
      </c>
      <c r="J133" s="27" t="s">
        <v>7</v>
      </c>
      <c r="K133" s="27" t="s">
        <v>8</v>
      </c>
      <c r="L133" s="27" t="s">
        <v>7</v>
      </c>
      <c r="M133" s="27" t="s">
        <v>8</v>
      </c>
      <c r="O133" s="27" t="s">
        <v>8</v>
      </c>
      <c r="P133" s="27" t="s">
        <v>7</v>
      </c>
      <c r="Q133" s="27" t="s">
        <v>8</v>
      </c>
      <c r="R133" s="27" t="s">
        <v>7</v>
      </c>
      <c r="S133" s="27" t="s">
        <v>8</v>
      </c>
      <c r="T133" s="27" t="s">
        <v>7</v>
      </c>
      <c r="U133" s="27" t="s">
        <v>8</v>
      </c>
      <c r="V133" s="27" t="s">
        <v>7</v>
      </c>
      <c r="W133" s="27" t="s">
        <v>8</v>
      </c>
      <c r="X133" s="27" t="s">
        <v>7</v>
      </c>
      <c r="Y133" s="27" t="s">
        <v>8</v>
      </c>
      <c r="Z133" s="27" t="s">
        <v>7</v>
      </c>
      <c r="AA133" s="27" t="s">
        <v>8</v>
      </c>
      <c r="AB133" s="27" t="s">
        <v>7</v>
      </c>
      <c r="AF133" s="34" t="s">
        <v>7</v>
      </c>
    </row>
    <row r="134" spans="1:37" x14ac:dyDescent="0.25">
      <c r="A134" s="30">
        <v>0.28966437973668741</v>
      </c>
      <c r="C134"/>
      <c r="D134"/>
      <c r="E134"/>
      <c r="H134" s="27" t="s">
        <v>7</v>
      </c>
      <c r="I134" s="27" t="s">
        <v>8</v>
      </c>
      <c r="J134" s="27" t="s">
        <v>7</v>
      </c>
      <c r="K134" s="27" t="s">
        <v>8</v>
      </c>
      <c r="L134" s="27" t="s">
        <v>7</v>
      </c>
      <c r="M134" s="27" t="s">
        <v>8</v>
      </c>
      <c r="N134" s="27" t="s">
        <v>7</v>
      </c>
      <c r="O134" s="27" t="s">
        <v>8</v>
      </c>
      <c r="P134" s="27" t="s">
        <v>7</v>
      </c>
      <c r="Q134" s="27" t="s">
        <v>8</v>
      </c>
      <c r="R134" s="27" t="s">
        <v>7</v>
      </c>
      <c r="S134" s="27" t="s">
        <v>8</v>
      </c>
      <c r="T134" s="27" t="s">
        <v>7</v>
      </c>
      <c r="V134" s="27" t="s">
        <v>7</v>
      </c>
      <c r="W134" s="27" t="s">
        <v>8</v>
      </c>
      <c r="X134" s="27" t="s">
        <v>7</v>
      </c>
      <c r="Y134" s="27" t="s">
        <v>8</v>
      </c>
      <c r="Z134" s="27" t="s">
        <v>7</v>
      </c>
    </row>
    <row r="135" spans="1:37" x14ac:dyDescent="0.25">
      <c r="A135" s="30">
        <v>0.2633312543060794</v>
      </c>
      <c r="C135" s="1" t="s">
        <v>14</v>
      </c>
      <c r="E135"/>
      <c r="H135" s="27" t="s">
        <v>7</v>
      </c>
      <c r="I135" s="27" t="s">
        <v>8</v>
      </c>
      <c r="J135" s="27" t="s">
        <v>7</v>
      </c>
      <c r="L135" s="27" t="s">
        <v>7</v>
      </c>
      <c r="M135" s="27" t="s">
        <v>8</v>
      </c>
      <c r="N135" s="27" t="s">
        <v>7</v>
      </c>
      <c r="O135" s="27" t="s">
        <v>8</v>
      </c>
      <c r="P135" s="27" t="s">
        <v>7</v>
      </c>
      <c r="R135" s="27" t="s">
        <v>7</v>
      </c>
      <c r="S135" s="27" t="s">
        <v>8</v>
      </c>
      <c r="V135" s="27" t="s">
        <v>7</v>
      </c>
      <c r="W135" s="27" t="s">
        <v>8</v>
      </c>
      <c r="X135" s="27" t="s">
        <v>7</v>
      </c>
    </row>
    <row r="136" spans="1:37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H136" s="27" t="s">
        <v>7</v>
      </c>
      <c r="I136" s="27" t="s">
        <v>8</v>
      </c>
      <c r="L136" s="27" t="s">
        <v>7</v>
      </c>
      <c r="M136" s="27" t="s">
        <v>8</v>
      </c>
      <c r="N136" s="27" t="s">
        <v>7</v>
      </c>
      <c r="R136" s="27" t="s">
        <v>7</v>
      </c>
      <c r="S136" s="27" t="s">
        <v>8</v>
      </c>
      <c r="V136" s="27" t="s">
        <v>7</v>
      </c>
    </row>
    <row r="137" spans="1:37" x14ac:dyDescent="0.25">
      <c r="A137" s="30">
        <v>0.2176291357901482</v>
      </c>
      <c r="E137"/>
      <c r="H137" s="27" t="s">
        <v>7</v>
      </c>
      <c r="L137" s="27" t="s">
        <v>7</v>
      </c>
      <c r="R137" s="27" t="s">
        <v>7</v>
      </c>
      <c r="S137" s="27" t="s">
        <v>8</v>
      </c>
    </row>
    <row r="138" spans="1:37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R138" s="27" t="s">
        <v>7</v>
      </c>
      <c r="S138" s="27" t="s">
        <v>8</v>
      </c>
    </row>
    <row r="139" spans="1:37" x14ac:dyDescent="0.25">
      <c r="A139" s="30">
        <v>0.17985878990921333</v>
      </c>
      <c r="E139"/>
      <c r="R139" s="27" t="s">
        <v>7</v>
      </c>
      <c r="S139" s="27" t="s">
        <v>8</v>
      </c>
    </row>
    <row r="140" spans="1:37" x14ac:dyDescent="0.25">
      <c r="A140" s="30">
        <v>0.16350799082655756</v>
      </c>
      <c r="C140" s="1">
        <v>0</v>
      </c>
      <c r="E140"/>
      <c r="R140" s="27" t="s">
        <v>7</v>
      </c>
      <c r="S140" s="27" t="s">
        <v>8</v>
      </c>
    </row>
    <row r="141" spans="1:37" x14ac:dyDescent="0.25">
      <c r="A141" s="30">
        <v>0.14864362802414322</v>
      </c>
      <c r="C141" s="1">
        <v>1</v>
      </c>
      <c r="E141"/>
      <c r="R141" s="27" t="s">
        <v>7</v>
      </c>
      <c r="S141" s="27" t="s">
        <v>8</v>
      </c>
    </row>
    <row r="142" spans="1:37" x14ac:dyDescent="0.25">
      <c r="A142" s="30">
        <v>0.13513057093103928</v>
      </c>
      <c r="C142" s="1">
        <v>2</v>
      </c>
      <c r="E142"/>
      <c r="R142" s="27" t="s">
        <v>7</v>
      </c>
      <c r="S142" s="27" t="s">
        <v>8</v>
      </c>
    </row>
    <row r="143" spans="1:37" x14ac:dyDescent="0.25">
      <c r="A143" s="30">
        <v>0.12284597357367205</v>
      </c>
      <c r="C143" s="1">
        <v>3</v>
      </c>
      <c r="E143"/>
      <c r="R143" s="27" t="s">
        <v>7</v>
      </c>
      <c r="S143" s="27" t="s">
        <v>8</v>
      </c>
    </row>
    <row r="144" spans="1:37" x14ac:dyDescent="0.25">
      <c r="A144" s="30">
        <v>0.11167815779424731</v>
      </c>
      <c r="C144" s="1">
        <v>4</v>
      </c>
      <c r="E144"/>
      <c r="R144" s="27" t="s">
        <v>7</v>
      </c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293" operator="equal">
      <formula>$U$1</formula>
    </cfRule>
    <cfRule type="cellIs" dxfId="30" priority="1294" operator="equal">
      <formula>$S$1</formula>
    </cfRule>
  </conditionalFormatting>
  <conditionalFormatting sqref="D136">
    <cfRule type="cellIs" dxfId="29" priority="1291" operator="equal">
      <formula>$S$1</formula>
    </cfRule>
    <cfRule type="cellIs" dxfId="28" priority="1292" operator="equal">
      <formula>$U$1</formula>
    </cfRule>
  </conditionalFormatting>
  <conditionalFormatting sqref="C102">
    <cfRule type="cellIs" dxfId="27" priority="1289" operator="equal">
      <formula>$U$1</formula>
    </cfRule>
    <cfRule type="cellIs" dxfId="26" priority="1290" operator="equal">
      <formula>$S$1</formula>
    </cfRule>
  </conditionalFormatting>
  <conditionalFormatting sqref="D102">
    <cfRule type="cellIs" dxfId="25" priority="1287" operator="equal">
      <formula>$S$1</formula>
    </cfRule>
    <cfRule type="cellIs" dxfId="24" priority="1288" operator="equal">
      <formula>$U$1</formula>
    </cfRule>
  </conditionalFormatting>
  <conditionalFormatting sqref="C77">
    <cfRule type="cellIs" dxfId="23" priority="1285" operator="equal">
      <formula>$U$1</formula>
    </cfRule>
    <cfRule type="cellIs" dxfId="22" priority="1286" operator="equal">
      <formula>$S$1</formula>
    </cfRule>
  </conditionalFormatting>
  <conditionalFormatting sqref="D77">
    <cfRule type="cellIs" dxfId="21" priority="1283" operator="equal">
      <formula>$S$1</formula>
    </cfRule>
    <cfRule type="cellIs" dxfId="20" priority="1284" operator="equal">
      <formula>$U$1</formula>
    </cfRule>
  </conditionalFormatting>
  <conditionalFormatting sqref="C52">
    <cfRule type="cellIs" dxfId="19" priority="1281" operator="equal">
      <formula>$U$1</formula>
    </cfRule>
    <cfRule type="cellIs" dxfId="18" priority="1282" operator="equal">
      <formula>$S$1</formula>
    </cfRule>
  </conditionalFormatting>
  <conditionalFormatting sqref="D52">
    <cfRule type="cellIs" dxfId="17" priority="1279" operator="equal">
      <formula>$S$1</formula>
    </cfRule>
    <cfRule type="cellIs" dxfId="16" priority="1280" operator="equal">
      <formula>$U$1</formula>
    </cfRule>
  </conditionalFormatting>
  <conditionalFormatting sqref="C26">
    <cfRule type="cellIs" dxfId="15" priority="1277" operator="equal">
      <formula>$U$1</formula>
    </cfRule>
    <cfRule type="cellIs" dxfId="14" priority="1278" operator="equal">
      <formula>$S$1</formula>
    </cfRule>
  </conditionalFormatting>
  <conditionalFormatting sqref="D26">
    <cfRule type="cellIs" dxfId="13" priority="1275" operator="equal">
      <formula>$S$1</formula>
    </cfRule>
    <cfRule type="cellIs" dxfId="12" priority="1276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1.2762815625000004</v>
      </c>
      <c r="F3" s="30">
        <v>1.3400956406250004</v>
      </c>
      <c r="G3" s="30">
        <v>2.4066192336910861</v>
      </c>
      <c r="H3" s="25">
        <f>IF(G3="","",(3*(G3-F3))+E3)</f>
        <v>4.475852341698257</v>
      </c>
      <c r="I3" s="7"/>
      <c r="J3" s="7">
        <f>(E3+G3)/2</f>
        <v>1.8414503980955432</v>
      </c>
      <c r="K3" s="7">
        <f>H3/2</f>
        <v>2.2379261708491285</v>
      </c>
      <c r="M3" s="26">
        <f>IF(OR(J3="",H3=""),"",H3/J3)</f>
        <v>2.4306124923740837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2022-01-28T01:19:12Z</dcterms:modified>
</cp:coreProperties>
</file>