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F483484-7EAD-46FC-9D6E-E54CD4F9E3A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C136" i="4" s="1"/>
  <c r="C116" i="5"/>
  <c r="C118" i="4"/>
  <c r="R765" i="1"/>
  <c r="S765" i="1" s="1"/>
  <c r="T765" i="1" s="1"/>
  <c r="D136" i="5"/>
  <c r="C136" i="5"/>
  <c r="C122" i="3"/>
  <c r="C133" i="3" s="1"/>
  <c r="D136" i="3" s="1"/>
  <c r="C118" i="3"/>
  <c r="C138" i="5" l="1"/>
  <c r="D136" i="4"/>
  <c r="C138" i="4" s="1"/>
  <c r="R764" i="1"/>
  <c r="R763" i="1" s="1"/>
  <c r="C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<sst xmlns="http://schemas.openxmlformats.org/spreadsheetml/2006/main" count="3913" uniqueCount="34">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</sst>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8.9300000000000004E-2</c:v>
                </c:pt>
                <c:pt idx="1">
                  <c:v>8.9800000000000005E-2</c:v>
                </c:pt>
                <c:pt idx="2">
                  <c:v>8.7099999999999997E-2</c:v>
                </c:pt>
                <c:pt idx="3">
                  <c:v>8.5699999999999998E-2</c:v>
                </c:pt>
                <c:pt idx="4">
                  <c:v>8.8700000000000001E-2</c:v>
                </c:pt>
                <c:pt idx="5">
                  <c:v>8.4199999999999997E-2</c:v>
                </c:pt>
                <c:pt idx="6">
                  <c:v>9.6199999999999994E-2</c:v>
                </c:pt>
                <c:pt idx="7">
                  <c:v>0.1135</c:v>
                </c:pt>
                <c:pt idx="8">
                  <c:v>0.1169</c:v>
                </c:pt>
                <c:pt idx="9">
                  <c:v>0.1176</c:v>
                </c:pt>
                <c:pt idx="10">
                  <c:v>0.12</c:v>
                </c:pt>
                <c:pt idx="11">
                  <c:v>0.1249</c:v>
                </c:pt>
                <c:pt idx="12">
                  <c:v>0.12690000000000001</c:v>
                </c:pt>
                <c:pt idx="13">
                  <c:v>0.12620000000000001</c:v>
                </c:pt>
                <c:pt idx="14">
                  <c:v>0.1226</c:v>
                </c:pt>
                <c:pt idx="15">
                  <c:v>0.12859999999999999</c:v>
                </c:pt>
                <c:pt idx="16">
                  <c:v>0.123</c:v>
                </c:pt>
                <c:pt idx="17">
                  <c:v>0.11849999999999999</c:v>
                </c:pt>
                <c:pt idx="18">
                  <c:v>0.1245</c:v>
                </c:pt>
                <c:pt idx="19">
                  <c:v>0.1263</c:v>
                </c:pt>
                <c:pt idx="20">
                  <c:v>0.13039999999999999</c:v>
                </c:pt>
                <c:pt idx="21">
                  <c:v>0.1371</c:v>
                </c:pt>
                <c:pt idx="22">
                  <c:v>0.13830000000000001</c:v>
                </c:pt>
                <c:pt idx="23">
                  <c:v>0.15</c:v>
                </c:pt>
                <c:pt idx="24">
                  <c:v>0.1479</c:v>
                </c:pt>
                <c:pt idx="25">
                  <c:v>0.15279999999999999</c:v>
                </c:pt>
                <c:pt idx="26">
                  <c:v>0.15029999999999999</c:v>
                </c:pt>
                <c:pt idx="27">
                  <c:v>0.1474</c:v>
                </c:pt>
                <c:pt idx="28">
                  <c:v>0.15290000000000001</c:v>
                </c:pt>
                <c:pt idx="29">
                  <c:v>0.15340000000000001</c:v>
                </c:pt>
                <c:pt idx="30">
                  <c:v>0.15540000000000001</c:v>
                </c:pt>
                <c:pt idx="31">
                  <c:v>0.16539999999999999</c:v>
                </c:pt>
                <c:pt idx="32">
                  <c:v>0.16189999999999999</c:v>
                </c:pt>
                <c:pt idx="33">
                  <c:v>0.16250000000000001</c:v>
                </c:pt>
                <c:pt idx="34">
                  <c:v>0.15840000000000001</c:v>
                </c:pt>
                <c:pt idx="35">
                  <c:v>0.16470000000000001</c:v>
                </c:pt>
                <c:pt idx="36">
                  <c:v>0.155</c:v>
                </c:pt>
                <c:pt idx="37">
                  <c:v>0.15079999999999999</c:v>
                </c:pt>
                <c:pt idx="38">
                  <c:v>0.14660000000000001</c:v>
                </c:pt>
                <c:pt idx="39">
                  <c:v>0.15310000000000001</c:v>
                </c:pt>
                <c:pt idx="40">
                  <c:v>0.15790000000000001</c:v>
                </c:pt>
                <c:pt idx="41">
                  <c:v>0.15770000000000001</c:v>
                </c:pt>
                <c:pt idx="42">
                  <c:v>0.14849999999999999</c:v>
                </c:pt>
                <c:pt idx="43">
                  <c:v>0.14369999999999999</c:v>
                </c:pt>
                <c:pt idx="44">
                  <c:v>0.14130000000000001</c:v>
                </c:pt>
                <c:pt idx="45">
                  <c:v>0.1391</c:v>
                </c:pt>
                <c:pt idx="46">
                  <c:v>0.1608</c:v>
                </c:pt>
                <c:pt idx="47">
                  <c:v>0.1578</c:v>
                </c:pt>
                <c:pt idx="48">
                  <c:v>0.156</c:v>
                </c:pt>
                <c:pt idx="49">
                  <c:v>0.16520000000000001</c:v>
                </c:pt>
                <c:pt idx="50">
                  <c:v>0.18190000000000001</c:v>
                </c:pt>
                <c:pt idx="51">
                  <c:v>0.17630000000000001</c:v>
                </c:pt>
                <c:pt idx="52">
                  <c:v>0.18049999999999999</c:v>
                </c:pt>
                <c:pt idx="53">
                  <c:v>0.18149999999999999</c:v>
                </c:pt>
                <c:pt idx="54">
                  <c:v>0.19719999999999999</c:v>
                </c:pt>
                <c:pt idx="55">
                  <c:v>0.24979999999999999</c:v>
                </c:pt>
                <c:pt idx="56">
                  <c:v>0.23300000000000001</c:v>
                </c:pt>
                <c:pt idx="57">
                  <c:v>0.2177</c:v>
                </c:pt>
                <c:pt idx="58">
                  <c:v>0.22309999999999999</c:v>
                </c:pt>
                <c:pt idx="59">
                  <c:v>0.23039999999999999</c:v>
                </c:pt>
                <c:pt idx="60">
                  <c:v>0.22689999999999999</c:v>
                </c:pt>
                <c:pt idx="61">
                  <c:v>0.23369999999999999</c:v>
                </c:pt>
                <c:pt idx="62">
                  <c:v>0.21160000000000001</c:v>
                </c:pt>
                <c:pt idx="63">
                  <c:v>0.23949999999999999</c:v>
                </c:pt>
                <c:pt idx="64">
                  <c:v>0.23250000000000001</c:v>
                </c:pt>
                <c:pt idx="65">
                  <c:v>0.2303</c:v>
                </c:pt>
                <c:pt idx="66">
                  <c:v>0.2243</c:v>
                </c:pt>
                <c:pt idx="67">
                  <c:v>0.23960000000000001</c:v>
                </c:pt>
                <c:pt idx="68">
                  <c:v>0.23139999999999999</c:v>
                </c:pt>
                <c:pt idx="69">
                  <c:v>0.2155</c:v>
                </c:pt>
                <c:pt idx="70">
                  <c:v>0.20860000000000001</c:v>
                </c:pt>
                <c:pt idx="71">
                  <c:v>0.2364</c:v>
                </c:pt>
                <c:pt idx="72">
                  <c:v>0.23749999999999999</c:v>
                </c:pt>
                <c:pt idx="73">
                  <c:v>0.23619999999999999</c:v>
                </c:pt>
                <c:pt idx="74">
                  <c:v>0.23400000000000001</c:v>
                </c:pt>
                <c:pt idx="75">
                  <c:v>0.2384</c:v>
                </c:pt>
                <c:pt idx="76">
                  <c:v>0.2286</c:v>
                </c:pt>
                <c:pt idx="77">
                  <c:v>0.2296</c:v>
                </c:pt>
                <c:pt idx="78">
                  <c:v>0.22409999999999999</c:v>
                </c:pt>
                <c:pt idx="79">
                  <c:v>0.2404</c:v>
                </c:pt>
                <c:pt idx="80">
                  <c:v>0.24210000000000001</c:v>
                </c:pt>
                <c:pt idx="81">
                  <c:v>0.24079999999999999</c:v>
                </c:pt>
                <c:pt idx="82">
                  <c:v>0.2414</c:v>
                </c:pt>
                <c:pt idx="83">
                  <c:v>0.23419999999999999</c:v>
                </c:pt>
                <c:pt idx="84">
                  <c:v>0.24310000000000001</c:v>
                </c:pt>
                <c:pt idx="85">
                  <c:v>0.2341</c:v>
                </c:pt>
                <c:pt idx="86">
                  <c:v>0.23749999999999999</c:v>
                </c:pt>
                <c:pt idx="87">
                  <c:v>0.23710000000000001</c:v>
                </c:pt>
                <c:pt idx="88">
                  <c:v>0.22739999999999999</c:v>
                </c:pt>
                <c:pt idx="89">
                  <c:v>0.22409999999999999</c:v>
                </c:pt>
                <c:pt idx="90">
                  <c:v>0.22559999999999999</c:v>
                </c:pt>
                <c:pt idx="91">
                  <c:v>0.22009999999999999</c:v>
                </c:pt>
                <c:pt idx="92">
                  <c:v>0.21229999999999999</c:v>
                </c:pt>
                <c:pt idx="93">
                  <c:v>0.24129999999999999</c:v>
                </c:pt>
                <c:pt idx="94">
                  <c:v>0.24399999999999999</c:v>
                </c:pt>
                <c:pt idx="95">
                  <c:v>0.24179999999999999</c:v>
                </c:pt>
                <c:pt idx="96">
                  <c:v>0.25509999999999999</c:v>
                </c:pt>
                <c:pt idx="97">
                  <c:v>0.23630000000000001</c:v>
                </c:pt>
                <c:pt idx="98">
                  <c:v>0.23849999999999999</c:v>
                </c:pt>
                <c:pt idx="99">
                  <c:v>0.24390000000000001</c:v>
                </c:pt>
                <c:pt idx="100">
                  <c:v>0.23180000000000001</c:v>
                </c:pt>
                <c:pt idx="101">
                  <c:v>0.24249999999999999</c:v>
                </c:pt>
                <c:pt idx="102">
                  <c:v>0.24590000000000001</c:v>
                </c:pt>
                <c:pt idx="103">
                  <c:v>0.2581</c:v>
                </c:pt>
                <c:pt idx="104">
                  <c:v>0.26</c:v>
                </c:pt>
                <c:pt idx="105">
                  <c:v>0.22689999999999999</c:v>
                </c:pt>
                <c:pt idx="106">
                  <c:v>0.2203</c:v>
                </c:pt>
                <c:pt idx="107">
                  <c:v>0.21940000000000001</c:v>
                </c:pt>
                <c:pt idx="108">
                  <c:v>0.2258</c:v>
                </c:pt>
                <c:pt idx="109">
                  <c:v>0.22789999999999999</c:v>
                </c:pt>
                <c:pt idx="110">
                  <c:v>0.24210000000000001</c:v>
                </c:pt>
                <c:pt idx="111">
                  <c:v>0.23880000000000001</c:v>
                </c:pt>
                <c:pt idx="112">
                  <c:v>0.24279999999999999</c:v>
                </c:pt>
                <c:pt idx="113">
                  <c:v>0.23519999999999999</c:v>
                </c:pt>
                <c:pt idx="114">
                  <c:v>0.2505</c:v>
                </c:pt>
                <c:pt idx="115">
                  <c:v>0.23269999999999999</c:v>
                </c:pt>
                <c:pt idx="116">
                  <c:v>0.24279999999999999</c:v>
                </c:pt>
                <c:pt idx="117">
                  <c:v>0.2437</c:v>
                </c:pt>
                <c:pt idx="118">
                  <c:v>0.2394</c:v>
                </c:pt>
                <c:pt idx="119">
                  <c:v>0.21859999999999999</c:v>
                </c:pt>
                <c:pt idx="120">
                  <c:v>0.2127</c:v>
                </c:pt>
                <c:pt idx="121">
                  <c:v>0.2056</c:v>
                </c:pt>
                <c:pt idx="122">
                  <c:v>0.22070000000000001</c:v>
                </c:pt>
                <c:pt idx="123">
                  <c:v>0.2225</c:v>
                </c:pt>
                <c:pt idx="124">
                  <c:v>0.21290000000000001</c:v>
                </c:pt>
                <c:pt idx="125">
                  <c:v>0.22239999999999999</c:v>
                </c:pt>
                <c:pt idx="126">
                  <c:v>0.2412</c:v>
                </c:pt>
                <c:pt idx="127">
                  <c:v>0.24079999999999999</c:v>
                </c:pt>
                <c:pt idx="128">
                  <c:v>0.21340000000000001</c:v>
                </c:pt>
                <c:pt idx="129">
                  <c:v>0.25879999999999997</c:v>
                </c:pt>
                <c:pt idx="130">
                  <c:v>0.29759999999999998</c:v>
                </c:pt>
                <c:pt idx="131">
                  <c:v>0.31280000000000002</c:v>
                </c:pt>
                <c:pt idx="132">
                  <c:v>0.22520000000000001</c:v>
                </c:pt>
                <c:pt idx="133">
                  <c:v>0.23519999999999999</c:v>
                </c:pt>
                <c:pt idx="134">
                  <c:v>0.24379999999999999</c:v>
                </c:pt>
                <c:pt idx="135">
                  <c:v>0.24010000000000001</c:v>
                </c:pt>
                <c:pt idx="136">
                  <c:v>0.22470000000000001</c:v>
                </c:pt>
                <c:pt idx="137">
                  <c:v>0.24909999999999999</c:v>
                </c:pt>
                <c:pt idx="138">
                  <c:v>0.22800000000000001</c:v>
                </c:pt>
                <c:pt idx="139">
                  <c:v>0.21709999999999999</c:v>
                </c:pt>
                <c:pt idx="140">
                  <c:v>0.2142</c:v>
                </c:pt>
                <c:pt idx="141">
                  <c:v>0.21190000000000001</c:v>
                </c:pt>
                <c:pt idx="142">
                  <c:v>0.21690000000000001</c:v>
                </c:pt>
                <c:pt idx="143">
                  <c:v>0.27900000000000003</c:v>
                </c:pt>
                <c:pt idx="144">
                  <c:v>0.2636</c:v>
                </c:pt>
                <c:pt idx="145">
                  <c:v>0.27139999999999997</c:v>
                </c:pt>
                <c:pt idx="146">
                  <c:v>0.2833</c:v>
                </c:pt>
                <c:pt idx="147">
                  <c:v>0.2626</c:v>
                </c:pt>
                <c:pt idx="148">
                  <c:v>0.22289999999999999</c:v>
                </c:pt>
                <c:pt idx="149">
                  <c:v>0.20519999999999999</c:v>
                </c:pt>
                <c:pt idx="150">
                  <c:v>0.2107</c:v>
                </c:pt>
                <c:pt idx="151">
                  <c:v>0.22509999999999999</c:v>
                </c:pt>
                <c:pt idx="152">
                  <c:v>0.22270000000000001</c:v>
                </c:pt>
                <c:pt idx="153">
                  <c:v>0.23319999999999999</c:v>
                </c:pt>
                <c:pt idx="154">
                  <c:v>0.22489999999999999</c:v>
                </c:pt>
                <c:pt idx="155">
                  <c:v>0.22750000000000001</c:v>
                </c:pt>
                <c:pt idx="156">
                  <c:v>0.19539999999999999</c:v>
                </c:pt>
                <c:pt idx="157">
                  <c:v>0.21659999999999999</c:v>
                </c:pt>
                <c:pt idx="158">
                  <c:v>0.20630000000000001</c:v>
                </c:pt>
                <c:pt idx="159">
                  <c:v>0.2074</c:v>
                </c:pt>
                <c:pt idx="160">
                  <c:v>0.21490000000000001</c:v>
                </c:pt>
                <c:pt idx="161">
                  <c:v>0.2099</c:v>
                </c:pt>
                <c:pt idx="162">
                  <c:v>0.19109999999999999</c:v>
                </c:pt>
                <c:pt idx="163">
                  <c:v>0.19070000000000001</c:v>
                </c:pt>
                <c:pt idx="164">
                  <c:v>0.20519999999999999</c:v>
                </c:pt>
                <c:pt idx="165">
                  <c:v>0.2127</c:v>
                </c:pt>
                <c:pt idx="166">
                  <c:v>0.21290000000000001</c:v>
                </c:pt>
                <c:pt idx="167">
                  <c:v>0.22040000000000001</c:v>
                </c:pt>
                <c:pt idx="168">
                  <c:v>0.20630000000000001</c:v>
                </c:pt>
                <c:pt idx="169">
                  <c:v>0.18379999999999999</c:v>
                </c:pt>
                <c:pt idx="170">
                  <c:v>0.1807</c:v>
                </c:pt>
                <c:pt idx="171">
                  <c:v>0.17699999999999999</c:v>
                </c:pt>
                <c:pt idx="172">
                  <c:v>0.16800000000000001</c:v>
                </c:pt>
                <c:pt idx="173">
                  <c:v>0.187</c:v>
                </c:pt>
                <c:pt idx="174">
                  <c:v>0.19400000000000001</c:v>
                </c:pt>
                <c:pt idx="175">
                  <c:v>0.18659999999999999</c:v>
                </c:pt>
                <c:pt idx="176">
                  <c:v>0.13650000000000001</c:v>
                </c:pt>
                <c:pt idx="177">
                  <c:v>0.1323</c:v>
                </c:pt>
                <c:pt idx="178">
                  <c:v>0.1343</c:v>
                </c:pt>
                <c:pt idx="179">
                  <c:v>0.1285</c:v>
                </c:pt>
                <c:pt idx="180">
                  <c:v>0.1348</c:v>
                </c:pt>
                <c:pt idx="181">
                  <c:v>0.13930000000000001</c:v>
                </c:pt>
                <c:pt idx="182">
                  <c:v>0.12720000000000001</c:v>
                </c:pt>
                <c:pt idx="183">
                  <c:v>0.12759999999999999</c:v>
                </c:pt>
                <c:pt idx="184">
                  <c:v>0.1242</c:v>
                </c:pt>
                <c:pt idx="185">
                  <c:v>0.126</c:v>
                </c:pt>
                <c:pt idx="186">
                  <c:v>0.1293</c:v>
                </c:pt>
                <c:pt idx="187">
                  <c:v>0.11849999999999999</c:v>
                </c:pt>
                <c:pt idx="188">
                  <c:v>0.1187</c:v>
                </c:pt>
                <c:pt idx="189">
                  <c:v>0.1173</c:v>
                </c:pt>
                <c:pt idx="190">
                  <c:v>0.1061</c:v>
                </c:pt>
                <c:pt idx="191">
                  <c:v>9.9299999999999999E-2</c:v>
                </c:pt>
                <c:pt idx="192">
                  <c:v>0.1135</c:v>
                </c:pt>
                <c:pt idx="193">
                  <c:v>0.1115</c:v>
                </c:pt>
                <c:pt idx="194">
                  <c:v>0.1037</c:v>
                </c:pt>
                <c:pt idx="195">
                  <c:v>0.11070000000000001</c:v>
                </c:pt>
                <c:pt idx="196">
                  <c:v>0.1293</c:v>
                </c:pt>
                <c:pt idx="197">
                  <c:v>0.125</c:v>
                </c:pt>
                <c:pt idx="198">
                  <c:v>0.10349999999999999</c:v>
                </c:pt>
                <c:pt idx="199">
                  <c:v>0.1042</c:v>
                </c:pt>
                <c:pt idx="200">
                  <c:v>0.1062</c:v>
                </c:pt>
                <c:pt idx="201">
                  <c:v>0.1033</c:v>
                </c:pt>
                <c:pt idx="202">
                  <c:v>0.1074</c:v>
                </c:pt>
                <c:pt idx="203">
                  <c:v>0.1041</c:v>
                </c:pt>
                <c:pt idx="204">
                  <c:v>0.11409999999999999</c:v>
                </c:pt>
                <c:pt idx="205">
                  <c:v>0.1118</c:v>
                </c:pt>
                <c:pt idx="206">
                  <c:v>0.10390000000000001</c:v>
                </c:pt>
                <c:pt idx="207">
                  <c:v>0.1055</c:v>
                </c:pt>
                <c:pt idx="208">
                  <c:v>0.10290000000000001</c:v>
                </c:pt>
                <c:pt idx="209">
                  <c:v>0.1011</c:v>
                </c:pt>
                <c:pt idx="210">
                  <c:v>0.1031</c:v>
                </c:pt>
                <c:pt idx="211">
                  <c:v>0.106</c:v>
                </c:pt>
                <c:pt idx="212">
                  <c:v>0.1103</c:v>
                </c:pt>
                <c:pt idx="213">
                  <c:v>0.1101</c:v>
                </c:pt>
                <c:pt idx="214">
                  <c:v>0.108</c:v>
                </c:pt>
                <c:pt idx="215">
                  <c:v>9.5899999999999999E-2</c:v>
                </c:pt>
                <c:pt idx="216">
                  <c:v>0.10100000000000001</c:v>
                </c:pt>
                <c:pt idx="217">
                  <c:v>0.1134</c:v>
                </c:pt>
                <c:pt idx="218">
                  <c:v>0.1062</c:v>
                </c:pt>
                <c:pt idx="219">
                  <c:v>9.5899999999999999E-2</c:v>
                </c:pt>
                <c:pt idx="220">
                  <c:v>0.1108</c:v>
                </c:pt>
                <c:pt idx="221">
                  <c:v>0.13469999999999999</c:v>
                </c:pt>
                <c:pt idx="222">
                  <c:v>0.1396</c:v>
                </c:pt>
                <c:pt idx="223">
                  <c:v>0.14149999999999999</c:v>
                </c:pt>
                <c:pt idx="224">
                  <c:v>0.1527</c:v>
                </c:pt>
                <c:pt idx="225">
                  <c:v>0.14419999999999999</c:v>
                </c:pt>
                <c:pt idx="226">
                  <c:v>0.1552</c:v>
                </c:pt>
                <c:pt idx="227">
                  <c:v>0.1532</c:v>
                </c:pt>
                <c:pt idx="228">
                  <c:v>0.15409999999999999</c:v>
                </c:pt>
                <c:pt idx="229">
                  <c:v>0.14099999999999999</c:v>
                </c:pt>
                <c:pt idx="230">
                  <c:v>0.15440000000000001</c:v>
                </c:pt>
                <c:pt idx="231">
                  <c:v>0.15629999999999999</c:v>
                </c:pt>
                <c:pt idx="232">
                  <c:v>0.16739999999999999</c:v>
                </c:pt>
                <c:pt idx="233">
                  <c:v>0.15640000000000001</c:v>
                </c:pt>
                <c:pt idx="234">
                  <c:v>0.15679999999999999</c:v>
                </c:pt>
                <c:pt idx="235">
                  <c:v>0.1719</c:v>
                </c:pt>
                <c:pt idx="236">
                  <c:v>0.1648</c:v>
                </c:pt>
                <c:pt idx="237">
                  <c:v>0.17150000000000001</c:v>
                </c:pt>
                <c:pt idx="238">
                  <c:v>0.19489999999999999</c:v>
                </c:pt>
                <c:pt idx="239">
                  <c:v>0.18340000000000001</c:v>
                </c:pt>
                <c:pt idx="240">
                  <c:v>0.17519999999999999</c:v>
                </c:pt>
                <c:pt idx="241">
                  <c:v>0.183</c:v>
                </c:pt>
                <c:pt idx="242">
                  <c:v>0.1744</c:v>
                </c:pt>
                <c:pt idx="243">
                  <c:v>0.16689999999999999</c:v>
                </c:pt>
                <c:pt idx="244">
                  <c:v>0.16569999999999999</c:v>
                </c:pt>
                <c:pt idx="245">
                  <c:v>0.18809999999999999</c:v>
                </c:pt>
                <c:pt idx="246">
                  <c:v>0.19600000000000001</c:v>
                </c:pt>
                <c:pt idx="247">
                  <c:v>0.18429999999999999</c:v>
                </c:pt>
                <c:pt idx="248">
                  <c:v>0.185</c:v>
                </c:pt>
                <c:pt idx="249">
                  <c:v>0.1615</c:v>
                </c:pt>
                <c:pt idx="250">
                  <c:v>0.19650000000000001</c:v>
                </c:pt>
                <c:pt idx="251">
                  <c:v>0.16370000000000001</c:v>
                </c:pt>
                <c:pt idx="252">
                  <c:v>0.20030000000000001</c:v>
                </c:pt>
                <c:pt idx="253">
                  <c:v>0.1754</c:v>
                </c:pt>
                <c:pt idx="254">
                  <c:v>0.27129999999999999</c:v>
                </c:pt>
                <c:pt idx="255">
                  <c:v>0.26529999999999998</c:v>
                </c:pt>
                <c:pt idx="256">
                  <c:v>0.29370000000000002</c:v>
                </c:pt>
                <c:pt idx="257">
                  <c:v>0.30099999999999999</c:v>
                </c:pt>
                <c:pt idx="258">
                  <c:v>0.38300000000000001</c:v>
                </c:pt>
                <c:pt idx="259">
                  <c:v>0.26329999999999998</c:v>
                </c:pt>
                <c:pt idx="260">
                  <c:v>0.26069999999999999</c:v>
                </c:pt>
                <c:pt idx="261">
                  <c:v>0.31180000000000002</c:v>
                </c:pt>
                <c:pt idx="262">
                  <c:v>0.29599999999999999</c:v>
                </c:pt>
                <c:pt idx="263">
                  <c:v>0.3372</c:v>
                </c:pt>
                <c:pt idx="264">
                  <c:v>0.34970000000000001</c:v>
                </c:pt>
                <c:pt idx="265">
                  <c:v>0.3604</c:v>
                </c:pt>
                <c:pt idx="266">
                  <c:v>0.34820000000000001</c:v>
                </c:pt>
                <c:pt idx="267">
                  <c:v>0.36699999999999999</c:v>
                </c:pt>
                <c:pt idx="268">
                  <c:v>0.34429999999999999</c:v>
                </c:pt>
                <c:pt idx="269">
                  <c:v>0.39389999999999997</c:v>
                </c:pt>
                <c:pt idx="270">
                  <c:v>0.41299999999999998</c:v>
                </c:pt>
                <c:pt idx="271">
                  <c:v>0.38500000000000001</c:v>
                </c:pt>
                <c:pt idx="272">
                  <c:v>0.3901</c:v>
                </c:pt>
                <c:pt idx="273">
                  <c:v>0.38919999999999999</c:v>
                </c:pt>
                <c:pt idx="274">
                  <c:v>0.32190000000000002</c:v>
                </c:pt>
                <c:pt idx="275">
                  <c:v>0.33589999999999998</c:v>
                </c:pt>
                <c:pt idx="276">
                  <c:v>0.31640000000000001</c:v>
                </c:pt>
                <c:pt idx="277">
                  <c:v>0.2447</c:v>
                </c:pt>
                <c:pt idx="278">
                  <c:v>0.24160000000000001</c:v>
                </c:pt>
                <c:pt idx="279">
                  <c:v>0.2697</c:v>
                </c:pt>
                <c:pt idx="280">
                  <c:v>0.30320000000000003</c:v>
                </c:pt>
                <c:pt idx="281">
                  <c:v>0.314</c:v>
                </c:pt>
                <c:pt idx="282">
                  <c:v>0.3251</c:v>
                </c:pt>
                <c:pt idx="283">
                  <c:v>0.3362</c:v>
                </c:pt>
                <c:pt idx="284">
                  <c:v>0.36830000000000002</c:v>
                </c:pt>
                <c:pt idx="285">
                  <c:v>0.41909999999999997</c:v>
                </c:pt>
                <c:pt idx="286">
                  <c:v>0.42749999999999999</c:v>
                </c:pt>
                <c:pt idx="287">
                  <c:v>0.43840000000000001</c:v>
                </c:pt>
                <c:pt idx="288">
                  <c:v>0.4259</c:v>
                </c:pt>
                <c:pt idx="289">
                  <c:v>0.43690000000000001</c:v>
                </c:pt>
                <c:pt idx="290">
                  <c:v>0.44829999999999998</c:v>
                </c:pt>
                <c:pt idx="291">
                  <c:v>0.49409999999999998</c:v>
                </c:pt>
                <c:pt idx="292">
                  <c:v>0.47699999999999998</c:v>
                </c:pt>
                <c:pt idx="293">
                  <c:v>0.48349999999999999</c:v>
                </c:pt>
                <c:pt idx="294">
                  <c:v>0.44700000000000001</c:v>
                </c:pt>
                <c:pt idx="295">
                  <c:v>0.40960000000000002</c:v>
                </c:pt>
                <c:pt idx="296">
                  <c:v>0.45400000000000001</c:v>
                </c:pt>
                <c:pt idx="297">
                  <c:v>0.44769999999999999</c:v>
                </c:pt>
                <c:pt idx="298">
                  <c:v>0.47570000000000001</c:v>
                </c:pt>
                <c:pt idx="299">
                  <c:v>0.4466</c:v>
                </c:pt>
                <c:pt idx="300">
                  <c:v>0.4914</c:v>
                </c:pt>
                <c:pt idx="301">
                  <c:v>0.54310000000000003</c:v>
                </c:pt>
                <c:pt idx="302">
                  <c:v>0.50249999999999995</c:v>
                </c:pt>
                <c:pt idx="303">
                  <c:v>0.51590000000000003</c:v>
                </c:pt>
                <c:pt idx="304">
                  <c:v>0.52110000000000001</c:v>
                </c:pt>
                <c:pt idx="305">
                  <c:v>0.45590000000000003</c:v>
                </c:pt>
                <c:pt idx="306">
                  <c:v>0.43819999999999998</c:v>
                </c:pt>
                <c:pt idx="307">
                  <c:v>0.44490000000000002</c:v>
                </c:pt>
                <c:pt idx="308">
                  <c:v>0.39450000000000002</c:v>
                </c:pt>
                <c:pt idx="309">
                  <c:v>0.41349999999999998</c:v>
                </c:pt>
                <c:pt idx="310">
                  <c:v>0.44619999999999999</c:v>
                </c:pt>
                <c:pt idx="311">
                  <c:v>0.45639999999999997</c:v>
                </c:pt>
                <c:pt idx="312">
                  <c:v>0.52500000000000002</c:v>
                </c:pt>
                <c:pt idx="313">
                  <c:v>0.53810000000000002</c:v>
                </c:pt>
                <c:pt idx="314">
                  <c:v>0.5544</c:v>
                </c:pt>
                <c:pt idx="315">
                  <c:v>0.51300000000000001</c:v>
                </c:pt>
                <c:pt idx="316">
                  <c:v>0.54769999999999996</c:v>
                </c:pt>
                <c:pt idx="317">
                  <c:v>0.58299999999999996</c:v>
                </c:pt>
                <c:pt idx="318">
                  <c:v>0.72170000000000001</c:v>
                </c:pt>
                <c:pt idx="319">
                  <c:v>0.73599999999999999</c:v>
                </c:pt>
                <c:pt idx="320">
                  <c:v>0.42859999999999998</c:v>
                </c:pt>
                <c:pt idx="321">
                  <c:v>0.37890000000000001</c:v>
                </c:pt>
                <c:pt idx="322">
                  <c:v>0.38</c:v>
                </c:pt>
                <c:pt idx="323">
                  <c:v>0.34660000000000002</c:v>
                </c:pt>
                <c:pt idx="324">
                  <c:v>0.40150000000000002</c:v>
                </c:pt>
                <c:pt idx="325">
                  <c:v>0.4335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52-4D9E-8F85-7E27361A8DA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-20.752177720236503</c:v>
                </c:pt>
                <c:pt idx="1">
                  <c:v>-20.750404600236504</c:v>
                </c:pt>
                <c:pt idx="2">
                  <c:v>-20.732976517509233</c:v>
                </c:pt>
                <c:pt idx="3">
                  <c:v>-20.743384540842566</c:v>
                </c:pt>
                <c:pt idx="4">
                  <c:v>-20.785182292247523</c:v>
                </c:pt>
                <c:pt idx="5">
                  <c:v>-20.820200195768649</c:v>
                </c:pt>
                <c:pt idx="6">
                  <c:v>-20.749360853782356</c:v>
                </c:pt>
                <c:pt idx="7">
                  <c:v>-20.642890797210928</c:v>
                </c:pt>
                <c:pt idx="8">
                  <c:v>-20.594602107210928</c:v>
                </c:pt>
                <c:pt idx="9">
                  <c:v>-20.575365534187672</c:v>
                </c:pt>
                <c:pt idx="10">
                  <c:v>-20.578917720551306</c:v>
                </c:pt>
                <c:pt idx="11">
                  <c:v>-20.553676387217976</c:v>
                </c:pt>
                <c:pt idx="12">
                  <c:v>-20.525964328817981</c:v>
                </c:pt>
                <c:pt idx="13">
                  <c:v>-20.513148717230678</c:v>
                </c:pt>
                <c:pt idx="14">
                  <c:v>-20.531899503437572</c:v>
                </c:pt>
                <c:pt idx="15">
                  <c:v>-20.475889218483445</c:v>
                </c:pt>
                <c:pt idx="16">
                  <c:v>-20.497768080021906</c:v>
                </c:pt>
                <c:pt idx="17">
                  <c:v>-20.527370979275638</c:v>
                </c:pt>
                <c:pt idx="18">
                  <c:v>-20.519680546292303</c:v>
                </c:pt>
                <c:pt idx="19">
                  <c:v>-20.506884678792304</c:v>
                </c:pt>
                <c:pt idx="20">
                  <c:v>-20.481228468792303</c:v>
                </c:pt>
                <c:pt idx="21">
                  <c:v>-20.45926594635305</c:v>
                </c:pt>
                <c:pt idx="22">
                  <c:v>-20.464529577174964</c:v>
                </c:pt>
                <c:pt idx="23">
                  <c:v>-20.385696760168166</c:v>
                </c:pt>
                <c:pt idx="24">
                  <c:v>-20.394302785685404</c:v>
                </c:pt>
                <c:pt idx="25">
                  <c:v>-20.35873458390763</c:v>
                </c:pt>
                <c:pt idx="26">
                  <c:v>-20.370463763148134</c:v>
                </c:pt>
                <c:pt idx="27">
                  <c:v>-20.369637770525184</c:v>
                </c:pt>
                <c:pt idx="28">
                  <c:v>-20.291401164525183</c:v>
                </c:pt>
                <c:pt idx="29">
                  <c:v>-20.309450247602108</c:v>
                </c:pt>
                <c:pt idx="30">
                  <c:v>-20.15216486110441</c:v>
                </c:pt>
                <c:pt idx="31">
                  <c:v>-20.018986389143627</c:v>
                </c:pt>
                <c:pt idx="32">
                  <c:v>-19.906720932539859</c:v>
                </c:pt>
                <c:pt idx="33">
                  <c:v>-19.939440870711898</c:v>
                </c:pt>
                <c:pt idx="34">
                  <c:v>-19.977983606644102</c:v>
                </c:pt>
                <c:pt idx="35">
                  <c:v>-19.855995540673952</c:v>
                </c:pt>
                <c:pt idx="36">
                  <c:v>-19.28460284292095</c:v>
                </c:pt>
                <c:pt idx="37">
                  <c:v>-19.294410388920952</c:v>
                </c:pt>
                <c:pt idx="38">
                  <c:v>-19.317097636173699</c:v>
                </c:pt>
                <c:pt idx="39">
                  <c:v>-19.310582648776439</c:v>
                </c:pt>
                <c:pt idx="40">
                  <c:v>-19.258291815605705</c:v>
                </c:pt>
                <c:pt idx="41">
                  <c:v>-19.229405505862115</c:v>
                </c:pt>
                <c:pt idx="42">
                  <c:v>-19.093636825666678</c:v>
                </c:pt>
                <c:pt idx="43">
                  <c:v>-19.029930361416678</c:v>
                </c:pt>
                <c:pt idx="44">
                  <c:v>-19.02091770612256</c:v>
                </c:pt>
                <c:pt idx="45">
                  <c:v>-18.916050352804589</c:v>
                </c:pt>
                <c:pt idx="46">
                  <c:v>-18.791413458772588</c:v>
                </c:pt>
                <c:pt idx="47">
                  <c:v>-18.759602545284217</c:v>
                </c:pt>
                <c:pt idx="48">
                  <c:v>-18.76497173921279</c:v>
                </c:pt>
                <c:pt idx="49">
                  <c:v>-18.664040415212789</c:v>
                </c:pt>
                <c:pt idx="50">
                  <c:v>-18.492072215790404</c:v>
                </c:pt>
                <c:pt idx="51">
                  <c:v>-18.514713395145247</c:v>
                </c:pt>
                <c:pt idx="52">
                  <c:v>-18.396184304034133</c:v>
                </c:pt>
                <c:pt idx="53">
                  <c:v>-18.558546693904841</c:v>
                </c:pt>
                <c:pt idx="54">
                  <c:v>-18.399667852281226</c:v>
                </c:pt>
                <c:pt idx="55">
                  <c:v>-17.454964580198158</c:v>
                </c:pt>
                <c:pt idx="56">
                  <c:v>-16.715943744414375</c:v>
                </c:pt>
                <c:pt idx="57">
                  <c:v>-16.771218985110025</c:v>
                </c:pt>
                <c:pt idx="58">
                  <c:v>-16.671472179967171</c:v>
                </c:pt>
                <c:pt idx="59">
                  <c:v>-16.569466259532387</c:v>
                </c:pt>
                <c:pt idx="60">
                  <c:v>-16.546839008421276</c:v>
                </c:pt>
                <c:pt idx="61">
                  <c:v>-16.395220696270332</c:v>
                </c:pt>
                <c:pt idx="62">
                  <c:v>-16.457479516295148</c:v>
                </c:pt>
                <c:pt idx="63">
                  <c:v>-16.283329835288857</c:v>
                </c:pt>
                <c:pt idx="64">
                  <c:v>-16.380905641142515</c:v>
                </c:pt>
                <c:pt idx="65">
                  <c:v>-16.398308273726787</c:v>
                </c:pt>
                <c:pt idx="66">
                  <c:v>-16.419639860312152</c:v>
                </c:pt>
                <c:pt idx="67">
                  <c:v>-16.306487706978821</c:v>
                </c:pt>
                <c:pt idx="68">
                  <c:v>-16.2306441860223</c:v>
                </c:pt>
                <c:pt idx="69">
                  <c:v>-16.342305836170084</c:v>
                </c:pt>
                <c:pt idx="70">
                  <c:v>-16.403075095581848</c:v>
                </c:pt>
                <c:pt idx="71">
                  <c:v>-16.243717551632265</c:v>
                </c:pt>
                <c:pt idx="72">
                  <c:v>-15.968537671287439</c:v>
                </c:pt>
                <c:pt idx="73">
                  <c:v>-15.946488353251185</c:v>
                </c:pt>
                <c:pt idx="74">
                  <c:v>-15.836413913251185</c:v>
                </c:pt>
                <c:pt idx="75">
                  <c:v>-15.813865112342095</c:v>
                </c:pt>
                <c:pt idx="76">
                  <c:v>-15.933077117071823</c:v>
                </c:pt>
                <c:pt idx="77">
                  <c:v>-16.011768606961933</c:v>
                </c:pt>
                <c:pt idx="78">
                  <c:v>-16.020493946406379</c:v>
                </c:pt>
                <c:pt idx="79">
                  <c:v>-15.89394988304638</c:v>
                </c:pt>
                <c:pt idx="80">
                  <c:v>-15.805930645866892</c:v>
                </c:pt>
                <c:pt idx="81">
                  <c:v>-15.808170826066894</c:v>
                </c:pt>
                <c:pt idx="82">
                  <c:v>-15.782415362866894</c:v>
                </c:pt>
                <c:pt idx="83">
                  <c:v>-15.856555239182683</c:v>
                </c:pt>
                <c:pt idx="84">
                  <c:v>-15.784794616615114</c:v>
                </c:pt>
                <c:pt idx="85">
                  <c:v>-15.731786404804092</c:v>
                </c:pt>
                <c:pt idx="86">
                  <c:v>-15.708249828832869</c:v>
                </c:pt>
                <c:pt idx="87">
                  <c:v>-15.714667230602782</c:v>
                </c:pt>
                <c:pt idx="88">
                  <c:v>-15.750009519230233</c:v>
                </c:pt>
                <c:pt idx="89">
                  <c:v>-15.800843510182613</c:v>
                </c:pt>
                <c:pt idx="90">
                  <c:v>-15.798273009445769</c:v>
                </c:pt>
                <c:pt idx="91">
                  <c:v>-15.806548434651248</c:v>
                </c:pt>
                <c:pt idx="92">
                  <c:v>-15.811113093910508</c:v>
                </c:pt>
                <c:pt idx="93">
                  <c:v>-15.683836356301178</c:v>
                </c:pt>
                <c:pt idx="94">
                  <c:v>-15.610436532967846</c:v>
                </c:pt>
                <c:pt idx="95">
                  <c:v>-15.597348072967847</c:v>
                </c:pt>
                <c:pt idx="96">
                  <c:v>-15.519808021260529</c:v>
                </c:pt>
                <c:pt idx="97">
                  <c:v>-15.616487773874509</c:v>
                </c:pt>
                <c:pt idx="98">
                  <c:v>-15.552193518160223</c:v>
                </c:pt>
                <c:pt idx="99">
                  <c:v>-15.467024678596905</c:v>
                </c:pt>
                <c:pt idx="100">
                  <c:v>-15.51681504959193</c:v>
                </c:pt>
                <c:pt idx="101">
                  <c:v>-15.453410562207315</c:v>
                </c:pt>
                <c:pt idx="102">
                  <c:v>-15.344578287207314</c:v>
                </c:pt>
                <c:pt idx="103">
                  <c:v>-15.273998766675913</c:v>
                </c:pt>
                <c:pt idx="104">
                  <c:v>-15.071911368400052</c:v>
                </c:pt>
                <c:pt idx="105">
                  <c:v>-15.140864262255473</c:v>
                </c:pt>
                <c:pt idx="106">
                  <c:v>-15.154253444628356</c:v>
                </c:pt>
                <c:pt idx="107">
                  <c:v>-15.086978377664071</c:v>
                </c:pt>
                <c:pt idx="108">
                  <c:v>-15.117241996733837</c:v>
                </c:pt>
                <c:pt idx="109">
                  <c:v>-15.089066548121123</c:v>
                </c:pt>
                <c:pt idx="110">
                  <c:v>-14.959016162921122</c:v>
                </c:pt>
                <c:pt idx="111">
                  <c:v>-14.924672376330211</c:v>
                </c:pt>
                <c:pt idx="112">
                  <c:v>-14.782252706141531</c:v>
                </c:pt>
                <c:pt idx="113">
                  <c:v>-14.770755270270564</c:v>
                </c:pt>
                <c:pt idx="114">
                  <c:v>-14.744120118960222</c:v>
                </c:pt>
                <c:pt idx="115">
                  <c:v>-14.854601062111971</c:v>
                </c:pt>
                <c:pt idx="116">
                  <c:v>-14.766561090903179</c:v>
                </c:pt>
                <c:pt idx="117">
                  <c:v>-14.72301842082318</c:v>
                </c:pt>
                <c:pt idx="118">
                  <c:v>-14.606411661904261</c:v>
                </c:pt>
                <c:pt idx="119">
                  <c:v>-14.702533845047119</c:v>
                </c:pt>
                <c:pt idx="120">
                  <c:v>-14.725261409491562</c:v>
                </c:pt>
                <c:pt idx="121">
                  <c:v>-14.707958881814795</c:v>
                </c:pt>
                <c:pt idx="122">
                  <c:v>-14.613420860762162</c:v>
                </c:pt>
                <c:pt idx="123">
                  <c:v>-14.384657237479143</c:v>
                </c:pt>
                <c:pt idx="124">
                  <c:v>-14.384069232925411</c:v>
                </c:pt>
                <c:pt idx="125">
                  <c:v>-14.305476349969435</c:v>
                </c:pt>
                <c:pt idx="126">
                  <c:v>-14.179997975897772</c:v>
                </c:pt>
                <c:pt idx="127">
                  <c:v>-14.199360279039132</c:v>
                </c:pt>
                <c:pt idx="128">
                  <c:v>-14.30500225374765</c:v>
                </c:pt>
                <c:pt idx="129">
                  <c:v>-13.988021210565833</c:v>
                </c:pt>
                <c:pt idx="130">
                  <c:v>-13.800507074625239</c:v>
                </c:pt>
                <c:pt idx="131">
                  <c:v>-10.945506836028747</c:v>
                </c:pt>
                <c:pt idx="132">
                  <c:v>-10.291598095183579</c:v>
                </c:pt>
                <c:pt idx="133">
                  <c:v>-10.257405732509783</c:v>
                </c:pt>
                <c:pt idx="134">
                  <c:v>-10.143525480509783</c:v>
                </c:pt>
                <c:pt idx="135">
                  <c:v>-10.151891125600692</c:v>
                </c:pt>
                <c:pt idx="136">
                  <c:v>-10.196218451152022</c:v>
                </c:pt>
                <c:pt idx="137">
                  <c:v>-10.124865773504963</c:v>
                </c:pt>
                <c:pt idx="138">
                  <c:v>-10.075841273853126</c:v>
                </c:pt>
                <c:pt idx="139">
                  <c:v>-10.131392337198074</c:v>
                </c:pt>
                <c:pt idx="140">
                  <c:v>-9.965726617800815</c:v>
                </c:pt>
                <c:pt idx="141">
                  <c:v>-9.8350628883103699</c:v>
                </c:pt>
                <c:pt idx="142">
                  <c:v>-9.9228260327548146</c:v>
                </c:pt>
                <c:pt idx="143">
                  <c:v>-9.7774788348449544</c:v>
                </c:pt>
                <c:pt idx="144">
                  <c:v>-9.9607482215632199</c:v>
                </c:pt>
                <c:pt idx="145">
                  <c:v>-9.8672811090632209</c:v>
                </c:pt>
                <c:pt idx="146">
                  <c:v>-9.5852690698199758</c:v>
                </c:pt>
                <c:pt idx="147">
                  <c:v>-9.2157770251727626</c:v>
                </c:pt>
                <c:pt idx="148">
                  <c:v>-9.7362784760653245</c:v>
                </c:pt>
                <c:pt idx="149">
                  <c:v>-9.8101766353343312</c:v>
                </c:pt>
                <c:pt idx="150">
                  <c:v>-9.7347800398456101</c:v>
                </c:pt>
                <c:pt idx="151">
                  <c:v>-9.6879156049027539</c:v>
                </c:pt>
                <c:pt idx="152">
                  <c:v>-9.728864716939789</c:v>
                </c:pt>
                <c:pt idx="153">
                  <c:v>-9.5612251651216091</c:v>
                </c:pt>
                <c:pt idx="154">
                  <c:v>-9.572049042414184</c:v>
                </c:pt>
                <c:pt idx="155">
                  <c:v>-8.7954177856599713</c:v>
                </c:pt>
                <c:pt idx="156">
                  <c:v>-8.9475965786374552</c:v>
                </c:pt>
                <c:pt idx="157">
                  <c:v>-8.8200469094154315</c:v>
                </c:pt>
                <c:pt idx="158">
                  <c:v>-8.7843644606110836</c:v>
                </c:pt>
                <c:pt idx="159">
                  <c:v>-8.7893703536944177</c:v>
                </c:pt>
                <c:pt idx="160">
                  <c:v>-8.6842514386635088</c:v>
                </c:pt>
                <c:pt idx="161">
                  <c:v>-8.6104561625184015</c:v>
                </c:pt>
                <c:pt idx="162">
                  <c:v>-8.7030631444899669</c:v>
                </c:pt>
                <c:pt idx="163">
                  <c:v>-8.658851201875331</c:v>
                </c:pt>
                <c:pt idx="164">
                  <c:v>-8.5009512268890131</c:v>
                </c:pt>
                <c:pt idx="165">
                  <c:v>-8.2382744591069308</c:v>
                </c:pt>
                <c:pt idx="166">
                  <c:v>-8.3220839602775616</c:v>
                </c:pt>
                <c:pt idx="167">
                  <c:v>-8.2568916612239303</c:v>
                </c:pt>
                <c:pt idx="168">
                  <c:v>-7.5259971632524811</c:v>
                </c:pt>
                <c:pt idx="169">
                  <c:v>-7.496001173069307</c:v>
                </c:pt>
                <c:pt idx="170">
                  <c:v>-7.4005408118564855</c:v>
                </c:pt>
                <c:pt idx="171">
                  <c:v>-7.5179953954671799</c:v>
                </c:pt>
                <c:pt idx="172">
                  <c:v>-7.4795089733139886</c:v>
                </c:pt>
                <c:pt idx="173">
                  <c:v>-7.2447516204470244</c:v>
                </c:pt>
                <c:pt idx="174">
                  <c:v>-7.1989517391862918</c:v>
                </c:pt>
                <c:pt idx="175">
                  <c:v>-6.3060840912503435</c:v>
                </c:pt>
                <c:pt idx="176">
                  <c:v>-5.9654547784032523</c:v>
                </c:pt>
                <c:pt idx="177">
                  <c:v>-6.013668832803253</c:v>
                </c:pt>
                <c:pt idx="178">
                  <c:v>-5.890509557271546</c:v>
                </c:pt>
                <c:pt idx="179">
                  <c:v>-5.9355213446512076</c:v>
                </c:pt>
                <c:pt idx="180">
                  <c:v>-5.83038943060967</c:v>
                </c:pt>
                <c:pt idx="181">
                  <c:v>-5.6730507301461772</c:v>
                </c:pt>
                <c:pt idx="182">
                  <c:v>-5.9325220851500999</c:v>
                </c:pt>
                <c:pt idx="183">
                  <c:v>-6.0201468495072419</c:v>
                </c:pt>
                <c:pt idx="184">
                  <c:v>-5.9535828073157528</c:v>
                </c:pt>
                <c:pt idx="185">
                  <c:v>-5.8969437567357526</c:v>
                </c:pt>
                <c:pt idx="186">
                  <c:v>-5.3256635931954923</c:v>
                </c:pt>
                <c:pt idx="187">
                  <c:v>-5.5635032035644985</c:v>
                </c:pt>
                <c:pt idx="188">
                  <c:v>-5.4403496127591886</c:v>
                </c:pt>
                <c:pt idx="189">
                  <c:v>-5.6882109241703001</c:v>
                </c:pt>
                <c:pt idx="190">
                  <c:v>-5.8040646285369668</c:v>
                </c:pt>
                <c:pt idx="191">
                  <c:v>-5.8906247812261556</c:v>
                </c:pt>
                <c:pt idx="192">
                  <c:v>-5.700256980498982</c:v>
                </c:pt>
                <c:pt idx="193">
                  <c:v>-5.2101070404526917</c:v>
                </c:pt>
                <c:pt idx="194">
                  <c:v>-5.0374327753238779</c:v>
                </c:pt>
                <c:pt idx="195">
                  <c:v>-4.9238831925420596</c:v>
                </c:pt>
                <c:pt idx="196">
                  <c:v>-4.2687599204690398</c:v>
                </c:pt>
                <c:pt idx="197">
                  <c:v>-3.9632856942044477</c:v>
                </c:pt>
                <c:pt idx="198">
                  <c:v>-4.2733180397985082</c:v>
                </c:pt>
                <c:pt idx="199">
                  <c:v>-4.2820820004161551</c:v>
                </c:pt>
                <c:pt idx="200">
                  <c:v>-4.2635617923090123</c:v>
                </c:pt>
                <c:pt idx="201">
                  <c:v>-4.3004179020828577</c:v>
                </c:pt>
                <c:pt idx="202">
                  <c:v>-4.2746045142911919</c:v>
                </c:pt>
                <c:pt idx="203">
                  <c:v>-4.3090887837447998</c:v>
                </c:pt>
                <c:pt idx="204">
                  <c:v>-4.269632430718926</c:v>
                </c:pt>
                <c:pt idx="205">
                  <c:v>-4.2113028900292706</c:v>
                </c:pt>
                <c:pt idx="206">
                  <c:v>-4.2240064096547876</c:v>
                </c:pt>
                <c:pt idx="207">
                  <c:v>-4.2135196717147885</c:v>
                </c:pt>
                <c:pt idx="208">
                  <c:v>-4.2151439752763267</c:v>
                </c:pt>
                <c:pt idx="209">
                  <c:v>-4.1827785501310881</c:v>
                </c:pt>
                <c:pt idx="210">
                  <c:v>-4.1560271317953736</c:v>
                </c:pt>
                <c:pt idx="211">
                  <c:v>-4.1335004632339709</c:v>
                </c:pt>
                <c:pt idx="212">
                  <c:v>-4.1306996534286125</c:v>
                </c:pt>
                <c:pt idx="213">
                  <c:v>-4.0714569727097443</c:v>
                </c:pt>
                <c:pt idx="214">
                  <c:v>-4.0714569727097443</c:v>
                </c:pt>
                <c:pt idx="215">
                  <c:v>-3.7613076724532677</c:v>
                </c:pt>
                <c:pt idx="216">
                  <c:v>-3.7485736656235802</c:v>
                </c:pt>
                <c:pt idx="217">
                  <c:v>-3.6854401081952384</c:v>
                </c:pt>
                <c:pt idx="218">
                  <c:v>-3.7008829268507002</c:v>
                </c:pt>
                <c:pt idx="219">
                  <c:v>-3.7333080944282959</c:v>
                </c:pt>
                <c:pt idx="220">
                  <c:v>-3.6694195208853961</c:v>
                </c:pt>
                <c:pt idx="221">
                  <c:v>-3.5446208690615864</c:v>
                </c:pt>
                <c:pt idx="222">
                  <c:v>-3.5510758506252738</c:v>
                </c:pt>
                <c:pt idx="223">
                  <c:v>-3.5184407086299792</c:v>
                </c:pt>
                <c:pt idx="224">
                  <c:v>-2.9884174053630637</c:v>
                </c:pt>
                <c:pt idx="225">
                  <c:v>-3.0239288999052412</c:v>
                </c:pt>
                <c:pt idx="226">
                  <c:v>-2.8638846706991341</c:v>
                </c:pt>
                <c:pt idx="227">
                  <c:v>-2.8570669588736797</c:v>
                </c:pt>
                <c:pt idx="228">
                  <c:v>-2.8702349193562884</c:v>
                </c:pt>
                <c:pt idx="229">
                  <c:v>-2.9913653086882879</c:v>
                </c:pt>
                <c:pt idx="230">
                  <c:v>-2.9165576527949542</c:v>
                </c:pt>
                <c:pt idx="231">
                  <c:v>-2.8400158473882189</c:v>
                </c:pt>
                <c:pt idx="232">
                  <c:v>-2.7816749604358373</c:v>
                </c:pt>
                <c:pt idx="233">
                  <c:v>-2.7816749604358373</c:v>
                </c:pt>
                <c:pt idx="234">
                  <c:v>-2.8317018982586224</c:v>
                </c:pt>
                <c:pt idx="235">
                  <c:v>-2.7331278093958313</c:v>
                </c:pt>
                <c:pt idx="236">
                  <c:v>-2.5942568825729584</c:v>
                </c:pt>
                <c:pt idx="237">
                  <c:v>-2.5841064770901263</c:v>
                </c:pt>
                <c:pt idx="238">
                  <c:v>-2.5181685665765463</c:v>
                </c:pt>
                <c:pt idx="239">
                  <c:v>-2.5298609073778198</c:v>
                </c:pt>
                <c:pt idx="240">
                  <c:v>-2.5638828757561636</c:v>
                </c:pt>
                <c:pt idx="241">
                  <c:v>-2.54162957804144</c:v>
                </c:pt>
                <c:pt idx="242">
                  <c:v>-2.6554497525874647</c:v>
                </c:pt>
                <c:pt idx="243">
                  <c:v>-2.7175878968429301</c:v>
                </c:pt>
                <c:pt idx="244">
                  <c:v>-2.3699627078080918</c:v>
                </c:pt>
                <c:pt idx="245">
                  <c:v>-2.2940928534815663</c:v>
                </c:pt>
                <c:pt idx="246">
                  <c:v>-2.2489208425841452</c:v>
                </c:pt>
                <c:pt idx="247">
                  <c:v>-2.3149405122066904</c:v>
                </c:pt>
                <c:pt idx="248">
                  <c:v>-2.4428904461425196</c:v>
                </c:pt>
                <c:pt idx="249">
                  <c:v>-2.6288645482893358</c:v>
                </c:pt>
                <c:pt idx="250">
                  <c:v>-1.8162847088836218</c:v>
                </c:pt>
                <c:pt idx="251">
                  <c:v>-1.5884460584049165</c:v>
                </c:pt>
                <c:pt idx="252">
                  <c:v>-1.4614312132596243</c:v>
                </c:pt>
                <c:pt idx="253">
                  <c:v>-1.522660725142261</c:v>
                </c:pt>
                <c:pt idx="254">
                  <c:v>-1.4170124269688085</c:v>
                </c:pt>
                <c:pt idx="255">
                  <c:v>-1.3695454617721794</c:v>
                </c:pt>
                <c:pt idx="256">
                  <c:v>-1.2982647269829901</c:v>
                </c:pt>
                <c:pt idx="257">
                  <c:v>-1.1143663382728735</c:v>
                </c:pt>
                <c:pt idx="258">
                  <c:v>-0.55760542924027579</c:v>
                </c:pt>
                <c:pt idx="259">
                  <c:v>-1.078862645110308</c:v>
                </c:pt>
                <c:pt idx="260">
                  <c:v>-1.0442118740294999</c:v>
                </c:pt>
                <c:pt idx="261">
                  <c:v>-0.94911646798292892</c:v>
                </c:pt>
                <c:pt idx="262">
                  <c:v>-0.98488025924364331</c:v>
                </c:pt>
                <c:pt idx="263">
                  <c:v>-0.89900502694958395</c:v>
                </c:pt>
                <c:pt idx="264">
                  <c:v>-0.87878479275125754</c:v>
                </c:pt>
                <c:pt idx="265">
                  <c:v>-0.83184272753417576</c:v>
                </c:pt>
                <c:pt idx="266">
                  <c:v>-0.83143513405945069</c:v>
                </c:pt>
                <c:pt idx="267">
                  <c:v>-0.77948587299715555</c:v>
                </c:pt>
                <c:pt idx="268">
                  <c:v>-0.81366978390014932</c:v>
                </c:pt>
                <c:pt idx="269">
                  <c:v>-0.72094526850239216</c:v>
                </c:pt>
                <c:pt idx="270">
                  <c:v>-0.61314501725708359</c:v>
                </c:pt>
                <c:pt idx="271">
                  <c:v>-0.69264054571304201</c:v>
                </c:pt>
                <c:pt idx="272">
                  <c:v>-0.64649925314433176</c:v>
                </c:pt>
                <c:pt idx="273">
                  <c:v>-0.74944567788718908</c:v>
                </c:pt>
                <c:pt idx="274">
                  <c:v>-0.99831704499513718</c:v>
                </c:pt>
                <c:pt idx="275">
                  <c:v>-0.99854697674025661</c:v>
                </c:pt>
                <c:pt idx="276">
                  <c:v>-1.0171756517486215</c:v>
                </c:pt>
                <c:pt idx="277">
                  <c:v>-1.1051275386116914</c:v>
                </c:pt>
                <c:pt idx="278">
                  <c:v>-1.0156879323096082</c:v>
                </c:pt>
                <c:pt idx="279">
                  <c:v>-0.88505934119036134</c:v>
                </c:pt>
                <c:pt idx="280">
                  <c:v>-0.88162164537036136</c:v>
                </c:pt>
                <c:pt idx="281">
                  <c:v>-0.85573454396890414</c:v>
                </c:pt>
                <c:pt idx="282">
                  <c:v>-0.79931477832377595</c:v>
                </c:pt>
                <c:pt idx="283">
                  <c:v>-0.84643876992933142</c:v>
                </c:pt>
                <c:pt idx="284">
                  <c:v>-0.78537733993909142</c:v>
                </c:pt>
                <c:pt idx="285">
                  <c:v>-0.76872136875963648</c:v>
                </c:pt>
                <c:pt idx="286">
                  <c:v>-0.68324127008185853</c:v>
                </c:pt>
                <c:pt idx="287">
                  <c:v>-0.70237962429852496</c:v>
                </c:pt>
                <c:pt idx="288">
                  <c:v>-0.70769676462136777</c:v>
                </c:pt>
                <c:pt idx="289">
                  <c:v>-0.65692595863807102</c:v>
                </c:pt>
                <c:pt idx="290">
                  <c:v>-0.63396037257140436</c:v>
                </c:pt>
                <c:pt idx="291">
                  <c:v>-0.56493468911448852</c:v>
                </c:pt>
                <c:pt idx="292">
                  <c:v>-0.5716852333720911</c:v>
                </c:pt>
                <c:pt idx="293">
                  <c:v>-0.37985907358559939</c:v>
                </c:pt>
                <c:pt idx="294">
                  <c:v>-0.46245689738134399</c:v>
                </c:pt>
                <c:pt idx="295">
                  <c:v>-0.50692931033581268</c:v>
                </c:pt>
                <c:pt idx="296">
                  <c:v>-0.46954344615681992</c:v>
                </c:pt>
                <c:pt idx="297">
                  <c:v>-0.51619214974253425</c:v>
                </c:pt>
                <c:pt idx="298">
                  <c:v>-0.46473029568683133</c:v>
                </c:pt>
                <c:pt idx="299">
                  <c:v>-0.52068383757484993</c:v>
                </c:pt>
                <c:pt idx="300">
                  <c:v>-0.41612461773183085</c:v>
                </c:pt>
                <c:pt idx="301">
                  <c:v>-0.35183235208759128</c:v>
                </c:pt>
                <c:pt idx="302">
                  <c:v>-0.42908186981119129</c:v>
                </c:pt>
                <c:pt idx="303">
                  <c:v>-0.40040580108839313</c:v>
                </c:pt>
                <c:pt idx="304">
                  <c:v>-0.33852545847505999</c:v>
                </c:pt>
                <c:pt idx="305">
                  <c:v>-0.47306740605773145</c:v>
                </c:pt>
                <c:pt idx="306">
                  <c:v>-0.41979648650031537</c:v>
                </c:pt>
                <c:pt idx="307">
                  <c:v>-0.38896795873471535</c:v>
                </c:pt>
                <c:pt idx="308">
                  <c:v>-0.46530314598857364</c:v>
                </c:pt>
                <c:pt idx="309">
                  <c:v>-0.44938823092094776</c:v>
                </c:pt>
                <c:pt idx="310">
                  <c:v>-0.35999922889810498</c:v>
                </c:pt>
                <c:pt idx="311">
                  <c:v>-0.29872960246840946</c:v>
                </c:pt>
                <c:pt idx="312">
                  <c:v>-6.5074696606504542E-2</c:v>
                </c:pt>
                <c:pt idx="313">
                  <c:v>-1.0868445026239902E-2</c:v>
                </c:pt>
                <c:pt idx="314">
                  <c:v>0.21990035541333749</c:v>
                </c:pt>
                <c:pt idx="315">
                  <c:v>0.19518614217338373</c:v>
                </c:pt>
                <c:pt idx="316">
                  <c:v>0.35623334792785077</c:v>
                </c:pt>
                <c:pt idx="317">
                  <c:v>0.32775836457820379</c:v>
                </c:pt>
                <c:pt idx="318">
                  <c:v>0.49780989306152224</c:v>
                </c:pt>
                <c:pt idx="319">
                  <c:v>0.41032597480790278</c:v>
                </c:pt>
                <c:pt idx="320">
                  <c:v>-4.1224049452312735E-2</c:v>
                </c:pt>
                <c:pt idx="321">
                  <c:v>-7.8275214262727766E-2</c:v>
                </c:pt>
                <c:pt idx="322">
                  <c:v>-3.0692064099905624E-2</c:v>
                </c:pt>
                <c:pt idx="323">
                  <c:v>-0.16871657294066553</c:v>
                </c:pt>
                <c:pt idx="324">
                  <c:v>-6.1615400985604281E-3</c:v>
                </c:pt>
                <c:pt idx="325">
                  <c:v>1.0155745332095309E-2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52-4D9E-8F85-7E27361A8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7490992"/>
        <c:axId val="637489328"/>
      </c:lineChart>
      <c:dateAx>
        <c:axId val="63749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489328"/>
        <c:crosses val="autoZero"/>
        <c:auto val="1"/>
        <c:lblOffset val="100"/>
        <c:baseTimeUnit val="days"/>
      </c:dateAx>
      <c:valAx>
        <c:axId val="6374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49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242CD7-837E-4EE1-949B-855E20EBDE27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1AD2D8-9DEC-4C9A-90C3-F64D13A755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0.88759999999999994</v>
      </c>
      <c r="D2" s="4">
        <f>MIN(D3:D1912)</f>
        <v>7.6799999999999993E-2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7</v>
      </c>
    </row>
    <row r="5" spans="1:20" x14ac:dyDescent="0.25">
      <c r="A5" s="5">
        <v>44588</v>
      </c>
      <c r="B5">
        <v>8.9700000000000002E-2</v>
      </c>
      <c r="C5">
        <v>9.11E-2</v>
      </c>
      <c r="D5">
        <v>8.9300000000000004E-2</v>
      </c>
      <c r="E5">
        <v>8.9300000000000004E-2</v>
      </c>
      <c r="F5">
        <v>177312</v>
      </c>
      <c r="G5">
        <v>8.9300000000000004E-2</v>
      </c>
      <c r="L5" t="s">
        <v>8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-177312</v>
      </c>
      <c r="R5">
        <f t="shared" ref="R5" si="2">R6+Q5</f>
        <v>-2075217772.0236504</v>
      </c>
      <c r="S5">
        <f t="shared" ref="S5" si="3">R5/100000</f>
        <v>-20752.177720236505</v>
      </c>
      <c r="T5">
        <f t="shared" ref="T5" si="4">S5/1000</f>
        <v>-20.752177720236503</v>
      </c>
    </row>
    <row r="6" spans="1:20" x14ac:dyDescent="0.25">
      <c r="A6" s="5">
        <v>44587</v>
      </c>
      <c r="B6">
        <v>8.7099999999999997E-2</v>
      </c>
      <c r="C6">
        <v>9.6100000000000005E-2</v>
      </c>
      <c r="D6">
        <v>8.6199999999999999E-2</v>
      </c>
      <c r="E6">
        <v>8.9800000000000005E-2</v>
      </c>
      <c r="F6">
        <v>6390297</v>
      </c>
      <c r="G6">
        <v>8.9800000000000005E-2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-0.27272727272727199</v>
      </c>
      <c r="Q6">
        <f t="shared" ref="Q6" si="6">F6*P6</f>
        <v>-1742808.272727268</v>
      </c>
      <c r="R6">
        <f t="shared" ref="R6" si="7">R7+Q6</f>
        <v>-2075040460.0236504</v>
      </c>
      <c r="S6">
        <f t="shared" ref="S6" si="8">R6/100000</f>
        <v>-20750.404600236503</v>
      </c>
      <c r="T6">
        <f t="shared" ref="T6" si="9">S6/1000</f>
        <v>-20.750404600236504</v>
      </c>
    </row>
    <row r="7" spans="1:20" x14ac:dyDescent="0.25">
      <c r="A7" s="5">
        <v>44586</v>
      </c>
      <c r="B7">
        <v>8.5699999999999998E-2</v>
      </c>
      <c r="C7">
        <v>8.8900000000000007E-2</v>
      </c>
      <c r="D7">
        <v>8.3500000000000005E-2</v>
      </c>
      <c r="E7">
        <v>8.7099999999999997E-2</v>
      </c>
      <c r="F7">
        <v>3122407</v>
      </c>
      <c r="G7">
        <v>8.7099999999999997E-2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0.33333333333332993</v>
      </c>
      <c r="Q7">
        <f t="shared" ref="Q7" si="11">F7*P7</f>
        <v>1040802.3333333227</v>
      </c>
      <c r="R7">
        <f t="shared" ref="R7" si="12">R8+Q7</f>
        <v>-2073297651.7509232</v>
      </c>
      <c r="S7">
        <f t="shared" ref="S7" si="13">R7/100000</f>
        <v>-20732.976517509233</v>
      </c>
      <c r="T7">
        <f t="shared" ref="T7" si="14">S7/1000</f>
        <v>-20.732976517509233</v>
      </c>
    </row>
    <row r="8" spans="1:20" x14ac:dyDescent="0.25">
      <c r="A8" s="5">
        <v>44585</v>
      </c>
      <c r="B8">
        <v>8.8800000000000004E-2</v>
      </c>
      <c r="C8">
        <v>8.8900000000000007E-2</v>
      </c>
      <c r="D8">
        <v>7.6799999999999993E-2</v>
      </c>
      <c r="E8">
        <v>8.5699999999999998E-2</v>
      </c>
      <c r="F8">
        <v>8872856</v>
      </c>
      <c r="G8">
        <v>8.5699999999999998E-2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0.47107438016528846</v>
      </c>
      <c r="Q8">
        <f t="shared" ref="Q8" si="16">F8*P8</f>
        <v>4179775.1404958609</v>
      </c>
      <c r="R8">
        <f t="shared" ref="R8" si="17">R9+Q8</f>
        <v>-2074338454.0842564</v>
      </c>
      <c r="S8">
        <f t="shared" ref="S8" si="18">R8/100000</f>
        <v>-20743.384540842566</v>
      </c>
      <c r="T8">
        <f t="shared" ref="T8" si="19">S8/1000</f>
        <v>-20.743384540842566</v>
      </c>
    </row>
    <row r="9" spans="1:20" x14ac:dyDescent="0.25">
      <c r="A9" s="5">
        <v>44584</v>
      </c>
      <c r="B9">
        <v>8.3799999999999999E-2</v>
      </c>
      <c r="C9">
        <v>9.06E-2</v>
      </c>
      <c r="D9">
        <v>8.3500000000000005E-2</v>
      </c>
      <c r="E9">
        <v>8.8700000000000001E-2</v>
      </c>
      <c r="F9">
        <v>7534155</v>
      </c>
      <c r="G9">
        <v>8.8700000000000001E-2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0.46478873239436613</v>
      </c>
      <c r="Q9">
        <f t="shared" ref="Q9" si="21">F9*P9</f>
        <v>3501790.3521126756</v>
      </c>
      <c r="R9">
        <f t="shared" ref="R9" si="22">R10+Q9</f>
        <v>-2078518229.2247522</v>
      </c>
      <c r="S9">
        <f t="shared" ref="S9" si="23">R9/100000</f>
        <v>-20785.182292247522</v>
      </c>
      <c r="T9">
        <f t="shared" ref="T9" si="24">S9/1000</f>
        <v>-20.785182292247523</v>
      </c>
    </row>
    <row r="10" spans="1:20" x14ac:dyDescent="0.25">
      <c r="A10" s="5">
        <v>44583</v>
      </c>
      <c r="B10">
        <v>9.6199999999999994E-2</v>
      </c>
      <c r="C10">
        <v>9.8000000000000004E-2</v>
      </c>
      <c r="D10">
        <v>7.8299999999999995E-2</v>
      </c>
      <c r="E10">
        <v>8.4199999999999997E-2</v>
      </c>
      <c r="F10">
        <v>17665000.469999999</v>
      </c>
      <c r="G10">
        <v>8.4199999999999997E-2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-0.40101522842639598</v>
      </c>
      <c r="Q10">
        <f t="shared" ref="Q10" si="26">F10*P10</f>
        <v>-7083934.1986294417</v>
      </c>
      <c r="R10">
        <f t="shared" ref="R10" si="27">R11+Q10</f>
        <v>-2082020019.576865</v>
      </c>
      <c r="S10">
        <f t="shared" ref="S10" si="28">R10/100000</f>
        <v>-20820.200195768648</v>
      </c>
      <c r="T10">
        <f t="shared" ref="T10" si="29">S10/1000</f>
        <v>-20.820200195768649</v>
      </c>
    </row>
    <row r="11" spans="1:20" x14ac:dyDescent="0.25">
      <c r="A11" s="5">
        <v>44582</v>
      </c>
      <c r="B11">
        <v>0.1135</v>
      </c>
      <c r="C11">
        <v>0.1148</v>
      </c>
      <c r="D11">
        <v>9.3799999999999994E-2</v>
      </c>
      <c r="E11">
        <v>9.6199999999999994E-2</v>
      </c>
      <c r="F11">
        <v>13801674</v>
      </c>
      <c r="G11">
        <v>9.6199999999999994E-2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-0.77142857142857157</v>
      </c>
      <c r="Q11">
        <f t="shared" ref="Q11" si="31">F11*P11</f>
        <v>-10647005.657142859</v>
      </c>
      <c r="R11">
        <f t="shared" ref="R11" si="32">R12+Q11</f>
        <v>-2074936085.3782356</v>
      </c>
      <c r="S11">
        <f t="shared" ref="S11" si="33">R11/100000</f>
        <v>-20749.360853782357</v>
      </c>
      <c r="T11">
        <f t="shared" ref="T11" si="34">S11/1000</f>
        <v>-20.749360853782356</v>
      </c>
    </row>
    <row r="12" spans="1:20" x14ac:dyDescent="0.25">
      <c r="A12" s="5">
        <v>44581</v>
      </c>
      <c r="B12">
        <v>0.1169</v>
      </c>
      <c r="C12">
        <v>0.12379999999999999</v>
      </c>
      <c r="D12">
        <v>0.1135</v>
      </c>
      <c r="E12">
        <v>0.1135</v>
      </c>
      <c r="F12">
        <v>4828869</v>
      </c>
      <c r="G12">
        <v>0.1135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-4828869</v>
      </c>
      <c r="R12">
        <f t="shared" ref="R12" si="37">R13+Q12</f>
        <v>-2064289079.7210927</v>
      </c>
      <c r="S12">
        <f t="shared" ref="S12" si="38">R12/100000</f>
        <v>-20642.890797210926</v>
      </c>
      <c r="T12">
        <f t="shared" ref="T12" si="39">S12/1000</f>
        <v>-20.642890797210928</v>
      </c>
    </row>
    <row r="13" spans="1:20" x14ac:dyDescent="0.25">
      <c r="A13" s="5">
        <v>44580</v>
      </c>
      <c r="B13">
        <v>0.11749999999999999</v>
      </c>
      <c r="C13">
        <v>0.1226</v>
      </c>
      <c r="D13">
        <v>0.114</v>
      </c>
      <c r="E13">
        <v>0.1169</v>
      </c>
      <c r="F13">
        <v>5908376</v>
      </c>
      <c r="G13">
        <v>0.1169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-0.32558139534883701</v>
      </c>
      <c r="Q13">
        <f t="shared" ref="Q13" si="41">F13*P13</f>
        <v>-1923657.3023255803</v>
      </c>
      <c r="R13">
        <f t="shared" ref="R13" si="42">R14+Q13</f>
        <v>-2059460210.7210927</v>
      </c>
      <c r="S13">
        <f t="shared" ref="S13" si="43">R13/100000</f>
        <v>-20594.602107210929</v>
      </c>
      <c r="T13">
        <f t="shared" ref="T13" si="44">S13/1000</f>
        <v>-20.594602107210928</v>
      </c>
    </row>
    <row r="14" spans="1:20" x14ac:dyDescent="0.25">
      <c r="A14" s="5">
        <v>44579</v>
      </c>
      <c r="B14">
        <v>0.12</v>
      </c>
      <c r="C14">
        <v>0.1206</v>
      </c>
      <c r="D14">
        <v>0.114</v>
      </c>
      <c r="E14">
        <v>0.1176</v>
      </c>
      <c r="F14">
        <v>3907405</v>
      </c>
      <c r="G14">
        <v>0.1176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9.0909090909089385E-2</v>
      </c>
      <c r="Q14">
        <f t="shared" ref="Q14" si="46">F14*P14</f>
        <v>355218.63636363042</v>
      </c>
      <c r="R14">
        <f t="shared" ref="R14" si="47">R15+Q14</f>
        <v>-2057536553.4187672</v>
      </c>
      <c r="S14">
        <f t="shared" ref="S14" si="48">R14/100000</f>
        <v>-20575.365534187673</v>
      </c>
      <c r="T14">
        <f t="shared" ref="T14" si="49">S14/1000</f>
        <v>-20.575365534187672</v>
      </c>
    </row>
    <row r="15" spans="1:20" x14ac:dyDescent="0.25">
      <c r="A15" s="5">
        <v>44578</v>
      </c>
      <c r="B15">
        <v>0.1249</v>
      </c>
      <c r="C15">
        <v>0.1258</v>
      </c>
      <c r="D15">
        <v>0.1186</v>
      </c>
      <c r="E15">
        <v>0.12</v>
      </c>
      <c r="F15">
        <v>4130400</v>
      </c>
      <c r="G15">
        <v>0.12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-0.61111111111111138</v>
      </c>
      <c r="Q15">
        <f t="shared" ref="Q15" si="51">F15*P15</f>
        <v>-2524133.3333333344</v>
      </c>
      <c r="R15">
        <f t="shared" ref="R15" si="52">R16+Q15</f>
        <v>-2057891772.055131</v>
      </c>
      <c r="S15">
        <f t="shared" ref="S15" si="53">R15/100000</f>
        <v>-20578.917720551308</v>
      </c>
      <c r="T15">
        <f t="shared" ref="T15" si="54">S15/1000</f>
        <v>-20.578917720551306</v>
      </c>
    </row>
    <row r="16" spans="1:20" x14ac:dyDescent="0.25">
      <c r="A16" s="5">
        <v>44577</v>
      </c>
      <c r="B16">
        <v>0.12690000000000001</v>
      </c>
      <c r="C16">
        <v>0.12920000000000001</v>
      </c>
      <c r="D16">
        <v>0.1242</v>
      </c>
      <c r="E16">
        <v>0.1249</v>
      </c>
      <c r="F16">
        <v>3848897</v>
      </c>
      <c r="G16">
        <v>0.1249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-0.7200000000000033</v>
      </c>
      <c r="Q16">
        <f t="shared" ref="Q16" si="56">F16*P16</f>
        <v>-2771205.8400000129</v>
      </c>
      <c r="R16">
        <f t="shared" ref="R16" si="57">R17+Q16</f>
        <v>-2055367638.7217977</v>
      </c>
      <c r="S16">
        <f t="shared" ref="S16" si="58">R16/100000</f>
        <v>-20553.676387217976</v>
      </c>
      <c r="T16">
        <f t="shared" ref="T16" si="59">S16/1000</f>
        <v>-20.553676387217976</v>
      </c>
    </row>
    <row r="17" spans="1:20" x14ac:dyDescent="0.25">
      <c r="A17" s="5">
        <v>44576</v>
      </c>
      <c r="B17">
        <v>0.1263</v>
      </c>
      <c r="C17">
        <v>0.13100000000000001</v>
      </c>
      <c r="D17">
        <v>0.12470000000000001</v>
      </c>
      <c r="E17">
        <v>0.12690000000000001</v>
      </c>
      <c r="F17">
        <v>4249387</v>
      </c>
      <c r="G17">
        <v>0.12690000000000001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-0.30158730158729918</v>
      </c>
      <c r="Q17">
        <f t="shared" ref="Q17" si="61">F17*P17</f>
        <v>-1281561.1587301486</v>
      </c>
      <c r="R17">
        <f t="shared" ref="R17" si="62">R18+Q17</f>
        <v>-2052596432.8817978</v>
      </c>
      <c r="S17">
        <f t="shared" ref="S17" si="63">R17/100000</f>
        <v>-20525.96432881798</v>
      </c>
      <c r="T17">
        <f t="shared" ref="T17" si="64">S17/1000</f>
        <v>-20.525964328817981</v>
      </c>
    </row>
    <row r="18" spans="1:20" x14ac:dyDescent="0.25">
      <c r="A18" s="5">
        <v>44575</v>
      </c>
      <c r="B18">
        <v>0.1226</v>
      </c>
      <c r="C18">
        <v>0.1283</v>
      </c>
      <c r="D18">
        <v>0.1196</v>
      </c>
      <c r="E18">
        <v>0.12620000000000001</v>
      </c>
      <c r="F18">
        <v>3625152</v>
      </c>
      <c r="G18">
        <v>0.12620000000000001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0.51724137931034697</v>
      </c>
      <c r="Q18">
        <f t="shared" ref="Q18" si="66">F18*P18</f>
        <v>1875078.6206896629</v>
      </c>
      <c r="R18">
        <f t="shared" ref="R18" si="67">R19+Q18</f>
        <v>-2051314871.7230678</v>
      </c>
      <c r="S18">
        <f t="shared" ref="S18" si="68">R18/100000</f>
        <v>-20513.148717230677</v>
      </c>
      <c r="T18">
        <f t="shared" ref="T18" si="69">S18/1000</f>
        <v>-20.513148717230678</v>
      </c>
    </row>
    <row r="19" spans="1:20" x14ac:dyDescent="0.25">
      <c r="A19" s="5">
        <v>44574</v>
      </c>
      <c r="B19">
        <v>0.12870000000000001</v>
      </c>
      <c r="C19">
        <v>0.13320000000000001</v>
      </c>
      <c r="D19">
        <v>0.12230000000000001</v>
      </c>
      <c r="E19">
        <v>0.1226</v>
      </c>
      <c r="F19">
        <v>5927302</v>
      </c>
      <c r="G19">
        <v>0.1226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-0.94495412844036797</v>
      </c>
      <c r="Q19">
        <f t="shared" ref="Q19" si="71">F19*P19</f>
        <v>-5601028.4954128498</v>
      </c>
      <c r="R19">
        <f t="shared" ref="R19" si="72">R20+Q19</f>
        <v>-2053189950.3437574</v>
      </c>
      <c r="S19">
        <f t="shared" ref="S19" si="73">R19/100000</f>
        <v>-20531.899503437573</v>
      </c>
      <c r="T19">
        <f t="shared" ref="T19" si="74">S19/1000</f>
        <v>-20.531899503437572</v>
      </c>
    </row>
    <row r="20" spans="1:20" x14ac:dyDescent="0.25">
      <c r="A20" s="5">
        <v>44573</v>
      </c>
      <c r="B20">
        <v>0.123</v>
      </c>
      <c r="C20">
        <v>0.1333</v>
      </c>
      <c r="D20">
        <v>0.1203</v>
      </c>
      <c r="E20">
        <v>0.12859999999999999</v>
      </c>
      <c r="F20">
        <v>7900700</v>
      </c>
      <c r="G20">
        <v>0.12859999999999999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0.27692307692307527</v>
      </c>
      <c r="Q20">
        <f t="shared" ref="Q20" si="76">F20*P20</f>
        <v>2187886.153846141</v>
      </c>
      <c r="R20">
        <f t="shared" ref="R20" si="77">R21+Q20</f>
        <v>-2047588921.8483446</v>
      </c>
      <c r="S20">
        <f t="shared" ref="S20" si="78">R20/100000</f>
        <v>-20475.889218483444</v>
      </c>
      <c r="T20">
        <f t="shared" ref="T20" si="79">S20/1000</f>
        <v>-20.475889218483445</v>
      </c>
    </row>
    <row r="21" spans="1:20" x14ac:dyDescent="0.25">
      <c r="A21" s="5">
        <v>44572</v>
      </c>
      <c r="B21">
        <v>0.11849999999999999</v>
      </c>
      <c r="C21">
        <v>0.1245</v>
      </c>
      <c r="D21">
        <v>0.1178</v>
      </c>
      <c r="E21">
        <v>0.123</v>
      </c>
      <c r="F21">
        <v>5360525</v>
      </c>
      <c r="G21">
        <v>0.123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0.55223880597014874</v>
      </c>
      <c r="Q21">
        <f t="shared" ref="Q21" si="81">F21*P21</f>
        <v>2960289.9253731314</v>
      </c>
      <c r="R21">
        <f t="shared" ref="R21" si="82">R22+Q21</f>
        <v>-2049776808.0021906</v>
      </c>
      <c r="S21">
        <f t="shared" ref="S21" si="83">R21/100000</f>
        <v>-20497.768080021906</v>
      </c>
      <c r="T21">
        <f t="shared" ref="T21" si="84">S21/1000</f>
        <v>-20.497768080021906</v>
      </c>
    </row>
    <row r="22" spans="1:20" x14ac:dyDescent="0.25">
      <c r="A22" s="5">
        <v>44571</v>
      </c>
      <c r="B22">
        <v>0.1246</v>
      </c>
      <c r="C22">
        <v>0.1258</v>
      </c>
      <c r="D22">
        <v>0.11260000000000001</v>
      </c>
      <c r="E22">
        <v>0.11849999999999999</v>
      </c>
      <c r="F22">
        <v>7250979.6699999999</v>
      </c>
      <c r="G22">
        <v>0.11849999999999999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-0.10606060606060708</v>
      </c>
      <c r="Q22">
        <f t="shared" ref="Q22" si="86">F22*P22</f>
        <v>-769043.29833334067</v>
      </c>
      <c r="R22">
        <f t="shared" ref="R22" si="87">R23+Q22</f>
        <v>-2052737097.9275637</v>
      </c>
      <c r="S22">
        <f t="shared" ref="S22" si="88">R22/100000</f>
        <v>-20527.370979275638</v>
      </c>
      <c r="T22">
        <f t="shared" ref="T22" si="89">S22/1000</f>
        <v>-20.527370979275638</v>
      </c>
    </row>
    <row r="23" spans="1:20" x14ac:dyDescent="0.25">
      <c r="A23" s="5">
        <v>44570</v>
      </c>
      <c r="B23">
        <v>0.12609999999999999</v>
      </c>
      <c r="C23">
        <v>0.128</v>
      </c>
      <c r="D23">
        <v>0.12239999999999999</v>
      </c>
      <c r="E23">
        <v>0.1245</v>
      </c>
      <c r="F23">
        <v>5118347</v>
      </c>
      <c r="G23">
        <v>0.1245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-0.24999999999999939</v>
      </c>
      <c r="Q23">
        <f t="shared" ref="Q23" si="91">F23*P23</f>
        <v>-1279586.749999997</v>
      </c>
      <c r="R23">
        <f t="shared" ref="R23" si="92">R24+Q23</f>
        <v>-2051968054.6292303</v>
      </c>
      <c r="S23">
        <f t="shared" ref="S23" si="93">R23/100000</f>
        <v>-20519.680546292304</v>
      </c>
      <c r="T23">
        <f t="shared" ref="T23" si="94">S23/1000</f>
        <v>-20.519680546292303</v>
      </c>
    </row>
    <row r="24" spans="1:20" x14ac:dyDescent="0.25">
      <c r="A24" s="5">
        <v>44569</v>
      </c>
      <c r="B24">
        <v>0.1305</v>
      </c>
      <c r="C24">
        <v>0.1343</v>
      </c>
      <c r="D24">
        <v>0.12429999999999999</v>
      </c>
      <c r="E24">
        <v>0.1263</v>
      </c>
      <c r="F24">
        <v>4276035</v>
      </c>
      <c r="G24">
        <v>0.1263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</v>
      </c>
      <c r="Q24">
        <f t="shared" ref="Q24" si="96">F24*P24</f>
        <v>-2565621</v>
      </c>
      <c r="R24">
        <f t="shared" ref="R24" si="97">R25+Q24</f>
        <v>-2050688467.8792303</v>
      </c>
      <c r="S24">
        <f t="shared" ref="S24" si="98">R24/100000</f>
        <v>-20506.884678792303</v>
      </c>
      <c r="T24">
        <f t="shared" ref="T24" si="99">S24/1000</f>
        <v>-20.506884678792304</v>
      </c>
    </row>
    <row r="25" spans="1:20" x14ac:dyDescent="0.25">
      <c r="A25" s="5">
        <v>44568</v>
      </c>
      <c r="B25">
        <v>0.1371</v>
      </c>
      <c r="C25">
        <v>0.1371</v>
      </c>
      <c r="D25">
        <v>0.12640000000000001</v>
      </c>
      <c r="E25">
        <v>0.13039999999999999</v>
      </c>
      <c r="F25">
        <v>8703666.3000000007</v>
      </c>
      <c r="G25">
        <v>0.13039999999999999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-0.25233644859813448</v>
      </c>
      <c r="Q25">
        <f t="shared" ref="Q25" si="101">F25*P25</f>
        <v>-2196252.2439252655</v>
      </c>
      <c r="R25">
        <f t="shared" ref="R25" si="102">R26+Q25</f>
        <v>-2048122846.8792303</v>
      </c>
      <c r="S25">
        <f t="shared" ref="S25" si="103">R25/100000</f>
        <v>-20481.228468792302</v>
      </c>
      <c r="T25">
        <f t="shared" ref="T25" si="104">S25/1000</f>
        <v>-20.481228468792303</v>
      </c>
    </row>
    <row r="26" spans="1:20" x14ac:dyDescent="0.25">
      <c r="A26" s="5">
        <v>44567</v>
      </c>
      <c r="B26">
        <v>0.13819999999999999</v>
      </c>
      <c r="C26">
        <v>0.14050000000000001</v>
      </c>
      <c r="D26">
        <v>0.13320000000000001</v>
      </c>
      <c r="E26">
        <v>0.1371</v>
      </c>
      <c r="F26">
        <v>7684901</v>
      </c>
      <c r="G26">
        <v>0.1371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6.8493150684927756E-2</v>
      </c>
      <c r="Q26">
        <f t="shared" ref="Q26" si="106">F26*P26</f>
        <v>526363.08219175204</v>
      </c>
      <c r="R26">
        <f t="shared" ref="R26" si="107">R27+Q26</f>
        <v>-2045926594.6353049</v>
      </c>
      <c r="S26">
        <f t="shared" ref="S26" si="108">R26/100000</f>
        <v>-20459.265946353051</v>
      </c>
      <c r="T26">
        <f t="shared" ref="T26" si="109">S26/1000</f>
        <v>-20.45926594635305</v>
      </c>
    </row>
    <row r="27" spans="1:20" x14ac:dyDescent="0.25">
      <c r="A27" s="5">
        <v>44566</v>
      </c>
      <c r="B27">
        <v>0.14979999999999999</v>
      </c>
      <c r="C27">
        <v>0.1517</v>
      </c>
      <c r="D27">
        <v>0.13700000000000001</v>
      </c>
      <c r="E27">
        <v>0.13830000000000001</v>
      </c>
      <c r="F27">
        <v>9577210</v>
      </c>
      <c r="G27">
        <v>0.13830000000000001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-0.82312925170068074</v>
      </c>
      <c r="Q27">
        <f t="shared" ref="Q27" si="111">F27*P27</f>
        <v>-7883281.7006802764</v>
      </c>
      <c r="R27">
        <f t="shared" ref="R27" si="112">R28+Q27</f>
        <v>-2046452957.7174966</v>
      </c>
      <c r="S27">
        <f t="shared" ref="S27" si="113">R27/100000</f>
        <v>-20464.529577174966</v>
      </c>
      <c r="T27">
        <f t="shared" ref="T27" si="114">S27/1000</f>
        <v>-20.464529577174964</v>
      </c>
    </row>
    <row r="28" spans="1:20" x14ac:dyDescent="0.25">
      <c r="A28" s="5">
        <v>44565</v>
      </c>
      <c r="B28">
        <v>0.1479</v>
      </c>
      <c r="C28">
        <v>0.15390000000000001</v>
      </c>
      <c r="D28">
        <v>0.1452</v>
      </c>
      <c r="E28">
        <v>0.15</v>
      </c>
      <c r="F28">
        <v>8319158</v>
      </c>
      <c r="G28">
        <v>0.15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0.10344827586206698</v>
      </c>
      <c r="Q28">
        <f t="shared" ref="Q28" si="116">F28*P28</f>
        <v>860602.55172412144</v>
      </c>
      <c r="R28">
        <f t="shared" ref="R28" si="117">R29+Q28</f>
        <v>-2038569676.0168164</v>
      </c>
      <c r="S28">
        <f t="shared" ref="S28" si="118">R28/100000</f>
        <v>-20385.696760168164</v>
      </c>
      <c r="T28">
        <f t="shared" ref="T28" si="119">S28/1000</f>
        <v>-20.385696760168166</v>
      </c>
    </row>
    <row r="29" spans="1:20" x14ac:dyDescent="0.25">
      <c r="A29" s="5">
        <v>44564</v>
      </c>
      <c r="B29">
        <v>0.15279999999999999</v>
      </c>
      <c r="C29">
        <v>0.15459999999999999</v>
      </c>
      <c r="D29">
        <v>0.14560000000000001</v>
      </c>
      <c r="E29">
        <v>0.1479</v>
      </c>
      <c r="F29">
        <v>7275314</v>
      </c>
      <c r="G29">
        <v>0.1479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-0.48888888888888854</v>
      </c>
      <c r="Q29">
        <f t="shared" ref="Q29" si="121">F29*P29</f>
        <v>-3556820.1777777751</v>
      </c>
      <c r="R29">
        <f t="shared" ref="R29" si="122">R30+Q29</f>
        <v>-2039430278.5685406</v>
      </c>
      <c r="S29">
        <f t="shared" ref="S29" si="123">R29/100000</f>
        <v>-20394.302785685406</v>
      </c>
      <c r="T29">
        <f t="shared" ref="T29" si="124">S29/1000</f>
        <v>-20.394302785685404</v>
      </c>
    </row>
    <row r="30" spans="1:20" x14ac:dyDescent="0.25">
      <c r="A30" s="5">
        <v>44563</v>
      </c>
      <c r="B30">
        <v>0.1507</v>
      </c>
      <c r="C30">
        <v>0.15609999999999999</v>
      </c>
      <c r="D30">
        <v>0.1482</v>
      </c>
      <c r="E30">
        <v>0.15279999999999999</v>
      </c>
      <c r="F30">
        <v>7127732</v>
      </c>
      <c r="G30">
        <v>0.15279999999999999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0.16455696202531611</v>
      </c>
      <c r="Q30">
        <f t="shared" ref="Q30" si="126">F30*P30</f>
        <v>1172917.9240506305</v>
      </c>
      <c r="R30">
        <f t="shared" ref="R30" si="127">R31+Q30</f>
        <v>-2035873458.3907628</v>
      </c>
      <c r="S30">
        <f t="shared" ref="S30" si="128">R30/100000</f>
        <v>-20358.73458390763</v>
      </c>
      <c r="T30">
        <f t="shared" ref="T30" si="129">S30/1000</f>
        <v>-20.35873458390763</v>
      </c>
    </row>
    <row r="31" spans="1:20" x14ac:dyDescent="0.25">
      <c r="A31" s="5">
        <v>44562</v>
      </c>
      <c r="B31">
        <v>0.14749999999999999</v>
      </c>
      <c r="C31">
        <v>0.15340000000000001</v>
      </c>
      <c r="D31">
        <v>0.14729999999999999</v>
      </c>
      <c r="E31">
        <v>0.15029999999999999</v>
      </c>
      <c r="F31">
        <v>5038555</v>
      </c>
      <c r="G31">
        <v>0.15029999999999999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-1.6393442622953506E-2</v>
      </c>
      <c r="Q31">
        <f t="shared" ref="Q31" si="131">F31*P31</f>
        <v>-82599.262295095497</v>
      </c>
      <c r="R31">
        <f t="shared" ref="R31" si="132">R32+Q31</f>
        <v>-2037046376.3148134</v>
      </c>
      <c r="S31">
        <f t="shared" ref="S31" si="133">R31/100000</f>
        <v>-20370.463763148135</v>
      </c>
      <c r="T31">
        <f t="shared" ref="T31" si="134">S31/1000</f>
        <v>-20.370463763148134</v>
      </c>
    </row>
    <row r="32" spans="1:20" x14ac:dyDescent="0.25">
      <c r="A32" s="5">
        <v>44561</v>
      </c>
      <c r="B32">
        <v>0.15329999999999999</v>
      </c>
      <c r="C32">
        <v>0.16270000000000001</v>
      </c>
      <c r="D32">
        <v>0.1452</v>
      </c>
      <c r="E32">
        <v>0.1474</v>
      </c>
      <c r="F32">
        <v>10451455</v>
      </c>
      <c r="G32">
        <v>0.1474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-0.74857142857142789</v>
      </c>
      <c r="Q32">
        <f t="shared" ref="Q32" si="136">F32*P32</f>
        <v>-7823660.5999999931</v>
      </c>
      <c r="R32">
        <f t="shared" ref="R32" si="137">R33+Q32</f>
        <v>-2036963777.0525184</v>
      </c>
      <c r="S32">
        <f t="shared" ref="S32" si="138">R32/100000</f>
        <v>-20369.637770525183</v>
      </c>
      <c r="T32">
        <f t="shared" ref="T32" si="139">S32/1000</f>
        <v>-20.369637770525184</v>
      </c>
    </row>
    <row r="33" spans="1:20" x14ac:dyDescent="0.25">
      <c r="A33" s="5">
        <v>44560</v>
      </c>
      <c r="B33">
        <v>0.1535</v>
      </c>
      <c r="C33">
        <v>0.156</v>
      </c>
      <c r="D33">
        <v>0.1482</v>
      </c>
      <c r="E33">
        <v>0.15290000000000001</v>
      </c>
      <c r="F33">
        <v>8798928</v>
      </c>
      <c r="G33">
        <v>0.15290000000000001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0.2051282051282074</v>
      </c>
      <c r="Q33">
        <f t="shared" ref="Q33" si="141">F33*P33</f>
        <v>1804908.3076923278</v>
      </c>
      <c r="R33">
        <f t="shared" ref="R33" si="142">R34+Q33</f>
        <v>-2029140116.4525185</v>
      </c>
      <c r="S33">
        <f t="shared" ref="S33" si="143">R33/100000</f>
        <v>-20291.401164525185</v>
      </c>
      <c r="T33">
        <f t="shared" ref="T33" si="144">S33/1000</f>
        <v>-20.291401164525183</v>
      </c>
    </row>
    <row r="34" spans="1:20" x14ac:dyDescent="0.25">
      <c r="A34" s="5">
        <v>44559</v>
      </c>
      <c r="B34">
        <v>0.15529999999999999</v>
      </c>
      <c r="C34">
        <v>0.17219999999999999</v>
      </c>
      <c r="D34">
        <v>0.15049999999999999</v>
      </c>
      <c r="E34">
        <v>0.15340000000000001</v>
      </c>
      <c r="F34">
        <v>21465993</v>
      </c>
      <c r="G34">
        <v>0.15340000000000001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-0.7327188940092153</v>
      </c>
      <c r="Q34">
        <f t="shared" ref="Q34" si="146">F34*P34</f>
        <v>-15728538.649769558</v>
      </c>
      <c r="R34">
        <f t="shared" ref="R34" si="147">R35+Q34</f>
        <v>-2030945024.7602108</v>
      </c>
      <c r="S34">
        <f t="shared" ref="S34" si="148">R34/100000</f>
        <v>-20309.450247602108</v>
      </c>
      <c r="T34">
        <f t="shared" ref="T34" si="149">S34/1000</f>
        <v>-20.309450247602108</v>
      </c>
    </row>
    <row r="35" spans="1:20" x14ac:dyDescent="0.25">
      <c r="A35" s="5">
        <v>44558</v>
      </c>
      <c r="B35">
        <v>0.16520000000000001</v>
      </c>
      <c r="C35">
        <v>0.16520000000000001</v>
      </c>
      <c r="D35">
        <v>0.155</v>
      </c>
      <c r="E35">
        <v>0.15540000000000001</v>
      </c>
      <c r="F35">
        <v>14451281</v>
      </c>
      <c r="G35">
        <v>0.15540000000000001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-0.92156862745097823</v>
      </c>
      <c r="Q35">
        <f t="shared" ref="Q35" si="151">F35*P35</f>
        <v>-13317847.196078399</v>
      </c>
      <c r="R35">
        <f t="shared" ref="R35" si="152">R36+Q35</f>
        <v>-2015216486.1104412</v>
      </c>
      <c r="S35">
        <f t="shared" ref="S35" si="153">R35/100000</f>
        <v>-20152.164861104411</v>
      </c>
      <c r="T35">
        <f t="shared" ref="T35" si="154">S35/1000</f>
        <v>-20.15216486110441</v>
      </c>
    </row>
    <row r="36" spans="1:20" x14ac:dyDescent="0.25">
      <c r="A36" s="5">
        <v>44557</v>
      </c>
      <c r="B36">
        <v>0.16189999999999999</v>
      </c>
      <c r="C36">
        <v>0.182</v>
      </c>
      <c r="D36">
        <v>0.1608</v>
      </c>
      <c r="E36">
        <v>0.16539999999999999</v>
      </c>
      <c r="F36">
        <v>19833564</v>
      </c>
      <c r="G36">
        <v>0.16539999999999999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-0.56603773584905714</v>
      </c>
      <c r="Q36">
        <f t="shared" ref="Q36" si="156">F36*P36</f>
        <v>-11226545.660377368</v>
      </c>
      <c r="R36">
        <f t="shared" ref="R36" si="157">R37+Q36</f>
        <v>-2001898638.9143629</v>
      </c>
      <c r="S36">
        <f t="shared" ref="S36" si="158">R36/100000</f>
        <v>-20018.986389143629</v>
      </c>
      <c r="T36">
        <f t="shared" ref="T36" si="159">S36/1000</f>
        <v>-20.018986389143627</v>
      </c>
    </row>
    <row r="37" spans="1:20" x14ac:dyDescent="0.25">
      <c r="A37" s="5">
        <v>44556</v>
      </c>
      <c r="B37">
        <v>0.16250000000000001</v>
      </c>
      <c r="C37">
        <v>0.1653</v>
      </c>
      <c r="D37">
        <v>0.156</v>
      </c>
      <c r="E37">
        <v>0.16189999999999999</v>
      </c>
      <c r="F37">
        <v>12171817</v>
      </c>
      <c r="G37">
        <v>0.16189999999999999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0.26881720430107242</v>
      </c>
      <c r="Q37">
        <f t="shared" ref="Q37" si="161">F37*P37</f>
        <v>3271993.8172042663</v>
      </c>
      <c r="R37">
        <f t="shared" ref="R37" si="162">R38+Q37</f>
        <v>-1990672093.2539856</v>
      </c>
      <c r="S37">
        <f t="shared" ref="S37" si="163">R37/100000</f>
        <v>-19906.720932539858</v>
      </c>
      <c r="T37">
        <f t="shared" ref="T37" si="164">S37/1000</f>
        <v>-19.906720932539859</v>
      </c>
    </row>
    <row r="38" spans="1:20" x14ac:dyDescent="0.25">
      <c r="A38" s="5">
        <v>44555</v>
      </c>
      <c r="B38">
        <v>0.15840000000000001</v>
      </c>
      <c r="C38">
        <v>0.1638</v>
      </c>
      <c r="D38">
        <v>0.15790000000000001</v>
      </c>
      <c r="E38">
        <v>0.16250000000000001</v>
      </c>
      <c r="F38">
        <v>6890974</v>
      </c>
      <c r="G38">
        <v>0.16250000000000001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0.5593220338983057</v>
      </c>
      <c r="Q38">
        <f t="shared" ref="Q38" si="166">F38*P38</f>
        <v>3854273.5932203433</v>
      </c>
      <c r="R38">
        <f t="shared" ref="R38" si="167">R39+Q38</f>
        <v>-1993944087.0711899</v>
      </c>
      <c r="S38">
        <f t="shared" ref="S38" si="168">R38/100000</f>
        <v>-19939.4408707119</v>
      </c>
      <c r="T38">
        <f t="shared" ref="T38" si="169">S38/1000</f>
        <v>-19.939440870711898</v>
      </c>
    </row>
    <row r="39" spans="1:20" x14ac:dyDescent="0.25">
      <c r="A39" s="5">
        <v>44554</v>
      </c>
      <c r="B39">
        <v>0.16450000000000001</v>
      </c>
      <c r="C39">
        <v>0.16930000000000001</v>
      </c>
      <c r="D39">
        <v>0.15590000000000001</v>
      </c>
      <c r="E39">
        <v>0.15840000000000001</v>
      </c>
      <c r="F39">
        <v>19460001</v>
      </c>
      <c r="G39">
        <v>0.15840000000000001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-0.62686567164179063</v>
      </c>
      <c r="Q39">
        <f t="shared" ref="Q39" si="171">F39*P39</f>
        <v>-12198806.597014917</v>
      </c>
      <c r="R39">
        <f t="shared" ref="R39" si="172">R40+Q39</f>
        <v>-1997798360.6644101</v>
      </c>
      <c r="S39">
        <f t="shared" ref="S39" si="173">R39/100000</f>
        <v>-19977.983606644102</v>
      </c>
      <c r="T39">
        <f t="shared" ref="T39" si="174">S39/1000</f>
        <v>-19.977983606644102</v>
      </c>
    </row>
    <row r="40" spans="1:20" x14ac:dyDescent="0.25">
      <c r="A40" s="5">
        <v>44553</v>
      </c>
      <c r="B40">
        <v>0.15490000000000001</v>
      </c>
      <c r="C40">
        <v>0.20880000000000001</v>
      </c>
      <c r="D40">
        <v>0.15049999999999999</v>
      </c>
      <c r="E40">
        <v>0.16470000000000001</v>
      </c>
      <c r="F40">
        <v>111412021</v>
      </c>
      <c r="G40">
        <v>0.16470000000000001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-0.51286449399656897</v>
      </c>
      <c r="Q40">
        <f t="shared" ref="Q40" si="176">F40*P40</f>
        <v>-57139269.775300115</v>
      </c>
      <c r="R40">
        <f t="shared" ref="R40" si="177">R41+Q40</f>
        <v>-1985599554.0673952</v>
      </c>
      <c r="S40">
        <f t="shared" ref="S40" si="178">R40/100000</f>
        <v>-19855.995540673954</v>
      </c>
      <c r="T40">
        <f t="shared" ref="T40" si="179">S40/1000</f>
        <v>-19.855995540673952</v>
      </c>
    </row>
    <row r="41" spans="1:20" x14ac:dyDescent="0.25">
      <c r="A41" s="5">
        <v>44552</v>
      </c>
      <c r="B41">
        <v>0.15090000000000001</v>
      </c>
      <c r="C41">
        <v>0.1595</v>
      </c>
      <c r="D41">
        <v>0.14949999999999999</v>
      </c>
      <c r="E41">
        <v>0.155</v>
      </c>
      <c r="F41">
        <v>9807546</v>
      </c>
      <c r="G41">
        <v>0.155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0.1</v>
      </c>
      <c r="Q41">
        <f t="shared" ref="Q41" si="181">F41*P41</f>
        <v>980754.60000000009</v>
      </c>
      <c r="R41">
        <f t="shared" ref="R41" si="182">R42+Q41</f>
        <v>-1928460284.2920952</v>
      </c>
      <c r="S41">
        <f t="shared" ref="S41" si="183">R41/100000</f>
        <v>-19284.602842920951</v>
      </c>
      <c r="T41">
        <f t="shared" ref="T41" si="184">S41/1000</f>
        <v>-19.28460284292095</v>
      </c>
    </row>
    <row r="42" spans="1:20" x14ac:dyDescent="0.25">
      <c r="A42" s="5">
        <v>44551</v>
      </c>
      <c r="B42">
        <v>0.14680000000000001</v>
      </c>
      <c r="C42">
        <v>0.15409999999999999</v>
      </c>
      <c r="D42">
        <v>0.14499999999999999</v>
      </c>
      <c r="E42">
        <v>0.15079999999999999</v>
      </c>
      <c r="F42">
        <v>8258158</v>
      </c>
      <c r="G42">
        <v>0.15079999999999999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0.27472527472527508</v>
      </c>
      <c r="Q42">
        <f t="shared" ref="Q42" si="186">F42*P42</f>
        <v>2268724.7252747281</v>
      </c>
      <c r="R42">
        <f t="shared" ref="R42" si="187">R43+Q42</f>
        <v>-1929441038.8920951</v>
      </c>
      <c r="S42">
        <f t="shared" ref="S42" si="188">R42/100000</f>
        <v>-19294.410388920951</v>
      </c>
      <c r="T42">
        <f t="shared" ref="T42" si="189">S42/1000</f>
        <v>-19.294410388920952</v>
      </c>
    </row>
    <row r="43" spans="1:20" x14ac:dyDescent="0.25">
      <c r="A43" s="5">
        <v>44550</v>
      </c>
      <c r="B43">
        <v>0.153</v>
      </c>
      <c r="C43">
        <v>0.1545</v>
      </c>
      <c r="D43">
        <v>0.1399</v>
      </c>
      <c r="E43">
        <v>0.14660000000000001</v>
      </c>
      <c r="F43">
        <v>7926568</v>
      </c>
      <c r="G43">
        <v>0.14660000000000001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-8.2191780821916346E-2</v>
      </c>
      <c r="Q43">
        <f t="shared" ref="Q43" si="191">F43*P43</f>
        <v>-651498.73972601583</v>
      </c>
      <c r="R43">
        <f t="shared" ref="R43" si="192">R44+Q43</f>
        <v>-1931709763.6173699</v>
      </c>
      <c r="S43">
        <f t="shared" ref="S43" si="193">R43/100000</f>
        <v>-19317.097636173698</v>
      </c>
      <c r="T43">
        <f t="shared" ref="T43" si="194">S43/1000</f>
        <v>-19.317097636173699</v>
      </c>
    </row>
    <row r="44" spans="1:20" x14ac:dyDescent="0.25">
      <c r="A44" s="5">
        <v>44549</v>
      </c>
      <c r="B44">
        <v>0.1578</v>
      </c>
      <c r="C44">
        <v>0.16</v>
      </c>
      <c r="D44">
        <v>0.15179999999999999</v>
      </c>
      <c r="E44">
        <v>0.15310000000000001</v>
      </c>
      <c r="F44">
        <v>7656872</v>
      </c>
      <c r="G44">
        <v>0.15310000000000001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-0.68292682926828752</v>
      </c>
      <c r="Q44">
        <f t="shared" ref="Q44" si="196">F44*P44</f>
        <v>-5229083.317073131</v>
      </c>
      <c r="R44">
        <f t="shared" ref="R44" si="197">R45+Q44</f>
        <v>-1931058264.8776438</v>
      </c>
      <c r="S44">
        <f t="shared" ref="S44" si="198">R44/100000</f>
        <v>-19310.582648776439</v>
      </c>
      <c r="T44">
        <f t="shared" ref="T44" si="199">S44/1000</f>
        <v>-19.310582648776439</v>
      </c>
    </row>
    <row r="45" spans="1:20" x14ac:dyDescent="0.25">
      <c r="A45" s="5">
        <v>44548</v>
      </c>
      <c r="B45">
        <v>0.15770000000000001</v>
      </c>
      <c r="C45">
        <v>0.1673</v>
      </c>
      <c r="D45">
        <v>0.1517</v>
      </c>
      <c r="E45">
        <v>0.15790000000000001</v>
      </c>
      <c r="F45">
        <v>14082076</v>
      </c>
      <c r="G45">
        <v>0.15790000000000001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-0.20512820512820384</v>
      </c>
      <c r="Q45">
        <f t="shared" ref="Q45" si="201">F45*P45</f>
        <v>-2888630.9743589563</v>
      </c>
      <c r="R45">
        <f t="shared" ref="R45" si="202">R46+Q45</f>
        <v>-1925829181.5605707</v>
      </c>
      <c r="S45">
        <f t="shared" ref="S45" si="203">R45/100000</f>
        <v>-19258.291815605706</v>
      </c>
      <c r="T45">
        <f t="shared" ref="T45" si="204">S45/1000</f>
        <v>-19.258291815605705</v>
      </c>
    </row>
    <row r="46" spans="1:20" x14ac:dyDescent="0.25">
      <c r="A46" s="5">
        <v>44547</v>
      </c>
      <c r="B46">
        <v>0.1482</v>
      </c>
      <c r="C46">
        <v>0.1772</v>
      </c>
      <c r="D46">
        <v>0.14649999999999999</v>
      </c>
      <c r="E46">
        <v>0.15770000000000001</v>
      </c>
      <c r="F46">
        <v>50218054</v>
      </c>
      <c r="G46">
        <v>0.15770000000000001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-0.2703583061889242</v>
      </c>
      <c r="Q46">
        <f t="shared" ref="Q46" si="206">F46*P46</f>
        <v>-13576868.019543929</v>
      </c>
      <c r="R46">
        <f t="shared" ref="R46" si="207">R47+Q46</f>
        <v>-1922940550.5862117</v>
      </c>
      <c r="S46">
        <f t="shared" ref="S46" si="208">R46/100000</f>
        <v>-19229.405505862116</v>
      </c>
      <c r="T46">
        <f t="shared" ref="T46" si="209">S46/1000</f>
        <v>-19.229405505862115</v>
      </c>
    </row>
    <row r="47" spans="1:20" x14ac:dyDescent="0.25">
      <c r="A47" s="5">
        <v>44546</v>
      </c>
      <c r="B47">
        <v>0.1434</v>
      </c>
      <c r="C47">
        <v>0.15909999999999999</v>
      </c>
      <c r="D47">
        <v>0.1431</v>
      </c>
      <c r="E47">
        <v>0.14849999999999999</v>
      </c>
      <c r="F47">
        <v>19601989</v>
      </c>
      <c r="G47">
        <v>0.14849999999999999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-0.3250000000000009</v>
      </c>
      <c r="Q47">
        <f t="shared" ref="Q47" si="211">F47*P47</f>
        <v>-6370646.4250000175</v>
      </c>
      <c r="R47">
        <f t="shared" ref="R47" si="212">R48+Q47</f>
        <v>-1909363682.5666678</v>
      </c>
      <c r="S47">
        <f t="shared" ref="S47" si="213">R47/100000</f>
        <v>-19093.636825666679</v>
      </c>
      <c r="T47">
        <f t="shared" ref="T47" si="214">S47/1000</f>
        <v>-19.093636825666678</v>
      </c>
    </row>
    <row r="48" spans="1:20" x14ac:dyDescent="0.25">
      <c r="A48" s="5">
        <v>44545</v>
      </c>
      <c r="B48">
        <v>0.1414</v>
      </c>
      <c r="C48">
        <v>0.1527</v>
      </c>
      <c r="D48">
        <v>0.13569999999999999</v>
      </c>
      <c r="E48">
        <v>0.14369999999999999</v>
      </c>
      <c r="F48">
        <v>15321514</v>
      </c>
      <c r="G48">
        <v>0.14369999999999999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-5.8823529411764705E-2</v>
      </c>
      <c r="Q48">
        <f t="shared" ref="Q48" si="216">F48*P48</f>
        <v>-901265.5294117647</v>
      </c>
      <c r="R48">
        <f t="shared" ref="R48" si="217">R49+Q48</f>
        <v>-1902993036.1416678</v>
      </c>
      <c r="S48">
        <f t="shared" ref="S48" si="218">R48/100000</f>
        <v>-19029.930361416678</v>
      </c>
      <c r="T48">
        <f t="shared" ref="T48" si="219">S48/1000</f>
        <v>-19.029930361416678</v>
      </c>
    </row>
    <row r="49" spans="1:20" x14ac:dyDescent="0.25">
      <c r="A49" s="5">
        <v>44544</v>
      </c>
      <c r="B49">
        <v>0.1389</v>
      </c>
      <c r="C49">
        <v>0.15870000000000001</v>
      </c>
      <c r="D49">
        <v>0.13700000000000001</v>
      </c>
      <c r="E49">
        <v>0.14130000000000001</v>
      </c>
      <c r="F49">
        <v>17371157</v>
      </c>
      <c r="G49">
        <v>0.14130000000000001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-0.60368663594470051</v>
      </c>
      <c r="Q49">
        <f t="shared" ref="Q49" si="221">F49*P49</f>
        <v>-10486735.331797237</v>
      </c>
      <c r="R49">
        <f t="shared" ref="R49" si="222">R50+Q49</f>
        <v>-1902091770.6122561</v>
      </c>
      <c r="S49">
        <f t="shared" ref="S49" si="223">R49/100000</f>
        <v>-19020.91770612256</v>
      </c>
      <c r="T49">
        <f t="shared" ref="T49" si="224">S49/1000</f>
        <v>-19.02091770612256</v>
      </c>
    </row>
    <row r="50" spans="1:20" x14ac:dyDescent="0.25">
      <c r="A50" s="5">
        <v>44543</v>
      </c>
      <c r="B50">
        <v>0.1608</v>
      </c>
      <c r="C50">
        <v>0.16739999999999999</v>
      </c>
      <c r="D50">
        <v>0.13739999999999999</v>
      </c>
      <c r="E50">
        <v>0.1391</v>
      </c>
      <c r="F50">
        <v>14056792.560000001</v>
      </c>
      <c r="G50">
        <v>0.1391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-0.88666666666666616</v>
      </c>
      <c r="Q50">
        <f t="shared" ref="Q50" si="226">F50*P50</f>
        <v>-12463689.403199993</v>
      </c>
      <c r="R50">
        <f t="shared" ref="R50" si="227">R51+Q50</f>
        <v>-1891605035.2804589</v>
      </c>
      <c r="S50">
        <f t="shared" ref="S50" si="228">R50/100000</f>
        <v>-18916.050352804588</v>
      </c>
      <c r="T50">
        <f t="shared" ref="T50" si="229">S50/1000</f>
        <v>-18.916050352804589</v>
      </c>
    </row>
    <row r="51" spans="1:20" x14ac:dyDescent="0.25">
      <c r="A51" s="5">
        <v>44542</v>
      </c>
      <c r="B51">
        <v>0.15920000000000001</v>
      </c>
      <c r="C51">
        <v>0.17130000000000001</v>
      </c>
      <c r="D51">
        <v>0.15409999999999999</v>
      </c>
      <c r="E51">
        <v>0.1608</v>
      </c>
      <c r="F51">
        <v>14398624</v>
      </c>
      <c r="G51">
        <v>0.1608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-0.22093023255813915</v>
      </c>
      <c r="Q51">
        <f t="shared" ref="Q51" si="231">F51*P51</f>
        <v>-3181091.3488372038</v>
      </c>
      <c r="R51">
        <f t="shared" ref="R51" si="232">R52+Q51</f>
        <v>-1879141345.877259</v>
      </c>
      <c r="S51">
        <f t="shared" ref="S51" si="233">R51/100000</f>
        <v>-18791.413458772589</v>
      </c>
      <c r="T51">
        <f t="shared" ref="T51" si="234">S51/1000</f>
        <v>-18.791413458772588</v>
      </c>
    </row>
    <row r="52" spans="1:20" x14ac:dyDescent="0.25">
      <c r="A52" s="5">
        <v>44541</v>
      </c>
      <c r="B52">
        <v>0.156</v>
      </c>
      <c r="C52">
        <v>0.1583</v>
      </c>
      <c r="D52">
        <v>0.1527</v>
      </c>
      <c r="E52">
        <v>0.1578</v>
      </c>
      <c r="F52">
        <v>653641</v>
      </c>
      <c r="G52">
        <v>0.1578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0.82142857142857106</v>
      </c>
      <c r="Q52">
        <f t="shared" ref="Q52" si="236">F52*P52</f>
        <v>536919.39285714261</v>
      </c>
      <c r="R52">
        <f t="shared" ref="R52" si="237">R53+Q52</f>
        <v>-1875960254.5284219</v>
      </c>
      <c r="S52">
        <f t="shared" ref="S52" si="238">R52/100000</f>
        <v>-18759.602545284219</v>
      </c>
      <c r="T52">
        <f t="shared" ref="T52" si="239">S52/1000</f>
        <v>-18.759602545284217</v>
      </c>
    </row>
    <row r="53" spans="1:20" x14ac:dyDescent="0.25">
      <c r="A53" s="5">
        <v>44540</v>
      </c>
      <c r="B53">
        <v>0.16539999999999999</v>
      </c>
      <c r="C53">
        <v>0.1719</v>
      </c>
      <c r="D53">
        <v>0.15570000000000001</v>
      </c>
      <c r="E53">
        <v>0.156</v>
      </c>
      <c r="F53">
        <v>10481329.800000001</v>
      </c>
      <c r="G53">
        <v>0.156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-0.96296296296296358</v>
      </c>
      <c r="Q53">
        <f t="shared" ref="Q53" si="241">F53*P53</f>
        <v>-10093132.400000008</v>
      </c>
      <c r="R53">
        <f t="shared" ref="R53" si="242">R54+Q53</f>
        <v>-1876497173.921279</v>
      </c>
      <c r="S53">
        <f t="shared" ref="S53" si="243">R53/100000</f>
        <v>-18764.97173921279</v>
      </c>
      <c r="T53">
        <f t="shared" ref="T53" si="244">S53/1000</f>
        <v>-18.76497173921279</v>
      </c>
    </row>
    <row r="54" spans="1:20" x14ac:dyDescent="0.25">
      <c r="A54" s="5">
        <v>44539</v>
      </c>
      <c r="B54">
        <v>0.18160000000000001</v>
      </c>
      <c r="C54">
        <v>0.19270000000000001</v>
      </c>
      <c r="D54">
        <v>0.16500000000000001</v>
      </c>
      <c r="E54">
        <v>0.16520000000000001</v>
      </c>
      <c r="F54">
        <v>17448788</v>
      </c>
      <c r="G54">
        <v>0.16520000000000001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-0.98555956678700318</v>
      </c>
      <c r="Q54">
        <f t="shared" ref="Q54" si="246">F54*P54</f>
        <v>-17196819.94223826</v>
      </c>
      <c r="R54">
        <f t="shared" ref="R54" si="247">R55+Q54</f>
        <v>-1866404041.5212789</v>
      </c>
      <c r="S54">
        <f t="shared" ref="S54" si="248">R54/100000</f>
        <v>-18664.040415212789</v>
      </c>
      <c r="T54">
        <f t="shared" ref="T54" si="249">S54/1000</f>
        <v>-18.664040415212789</v>
      </c>
    </row>
    <row r="55" spans="1:20" x14ac:dyDescent="0.25">
      <c r="A55" s="5">
        <v>44538</v>
      </c>
      <c r="B55">
        <v>0.17580000000000001</v>
      </c>
      <c r="C55">
        <v>0.19</v>
      </c>
      <c r="D55">
        <v>0.1714</v>
      </c>
      <c r="E55">
        <v>0.18190000000000001</v>
      </c>
      <c r="F55">
        <v>17546914</v>
      </c>
      <c r="G55">
        <v>0.18190000000000001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0.12903225806451679</v>
      </c>
      <c r="Q55">
        <f t="shared" ref="Q55" si="251">F55*P55</f>
        <v>2264117.9354838827</v>
      </c>
      <c r="R55">
        <f t="shared" ref="R55" si="252">R56+Q55</f>
        <v>-1849207221.5790405</v>
      </c>
      <c r="S55">
        <f t="shared" ref="S55" si="253">R55/100000</f>
        <v>-18492.072215790406</v>
      </c>
      <c r="T55">
        <f t="shared" ref="T55" si="254">S55/1000</f>
        <v>-18.492072215790404</v>
      </c>
    </row>
    <row r="56" spans="1:20" x14ac:dyDescent="0.25">
      <c r="A56" s="5">
        <v>44537</v>
      </c>
      <c r="B56">
        <v>0.1802</v>
      </c>
      <c r="C56">
        <v>0.19</v>
      </c>
      <c r="D56">
        <v>0.17199999999999999</v>
      </c>
      <c r="E56">
        <v>0.17630000000000001</v>
      </c>
      <c r="F56">
        <v>22697060</v>
      </c>
      <c r="G56">
        <v>0.17630000000000001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-0.5222222222222197</v>
      </c>
      <c r="Q56">
        <f t="shared" ref="Q56" si="256">F56*P56</f>
        <v>-11852909.111111054</v>
      </c>
      <c r="R56">
        <f t="shared" ref="R56" si="257">R57+Q56</f>
        <v>-1851471339.5145245</v>
      </c>
      <c r="S56">
        <f t="shared" ref="S56" si="258">R56/100000</f>
        <v>-18514.713395145245</v>
      </c>
      <c r="T56">
        <f t="shared" ref="T56" si="259">S56/1000</f>
        <v>-18.514713395145247</v>
      </c>
    </row>
    <row r="57" spans="1:20" x14ac:dyDescent="0.25">
      <c r="A57" s="5">
        <v>44536</v>
      </c>
      <c r="B57">
        <v>0.182</v>
      </c>
      <c r="C57">
        <v>0.184</v>
      </c>
      <c r="D57">
        <v>0.16009999999999999</v>
      </c>
      <c r="E57">
        <v>0.18049999999999999</v>
      </c>
      <c r="F57">
        <v>22961308.390000001</v>
      </c>
      <c r="G57">
        <v>0.18049999999999999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0.70711297071129686</v>
      </c>
      <c r="Q57">
        <f t="shared" ref="Q57" si="261">F57*P57</f>
        <v>16236238.987071125</v>
      </c>
      <c r="R57">
        <f t="shared" ref="R57" si="262">R58+Q57</f>
        <v>-1839618430.4034133</v>
      </c>
      <c r="S57">
        <f t="shared" ref="S57" si="263">R57/100000</f>
        <v>-18396.184304034134</v>
      </c>
      <c r="T57">
        <f t="shared" ref="T57" si="264">S57/1000</f>
        <v>-18.396184304034133</v>
      </c>
    </row>
    <row r="58" spans="1:20" x14ac:dyDescent="0.25">
      <c r="A58" s="5">
        <v>44535</v>
      </c>
      <c r="B58">
        <v>0.1973</v>
      </c>
      <c r="C58">
        <v>0.2021</v>
      </c>
      <c r="D58">
        <v>0.17499999999999999</v>
      </c>
      <c r="E58">
        <v>0.18149999999999999</v>
      </c>
      <c r="F58">
        <v>30536288</v>
      </c>
      <c r="G58">
        <v>0.18149999999999999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-0.52029520295202936</v>
      </c>
      <c r="Q58">
        <f t="shared" ref="Q58" si="266">F58*P58</f>
        <v>-15887884.162361618</v>
      </c>
      <c r="R58">
        <f t="shared" ref="R58" si="267">R59+Q58</f>
        <v>-1855854669.3904843</v>
      </c>
      <c r="S58">
        <f t="shared" ref="S58" si="268">R58/100000</f>
        <v>-18558.546693904842</v>
      </c>
      <c r="T58">
        <f t="shared" ref="T58" si="269">S58/1000</f>
        <v>-18.558546693904841</v>
      </c>
    </row>
    <row r="59" spans="1:20" x14ac:dyDescent="0.25">
      <c r="A59" s="5">
        <v>44534</v>
      </c>
      <c r="B59">
        <v>0.24970000000000001</v>
      </c>
      <c r="C59">
        <v>0.31</v>
      </c>
      <c r="D59">
        <v>0.17710000000000001</v>
      </c>
      <c r="E59">
        <v>0.19719999999999999</v>
      </c>
      <c r="F59">
        <v>135438041.91999999</v>
      </c>
      <c r="G59">
        <v>0.19719999999999999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-0.69751693002257364</v>
      </c>
      <c r="Q59">
        <f t="shared" ref="Q59" si="271">F59*P59</f>
        <v>-94470327.208307028</v>
      </c>
      <c r="R59">
        <f t="shared" ref="R59" si="272">R60+Q59</f>
        <v>-1839966785.2281227</v>
      </c>
      <c r="S59">
        <f t="shared" ref="S59" si="273">R59/100000</f>
        <v>-18399.667852281225</v>
      </c>
      <c r="T59">
        <f t="shared" ref="T59" si="274">S59/1000</f>
        <v>-18.399667852281226</v>
      </c>
    </row>
    <row r="60" spans="1:20" x14ac:dyDescent="0.25">
      <c r="A60" s="5">
        <v>44533</v>
      </c>
      <c r="B60">
        <v>0.2329</v>
      </c>
      <c r="C60">
        <v>0.31940000000000002</v>
      </c>
      <c r="D60">
        <v>0.22689999999999999</v>
      </c>
      <c r="E60">
        <v>0.24979999999999999</v>
      </c>
      <c r="F60">
        <v>146379930</v>
      </c>
      <c r="G60">
        <v>0.24979999999999999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-0.50486486486486493</v>
      </c>
      <c r="Q60">
        <f t="shared" ref="Q60" si="276">F60*P60</f>
        <v>-73902083.578378394</v>
      </c>
      <c r="R60">
        <f t="shared" ref="R60" si="277">R61+Q60</f>
        <v>-1745496458.0198157</v>
      </c>
      <c r="S60">
        <f t="shared" ref="S60" si="278">R60/100000</f>
        <v>-17454.964580198157</v>
      </c>
      <c r="T60">
        <f t="shared" ref="T60" si="279">S60/1000</f>
        <v>-17.454964580198158</v>
      </c>
    </row>
    <row r="61" spans="1:20" x14ac:dyDescent="0.25">
      <c r="A61" s="5">
        <v>44532</v>
      </c>
      <c r="B61">
        <v>0.2177</v>
      </c>
      <c r="C61">
        <v>0.24590000000000001</v>
      </c>
      <c r="D61">
        <v>0.2114</v>
      </c>
      <c r="E61">
        <v>0.23300000000000001</v>
      </c>
      <c r="F61">
        <v>21919492</v>
      </c>
      <c r="G61">
        <v>0.23300000000000001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0.25217391304347864</v>
      </c>
      <c r="Q61">
        <f t="shared" ref="Q61" si="281">F61*P61</f>
        <v>5527524.0695652254</v>
      </c>
      <c r="R61">
        <f t="shared" ref="R61" si="282">R62+Q61</f>
        <v>-1671594374.4414372</v>
      </c>
      <c r="S61">
        <f t="shared" ref="S61" si="283">R61/100000</f>
        <v>-16715.943744414373</v>
      </c>
      <c r="T61">
        <f t="shared" ref="T61" si="284">S61/1000</f>
        <v>-16.715943744414375</v>
      </c>
    </row>
    <row r="62" spans="1:20" x14ac:dyDescent="0.25">
      <c r="A62" s="5">
        <v>44531</v>
      </c>
      <c r="B62">
        <v>0.22289999999999999</v>
      </c>
      <c r="C62">
        <v>0.2263</v>
      </c>
      <c r="D62">
        <v>0.21579999999999999</v>
      </c>
      <c r="E62">
        <v>0.2177</v>
      </c>
      <c r="F62">
        <v>15631962</v>
      </c>
      <c r="G62">
        <v>0.2177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-0.63809523809523594</v>
      </c>
      <c r="Q62">
        <f t="shared" ref="Q62" si="286">F62*P62</f>
        <v>-9974680.5142856799</v>
      </c>
      <c r="R62">
        <f t="shared" ref="R62" si="287">R63+Q62</f>
        <v>-1677121898.5110025</v>
      </c>
      <c r="S62">
        <f t="shared" ref="S62" si="288">R62/100000</f>
        <v>-16771.218985110027</v>
      </c>
      <c r="T62">
        <f t="shared" ref="T62" si="289">S62/1000</f>
        <v>-16.771218985110025</v>
      </c>
    </row>
    <row r="63" spans="1:20" x14ac:dyDescent="0.25">
      <c r="A63" s="5">
        <v>44530</v>
      </c>
      <c r="B63">
        <v>0.23080000000000001</v>
      </c>
      <c r="C63">
        <v>0.2341</v>
      </c>
      <c r="D63">
        <v>0.22259999999999999</v>
      </c>
      <c r="E63">
        <v>0.22309999999999999</v>
      </c>
      <c r="F63">
        <v>11172077</v>
      </c>
      <c r="G63">
        <v>0.22309999999999999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-0.91304347826086951</v>
      </c>
      <c r="Q63">
        <f t="shared" ref="Q63" si="291">F63*P63</f>
        <v>-10200592.04347826</v>
      </c>
      <c r="R63">
        <f t="shared" ref="R63" si="292">R64+Q63</f>
        <v>-1667147217.996717</v>
      </c>
      <c r="S63">
        <f t="shared" ref="S63" si="293">R63/100000</f>
        <v>-16671.472179967172</v>
      </c>
      <c r="T63">
        <f t="shared" ref="T63" si="294">S63/1000</f>
        <v>-16.671472179967171</v>
      </c>
    </row>
    <row r="64" spans="1:20" x14ac:dyDescent="0.25">
      <c r="A64" s="5">
        <v>44529</v>
      </c>
      <c r="B64">
        <v>0.22700000000000001</v>
      </c>
      <c r="C64">
        <v>0.24390000000000001</v>
      </c>
      <c r="D64">
        <v>0.21959999999999999</v>
      </c>
      <c r="E64">
        <v>0.23039999999999999</v>
      </c>
      <c r="F64">
        <v>20364526</v>
      </c>
      <c r="G64">
        <v>0.23039999999999999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-0.11111111111111137</v>
      </c>
      <c r="Q64">
        <f t="shared" ref="Q64" si="296">F64*P64</f>
        <v>-2262725.1111111161</v>
      </c>
      <c r="R64">
        <f t="shared" ref="R64" si="297">R65+Q64</f>
        <v>-1656946625.9532387</v>
      </c>
      <c r="S64">
        <f t="shared" ref="S64" si="298">R64/100000</f>
        <v>-16569.466259532386</v>
      </c>
      <c r="T64">
        <f t="shared" ref="T64" si="299">S64/1000</f>
        <v>-16.569466259532387</v>
      </c>
    </row>
    <row r="65" spans="1:20" x14ac:dyDescent="0.25">
      <c r="A65" s="5">
        <v>44528</v>
      </c>
      <c r="B65">
        <v>0.2334</v>
      </c>
      <c r="C65">
        <v>0.26500000000000001</v>
      </c>
      <c r="D65">
        <v>0.21199999999999999</v>
      </c>
      <c r="E65">
        <v>0.22689999999999999</v>
      </c>
      <c r="F65">
        <v>34636942</v>
      </c>
      <c r="G65">
        <v>0.22689999999999999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-0.43773584905660412</v>
      </c>
      <c r="Q65">
        <f t="shared" ref="Q65" si="301">F65*P65</f>
        <v>-15161831.215094352</v>
      </c>
      <c r="R65">
        <f t="shared" ref="R65" si="302">R66+Q65</f>
        <v>-1654683900.8421276</v>
      </c>
      <c r="S65">
        <f t="shared" ref="S65" si="303">R65/100000</f>
        <v>-16546.839008421277</v>
      </c>
      <c r="T65">
        <f t="shared" ref="T65" si="304">S65/1000</f>
        <v>-16.546839008421276</v>
      </c>
    </row>
    <row r="66" spans="1:20" x14ac:dyDescent="0.25">
      <c r="A66" s="5">
        <v>44527</v>
      </c>
      <c r="B66">
        <v>0.2112</v>
      </c>
      <c r="C66">
        <v>0.25</v>
      </c>
      <c r="D66">
        <v>0.2097</v>
      </c>
      <c r="E66">
        <v>0.23369999999999999</v>
      </c>
      <c r="F66">
        <v>32584811</v>
      </c>
      <c r="G66">
        <v>0.23369999999999999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0.19106699751861003</v>
      </c>
      <c r="Q66">
        <f t="shared" ref="Q66" si="306">F66*P66</f>
        <v>6225882.0024813768</v>
      </c>
      <c r="R66">
        <f t="shared" ref="R66" si="307">R67+Q66</f>
        <v>-1639522069.6270332</v>
      </c>
      <c r="S66">
        <f t="shared" ref="S66" si="308">R66/100000</f>
        <v>-16395.220696270331</v>
      </c>
      <c r="T66">
        <f t="shared" ref="T66" si="309">S66/1000</f>
        <v>-16.395220696270332</v>
      </c>
    </row>
    <row r="67" spans="1:20" x14ac:dyDescent="0.25">
      <c r="A67" s="5">
        <v>44526</v>
      </c>
      <c r="B67">
        <v>0.23910000000000001</v>
      </c>
      <c r="C67">
        <v>0.24179999999999999</v>
      </c>
      <c r="D67">
        <v>0.21</v>
      </c>
      <c r="E67">
        <v>0.21160000000000001</v>
      </c>
      <c r="F67">
        <v>19363496</v>
      </c>
      <c r="G67">
        <v>0.21160000000000001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-0.89937106918238874</v>
      </c>
      <c r="Q67">
        <f t="shared" ref="Q67" si="311">F67*P67</f>
        <v>-17414968.100628909</v>
      </c>
      <c r="R67">
        <f t="shared" ref="R67" si="312">R68+Q67</f>
        <v>-1645747951.6295147</v>
      </c>
      <c r="S67">
        <f t="shared" ref="S67" si="313">R67/100000</f>
        <v>-16457.479516295149</v>
      </c>
      <c r="T67">
        <f t="shared" ref="T67" si="314">S67/1000</f>
        <v>-16.457479516295148</v>
      </c>
    </row>
    <row r="68" spans="1:20" x14ac:dyDescent="0.25">
      <c r="A68" s="5">
        <v>44525</v>
      </c>
      <c r="B68">
        <v>0.23719999999999999</v>
      </c>
      <c r="C68">
        <v>0.2422</v>
      </c>
      <c r="D68">
        <v>0.22989999999999999</v>
      </c>
      <c r="E68">
        <v>0.23949999999999999</v>
      </c>
      <c r="F68">
        <v>17393948</v>
      </c>
      <c r="G68">
        <v>0.23949999999999999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0.5609756097560965</v>
      </c>
      <c r="Q68">
        <f t="shared" ref="Q68" si="316">F68*P68</f>
        <v>9757580.5853658356</v>
      </c>
      <c r="R68">
        <f t="shared" ref="R68" si="317">R69+Q68</f>
        <v>-1628332983.5288858</v>
      </c>
      <c r="S68">
        <f t="shared" ref="S68" si="318">R68/100000</f>
        <v>-16283.329835288858</v>
      </c>
      <c r="T68">
        <f t="shared" ref="T68" si="319">S68/1000</f>
        <v>-16.283329835288857</v>
      </c>
    </row>
    <row r="69" spans="1:20" x14ac:dyDescent="0.25">
      <c r="A69" s="5">
        <v>44524</v>
      </c>
      <c r="B69">
        <v>0.2303</v>
      </c>
      <c r="C69">
        <v>0.23499999999999999</v>
      </c>
      <c r="D69">
        <v>0.2261</v>
      </c>
      <c r="E69">
        <v>0.23250000000000001</v>
      </c>
      <c r="F69">
        <v>3971370</v>
      </c>
      <c r="G69">
        <v>0.23250000000000001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0.43820224719101641</v>
      </c>
      <c r="Q69">
        <f t="shared" ref="Q69" si="321">F69*P69</f>
        <v>1740263.2584269869</v>
      </c>
      <c r="R69">
        <f t="shared" ref="R69" si="322">R70+Q69</f>
        <v>-1638090564.1142516</v>
      </c>
      <c r="S69">
        <f t="shared" ref="S69" si="323">R69/100000</f>
        <v>-16380.905641142515</v>
      </c>
      <c r="T69">
        <f t="shared" ref="T69" si="324">S69/1000</f>
        <v>-16.380905641142515</v>
      </c>
    </row>
    <row r="70" spans="1:20" x14ac:dyDescent="0.25">
      <c r="A70" s="5">
        <v>44523</v>
      </c>
      <c r="B70">
        <v>0.22450000000000001</v>
      </c>
      <c r="C70">
        <v>0.2354</v>
      </c>
      <c r="D70">
        <v>0.22309999999999999</v>
      </c>
      <c r="E70">
        <v>0.2303</v>
      </c>
      <c r="F70">
        <v>12494215</v>
      </c>
      <c r="G70">
        <v>0.2303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0.1707317073170746</v>
      </c>
      <c r="Q70">
        <f t="shared" ref="Q70" si="326">F70*P70</f>
        <v>2133158.6585366032</v>
      </c>
      <c r="R70">
        <f t="shared" ref="R70" si="327">R71+Q70</f>
        <v>-1639830827.3726785</v>
      </c>
      <c r="S70">
        <f t="shared" ref="S70" si="328">R70/100000</f>
        <v>-16398.308273726787</v>
      </c>
      <c r="T70">
        <f t="shared" ref="T70" si="329">S70/1000</f>
        <v>-16.398308273726787</v>
      </c>
    </row>
    <row r="71" spans="1:20" x14ac:dyDescent="0.25">
      <c r="A71" s="5">
        <v>44522</v>
      </c>
      <c r="B71">
        <v>0.2397</v>
      </c>
      <c r="C71">
        <v>0.23980000000000001</v>
      </c>
      <c r="D71">
        <v>0.22120000000000001</v>
      </c>
      <c r="E71">
        <v>0.2243</v>
      </c>
      <c r="F71">
        <v>16972823</v>
      </c>
      <c r="G71">
        <v>0.2243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-0.66666666666666763</v>
      </c>
      <c r="Q71">
        <f t="shared" ref="Q71" si="331">F71*P71</f>
        <v>-11315215.333333349</v>
      </c>
      <c r="R71">
        <f t="shared" ref="R71" si="332">R72+Q71</f>
        <v>-1641963986.0312152</v>
      </c>
      <c r="S71">
        <f t="shared" ref="S71" si="333">R71/100000</f>
        <v>-16419.639860312152</v>
      </c>
      <c r="T71">
        <f t="shared" ref="T71" si="334">S71/1000</f>
        <v>-16.419639860312152</v>
      </c>
    </row>
    <row r="72" spans="1:20" x14ac:dyDescent="0.25">
      <c r="A72" s="5">
        <v>44521</v>
      </c>
      <c r="B72">
        <v>0.23139999999999999</v>
      </c>
      <c r="C72">
        <v>0.254</v>
      </c>
      <c r="D72">
        <v>0.23100000000000001</v>
      </c>
      <c r="E72">
        <v>0.23960000000000001</v>
      </c>
      <c r="F72">
        <v>30075879</v>
      </c>
      <c r="G72">
        <v>0.23960000000000001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-0.2521739130434783</v>
      </c>
      <c r="Q72">
        <f t="shared" ref="Q72" si="336">F72*P72</f>
        <v>-7584352.0956521751</v>
      </c>
      <c r="R72">
        <f t="shared" ref="R72" si="337">R73+Q72</f>
        <v>-1630648770.6978819</v>
      </c>
      <c r="S72">
        <f t="shared" ref="S72" si="338">R72/100000</f>
        <v>-16306.48770697882</v>
      </c>
      <c r="T72">
        <f t="shared" ref="T72" si="339">S72/1000</f>
        <v>-16.306487706978821</v>
      </c>
    </row>
    <row r="73" spans="1:20" x14ac:dyDescent="0.25">
      <c r="A73" s="5">
        <v>44520</v>
      </c>
      <c r="B73">
        <v>0.21560000000000001</v>
      </c>
      <c r="C73">
        <v>0.2351</v>
      </c>
      <c r="D73">
        <v>0.21479999999999999</v>
      </c>
      <c r="E73">
        <v>0.23139999999999999</v>
      </c>
      <c r="F73">
        <v>17571562</v>
      </c>
      <c r="G73">
        <v>0.23139999999999999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0.63546798029556584</v>
      </c>
      <c r="Q73">
        <f t="shared" ref="Q73" si="341">F73*P73</f>
        <v>11166165.014778314</v>
      </c>
      <c r="R73">
        <f t="shared" ref="R73" si="342">R74+Q73</f>
        <v>-1623064418.6022298</v>
      </c>
      <c r="S73">
        <f t="shared" ref="S73" si="343">R73/100000</f>
        <v>-16230.644186022299</v>
      </c>
      <c r="T73">
        <f t="shared" ref="T73" si="344">S73/1000</f>
        <v>-16.2306441860223</v>
      </c>
    </row>
    <row r="74" spans="1:20" x14ac:dyDescent="0.25">
      <c r="A74" s="5">
        <v>44519</v>
      </c>
      <c r="B74">
        <v>0.20860000000000001</v>
      </c>
      <c r="C74">
        <v>0.21990000000000001</v>
      </c>
      <c r="D74">
        <v>0.2029</v>
      </c>
      <c r="E74">
        <v>0.2155</v>
      </c>
      <c r="F74">
        <v>12598505</v>
      </c>
      <c r="G74">
        <v>0.2155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0.48235294117646926</v>
      </c>
      <c r="Q74">
        <f t="shared" ref="Q74" si="346">F74*P74</f>
        <v>6076925.9411764536</v>
      </c>
      <c r="R74">
        <f t="shared" ref="R74" si="347">R75+Q74</f>
        <v>-1634230583.6170082</v>
      </c>
      <c r="S74">
        <f t="shared" ref="S74" si="348">R74/100000</f>
        <v>-16342.305836170082</v>
      </c>
      <c r="T74">
        <f t="shared" ref="T74" si="349">S74/1000</f>
        <v>-16.342305836170084</v>
      </c>
    </row>
    <row r="75" spans="1:20" x14ac:dyDescent="0.25">
      <c r="A75" s="5">
        <v>44518</v>
      </c>
      <c r="B75">
        <v>0.23619999999999999</v>
      </c>
      <c r="C75">
        <v>0.23980000000000001</v>
      </c>
      <c r="D75">
        <v>0.2041</v>
      </c>
      <c r="E75">
        <v>0.20860000000000001</v>
      </c>
      <c r="F75">
        <v>21307357</v>
      </c>
      <c r="G75">
        <v>0.20860000000000001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-0.74789915966386544</v>
      </c>
      <c r="Q75">
        <f t="shared" ref="Q75" si="351">F75*P75</f>
        <v>-15935754.39495798</v>
      </c>
      <c r="R75">
        <f t="shared" ref="R75" si="352">R76+Q75</f>
        <v>-1640307509.5581846</v>
      </c>
      <c r="S75">
        <f t="shared" ref="S75" si="353">R75/100000</f>
        <v>-16403.075095581848</v>
      </c>
      <c r="T75">
        <f t="shared" ref="T75" si="354">S75/1000</f>
        <v>-16.403075095581848</v>
      </c>
    </row>
    <row r="76" spans="1:20" x14ac:dyDescent="0.25">
      <c r="A76" s="5">
        <v>44517</v>
      </c>
      <c r="B76">
        <v>0.23799999999999999</v>
      </c>
      <c r="C76">
        <v>0.25369999999999998</v>
      </c>
      <c r="D76">
        <v>0.2334</v>
      </c>
      <c r="E76">
        <v>0.2364</v>
      </c>
      <c r="F76">
        <v>39063997</v>
      </c>
      <c r="G76">
        <v>0.2364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-0.70443349753694529</v>
      </c>
      <c r="Q76">
        <f t="shared" ref="Q76" si="356">F76*P76</f>
        <v>-27517988.03448274</v>
      </c>
      <c r="R76">
        <f t="shared" ref="R76" si="357">R77+Q76</f>
        <v>-1624371755.1632266</v>
      </c>
      <c r="S76">
        <f t="shared" ref="S76" si="358">R76/100000</f>
        <v>-16243.717551632266</v>
      </c>
      <c r="T76">
        <f t="shared" ref="T76" si="359">S76/1000</f>
        <v>-16.243717551632265</v>
      </c>
    </row>
    <row r="77" spans="1:20" x14ac:dyDescent="0.25">
      <c r="A77" s="5">
        <v>44516</v>
      </c>
      <c r="B77">
        <v>0.2364</v>
      </c>
      <c r="C77">
        <v>0.255</v>
      </c>
      <c r="D77">
        <v>0.22189999999999999</v>
      </c>
      <c r="E77">
        <v>0.23749999999999999</v>
      </c>
      <c r="F77">
        <v>38412233</v>
      </c>
      <c r="G77">
        <v>0.23749999999999999</v>
      </c>
      <c r="L77" t="s">
        <v>8</v>
      </c>
      <c r="M77" t="s">
        <v>7</v>
      </c>
      <c r="N77" t="s">
        <v>7</v>
      </c>
      <c r="P77">
        <f t="shared" ref="P77" si="360">IF(C77=D77,0,((E77-D77)-(C77-E77))/(C77-D77))</f>
        <v>-5.7401812688822107E-2</v>
      </c>
      <c r="Q77">
        <f t="shared" ref="Q77" si="361">F77*P77</f>
        <v>-2204931.8036253913</v>
      </c>
      <c r="R77">
        <f t="shared" ref="R77" si="362">R78+Q77</f>
        <v>-1596853767.1287439</v>
      </c>
      <c r="S77">
        <f t="shared" ref="S77" si="363">R77/100000</f>
        <v>-15968.537671287439</v>
      </c>
      <c r="T77">
        <f t="shared" ref="T77" si="364">S77/1000</f>
        <v>-15.968537671287439</v>
      </c>
    </row>
    <row r="78" spans="1:20" x14ac:dyDescent="0.25">
      <c r="A78" s="5">
        <v>44515</v>
      </c>
      <c r="B78">
        <v>0.23419999999999999</v>
      </c>
      <c r="C78">
        <v>0.24879999999999999</v>
      </c>
      <c r="D78">
        <v>0.2334</v>
      </c>
      <c r="E78">
        <v>0.23619999999999999</v>
      </c>
      <c r="F78">
        <v>17297412</v>
      </c>
      <c r="G78">
        <v>0.23619999999999999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-0.63636363636363669</v>
      </c>
      <c r="Q78">
        <f t="shared" ref="Q78" si="366">F78*P78</f>
        <v>-11007444.000000006</v>
      </c>
      <c r="R78">
        <f t="shared" ref="R78" si="367">R79+Q78</f>
        <v>-1594648835.3251185</v>
      </c>
      <c r="S78">
        <f t="shared" ref="S78" si="368">R78/100000</f>
        <v>-15946.488353251185</v>
      </c>
      <c r="T78">
        <f t="shared" ref="T78" si="369">S78/1000</f>
        <v>-15.946488353251185</v>
      </c>
    </row>
    <row r="79" spans="1:20" x14ac:dyDescent="0.25">
      <c r="A79" s="5">
        <v>44514</v>
      </c>
      <c r="B79">
        <v>0.2382</v>
      </c>
      <c r="C79">
        <v>0.24</v>
      </c>
      <c r="D79">
        <v>0.2301</v>
      </c>
      <c r="E79">
        <v>0.23400000000000001</v>
      </c>
      <c r="F79">
        <v>10630149</v>
      </c>
      <c r="G79">
        <v>0.23400000000000001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-0.21212121212120855</v>
      </c>
      <c r="Q79">
        <f t="shared" ref="Q79" si="371">F79*P79</f>
        <v>-2254880.0909090531</v>
      </c>
      <c r="R79">
        <f t="shared" ref="R79" si="372">R80+Q79</f>
        <v>-1583641391.3251185</v>
      </c>
      <c r="S79">
        <f t="shared" ref="S79" si="373">R79/100000</f>
        <v>-15836.413913251185</v>
      </c>
      <c r="T79">
        <f t="shared" ref="T79" si="374">S79/1000</f>
        <v>-15.836413913251185</v>
      </c>
    </row>
    <row r="80" spans="1:20" x14ac:dyDescent="0.25">
      <c r="A80" s="5">
        <v>44513</v>
      </c>
      <c r="B80">
        <v>0.2283</v>
      </c>
      <c r="C80">
        <v>0.24049999999999999</v>
      </c>
      <c r="D80">
        <v>0.22570000000000001</v>
      </c>
      <c r="E80">
        <v>0.2384</v>
      </c>
      <c r="F80">
        <v>16644695</v>
      </c>
      <c r="G80">
        <v>0.2384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0.71621621621621712</v>
      </c>
      <c r="Q80">
        <f t="shared" ref="Q80" si="376">F80*P80</f>
        <v>11921200.472972987</v>
      </c>
      <c r="R80">
        <f t="shared" ref="R80" si="377">R81+Q80</f>
        <v>-1581386511.2342095</v>
      </c>
      <c r="S80">
        <f t="shared" ref="S80" si="378">R80/100000</f>
        <v>-15813.865112342095</v>
      </c>
      <c r="T80">
        <f t="shared" ref="T80" si="379">S80/1000</f>
        <v>-15.813865112342095</v>
      </c>
    </row>
    <row r="81" spans="1:20" x14ac:dyDescent="0.25">
      <c r="A81" s="5">
        <v>44512</v>
      </c>
      <c r="B81">
        <v>0.22950000000000001</v>
      </c>
      <c r="C81">
        <v>0.23019999999999999</v>
      </c>
      <c r="D81">
        <v>0.22109999999999999</v>
      </c>
      <c r="E81">
        <v>0.2286</v>
      </c>
      <c r="F81">
        <v>12137162</v>
      </c>
      <c r="G81">
        <v>0.2286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0.64835164835165038</v>
      </c>
      <c r="Q81">
        <f t="shared" ref="Q81" si="381">F81*P81</f>
        <v>7869148.9890110139</v>
      </c>
      <c r="R81">
        <f t="shared" ref="R81" si="382">R82+Q81</f>
        <v>-1593307711.7071824</v>
      </c>
      <c r="S81">
        <f t="shared" ref="S81" si="383">R81/100000</f>
        <v>-15933.077117071824</v>
      </c>
      <c r="T81">
        <f t="shared" ref="T81" si="384">S81/1000</f>
        <v>-15.933077117071823</v>
      </c>
    </row>
    <row r="82" spans="1:20" x14ac:dyDescent="0.25">
      <c r="A82" s="5">
        <v>44511</v>
      </c>
      <c r="B82">
        <v>0.22470000000000001</v>
      </c>
      <c r="C82">
        <v>0.23980000000000001</v>
      </c>
      <c r="D82">
        <v>0.21820000000000001</v>
      </c>
      <c r="E82">
        <v>0.2296</v>
      </c>
      <c r="F82">
        <v>15705611</v>
      </c>
      <c r="G82">
        <v>0.2296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5.5555555555554553E-2</v>
      </c>
      <c r="Q82">
        <f t="shared" ref="Q82" si="386">F82*P82</f>
        <v>872533.94444442866</v>
      </c>
      <c r="R82">
        <f t="shared" ref="R82" si="387">R83+Q82</f>
        <v>-1601176860.6961935</v>
      </c>
      <c r="S82">
        <f t="shared" ref="S82" si="388">R82/100000</f>
        <v>-16011.768606961934</v>
      </c>
      <c r="T82">
        <f t="shared" ref="T82" si="389">S82/1000</f>
        <v>-16.011768606961933</v>
      </c>
    </row>
    <row r="83" spans="1:20" x14ac:dyDescent="0.25">
      <c r="A83" s="5">
        <v>44510</v>
      </c>
      <c r="B83">
        <v>0.24049999999999999</v>
      </c>
      <c r="C83">
        <v>0.246</v>
      </c>
      <c r="D83">
        <v>0.221</v>
      </c>
      <c r="E83">
        <v>0.22409999999999999</v>
      </c>
      <c r="F83">
        <v>16827668</v>
      </c>
      <c r="G83">
        <v>0.22409999999999999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-0.75200000000000067</v>
      </c>
      <c r="Q83">
        <f t="shared" ref="Q83" si="391">F83*P83</f>
        <v>-12654406.33600001</v>
      </c>
      <c r="R83">
        <f t="shared" ref="R83" si="392">R84+Q83</f>
        <v>-1602049394.6406379</v>
      </c>
      <c r="S83">
        <f t="shared" ref="S83" si="393">R83/100000</f>
        <v>-16020.493946406379</v>
      </c>
      <c r="T83">
        <f t="shared" ref="T83" si="394">S83/1000</f>
        <v>-16.020493946406379</v>
      </c>
    </row>
    <row r="84" spans="1:20" x14ac:dyDescent="0.25">
      <c r="A84" s="5">
        <v>44509</v>
      </c>
      <c r="B84">
        <v>0.24199999999999999</v>
      </c>
      <c r="C84">
        <v>0.25</v>
      </c>
      <c r="D84">
        <v>0.23830000000000001</v>
      </c>
      <c r="E84">
        <v>0.2404</v>
      </c>
      <c r="F84">
        <v>13731001</v>
      </c>
      <c r="G84">
        <v>0.2404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-0.64102564102564219</v>
      </c>
      <c r="Q84">
        <f t="shared" ref="Q84" si="396">F84*P84</f>
        <v>-8801923.7179487348</v>
      </c>
      <c r="R84">
        <f t="shared" ref="R84" si="397">R85+Q84</f>
        <v>-1589394988.3046379</v>
      </c>
      <c r="S84">
        <f t="shared" ref="S84" si="398">R84/100000</f>
        <v>-15893.94988304638</v>
      </c>
      <c r="T84">
        <f t="shared" ref="T84" si="399">S84/1000</f>
        <v>-15.89394988304638</v>
      </c>
    </row>
    <row r="85" spans="1:20" x14ac:dyDescent="0.25">
      <c r="A85" s="5">
        <v>44508</v>
      </c>
      <c r="B85">
        <v>0.24079999999999999</v>
      </c>
      <c r="C85">
        <v>0.247</v>
      </c>
      <c r="D85">
        <v>0.23699999999999999</v>
      </c>
      <c r="E85">
        <v>0.24210000000000001</v>
      </c>
      <c r="F85">
        <v>11200901</v>
      </c>
      <c r="G85">
        <v>0.24210000000000001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2.0000000000003331E-2</v>
      </c>
      <c r="Q85">
        <f t="shared" ref="Q85" si="401">F85*P85</f>
        <v>224018.0200000373</v>
      </c>
      <c r="R85">
        <f t="shared" ref="R85" si="402">R86+Q85</f>
        <v>-1580593064.5866892</v>
      </c>
      <c r="S85">
        <f t="shared" ref="S85" si="403">R85/100000</f>
        <v>-15805.930645866893</v>
      </c>
      <c r="T85">
        <f t="shared" ref="T85" si="404">S85/1000</f>
        <v>-15.805930645866892</v>
      </c>
    </row>
    <row r="86" spans="1:20" x14ac:dyDescent="0.25">
      <c r="A86" s="5">
        <v>44507</v>
      </c>
      <c r="B86">
        <v>0.2414</v>
      </c>
      <c r="C86">
        <v>0.247</v>
      </c>
      <c r="D86">
        <v>0.23699999999999999</v>
      </c>
      <c r="E86">
        <v>0.24079999999999999</v>
      </c>
      <c r="F86">
        <v>10731443</v>
      </c>
      <c r="G86">
        <v>0.24079999999999999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-0.2400000000000011</v>
      </c>
      <c r="Q86">
        <f t="shared" ref="Q86" si="406">F86*P86</f>
        <v>-2575546.3200000119</v>
      </c>
      <c r="R86">
        <f t="shared" ref="R86" si="407">R87+Q86</f>
        <v>-1580817082.6066892</v>
      </c>
      <c r="S86">
        <f t="shared" ref="S86" si="408">R86/100000</f>
        <v>-15808.170826066893</v>
      </c>
      <c r="T86">
        <f t="shared" ref="T86" si="409">S86/1000</f>
        <v>-15.808170826066894</v>
      </c>
    </row>
    <row r="87" spans="1:20" x14ac:dyDescent="0.25">
      <c r="A87" s="5">
        <v>44506</v>
      </c>
      <c r="B87">
        <v>0.2341</v>
      </c>
      <c r="C87">
        <v>0.24279999999999999</v>
      </c>
      <c r="D87">
        <v>0.22950000000000001</v>
      </c>
      <c r="E87">
        <v>0.2414</v>
      </c>
      <c r="F87">
        <v>9391051</v>
      </c>
      <c r="G87">
        <v>0.2414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0.78947368421052833</v>
      </c>
      <c r="Q87">
        <f t="shared" ref="Q87" si="411">F87*P87</f>
        <v>7413987.631578966</v>
      </c>
      <c r="R87">
        <f t="shared" ref="R87" si="412">R88+Q87</f>
        <v>-1578241536.2866893</v>
      </c>
      <c r="S87">
        <f t="shared" ref="S87" si="413">R87/100000</f>
        <v>-15782.415362866894</v>
      </c>
      <c r="T87">
        <f t="shared" ref="T87" si="414">S87/1000</f>
        <v>-15.782415362866894</v>
      </c>
    </row>
    <row r="88" spans="1:20" x14ac:dyDescent="0.25">
      <c r="A88" s="5">
        <v>44505</v>
      </c>
      <c r="B88">
        <v>0.24349999999999999</v>
      </c>
      <c r="C88">
        <v>0.2477</v>
      </c>
      <c r="D88">
        <v>0.2329</v>
      </c>
      <c r="E88">
        <v>0.23419999999999999</v>
      </c>
      <c r="F88">
        <v>8705387</v>
      </c>
      <c r="G88">
        <v>0.23419999999999999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-0.82432432432432501</v>
      </c>
      <c r="Q88">
        <f t="shared" ref="Q88" si="416">F88*P88</f>
        <v>-7176062.256756763</v>
      </c>
      <c r="R88">
        <f t="shared" ref="R88" si="417">R89+Q88</f>
        <v>-1585655523.9182682</v>
      </c>
      <c r="S88">
        <f t="shared" ref="S88" si="418">R88/100000</f>
        <v>-15856.555239182682</v>
      </c>
      <c r="T88">
        <f t="shared" ref="T88" si="419">S88/1000</f>
        <v>-15.856555239182683</v>
      </c>
    </row>
    <row r="89" spans="1:20" x14ac:dyDescent="0.25">
      <c r="A89" s="5">
        <v>44504</v>
      </c>
      <c r="B89">
        <v>0.2341</v>
      </c>
      <c r="C89">
        <v>0.25800000000000001</v>
      </c>
      <c r="D89">
        <v>0.2326</v>
      </c>
      <c r="E89">
        <v>0.24310000000000001</v>
      </c>
      <c r="F89">
        <v>30600195</v>
      </c>
      <c r="G89">
        <v>0.24310000000000001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-0.17322834645669238</v>
      </c>
      <c r="Q89">
        <f t="shared" ref="Q89" si="421">F89*P89</f>
        <v>-5300821.1811023457</v>
      </c>
      <c r="R89">
        <f t="shared" ref="R89" si="422">R90+Q89</f>
        <v>-1578479461.6615114</v>
      </c>
      <c r="S89">
        <f t="shared" ref="S89" si="423">R89/100000</f>
        <v>-15784.794616615114</v>
      </c>
      <c r="T89">
        <f t="shared" ref="T89" si="424">S89/1000</f>
        <v>-15.784794616615114</v>
      </c>
    </row>
    <row r="90" spans="1:20" x14ac:dyDescent="0.25">
      <c r="A90" s="5">
        <v>44503</v>
      </c>
      <c r="B90">
        <v>0.23749999999999999</v>
      </c>
      <c r="C90">
        <v>0.2424</v>
      </c>
      <c r="D90">
        <v>0.22850000000000001</v>
      </c>
      <c r="E90">
        <v>0.2341</v>
      </c>
      <c r="F90">
        <v>12116978</v>
      </c>
      <c r="G90">
        <v>0.2341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-0.19424460431654739</v>
      </c>
      <c r="Q90">
        <f t="shared" ref="Q90" si="426">F90*P90</f>
        <v>-2353657.5971223097</v>
      </c>
      <c r="R90">
        <f t="shared" ref="R90" si="427">R91+Q90</f>
        <v>-1573178640.4804091</v>
      </c>
      <c r="S90">
        <f t="shared" ref="S90" si="428">R90/100000</f>
        <v>-15731.786404804092</v>
      </c>
      <c r="T90">
        <f t="shared" ref="T90" si="429">S90/1000</f>
        <v>-15.731786404804092</v>
      </c>
    </row>
    <row r="91" spans="1:20" x14ac:dyDescent="0.25">
      <c r="A91" s="5">
        <v>44502</v>
      </c>
      <c r="B91">
        <v>0.23680000000000001</v>
      </c>
      <c r="C91">
        <v>0.24279999999999999</v>
      </c>
      <c r="D91">
        <v>0.23150000000000001</v>
      </c>
      <c r="E91">
        <v>0.23749999999999999</v>
      </c>
      <c r="F91">
        <v>10359520</v>
      </c>
      <c r="G91">
        <v>0.23749999999999999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6.1946902654865472E-2</v>
      </c>
      <c r="Q91">
        <f t="shared" ref="Q91" si="431">F91*P91</f>
        <v>641740.17699113197</v>
      </c>
      <c r="R91">
        <f t="shared" ref="R91" si="432">R92+Q91</f>
        <v>-1570824982.883287</v>
      </c>
      <c r="S91">
        <f t="shared" ref="S91" si="433">R91/100000</f>
        <v>-15708.24982883287</v>
      </c>
      <c r="T91">
        <f t="shared" ref="T91" si="434">S91/1000</f>
        <v>-15.708249828832869</v>
      </c>
    </row>
    <row r="92" spans="1:20" x14ac:dyDescent="0.25">
      <c r="A92" s="5">
        <v>44501</v>
      </c>
      <c r="B92">
        <v>0.22750000000000001</v>
      </c>
      <c r="C92">
        <v>0.24440000000000001</v>
      </c>
      <c r="D92">
        <v>0.224</v>
      </c>
      <c r="E92">
        <v>0.23710000000000001</v>
      </c>
      <c r="F92">
        <v>12430736</v>
      </c>
      <c r="G92">
        <v>0.23710000000000001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0.28431372549019601</v>
      </c>
      <c r="Q92">
        <f t="shared" ref="Q92" si="436">F92*P92</f>
        <v>3534228.8627450974</v>
      </c>
      <c r="R92">
        <f t="shared" ref="R92" si="437">R93+Q92</f>
        <v>-1571466723.0602782</v>
      </c>
      <c r="S92">
        <f t="shared" ref="S92" si="438">R92/100000</f>
        <v>-15714.667230602781</v>
      </c>
      <c r="T92">
        <f t="shared" ref="T92" si="439">S92/1000</f>
        <v>-15.714667230602782</v>
      </c>
    </row>
    <row r="93" spans="1:20" x14ac:dyDescent="0.25">
      <c r="A93" s="5">
        <v>44500</v>
      </c>
      <c r="B93">
        <v>0.22420000000000001</v>
      </c>
      <c r="C93">
        <v>0.23</v>
      </c>
      <c r="D93">
        <v>0.2195</v>
      </c>
      <c r="E93">
        <v>0.22739999999999999</v>
      </c>
      <c r="F93">
        <v>10070885</v>
      </c>
      <c r="G93">
        <v>0.22739999999999999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0.50476190476190164</v>
      </c>
      <c r="Q93">
        <f t="shared" ref="Q93" si="441">F93*P93</f>
        <v>5083399.0952380635</v>
      </c>
      <c r="R93">
        <f t="shared" ref="R93" si="442">R94+Q93</f>
        <v>-1575000951.9230232</v>
      </c>
      <c r="S93">
        <f t="shared" ref="S93" si="443">R93/100000</f>
        <v>-15750.009519230232</v>
      </c>
      <c r="T93">
        <f t="shared" ref="T93" si="444">S93/1000</f>
        <v>-15.750009519230233</v>
      </c>
    </row>
    <row r="94" spans="1:20" x14ac:dyDescent="0.25">
      <c r="A94" s="5">
        <v>44499</v>
      </c>
      <c r="B94">
        <v>0.2258</v>
      </c>
      <c r="C94">
        <v>0.22900000000000001</v>
      </c>
      <c r="D94">
        <v>0.2195</v>
      </c>
      <c r="E94">
        <v>0.22409999999999999</v>
      </c>
      <c r="F94">
        <v>8139919</v>
      </c>
      <c r="G94">
        <v>0.22409999999999999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-3.1578947368423392E-2</v>
      </c>
      <c r="Q94">
        <f t="shared" ref="Q94" si="446">F94*P94</f>
        <v>-257050.07368422957</v>
      </c>
      <c r="R94">
        <f t="shared" ref="R94" si="447">R95+Q94</f>
        <v>-1580084351.0182612</v>
      </c>
      <c r="S94">
        <f t="shared" ref="S94" si="448">R94/100000</f>
        <v>-15800.843510182613</v>
      </c>
      <c r="T94">
        <f t="shared" ref="T94" si="449">S94/1000</f>
        <v>-15.800843510182613</v>
      </c>
    </row>
    <row r="95" spans="1:20" x14ac:dyDescent="0.25">
      <c r="A95" s="5">
        <v>44498</v>
      </c>
      <c r="B95">
        <v>0.22009999999999999</v>
      </c>
      <c r="C95">
        <v>0.23230000000000001</v>
      </c>
      <c r="D95">
        <v>0.2177</v>
      </c>
      <c r="E95">
        <v>0.22559999999999999</v>
      </c>
      <c r="F95">
        <v>10068434</v>
      </c>
      <c r="G95">
        <v>0.22559999999999999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8.2191780821916346E-2</v>
      </c>
      <c r="Q95">
        <f t="shared" ref="Q95" si="451">F95*P95</f>
        <v>827542.5205479305</v>
      </c>
      <c r="R95">
        <f t="shared" ref="R95" si="452">R96+Q95</f>
        <v>-1579827300.944577</v>
      </c>
      <c r="S95">
        <f t="shared" ref="S95" si="453">R95/100000</f>
        <v>-15798.273009445769</v>
      </c>
      <c r="T95">
        <f t="shared" ref="T95" si="454">S95/1000</f>
        <v>-15.798273009445769</v>
      </c>
    </row>
    <row r="96" spans="1:20" x14ac:dyDescent="0.25">
      <c r="A96" s="5">
        <v>44497</v>
      </c>
      <c r="B96">
        <v>0.21260000000000001</v>
      </c>
      <c r="C96">
        <v>0.22770000000000001</v>
      </c>
      <c r="D96">
        <v>0.21149999999999999</v>
      </c>
      <c r="E96">
        <v>0.22009999999999999</v>
      </c>
      <c r="F96">
        <v>7394748</v>
      </c>
      <c r="G96">
        <v>0.22009999999999999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6.1728395061726664E-2</v>
      </c>
      <c r="Q96">
        <f t="shared" ref="Q96" si="456">F96*P96</f>
        <v>456465.92592591315</v>
      </c>
      <c r="R96">
        <f t="shared" ref="R96" si="457">R97+Q96</f>
        <v>-1580654843.4651248</v>
      </c>
      <c r="S96">
        <f t="shared" ref="S96" si="458">R96/100000</f>
        <v>-15806.548434651248</v>
      </c>
      <c r="T96">
        <f t="shared" ref="T96" si="459">S96/1000</f>
        <v>-15.806548434651248</v>
      </c>
    </row>
    <row r="97" spans="1:20" x14ac:dyDescent="0.25">
      <c r="A97" s="5">
        <v>44496</v>
      </c>
      <c r="B97">
        <v>0.24129999999999999</v>
      </c>
      <c r="C97">
        <v>0.246</v>
      </c>
      <c r="D97">
        <v>0.2117</v>
      </c>
      <c r="E97">
        <v>0.21229999999999999</v>
      </c>
      <c r="F97">
        <v>13189100</v>
      </c>
      <c r="G97">
        <v>0.21229999999999999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-0.96501457725947581</v>
      </c>
      <c r="Q97">
        <f t="shared" ref="Q97" si="461">F97*P97</f>
        <v>-12727673.760932952</v>
      </c>
      <c r="R97">
        <f t="shared" ref="R97" si="462">R98+Q97</f>
        <v>-1581111309.3910508</v>
      </c>
      <c r="S97">
        <f t="shared" ref="S97" si="463">R97/100000</f>
        <v>-15811.113093910508</v>
      </c>
      <c r="T97">
        <f t="shared" ref="T97" si="464">S97/1000</f>
        <v>-15.811113093910508</v>
      </c>
    </row>
    <row r="98" spans="1:20" x14ac:dyDescent="0.25">
      <c r="A98" s="5">
        <v>44495</v>
      </c>
      <c r="B98">
        <v>0.24399999999999999</v>
      </c>
      <c r="C98">
        <v>0.247</v>
      </c>
      <c r="D98">
        <v>0.2407</v>
      </c>
      <c r="E98">
        <v>0.24129999999999999</v>
      </c>
      <c r="F98">
        <v>9067037</v>
      </c>
      <c r="G98">
        <v>0.24129999999999999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-0.80952380952381287</v>
      </c>
      <c r="Q98">
        <f t="shared" ref="Q98" si="466">F98*P98</f>
        <v>-7339982.3333333638</v>
      </c>
      <c r="R98">
        <f t="shared" ref="R98" si="467">R99+Q98</f>
        <v>-1568383635.6301179</v>
      </c>
      <c r="S98">
        <f t="shared" ref="S98" si="468">R98/100000</f>
        <v>-15683.836356301179</v>
      </c>
      <c r="T98">
        <f t="shared" ref="T98" si="469">S98/1000</f>
        <v>-15.683836356301178</v>
      </c>
    </row>
    <row r="99" spans="1:20" x14ac:dyDescent="0.25">
      <c r="A99" s="5">
        <v>44494</v>
      </c>
      <c r="B99">
        <v>0.24210000000000001</v>
      </c>
      <c r="C99">
        <v>0.24829999999999999</v>
      </c>
      <c r="D99">
        <v>0.24079999999999999</v>
      </c>
      <c r="E99">
        <v>0.24399999999999999</v>
      </c>
      <c r="F99">
        <v>8923950</v>
      </c>
      <c r="G99">
        <v>0.24399999999999999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-0.1466666666666652</v>
      </c>
      <c r="Q99">
        <f t="shared" ref="Q99" si="471">F99*P99</f>
        <v>-1308845.999999987</v>
      </c>
      <c r="R99">
        <f t="shared" ref="R99" si="472">R100+Q99</f>
        <v>-1561043653.2967846</v>
      </c>
      <c r="S99">
        <f t="shared" ref="S99" si="473">R99/100000</f>
        <v>-15610.436532967846</v>
      </c>
      <c r="T99">
        <f t="shared" ref="T99" si="474">S99/1000</f>
        <v>-15.610436532967846</v>
      </c>
    </row>
    <row r="100" spans="1:20" x14ac:dyDescent="0.25">
      <c r="A100" s="5">
        <v>44493</v>
      </c>
      <c r="B100">
        <v>0.25480000000000003</v>
      </c>
      <c r="C100">
        <v>0.25800000000000001</v>
      </c>
      <c r="D100">
        <v>0.23749999999999999</v>
      </c>
      <c r="E100">
        <v>0.24179999999999999</v>
      </c>
      <c r="F100">
        <v>13357740</v>
      </c>
      <c r="G100">
        <v>0.24179999999999999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-0.5804878048780493</v>
      </c>
      <c r="Q100">
        <f t="shared" ref="Q100" si="476">F100*P100</f>
        <v>-7754005.170731714</v>
      </c>
      <c r="R100">
        <f t="shared" ref="R100" si="477">R101+Q100</f>
        <v>-1559734807.2967846</v>
      </c>
      <c r="S100">
        <f t="shared" ref="S100" si="478">R100/100000</f>
        <v>-15597.348072967847</v>
      </c>
      <c r="T100">
        <f t="shared" ref="T100" si="479">S100/1000</f>
        <v>-15.597348072967847</v>
      </c>
    </row>
    <row r="101" spans="1:20" x14ac:dyDescent="0.25">
      <c r="A101" s="5">
        <v>44492</v>
      </c>
      <c r="B101">
        <v>0.23599999999999999</v>
      </c>
      <c r="C101">
        <v>0.26800000000000002</v>
      </c>
      <c r="D101">
        <v>0.2351</v>
      </c>
      <c r="E101">
        <v>0.25509999999999999</v>
      </c>
      <c r="F101">
        <v>44799491</v>
      </c>
      <c r="G101">
        <v>0.25509999999999999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0.21580547112461898</v>
      </c>
      <c r="Q101">
        <f t="shared" ref="Q101" si="481">F101*P101</f>
        <v>9667975.2613981273</v>
      </c>
      <c r="R101">
        <f t="shared" ref="R101" si="482">R102+Q101</f>
        <v>-1551980802.1260529</v>
      </c>
      <c r="S101">
        <f t="shared" ref="S101" si="483">R101/100000</f>
        <v>-15519.808021260529</v>
      </c>
      <c r="T101">
        <f t="shared" ref="T101" si="484">S101/1000</f>
        <v>-15.519808021260529</v>
      </c>
    </row>
    <row r="102" spans="1:20" x14ac:dyDescent="0.25">
      <c r="A102" s="5">
        <v>44491</v>
      </c>
      <c r="B102">
        <v>0.2389</v>
      </c>
      <c r="C102">
        <v>0.25</v>
      </c>
      <c r="D102">
        <v>0.2339</v>
      </c>
      <c r="E102">
        <v>0.23630000000000001</v>
      </c>
      <c r="F102">
        <v>9160509</v>
      </c>
      <c r="G102">
        <v>0.23630000000000001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-0.70186335403726552</v>
      </c>
      <c r="Q102">
        <f t="shared" ref="Q102" si="486">F102*P102</f>
        <v>-6429425.5714285569</v>
      </c>
      <c r="R102">
        <f t="shared" ref="R102" si="487">R103+Q102</f>
        <v>-1561648777.3874509</v>
      </c>
      <c r="S102">
        <f t="shared" ref="S102" si="488">R102/100000</f>
        <v>-15616.487773874509</v>
      </c>
      <c r="T102">
        <f t="shared" ref="T102" si="489">S102/1000</f>
        <v>-15.616487773874509</v>
      </c>
    </row>
    <row r="103" spans="1:20" x14ac:dyDescent="0.25">
      <c r="A103" s="5">
        <v>44490</v>
      </c>
      <c r="B103">
        <v>0.24379999999999999</v>
      </c>
      <c r="C103">
        <v>0.25700000000000001</v>
      </c>
      <c r="D103">
        <v>0.2341</v>
      </c>
      <c r="E103">
        <v>0.23849999999999999</v>
      </c>
      <c r="F103">
        <v>13832386</v>
      </c>
      <c r="G103">
        <v>0.23849999999999999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-0.61572052401746846</v>
      </c>
      <c r="Q103">
        <f t="shared" ref="Q103" si="491">F103*P103</f>
        <v>-8516883.9563318938</v>
      </c>
      <c r="R103">
        <f t="shared" ref="R103" si="492">R104+Q103</f>
        <v>-1555219351.8160224</v>
      </c>
      <c r="S103">
        <f t="shared" ref="S103" si="493">R103/100000</f>
        <v>-15552.193518160224</v>
      </c>
      <c r="T103">
        <f t="shared" ref="T103" si="494">S103/1000</f>
        <v>-15.552193518160223</v>
      </c>
    </row>
    <row r="104" spans="1:20" x14ac:dyDescent="0.25">
      <c r="A104" s="5">
        <v>44489</v>
      </c>
      <c r="B104">
        <v>0.23200000000000001</v>
      </c>
      <c r="C104">
        <v>0.25</v>
      </c>
      <c r="D104">
        <v>0.22989999999999999</v>
      </c>
      <c r="E104">
        <v>0.24390000000000001</v>
      </c>
      <c r="F104">
        <v>12668183</v>
      </c>
      <c r="G104">
        <v>0.24390000000000001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0.39303482587064753</v>
      </c>
      <c r="Q104">
        <f t="shared" ref="Q104" si="496">F104*P104</f>
        <v>4979037.0995024974</v>
      </c>
      <c r="R104">
        <f t="shared" ref="R104" si="497">R105+Q104</f>
        <v>-1546702467.8596904</v>
      </c>
      <c r="S104">
        <f t="shared" ref="S104" si="498">R104/100000</f>
        <v>-15467.024678596905</v>
      </c>
      <c r="T104">
        <f t="shared" ref="T104" si="499">S104/1000</f>
        <v>-15.467024678596905</v>
      </c>
    </row>
    <row r="105" spans="1:20" x14ac:dyDescent="0.25">
      <c r="A105" s="5">
        <v>44488</v>
      </c>
      <c r="B105">
        <v>0.24260000000000001</v>
      </c>
      <c r="C105">
        <v>0.2427</v>
      </c>
      <c r="D105">
        <v>0.22969999999999999</v>
      </c>
      <c r="E105">
        <v>0.23180000000000001</v>
      </c>
      <c r="F105">
        <v>9366572</v>
      </c>
      <c r="G105">
        <v>0.23180000000000001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-0.67692307692307441</v>
      </c>
      <c r="Q105">
        <f t="shared" ref="Q105" si="501">F105*P105</f>
        <v>-6340448.7384615149</v>
      </c>
      <c r="R105">
        <f t="shared" ref="R105" si="502">R106+Q105</f>
        <v>-1551681504.959193</v>
      </c>
      <c r="S105">
        <f t="shared" ref="S105" si="503">R105/100000</f>
        <v>-15516.815049591931</v>
      </c>
      <c r="T105">
        <f t="shared" ref="T105" si="504">S105/1000</f>
        <v>-15.51681504959193</v>
      </c>
    </row>
    <row r="106" spans="1:20" x14ac:dyDescent="0.25">
      <c r="A106" s="5">
        <v>44487</v>
      </c>
      <c r="B106">
        <v>0.24629999999999999</v>
      </c>
      <c r="C106">
        <v>0.25640000000000002</v>
      </c>
      <c r="D106">
        <v>0.23760000000000001</v>
      </c>
      <c r="E106">
        <v>0.24249999999999999</v>
      </c>
      <c r="F106">
        <v>22733853</v>
      </c>
      <c r="G106">
        <v>0.24249999999999999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-0.47872340425532078</v>
      </c>
      <c r="Q106">
        <f t="shared" ref="Q106" si="506">F106*P106</f>
        <v>-10883227.500000037</v>
      </c>
      <c r="R106">
        <f t="shared" ref="R106" si="507">R107+Q106</f>
        <v>-1545341056.2207315</v>
      </c>
      <c r="S106">
        <f t="shared" ref="S106" si="508">R106/100000</f>
        <v>-15453.410562207315</v>
      </c>
      <c r="T106">
        <f t="shared" ref="T106" si="509">S106/1000</f>
        <v>-15.453410562207315</v>
      </c>
    </row>
    <row r="107" spans="1:20" x14ac:dyDescent="0.25">
      <c r="A107" s="5">
        <v>44486</v>
      </c>
      <c r="B107">
        <v>0.25829999999999997</v>
      </c>
      <c r="C107">
        <v>0.25900000000000001</v>
      </c>
      <c r="D107">
        <v>0.23830000000000001</v>
      </c>
      <c r="E107">
        <v>0.24590000000000001</v>
      </c>
      <c r="F107">
        <v>26563565</v>
      </c>
      <c r="G107">
        <v>0.24590000000000001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-0.26570048309178773</v>
      </c>
      <c r="Q107">
        <f t="shared" ref="Q107" si="511">F107*P107</f>
        <v>-7057952.0531401047</v>
      </c>
      <c r="R107">
        <f t="shared" ref="R107" si="512">R108+Q107</f>
        <v>-1534457828.7207315</v>
      </c>
      <c r="S107">
        <f t="shared" ref="S107" si="513">R107/100000</f>
        <v>-15344.578287207314</v>
      </c>
      <c r="T107">
        <f t="shared" ref="T107" si="514">S107/1000</f>
        <v>-15.344578287207314</v>
      </c>
    </row>
    <row r="108" spans="1:20" x14ac:dyDescent="0.25">
      <c r="A108" s="5">
        <v>44485</v>
      </c>
      <c r="B108">
        <v>0.26</v>
      </c>
      <c r="C108">
        <v>0.28270000000000001</v>
      </c>
      <c r="D108">
        <v>0.245</v>
      </c>
      <c r="E108">
        <v>0.2581</v>
      </c>
      <c r="F108">
        <v>66249521</v>
      </c>
      <c r="G108">
        <v>0.2581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-0.30503978779840868</v>
      </c>
      <c r="Q108">
        <f t="shared" ref="Q108" si="516">F108*P108</f>
        <v>-20208739.827586219</v>
      </c>
      <c r="R108">
        <f t="shared" ref="R108" si="517">R109+Q108</f>
        <v>-1527399876.6675913</v>
      </c>
      <c r="S108">
        <f t="shared" ref="S108" si="518">R108/100000</f>
        <v>-15273.998766675913</v>
      </c>
      <c r="T108">
        <f t="shared" ref="T108" si="519">S108/1000</f>
        <v>-15.273998766675913</v>
      </c>
    </row>
    <row r="109" spans="1:20" x14ac:dyDescent="0.25">
      <c r="A109" s="5">
        <v>44484</v>
      </c>
      <c r="B109">
        <v>0.2273</v>
      </c>
      <c r="C109">
        <v>0.29599999999999999</v>
      </c>
      <c r="D109">
        <v>0.2213</v>
      </c>
      <c r="E109">
        <v>0.26</v>
      </c>
      <c r="F109">
        <v>190769673</v>
      </c>
      <c r="G109">
        <v>0.26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3.6144578313253496E-2</v>
      </c>
      <c r="Q109">
        <f t="shared" ref="Q109" si="521">F109*P109</f>
        <v>6895289.3855422614</v>
      </c>
      <c r="R109">
        <f t="shared" ref="R109" si="522">R110+Q109</f>
        <v>-1507191136.8400052</v>
      </c>
      <c r="S109">
        <f t="shared" ref="S109" si="523">R109/100000</f>
        <v>-15071.911368400051</v>
      </c>
      <c r="T109">
        <f t="shared" ref="T109" si="524">S109/1000</f>
        <v>-15.071911368400052</v>
      </c>
    </row>
    <row r="110" spans="1:20" x14ac:dyDescent="0.25">
      <c r="A110" s="5">
        <v>44483</v>
      </c>
      <c r="B110">
        <v>0.2203</v>
      </c>
      <c r="C110">
        <v>0.2321</v>
      </c>
      <c r="D110">
        <v>0.2203</v>
      </c>
      <c r="E110">
        <v>0.22689999999999999</v>
      </c>
      <c r="F110">
        <v>11285168</v>
      </c>
      <c r="G110">
        <v>0.22689999999999999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0.11864406779660881</v>
      </c>
      <c r="Q110">
        <f t="shared" ref="Q110" si="526">F110*P110</f>
        <v>1338918.2372881202</v>
      </c>
      <c r="R110">
        <f t="shared" ref="R110" si="527">R111+Q110</f>
        <v>-1514086426.2255473</v>
      </c>
      <c r="S110">
        <f t="shared" ref="S110" si="528">R110/100000</f>
        <v>-15140.864262255473</v>
      </c>
      <c r="T110">
        <f t="shared" ref="T110" si="529">S110/1000</f>
        <v>-15.140864262255473</v>
      </c>
    </row>
    <row r="111" spans="1:20" x14ac:dyDescent="0.25">
      <c r="A111" s="5">
        <v>44482</v>
      </c>
      <c r="B111">
        <v>0.21970000000000001</v>
      </c>
      <c r="C111">
        <v>0.23480000000000001</v>
      </c>
      <c r="D111">
        <v>0.21240000000000001</v>
      </c>
      <c r="E111">
        <v>0.2203</v>
      </c>
      <c r="F111">
        <v>22832750</v>
      </c>
      <c r="G111">
        <v>0.2203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-0.29464285714285809</v>
      </c>
      <c r="Q111">
        <f t="shared" ref="Q111" si="531">F111*P111</f>
        <v>-6727506.6964285932</v>
      </c>
      <c r="R111">
        <f t="shared" ref="R111" si="532">R112+Q111</f>
        <v>-1515425344.4628356</v>
      </c>
      <c r="S111">
        <f t="shared" ref="S111" si="533">R111/100000</f>
        <v>-15154.253444628355</v>
      </c>
      <c r="T111">
        <f t="shared" ref="T111" si="534">S111/1000</f>
        <v>-15.154253444628356</v>
      </c>
    </row>
    <row r="112" spans="1:20" x14ac:dyDescent="0.25">
      <c r="A112" s="5">
        <v>44481</v>
      </c>
      <c r="B112">
        <v>0.22539999999999999</v>
      </c>
      <c r="C112">
        <v>0.22539999999999999</v>
      </c>
      <c r="D112">
        <v>0.2082</v>
      </c>
      <c r="E112">
        <v>0.21940000000000001</v>
      </c>
      <c r="F112">
        <v>10010274</v>
      </c>
      <c r="G112">
        <v>0.21940000000000001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0.30232558139535115</v>
      </c>
      <c r="Q112">
        <f t="shared" ref="Q112" si="536">F112*P112</f>
        <v>3026361.9069767673</v>
      </c>
      <c r="R112">
        <f t="shared" ref="R112" si="537">R113+Q112</f>
        <v>-1508697837.766407</v>
      </c>
      <c r="S112">
        <f t="shared" ref="S112" si="538">R112/100000</f>
        <v>-15086.978377664071</v>
      </c>
      <c r="T112">
        <f t="shared" ref="T112" si="539">S112/1000</f>
        <v>-15.086978377664071</v>
      </c>
    </row>
    <row r="113" spans="1:20" x14ac:dyDescent="0.25">
      <c r="A113" s="5">
        <v>44480</v>
      </c>
      <c r="B113">
        <v>0.2278</v>
      </c>
      <c r="C113">
        <v>0.23680000000000001</v>
      </c>
      <c r="D113">
        <v>0.2195</v>
      </c>
      <c r="E113">
        <v>0.2258</v>
      </c>
      <c r="F113">
        <v>10370963</v>
      </c>
      <c r="G113">
        <v>0.2258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-0.2716763005780351</v>
      </c>
      <c r="Q113">
        <f t="shared" ref="Q113" si="541">F113*P113</f>
        <v>-2817544.8612716808</v>
      </c>
      <c r="R113">
        <f t="shared" ref="R113" si="542">R114+Q113</f>
        <v>-1511724199.6733837</v>
      </c>
      <c r="S113">
        <f t="shared" ref="S113" si="543">R113/100000</f>
        <v>-15117.241996733837</v>
      </c>
      <c r="T113">
        <f t="shared" ref="T113" si="544">S113/1000</f>
        <v>-15.117241996733837</v>
      </c>
    </row>
    <row r="114" spans="1:20" x14ac:dyDescent="0.25">
      <c r="A114" s="5">
        <v>44479</v>
      </c>
      <c r="B114">
        <v>0.24199999999999999</v>
      </c>
      <c r="C114">
        <v>0.25130000000000002</v>
      </c>
      <c r="D114">
        <v>0.2263</v>
      </c>
      <c r="E114">
        <v>0.22789999999999999</v>
      </c>
      <c r="F114">
        <v>14914035</v>
      </c>
      <c r="G114">
        <v>0.22789999999999999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-0.87200000000000089</v>
      </c>
      <c r="Q114">
        <f t="shared" ref="Q114" si="546">F114*P114</f>
        <v>-13005038.520000013</v>
      </c>
      <c r="R114">
        <f t="shared" ref="R114" si="547">R115+Q114</f>
        <v>-1508906654.8121121</v>
      </c>
      <c r="S114">
        <f t="shared" ref="S114" si="548">R114/100000</f>
        <v>-15089.066548121122</v>
      </c>
      <c r="T114">
        <f t="shared" ref="T114" si="549">S114/1000</f>
        <v>-15.089066548121123</v>
      </c>
    </row>
    <row r="115" spans="1:20" x14ac:dyDescent="0.25">
      <c r="A115" s="5">
        <v>44478</v>
      </c>
      <c r="B115">
        <v>0.23880000000000001</v>
      </c>
      <c r="C115">
        <v>0.253</v>
      </c>
      <c r="D115">
        <v>0.2354</v>
      </c>
      <c r="E115">
        <v>0.24210000000000001</v>
      </c>
      <c r="F115">
        <v>14391682</v>
      </c>
      <c r="G115">
        <v>0.24210000000000001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-0.23863636363636254</v>
      </c>
      <c r="Q115">
        <f t="shared" ref="Q115" si="551">F115*P115</f>
        <v>-3434378.6590908933</v>
      </c>
      <c r="R115">
        <f t="shared" ref="R115" si="552">R116+Q115</f>
        <v>-1495901616.2921121</v>
      </c>
      <c r="S115">
        <f t="shared" ref="S115" si="553">R115/100000</f>
        <v>-14959.016162921122</v>
      </c>
      <c r="T115">
        <f t="shared" ref="T115" si="554">S115/1000</f>
        <v>-14.959016162921122</v>
      </c>
    </row>
    <row r="116" spans="1:20" x14ac:dyDescent="0.25">
      <c r="A116" s="5">
        <v>44477</v>
      </c>
      <c r="B116">
        <v>0.24299999999999999</v>
      </c>
      <c r="C116">
        <v>0.25779999999999997</v>
      </c>
      <c r="D116">
        <v>0.2366</v>
      </c>
      <c r="E116">
        <v>0.23880000000000001</v>
      </c>
      <c r="F116">
        <v>17972006</v>
      </c>
      <c r="G116">
        <v>0.23880000000000001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-0.79245283018867818</v>
      </c>
      <c r="Q116">
        <f t="shared" ref="Q116" si="556">F116*P116</f>
        <v>-14241967.018867906</v>
      </c>
      <c r="R116">
        <f t="shared" ref="R116" si="557">R117+Q116</f>
        <v>-1492467237.6330211</v>
      </c>
      <c r="S116">
        <f t="shared" ref="S116" si="558">R116/100000</f>
        <v>-14924.672376330211</v>
      </c>
      <c r="T116">
        <f t="shared" ref="T116" si="559">S116/1000</f>
        <v>-14.924672376330211</v>
      </c>
    </row>
    <row r="117" spans="1:20" x14ac:dyDescent="0.25">
      <c r="A117" s="5">
        <v>44476</v>
      </c>
      <c r="B117">
        <v>0.23519999999999999</v>
      </c>
      <c r="C117">
        <v>0.25900000000000001</v>
      </c>
      <c r="D117">
        <v>0.22800000000000001</v>
      </c>
      <c r="E117">
        <v>0.24279999999999999</v>
      </c>
      <c r="F117">
        <v>25458608</v>
      </c>
      <c r="G117">
        <v>0.24279999999999999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-4.516129032258194E-2</v>
      </c>
      <c r="Q117">
        <f t="shared" ref="Q117" si="561">F117*P117</f>
        <v>-1149743.5870968071</v>
      </c>
      <c r="R117">
        <f t="shared" ref="R117" si="562">R118+Q117</f>
        <v>-1478225270.6141531</v>
      </c>
      <c r="S117">
        <f t="shared" ref="S117" si="563">R117/100000</f>
        <v>-14782.252706141531</v>
      </c>
      <c r="T117">
        <f t="shared" ref="T117" si="564">S117/1000</f>
        <v>-14.782252706141531</v>
      </c>
    </row>
    <row r="118" spans="1:20" x14ac:dyDescent="0.25">
      <c r="A118" s="5">
        <v>44475</v>
      </c>
      <c r="B118">
        <v>0.25069999999999998</v>
      </c>
      <c r="C118">
        <v>0.25159999999999999</v>
      </c>
      <c r="D118">
        <v>0.22259999999999999</v>
      </c>
      <c r="E118">
        <v>0.23519999999999999</v>
      </c>
      <c r="F118">
        <v>20326826</v>
      </c>
      <c r="G118">
        <v>0.23519999999999999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-0.13103448275862062</v>
      </c>
      <c r="Q118">
        <f t="shared" ref="Q118" si="566">F118*P118</f>
        <v>-2663515.1310344813</v>
      </c>
      <c r="R118">
        <f t="shared" ref="R118" si="567">R119+Q118</f>
        <v>-1477075527.0270565</v>
      </c>
      <c r="S118">
        <f t="shared" ref="S118" si="568">R118/100000</f>
        <v>-14770.755270270565</v>
      </c>
      <c r="T118">
        <f t="shared" ref="T118" si="569">S118/1000</f>
        <v>-14.770755270270564</v>
      </c>
    </row>
    <row r="119" spans="1:20" x14ac:dyDescent="0.25">
      <c r="A119" s="5">
        <v>44474</v>
      </c>
      <c r="B119">
        <v>0.2346</v>
      </c>
      <c r="C119">
        <v>0.25800000000000001</v>
      </c>
      <c r="D119">
        <v>0.23230000000000001</v>
      </c>
      <c r="E119">
        <v>0.2505</v>
      </c>
      <c r="F119">
        <v>26536077</v>
      </c>
      <c r="G119">
        <v>0.2505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0.41634241245136139</v>
      </c>
      <c r="Q119">
        <f t="shared" ref="Q119" si="571">F119*P119</f>
        <v>11048094.315175084</v>
      </c>
      <c r="R119">
        <f t="shared" ref="R119" si="572">R120+Q119</f>
        <v>-1474412011.8960221</v>
      </c>
      <c r="S119">
        <f t="shared" ref="S119" si="573">R119/100000</f>
        <v>-14744.120118960222</v>
      </c>
      <c r="T119">
        <f t="shared" ref="T119" si="574">S119/1000</f>
        <v>-14.744120118960222</v>
      </c>
    </row>
    <row r="120" spans="1:20" x14ac:dyDescent="0.25">
      <c r="A120" s="5">
        <v>44473</v>
      </c>
      <c r="B120">
        <v>0.2419</v>
      </c>
      <c r="C120">
        <v>0.24640000000000001</v>
      </c>
      <c r="D120">
        <v>0.22819999999999999</v>
      </c>
      <c r="E120">
        <v>0.23269999999999999</v>
      </c>
      <c r="F120">
        <v>17416603</v>
      </c>
      <c r="G120">
        <v>0.23269999999999999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-0.5054945054945057</v>
      </c>
      <c r="Q120">
        <f t="shared" ref="Q120" si="576">F120*P120</f>
        <v>-8803997.1208791249</v>
      </c>
      <c r="R120">
        <f t="shared" ref="R120" si="577">R121+Q120</f>
        <v>-1485460106.2111971</v>
      </c>
      <c r="S120">
        <f t="shared" ref="S120" si="578">R120/100000</f>
        <v>-14854.601062111971</v>
      </c>
      <c r="T120">
        <f t="shared" ref="T120" si="579">S120/1000</f>
        <v>-14.854601062111971</v>
      </c>
    </row>
    <row r="121" spans="1:20" x14ac:dyDescent="0.25">
      <c r="A121" s="5">
        <v>44472</v>
      </c>
      <c r="B121">
        <v>0.24349999999999999</v>
      </c>
      <c r="C121">
        <v>0.251</v>
      </c>
      <c r="D121">
        <v>0.23849999999999999</v>
      </c>
      <c r="E121">
        <v>0.24279999999999999</v>
      </c>
      <c r="F121">
        <v>13955984</v>
      </c>
      <c r="G121">
        <v>0.24279999999999999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-0.31200000000000089</v>
      </c>
      <c r="Q121">
        <f t="shared" ref="Q121" si="581">F121*P121</f>
        <v>-4354267.0080000125</v>
      </c>
      <c r="R121">
        <f t="shared" ref="R121" si="582">R122+Q121</f>
        <v>-1476656109.090318</v>
      </c>
      <c r="S121">
        <f t="shared" ref="S121" si="583">R121/100000</f>
        <v>-14766.56109090318</v>
      </c>
      <c r="T121">
        <f t="shared" ref="T121" si="584">S121/1000</f>
        <v>-14.766561090903179</v>
      </c>
    </row>
    <row r="122" spans="1:20" x14ac:dyDescent="0.25">
      <c r="A122" s="5">
        <v>44471</v>
      </c>
      <c r="B122">
        <v>0.2394</v>
      </c>
      <c r="C122">
        <v>0.26490000000000002</v>
      </c>
      <c r="D122">
        <v>0.23530000000000001</v>
      </c>
      <c r="E122">
        <v>0.2437</v>
      </c>
      <c r="F122">
        <v>26965313</v>
      </c>
      <c r="G122">
        <v>0.2437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-0.43243243243243334</v>
      </c>
      <c r="Q122">
        <f t="shared" ref="Q122" si="586">F122*P122</f>
        <v>-11660675.891891917</v>
      </c>
      <c r="R122">
        <f t="shared" ref="R122" si="587">R123+Q122</f>
        <v>-1472301842.0823181</v>
      </c>
      <c r="S122">
        <f t="shared" ref="S122" si="588">R122/100000</f>
        <v>-14723.01842082318</v>
      </c>
      <c r="T122">
        <f t="shared" ref="T122" si="589">S122/1000</f>
        <v>-14.72301842082318</v>
      </c>
    </row>
    <row r="123" spans="1:20" x14ac:dyDescent="0.25">
      <c r="A123" s="5">
        <v>44470</v>
      </c>
      <c r="B123">
        <v>0.21859999999999999</v>
      </c>
      <c r="C123">
        <v>0.25369999999999998</v>
      </c>
      <c r="D123">
        <v>0.2152</v>
      </c>
      <c r="E123">
        <v>0.2394</v>
      </c>
      <c r="F123">
        <v>37380849</v>
      </c>
      <c r="G123">
        <v>0.2394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0.25714285714285778</v>
      </c>
      <c r="Q123">
        <f t="shared" ref="Q123" si="591">F123*P123</f>
        <v>9612218.3142857384</v>
      </c>
      <c r="R123">
        <f t="shared" ref="R123" si="592">R124+Q123</f>
        <v>-1460641166.1904261</v>
      </c>
      <c r="S123">
        <f t="shared" ref="S123" si="593">R123/100000</f>
        <v>-14606.411661904262</v>
      </c>
      <c r="T123">
        <f t="shared" ref="T123" si="594">S123/1000</f>
        <v>-14.606411661904261</v>
      </c>
    </row>
    <row r="124" spans="1:20" x14ac:dyDescent="0.25">
      <c r="A124" s="5">
        <v>44469</v>
      </c>
      <c r="B124">
        <v>0.2127</v>
      </c>
      <c r="C124">
        <v>0.22320000000000001</v>
      </c>
      <c r="D124">
        <v>0.21060000000000001</v>
      </c>
      <c r="E124">
        <v>0.21859999999999999</v>
      </c>
      <c r="F124">
        <v>8422568</v>
      </c>
      <c r="G124">
        <v>0.21859999999999999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0.26984126984126655</v>
      </c>
      <c r="Q124">
        <f t="shared" ref="Q124" si="596">F124*P124</f>
        <v>2272756.4444444166</v>
      </c>
      <c r="R124">
        <f t="shared" ref="R124" si="597">R125+Q124</f>
        <v>-1470253384.5047119</v>
      </c>
      <c r="S124">
        <f t="shared" ref="S124" si="598">R124/100000</f>
        <v>-14702.533845047119</v>
      </c>
      <c r="T124">
        <f t="shared" ref="T124" si="599">S124/1000</f>
        <v>-14.702533845047119</v>
      </c>
    </row>
    <row r="125" spans="1:20" x14ac:dyDescent="0.25">
      <c r="A125" s="5">
        <v>44468</v>
      </c>
      <c r="B125">
        <v>0.2056</v>
      </c>
      <c r="C125">
        <v>0.22420000000000001</v>
      </c>
      <c r="D125">
        <v>0.2044</v>
      </c>
      <c r="E125">
        <v>0.2127</v>
      </c>
      <c r="F125">
        <v>10705939</v>
      </c>
      <c r="G125">
        <v>0.2127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-0.16161616161616194</v>
      </c>
      <c r="Q125">
        <f t="shared" ref="Q125" si="601">F125*P125</f>
        <v>-1730252.7676767712</v>
      </c>
      <c r="R125">
        <f t="shared" ref="R125" si="602">R126+Q125</f>
        <v>-1472526140.9491563</v>
      </c>
      <c r="S125">
        <f t="shared" ref="S125" si="603">R125/100000</f>
        <v>-14725.261409491563</v>
      </c>
      <c r="T125">
        <f t="shared" ref="T125" si="604">S125/1000</f>
        <v>-14.725261409491562</v>
      </c>
    </row>
    <row r="126" spans="1:20" x14ac:dyDescent="0.25">
      <c r="A126" s="5">
        <v>44467</v>
      </c>
      <c r="B126">
        <v>0.22059999999999999</v>
      </c>
      <c r="C126">
        <v>0.22309999999999999</v>
      </c>
      <c r="D126">
        <v>0.2041</v>
      </c>
      <c r="E126">
        <v>0.2056</v>
      </c>
      <c r="F126">
        <v>11226390</v>
      </c>
      <c r="G126">
        <v>0.2056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-0.84210526315789447</v>
      </c>
      <c r="Q126">
        <f t="shared" ref="Q126" si="606">F126*P126</f>
        <v>-9453802.105263155</v>
      </c>
      <c r="R126">
        <f t="shared" ref="R126" si="607">R127+Q126</f>
        <v>-1470795888.1814795</v>
      </c>
      <c r="S126">
        <f t="shared" ref="S126" si="608">R126/100000</f>
        <v>-14707.958881814795</v>
      </c>
      <c r="T126">
        <f t="shared" ref="T126" si="609">S126/1000</f>
        <v>-14.707958881814795</v>
      </c>
    </row>
    <row r="127" spans="1:20" x14ac:dyDescent="0.25">
      <c r="A127" s="5">
        <v>44466</v>
      </c>
      <c r="B127">
        <v>0.22239999999999999</v>
      </c>
      <c r="C127">
        <v>0.24490000000000001</v>
      </c>
      <c r="D127">
        <v>0.21840000000000001</v>
      </c>
      <c r="E127">
        <v>0.22070000000000001</v>
      </c>
      <c r="F127">
        <v>27681443</v>
      </c>
      <c r="G127">
        <v>0.22070000000000001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-0.8264150943396229</v>
      </c>
      <c r="Q127">
        <f t="shared" ref="Q127" si="611">F127*P127</f>
        <v>-22876362.328301895</v>
      </c>
      <c r="R127">
        <f t="shared" ref="R127" si="612">R128+Q127</f>
        <v>-1461342086.0762162</v>
      </c>
      <c r="S127">
        <f t="shared" ref="S127" si="613">R127/100000</f>
        <v>-14613.420860762162</v>
      </c>
      <c r="T127">
        <f t="shared" ref="T127" si="614">S127/1000</f>
        <v>-14.613420860762162</v>
      </c>
    </row>
    <row r="128" spans="1:20" x14ac:dyDescent="0.25">
      <c r="A128" s="5">
        <v>44465</v>
      </c>
      <c r="B128">
        <v>0.21290000000000001</v>
      </c>
      <c r="C128">
        <v>0.25</v>
      </c>
      <c r="D128">
        <v>0.1951</v>
      </c>
      <c r="E128">
        <v>0.2225</v>
      </c>
      <c r="F128">
        <v>32281450</v>
      </c>
      <c r="G128">
        <v>0.2225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-1.8214936247721125E-3</v>
      </c>
      <c r="Q128">
        <f t="shared" ref="Q128" si="616">F128*P128</f>
        <v>-58800.455373399709</v>
      </c>
      <c r="R128">
        <f t="shared" ref="R128" si="617">R129+Q128</f>
        <v>-1438465723.7479143</v>
      </c>
      <c r="S128">
        <f t="shared" ref="S128" si="618">R128/100000</f>
        <v>-14384.657237479143</v>
      </c>
      <c r="T128">
        <f t="shared" ref="T128" si="619">S128/1000</f>
        <v>-14.384657237479143</v>
      </c>
    </row>
    <row r="129" spans="1:20" x14ac:dyDescent="0.25">
      <c r="A129" s="5">
        <v>44464</v>
      </c>
      <c r="B129">
        <v>0.22220000000000001</v>
      </c>
      <c r="C129">
        <v>0.2253</v>
      </c>
      <c r="D129">
        <v>0.2094</v>
      </c>
      <c r="E129">
        <v>0.21290000000000001</v>
      </c>
      <c r="F129">
        <v>14040751</v>
      </c>
      <c r="G129">
        <v>0.21290000000000001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-0.55974842767295552</v>
      </c>
      <c r="Q129">
        <f t="shared" ref="Q129" si="621">F129*P129</f>
        <v>-7859288.2955974778</v>
      </c>
      <c r="R129">
        <f t="shared" ref="R129" si="622">R130+Q129</f>
        <v>-1438406923.292541</v>
      </c>
      <c r="S129">
        <f t="shared" ref="S129" si="623">R129/100000</f>
        <v>-14384.069232925411</v>
      </c>
      <c r="T129">
        <f t="shared" ref="T129" si="624">S129/1000</f>
        <v>-14.384069232925411</v>
      </c>
    </row>
    <row r="130" spans="1:20" x14ac:dyDescent="0.25">
      <c r="A130" s="5">
        <v>44463</v>
      </c>
      <c r="B130">
        <v>0.2409</v>
      </c>
      <c r="C130">
        <v>0.26450000000000001</v>
      </c>
      <c r="D130">
        <v>0.2031</v>
      </c>
      <c r="E130">
        <v>0.22239999999999999</v>
      </c>
      <c r="F130">
        <v>33791106</v>
      </c>
      <c r="G130">
        <v>0.22239999999999999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-0.37133550488599409</v>
      </c>
      <c r="Q130">
        <f t="shared" ref="Q130" si="626">F130*P130</f>
        <v>-12547837.407166144</v>
      </c>
      <c r="R130">
        <f t="shared" ref="R130" si="627">R131+Q130</f>
        <v>-1430547634.9969435</v>
      </c>
      <c r="S130">
        <f t="shared" ref="S130" si="628">R130/100000</f>
        <v>-14305.476349969435</v>
      </c>
      <c r="T130">
        <f t="shared" ref="T130" si="629">S130/1000</f>
        <v>-14.305476349969435</v>
      </c>
    </row>
    <row r="131" spans="1:20" x14ac:dyDescent="0.25">
      <c r="A131" s="5">
        <v>44462</v>
      </c>
      <c r="B131">
        <v>0.2409</v>
      </c>
      <c r="C131">
        <v>0.24979999999999999</v>
      </c>
      <c r="D131">
        <v>0.23069999999999999</v>
      </c>
      <c r="E131">
        <v>0.2412</v>
      </c>
      <c r="F131">
        <v>19464210</v>
      </c>
      <c r="G131">
        <v>0.2412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9.9476439790576549E-2</v>
      </c>
      <c r="Q131">
        <f t="shared" ref="Q131" si="631">F131*P131</f>
        <v>1936230.314136138</v>
      </c>
      <c r="R131">
        <f t="shared" ref="R131" si="632">R132+Q131</f>
        <v>-1417999797.5897772</v>
      </c>
      <c r="S131">
        <f t="shared" ref="S131" si="633">R131/100000</f>
        <v>-14179.997975897772</v>
      </c>
      <c r="T131">
        <f t="shared" ref="T131" si="634">S131/1000</f>
        <v>-14.179997975897772</v>
      </c>
    </row>
    <row r="132" spans="1:20" x14ac:dyDescent="0.25">
      <c r="A132" s="5">
        <v>44461</v>
      </c>
      <c r="B132">
        <v>0.2135</v>
      </c>
      <c r="C132">
        <v>0.25469999999999998</v>
      </c>
      <c r="D132">
        <v>0.21010000000000001</v>
      </c>
      <c r="E132">
        <v>0.24079999999999999</v>
      </c>
      <c r="F132">
        <v>28045429</v>
      </c>
      <c r="G132">
        <v>0.24079999999999999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0.3766816143497756</v>
      </c>
      <c r="Q132">
        <f t="shared" ref="Q132" si="636">F132*P132</f>
        <v>10564197.470852012</v>
      </c>
      <c r="R132">
        <f t="shared" ref="R132" si="637">R133+Q132</f>
        <v>-1419936027.9039133</v>
      </c>
      <c r="S132">
        <f t="shared" ref="S132" si="638">R132/100000</f>
        <v>-14199.360279039132</v>
      </c>
      <c r="T132">
        <f t="shared" ref="T132" si="639">S132/1000</f>
        <v>-14.199360279039132</v>
      </c>
    </row>
    <row r="133" spans="1:20" x14ac:dyDescent="0.25">
      <c r="A133" s="5">
        <v>44460</v>
      </c>
      <c r="B133">
        <v>0.2369</v>
      </c>
      <c r="C133">
        <v>0.25409999999999999</v>
      </c>
      <c r="D133">
        <v>0.20569999999999999</v>
      </c>
      <c r="E133">
        <v>0.21340000000000001</v>
      </c>
      <c r="F133">
        <v>46490553</v>
      </c>
      <c r="G133">
        <v>0.21340000000000001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-0.68181818181818132</v>
      </c>
      <c r="Q133">
        <f t="shared" ref="Q133" si="641">F133*P133</f>
        <v>-31698104.318181794</v>
      </c>
      <c r="R133">
        <f t="shared" ref="R133" si="642">R134+Q133</f>
        <v>-1430500225.3747652</v>
      </c>
      <c r="S133">
        <f t="shared" ref="S133" si="643">R133/100000</f>
        <v>-14305.002253747651</v>
      </c>
      <c r="T133">
        <f t="shared" ref="T133" si="644">S133/1000</f>
        <v>-14.30500225374765</v>
      </c>
    </row>
    <row r="134" spans="1:20" x14ac:dyDescent="0.25">
      <c r="A134" s="5">
        <v>44459</v>
      </c>
      <c r="B134">
        <v>0.29759999999999998</v>
      </c>
      <c r="C134">
        <v>0.29830000000000001</v>
      </c>
      <c r="D134">
        <v>0.24779999999999999</v>
      </c>
      <c r="E134">
        <v>0.25879999999999997</v>
      </c>
      <c r="F134">
        <v>33226189</v>
      </c>
      <c r="G134">
        <v>0.25879999999999997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-0.56435643564356519</v>
      </c>
      <c r="Q134">
        <f t="shared" ref="Q134" si="646">F134*P134</f>
        <v>-18751413.594059434</v>
      </c>
      <c r="R134">
        <f t="shared" ref="R134" si="647">R135+Q134</f>
        <v>-1398802121.0565834</v>
      </c>
      <c r="S134">
        <f t="shared" ref="S134" si="648">R134/100000</f>
        <v>-13988.021210565834</v>
      </c>
      <c r="T134">
        <f t="shared" ref="T134" si="649">S134/1000</f>
        <v>-13.988021210565833</v>
      </c>
    </row>
    <row r="135" spans="1:20" x14ac:dyDescent="0.25">
      <c r="A135" s="5">
        <v>44458</v>
      </c>
      <c r="B135">
        <v>0.31280000000000002</v>
      </c>
      <c r="C135">
        <v>0.40760000000000002</v>
      </c>
      <c r="D135">
        <v>0.28220000000000001</v>
      </c>
      <c r="E135">
        <v>0.29759999999999998</v>
      </c>
      <c r="F135">
        <v>378453520</v>
      </c>
      <c r="G135">
        <v>0.29759999999999998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-0.75438596491228116</v>
      </c>
      <c r="Q135">
        <f t="shared" ref="Q135" si="651">F135*P135</f>
        <v>-285500023.8596493</v>
      </c>
      <c r="R135">
        <f t="shared" ref="R135" si="652">R136+Q135</f>
        <v>-1380050707.4625239</v>
      </c>
      <c r="S135">
        <f t="shared" ref="S135" si="653">R135/100000</f>
        <v>-13800.507074625239</v>
      </c>
      <c r="T135">
        <f t="shared" ref="T135" si="654">S135/1000</f>
        <v>-13.800507074625239</v>
      </c>
    </row>
    <row r="136" spans="1:20" x14ac:dyDescent="0.25">
      <c r="A136" s="5">
        <v>44457</v>
      </c>
      <c r="B136">
        <v>0.2248</v>
      </c>
      <c r="C136">
        <v>0.44840000000000002</v>
      </c>
      <c r="D136">
        <v>0.22189999999999999</v>
      </c>
      <c r="E136">
        <v>0.31280000000000002</v>
      </c>
      <c r="F136">
        <v>331343019.69</v>
      </c>
      <c r="G136">
        <v>0.31280000000000002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-0.19735099337748324</v>
      </c>
      <c r="Q136">
        <f t="shared" ref="Q136" si="656">F136*P136</f>
        <v>-65390874.084516488</v>
      </c>
      <c r="R136">
        <f t="shared" ref="R136" si="657">R137+Q136</f>
        <v>-1094550683.6028745</v>
      </c>
      <c r="S136">
        <f t="shared" ref="S136" si="658">R136/100000</f>
        <v>-10945.506836028746</v>
      </c>
      <c r="T136">
        <f t="shared" ref="T136" si="659">S136/1000</f>
        <v>-10.945506836028747</v>
      </c>
    </row>
    <row r="137" spans="1:20" x14ac:dyDescent="0.25">
      <c r="A137" s="5">
        <v>44456</v>
      </c>
      <c r="B137">
        <v>0.23469999999999999</v>
      </c>
      <c r="C137">
        <v>0.23899999999999999</v>
      </c>
      <c r="D137">
        <v>0.2203</v>
      </c>
      <c r="E137">
        <v>0.22520000000000001</v>
      </c>
      <c r="F137">
        <v>7184238</v>
      </c>
      <c r="G137">
        <v>0.22520000000000001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-0.47593582887700353</v>
      </c>
      <c r="Q137">
        <f t="shared" ref="Q137" si="661">F137*P137</f>
        <v>-3419236.2673796662</v>
      </c>
      <c r="R137">
        <f t="shared" ref="R137" si="662">R138+Q137</f>
        <v>-1029159809.518358</v>
      </c>
      <c r="S137">
        <f t="shared" ref="S137" si="663">R137/100000</f>
        <v>-10291.598095183579</v>
      </c>
      <c r="T137">
        <f t="shared" ref="T137" si="664">S137/1000</f>
        <v>-10.291598095183579</v>
      </c>
    </row>
    <row r="138" spans="1:20" x14ac:dyDescent="0.25">
      <c r="A138" s="5">
        <v>44455</v>
      </c>
      <c r="B138">
        <v>0.24379999999999999</v>
      </c>
      <c r="C138">
        <v>0.26400000000000001</v>
      </c>
      <c r="D138">
        <v>0.22800000000000001</v>
      </c>
      <c r="E138">
        <v>0.23519999999999999</v>
      </c>
      <c r="F138">
        <v>18980042</v>
      </c>
      <c r="G138">
        <v>0.23519999999999999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-0.60000000000000098</v>
      </c>
      <c r="Q138">
        <f t="shared" ref="Q138" si="666">F138*P138</f>
        <v>-11388025.200000018</v>
      </c>
      <c r="R138">
        <f t="shared" ref="R138" si="667">R139+Q138</f>
        <v>-1025740573.2509784</v>
      </c>
      <c r="S138">
        <f t="shared" ref="S138" si="668">R138/100000</f>
        <v>-10257.405732509784</v>
      </c>
      <c r="T138">
        <f t="shared" ref="T138" si="669">S138/1000</f>
        <v>-10.257405732509783</v>
      </c>
    </row>
    <row r="139" spans="1:20" x14ac:dyDescent="0.25">
      <c r="A139" s="5">
        <v>44454</v>
      </c>
      <c r="B139">
        <v>0.24010000000000001</v>
      </c>
      <c r="C139">
        <v>0.254</v>
      </c>
      <c r="D139">
        <v>0.23200000000000001</v>
      </c>
      <c r="E139">
        <v>0.24379999999999999</v>
      </c>
      <c r="F139">
        <v>11502762</v>
      </c>
      <c r="G139">
        <v>0.24379999999999999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7.2727272727271058E-2</v>
      </c>
      <c r="Q139">
        <f t="shared" ref="Q139" si="671">F139*P139</f>
        <v>836564.50909088994</v>
      </c>
      <c r="R139">
        <f t="shared" ref="R139" si="672">R140+Q139</f>
        <v>-1014352548.0509783</v>
      </c>
      <c r="S139">
        <f t="shared" ref="S139" si="673">R139/100000</f>
        <v>-10143.525480509783</v>
      </c>
      <c r="T139">
        <f t="shared" ref="T139" si="674">S139/1000</f>
        <v>-10.143525480509783</v>
      </c>
    </row>
    <row r="140" spans="1:20" x14ac:dyDescent="0.25">
      <c r="A140" s="5">
        <v>44453</v>
      </c>
      <c r="B140">
        <v>0.22439999999999999</v>
      </c>
      <c r="C140">
        <v>0.24840000000000001</v>
      </c>
      <c r="D140">
        <v>0.22209999999999999</v>
      </c>
      <c r="E140">
        <v>0.24010000000000001</v>
      </c>
      <c r="F140">
        <v>12018646</v>
      </c>
      <c r="G140">
        <v>0.24010000000000001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0.36882129277566567</v>
      </c>
      <c r="Q140">
        <f t="shared" ref="Q140" si="676">F140*P140</f>
        <v>4432732.5551330829</v>
      </c>
      <c r="R140">
        <f t="shared" ref="R140" si="677">R141+Q140</f>
        <v>-1015189112.5600692</v>
      </c>
      <c r="S140">
        <f t="shared" ref="S140" si="678">R140/100000</f>
        <v>-10151.891125600692</v>
      </c>
      <c r="T140">
        <f t="shared" ref="T140" si="679">S140/1000</f>
        <v>-10.151891125600692</v>
      </c>
    </row>
    <row r="141" spans="1:20" x14ac:dyDescent="0.25">
      <c r="A141" s="5">
        <v>44452</v>
      </c>
      <c r="B141">
        <v>0.2492</v>
      </c>
      <c r="C141">
        <v>0.253</v>
      </c>
      <c r="D141">
        <v>0.21560000000000001</v>
      </c>
      <c r="E141">
        <v>0.22470000000000001</v>
      </c>
      <c r="F141">
        <v>13898907</v>
      </c>
      <c r="G141">
        <v>0.22470000000000001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-0.5133689839572193</v>
      </c>
      <c r="Q141">
        <f t="shared" ref="Q141" si="681">F141*P141</f>
        <v>-7135267.7647058833</v>
      </c>
      <c r="R141">
        <f t="shared" ref="R141" si="682">R142+Q141</f>
        <v>-1019621845.1152023</v>
      </c>
      <c r="S141">
        <f t="shared" ref="S141" si="683">R141/100000</f>
        <v>-10196.218451152023</v>
      </c>
      <c r="T141">
        <f t="shared" ref="T141" si="684">S141/1000</f>
        <v>-10.196218451152022</v>
      </c>
    </row>
    <row r="142" spans="1:20" x14ac:dyDescent="0.25">
      <c r="A142" s="5">
        <v>44451</v>
      </c>
      <c r="B142">
        <v>0.22700000000000001</v>
      </c>
      <c r="C142">
        <v>0.27689999999999998</v>
      </c>
      <c r="D142">
        <v>0.22520000000000001</v>
      </c>
      <c r="E142">
        <v>0.24909999999999999</v>
      </c>
      <c r="F142">
        <v>64988888</v>
      </c>
      <c r="G142">
        <v>0.24909999999999999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-7.5435203094777886E-2</v>
      </c>
      <c r="Q142">
        <f t="shared" ref="Q142" si="686">F142*P142</f>
        <v>-4902449.9651837731</v>
      </c>
      <c r="R142">
        <f t="shared" ref="R142" si="687">R143+Q142</f>
        <v>-1012486577.3504964</v>
      </c>
      <c r="S142">
        <f t="shared" ref="S142" si="688">R142/100000</f>
        <v>-10124.865773504964</v>
      </c>
      <c r="T142">
        <f t="shared" ref="T142" si="689">S142/1000</f>
        <v>-10.124865773504963</v>
      </c>
    </row>
    <row r="143" spans="1:20" x14ac:dyDescent="0.25">
      <c r="A143" s="5">
        <v>44450</v>
      </c>
      <c r="B143">
        <v>0.21679999999999999</v>
      </c>
      <c r="C143">
        <v>0.23899999999999999</v>
      </c>
      <c r="D143">
        <v>0.21029999999999999</v>
      </c>
      <c r="E143">
        <v>0.22800000000000001</v>
      </c>
      <c r="F143">
        <v>23795754</v>
      </c>
      <c r="G143">
        <v>0.22800000000000001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0.23344947735191771</v>
      </c>
      <c r="Q143">
        <f t="shared" ref="Q143" si="691">F143*P143</f>
        <v>5555106.334494805</v>
      </c>
      <c r="R143">
        <f t="shared" ref="R143" si="692">R144+Q143</f>
        <v>-1007584127.3853127</v>
      </c>
      <c r="S143">
        <f t="shared" ref="S143" si="693">R143/100000</f>
        <v>-10075.841273853126</v>
      </c>
      <c r="T143">
        <f t="shared" ref="T143" si="694">S143/1000</f>
        <v>-10.075841273853126</v>
      </c>
    </row>
    <row r="144" spans="1:20" x14ac:dyDescent="0.25">
      <c r="A144" s="5">
        <v>44449</v>
      </c>
      <c r="B144">
        <v>0.2137</v>
      </c>
      <c r="C144">
        <v>0.24249999999999999</v>
      </c>
      <c r="D144">
        <v>0.20599999999999999</v>
      </c>
      <c r="E144">
        <v>0.21709999999999999</v>
      </c>
      <c r="F144">
        <v>42285306</v>
      </c>
      <c r="G144">
        <v>0.21709999999999999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-0.39178082191780839</v>
      </c>
      <c r="Q144">
        <f t="shared" ref="Q144" si="696">F144*P144</f>
        <v>-16566571.939726034</v>
      </c>
      <c r="R144">
        <f t="shared" ref="R144" si="697">R145+Q144</f>
        <v>-1013139233.7198075</v>
      </c>
      <c r="S144">
        <f t="shared" ref="S144" si="698">R144/100000</f>
        <v>-10131.392337198075</v>
      </c>
      <c r="T144">
        <f t="shared" ref="T144" si="699">S144/1000</f>
        <v>-10.131392337198074</v>
      </c>
    </row>
    <row r="145" spans="1:20" x14ac:dyDescent="0.25">
      <c r="A145" s="5">
        <v>44448</v>
      </c>
      <c r="B145">
        <v>0.21190000000000001</v>
      </c>
      <c r="C145">
        <v>0.23899999999999999</v>
      </c>
      <c r="D145">
        <v>0.20760000000000001</v>
      </c>
      <c r="E145">
        <v>0.2142</v>
      </c>
      <c r="F145">
        <v>22543083</v>
      </c>
      <c r="G145">
        <v>0.2142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-0.57961783439490455</v>
      </c>
      <c r="Q145">
        <f t="shared" ref="Q145" si="701">F145*P145</f>
        <v>-13066372.949044589</v>
      </c>
      <c r="R145">
        <f t="shared" ref="R145" si="702">R146+Q145</f>
        <v>-996572661.78008151</v>
      </c>
      <c r="S145">
        <f t="shared" ref="S145" si="703">R145/100000</f>
        <v>-9965.7266178008158</v>
      </c>
      <c r="T145">
        <f t="shared" ref="T145" si="704">S145/1000</f>
        <v>-9.965726617800815</v>
      </c>
    </row>
    <row r="146" spans="1:20" x14ac:dyDescent="0.25">
      <c r="A146" s="5">
        <v>44447</v>
      </c>
      <c r="B146">
        <v>0.2175</v>
      </c>
      <c r="C146">
        <v>0.22259999999999999</v>
      </c>
      <c r="D146">
        <v>0.192</v>
      </c>
      <c r="E146">
        <v>0.21190000000000001</v>
      </c>
      <c r="F146">
        <v>29190785</v>
      </c>
      <c r="G146">
        <v>0.21190000000000001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0.30065359477124237</v>
      </c>
      <c r="Q146">
        <f t="shared" ref="Q146" si="706">F146*P146</f>
        <v>8776314.4444444608</v>
      </c>
      <c r="R146">
        <f t="shared" ref="R146" si="707">R147+Q146</f>
        <v>-983506288.83103693</v>
      </c>
      <c r="S146">
        <f t="shared" ref="S146" si="708">R146/100000</f>
        <v>-9835.0628883103691</v>
      </c>
      <c r="T146">
        <f t="shared" ref="T146" si="709">S146/1000</f>
        <v>-9.8350628883103699</v>
      </c>
    </row>
    <row r="147" spans="1:20" x14ac:dyDescent="0.25">
      <c r="A147" s="5">
        <v>44446</v>
      </c>
      <c r="B147">
        <v>0.27939999999999998</v>
      </c>
      <c r="C147">
        <v>0.2878</v>
      </c>
      <c r="D147">
        <v>0.18840000000000001</v>
      </c>
      <c r="E147">
        <v>0.21690000000000001</v>
      </c>
      <c r="F147">
        <v>34074319.509999998</v>
      </c>
      <c r="G147">
        <v>0.21690000000000001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-0.42655935613682089</v>
      </c>
      <c r="Q147">
        <f t="shared" ref="Q147" si="711">F147*P147</f>
        <v>-14534719.790985914</v>
      </c>
      <c r="R147">
        <f t="shared" ref="R147" si="712">R148+Q147</f>
        <v>-992282603.27548134</v>
      </c>
      <c r="S147">
        <f t="shared" ref="S147" si="713">R147/100000</f>
        <v>-9922.8260327548142</v>
      </c>
      <c r="T147">
        <f t="shared" ref="T147" si="714">S147/1000</f>
        <v>-9.9228260327548146</v>
      </c>
    </row>
    <row r="148" spans="1:20" x14ac:dyDescent="0.25">
      <c r="A148" s="5">
        <v>44445</v>
      </c>
      <c r="B148">
        <v>0.2636</v>
      </c>
      <c r="C148">
        <v>0.28499999999999998</v>
      </c>
      <c r="D148">
        <v>0.25269999999999998</v>
      </c>
      <c r="E148">
        <v>0.27900000000000003</v>
      </c>
      <c r="F148">
        <v>29160597</v>
      </c>
      <c r="G148">
        <v>0.27900000000000003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0.62848297213622595</v>
      </c>
      <c r="Q148">
        <f t="shared" ref="Q148" si="716">F148*P148</f>
        <v>18326938.671826713</v>
      </c>
      <c r="R148">
        <f t="shared" ref="R148" si="717">R149+Q148</f>
        <v>-977747883.4844954</v>
      </c>
      <c r="S148">
        <f t="shared" ref="S148" si="718">R148/100000</f>
        <v>-9777.4788348449547</v>
      </c>
      <c r="T148">
        <f t="shared" ref="T148" si="719">S148/1000</f>
        <v>-9.7774788348449544</v>
      </c>
    </row>
    <row r="149" spans="1:20" x14ac:dyDescent="0.25">
      <c r="A149" s="5">
        <v>44444</v>
      </c>
      <c r="B149">
        <v>0.27139999999999997</v>
      </c>
      <c r="C149">
        <v>0.2772</v>
      </c>
      <c r="D149">
        <v>0.25800000000000001</v>
      </c>
      <c r="E149">
        <v>0.2636</v>
      </c>
      <c r="F149">
        <v>22432107</v>
      </c>
      <c r="G149">
        <v>0.2636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-0.41666666666666713</v>
      </c>
      <c r="Q149">
        <f t="shared" ref="Q149" si="721">F149*P149</f>
        <v>-9346711.2500000112</v>
      </c>
      <c r="R149">
        <f t="shared" ref="R149" si="722">R150+Q149</f>
        <v>-996074822.15632212</v>
      </c>
      <c r="S149">
        <f t="shared" ref="S149" si="723">R149/100000</f>
        <v>-9960.7482215632208</v>
      </c>
      <c r="T149">
        <f t="shared" ref="T149" si="724">S149/1000</f>
        <v>-9.9607482215632199</v>
      </c>
    </row>
    <row r="150" spans="1:20" x14ac:dyDescent="0.25">
      <c r="A150" s="5">
        <v>44443</v>
      </c>
      <c r="B150">
        <v>0.2833</v>
      </c>
      <c r="C150">
        <v>0.28849999999999998</v>
      </c>
      <c r="D150">
        <v>0.27</v>
      </c>
      <c r="E150">
        <v>0.27139999999999997</v>
      </c>
      <c r="F150">
        <v>33230718</v>
      </c>
      <c r="G150">
        <v>0.27139999999999997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-0.84864864864865297</v>
      </c>
      <c r="Q150">
        <f t="shared" ref="Q150" si="726">F150*P150</f>
        <v>-28201203.924324468</v>
      </c>
      <c r="R150">
        <f t="shared" ref="R150" si="727">R151+Q150</f>
        <v>-986728110.90632212</v>
      </c>
      <c r="S150">
        <f t="shared" ref="S150" si="728">R150/100000</f>
        <v>-9867.2811090632204</v>
      </c>
      <c r="T150">
        <f t="shared" ref="T150" si="729">S150/1000</f>
        <v>-9.8672811090632209</v>
      </c>
    </row>
    <row r="151" spans="1:20" x14ac:dyDescent="0.25">
      <c r="A151" s="5">
        <v>44442</v>
      </c>
      <c r="B151">
        <v>0.26319999999999999</v>
      </c>
      <c r="C151">
        <v>0.33900000000000002</v>
      </c>
      <c r="D151">
        <v>0.2475</v>
      </c>
      <c r="E151">
        <v>0.2833</v>
      </c>
      <c r="F151">
        <v>169892070.78</v>
      </c>
      <c r="G151">
        <v>0.2833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-0.21748633879781445</v>
      </c>
      <c r="Q151">
        <f t="shared" ref="Q151" si="731">F151*P151</f>
        <v>-36949204.464721352</v>
      </c>
      <c r="R151">
        <f t="shared" ref="R151" si="732">R152+Q151</f>
        <v>-958526906.98199761</v>
      </c>
      <c r="S151">
        <f t="shared" ref="S151" si="733">R151/100000</f>
        <v>-9585.2690698199767</v>
      </c>
      <c r="T151">
        <f t="shared" ref="T151" si="734">S151/1000</f>
        <v>-9.5852690698199758</v>
      </c>
    </row>
    <row r="152" spans="1:20" x14ac:dyDescent="0.25">
      <c r="A152" s="5">
        <v>44441</v>
      </c>
      <c r="B152">
        <v>0.2228</v>
      </c>
      <c r="C152">
        <v>0.27879999999999999</v>
      </c>
      <c r="D152">
        <v>0.21829999999999999</v>
      </c>
      <c r="E152">
        <v>0.2626</v>
      </c>
      <c r="F152">
        <v>112065259</v>
      </c>
      <c r="G152">
        <v>0.2626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0.46446280991735561</v>
      </c>
      <c r="Q152">
        <f t="shared" ref="Q152" si="736">F152*P152</f>
        <v>52050145.089256227</v>
      </c>
      <c r="R152">
        <f t="shared" ref="R152" si="737">R153+Q152</f>
        <v>-921577702.51727629</v>
      </c>
      <c r="S152">
        <f t="shared" ref="S152" si="738">R152/100000</f>
        <v>-9215.7770251727634</v>
      </c>
      <c r="T152">
        <f t="shared" ref="T152" si="739">S152/1000</f>
        <v>-9.2157770251727626</v>
      </c>
    </row>
    <row r="153" spans="1:20" x14ac:dyDescent="0.25">
      <c r="A153" s="5">
        <v>44440</v>
      </c>
      <c r="B153">
        <v>0.20499999999999999</v>
      </c>
      <c r="C153">
        <v>0.23499999999999999</v>
      </c>
      <c r="D153">
        <v>0.20080000000000001</v>
      </c>
      <c r="E153">
        <v>0.22289999999999999</v>
      </c>
      <c r="F153">
        <v>25273170.469999999</v>
      </c>
      <c r="G153">
        <v>0.22289999999999999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0.29239766081871305</v>
      </c>
      <c r="Q153">
        <f t="shared" ref="Q153" si="741">F153*P153</f>
        <v>7389815.926900574</v>
      </c>
      <c r="R153">
        <f t="shared" ref="R153" si="742">R154+Q153</f>
        <v>-973627847.60653257</v>
      </c>
      <c r="S153">
        <f t="shared" ref="S153" si="743">R153/100000</f>
        <v>-9736.2784760653249</v>
      </c>
      <c r="T153">
        <f t="shared" ref="T153" si="744">S153/1000</f>
        <v>-9.7362784760653245</v>
      </c>
    </row>
    <row r="154" spans="1:20" x14ac:dyDescent="0.25">
      <c r="A154" s="5">
        <v>44439</v>
      </c>
      <c r="B154">
        <v>0.2107</v>
      </c>
      <c r="C154">
        <v>0.2155</v>
      </c>
      <c r="D154">
        <v>0.20219999999999999</v>
      </c>
      <c r="E154">
        <v>0.20519999999999999</v>
      </c>
      <c r="F154">
        <v>13736640</v>
      </c>
      <c r="G154">
        <v>0.20519999999999999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-0.54887218045112762</v>
      </c>
      <c r="Q154">
        <f t="shared" ref="Q154" si="746">F154*P154</f>
        <v>-7539659.5488721775</v>
      </c>
      <c r="R154">
        <f t="shared" ref="R154" si="747">R155+Q154</f>
        <v>-981017663.5334332</v>
      </c>
      <c r="S154">
        <f t="shared" ref="S154" si="748">R154/100000</f>
        <v>-9810.1766353343319</v>
      </c>
      <c r="T154">
        <f t="shared" ref="T154" si="749">S154/1000</f>
        <v>-9.8101766353343312</v>
      </c>
    </row>
    <row r="155" spans="1:20" x14ac:dyDescent="0.25">
      <c r="A155" s="5">
        <v>44438</v>
      </c>
      <c r="B155">
        <v>0.22520000000000001</v>
      </c>
      <c r="C155">
        <v>0.22600000000000001</v>
      </c>
      <c r="D155">
        <v>0.20219999999999999</v>
      </c>
      <c r="E155">
        <v>0.2107</v>
      </c>
      <c r="F155">
        <v>16402552.23</v>
      </c>
      <c r="G155">
        <v>0.2107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-0.28571428571428553</v>
      </c>
      <c r="Q155">
        <f t="shared" ref="Q155" si="751">F155*P155</f>
        <v>-4686443.4942857111</v>
      </c>
      <c r="R155">
        <f t="shared" ref="R155" si="752">R156+Q155</f>
        <v>-973478003.98456097</v>
      </c>
      <c r="S155">
        <f t="shared" ref="S155" si="753">R155/100000</f>
        <v>-9734.7800398456093</v>
      </c>
      <c r="T155">
        <f t="shared" ref="T155" si="754">S155/1000</f>
        <v>-9.7347800398456101</v>
      </c>
    </row>
    <row r="156" spans="1:20" x14ac:dyDescent="0.25">
      <c r="A156" s="5">
        <v>44437</v>
      </c>
      <c r="B156">
        <v>0.22339999999999999</v>
      </c>
      <c r="C156">
        <v>0.2288</v>
      </c>
      <c r="D156">
        <v>0.218</v>
      </c>
      <c r="E156">
        <v>0.22509999999999999</v>
      </c>
      <c r="F156">
        <v>13007365</v>
      </c>
      <c r="G156">
        <v>0.22509999999999999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0.31481481481481344</v>
      </c>
      <c r="Q156">
        <f t="shared" ref="Q156" si="756">F156*P156</f>
        <v>4094911.2037036857</v>
      </c>
      <c r="R156">
        <f t="shared" ref="R156" si="757">R157+Q156</f>
        <v>-968791560.49027526</v>
      </c>
      <c r="S156">
        <f t="shared" ref="S156" si="758">R156/100000</f>
        <v>-9687.9156049027533</v>
      </c>
      <c r="T156">
        <f t="shared" ref="T156" si="759">S156/1000</f>
        <v>-9.6879156049027539</v>
      </c>
    </row>
    <row r="157" spans="1:20" x14ac:dyDescent="0.25">
      <c r="A157" s="5">
        <v>44436</v>
      </c>
      <c r="B157">
        <v>0.2334</v>
      </c>
      <c r="C157">
        <v>0.2389</v>
      </c>
      <c r="D157">
        <v>0.22020000000000001</v>
      </c>
      <c r="E157">
        <v>0.22270000000000001</v>
      </c>
      <c r="F157">
        <v>22882187</v>
      </c>
      <c r="G157">
        <v>0.22270000000000001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-0.73262032085561468</v>
      </c>
      <c r="Q157">
        <f t="shared" ref="Q157" si="761">F157*P157</f>
        <v>-16763955.181818176</v>
      </c>
      <c r="R157">
        <f t="shared" ref="R157" si="762">R158+Q157</f>
        <v>-972886471.69397891</v>
      </c>
      <c r="S157">
        <f t="shared" ref="S157" si="763">R157/100000</f>
        <v>-9728.8647169397882</v>
      </c>
      <c r="T157">
        <f t="shared" ref="T157" si="764">S157/1000</f>
        <v>-9.728864716939789</v>
      </c>
    </row>
    <row r="158" spans="1:20" x14ac:dyDescent="0.25">
      <c r="A158" s="5">
        <v>44435</v>
      </c>
      <c r="B158">
        <v>0.22489999999999999</v>
      </c>
      <c r="C158">
        <v>0.25559999999999999</v>
      </c>
      <c r="D158">
        <v>0.20979999999999999</v>
      </c>
      <c r="E158">
        <v>0.23319999999999999</v>
      </c>
      <c r="F158">
        <v>49573358</v>
      </c>
      <c r="G158">
        <v>0.23319999999999999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2.1834061135371195E-2</v>
      </c>
      <c r="Q158">
        <f t="shared" ref="Q158" si="766">F158*P158</f>
        <v>1082387.7292576428</v>
      </c>
      <c r="R158">
        <f t="shared" ref="R158" si="767">R159+Q158</f>
        <v>-956122516.51216078</v>
      </c>
      <c r="S158">
        <f t="shared" ref="S158" si="768">R158/100000</f>
        <v>-9561.2251651216084</v>
      </c>
      <c r="T158">
        <f t="shared" ref="T158" si="769">S158/1000</f>
        <v>-9.5612251651216091</v>
      </c>
    </row>
    <row r="159" spans="1:20" x14ac:dyDescent="0.25">
      <c r="A159" s="5">
        <v>44434</v>
      </c>
      <c r="B159">
        <v>0.22789999999999999</v>
      </c>
      <c r="C159">
        <v>0.28739999999999999</v>
      </c>
      <c r="D159">
        <v>0.20549999999999999</v>
      </c>
      <c r="E159">
        <v>0.22489999999999999</v>
      </c>
      <c r="F159">
        <v>147577958.06999999</v>
      </c>
      <c r="G159">
        <v>0.22489999999999999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-0.52625152625152627</v>
      </c>
      <c r="Q159">
        <f t="shared" ref="Q159" si="771">F159*P159</f>
        <v>-77663125.675421238</v>
      </c>
      <c r="R159">
        <f t="shared" ref="R159" si="772">R160+Q159</f>
        <v>-957204904.24141836</v>
      </c>
      <c r="S159">
        <f t="shared" ref="S159" si="773">R159/100000</f>
        <v>-9572.0490424141844</v>
      </c>
      <c r="T159">
        <f t="shared" ref="T159" si="774">S159/1000</f>
        <v>-9.572049042414184</v>
      </c>
    </row>
    <row r="160" spans="1:20" x14ac:dyDescent="0.25">
      <c r="A160" s="5">
        <v>44433</v>
      </c>
      <c r="B160">
        <v>0.19489999999999999</v>
      </c>
      <c r="C160">
        <v>0.249</v>
      </c>
      <c r="D160">
        <v>0.18859999999999999</v>
      </c>
      <c r="E160">
        <v>0.22750000000000001</v>
      </c>
      <c r="F160">
        <v>52825282.159999996</v>
      </c>
      <c r="G160">
        <v>0.22750000000000001</v>
      </c>
      <c r="L160" t="s">
        <v>7</v>
      </c>
      <c r="M160" t="s">
        <v>8</v>
      </c>
      <c r="N160" t="s">
        <v>7</v>
      </c>
      <c r="P160">
        <f t="shared" ref="P160" si="775">IF(C160=D160,0,((E160-D160)-(C160-E160))/(C160-D160))</f>
        <v>0.28807947019867591</v>
      </c>
      <c r="Q160">
        <f t="shared" ref="Q160" si="776">F160*P160</f>
        <v>15217879.297748365</v>
      </c>
      <c r="R160">
        <f t="shared" ref="R160" si="777">R161+Q160</f>
        <v>-879541778.56599712</v>
      </c>
      <c r="S160">
        <f t="shared" ref="S160" si="778">R160/100000</f>
        <v>-8795.4177856599708</v>
      </c>
      <c r="T160">
        <f t="shared" ref="T160" si="779">S160/1000</f>
        <v>-8.7954177856599713</v>
      </c>
    </row>
    <row r="161" spans="1:20" x14ac:dyDescent="0.25">
      <c r="A161" s="5">
        <v>44432</v>
      </c>
      <c r="B161">
        <v>0.2165</v>
      </c>
      <c r="C161">
        <v>0.2225</v>
      </c>
      <c r="D161">
        <v>0.1948</v>
      </c>
      <c r="E161">
        <v>0.19539999999999999</v>
      </c>
      <c r="F161">
        <v>13332550.33</v>
      </c>
      <c r="G161">
        <v>0.19539999999999999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-0.95667870036101155</v>
      </c>
      <c r="Q161">
        <f t="shared" ref="Q161" si="781">F161*P161</f>
        <v>-12754966.922202175</v>
      </c>
      <c r="R161">
        <f t="shared" ref="R161" si="782">R162+Q161</f>
        <v>-894759657.86374545</v>
      </c>
      <c r="S161">
        <f t="shared" ref="S161" si="783">R161/100000</f>
        <v>-8947.5965786374545</v>
      </c>
      <c r="T161">
        <f t="shared" ref="T161" si="784">S161/1000</f>
        <v>-8.9475965786374552</v>
      </c>
    </row>
    <row r="162" spans="1:20" x14ac:dyDescent="0.25">
      <c r="A162" s="5">
        <v>44431</v>
      </c>
      <c r="B162">
        <v>0.21260000000000001</v>
      </c>
      <c r="C162">
        <v>0.22500000000000001</v>
      </c>
      <c r="D162">
        <v>0.2112</v>
      </c>
      <c r="E162">
        <v>0.21659999999999999</v>
      </c>
      <c r="F162">
        <v>16413926.449999999</v>
      </c>
      <c r="G162">
        <v>0.21659999999999999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-0.21739130434782819</v>
      </c>
      <c r="Q162">
        <f t="shared" ref="Q162" si="786">F162*P162</f>
        <v>-3568244.8804348172</v>
      </c>
      <c r="R162">
        <f t="shared" ref="R162" si="787">R163+Q162</f>
        <v>-882004690.94154322</v>
      </c>
      <c r="S162">
        <f t="shared" ref="S162" si="788">R162/100000</f>
        <v>-8820.0469094154323</v>
      </c>
      <c r="T162">
        <f t="shared" ref="T162" si="789">S162/1000</f>
        <v>-8.8200469094154315</v>
      </c>
    </row>
    <row r="163" spans="1:20" x14ac:dyDescent="0.25">
      <c r="A163" s="5">
        <v>44430</v>
      </c>
      <c r="B163">
        <v>0.20699999999999999</v>
      </c>
      <c r="C163">
        <v>0.20860000000000001</v>
      </c>
      <c r="D163">
        <v>0.2026</v>
      </c>
      <c r="E163">
        <v>0.20630000000000001</v>
      </c>
      <c r="F163">
        <v>2145382.75</v>
      </c>
      <c r="G163">
        <v>0.20630000000000001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0.2333333333333352</v>
      </c>
      <c r="Q163">
        <f t="shared" ref="Q163" si="791">F163*P163</f>
        <v>500589.30833333731</v>
      </c>
      <c r="R163">
        <f t="shared" ref="R163" si="792">R164+Q163</f>
        <v>-878436446.06110835</v>
      </c>
      <c r="S163">
        <f t="shared" ref="S163" si="793">R163/100000</f>
        <v>-8784.3644606110829</v>
      </c>
      <c r="T163">
        <f t="shared" ref="T163" si="794">S163/1000</f>
        <v>-8.7843644606110836</v>
      </c>
    </row>
    <row r="164" spans="1:20" x14ac:dyDescent="0.25">
      <c r="A164" s="5">
        <v>44429</v>
      </c>
      <c r="B164">
        <v>0.21479999999999999</v>
      </c>
      <c r="C164">
        <v>0.217</v>
      </c>
      <c r="D164">
        <v>0.20599999999999999</v>
      </c>
      <c r="E164">
        <v>0.2074</v>
      </c>
      <c r="F164">
        <v>14101317.869999999</v>
      </c>
      <c r="G164">
        <v>0.2074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-0.74545454545454348</v>
      </c>
      <c r="Q164">
        <f t="shared" ref="Q164" si="796">F164*P164</f>
        <v>-10511891.503090881</v>
      </c>
      <c r="R164">
        <f t="shared" ref="R164" si="797">R165+Q164</f>
        <v>-878937035.36944175</v>
      </c>
      <c r="S164">
        <f t="shared" ref="S164" si="798">R164/100000</f>
        <v>-8789.3703536944176</v>
      </c>
      <c r="T164">
        <f t="shared" ref="T164" si="799">S164/1000</f>
        <v>-8.7893703536944177</v>
      </c>
    </row>
    <row r="165" spans="1:20" x14ac:dyDescent="0.25">
      <c r="A165" s="5">
        <v>44428</v>
      </c>
      <c r="B165">
        <v>0.2099</v>
      </c>
      <c r="C165">
        <v>0.2293</v>
      </c>
      <c r="D165">
        <v>0.20580000000000001</v>
      </c>
      <c r="E165">
        <v>0.21490000000000001</v>
      </c>
      <c r="F165">
        <v>32720546.969999999</v>
      </c>
      <c r="G165">
        <v>0.21490000000000001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-0.22553191489361704</v>
      </c>
      <c r="Q165">
        <f t="shared" ref="Q165" si="801">F165*P165</f>
        <v>-7379527.6145106386</v>
      </c>
      <c r="R165">
        <f t="shared" ref="R165" si="802">R166+Q165</f>
        <v>-868425143.86635089</v>
      </c>
      <c r="S165">
        <f t="shared" ref="S165" si="803">R165/100000</f>
        <v>-8684.2514386635085</v>
      </c>
      <c r="T165">
        <f t="shared" ref="T165" si="804">S165/1000</f>
        <v>-8.6842514386635088</v>
      </c>
    </row>
    <row r="166" spans="1:20" x14ac:dyDescent="0.25">
      <c r="A166" s="5">
        <v>44427</v>
      </c>
      <c r="B166">
        <v>0.19009999999999999</v>
      </c>
      <c r="C166">
        <v>0.22500000000000001</v>
      </c>
      <c r="D166">
        <v>0.18279999999999999</v>
      </c>
      <c r="E166">
        <v>0.2099</v>
      </c>
      <c r="F166">
        <v>32566788.66</v>
      </c>
      <c r="G166">
        <v>0.2099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0.28436018957345988</v>
      </c>
      <c r="Q166">
        <f t="shared" ref="Q166" si="806">F166*P166</f>
        <v>9260698.1971564032</v>
      </c>
      <c r="R166">
        <f t="shared" ref="R166" si="807">R167+Q166</f>
        <v>-861045616.25184023</v>
      </c>
      <c r="S166">
        <f t="shared" ref="S166" si="808">R166/100000</f>
        <v>-8610.4561625184015</v>
      </c>
      <c r="T166">
        <f t="shared" ref="T166" si="809">S166/1000</f>
        <v>-8.6104561625184015</v>
      </c>
    </row>
    <row r="167" spans="1:20" x14ac:dyDescent="0.25">
      <c r="A167" s="5">
        <v>44426</v>
      </c>
      <c r="B167">
        <v>0.19089999999999999</v>
      </c>
      <c r="C167">
        <v>0.20699999999999999</v>
      </c>
      <c r="D167">
        <v>0.18240000000000001</v>
      </c>
      <c r="E167">
        <v>0.19109999999999999</v>
      </c>
      <c r="F167">
        <v>15105747.060000001</v>
      </c>
      <c r="G167">
        <v>0.19109999999999999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-0.292682926829269</v>
      </c>
      <c r="Q167">
        <f t="shared" ref="Q167" si="811">F167*P167</f>
        <v>-4421194.2614634251</v>
      </c>
      <c r="R167">
        <f t="shared" ref="R167" si="812">R168+Q167</f>
        <v>-870306314.44899666</v>
      </c>
      <c r="S167">
        <f t="shared" ref="S167" si="813">R167/100000</f>
        <v>-8703.0631444899664</v>
      </c>
      <c r="T167">
        <f t="shared" ref="T167" si="814">S167/1000</f>
        <v>-8.7030631444899669</v>
      </c>
    </row>
    <row r="168" spans="1:20" x14ac:dyDescent="0.25">
      <c r="A168" s="5">
        <v>44425</v>
      </c>
      <c r="B168">
        <v>0.20469999999999999</v>
      </c>
      <c r="C168">
        <v>0.21790000000000001</v>
      </c>
      <c r="D168">
        <v>0.18720000000000001</v>
      </c>
      <c r="E168">
        <v>0.19070000000000001</v>
      </c>
      <c r="F168">
        <v>20453709.84</v>
      </c>
      <c r="G168">
        <v>0.19070000000000001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-0.77198697068403888</v>
      </c>
      <c r="Q168">
        <f t="shared" ref="Q168" si="816">F168*P168</f>
        <v>-15789997.498631917</v>
      </c>
      <c r="R168">
        <f t="shared" ref="R168" si="817">R169+Q168</f>
        <v>-865885120.18753326</v>
      </c>
      <c r="S168">
        <f t="shared" ref="S168" si="818">R168/100000</f>
        <v>-8658.8512018753318</v>
      </c>
      <c r="T168">
        <f t="shared" ref="T168" si="819">S168/1000</f>
        <v>-8.658851201875331</v>
      </c>
    </row>
    <row r="169" spans="1:20" x14ac:dyDescent="0.25">
      <c r="A169" s="5">
        <v>44424</v>
      </c>
      <c r="B169">
        <v>0.2127</v>
      </c>
      <c r="C169">
        <v>0.23619999999999999</v>
      </c>
      <c r="D169">
        <v>0.2016</v>
      </c>
      <c r="E169">
        <v>0.20519999999999999</v>
      </c>
      <c r="F169">
        <v>33170131.989999998</v>
      </c>
      <c r="G169">
        <v>0.20519999999999999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-0.79190751445086749</v>
      </c>
      <c r="Q169">
        <f t="shared" ref="Q169" si="821">F169*P169</f>
        <v>-26267676.778208107</v>
      </c>
      <c r="R169">
        <f t="shared" ref="R169" si="822">R170+Q169</f>
        <v>-850095122.68890131</v>
      </c>
      <c r="S169">
        <f t="shared" ref="S169" si="823">R169/100000</f>
        <v>-8500.9512268890139</v>
      </c>
      <c r="T169">
        <f t="shared" ref="T169" si="824">S169/1000</f>
        <v>-8.5009512268890131</v>
      </c>
    </row>
    <row r="170" spans="1:20" x14ac:dyDescent="0.25">
      <c r="A170" s="5">
        <v>44423</v>
      </c>
      <c r="B170">
        <v>0.21260000000000001</v>
      </c>
      <c r="C170">
        <v>0.21640000000000001</v>
      </c>
      <c r="D170">
        <v>0.2021</v>
      </c>
      <c r="E170">
        <v>0.2127</v>
      </c>
      <c r="F170">
        <v>17369215.460000001</v>
      </c>
      <c r="G170">
        <v>0.2127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0.48251748251748156</v>
      </c>
      <c r="Q170">
        <f t="shared" ref="Q170" si="826">F170*P170</f>
        <v>8380950.1170629207</v>
      </c>
      <c r="R170">
        <f t="shared" ref="R170" si="827">R171+Q170</f>
        <v>-823827445.91069317</v>
      </c>
      <c r="S170">
        <f t="shared" ref="S170" si="828">R170/100000</f>
        <v>-8238.2744591069313</v>
      </c>
      <c r="T170">
        <f t="shared" ref="T170" si="829">S170/1000</f>
        <v>-8.2382744591069308</v>
      </c>
    </row>
    <row r="171" spans="1:20" x14ac:dyDescent="0.25">
      <c r="A171" s="5">
        <v>44422</v>
      </c>
      <c r="B171">
        <v>0.22040000000000001</v>
      </c>
      <c r="C171">
        <v>0.22339999999999999</v>
      </c>
      <c r="D171">
        <v>0.20549999999999999</v>
      </c>
      <c r="E171">
        <v>0.21290000000000001</v>
      </c>
      <c r="F171">
        <v>37643295.259999998</v>
      </c>
      <c r="G171">
        <v>0.21290000000000001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-0.17318435754189743</v>
      </c>
      <c r="Q171">
        <f t="shared" ref="Q171" si="831">F171*P171</f>
        <v>-6519229.9053630522</v>
      </c>
      <c r="R171">
        <f t="shared" ref="R171" si="832">R172+Q171</f>
        <v>-832208396.02775609</v>
      </c>
      <c r="S171">
        <f t="shared" ref="S171" si="833">R171/100000</f>
        <v>-8322.0839602775613</v>
      </c>
      <c r="T171">
        <f t="shared" ref="T171" si="834">S171/1000</f>
        <v>-8.3220839602775616</v>
      </c>
    </row>
    <row r="172" spans="1:20" x14ac:dyDescent="0.25">
      <c r="A172" s="5">
        <v>44421</v>
      </c>
      <c r="B172">
        <v>0.20649999999999999</v>
      </c>
      <c r="C172">
        <v>0.26769999999999999</v>
      </c>
      <c r="D172">
        <v>0.19939999999999999</v>
      </c>
      <c r="E172">
        <v>0.22040000000000001</v>
      </c>
      <c r="F172">
        <v>189810244.15000001</v>
      </c>
      <c r="G172">
        <v>0.22040000000000001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-0.38506588579794965</v>
      </c>
      <c r="Q172">
        <f t="shared" ref="Q172" si="836">F172*P172</f>
        <v>-73089449.797144845</v>
      </c>
      <c r="R172">
        <f t="shared" ref="R172" si="837">R173+Q172</f>
        <v>-825689166.12239301</v>
      </c>
      <c r="S172">
        <f t="shared" ref="S172" si="838">R172/100000</f>
        <v>-8256.89166122393</v>
      </c>
      <c r="T172">
        <f t="shared" ref="T172" si="839">S172/1000</f>
        <v>-8.2568916612239303</v>
      </c>
    </row>
    <row r="173" spans="1:20" x14ac:dyDescent="0.25">
      <c r="A173" s="5">
        <v>44420</v>
      </c>
      <c r="B173">
        <v>0.1835</v>
      </c>
      <c r="C173">
        <v>0.24379999999999999</v>
      </c>
      <c r="D173">
        <v>0.1701</v>
      </c>
      <c r="E173">
        <v>0.20630000000000001</v>
      </c>
      <c r="F173">
        <v>170054190.5</v>
      </c>
      <c r="G173">
        <v>0.20630000000000001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-1.7639077340569444E-2</v>
      </c>
      <c r="Q173">
        <f t="shared" ref="Q173" si="841">F173*P173</f>
        <v>-2999599.0183174293</v>
      </c>
      <c r="R173">
        <f t="shared" ref="R173" si="842">R174+Q173</f>
        <v>-752599716.32524812</v>
      </c>
      <c r="S173">
        <f t="shared" ref="S173" si="843">R173/100000</f>
        <v>-7525.9971632524812</v>
      </c>
      <c r="T173">
        <f t="shared" ref="T173" si="844">S173/1000</f>
        <v>-7.5259971632524811</v>
      </c>
    </row>
    <row r="174" spans="1:20" x14ac:dyDescent="0.25">
      <c r="A174" s="5">
        <v>44419</v>
      </c>
      <c r="B174">
        <v>0.18099999999999999</v>
      </c>
      <c r="C174">
        <v>0.193</v>
      </c>
      <c r="D174">
        <v>0.1774</v>
      </c>
      <c r="E174">
        <v>0.18379999999999999</v>
      </c>
      <c r="F174">
        <v>53185058.390000001</v>
      </c>
      <c r="G174">
        <v>0.18379999999999999</v>
      </c>
      <c r="L174" t="s">
        <v>8</v>
      </c>
      <c r="M174" t="s">
        <v>7</v>
      </c>
      <c r="N174" t="s">
        <v>7</v>
      </c>
      <c r="P174">
        <f t="shared" ref="P174" si="845">IF(C174=D174,0,((E174-D174)-(C174-E174))/(C174-D174))</f>
        <v>-0.17948717948718104</v>
      </c>
      <c r="Q174">
        <f t="shared" ref="Q174" si="846">F174*P174</f>
        <v>-9546036.1212821342</v>
      </c>
      <c r="R174">
        <f t="shared" ref="R174" si="847">R175+Q174</f>
        <v>-749600117.30693066</v>
      </c>
      <c r="S174">
        <f t="shared" ref="S174" si="848">R174/100000</f>
        <v>-7496.0011730693068</v>
      </c>
      <c r="T174">
        <f t="shared" ref="T174" si="849">S174/1000</f>
        <v>-7.496001173069307</v>
      </c>
    </row>
    <row r="175" spans="1:20" x14ac:dyDescent="0.25">
      <c r="A175" s="5">
        <v>44418</v>
      </c>
      <c r="B175">
        <v>0.17699999999999999</v>
      </c>
      <c r="C175">
        <v>0.18940000000000001</v>
      </c>
      <c r="D175">
        <v>0.17069999999999999</v>
      </c>
      <c r="E175">
        <v>0.1807</v>
      </c>
      <c r="F175">
        <v>168953901.03999999</v>
      </c>
      <c r="G175">
        <v>0.1807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6.9518716577539788E-2</v>
      </c>
      <c r="Q175">
        <f t="shared" ref="Q175" si="851">F175*P175</f>
        <v>11745458.361069465</v>
      </c>
      <c r="R175">
        <f t="shared" ref="R175" si="852">R176+Q175</f>
        <v>-740054081.18564856</v>
      </c>
      <c r="S175">
        <f t="shared" ref="S175" si="853">R175/100000</f>
        <v>-7400.5408118564856</v>
      </c>
      <c r="T175">
        <f t="shared" ref="T175" si="854">S175/1000</f>
        <v>-7.4005408118564855</v>
      </c>
    </row>
    <row r="176" spans="1:20" x14ac:dyDescent="0.25">
      <c r="A176" s="5">
        <v>44417</v>
      </c>
      <c r="B176">
        <v>0.16850000000000001</v>
      </c>
      <c r="C176">
        <v>0.193</v>
      </c>
      <c r="D176">
        <v>0.1648</v>
      </c>
      <c r="E176">
        <v>0.17699999999999999</v>
      </c>
      <c r="F176">
        <v>28560976.440000001</v>
      </c>
      <c r="G176">
        <v>0.17699999999999999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-0.13475177304964628</v>
      </c>
      <c r="Q176">
        <f t="shared" ref="Q176" si="856">F176*P176</f>
        <v>-3848642.2153191743</v>
      </c>
      <c r="R176">
        <f t="shared" ref="R176" si="857">R177+Q176</f>
        <v>-751799539.546718</v>
      </c>
      <c r="S176">
        <f t="shared" ref="S176" si="858">R176/100000</f>
        <v>-7517.9953954671801</v>
      </c>
      <c r="T176">
        <f t="shared" ref="T176" si="859">S176/1000</f>
        <v>-7.5179953954671799</v>
      </c>
    </row>
    <row r="177" spans="1:20" x14ac:dyDescent="0.25">
      <c r="A177" s="5">
        <v>44416</v>
      </c>
      <c r="B177">
        <v>0.18690000000000001</v>
      </c>
      <c r="C177">
        <v>0.18890000000000001</v>
      </c>
      <c r="D177">
        <v>0.16650000000000001</v>
      </c>
      <c r="E177">
        <v>0.16800000000000001</v>
      </c>
      <c r="F177">
        <v>27106003.629999999</v>
      </c>
      <c r="G177">
        <v>0.16800000000000001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-0.86607142857142849</v>
      </c>
      <c r="Q177">
        <f t="shared" ref="Q177" si="861">F177*P177</f>
        <v>-23475735.286696427</v>
      </c>
      <c r="R177">
        <f t="shared" ref="R177" si="862">R178+Q177</f>
        <v>-747950897.33139884</v>
      </c>
      <c r="S177">
        <f t="shared" ref="S177" si="863">R177/100000</f>
        <v>-7479.5089733139885</v>
      </c>
      <c r="T177">
        <f t="shared" ref="T177" si="864">S177/1000</f>
        <v>-7.4795089733139886</v>
      </c>
    </row>
    <row r="178" spans="1:20" x14ac:dyDescent="0.25">
      <c r="A178" s="5">
        <v>44415</v>
      </c>
      <c r="B178">
        <v>0.1943</v>
      </c>
      <c r="C178">
        <v>0.1976</v>
      </c>
      <c r="D178">
        <v>0.17849999999999999</v>
      </c>
      <c r="E178">
        <v>0.187</v>
      </c>
      <c r="F178">
        <v>41656082.479999997</v>
      </c>
      <c r="G178">
        <v>0.187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-0.10994764397905707</v>
      </c>
      <c r="Q178">
        <f t="shared" ref="Q178" si="866">F178*P178</f>
        <v>-4579988.1260732766</v>
      </c>
      <c r="R178">
        <f t="shared" ref="R178" si="867">R179+Q178</f>
        <v>-724475162.04470241</v>
      </c>
      <c r="S178">
        <f t="shared" ref="S178" si="868">R178/100000</f>
        <v>-7244.7516204470239</v>
      </c>
      <c r="T178">
        <f t="shared" ref="T178" si="869">S178/1000</f>
        <v>-7.2447516204470244</v>
      </c>
    </row>
    <row r="179" spans="1:20" x14ac:dyDescent="0.25">
      <c r="A179" s="5">
        <v>44414</v>
      </c>
      <c r="B179">
        <v>0.18659999999999999</v>
      </c>
      <c r="C179">
        <v>0.2442</v>
      </c>
      <c r="D179">
        <v>0.1741</v>
      </c>
      <c r="E179">
        <v>0.19400000000000001</v>
      </c>
      <c r="F179">
        <v>206567729.77000001</v>
      </c>
      <c r="G179">
        <v>0.19400000000000001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-0.43223965763195427</v>
      </c>
      <c r="Q179">
        <f t="shared" ref="Q179" si="871">F179*P179</f>
        <v>-89286764.793594852</v>
      </c>
      <c r="R179">
        <f t="shared" ref="R179" si="872">R180+Q179</f>
        <v>-719895173.91862917</v>
      </c>
      <c r="S179">
        <f t="shared" ref="S179" si="873">R179/100000</f>
        <v>-7198.9517391862919</v>
      </c>
      <c r="T179">
        <f t="shared" ref="T179" si="874">S179/1000</f>
        <v>-7.1989517391862918</v>
      </c>
    </row>
    <row r="180" spans="1:20" x14ac:dyDescent="0.25">
      <c r="A180" s="5">
        <v>44413</v>
      </c>
      <c r="B180">
        <v>0.1363</v>
      </c>
      <c r="C180">
        <v>0.24679999999999999</v>
      </c>
      <c r="D180">
        <v>0.1351</v>
      </c>
      <c r="E180">
        <v>0.18659999999999999</v>
      </c>
      <c r="F180">
        <v>437336715.45999998</v>
      </c>
      <c r="G180">
        <v>0.18659999999999999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-7.7887197851387771E-2</v>
      </c>
      <c r="Q180">
        <f t="shared" ref="Q180" si="876">F180*P180</f>
        <v>-34062931.284709096</v>
      </c>
      <c r="R180">
        <f t="shared" ref="R180" si="877">R181+Q180</f>
        <v>-630608409.12503433</v>
      </c>
      <c r="S180">
        <f t="shared" ref="S180" si="878">R180/100000</f>
        <v>-6306.0840912503436</v>
      </c>
      <c r="T180">
        <f t="shared" ref="T180" si="879">S180/1000</f>
        <v>-6.3060840912503435</v>
      </c>
    </row>
    <row r="181" spans="1:20" x14ac:dyDescent="0.25">
      <c r="A181" s="5">
        <v>44412</v>
      </c>
      <c r="B181">
        <v>0.13239999999999999</v>
      </c>
      <c r="C181">
        <v>0.13880000000000001</v>
      </c>
      <c r="D181">
        <v>0.1313</v>
      </c>
      <c r="E181">
        <v>0.13650000000000001</v>
      </c>
      <c r="F181">
        <v>12469152</v>
      </c>
      <c r="G181">
        <v>0.13650000000000001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0.38666666666666816</v>
      </c>
      <c r="Q181">
        <f t="shared" ref="Q181" si="881">F181*P181</f>
        <v>4821405.440000019</v>
      </c>
      <c r="R181">
        <f t="shared" ref="R181" si="882">R182+Q181</f>
        <v>-596545477.84032524</v>
      </c>
      <c r="S181">
        <f t="shared" ref="S181" si="883">R181/100000</f>
        <v>-5965.454778403252</v>
      </c>
      <c r="T181">
        <f t="shared" ref="T181" si="884">S181/1000</f>
        <v>-5.9654547784032523</v>
      </c>
    </row>
    <row r="182" spans="1:20" x14ac:dyDescent="0.25">
      <c r="A182" s="5">
        <v>44411</v>
      </c>
      <c r="B182">
        <v>0.1341</v>
      </c>
      <c r="C182">
        <v>0.1386</v>
      </c>
      <c r="D182">
        <v>0.13039999999999999</v>
      </c>
      <c r="E182">
        <v>0.1323</v>
      </c>
      <c r="F182">
        <v>22952410.440000001</v>
      </c>
      <c r="G182">
        <v>0.1323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-0.53658536585365613</v>
      </c>
      <c r="Q182">
        <f t="shared" ref="Q182" si="886">F182*P182</f>
        <v>-12315927.553170677</v>
      </c>
      <c r="R182">
        <f t="shared" ref="R182" si="887">R183+Q182</f>
        <v>-601366883.28032529</v>
      </c>
      <c r="S182">
        <f t="shared" ref="S182" si="888">R182/100000</f>
        <v>-6013.6688328032533</v>
      </c>
      <c r="T182">
        <f t="shared" ref="T182" si="889">S182/1000</f>
        <v>-6.013668832803253</v>
      </c>
    </row>
    <row r="183" spans="1:20" x14ac:dyDescent="0.25">
      <c r="A183" s="5">
        <v>44410</v>
      </c>
      <c r="B183">
        <v>0.1285</v>
      </c>
      <c r="C183">
        <v>0.14199999999999999</v>
      </c>
      <c r="D183">
        <v>0.12429999999999999</v>
      </c>
      <c r="E183">
        <v>0.1343</v>
      </c>
      <c r="F183">
        <v>34639505.939999998</v>
      </c>
      <c r="G183">
        <v>0.1343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0.12994350282486017</v>
      </c>
      <c r="Q183">
        <f t="shared" ref="Q183" si="891">F183*P183</f>
        <v>4501178.73796615</v>
      </c>
      <c r="R183">
        <f t="shared" ref="R183" si="892">R184+Q183</f>
        <v>-589050955.72715461</v>
      </c>
      <c r="S183">
        <f t="shared" ref="S183" si="893">R183/100000</f>
        <v>-5890.5095572715463</v>
      </c>
      <c r="T183">
        <f t="shared" ref="T183" si="894">S183/1000</f>
        <v>-5.890509557271546</v>
      </c>
    </row>
    <row r="184" spans="1:20" x14ac:dyDescent="0.25">
      <c r="A184" s="5">
        <v>44409</v>
      </c>
      <c r="B184">
        <v>0.13489999999999999</v>
      </c>
      <c r="C184">
        <v>0.1399</v>
      </c>
      <c r="D184">
        <v>0.12690000000000001</v>
      </c>
      <c r="E184">
        <v>0.1285</v>
      </c>
      <c r="F184">
        <v>13946070.23</v>
      </c>
      <c r="G184">
        <v>0.1285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-0.75384615384615505</v>
      </c>
      <c r="Q184">
        <f t="shared" ref="Q184" si="896">F184*P184</f>
        <v>-10513191.404153863</v>
      </c>
      <c r="R184">
        <f t="shared" ref="R184" si="897">R185+Q184</f>
        <v>-593552134.46512079</v>
      </c>
      <c r="S184">
        <f t="shared" ref="S184" si="898">R184/100000</f>
        <v>-5935.521344651208</v>
      </c>
      <c r="T184">
        <f t="shared" ref="T184" si="899">S184/1000</f>
        <v>-5.9355213446512076</v>
      </c>
    </row>
    <row r="185" spans="1:20" x14ac:dyDescent="0.25">
      <c r="A185" s="5">
        <v>44408</v>
      </c>
      <c r="B185">
        <v>0.13930000000000001</v>
      </c>
      <c r="C185">
        <v>0.14369999999999999</v>
      </c>
      <c r="D185">
        <v>0.13109999999999999</v>
      </c>
      <c r="E185">
        <v>0.1348</v>
      </c>
      <c r="F185">
        <v>38124377.420000002</v>
      </c>
      <c r="G185">
        <v>0.1348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-0.41269841269841129</v>
      </c>
      <c r="Q185">
        <f t="shared" ref="Q185" si="901">F185*P185</f>
        <v>-15733870.046349153</v>
      </c>
      <c r="R185">
        <f t="shared" ref="R185" si="902">R186+Q185</f>
        <v>-583038943.06096697</v>
      </c>
      <c r="S185">
        <f t="shared" ref="S185" si="903">R185/100000</f>
        <v>-5830.3894306096699</v>
      </c>
      <c r="T185">
        <f t="shared" ref="T185" si="904">S185/1000</f>
        <v>-5.83038943060967</v>
      </c>
    </row>
    <row r="186" spans="1:20" x14ac:dyDescent="0.25">
      <c r="A186" s="5">
        <v>44407</v>
      </c>
      <c r="B186">
        <v>0.12740000000000001</v>
      </c>
      <c r="C186">
        <v>0.14330000000000001</v>
      </c>
      <c r="D186">
        <v>0.1229</v>
      </c>
      <c r="E186">
        <v>0.13930000000000001</v>
      </c>
      <c r="F186">
        <v>42687222.920000002</v>
      </c>
      <c r="G186">
        <v>0.13930000000000001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0.60784313725490191</v>
      </c>
      <c r="Q186">
        <f t="shared" ref="Q186" si="906">F186*P186</f>
        <v>25947135.500392158</v>
      </c>
      <c r="R186">
        <f t="shared" ref="R186" si="907">R187+Q186</f>
        <v>-567305073.0146178</v>
      </c>
      <c r="S186">
        <f t="shared" ref="S186" si="908">R186/100000</f>
        <v>-5673.0507301461776</v>
      </c>
      <c r="T186">
        <f t="shared" ref="T186" si="909">S186/1000</f>
        <v>-5.6730507301461772</v>
      </c>
    </row>
    <row r="187" spans="1:20" x14ac:dyDescent="0.25">
      <c r="A187" s="5">
        <v>44406</v>
      </c>
      <c r="B187">
        <v>0.12759999999999999</v>
      </c>
      <c r="C187">
        <v>0.12820000000000001</v>
      </c>
      <c r="D187">
        <v>0.1212</v>
      </c>
      <c r="E187">
        <v>0.12720000000000001</v>
      </c>
      <c r="F187">
        <v>12267467.01</v>
      </c>
      <c r="G187">
        <v>0.12720000000000001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0.7142857142857143</v>
      </c>
      <c r="Q187">
        <f t="shared" ref="Q187" si="911">F187*P187</f>
        <v>8762476.4357142858</v>
      </c>
      <c r="R187">
        <f t="shared" ref="R187" si="912">R188+Q187</f>
        <v>-593252208.51501</v>
      </c>
      <c r="S187">
        <f t="shared" ref="S187" si="913">R187/100000</f>
        <v>-5932.5220851500999</v>
      </c>
      <c r="T187">
        <f t="shared" ref="T187" si="914">S187/1000</f>
        <v>-5.9325220851500999</v>
      </c>
    </row>
    <row r="188" spans="1:20" x14ac:dyDescent="0.25">
      <c r="A188" s="5">
        <v>44405</v>
      </c>
      <c r="B188">
        <v>0.1244</v>
      </c>
      <c r="C188">
        <v>0.13689999999999999</v>
      </c>
      <c r="D188">
        <v>0.12280000000000001</v>
      </c>
      <c r="E188">
        <v>0.12759999999999999</v>
      </c>
      <c r="F188">
        <v>20856733.219999999</v>
      </c>
      <c r="G188">
        <v>0.12759999999999999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-0.31914893617021434</v>
      </c>
      <c r="Q188">
        <f t="shared" ref="Q188" si="916">F188*P188</f>
        <v>-6656404.2191489683</v>
      </c>
      <c r="R188">
        <f t="shared" ref="R188" si="917">R189+Q188</f>
        <v>-602014684.95072424</v>
      </c>
      <c r="S188">
        <f t="shared" ref="S188" si="918">R188/100000</f>
        <v>-6020.1468495072422</v>
      </c>
      <c r="T188">
        <f t="shared" ref="T188" si="919">S188/1000</f>
        <v>-6.0201468495072419</v>
      </c>
    </row>
    <row r="189" spans="1:20" x14ac:dyDescent="0.25">
      <c r="A189" s="5">
        <v>44404</v>
      </c>
      <c r="B189">
        <v>0.1258</v>
      </c>
      <c r="C189">
        <v>0.13109999999999999</v>
      </c>
      <c r="D189">
        <v>0.1196</v>
      </c>
      <c r="E189">
        <v>0.1242</v>
      </c>
      <c r="F189">
        <v>28319525.289999999</v>
      </c>
      <c r="G189">
        <v>0.1242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-0.19999999999999854</v>
      </c>
      <c r="Q189">
        <f t="shared" ref="Q189" si="921">F189*P189</f>
        <v>-5663905.0579999583</v>
      </c>
      <c r="R189">
        <f t="shared" ref="R189" si="922">R190+Q189</f>
        <v>-595358280.73157525</v>
      </c>
      <c r="S189">
        <f t="shared" ref="S189" si="923">R189/100000</f>
        <v>-5953.5828073157527</v>
      </c>
      <c r="T189">
        <f t="shared" ref="T189" si="924">S189/1000</f>
        <v>-5.9535828073157528</v>
      </c>
    </row>
    <row r="190" spans="1:20" x14ac:dyDescent="0.25">
      <c r="A190" s="5">
        <v>44403</v>
      </c>
      <c r="B190">
        <v>0.1293</v>
      </c>
      <c r="C190">
        <v>0.156</v>
      </c>
      <c r="D190">
        <v>0.12520000000000001</v>
      </c>
      <c r="E190">
        <v>0.126</v>
      </c>
      <c r="F190">
        <v>60258318.619999997</v>
      </c>
      <c r="G190">
        <v>0.126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-0.94805194805194837</v>
      </c>
      <c r="Q190">
        <f t="shared" ref="Q190" si="926">F190*P190</f>
        <v>-57128016.35402599</v>
      </c>
      <c r="R190">
        <f t="shared" ref="R190" si="927">R191+Q190</f>
        <v>-589694375.67357528</v>
      </c>
      <c r="S190">
        <f t="shared" ref="S190" si="928">R190/100000</f>
        <v>-5896.9437567357527</v>
      </c>
      <c r="T190">
        <f t="shared" ref="T190" si="929">S190/1000</f>
        <v>-5.8969437567357526</v>
      </c>
    </row>
    <row r="191" spans="1:20" x14ac:dyDescent="0.25">
      <c r="A191" s="5">
        <v>44402</v>
      </c>
      <c r="B191">
        <v>0.11840000000000001</v>
      </c>
      <c r="C191">
        <v>0.1318</v>
      </c>
      <c r="D191">
        <v>0.1147</v>
      </c>
      <c r="E191">
        <v>0.1293</v>
      </c>
      <c r="F191">
        <v>33612044.109999999</v>
      </c>
      <c r="G191">
        <v>0.1293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0.70760233918128634</v>
      </c>
      <c r="Q191">
        <f t="shared" ref="Q191" si="931">F191*P191</f>
        <v>23783961.036900576</v>
      </c>
      <c r="R191">
        <f t="shared" ref="R191" si="932">R192+Q191</f>
        <v>-532566359.31954926</v>
      </c>
      <c r="S191">
        <f t="shared" ref="S191" si="933">R191/100000</f>
        <v>-5325.6635931954925</v>
      </c>
      <c r="T191">
        <f t="shared" ref="T191:T197" si="934">S191/1000</f>
        <v>-5.3256635931954923</v>
      </c>
    </row>
    <row r="192" spans="1:20" x14ac:dyDescent="0.25">
      <c r="A192" s="5">
        <v>44401</v>
      </c>
      <c r="B192">
        <v>0.1188</v>
      </c>
      <c r="C192">
        <v>0.12690000000000001</v>
      </c>
      <c r="D192">
        <v>0.11559999999999999</v>
      </c>
      <c r="E192">
        <v>0.11849999999999999</v>
      </c>
      <c r="F192">
        <v>25302465.02</v>
      </c>
      <c r="G192">
        <v>0.11849999999999999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-0.48672566371681503</v>
      </c>
      <c r="Q192">
        <f t="shared" ref="Q192" si="936">F192*P192</f>
        <v>-12315359.080530996</v>
      </c>
      <c r="R192">
        <f t="shared" ref="R192" si="937">R193+Q192</f>
        <v>-556350320.35644984</v>
      </c>
      <c r="S192">
        <f t="shared" ref="S192" si="938">R192/100000</f>
        <v>-5563.5032035644981</v>
      </c>
      <c r="T192">
        <f t="shared" si="934"/>
        <v>-5.5635032035644985</v>
      </c>
    </row>
    <row r="193" spans="1:20" x14ac:dyDescent="0.25">
      <c r="A193" s="5">
        <v>44400</v>
      </c>
      <c r="B193">
        <v>0.1173</v>
      </c>
      <c r="C193">
        <v>0.1198</v>
      </c>
      <c r="D193">
        <v>0.109</v>
      </c>
      <c r="E193">
        <v>0.1187</v>
      </c>
      <c r="F193">
        <v>31126769.34</v>
      </c>
      <c r="G193">
        <v>0.1187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0.79629629629629572</v>
      </c>
      <c r="Q193">
        <f t="shared" ref="Q193" si="940">F193*P193</f>
        <v>24786131.141111095</v>
      </c>
      <c r="R193">
        <f t="shared" ref="R193" si="941">R194+Q193</f>
        <v>-544034961.27591884</v>
      </c>
      <c r="S193">
        <f t="shared" ref="S193" si="942">R193/100000</f>
        <v>-5440.3496127591889</v>
      </c>
      <c r="T193">
        <f t="shared" si="934"/>
        <v>-5.4403496127591886</v>
      </c>
    </row>
    <row r="194" spans="1:20" x14ac:dyDescent="0.25">
      <c r="A194" s="5">
        <v>44399</v>
      </c>
      <c r="B194">
        <v>0.10630000000000001</v>
      </c>
      <c r="C194">
        <v>0.125</v>
      </c>
      <c r="D194">
        <v>0.10489999999999999</v>
      </c>
      <c r="E194">
        <v>0.1173</v>
      </c>
      <c r="F194">
        <v>49545945.909999996</v>
      </c>
      <c r="G194">
        <v>0.1173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0.23383084577114469</v>
      </c>
      <c r="Q194">
        <f t="shared" ref="Q194" si="944">F194*P194</f>
        <v>11585370.436666686</v>
      </c>
      <c r="R194">
        <f t="shared" ref="R194" si="945">R195+Q194</f>
        <v>-568821092.41702998</v>
      </c>
      <c r="S194">
        <f t="shared" ref="S194" si="946">R194/100000</f>
        <v>-5688.2109241703001</v>
      </c>
      <c r="T194">
        <f t="shared" si="934"/>
        <v>-5.6882109241703001</v>
      </c>
    </row>
    <row r="195" spans="1:20" x14ac:dyDescent="0.25">
      <c r="A195" s="5">
        <v>44398</v>
      </c>
      <c r="B195">
        <v>9.9400000000000002E-2</v>
      </c>
      <c r="C195">
        <v>0.1108</v>
      </c>
      <c r="D195">
        <v>9.6000000000000002E-2</v>
      </c>
      <c r="E195">
        <v>0.1061</v>
      </c>
      <c r="F195">
        <v>23723893.699999999</v>
      </c>
      <c r="G195">
        <v>0.1061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0.36486486486486513</v>
      </c>
      <c r="Q195">
        <f t="shared" ref="Q195" si="948">F195*P195</f>
        <v>8656015.2689189259</v>
      </c>
      <c r="R195">
        <f t="shared" ref="R195" si="949">R196+Q195</f>
        <v>-580406462.8536967</v>
      </c>
      <c r="S195">
        <f t="shared" ref="S195" si="950">R195/100000</f>
        <v>-5804.0646285369667</v>
      </c>
      <c r="T195">
        <f t="shared" si="934"/>
        <v>-5.8040646285369668</v>
      </c>
    </row>
    <row r="196" spans="1:20" x14ac:dyDescent="0.25">
      <c r="A196" s="5">
        <v>44397</v>
      </c>
      <c r="B196">
        <v>0.1135</v>
      </c>
      <c r="C196">
        <v>0.1138</v>
      </c>
      <c r="D196">
        <v>9.5399999999999999E-2</v>
      </c>
      <c r="E196">
        <v>9.9299999999999999E-2</v>
      </c>
      <c r="F196">
        <v>33044976.73</v>
      </c>
      <c r="G196">
        <v>9.9299999999999999E-2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-0.57608695652173902</v>
      </c>
      <c r="Q196">
        <f t="shared" ref="Q196" si="952">F196*P196</f>
        <v>-19036780.072717387</v>
      </c>
      <c r="R196">
        <f t="shared" ref="R196" si="953">R197+Q196</f>
        <v>-589062478.12261558</v>
      </c>
      <c r="S196">
        <f t="shared" ref="S196" si="954">R196/100000</f>
        <v>-5890.6247812261554</v>
      </c>
      <c r="T196">
        <f t="shared" si="934"/>
        <v>-5.8906247812261556</v>
      </c>
    </row>
    <row r="197" spans="1:20" x14ac:dyDescent="0.25">
      <c r="A197" s="5">
        <v>44396</v>
      </c>
      <c r="B197">
        <v>0.1114</v>
      </c>
      <c r="C197">
        <v>0.1346</v>
      </c>
      <c r="D197">
        <v>0.10630000000000001</v>
      </c>
      <c r="E197">
        <v>0.1135</v>
      </c>
      <c r="F197">
        <v>99793117.290000007</v>
      </c>
      <c r="G197">
        <v>0</v>
      </c>
      <c r="L197" t="s">
        <v>8</v>
      </c>
      <c r="M197" t="s">
        <v>8</v>
      </c>
      <c r="N197" t="s">
        <v>7</v>
      </c>
      <c r="P197">
        <f t="shared" ref="P197" si="955">IF(C197=D197,0,((E197-D197)-(C197-E197))/(C197-D197))</f>
        <v>-0.49116607773851589</v>
      </c>
      <c r="Q197">
        <f t="shared" ref="Q197" si="956">F197*P197</f>
        <v>-49014994.004628979</v>
      </c>
      <c r="R197">
        <f t="shared" ref="R197" si="957">R198+Q197</f>
        <v>-570025698.04989815</v>
      </c>
      <c r="S197">
        <f t="shared" ref="S197" si="958">R197/100000</f>
        <v>-5700.2569804989816</v>
      </c>
      <c r="T197">
        <f t="shared" si="934"/>
        <v>-5.700256980498982</v>
      </c>
    </row>
    <row r="198" spans="1:20" x14ac:dyDescent="0.25">
      <c r="A198" s="5">
        <v>44395</v>
      </c>
      <c r="B198">
        <v>0.1037</v>
      </c>
      <c r="C198">
        <v>0.127</v>
      </c>
      <c r="D198">
        <v>0.10340000000000001</v>
      </c>
      <c r="E198">
        <v>0.1115</v>
      </c>
      <c r="F198">
        <v>55069089.960000001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-0.31355932203389852</v>
      </c>
      <c r="Q198">
        <f t="shared" ref="Q198:Q261" si="960">F198*P198</f>
        <v>-17267426.512881368</v>
      </c>
      <c r="R198">
        <f t="shared" ref="R198:R261" si="961">R199+Q198</f>
        <v>-521010704.04526913</v>
      </c>
      <c r="S198">
        <f t="shared" ref="S198:S261" si="962">R198/100000</f>
        <v>-5210.1070404526918</v>
      </c>
      <c r="T198">
        <f t="shared" ref="T198:T261" si="963">S198/1000</f>
        <v>-5.2101070404526917</v>
      </c>
    </row>
    <row r="199" spans="1:20" x14ac:dyDescent="0.25">
      <c r="A199" s="5">
        <v>44394</v>
      </c>
      <c r="B199">
        <v>0.11070000000000001</v>
      </c>
      <c r="C199">
        <v>0.11210000000000001</v>
      </c>
      <c r="D199">
        <v>0.1022</v>
      </c>
      <c r="E199">
        <v>0.1037</v>
      </c>
      <c r="F199">
        <v>16291896.66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-0.69696969696969691</v>
      </c>
      <c r="Q199">
        <f t="shared" si="960"/>
        <v>-11354958.278181817</v>
      </c>
      <c r="R199">
        <f t="shared" si="961"/>
        <v>-503743277.53238779</v>
      </c>
      <c r="S199">
        <f t="shared" si="962"/>
        <v>-5037.4327753238776</v>
      </c>
      <c r="T199">
        <f t="shared" si="963"/>
        <v>-5.0374327753238779</v>
      </c>
    </row>
    <row r="200" spans="1:20" x14ac:dyDescent="0.25">
      <c r="A200" s="5">
        <v>44393</v>
      </c>
      <c r="B200">
        <v>0.1295</v>
      </c>
      <c r="C200">
        <v>0.1444</v>
      </c>
      <c r="D200">
        <v>0.1103</v>
      </c>
      <c r="E200">
        <v>0.11070000000000001</v>
      </c>
      <c r="F200">
        <v>67086196.93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-0.9765395894428146</v>
      </c>
      <c r="Q200">
        <f t="shared" si="960"/>
        <v>-65512327.207302012</v>
      </c>
      <c r="R200">
        <f t="shared" si="961"/>
        <v>-492388319.254206</v>
      </c>
      <c r="S200">
        <f t="shared" si="962"/>
        <v>-4923.88319254206</v>
      </c>
      <c r="T200">
        <f t="shared" si="963"/>
        <v>-4.9238831925420596</v>
      </c>
    </row>
    <row r="201" spans="1:20" x14ac:dyDescent="0.25">
      <c r="A201" s="5">
        <v>44392</v>
      </c>
      <c r="B201">
        <v>0.125</v>
      </c>
      <c r="C201">
        <v>0.16</v>
      </c>
      <c r="D201">
        <v>0.1086</v>
      </c>
      <c r="E201">
        <v>0.1293</v>
      </c>
      <c r="F201">
        <v>157013752.30000001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-0.19455252918287955</v>
      </c>
      <c r="Q201">
        <f t="shared" si="960"/>
        <v>-30547422.626459174</v>
      </c>
      <c r="R201">
        <f t="shared" si="961"/>
        <v>-426875992.04690397</v>
      </c>
      <c r="S201">
        <f t="shared" si="962"/>
        <v>-4268.7599204690396</v>
      </c>
      <c r="T201">
        <f t="shared" si="963"/>
        <v>-4.2687599204690398</v>
      </c>
    </row>
    <row r="202" spans="1:20" x14ac:dyDescent="0.25">
      <c r="A202" s="5">
        <v>44391</v>
      </c>
      <c r="B202">
        <v>0.1036</v>
      </c>
      <c r="C202">
        <v>0.12889999999999999</v>
      </c>
      <c r="D202">
        <v>9.8599999999999993E-2</v>
      </c>
      <c r="E202">
        <v>0.125</v>
      </c>
      <c r="F202">
        <v>41751022.539999999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0.74257425742574334</v>
      </c>
      <c r="Q202">
        <f t="shared" si="960"/>
        <v>31003234.559405971</v>
      </c>
      <c r="R202">
        <f t="shared" si="961"/>
        <v>-396328569.42044479</v>
      </c>
      <c r="S202">
        <f t="shared" si="962"/>
        <v>-3963.2856942044477</v>
      </c>
      <c r="T202">
        <f t="shared" si="963"/>
        <v>-3.9632856942044477</v>
      </c>
    </row>
    <row r="203" spans="1:20" x14ac:dyDescent="0.25">
      <c r="A203" s="5">
        <v>44390</v>
      </c>
      <c r="B203">
        <v>0.10390000000000001</v>
      </c>
      <c r="C203">
        <v>0.1056</v>
      </c>
      <c r="D203">
        <v>0.10050000000000001</v>
      </c>
      <c r="E203">
        <v>0.10349999999999999</v>
      </c>
      <c r="F203">
        <v>4966244.3499999996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0.17647058823529124</v>
      </c>
      <c r="Q203">
        <f t="shared" si="960"/>
        <v>876396.06176469149</v>
      </c>
      <c r="R203">
        <f t="shared" si="961"/>
        <v>-427331803.97985077</v>
      </c>
      <c r="S203">
        <f t="shared" si="962"/>
        <v>-4273.3180397985079</v>
      </c>
      <c r="T203">
        <f t="shared" si="963"/>
        <v>-4.2733180397985082</v>
      </c>
    </row>
    <row r="204" spans="1:20" x14ac:dyDescent="0.25">
      <c r="A204" s="5">
        <v>44389</v>
      </c>
      <c r="B204">
        <v>0.1062</v>
      </c>
      <c r="C204">
        <v>0.1099</v>
      </c>
      <c r="D204">
        <v>0.10150000000000001</v>
      </c>
      <c r="E204">
        <v>0.1042</v>
      </c>
      <c r="F204">
        <v>5185658.2699999996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-0.35714285714285787</v>
      </c>
      <c r="Q204">
        <f t="shared" si="960"/>
        <v>-1852020.8107142893</v>
      </c>
      <c r="R204">
        <f t="shared" si="961"/>
        <v>-428208200.04161549</v>
      </c>
      <c r="S204">
        <f t="shared" si="962"/>
        <v>-4282.0820004161551</v>
      </c>
      <c r="T204">
        <f t="shared" si="963"/>
        <v>-4.2820820004161551</v>
      </c>
    </row>
    <row r="205" spans="1:20" x14ac:dyDescent="0.25">
      <c r="A205" s="5">
        <v>44388</v>
      </c>
      <c r="B205">
        <v>0.10340000000000001</v>
      </c>
      <c r="C205">
        <v>0.10829999999999999</v>
      </c>
      <c r="D205">
        <v>0.1018</v>
      </c>
      <c r="E205">
        <v>0.1062</v>
      </c>
      <c r="F205">
        <v>10415857.109999999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0.35384615384615586</v>
      </c>
      <c r="Q205">
        <f t="shared" si="960"/>
        <v>3685610.9773846362</v>
      </c>
      <c r="R205">
        <f t="shared" si="961"/>
        <v>-426356179.23090118</v>
      </c>
      <c r="S205">
        <f t="shared" si="962"/>
        <v>-4263.5617923090122</v>
      </c>
      <c r="T205">
        <f t="shared" si="963"/>
        <v>-4.2635617923090123</v>
      </c>
    </row>
    <row r="206" spans="1:20" x14ac:dyDescent="0.25">
      <c r="A206" s="5">
        <v>44387</v>
      </c>
      <c r="B206">
        <v>0.10730000000000001</v>
      </c>
      <c r="C206">
        <v>0.1084</v>
      </c>
      <c r="D206">
        <v>0.1012</v>
      </c>
      <c r="E206">
        <v>0.1033</v>
      </c>
      <c r="F206">
        <v>6195213.0700000003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-0.41666666666666524</v>
      </c>
      <c r="Q206">
        <f t="shared" si="960"/>
        <v>-2581338.7791666579</v>
      </c>
      <c r="R206">
        <f t="shared" si="961"/>
        <v>-430041790.20828581</v>
      </c>
      <c r="S206">
        <f t="shared" si="962"/>
        <v>-4300.4179020828578</v>
      </c>
      <c r="T206">
        <f t="shared" si="963"/>
        <v>-4.3004179020828577</v>
      </c>
    </row>
    <row r="207" spans="1:20" x14ac:dyDescent="0.25">
      <c r="A207" s="5">
        <v>44386</v>
      </c>
      <c r="B207">
        <v>0.10390000000000001</v>
      </c>
      <c r="C207">
        <v>0.11</v>
      </c>
      <c r="D207">
        <v>0.1003</v>
      </c>
      <c r="E207">
        <v>0.1074</v>
      </c>
      <c r="F207">
        <v>7433275.8600000003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0.46391752577319484</v>
      </c>
      <c r="Q207">
        <f t="shared" si="960"/>
        <v>3448426.945360817</v>
      </c>
      <c r="R207">
        <f t="shared" si="961"/>
        <v>-427460451.42911917</v>
      </c>
      <c r="S207">
        <f t="shared" si="962"/>
        <v>-4274.6045142911917</v>
      </c>
      <c r="T207">
        <f t="shared" si="963"/>
        <v>-4.2746045142911919</v>
      </c>
    </row>
    <row r="208" spans="1:20" x14ac:dyDescent="0.25">
      <c r="A208" s="5">
        <v>44385</v>
      </c>
      <c r="B208">
        <v>0.1139</v>
      </c>
      <c r="C208">
        <v>0.1143</v>
      </c>
      <c r="D208">
        <v>0.1</v>
      </c>
      <c r="E208">
        <v>0.1041</v>
      </c>
      <c r="F208">
        <v>9249604.0700000003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-0.42657342657342734</v>
      </c>
      <c r="Q208">
        <f t="shared" si="960"/>
        <v>-3945635.3025874197</v>
      </c>
      <c r="R208">
        <f t="shared" si="961"/>
        <v>-430908878.37448001</v>
      </c>
      <c r="S208">
        <f t="shared" si="962"/>
        <v>-4309.0887837447999</v>
      </c>
      <c r="T208">
        <f t="shared" si="963"/>
        <v>-4.3090887837447998</v>
      </c>
    </row>
    <row r="209" spans="1:20" x14ac:dyDescent="0.25">
      <c r="A209" s="5">
        <v>44384</v>
      </c>
      <c r="B209">
        <v>0.11169999999999999</v>
      </c>
      <c r="C209">
        <v>0.1215</v>
      </c>
      <c r="D209">
        <v>0.1099</v>
      </c>
      <c r="E209">
        <v>0.11409999999999999</v>
      </c>
      <c r="F209">
        <v>21144458.5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-0.27586206896551796</v>
      </c>
      <c r="Q209">
        <f t="shared" si="960"/>
        <v>-5832954.0689655328</v>
      </c>
      <c r="R209">
        <f t="shared" si="961"/>
        <v>-426963243.07189262</v>
      </c>
      <c r="S209">
        <f t="shared" si="962"/>
        <v>-4269.6324307189261</v>
      </c>
      <c r="T209">
        <f t="shared" si="963"/>
        <v>-4.269632430718926</v>
      </c>
    </row>
    <row r="210" spans="1:20" x14ac:dyDescent="0.25">
      <c r="A210" s="5">
        <v>44383</v>
      </c>
      <c r="B210">
        <v>0.1042</v>
      </c>
      <c r="C210">
        <v>0.1187</v>
      </c>
      <c r="D210">
        <v>0.1042</v>
      </c>
      <c r="E210">
        <v>0.1118</v>
      </c>
      <c r="F210">
        <v>26314433.510000002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4.8275862068964989E-2</v>
      </c>
      <c r="Q210">
        <f t="shared" si="960"/>
        <v>1270351.9625517104</v>
      </c>
      <c r="R210">
        <f t="shared" si="961"/>
        <v>-421130289.00292706</v>
      </c>
      <c r="S210">
        <f t="shared" si="962"/>
        <v>-4211.3028900292702</v>
      </c>
      <c r="T210">
        <f t="shared" si="963"/>
        <v>-4.2113028900292706</v>
      </c>
    </row>
    <row r="211" spans="1:20" x14ac:dyDescent="0.25">
      <c r="A211" s="5">
        <v>44382</v>
      </c>
      <c r="B211">
        <v>0.10539999999999999</v>
      </c>
      <c r="C211">
        <v>0.1075</v>
      </c>
      <c r="D211">
        <v>0.10100000000000001</v>
      </c>
      <c r="E211">
        <v>0.10390000000000001</v>
      </c>
      <c r="F211">
        <v>9737685.2300000004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-0.10769230769230664</v>
      </c>
      <c r="Q211">
        <f t="shared" si="960"/>
        <v>-1048673.7939999897</v>
      </c>
      <c r="R211">
        <f t="shared" si="961"/>
        <v>-422400640.96547878</v>
      </c>
      <c r="S211">
        <f t="shared" si="962"/>
        <v>-4224.0064096547876</v>
      </c>
      <c r="T211">
        <f t="shared" si="963"/>
        <v>-4.2240064096547876</v>
      </c>
    </row>
    <row r="212" spans="1:20" x14ac:dyDescent="0.25">
      <c r="A212" s="5">
        <v>44381</v>
      </c>
      <c r="B212">
        <v>0.1027</v>
      </c>
      <c r="C212">
        <v>0.11</v>
      </c>
      <c r="D212">
        <v>0.1009</v>
      </c>
      <c r="E212">
        <v>0.1055</v>
      </c>
      <c r="F212">
        <v>14781162.41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1.0989010989009783E-2</v>
      </c>
      <c r="Q212">
        <f t="shared" si="960"/>
        <v>162430.35615382832</v>
      </c>
      <c r="R212">
        <f t="shared" si="961"/>
        <v>-421351967.17147881</v>
      </c>
      <c r="S212">
        <f t="shared" si="962"/>
        <v>-4213.5196717147883</v>
      </c>
      <c r="T212">
        <f t="shared" si="963"/>
        <v>-4.2135196717147885</v>
      </c>
    </row>
    <row r="213" spans="1:20" x14ac:dyDescent="0.25">
      <c r="A213" s="5">
        <v>44380</v>
      </c>
      <c r="B213">
        <v>0.1013</v>
      </c>
      <c r="C213">
        <v>0.1084</v>
      </c>
      <c r="D213">
        <v>0.1</v>
      </c>
      <c r="E213">
        <v>0.10290000000000001</v>
      </c>
      <c r="F213">
        <v>10456521.970000001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-0.30952380952380881</v>
      </c>
      <c r="Q213">
        <f t="shared" si="960"/>
        <v>-3236542.5145238023</v>
      </c>
      <c r="R213">
        <f t="shared" si="961"/>
        <v>-421514397.52763265</v>
      </c>
      <c r="S213">
        <f t="shared" si="962"/>
        <v>-4215.1439752763263</v>
      </c>
      <c r="T213">
        <f t="shared" si="963"/>
        <v>-4.2151439752763267</v>
      </c>
    </row>
    <row r="214" spans="1:20" x14ac:dyDescent="0.25">
      <c r="A214" s="5">
        <v>44379</v>
      </c>
      <c r="B214">
        <v>0.10290000000000001</v>
      </c>
      <c r="C214">
        <v>0.10639999999999999</v>
      </c>
      <c r="D214">
        <v>9.8000000000000004E-2</v>
      </c>
      <c r="E214">
        <v>0.1011</v>
      </c>
      <c r="F214">
        <v>10214177.91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-0.26190476190476308</v>
      </c>
      <c r="Q214">
        <f t="shared" si="960"/>
        <v>-2675141.8335714405</v>
      </c>
      <c r="R214">
        <f t="shared" si="961"/>
        <v>-418277855.01310885</v>
      </c>
      <c r="S214">
        <f t="shared" si="962"/>
        <v>-4182.7785501310882</v>
      </c>
      <c r="T214">
        <f t="shared" si="963"/>
        <v>-4.1827785501310881</v>
      </c>
    </row>
    <row r="215" spans="1:20" x14ac:dyDescent="0.25">
      <c r="A215" s="5">
        <v>44378</v>
      </c>
      <c r="B215">
        <v>0.1061</v>
      </c>
      <c r="C215">
        <v>0.10979999999999999</v>
      </c>
      <c r="D215">
        <v>9.8400000000000001E-2</v>
      </c>
      <c r="E215">
        <v>0.1031</v>
      </c>
      <c r="F215">
        <v>12840201.08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-0.17543859649122834</v>
      </c>
      <c r="Q215">
        <f t="shared" si="960"/>
        <v>-2252666.8561403542</v>
      </c>
      <c r="R215">
        <f t="shared" si="961"/>
        <v>-415602713.17953742</v>
      </c>
      <c r="S215">
        <f t="shared" si="962"/>
        <v>-4156.0271317953739</v>
      </c>
      <c r="T215">
        <f t="shared" si="963"/>
        <v>-4.1560271317953736</v>
      </c>
    </row>
    <row r="216" spans="1:20" x14ac:dyDescent="0.25">
      <c r="A216" s="5">
        <v>44377</v>
      </c>
      <c r="B216">
        <v>0.1103</v>
      </c>
      <c r="C216">
        <v>0.11169999999999999</v>
      </c>
      <c r="D216">
        <v>0.10050000000000001</v>
      </c>
      <c r="E216">
        <v>0.106</v>
      </c>
      <c r="F216">
        <v>15684534.91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-1.7857142857143387E-2</v>
      </c>
      <c r="Q216">
        <f t="shared" si="960"/>
        <v>-280080.98053572257</v>
      </c>
      <c r="R216">
        <f t="shared" si="961"/>
        <v>-413350046.32339704</v>
      </c>
      <c r="S216">
        <f t="shared" si="962"/>
        <v>-4133.5004632339705</v>
      </c>
      <c r="T216">
        <f t="shared" si="963"/>
        <v>-4.1335004632339709</v>
      </c>
    </row>
    <row r="217" spans="1:20" x14ac:dyDescent="0.25">
      <c r="A217" s="5">
        <v>44376</v>
      </c>
      <c r="B217">
        <v>0.1099</v>
      </c>
      <c r="C217">
        <v>0.1173</v>
      </c>
      <c r="D217">
        <v>0.1067</v>
      </c>
      <c r="E217">
        <v>0.1103</v>
      </c>
      <c r="F217">
        <v>18469776.93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-0.32075471698113345</v>
      </c>
      <c r="Q217">
        <f t="shared" si="960"/>
        <v>-5924268.0718868179</v>
      </c>
      <c r="R217">
        <f t="shared" si="961"/>
        <v>-413069965.34286129</v>
      </c>
      <c r="S217">
        <f t="shared" si="962"/>
        <v>-4130.6996534286127</v>
      </c>
      <c r="T217">
        <f t="shared" si="963"/>
        <v>-4.1306996534286125</v>
      </c>
    </row>
    <row r="218" spans="1:20" x14ac:dyDescent="0.25">
      <c r="A218" s="5">
        <v>44375</v>
      </c>
      <c r="B218">
        <v>0.1081</v>
      </c>
      <c r="C218">
        <v>0.115</v>
      </c>
      <c r="D218">
        <v>0.1052</v>
      </c>
      <c r="E218">
        <v>0.1101</v>
      </c>
      <c r="F218">
        <v>21841333.41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0</v>
      </c>
      <c r="Q218">
        <f t="shared" si="960"/>
        <v>0</v>
      </c>
      <c r="R218">
        <f t="shared" si="961"/>
        <v>-407145697.27097446</v>
      </c>
      <c r="S218">
        <f t="shared" si="962"/>
        <v>-4071.4569727097446</v>
      </c>
      <c r="T218">
        <f t="shared" si="963"/>
        <v>-4.0714569727097443</v>
      </c>
    </row>
    <row r="219" spans="1:20" x14ac:dyDescent="0.25">
      <c r="A219" s="5">
        <v>44374</v>
      </c>
      <c r="B219">
        <v>9.6000000000000002E-2</v>
      </c>
      <c r="C219">
        <v>0.13400000000000001</v>
      </c>
      <c r="D219">
        <v>9.5399999999999999E-2</v>
      </c>
      <c r="E219">
        <v>0.108</v>
      </c>
      <c r="F219">
        <v>89341514.849999994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-0.34715025906735769</v>
      </c>
      <c r="Q219">
        <f t="shared" si="960"/>
        <v>-31014930.025647681</v>
      </c>
      <c r="R219">
        <f t="shared" si="961"/>
        <v>-407145697.27097446</v>
      </c>
      <c r="S219">
        <f t="shared" si="962"/>
        <v>-4071.4569727097446</v>
      </c>
      <c r="T219">
        <f t="shared" si="963"/>
        <v>-4.0714569727097443</v>
      </c>
    </row>
    <row r="220" spans="1:20" x14ac:dyDescent="0.25">
      <c r="A220" s="5">
        <v>44373</v>
      </c>
      <c r="B220">
        <v>0.10059999999999999</v>
      </c>
      <c r="C220">
        <v>0.10299999999999999</v>
      </c>
      <c r="D220">
        <v>9.0200000000000002E-2</v>
      </c>
      <c r="E220">
        <v>9.5899999999999999E-2</v>
      </c>
      <c r="F220">
        <v>11642520.529999999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-0.10937499999999994</v>
      </c>
      <c r="Q220">
        <f t="shared" si="960"/>
        <v>-1273400.6829687492</v>
      </c>
      <c r="R220">
        <f t="shared" si="961"/>
        <v>-376130767.24532676</v>
      </c>
      <c r="S220">
        <f t="shared" si="962"/>
        <v>-3761.3076724532675</v>
      </c>
      <c r="T220">
        <f t="shared" si="963"/>
        <v>-3.7613076724532677</v>
      </c>
    </row>
    <row r="221" spans="1:20" x14ac:dyDescent="0.25">
      <c r="A221" s="5">
        <v>44372</v>
      </c>
      <c r="B221">
        <v>0.1138</v>
      </c>
      <c r="C221">
        <v>0.1168</v>
      </c>
      <c r="D221">
        <v>9.8100000000000007E-2</v>
      </c>
      <c r="E221">
        <v>0.10100000000000001</v>
      </c>
      <c r="F221">
        <v>9151918.7899999991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-0.68983957219251335</v>
      </c>
      <c r="Q221">
        <f t="shared" si="960"/>
        <v>-6313355.7428342234</v>
      </c>
      <c r="R221">
        <f t="shared" si="961"/>
        <v>-374857366.56235802</v>
      </c>
      <c r="S221">
        <f t="shared" si="962"/>
        <v>-3748.5736656235804</v>
      </c>
      <c r="T221">
        <f t="shared" si="963"/>
        <v>-3.7485736656235802</v>
      </c>
    </row>
    <row r="222" spans="1:20" x14ac:dyDescent="0.25">
      <c r="A222" s="5">
        <v>44371</v>
      </c>
      <c r="B222">
        <v>0.1062</v>
      </c>
      <c r="C222">
        <v>0.1235</v>
      </c>
      <c r="D222">
        <v>9.9699999999999997E-2</v>
      </c>
      <c r="E222">
        <v>0.1134</v>
      </c>
      <c r="F222">
        <v>10209419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0.15126050420168091</v>
      </c>
      <c r="Q222">
        <f t="shared" si="960"/>
        <v>1544281.8655462209</v>
      </c>
      <c r="R222">
        <f t="shared" si="961"/>
        <v>-368544010.81952381</v>
      </c>
      <c r="S222">
        <f t="shared" si="962"/>
        <v>-3685.4401081952383</v>
      </c>
      <c r="T222">
        <f t="shared" si="963"/>
        <v>-3.6854401081952384</v>
      </c>
    </row>
    <row r="223" spans="1:20" x14ac:dyDescent="0.25">
      <c r="A223" s="5">
        <v>44370</v>
      </c>
      <c r="B223">
        <v>9.6699999999999994E-2</v>
      </c>
      <c r="C223">
        <v>0.1118</v>
      </c>
      <c r="D223">
        <v>9.35E-2</v>
      </c>
      <c r="E223">
        <v>0.1062</v>
      </c>
      <c r="F223">
        <v>8357472.7699999996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0.38797814207650327</v>
      </c>
      <c r="Q223">
        <f t="shared" si="960"/>
        <v>3242516.7577595674</v>
      </c>
      <c r="R223">
        <f t="shared" si="961"/>
        <v>-370088292.68507004</v>
      </c>
      <c r="S223">
        <f t="shared" si="962"/>
        <v>-3700.8829268507002</v>
      </c>
      <c r="T223">
        <f t="shared" si="963"/>
        <v>-3.7008829268507002</v>
      </c>
    </row>
    <row r="224" spans="1:20" x14ac:dyDescent="0.25">
      <c r="A224" s="5">
        <v>44369</v>
      </c>
      <c r="B224">
        <v>0.1113</v>
      </c>
      <c r="C224">
        <v>0.1171</v>
      </c>
      <c r="D224">
        <v>8.4000000000000005E-2</v>
      </c>
      <c r="E224">
        <v>9.5899999999999999E-2</v>
      </c>
      <c r="F224">
        <v>22738836.390000001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-0.28096676737160137</v>
      </c>
      <c r="Q224">
        <f t="shared" si="960"/>
        <v>-6388857.3542900337</v>
      </c>
      <c r="R224">
        <f t="shared" si="961"/>
        <v>-373330809.44282961</v>
      </c>
      <c r="S224">
        <f t="shared" si="962"/>
        <v>-3733.308094428296</v>
      </c>
      <c r="T224">
        <f t="shared" si="963"/>
        <v>-3.7333080944282959</v>
      </c>
    </row>
    <row r="225" spans="1:20" x14ac:dyDescent="0.25">
      <c r="A225" s="5">
        <v>44368</v>
      </c>
      <c r="B225">
        <v>0.13489999999999999</v>
      </c>
      <c r="C225">
        <v>0.1356</v>
      </c>
      <c r="D225">
        <v>0.1104</v>
      </c>
      <c r="E225">
        <v>0.1108</v>
      </c>
      <c r="F225">
        <v>12889041.09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-0.96825396825396848</v>
      </c>
      <c r="Q225">
        <f t="shared" si="960"/>
        <v>-12479865.182380956</v>
      </c>
      <c r="R225">
        <f t="shared" si="961"/>
        <v>-366941952.0885396</v>
      </c>
      <c r="S225">
        <f t="shared" si="962"/>
        <v>-3669.4195208853962</v>
      </c>
      <c r="T225">
        <f t="shared" si="963"/>
        <v>-3.6694195208853961</v>
      </c>
    </row>
    <row r="226" spans="1:20" x14ac:dyDescent="0.25">
      <c r="A226" s="5">
        <v>44367</v>
      </c>
      <c r="B226">
        <v>0.13919999999999999</v>
      </c>
      <c r="C226">
        <v>0.14319999999999999</v>
      </c>
      <c r="D226">
        <v>0.12529999999999999</v>
      </c>
      <c r="E226">
        <v>0.13469999999999999</v>
      </c>
      <c r="F226">
        <v>12838241.109999999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5.0279329608937662E-2</v>
      </c>
      <c r="Q226">
        <f t="shared" si="960"/>
        <v>645498.1563687037</v>
      </c>
      <c r="R226">
        <f t="shared" si="961"/>
        <v>-354462086.90615863</v>
      </c>
      <c r="S226">
        <f t="shared" si="962"/>
        <v>-3544.6208690615863</v>
      </c>
      <c r="T226">
        <f t="shared" si="963"/>
        <v>-3.5446208690615864</v>
      </c>
    </row>
    <row r="227" spans="1:20" x14ac:dyDescent="0.25">
      <c r="A227" s="5">
        <v>44366</v>
      </c>
      <c r="B227">
        <v>0.14149999999999999</v>
      </c>
      <c r="C227">
        <v>0.14599999999999999</v>
      </c>
      <c r="D227">
        <v>0.13750000000000001</v>
      </c>
      <c r="E227">
        <v>0.1396</v>
      </c>
      <c r="F227">
        <v>6451132.7199999997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-0.50588235294117745</v>
      </c>
      <c r="Q227">
        <f t="shared" si="960"/>
        <v>-3263514.1995294178</v>
      </c>
      <c r="R227">
        <f t="shared" si="961"/>
        <v>-355107585.06252736</v>
      </c>
      <c r="S227">
        <f t="shared" si="962"/>
        <v>-3551.0758506252737</v>
      </c>
      <c r="T227">
        <f t="shared" si="963"/>
        <v>-3.5510758506252738</v>
      </c>
    </row>
    <row r="228" spans="1:20" x14ac:dyDescent="0.25">
      <c r="A228" s="5">
        <v>44365</v>
      </c>
      <c r="B228">
        <v>0.1527</v>
      </c>
      <c r="C228">
        <v>0.16489999999999999</v>
      </c>
      <c r="D228">
        <v>0.13800000000000001</v>
      </c>
      <c r="E228">
        <v>0.14149999999999999</v>
      </c>
      <c r="F228">
        <v>71646366.120000005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-0.73977695167286406</v>
      </c>
      <c r="Q228">
        <f t="shared" si="960"/>
        <v>-53002330.326691568</v>
      </c>
      <c r="R228">
        <f t="shared" si="961"/>
        <v>-351844070.86299795</v>
      </c>
      <c r="S228">
        <f t="shared" si="962"/>
        <v>-3518.4407086299793</v>
      </c>
      <c r="T228">
        <f t="shared" si="963"/>
        <v>-3.5184407086299792</v>
      </c>
    </row>
    <row r="229" spans="1:20" x14ac:dyDescent="0.25">
      <c r="A229" s="5">
        <v>44364</v>
      </c>
      <c r="B229">
        <v>0.1444</v>
      </c>
      <c r="C229">
        <v>0.15859999999999999</v>
      </c>
      <c r="D229">
        <v>0.1439</v>
      </c>
      <c r="E229">
        <v>0.1527</v>
      </c>
      <c r="F229">
        <v>18000654.129999999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0.1972789115646269</v>
      </c>
      <c r="Q229">
        <f t="shared" si="960"/>
        <v>3551149.4542177059</v>
      </c>
      <c r="R229">
        <f t="shared" si="961"/>
        <v>-298841740.53630638</v>
      </c>
      <c r="S229">
        <f t="shared" si="962"/>
        <v>-2988.4174053630636</v>
      </c>
      <c r="T229">
        <f t="shared" si="963"/>
        <v>-2.9884174053630637</v>
      </c>
    </row>
    <row r="230" spans="1:20" x14ac:dyDescent="0.25">
      <c r="A230" s="5">
        <v>44363</v>
      </c>
      <c r="B230">
        <v>0.15509999999999999</v>
      </c>
      <c r="C230">
        <v>0.16880000000000001</v>
      </c>
      <c r="D230">
        <v>0.1426</v>
      </c>
      <c r="E230">
        <v>0.14419999999999999</v>
      </c>
      <c r="F230">
        <v>18231125.239999998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-0.87786259541984812</v>
      </c>
      <c r="Q230">
        <f t="shared" si="960"/>
        <v>-16004422.9206107</v>
      </c>
      <c r="R230">
        <f t="shared" si="961"/>
        <v>-302392889.99052411</v>
      </c>
      <c r="S230">
        <f t="shared" si="962"/>
        <v>-3023.928899905241</v>
      </c>
      <c r="T230">
        <f t="shared" si="963"/>
        <v>-3.0239288999052412</v>
      </c>
    </row>
    <row r="231" spans="1:20" x14ac:dyDescent="0.25">
      <c r="A231" s="5">
        <v>44362</v>
      </c>
      <c r="B231">
        <v>0.15279999999999999</v>
      </c>
      <c r="C231">
        <v>0.16109999999999999</v>
      </c>
      <c r="D231">
        <v>0.15010000000000001</v>
      </c>
      <c r="E231">
        <v>0.1552</v>
      </c>
      <c r="F231">
        <v>9374353.7599999998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-7.2727272727272405E-2</v>
      </c>
      <c r="Q231">
        <f t="shared" si="960"/>
        <v>-681771.18254545145</v>
      </c>
      <c r="R231">
        <f t="shared" si="961"/>
        <v>-286388467.06991339</v>
      </c>
      <c r="S231">
        <f t="shared" si="962"/>
        <v>-2863.8846706991339</v>
      </c>
      <c r="T231">
        <f t="shared" si="963"/>
        <v>-2.8638846706991341</v>
      </c>
    </row>
    <row r="232" spans="1:20" x14ac:dyDescent="0.25">
      <c r="A232" s="5">
        <v>44361</v>
      </c>
      <c r="B232">
        <v>0.1542</v>
      </c>
      <c r="C232">
        <v>0.15920000000000001</v>
      </c>
      <c r="D232">
        <v>0.1454</v>
      </c>
      <c r="E232">
        <v>0.1532</v>
      </c>
      <c r="F232">
        <v>10095436.369999999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0.13043478260869532</v>
      </c>
      <c r="Q232">
        <f t="shared" si="960"/>
        <v>1316796.048260866</v>
      </c>
      <c r="R232">
        <f t="shared" si="961"/>
        <v>-285706695.88736796</v>
      </c>
      <c r="S232">
        <f t="shared" si="962"/>
        <v>-2857.0669588736796</v>
      </c>
      <c r="T232">
        <f t="shared" si="963"/>
        <v>-2.8570669588736797</v>
      </c>
    </row>
    <row r="233" spans="1:20" x14ac:dyDescent="0.25">
      <c r="A233" s="5">
        <v>44360</v>
      </c>
      <c r="B233">
        <v>0.14099999999999999</v>
      </c>
      <c r="C233">
        <v>0.15490000000000001</v>
      </c>
      <c r="D233">
        <v>0.13739999999999999</v>
      </c>
      <c r="E233">
        <v>0.15409999999999999</v>
      </c>
      <c r="F233">
        <v>13331961.09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0.90857142857142603</v>
      </c>
      <c r="Q233">
        <f t="shared" si="960"/>
        <v>12113038.933199966</v>
      </c>
      <c r="R233">
        <f t="shared" si="961"/>
        <v>-287023491.93562883</v>
      </c>
      <c r="S233">
        <f t="shared" si="962"/>
        <v>-2870.2349193562882</v>
      </c>
      <c r="T233">
        <f t="shared" si="963"/>
        <v>-2.8702349193562884</v>
      </c>
    </row>
    <row r="234" spans="1:20" x14ac:dyDescent="0.25">
      <c r="A234" s="5">
        <v>44359</v>
      </c>
      <c r="B234">
        <v>0.15459999999999999</v>
      </c>
      <c r="C234">
        <v>0.15529999999999999</v>
      </c>
      <c r="D234">
        <v>0.14030000000000001</v>
      </c>
      <c r="E234">
        <v>0.14099999999999999</v>
      </c>
      <c r="F234">
        <v>8250844.4000000004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-0.90666666666666951</v>
      </c>
      <c r="Q234">
        <f t="shared" si="960"/>
        <v>-7480765.5893333573</v>
      </c>
      <c r="R234">
        <f t="shared" si="961"/>
        <v>-299136530.86882877</v>
      </c>
      <c r="S234">
        <f t="shared" si="962"/>
        <v>-2991.3653086882878</v>
      </c>
      <c r="T234">
        <f t="shared" si="963"/>
        <v>-2.9913653086882879</v>
      </c>
    </row>
    <row r="235" spans="1:20" x14ac:dyDescent="0.25">
      <c r="A235" s="5">
        <v>44358</v>
      </c>
      <c r="B235">
        <v>0.15609999999999999</v>
      </c>
      <c r="C235">
        <v>0.16980000000000001</v>
      </c>
      <c r="D235">
        <v>0.15049999999999999</v>
      </c>
      <c r="E235">
        <v>0.15440000000000001</v>
      </c>
      <c r="F235">
        <v>12845711.689999999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-0.59585492227979153</v>
      </c>
      <c r="Q235">
        <f t="shared" si="960"/>
        <v>-7654180.5406735595</v>
      </c>
      <c r="R235">
        <f t="shared" si="961"/>
        <v>-291655765.27949542</v>
      </c>
      <c r="S235">
        <f t="shared" si="962"/>
        <v>-2916.5576527949543</v>
      </c>
      <c r="T235">
        <f t="shared" si="963"/>
        <v>-2.9165576527949542</v>
      </c>
    </row>
    <row r="236" spans="1:20" x14ac:dyDescent="0.25">
      <c r="A236" s="5">
        <v>44357</v>
      </c>
      <c r="B236">
        <v>0.1676</v>
      </c>
      <c r="C236">
        <v>0.16869999999999999</v>
      </c>
      <c r="D236">
        <v>0.15190000000000001</v>
      </c>
      <c r="E236">
        <v>0.15629999999999999</v>
      </c>
      <c r="F236">
        <v>12251586.26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-0.47619047619047711</v>
      </c>
      <c r="Q236">
        <f t="shared" si="960"/>
        <v>-5834088.695238106</v>
      </c>
      <c r="R236">
        <f t="shared" si="961"/>
        <v>-284001584.73882186</v>
      </c>
      <c r="S236">
        <f t="shared" si="962"/>
        <v>-2840.0158473882188</v>
      </c>
      <c r="T236">
        <f t="shared" si="963"/>
        <v>-2.8400158473882189</v>
      </c>
    </row>
    <row r="237" spans="1:20" x14ac:dyDescent="0.25">
      <c r="A237" s="5">
        <v>44356</v>
      </c>
      <c r="B237">
        <v>0.15590000000000001</v>
      </c>
      <c r="C237">
        <v>0.18679999999999999</v>
      </c>
      <c r="D237">
        <v>0.14799999999999999</v>
      </c>
      <c r="E237">
        <v>0.16739999999999999</v>
      </c>
      <c r="F237">
        <v>36935522.560000002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</v>
      </c>
      <c r="Q237">
        <f t="shared" si="960"/>
        <v>0</v>
      </c>
      <c r="R237">
        <f t="shared" si="961"/>
        <v>-278167496.04358375</v>
      </c>
      <c r="S237">
        <f t="shared" si="962"/>
        <v>-2781.6749604358374</v>
      </c>
      <c r="T237">
        <f t="shared" si="963"/>
        <v>-2.7816749604358373</v>
      </c>
    </row>
    <row r="238" spans="1:20" x14ac:dyDescent="0.25">
      <c r="A238" s="5">
        <v>44355</v>
      </c>
      <c r="B238">
        <v>0.15679999999999999</v>
      </c>
      <c r="C238">
        <v>0.16209999999999999</v>
      </c>
      <c r="D238">
        <v>0.1384</v>
      </c>
      <c r="E238">
        <v>0.15640000000000001</v>
      </c>
      <c r="F238">
        <v>9639336.8000000007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0.51898734177215333</v>
      </c>
      <c r="Q238">
        <f t="shared" si="960"/>
        <v>5002693.7822784949</v>
      </c>
      <c r="R238">
        <f t="shared" si="961"/>
        <v>-278167496.04358375</v>
      </c>
      <c r="S238">
        <f t="shared" si="962"/>
        <v>-2781.6749604358374</v>
      </c>
      <c r="T238">
        <f t="shared" si="963"/>
        <v>-2.7816749604358373</v>
      </c>
    </row>
    <row r="239" spans="1:20" x14ac:dyDescent="0.25">
      <c r="A239" s="5">
        <v>44354</v>
      </c>
      <c r="B239">
        <v>0.1711</v>
      </c>
      <c r="C239">
        <v>0.1772</v>
      </c>
      <c r="D239">
        <v>0.15570000000000001</v>
      </c>
      <c r="E239">
        <v>0.15679999999999999</v>
      </c>
      <c r="F239">
        <v>10981051.35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-0.89767441860465202</v>
      </c>
      <c r="Q239">
        <f t="shared" si="960"/>
        <v>-9857408.8862790782</v>
      </c>
      <c r="R239">
        <f t="shared" si="961"/>
        <v>-283170189.82586223</v>
      </c>
      <c r="S239">
        <f t="shared" si="962"/>
        <v>-2831.7018982586224</v>
      </c>
      <c r="T239">
        <f t="shared" si="963"/>
        <v>-2.8317018982586224</v>
      </c>
    </row>
    <row r="240" spans="1:20" x14ac:dyDescent="0.25">
      <c r="A240" s="5">
        <v>44353</v>
      </c>
      <c r="B240">
        <v>0.1648</v>
      </c>
      <c r="C240">
        <v>0.1988</v>
      </c>
      <c r="D240">
        <v>0.16120000000000001</v>
      </c>
      <c r="E240">
        <v>0.1719</v>
      </c>
      <c r="F240">
        <v>32231770.670000002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-0.43085106382978783</v>
      </c>
      <c r="Q240">
        <f t="shared" si="960"/>
        <v>-13887092.682287253</v>
      </c>
      <c r="R240">
        <f t="shared" si="961"/>
        <v>-273312780.93958312</v>
      </c>
      <c r="S240">
        <f t="shared" si="962"/>
        <v>-2733.1278093958313</v>
      </c>
      <c r="T240">
        <f t="shared" si="963"/>
        <v>-2.7331278093958313</v>
      </c>
    </row>
    <row r="241" spans="1:20" x14ac:dyDescent="0.25">
      <c r="A241" s="5">
        <v>44352</v>
      </c>
      <c r="B241">
        <v>0.17150000000000001</v>
      </c>
      <c r="C241">
        <v>0.1777</v>
      </c>
      <c r="D241">
        <v>0.15440000000000001</v>
      </c>
      <c r="E241">
        <v>0.1648</v>
      </c>
      <c r="F241">
        <v>9460177.9100000001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-0.10729613733905595</v>
      </c>
      <c r="Q241">
        <f t="shared" si="960"/>
        <v>-1015040.5482832633</v>
      </c>
      <c r="R241">
        <f t="shared" si="961"/>
        <v>-259425688.25729588</v>
      </c>
      <c r="S241">
        <f t="shared" si="962"/>
        <v>-2594.2568825729586</v>
      </c>
      <c r="T241">
        <f t="shared" si="963"/>
        <v>-2.5942568825729584</v>
      </c>
    </row>
    <row r="242" spans="1:20" x14ac:dyDescent="0.25">
      <c r="A242" s="5">
        <v>44351</v>
      </c>
      <c r="B242">
        <v>0.19489999999999999</v>
      </c>
      <c r="C242">
        <v>0.19600000000000001</v>
      </c>
      <c r="D242">
        <v>0.1636</v>
      </c>
      <c r="E242">
        <v>0.17150000000000001</v>
      </c>
      <c r="F242">
        <v>12869809.039999999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-0.51234567901234473</v>
      </c>
      <c r="Q242">
        <f t="shared" si="960"/>
        <v>-6593791.0513580125</v>
      </c>
      <c r="R242">
        <f t="shared" si="961"/>
        <v>-258410647.70901263</v>
      </c>
      <c r="S242">
        <f t="shared" si="962"/>
        <v>-2584.1064770901262</v>
      </c>
      <c r="T242">
        <f t="shared" si="963"/>
        <v>-2.5841064770901263</v>
      </c>
    </row>
    <row r="243" spans="1:20" x14ac:dyDescent="0.25">
      <c r="A243" s="5">
        <v>44350</v>
      </c>
      <c r="B243">
        <v>0.18340000000000001</v>
      </c>
      <c r="C243">
        <v>0.21</v>
      </c>
      <c r="D243">
        <v>0.17860000000000001</v>
      </c>
      <c r="E243">
        <v>0.19489999999999999</v>
      </c>
      <c r="F243">
        <v>30594958.43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3.8216560509553486E-2</v>
      </c>
      <c r="Q243">
        <f t="shared" si="960"/>
        <v>1169234.0801273684</v>
      </c>
      <c r="R243">
        <f t="shared" si="961"/>
        <v>-251816856.65765461</v>
      </c>
      <c r="S243">
        <f t="shared" si="962"/>
        <v>-2518.1685665765463</v>
      </c>
      <c r="T243">
        <f t="shared" si="963"/>
        <v>-2.5181685665765463</v>
      </c>
    </row>
    <row r="244" spans="1:20" x14ac:dyDescent="0.25">
      <c r="A244" s="5">
        <v>44349</v>
      </c>
      <c r="B244">
        <v>0.17519999999999999</v>
      </c>
      <c r="C244">
        <v>0.18840000000000001</v>
      </c>
      <c r="D244">
        <v>0.17269999999999999</v>
      </c>
      <c r="E244">
        <v>0.18340000000000001</v>
      </c>
      <c r="F244">
        <v>9370963.2200000007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0.36305732484076458</v>
      </c>
      <c r="Q244">
        <f t="shared" si="960"/>
        <v>3402196.8378343973</v>
      </c>
      <c r="R244">
        <f t="shared" si="961"/>
        <v>-252986090.73778197</v>
      </c>
      <c r="S244">
        <f t="shared" si="962"/>
        <v>-2529.8609073778198</v>
      </c>
      <c r="T244">
        <f t="shared" si="963"/>
        <v>-2.5298609073778198</v>
      </c>
    </row>
    <row r="245" spans="1:20" x14ac:dyDescent="0.25">
      <c r="A245" s="5">
        <v>44348</v>
      </c>
      <c r="B245">
        <v>0.18260000000000001</v>
      </c>
      <c r="C245">
        <v>0.18529999999999999</v>
      </c>
      <c r="D245">
        <v>0.16900000000000001</v>
      </c>
      <c r="E245">
        <v>0.17519999999999999</v>
      </c>
      <c r="F245">
        <v>9300737.25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-0.23926380368098277</v>
      </c>
      <c r="Q245">
        <f t="shared" si="960"/>
        <v>-2225329.7714724033</v>
      </c>
      <c r="R245">
        <f t="shared" si="961"/>
        <v>-256388287.57561636</v>
      </c>
      <c r="S245">
        <f t="shared" si="962"/>
        <v>-2563.8828757561637</v>
      </c>
      <c r="T245">
        <f t="shared" si="963"/>
        <v>-2.5638828757561636</v>
      </c>
    </row>
    <row r="246" spans="1:20" x14ac:dyDescent="0.25">
      <c r="A246" s="5">
        <v>44347</v>
      </c>
      <c r="B246">
        <v>0.1744</v>
      </c>
      <c r="C246">
        <v>0.18490000000000001</v>
      </c>
      <c r="D246">
        <v>0.161</v>
      </c>
      <c r="E246">
        <v>0.183</v>
      </c>
      <c r="F246">
        <v>13533841.65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0.84100418410041733</v>
      </c>
      <c r="Q246">
        <f t="shared" si="960"/>
        <v>11382017.454602497</v>
      </c>
      <c r="R246">
        <f t="shared" si="961"/>
        <v>-254162957.80414397</v>
      </c>
      <c r="S246">
        <f t="shared" si="962"/>
        <v>-2541.6295780414398</v>
      </c>
      <c r="T246">
        <f t="shared" si="963"/>
        <v>-2.54162957804144</v>
      </c>
    </row>
    <row r="247" spans="1:20" x14ac:dyDescent="0.25">
      <c r="A247" s="5">
        <v>44346</v>
      </c>
      <c r="B247">
        <v>0.16689999999999999</v>
      </c>
      <c r="C247">
        <v>0.1827</v>
      </c>
      <c r="D247">
        <v>0.158</v>
      </c>
      <c r="E247">
        <v>0.1744</v>
      </c>
      <c r="F247">
        <v>18948298.309999999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0.3279352226720646</v>
      </c>
      <c r="Q247">
        <f t="shared" si="960"/>
        <v>6213814.4255465548</v>
      </c>
      <c r="R247">
        <f t="shared" si="961"/>
        <v>-265544975.25874647</v>
      </c>
      <c r="S247">
        <f t="shared" si="962"/>
        <v>-2655.4497525874649</v>
      </c>
      <c r="T247">
        <f t="shared" si="963"/>
        <v>-2.6554497525874647</v>
      </c>
    </row>
    <row r="248" spans="1:20" x14ac:dyDescent="0.25">
      <c r="A248" s="5">
        <v>44345</v>
      </c>
      <c r="B248">
        <v>0.16600000000000001</v>
      </c>
      <c r="C248">
        <v>0.20499999999999999</v>
      </c>
      <c r="D248">
        <v>0.1585</v>
      </c>
      <c r="E248">
        <v>0.16689999999999999</v>
      </c>
      <c r="F248">
        <v>54426165.960000001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-0.63870967741935514</v>
      </c>
      <c r="Q248">
        <f t="shared" si="960"/>
        <v>-34762518.90348389</v>
      </c>
      <c r="R248">
        <f t="shared" si="961"/>
        <v>-271758789.68429303</v>
      </c>
      <c r="S248">
        <f t="shared" si="962"/>
        <v>-2717.5878968429301</v>
      </c>
      <c r="T248">
        <f t="shared" si="963"/>
        <v>-2.7175878968429301</v>
      </c>
    </row>
    <row r="249" spans="1:20" x14ac:dyDescent="0.25">
      <c r="A249" s="5">
        <v>44344</v>
      </c>
      <c r="B249">
        <v>0.1888</v>
      </c>
      <c r="C249">
        <v>0.19370000000000001</v>
      </c>
      <c r="D249">
        <v>0.156</v>
      </c>
      <c r="E249">
        <v>0.16569999999999999</v>
      </c>
      <c r="F249">
        <v>15630019.17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-0.48541114058355528</v>
      </c>
      <c r="Q249">
        <f t="shared" si="960"/>
        <v>-7586985.432652534</v>
      </c>
      <c r="R249">
        <f t="shared" si="961"/>
        <v>-236996270.78080916</v>
      </c>
      <c r="S249">
        <f t="shared" si="962"/>
        <v>-2369.9627078080916</v>
      </c>
      <c r="T249">
        <f t="shared" si="963"/>
        <v>-2.3699627078080918</v>
      </c>
    </row>
    <row r="250" spans="1:20" x14ac:dyDescent="0.25">
      <c r="A250" s="5">
        <v>44343</v>
      </c>
      <c r="B250">
        <v>0.19600000000000001</v>
      </c>
      <c r="C250">
        <v>0.21</v>
      </c>
      <c r="D250">
        <v>0.17510000000000001</v>
      </c>
      <c r="E250">
        <v>0.18809999999999999</v>
      </c>
      <c r="F250">
        <v>17713518.879999999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-0.25501432664756513</v>
      </c>
      <c r="Q250">
        <f t="shared" si="960"/>
        <v>-4517201.0897421315</v>
      </c>
      <c r="R250">
        <f t="shared" si="961"/>
        <v>-229409285.34815663</v>
      </c>
      <c r="S250">
        <f t="shared" si="962"/>
        <v>-2294.0928534815662</v>
      </c>
      <c r="T250">
        <f t="shared" si="963"/>
        <v>-2.2940928534815663</v>
      </c>
    </row>
    <row r="251" spans="1:20" x14ac:dyDescent="0.25">
      <c r="A251" s="5">
        <v>44342</v>
      </c>
      <c r="B251">
        <v>0.185</v>
      </c>
      <c r="C251">
        <v>0.20469999999999999</v>
      </c>
      <c r="D251">
        <v>0.1772</v>
      </c>
      <c r="E251">
        <v>0.19600000000000001</v>
      </c>
      <c r="F251">
        <v>17975652.620000001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0.36727272727272825</v>
      </c>
      <c r="Q251">
        <f t="shared" si="960"/>
        <v>6601966.9622545633</v>
      </c>
      <c r="R251">
        <f t="shared" si="961"/>
        <v>-224892084.25841451</v>
      </c>
      <c r="S251">
        <f t="shared" si="962"/>
        <v>-2248.9208425841452</v>
      </c>
      <c r="T251">
        <f t="shared" si="963"/>
        <v>-2.2489208425841452</v>
      </c>
    </row>
    <row r="252" spans="1:20" x14ac:dyDescent="0.25">
      <c r="A252" s="5">
        <v>44341</v>
      </c>
      <c r="B252">
        <v>0.185</v>
      </c>
      <c r="C252">
        <v>0.19400000000000001</v>
      </c>
      <c r="D252">
        <v>0.15659999999999999</v>
      </c>
      <c r="E252">
        <v>0.18429999999999999</v>
      </c>
      <c r="F252">
        <v>26585152.940000001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0.48128342245989253</v>
      </c>
      <c r="Q252">
        <f t="shared" si="960"/>
        <v>12794993.393582875</v>
      </c>
      <c r="R252">
        <f t="shared" si="961"/>
        <v>-231494051.22066906</v>
      </c>
      <c r="S252">
        <f t="shared" si="962"/>
        <v>-2314.9405122066905</v>
      </c>
      <c r="T252">
        <f t="shared" si="963"/>
        <v>-2.3149405122066904</v>
      </c>
    </row>
    <row r="253" spans="1:20" x14ac:dyDescent="0.25">
      <c r="A253" s="5">
        <v>44340</v>
      </c>
      <c r="B253">
        <v>0.1615</v>
      </c>
      <c r="C253">
        <v>0.20200000000000001</v>
      </c>
      <c r="D253">
        <v>0.14860000000000001</v>
      </c>
      <c r="E253">
        <v>0.185</v>
      </c>
      <c r="F253">
        <v>51190809.560000002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0.36329588014981218</v>
      </c>
      <c r="Q253">
        <f t="shared" si="960"/>
        <v>18597410.214681622</v>
      </c>
      <c r="R253">
        <f t="shared" si="961"/>
        <v>-244289044.61425194</v>
      </c>
      <c r="S253">
        <f t="shared" si="962"/>
        <v>-2442.8904461425195</v>
      </c>
      <c r="T253">
        <f t="shared" si="963"/>
        <v>-2.4428904461425196</v>
      </c>
    </row>
    <row r="254" spans="1:20" x14ac:dyDescent="0.25">
      <c r="A254" s="5">
        <v>44339</v>
      </c>
      <c r="B254">
        <v>0.19600000000000001</v>
      </c>
      <c r="C254">
        <v>0.25</v>
      </c>
      <c r="D254">
        <v>0.14499999999999999</v>
      </c>
      <c r="E254">
        <v>0.1615</v>
      </c>
      <c r="F254">
        <v>118501226.58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-0.6857142857142855</v>
      </c>
      <c r="Q254">
        <f t="shared" si="960"/>
        <v>-81257983.940571398</v>
      </c>
      <c r="R254">
        <f t="shared" si="961"/>
        <v>-262886454.82893357</v>
      </c>
      <c r="S254">
        <f t="shared" si="962"/>
        <v>-2628.8645482893357</v>
      </c>
      <c r="T254">
        <f t="shared" si="963"/>
        <v>-2.6288645482893358</v>
      </c>
    </row>
    <row r="255" spans="1:20" x14ac:dyDescent="0.25">
      <c r="A255" s="5">
        <v>44338</v>
      </c>
      <c r="B255">
        <v>0.16370000000000001</v>
      </c>
      <c r="C255">
        <v>0.2666</v>
      </c>
      <c r="D255">
        <v>0.1492</v>
      </c>
      <c r="E255">
        <v>0.19650000000000001</v>
      </c>
      <c r="F255">
        <v>117316919.15000001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-0.19420783645655865</v>
      </c>
      <c r="Q255">
        <f t="shared" si="960"/>
        <v>-22783865.047870513</v>
      </c>
      <c r="R255">
        <f t="shared" si="961"/>
        <v>-181628470.88836217</v>
      </c>
      <c r="S255">
        <f t="shared" si="962"/>
        <v>-1816.2847088836218</v>
      </c>
      <c r="T255">
        <f t="shared" si="963"/>
        <v>-1.8162847088836218</v>
      </c>
    </row>
    <row r="256" spans="1:20" x14ac:dyDescent="0.25">
      <c r="A256" s="5">
        <v>44337</v>
      </c>
      <c r="B256">
        <v>0.20030000000000001</v>
      </c>
      <c r="C256">
        <v>0.23180000000000001</v>
      </c>
      <c r="D256">
        <v>0.1479</v>
      </c>
      <c r="E256">
        <v>0.16370000000000001</v>
      </c>
      <c r="F256">
        <v>20375804.030000001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-0.62336114421930855</v>
      </c>
      <c r="Q256">
        <f t="shared" si="960"/>
        <v>-12701484.514529198</v>
      </c>
      <c r="R256">
        <f t="shared" si="961"/>
        <v>-158844605.84049165</v>
      </c>
      <c r="S256">
        <f t="shared" si="962"/>
        <v>-1588.4460584049166</v>
      </c>
      <c r="T256">
        <f t="shared" si="963"/>
        <v>-1.5884460584049165</v>
      </c>
    </row>
    <row r="257" spans="1:20" x14ac:dyDescent="0.25">
      <c r="A257" s="5">
        <v>44336</v>
      </c>
      <c r="B257">
        <v>0.17549999999999999</v>
      </c>
      <c r="C257">
        <v>0.21490000000000001</v>
      </c>
      <c r="D257">
        <v>0.1527</v>
      </c>
      <c r="E257">
        <v>0.20030000000000001</v>
      </c>
      <c r="F257">
        <v>11540835.27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0.53054662379421225</v>
      </c>
      <c r="Q257">
        <f t="shared" si="960"/>
        <v>6122951.1882636659</v>
      </c>
      <c r="R257">
        <f t="shared" si="961"/>
        <v>-146143121.32596245</v>
      </c>
      <c r="S257">
        <f t="shared" si="962"/>
        <v>-1461.4312132596244</v>
      </c>
      <c r="T257">
        <f t="shared" si="963"/>
        <v>-1.4614312132596243</v>
      </c>
    </row>
    <row r="258" spans="1:20" x14ac:dyDescent="0.25">
      <c r="A258" s="5">
        <v>44335</v>
      </c>
      <c r="B258">
        <v>0.2717</v>
      </c>
      <c r="C258">
        <v>0.27689999999999998</v>
      </c>
      <c r="D258">
        <v>0.14280000000000001</v>
      </c>
      <c r="E258">
        <v>0.1754</v>
      </c>
      <c r="F258">
        <v>20562317.539999999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-0.5137956748695004</v>
      </c>
      <c r="Q258">
        <f t="shared" si="960"/>
        <v>-10564829.817345265</v>
      </c>
      <c r="R258">
        <f t="shared" si="961"/>
        <v>-152266072.51422611</v>
      </c>
      <c r="S258">
        <f t="shared" si="962"/>
        <v>-1522.6607251422611</v>
      </c>
      <c r="T258">
        <f t="shared" si="963"/>
        <v>-1.522660725142261</v>
      </c>
    </row>
    <row r="259" spans="1:20" x14ac:dyDescent="0.25">
      <c r="A259" s="5">
        <v>44334</v>
      </c>
      <c r="B259">
        <v>0.26479999999999998</v>
      </c>
      <c r="C259">
        <v>0.29039999999999999</v>
      </c>
      <c r="D259">
        <v>0.26369999999999999</v>
      </c>
      <c r="E259">
        <v>0.27129999999999999</v>
      </c>
      <c r="F259">
        <v>11020591.050000001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-0.43071161048689177</v>
      </c>
      <c r="Q259">
        <f t="shared" si="960"/>
        <v>-4746696.519662926</v>
      </c>
      <c r="R259">
        <f t="shared" si="961"/>
        <v>-141701242.69688085</v>
      </c>
      <c r="S259">
        <f t="shared" si="962"/>
        <v>-1417.0124269688085</v>
      </c>
      <c r="T259">
        <f t="shared" si="963"/>
        <v>-1.4170124269688085</v>
      </c>
    </row>
    <row r="260" spans="1:20" x14ac:dyDescent="0.25">
      <c r="A260" s="5">
        <v>44333</v>
      </c>
      <c r="B260">
        <v>0.29370000000000002</v>
      </c>
      <c r="C260">
        <v>0.29709999999999998</v>
      </c>
      <c r="D260">
        <v>0.25269999999999998</v>
      </c>
      <c r="E260">
        <v>0.26529999999999998</v>
      </c>
      <c r="F260">
        <v>16483669.92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-0.43243243243243235</v>
      </c>
      <c r="Q260">
        <f t="shared" si="960"/>
        <v>-7128073.4789189175</v>
      </c>
      <c r="R260">
        <f t="shared" si="961"/>
        <v>-136954546.17721793</v>
      </c>
      <c r="S260">
        <f t="shared" si="962"/>
        <v>-1369.5454617721794</v>
      </c>
      <c r="T260">
        <f t="shared" si="963"/>
        <v>-1.3695454617721794</v>
      </c>
    </row>
    <row r="261" spans="1:20" x14ac:dyDescent="0.25">
      <c r="A261" s="5">
        <v>44332</v>
      </c>
      <c r="B261">
        <v>0.3009</v>
      </c>
      <c r="C261">
        <v>0.34970000000000001</v>
      </c>
      <c r="D261">
        <v>0.27260000000000001</v>
      </c>
      <c r="E261">
        <v>0.29370000000000002</v>
      </c>
      <c r="F261">
        <v>40626262.950000003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-0.45265888456549919</v>
      </c>
      <c r="Q261">
        <f t="shared" si="960"/>
        <v>-18389838.871011667</v>
      </c>
      <c r="R261">
        <f t="shared" si="961"/>
        <v>-129826472.69829902</v>
      </c>
      <c r="S261">
        <f t="shared" si="962"/>
        <v>-1298.2647269829902</v>
      </c>
      <c r="T261">
        <f t="shared" si="963"/>
        <v>-1.2982647269829901</v>
      </c>
    </row>
    <row r="262" spans="1:20" x14ac:dyDescent="0.25">
      <c r="A262" s="5">
        <v>44331</v>
      </c>
      <c r="B262">
        <v>0.38300000000000001</v>
      </c>
      <c r="C262">
        <v>0.39729999999999999</v>
      </c>
      <c r="D262">
        <v>0.29759999999999998</v>
      </c>
      <c r="E262">
        <v>0.30099999999999999</v>
      </c>
      <c r="F262">
        <v>59751412.950000003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-0.93179538615847513</v>
      </c>
      <c r="Q262">
        <f t="shared" ref="Q262:Q325" si="965">F262*P262</f>
        <v>-55676090.903259762</v>
      </c>
      <c r="R262">
        <f t="shared" ref="R262:R325" si="966">R263+Q262</f>
        <v>-111436633.82728735</v>
      </c>
      <c r="S262">
        <f t="shared" ref="S262:S325" si="967">R262/100000</f>
        <v>-1114.3663382728735</v>
      </c>
      <c r="T262">
        <f t="shared" ref="T262:T325" si="968">S262/1000</f>
        <v>-1.1143663382728735</v>
      </c>
    </row>
    <row r="263" spans="1:20" x14ac:dyDescent="0.25">
      <c r="A263" s="5">
        <v>44330</v>
      </c>
      <c r="B263">
        <v>0.26240000000000002</v>
      </c>
      <c r="C263">
        <v>0.4451</v>
      </c>
      <c r="D263">
        <v>0.25890000000000002</v>
      </c>
      <c r="E263">
        <v>0.38300000000000001</v>
      </c>
      <c r="F263">
        <v>156545312.25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0.33297529538131043</v>
      </c>
      <c r="Q263">
        <f t="shared" si="965"/>
        <v>52125721.587003224</v>
      </c>
      <c r="R263">
        <f t="shared" si="966"/>
        <v>-55760542.924027584</v>
      </c>
      <c r="S263">
        <f t="shared" si="967"/>
        <v>-557.60542924027584</v>
      </c>
      <c r="T263">
        <f t="shared" si="968"/>
        <v>-0.55760542924027579</v>
      </c>
    </row>
    <row r="264" spans="1:20" x14ac:dyDescent="0.25">
      <c r="A264" s="5">
        <v>44329</v>
      </c>
      <c r="B264">
        <v>0.26069999999999999</v>
      </c>
      <c r="C264">
        <v>0.28960000000000002</v>
      </c>
      <c r="D264">
        <v>0.25</v>
      </c>
      <c r="E264">
        <v>0.26329999999999998</v>
      </c>
      <c r="F264">
        <v>10555157.960000001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-0.32828282828282979</v>
      </c>
      <c r="Q264">
        <f t="shared" si="965"/>
        <v>-3465077.1080808244</v>
      </c>
      <c r="R264">
        <f t="shared" si="966"/>
        <v>-107886264.51103081</v>
      </c>
      <c r="S264">
        <f t="shared" si="967"/>
        <v>-1078.862645110308</v>
      </c>
      <c r="T264">
        <f t="shared" si="968"/>
        <v>-1.078862645110308</v>
      </c>
    </row>
    <row r="265" spans="1:20" x14ac:dyDescent="0.25">
      <c r="A265" s="5">
        <v>44328</v>
      </c>
      <c r="B265">
        <v>0.31230000000000002</v>
      </c>
      <c r="C265">
        <v>0.32269999999999999</v>
      </c>
      <c r="D265">
        <v>0.26</v>
      </c>
      <c r="E265">
        <v>0.26069999999999999</v>
      </c>
      <c r="F265">
        <v>9726724.2400000002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-0.97767145135566258</v>
      </c>
      <c r="Q265">
        <f t="shared" si="965"/>
        <v>-9509540.6046571042</v>
      </c>
      <c r="R265">
        <f t="shared" si="966"/>
        <v>-104421187.40294999</v>
      </c>
      <c r="S265">
        <f t="shared" si="967"/>
        <v>-1044.2118740295</v>
      </c>
      <c r="T265">
        <f t="shared" si="968"/>
        <v>-1.0442118740294999</v>
      </c>
    </row>
    <row r="266" spans="1:20" x14ac:dyDescent="0.25">
      <c r="A266" s="5">
        <v>44327</v>
      </c>
      <c r="B266">
        <v>0.29599999999999999</v>
      </c>
      <c r="C266">
        <v>0.31990000000000002</v>
      </c>
      <c r="D266">
        <v>0.29189999999999999</v>
      </c>
      <c r="E266">
        <v>0.31180000000000002</v>
      </c>
      <c r="F266">
        <v>8486323.3499999996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0.42142857142857221</v>
      </c>
      <c r="Q266">
        <f t="shared" si="965"/>
        <v>3576379.1260714349</v>
      </c>
      <c r="R266">
        <f t="shared" si="966"/>
        <v>-94911646.79829289</v>
      </c>
      <c r="S266">
        <f t="shared" si="967"/>
        <v>-949.11646798292895</v>
      </c>
      <c r="T266">
        <f t="shared" si="968"/>
        <v>-0.94911646798292892</v>
      </c>
    </row>
    <row r="267" spans="1:20" x14ac:dyDescent="0.25">
      <c r="A267" s="5">
        <v>44326</v>
      </c>
      <c r="B267">
        <v>0.3372</v>
      </c>
      <c r="C267">
        <v>0.35299999999999998</v>
      </c>
      <c r="D267">
        <v>0.29239999999999999</v>
      </c>
      <c r="E267">
        <v>0.29599999999999999</v>
      </c>
      <c r="F267">
        <v>9745391.5299999993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-0.88118811881188142</v>
      </c>
      <c r="Q267">
        <f t="shared" si="965"/>
        <v>-8587523.2294059414</v>
      </c>
      <c r="R267">
        <f t="shared" si="966"/>
        <v>-98488025.924364328</v>
      </c>
      <c r="S267">
        <f t="shared" si="967"/>
        <v>-984.88025924364331</v>
      </c>
      <c r="T267">
        <f t="shared" si="968"/>
        <v>-0.98488025924364331</v>
      </c>
    </row>
    <row r="268" spans="1:20" x14ac:dyDescent="0.25">
      <c r="A268" s="5">
        <v>44325</v>
      </c>
      <c r="B268">
        <v>0.34970000000000001</v>
      </c>
      <c r="C268">
        <v>0.35360000000000003</v>
      </c>
      <c r="D268">
        <v>0.32969999999999999</v>
      </c>
      <c r="E268">
        <v>0.3372</v>
      </c>
      <c r="F268">
        <v>5429928.0599999996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-0.37238493723849403</v>
      </c>
      <c r="Q268">
        <f t="shared" si="965"/>
        <v>-2022023.4198326375</v>
      </c>
      <c r="R268">
        <f t="shared" si="966"/>
        <v>-89900502.694958389</v>
      </c>
      <c r="S268">
        <f t="shared" si="967"/>
        <v>-899.00502694958391</v>
      </c>
      <c r="T268">
        <f t="shared" si="968"/>
        <v>-0.89900502694958395</v>
      </c>
    </row>
    <row r="269" spans="1:20" x14ac:dyDescent="0.25">
      <c r="A269" s="5">
        <v>44324</v>
      </c>
      <c r="B269">
        <v>0.3604</v>
      </c>
      <c r="C269">
        <v>0.374</v>
      </c>
      <c r="D269">
        <v>0.34589999999999999</v>
      </c>
      <c r="E269">
        <v>0.34970000000000001</v>
      </c>
      <c r="F269">
        <v>6434497.7199999997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-0.72953736654804102</v>
      </c>
      <c r="Q269">
        <f t="shared" si="965"/>
        <v>-4694206.5217081737</v>
      </c>
      <c r="R269">
        <f t="shared" si="966"/>
        <v>-87878479.275125757</v>
      </c>
      <c r="S269">
        <f t="shared" si="967"/>
        <v>-878.78479275125756</v>
      </c>
      <c r="T269">
        <f t="shared" si="968"/>
        <v>-0.87878479275125754</v>
      </c>
    </row>
    <row r="270" spans="1:20" x14ac:dyDescent="0.25">
      <c r="A270" s="5">
        <v>44323</v>
      </c>
      <c r="B270">
        <v>0.3478</v>
      </c>
      <c r="C270">
        <v>0.38779999999999998</v>
      </c>
      <c r="D270">
        <v>0.3332</v>
      </c>
      <c r="E270">
        <v>0.3604</v>
      </c>
      <c r="F270">
        <v>11127301.859999999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-3.663003663003261E-3</v>
      </c>
      <c r="Q270">
        <f t="shared" si="965"/>
        <v>-40759.347472522997</v>
      </c>
      <c r="R270">
        <f t="shared" si="966"/>
        <v>-83184272.753417581</v>
      </c>
      <c r="S270">
        <f t="shared" si="967"/>
        <v>-831.84272753417576</v>
      </c>
      <c r="T270">
        <f t="shared" si="968"/>
        <v>-0.83184272753417576</v>
      </c>
    </row>
    <row r="271" spans="1:20" x14ac:dyDescent="0.25">
      <c r="A271" s="5">
        <v>44322</v>
      </c>
      <c r="B271">
        <v>0.36670000000000003</v>
      </c>
      <c r="C271">
        <v>0.38700000000000001</v>
      </c>
      <c r="D271">
        <v>0.3382</v>
      </c>
      <c r="E271">
        <v>0.34820000000000001</v>
      </c>
      <c r="F271">
        <v>8802513.6799999997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-0.59016393442622928</v>
      </c>
      <c r="Q271">
        <f t="shared" si="965"/>
        <v>-5194926.1062295064</v>
      </c>
      <c r="R271">
        <f t="shared" si="966"/>
        <v>-83143513.405945063</v>
      </c>
      <c r="S271">
        <f t="shared" si="967"/>
        <v>-831.43513405945066</v>
      </c>
      <c r="T271">
        <f t="shared" si="968"/>
        <v>-0.83143513405945069</v>
      </c>
    </row>
    <row r="272" spans="1:20" x14ac:dyDescent="0.25">
      <c r="A272" s="5">
        <v>44321</v>
      </c>
      <c r="B272">
        <v>0.34360000000000002</v>
      </c>
      <c r="C272">
        <v>0.37640000000000001</v>
      </c>
      <c r="D272">
        <v>0.34300000000000003</v>
      </c>
      <c r="E272">
        <v>0.36699999999999999</v>
      </c>
      <c r="F272">
        <v>7820154.96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0.43712574850299257</v>
      </c>
      <c r="Q272">
        <f t="shared" si="965"/>
        <v>3418391.0902993898</v>
      </c>
      <c r="R272">
        <f t="shared" si="966"/>
        <v>-77948587.299715549</v>
      </c>
      <c r="S272">
        <f t="shared" si="967"/>
        <v>-779.48587299715552</v>
      </c>
      <c r="T272">
        <f t="shared" si="968"/>
        <v>-0.77948587299715555</v>
      </c>
    </row>
    <row r="273" spans="1:20" x14ac:dyDescent="0.25">
      <c r="A273" s="5">
        <v>44320</v>
      </c>
      <c r="B273">
        <v>0.39389999999999997</v>
      </c>
      <c r="C273">
        <v>0.39400000000000002</v>
      </c>
      <c r="D273">
        <v>0.34050000000000002</v>
      </c>
      <c r="E273">
        <v>0.34429999999999999</v>
      </c>
      <c r="F273">
        <v>10807759.42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-0.85794392523364593</v>
      </c>
      <c r="Q273">
        <f t="shared" si="965"/>
        <v>-9272451.5397757124</v>
      </c>
      <c r="R273">
        <f t="shared" si="966"/>
        <v>-81366978.390014932</v>
      </c>
      <c r="S273">
        <f t="shared" si="967"/>
        <v>-813.66978390014935</v>
      </c>
      <c r="T273">
        <f t="shared" si="968"/>
        <v>-0.81366978390014932</v>
      </c>
    </row>
    <row r="274" spans="1:20" x14ac:dyDescent="0.25">
      <c r="A274" s="5">
        <v>44319</v>
      </c>
      <c r="B274">
        <v>0.41299999999999998</v>
      </c>
      <c r="C274">
        <v>0.4299</v>
      </c>
      <c r="D274">
        <v>0.3926</v>
      </c>
      <c r="E274">
        <v>0.39389999999999997</v>
      </c>
      <c r="F274">
        <v>11587750.35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-0.93029490616622157</v>
      </c>
      <c r="Q274">
        <f t="shared" si="965"/>
        <v>-10780025.12453085</v>
      </c>
      <c r="R274">
        <f t="shared" si="966"/>
        <v>-72094526.850239217</v>
      </c>
      <c r="S274">
        <f t="shared" si="967"/>
        <v>-720.9452685023922</v>
      </c>
      <c r="T274">
        <f t="shared" si="968"/>
        <v>-0.72094526850239216</v>
      </c>
    </row>
    <row r="275" spans="1:20" x14ac:dyDescent="0.25">
      <c r="A275" s="5">
        <v>44318</v>
      </c>
      <c r="B275">
        <v>0.38569999999999999</v>
      </c>
      <c r="C275">
        <v>0.44</v>
      </c>
      <c r="D275">
        <v>0.36280000000000001</v>
      </c>
      <c r="E275">
        <v>0.41299999999999998</v>
      </c>
      <c r="F275">
        <v>26452822.399999999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0.3005181347150252</v>
      </c>
      <c r="Q275">
        <f t="shared" si="965"/>
        <v>7949552.8455958357</v>
      </c>
      <c r="R275">
        <f t="shared" si="966"/>
        <v>-61314501.725708365</v>
      </c>
      <c r="S275">
        <f t="shared" si="967"/>
        <v>-613.14501725708362</v>
      </c>
      <c r="T275">
        <f t="shared" si="968"/>
        <v>-0.61314501725708359</v>
      </c>
    </row>
    <row r="276" spans="1:20" x14ac:dyDescent="0.25">
      <c r="A276" s="5">
        <v>44317</v>
      </c>
      <c r="B276">
        <v>0.3901</v>
      </c>
      <c r="C276">
        <v>0.41739999999999999</v>
      </c>
      <c r="D276">
        <v>0.37009999999999998</v>
      </c>
      <c r="E276">
        <v>0.38500000000000001</v>
      </c>
      <c r="F276">
        <v>12471332.220000001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-0.36997885835095046</v>
      </c>
      <c r="Q276">
        <f t="shared" si="965"/>
        <v>-4614129.2568710251</v>
      </c>
      <c r="R276">
        <f t="shared" si="966"/>
        <v>-69264054.571304202</v>
      </c>
      <c r="S276">
        <f t="shared" si="967"/>
        <v>-692.640545713042</v>
      </c>
      <c r="T276">
        <f t="shared" si="968"/>
        <v>-0.69264054571304201</v>
      </c>
    </row>
    <row r="277" spans="1:20" x14ac:dyDescent="0.25">
      <c r="A277" s="5">
        <v>44316</v>
      </c>
      <c r="B277">
        <v>0.38919999999999999</v>
      </c>
      <c r="C277">
        <v>0.39789999999999998</v>
      </c>
      <c r="D277">
        <v>0.36149999999999999</v>
      </c>
      <c r="E277">
        <v>0.3901</v>
      </c>
      <c r="F277">
        <v>18015624.329999998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0.57142857142857273</v>
      </c>
      <c r="Q277">
        <f t="shared" si="965"/>
        <v>10294642.474285737</v>
      </c>
      <c r="R277">
        <f t="shared" si="966"/>
        <v>-64649925.314433172</v>
      </c>
      <c r="S277">
        <f t="shared" si="967"/>
        <v>-646.49925314433176</v>
      </c>
      <c r="T277">
        <f t="shared" si="968"/>
        <v>-0.64649925314433176</v>
      </c>
    </row>
    <row r="278" spans="1:20" x14ac:dyDescent="0.25">
      <c r="A278" s="5">
        <v>44315</v>
      </c>
      <c r="B278">
        <v>0.32190000000000002</v>
      </c>
      <c r="C278">
        <v>0.41920000000000002</v>
      </c>
      <c r="D278">
        <v>0.311</v>
      </c>
      <c r="E278">
        <v>0.38919999999999999</v>
      </c>
      <c r="F278">
        <v>55866974.939999998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0.44547134935304949</v>
      </c>
      <c r="Q278">
        <f t="shared" si="965"/>
        <v>24887136.710794799</v>
      </c>
      <c r="R278">
        <f t="shared" si="966"/>
        <v>-74944567.788718909</v>
      </c>
      <c r="S278">
        <f t="shared" si="967"/>
        <v>-749.44567788718905</v>
      </c>
      <c r="T278">
        <f t="shared" si="968"/>
        <v>-0.74944567788718908</v>
      </c>
    </row>
    <row r="279" spans="1:20" x14ac:dyDescent="0.25">
      <c r="A279" s="5">
        <v>44314</v>
      </c>
      <c r="B279">
        <v>0.33539999999999998</v>
      </c>
      <c r="C279">
        <v>0.34489999999999998</v>
      </c>
      <c r="D279">
        <v>0.29880000000000001</v>
      </c>
      <c r="E279">
        <v>0.32190000000000002</v>
      </c>
      <c r="F279">
        <v>10599853.449999999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2.16919739696409E-3</v>
      </c>
      <c r="Q279">
        <f t="shared" si="965"/>
        <v>22993.174511940826</v>
      </c>
      <c r="R279">
        <f t="shared" si="966"/>
        <v>-99831704.499513716</v>
      </c>
      <c r="S279">
        <f t="shared" si="967"/>
        <v>-998.31704499513717</v>
      </c>
      <c r="T279">
        <f t="shared" si="968"/>
        <v>-0.99831704499513718</v>
      </c>
    </row>
    <row r="280" spans="1:20" x14ac:dyDescent="0.25">
      <c r="A280" s="5">
        <v>44313</v>
      </c>
      <c r="B280">
        <v>0.31709999999999999</v>
      </c>
      <c r="C280">
        <v>0.35949999999999999</v>
      </c>
      <c r="D280">
        <v>0.30690000000000001</v>
      </c>
      <c r="E280">
        <v>0.33589999999999998</v>
      </c>
      <c r="F280">
        <v>18145709.359999999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0.10266159695817419</v>
      </c>
      <c r="Q280">
        <f t="shared" si="965"/>
        <v>1862867.5008364888</v>
      </c>
      <c r="R280">
        <f t="shared" si="966"/>
        <v>-99854697.674025655</v>
      </c>
      <c r="S280">
        <f t="shared" si="967"/>
        <v>-998.54697674025658</v>
      </c>
      <c r="T280">
        <f t="shared" si="968"/>
        <v>-0.99854697674025661</v>
      </c>
    </row>
    <row r="281" spans="1:20" x14ac:dyDescent="0.25">
      <c r="A281" s="5">
        <v>44312</v>
      </c>
      <c r="B281">
        <v>0.24479999999999999</v>
      </c>
      <c r="C281">
        <v>0.35</v>
      </c>
      <c r="D281">
        <v>0.24249999999999999</v>
      </c>
      <c r="E281">
        <v>0.31640000000000001</v>
      </c>
      <c r="F281">
        <v>23461111.260000002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0.37488372093023314</v>
      </c>
      <c r="Q281">
        <f t="shared" si="965"/>
        <v>8795188.6863069907</v>
      </c>
      <c r="R281">
        <f t="shared" si="966"/>
        <v>-101717565.17486215</v>
      </c>
      <c r="S281">
        <f t="shared" si="967"/>
        <v>-1017.1756517486215</v>
      </c>
      <c r="T281">
        <f t="shared" si="968"/>
        <v>-1.0171756517486215</v>
      </c>
    </row>
    <row r="282" spans="1:20" x14ac:dyDescent="0.25">
      <c r="A282" s="5">
        <v>44311</v>
      </c>
      <c r="B282">
        <v>0.2424</v>
      </c>
      <c r="C282">
        <v>0.28849999999999998</v>
      </c>
      <c r="D282">
        <v>0.23089999999999999</v>
      </c>
      <c r="E282">
        <v>0.2447</v>
      </c>
      <c r="F282">
        <v>17172404.41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-0.52083333333333293</v>
      </c>
      <c r="Q282">
        <f t="shared" si="965"/>
        <v>-8943960.6302083265</v>
      </c>
      <c r="R282">
        <f t="shared" si="966"/>
        <v>-110512753.86116914</v>
      </c>
      <c r="S282">
        <f t="shared" si="967"/>
        <v>-1105.1275386116915</v>
      </c>
      <c r="T282">
        <f t="shared" si="968"/>
        <v>-1.1051275386116914</v>
      </c>
    </row>
    <row r="283" spans="1:20" x14ac:dyDescent="0.25">
      <c r="A283" s="5">
        <v>44310</v>
      </c>
      <c r="B283">
        <v>0.26989999999999997</v>
      </c>
      <c r="C283">
        <v>0.2888</v>
      </c>
      <c r="D283">
        <v>0.24099999999999999</v>
      </c>
      <c r="E283">
        <v>0.24160000000000001</v>
      </c>
      <c r="F283">
        <v>13399241.75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-0.97489539748953902</v>
      </c>
      <c r="Q283">
        <f t="shared" si="965"/>
        <v>-13062859.111924676</v>
      </c>
      <c r="R283">
        <f t="shared" si="966"/>
        <v>-101568793.23096082</v>
      </c>
      <c r="S283">
        <f t="shared" si="967"/>
        <v>-1015.6879323096082</v>
      </c>
      <c r="T283">
        <f t="shared" si="968"/>
        <v>-1.0156879323096082</v>
      </c>
    </row>
    <row r="284" spans="1:20" x14ac:dyDescent="0.25">
      <c r="A284" s="5">
        <v>44309</v>
      </c>
      <c r="B284">
        <v>0.30320000000000003</v>
      </c>
      <c r="C284">
        <v>0.30380000000000001</v>
      </c>
      <c r="D284">
        <v>0.23780000000000001</v>
      </c>
      <c r="E284">
        <v>0.2697</v>
      </c>
      <c r="F284">
        <v>10313087.460000001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-3.3333333333333867E-2</v>
      </c>
      <c r="Q284">
        <f t="shared" si="965"/>
        <v>-343769.58200000552</v>
      </c>
      <c r="R284">
        <f t="shared" si="966"/>
        <v>-88505934.119036138</v>
      </c>
      <c r="S284">
        <f t="shared" si="967"/>
        <v>-885.05934119036135</v>
      </c>
      <c r="T284">
        <f t="shared" si="968"/>
        <v>-0.88505934119036134</v>
      </c>
    </row>
    <row r="285" spans="1:20" x14ac:dyDescent="0.25">
      <c r="A285" s="5">
        <v>44308</v>
      </c>
      <c r="B285">
        <v>0.3145</v>
      </c>
      <c r="C285">
        <v>0.33900000000000002</v>
      </c>
      <c r="D285">
        <v>0.28410000000000002</v>
      </c>
      <c r="E285">
        <v>0.30320000000000003</v>
      </c>
      <c r="F285">
        <v>8510190.8200000003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-0.30418943533697618</v>
      </c>
      <c r="Q285">
        <f t="shared" si="965"/>
        <v>-2588710.1401457186</v>
      </c>
      <c r="R285">
        <f t="shared" si="966"/>
        <v>-88162164.537036136</v>
      </c>
      <c r="S285">
        <f t="shared" si="967"/>
        <v>-881.62164537036131</v>
      </c>
      <c r="T285">
        <f t="shared" si="968"/>
        <v>-0.88162164537036136</v>
      </c>
    </row>
    <row r="286" spans="1:20" x14ac:dyDescent="0.25">
      <c r="A286" s="5">
        <v>44307</v>
      </c>
      <c r="B286">
        <v>0.32500000000000001</v>
      </c>
      <c r="C286">
        <v>0.34870000000000001</v>
      </c>
      <c r="D286">
        <v>0.30969999999999998</v>
      </c>
      <c r="E286">
        <v>0.314</v>
      </c>
      <c r="F286">
        <v>7238062.04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-0.77948717948717838</v>
      </c>
      <c r="Q286">
        <f t="shared" si="965"/>
        <v>-5641976.5645128125</v>
      </c>
      <c r="R286">
        <f t="shared" si="966"/>
        <v>-85573454.396890417</v>
      </c>
      <c r="S286">
        <f t="shared" si="967"/>
        <v>-855.73454396890418</v>
      </c>
      <c r="T286">
        <f t="shared" si="968"/>
        <v>-0.85573454396890414</v>
      </c>
    </row>
    <row r="287" spans="1:20" x14ac:dyDescent="0.25">
      <c r="A287" s="5">
        <v>44306</v>
      </c>
      <c r="B287">
        <v>0.33689999999999998</v>
      </c>
      <c r="C287">
        <v>0.33800000000000002</v>
      </c>
      <c r="D287">
        <v>0.29480000000000001</v>
      </c>
      <c r="E287">
        <v>0.3251</v>
      </c>
      <c r="F287">
        <v>11699749.640000001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0.40277777777777696</v>
      </c>
      <c r="Q287">
        <f t="shared" si="965"/>
        <v>4712399.1605555462</v>
      </c>
      <c r="R287">
        <f t="shared" si="966"/>
        <v>-79931477.832377598</v>
      </c>
      <c r="S287">
        <f t="shared" si="967"/>
        <v>-799.31477832377595</v>
      </c>
      <c r="T287">
        <f t="shared" si="968"/>
        <v>-0.79931477832377595</v>
      </c>
    </row>
    <row r="288" spans="1:20" x14ac:dyDescent="0.25">
      <c r="A288" s="5">
        <v>44305</v>
      </c>
      <c r="B288">
        <v>0.36809999999999998</v>
      </c>
      <c r="C288">
        <v>0.39350000000000002</v>
      </c>
      <c r="D288">
        <v>0.33100000000000002</v>
      </c>
      <c r="E288">
        <v>0.3362</v>
      </c>
      <c r="F288">
        <v>7325027.5899999999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-0.83360000000000056</v>
      </c>
      <c r="Q288">
        <f t="shared" si="965"/>
        <v>-6106142.9990240037</v>
      </c>
      <c r="R288">
        <f t="shared" si="966"/>
        <v>-84643876.992933139</v>
      </c>
      <c r="S288">
        <f t="shared" si="967"/>
        <v>-846.43876992933144</v>
      </c>
      <c r="T288">
        <f t="shared" si="968"/>
        <v>-0.84643876992933142</v>
      </c>
    </row>
    <row r="289" spans="1:20" x14ac:dyDescent="0.25">
      <c r="A289" s="5">
        <v>44304</v>
      </c>
      <c r="B289">
        <v>0.41839999999999999</v>
      </c>
      <c r="C289">
        <v>0.4234</v>
      </c>
      <c r="D289">
        <v>0.32800000000000001</v>
      </c>
      <c r="E289">
        <v>0.36830000000000002</v>
      </c>
      <c r="F289">
        <v>10736348.99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-0.15513626834381533</v>
      </c>
      <c r="Q289">
        <f t="shared" si="965"/>
        <v>-1665597.1179454906</v>
      </c>
      <c r="R289">
        <f t="shared" si="966"/>
        <v>-78537733.993909135</v>
      </c>
      <c r="S289">
        <f t="shared" si="967"/>
        <v>-785.37733993909137</v>
      </c>
      <c r="T289">
        <f t="shared" si="968"/>
        <v>-0.78537733993909142</v>
      </c>
    </row>
    <row r="290" spans="1:20" x14ac:dyDescent="0.25">
      <c r="A290" s="5">
        <v>44303</v>
      </c>
      <c r="B290">
        <v>0.42749999999999999</v>
      </c>
      <c r="C290">
        <v>0.45350000000000001</v>
      </c>
      <c r="D290">
        <v>0.41839999999999999</v>
      </c>
      <c r="E290">
        <v>0.41909999999999997</v>
      </c>
      <c r="F290">
        <v>8903120.0700000003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-0.96011396011396133</v>
      </c>
      <c r="Q290">
        <f t="shared" si="965"/>
        <v>-8548009.867777789</v>
      </c>
      <c r="R290">
        <f t="shared" si="966"/>
        <v>-76872136.875963643</v>
      </c>
      <c r="S290">
        <f t="shared" si="967"/>
        <v>-768.72136875963645</v>
      </c>
      <c r="T290">
        <f t="shared" si="968"/>
        <v>-0.76872136875963648</v>
      </c>
    </row>
    <row r="291" spans="1:20" x14ac:dyDescent="0.25">
      <c r="A291" s="5">
        <v>44302</v>
      </c>
      <c r="B291">
        <v>0.43840000000000001</v>
      </c>
      <c r="C291">
        <v>0.44</v>
      </c>
      <c r="D291">
        <v>0.40760000000000002</v>
      </c>
      <c r="E291">
        <v>0.42749999999999999</v>
      </c>
      <c r="F291">
        <v>8379495.6299999999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0.22839506172839399</v>
      </c>
      <c r="Q291">
        <f t="shared" si="965"/>
        <v>1913835.4216666578</v>
      </c>
      <c r="R291">
        <f t="shared" si="966"/>
        <v>-68324127.008185849</v>
      </c>
      <c r="S291">
        <f t="shared" si="967"/>
        <v>-683.24127008185849</v>
      </c>
      <c r="T291">
        <f t="shared" si="968"/>
        <v>-0.68324127008185853</v>
      </c>
    </row>
    <row r="292" spans="1:20" x14ac:dyDescent="0.25">
      <c r="A292" s="5">
        <v>44301</v>
      </c>
      <c r="B292">
        <v>0.42699999999999999</v>
      </c>
      <c r="C292">
        <v>0.45689999999999997</v>
      </c>
      <c r="D292">
        <v>0.41749999999999998</v>
      </c>
      <c r="E292">
        <v>0.43840000000000001</v>
      </c>
      <c r="F292">
        <v>8728972.0299999993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6.0913705583758103E-2</v>
      </c>
      <c r="Q292">
        <f t="shared" si="965"/>
        <v>531714.03228427924</v>
      </c>
      <c r="R292">
        <f t="shared" si="966"/>
        <v>-70237962.429852501</v>
      </c>
      <c r="S292">
        <f t="shared" si="967"/>
        <v>-702.37962429852496</v>
      </c>
      <c r="T292">
        <f t="shared" si="968"/>
        <v>-0.70237962429852496</v>
      </c>
    </row>
    <row r="293" spans="1:20" x14ac:dyDescent="0.25">
      <c r="A293" s="5">
        <v>44300</v>
      </c>
      <c r="B293">
        <v>0.43780000000000002</v>
      </c>
      <c r="C293">
        <v>0.46179999999999999</v>
      </c>
      <c r="D293">
        <v>0.4163</v>
      </c>
      <c r="E293">
        <v>0.4259</v>
      </c>
      <c r="F293">
        <v>8783542.4800000004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-0.57802197802197797</v>
      </c>
      <c r="Q293">
        <f t="shared" si="965"/>
        <v>-5077080.5983296698</v>
      </c>
      <c r="R293">
        <f t="shared" si="966"/>
        <v>-70769676.462136775</v>
      </c>
      <c r="S293">
        <f t="shared" si="967"/>
        <v>-707.69676462136772</v>
      </c>
      <c r="T293">
        <f t="shared" si="968"/>
        <v>-0.70769676462136777</v>
      </c>
    </row>
    <row r="294" spans="1:20" x14ac:dyDescent="0.25">
      <c r="A294" s="5">
        <v>44299</v>
      </c>
      <c r="B294">
        <v>0.44829999999999998</v>
      </c>
      <c r="C294">
        <v>0.46029999999999999</v>
      </c>
      <c r="D294">
        <v>0.42520000000000002</v>
      </c>
      <c r="E294">
        <v>0.43690000000000001</v>
      </c>
      <c r="F294">
        <v>6889675.8200000003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-0.33333333333333331</v>
      </c>
      <c r="Q294">
        <f t="shared" si="965"/>
        <v>-2296558.6066666665</v>
      </c>
      <c r="R294">
        <f t="shared" si="966"/>
        <v>-65692595.863807105</v>
      </c>
      <c r="S294">
        <f t="shared" si="967"/>
        <v>-656.92595863807105</v>
      </c>
      <c r="T294">
        <f t="shared" si="968"/>
        <v>-0.65692595863807102</v>
      </c>
    </row>
    <row r="295" spans="1:20" x14ac:dyDescent="0.25">
      <c r="A295" s="5">
        <v>44298</v>
      </c>
      <c r="B295">
        <v>0.49409999999999998</v>
      </c>
      <c r="C295">
        <v>0.50180000000000002</v>
      </c>
      <c r="D295">
        <v>0.43890000000000001</v>
      </c>
      <c r="E295">
        <v>0.44829999999999998</v>
      </c>
      <c r="F295">
        <v>9845159.8399999999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-0.70111287758346696</v>
      </c>
      <c r="Q295">
        <f t="shared" si="965"/>
        <v>-6902568.345691585</v>
      </c>
      <c r="R295">
        <f t="shared" si="966"/>
        <v>-63396037.257140435</v>
      </c>
      <c r="S295">
        <f t="shared" si="967"/>
        <v>-633.96037257140438</v>
      </c>
      <c r="T295">
        <f t="shared" si="968"/>
        <v>-0.63396037257140436</v>
      </c>
    </row>
    <row r="296" spans="1:20" x14ac:dyDescent="0.25">
      <c r="A296" s="5">
        <v>44297</v>
      </c>
      <c r="B296">
        <v>0.47699999999999998</v>
      </c>
      <c r="C296">
        <v>0.52080000000000004</v>
      </c>
      <c r="D296">
        <v>0.46489999999999998</v>
      </c>
      <c r="E296">
        <v>0.49409999999999998</v>
      </c>
      <c r="F296">
        <v>15094216.960000001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4.4722719141322788E-2</v>
      </c>
      <c r="Q296">
        <f t="shared" si="965"/>
        <v>675054.42576027114</v>
      </c>
      <c r="R296">
        <f t="shared" si="966"/>
        <v>-56493468.911448851</v>
      </c>
      <c r="S296">
        <f t="shared" si="967"/>
        <v>-564.93468911448849</v>
      </c>
      <c r="T296">
        <f t="shared" si="968"/>
        <v>-0.56493468911448852</v>
      </c>
    </row>
    <row r="297" spans="1:20" x14ac:dyDescent="0.25">
      <c r="A297" s="5">
        <v>44296</v>
      </c>
      <c r="B297">
        <v>0.48409999999999997</v>
      </c>
      <c r="C297">
        <v>0.55549999999999999</v>
      </c>
      <c r="D297">
        <v>0.4526</v>
      </c>
      <c r="E297">
        <v>0.47699999999999998</v>
      </c>
      <c r="F297">
        <v>36485973.829999998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-0.52575315840622006</v>
      </c>
      <c r="Q297">
        <f t="shared" si="965"/>
        <v>-19182615.978649188</v>
      </c>
      <c r="R297">
        <f t="shared" si="966"/>
        <v>-57168523.33720912</v>
      </c>
      <c r="S297">
        <f t="shared" si="967"/>
        <v>-571.68523337209115</v>
      </c>
      <c r="T297">
        <f t="shared" si="968"/>
        <v>-0.5716852333720911</v>
      </c>
    </row>
    <row r="298" spans="1:20" x14ac:dyDescent="0.25">
      <c r="A298" s="5">
        <v>44295</v>
      </c>
      <c r="B298">
        <v>0.44779999999999998</v>
      </c>
      <c r="C298">
        <v>0.4945</v>
      </c>
      <c r="D298">
        <v>0.42870000000000003</v>
      </c>
      <c r="E298">
        <v>0.48349999999999999</v>
      </c>
      <c r="F298">
        <v>12408531.52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0.66565349544072905</v>
      </c>
      <c r="Q298">
        <f t="shared" si="965"/>
        <v>8259782.3795744628</v>
      </c>
      <c r="R298">
        <f t="shared" si="966"/>
        <v>-37985907.358559936</v>
      </c>
      <c r="S298">
        <f t="shared" si="967"/>
        <v>-379.85907358559939</v>
      </c>
      <c r="T298">
        <f t="shared" si="968"/>
        <v>-0.37985907358559939</v>
      </c>
    </row>
    <row r="299" spans="1:20" x14ac:dyDescent="0.25">
      <c r="A299" s="5">
        <v>44294</v>
      </c>
      <c r="B299">
        <v>0.4103</v>
      </c>
      <c r="C299">
        <v>0.46500000000000002</v>
      </c>
      <c r="D299">
        <v>0.40570000000000001</v>
      </c>
      <c r="E299">
        <v>0.44700000000000001</v>
      </c>
      <c r="F299">
        <v>11318515.4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0.3929173693086</v>
      </c>
      <c r="Q299">
        <f t="shared" si="965"/>
        <v>4447241.2954468764</v>
      </c>
      <c r="R299">
        <f t="shared" si="966"/>
        <v>-46245689.738134399</v>
      </c>
      <c r="S299">
        <f t="shared" si="967"/>
        <v>-462.45689738134399</v>
      </c>
      <c r="T299">
        <f t="shared" si="968"/>
        <v>-0.46245689738134399</v>
      </c>
    </row>
    <row r="300" spans="1:20" x14ac:dyDescent="0.25">
      <c r="A300" s="5">
        <v>44293</v>
      </c>
      <c r="B300">
        <v>0.45390000000000003</v>
      </c>
      <c r="C300">
        <v>0.45950000000000002</v>
      </c>
      <c r="D300">
        <v>0.39</v>
      </c>
      <c r="E300">
        <v>0.40960000000000002</v>
      </c>
      <c r="F300">
        <v>8575305.4800000004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-0.43597122302158259</v>
      </c>
      <c r="Q300">
        <f t="shared" si="965"/>
        <v>-3738586.4178992794</v>
      </c>
      <c r="R300">
        <f t="shared" si="966"/>
        <v>-50692931.033581272</v>
      </c>
      <c r="S300">
        <f t="shared" si="967"/>
        <v>-506.92931033581272</v>
      </c>
      <c r="T300">
        <f t="shared" si="968"/>
        <v>-0.50692931033581268</v>
      </c>
    </row>
    <row r="301" spans="1:20" x14ac:dyDescent="0.25">
      <c r="A301" s="5">
        <v>44292</v>
      </c>
      <c r="B301">
        <v>0.44769999999999999</v>
      </c>
      <c r="C301">
        <v>0.46899999999999997</v>
      </c>
      <c r="D301">
        <v>0.41299999999999998</v>
      </c>
      <c r="E301">
        <v>0.45400000000000001</v>
      </c>
      <c r="F301">
        <v>10047413.08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0.46428571428571574</v>
      </c>
      <c r="Q301">
        <f t="shared" si="965"/>
        <v>4664870.3585714437</v>
      </c>
      <c r="R301">
        <f t="shared" si="966"/>
        <v>-46954344.615681991</v>
      </c>
      <c r="S301">
        <f t="shared" si="967"/>
        <v>-469.54344615681993</v>
      </c>
      <c r="T301">
        <f t="shared" si="968"/>
        <v>-0.46954344615681992</v>
      </c>
    </row>
    <row r="302" spans="1:20" x14ac:dyDescent="0.25">
      <c r="A302" s="5">
        <v>44291</v>
      </c>
      <c r="B302">
        <v>0.4758</v>
      </c>
      <c r="C302">
        <v>0.4758</v>
      </c>
      <c r="D302">
        <v>0.43809999999999999</v>
      </c>
      <c r="E302">
        <v>0.44769999999999999</v>
      </c>
      <c r="F302">
        <v>10487091.34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-0.49071618037135306</v>
      </c>
      <c r="Q302">
        <f t="shared" si="965"/>
        <v>-5146185.4055702947</v>
      </c>
      <c r="R302">
        <f t="shared" si="966"/>
        <v>-51619214.974253431</v>
      </c>
      <c r="S302">
        <f t="shared" si="967"/>
        <v>-516.1921497425343</v>
      </c>
      <c r="T302">
        <f t="shared" si="968"/>
        <v>-0.51619214974253425</v>
      </c>
    </row>
    <row r="303" spans="1:20" x14ac:dyDescent="0.25">
      <c r="A303" s="5">
        <v>44290</v>
      </c>
      <c r="B303">
        <v>0.44600000000000001</v>
      </c>
      <c r="C303">
        <v>0.48349999999999999</v>
      </c>
      <c r="D303">
        <v>0.44009999999999999</v>
      </c>
      <c r="E303">
        <v>0.47570000000000001</v>
      </c>
      <c r="F303">
        <v>8735193.2300000004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0.64055299539170618</v>
      </c>
      <c r="Q303">
        <f t="shared" si="965"/>
        <v>5595354.188801853</v>
      </c>
      <c r="R303">
        <f t="shared" si="966"/>
        <v>-46473029.568683133</v>
      </c>
      <c r="S303">
        <f t="shared" si="967"/>
        <v>-464.73029568683131</v>
      </c>
      <c r="T303">
        <f t="shared" si="968"/>
        <v>-0.46473029568683133</v>
      </c>
    </row>
    <row r="304" spans="1:20" x14ac:dyDescent="0.25">
      <c r="A304" s="5">
        <v>44289</v>
      </c>
      <c r="B304">
        <v>0.4914</v>
      </c>
      <c r="C304">
        <v>0.49280000000000002</v>
      </c>
      <c r="D304">
        <v>0.43980000000000002</v>
      </c>
      <c r="E304">
        <v>0.4466</v>
      </c>
      <c r="F304">
        <v>14065072.720000001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-0.74339622641509528</v>
      </c>
      <c r="Q304">
        <f t="shared" si="965"/>
        <v>-10455921.9843019</v>
      </c>
      <c r="R304">
        <f t="shared" si="966"/>
        <v>-52068383.757484987</v>
      </c>
      <c r="S304">
        <f t="shared" si="967"/>
        <v>-520.68383757484992</v>
      </c>
      <c r="T304">
        <f t="shared" si="968"/>
        <v>-0.52068383757484993</v>
      </c>
    </row>
    <row r="305" spans="1:20" x14ac:dyDescent="0.25">
      <c r="A305" s="5">
        <v>44288</v>
      </c>
      <c r="B305">
        <v>0.54379999999999995</v>
      </c>
      <c r="C305">
        <v>0.54510000000000003</v>
      </c>
      <c r="D305">
        <v>0.48</v>
      </c>
      <c r="E305">
        <v>0.4914</v>
      </c>
      <c r="F305">
        <v>9894625.2799999993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-0.64976958525345585</v>
      </c>
      <c r="Q305">
        <f t="shared" si="965"/>
        <v>-6429226.5644239588</v>
      </c>
      <c r="R305">
        <f t="shared" si="966"/>
        <v>-41612461.773183085</v>
      </c>
      <c r="S305">
        <f t="shared" si="967"/>
        <v>-416.12461773183082</v>
      </c>
      <c r="T305">
        <f t="shared" si="968"/>
        <v>-0.41612461773183085</v>
      </c>
    </row>
    <row r="306" spans="1:20" x14ac:dyDescent="0.25">
      <c r="A306" s="5">
        <v>44287</v>
      </c>
      <c r="B306">
        <v>0.50180000000000002</v>
      </c>
      <c r="C306">
        <v>0.55000000000000004</v>
      </c>
      <c r="D306">
        <v>0.5</v>
      </c>
      <c r="E306">
        <v>0.54310000000000003</v>
      </c>
      <c r="F306">
        <v>10669822.890000001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0.72399999999999953</v>
      </c>
      <c r="Q306">
        <f t="shared" si="965"/>
        <v>7724951.7723599952</v>
      </c>
      <c r="R306">
        <f t="shared" si="966"/>
        <v>-35183235.208759129</v>
      </c>
      <c r="S306">
        <f t="shared" si="967"/>
        <v>-351.83235208759129</v>
      </c>
      <c r="T306">
        <f t="shared" si="968"/>
        <v>-0.35183235208759128</v>
      </c>
    </row>
    <row r="307" spans="1:20" x14ac:dyDescent="0.25">
      <c r="A307" s="5">
        <v>44286</v>
      </c>
      <c r="B307">
        <v>0.51459999999999995</v>
      </c>
      <c r="C307">
        <v>0.53849999999999998</v>
      </c>
      <c r="D307">
        <v>0.48060000000000003</v>
      </c>
      <c r="E307">
        <v>0.50249999999999995</v>
      </c>
      <c r="F307">
        <v>11775492.050000001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-0.24352331606217831</v>
      </c>
      <c r="Q307">
        <f t="shared" si="965"/>
        <v>-2867606.8722798182</v>
      </c>
      <c r="R307">
        <f t="shared" si="966"/>
        <v>-42908186.981119126</v>
      </c>
      <c r="S307">
        <f t="shared" si="967"/>
        <v>-429.08186981119127</v>
      </c>
      <c r="T307">
        <f t="shared" si="968"/>
        <v>-0.42908186981119129</v>
      </c>
    </row>
    <row r="308" spans="1:20" x14ac:dyDescent="0.25">
      <c r="A308" s="5">
        <v>44285</v>
      </c>
      <c r="B308">
        <v>0.52180000000000004</v>
      </c>
      <c r="C308">
        <v>0.56169999999999998</v>
      </c>
      <c r="D308">
        <v>0.49569999999999997</v>
      </c>
      <c r="E308">
        <v>0.51590000000000003</v>
      </c>
      <c r="F308">
        <v>15953525.83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-0.38787878787878638</v>
      </c>
      <c r="Q308">
        <f t="shared" si="965"/>
        <v>-6188034.2613333091</v>
      </c>
      <c r="R308">
        <f t="shared" si="966"/>
        <v>-40040580.108839311</v>
      </c>
      <c r="S308">
        <f t="shared" si="967"/>
        <v>-400.4058010883931</v>
      </c>
      <c r="T308">
        <f t="shared" si="968"/>
        <v>-0.40040580108839313</v>
      </c>
    </row>
    <row r="309" spans="1:20" x14ac:dyDescent="0.25">
      <c r="A309" s="5">
        <v>44284</v>
      </c>
      <c r="B309">
        <v>0.45729999999999998</v>
      </c>
      <c r="C309">
        <v>0.53910000000000002</v>
      </c>
      <c r="D309">
        <v>0.45600000000000002</v>
      </c>
      <c r="E309">
        <v>0.52110000000000001</v>
      </c>
      <c r="F309">
        <v>23737655.719999999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0.56678700361010792</v>
      </c>
      <c r="Q309">
        <f t="shared" si="965"/>
        <v>13454194.758267138</v>
      </c>
      <c r="R309">
        <f t="shared" si="966"/>
        <v>-33852545.847506002</v>
      </c>
      <c r="S309">
        <f t="shared" si="967"/>
        <v>-338.52545847506002</v>
      </c>
      <c r="T309">
        <f t="shared" si="968"/>
        <v>-0.33852545847505999</v>
      </c>
    </row>
    <row r="310" spans="1:20" x14ac:dyDescent="0.25">
      <c r="A310" s="5">
        <v>44283</v>
      </c>
      <c r="B310">
        <v>0.4385</v>
      </c>
      <c r="C310">
        <v>0.49869999999999998</v>
      </c>
      <c r="D310">
        <v>0.436</v>
      </c>
      <c r="E310">
        <v>0.45590000000000003</v>
      </c>
      <c r="F310">
        <v>14585531.25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-0.36523125996810091</v>
      </c>
      <c r="Q310">
        <f t="shared" si="965"/>
        <v>-5327091.9557416094</v>
      </c>
      <c r="R310">
        <f t="shared" si="966"/>
        <v>-47306740.605773143</v>
      </c>
      <c r="S310">
        <f t="shared" si="967"/>
        <v>-473.06740605773143</v>
      </c>
      <c r="T310">
        <f t="shared" si="968"/>
        <v>-0.47306740605773145</v>
      </c>
    </row>
    <row r="311" spans="1:20" x14ac:dyDescent="0.25">
      <c r="A311" s="5">
        <v>44282</v>
      </c>
      <c r="B311">
        <v>0.44419999999999998</v>
      </c>
      <c r="C311">
        <v>0.48499999999999999</v>
      </c>
      <c r="D311">
        <v>0.41</v>
      </c>
      <c r="E311">
        <v>0.43819999999999998</v>
      </c>
      <c r="F311">
        <v>12430857.970000001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-0.24800000000000003</v>
      </c>
      <c r="Q311">
        <f t="shared" si="965"/>
        <v>-3082852.7765600006</v>
      </c>
      <c r="R311">
        <f t="shared" si="966"/>
        <v>-41979648.650031537</v>
      </c>
      <c r="S311">
        <f t="shared" si="967"/>
        <v>-419.79648650031538</v>
      </c>
      <c r="T311">
        <f t="shared" si="968"/>
        <v>-0.41979648650031537</v>
      </c>
    </row>
    <row r="312" spans="1:20" x14ac:dyDescent="0.25">
      <c r="A312" s="5">
        <v>44281</v>
      </c>
      <c r="B312">
        <v>0.39460000000000001</v>
      </c>
      <c r="C312">
        <v>0.45350000000000001</v>
      </c>
      <c r="D312">
        <v>0.39</v>
      </c>
      <c r="E312">
        <v>0.44490000000000002</v>
      </c>
      <c r="F312">
        <v>10469296.74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0.72913385826771659</v>
      </c>
      <c r="Q312">
        <f t="shared" si="965"/>
        <v>7633518.7253858279</v>
      </c>
      <c r="R312">
        <f t="shared" si="966"/>
        <v>-38896795.873471536</v>
      </c>
      <c r="S312">
        <f t="shared" si="967"/>
        <v>-388.96795873471535</v>
      </c>
      <c r="T312">
        <f t="shared" si="968"/>
        <v>-0.38896795873471535</v>
      </c>
    </row>
    <row r="313" spans="1:20" x14ac:dyDescent="0.25">
      <c r="A313" s="5">
        <v>44280</v>
      </c>
      <c r="B313">
        <v>0.41320000000000001</v>
      </c>
      <c r="C313">
        <v>0.4259</v>
      </c>
      <c r="D313">
        <v>0.37030000000000002</v>
      </c>
      <c r="E313">
        <v>0.39450000000000002</v>
      </c>
      <c r="F313">
        <v>12289851.08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-0.12949640287769759</v>
      </c>
      <c r="Q313">
        <f t="shared" si="965"/>
        <v>-1591491.5067625868</v>
      </c>
      <c r="R313">
        <f t="shared" si="966"/>
        <v>-46530314.598857366</v>
      </c>
      <c r="S313">
        <f t="shared" si="967"/>
        <v>-465.30314598857365</v>
      </c>
      <c r="T313">
        <f t="shared" si="968"/>
        <v>-0.46530314598857364</v>
      </c>
    </row>
    <row r="314" spans="1:20" x14ac:dyDescent="0.25">
      <c r="A314" s="5">
        <v>44279</v>
      </c>
      <c r="B314">
        <v>0.44779999999999998</v>
      </c>
      <c r="C314">
        <v>0.4985</v>
      </c>
      <c r="D314">
        <v>0.4</v>
      </c>
      <c r="E314">
        <v>0.41349999999999998</v>
      </c>
      <c r="F314">
        <v>12314428.949999999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-0.72588832487309729</v>
      </c>
      <c r="Q314">
        <f t="shared" si="965"/>
        <v>-8938900.2022842746</v>
      </c>
      <c r="R314">
        <f t="shared" si="966"/>
        <v>-44938823.092094779</v>
      </c>
      <c r="S314">
        <f t="shared" si="967"/>
        <v>-449.38823092094776</v>
      </c>
      <c r="T314">
        <f t="shared" si="968"/>
        <v>-0.44938823092094776</v>
      </c>
    </row>
    <row r="315" spans="1:20" x14ac:dyDescent="0.25">
      <c r="A315" s="5">
        <v>44278</v>
      </c>
      <c r="B315">
        <v>0.45650000000000002</v>
      </c>
      <c r="C315">
        <v>0.4985</v>
      </c>
      <c r="D315">
        <v>0.41970000000000002</v>
      </c>
      <c r="E315">
        <v>0.44619999999999999</v>
      </c>
      <c r="F315">
        <v>18713358.77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-0.327411167512691</v>
      </c>
      <c r="Q315">
        <f t="shared" si="965"/>
        <v>-6126962.6429695552</v>
      </c>
      <c r="R315">
        <f t="shared" si="966"/>
        <v>-35999922.889810503</v>
      </c>
      <c r="S315">
        <f t="shared" si="967"/>
        <v>-359.999228898105</v>
      </c>
      <c r="T315">
        <f t="shared" si="968"/>
        <v>-0.35999922889810498</v>
      </c>
    </row>
    <row r="316" spans="1:20" x14ac:dyDescent="0.25">
      <c r="A316" s="5">
        <v>44277</v>
      </c>
      <c r="B316">
        <v>0.52510000000000001</v>
      </c>
      <c r="C316">
        <v>0.57999999999999996</v>
      </c>
      <c r="D316">
        <v>0.45400000000000001</v>
      </c>
      <c r="E316">
        <v>0.45639999999999997</v>
      </c>
      <c r="F316">
        <v>24290856.550000001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-0.9619047619047626</v>
      </c>
      <c r="Q316">
        <f t="shared" si="965"/>
        <v>-23365490.586190492</v>
      </c>
      <c r="R316">
        <f t="shared" si="966"/>
        <v>-29872960.246840946</v>
      </c>
      <c r="S316">
        <f t="shared" si="967"/>
        <v>-298.72960246840944</v>
      </c>
      <c r="T316">
        <f t="shared" si="968"/>
        <v>-0.29872960246840946</v>
      </c>
    </row>
    <row r="317" spans="1:20" x14ac:dyDescent="0.25">
      <c r="A317" s="5">
        <v>44276</v>
      </c>
      <c r="B317">
        <v>0.53779999999999994</v>
      </c>
      <c r="C317">
        <v>0.58509999999999995</v>
      </c>
      <c r="D317">
        <v>0.502</v>
      </c>
      <c r="E317">
        <v>0.52500000000000002</v>
      </c>
      <c r="F317">
        <v>12141615.92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-0.44645006016847089</v>
      </c>
      <c r="Q317">
        <f t="shared" si="965"/>
        <v>-5420625.1580264643</v>
      </c>
      <c r="R317">
        <f t="shared" si="966"/>
        <v>-6507469.6606504545</v>
      </c>
      <c r="S317">
        <f t="shared" si="967"/>
        <v>-65.074696606504546</v>
      </c>
      <c r="T317">
        <f t="shared" si="968"/>
        <v>-6.5074696606504542E-2</v>
      </c>
    </row>
    <row r="318" spans="1:20" x14ac:dyDescent="0.25">
      <c r="A318" s="5">
        <v>44275</v>
      </c>
      <c r="B318">
        <v>0.55449999999999999</v>
      </c>
      <c r="C318">
        <v>0.64</v>
      </c>
      <c r="D318">
        <v>0.53590000000000004</v>
      </c>
      <c r="E318">
        <v>0.53810000000000002</v>
      </c>
      <c r="F318">
        <v>24095318.079999998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-0.95773294908741635</v>
      </c>
      <c r="Q318">
        <f t="shared" si="965"/>
        <v>-23076880.04395774</v>
      </c>
      <c r="R318">
        <f t="shared" si="966"/>
        <v>-1086844.5026239902</v>
      </c>
      <c r="S318">
        <f t="shared" si="967"/>
        <v>-10.868445026239902</v>
      </c>
      <c r="T318">
        <f t="shared" si="968"/>
        <v>-1.0868445026239902E-2</v>
      </c>
    </row>
    <row r="319" spans="1:20" x14ac:dyDescent="0.25">
      <c r="A319" s="5">
        <v>44274</v>
      </c>
      <c r="B319">
        <v>0.51339999999999997</v>
      </c>
      <c r="C319">
        <v>0.59160000000000001</v>
      </c>
      <c r="D319">
        <v>0.505</v>
      </c>
      <c r="E319">
        <v>0.5544</v>
      </c>
      <c r="F319">
        <v>17543039.890000001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0.14087759815242479</v>
      </c>
      <c r="Q319">
        <f t="shared" si="965"/>
        <v>2471421.3239953783</v>
      </c>
      <c r="R319">
        <f t="shared" si="966"/>
        <v>21990035.54133375</v>
      </c>
      <c r="S319">
        <f t="shared" si="967"/>
        <v>219.90035541333751</v>
      </c>
      <c r="T319">
        <f t="shared" si="968"/>
        <v>0.21990035541333749</v>
      </c>
    </row>
    <row r="320" spans="1:20" x14ac:dyDescent="0.25">
      <c r="A320" s="5">
        <v>44273</v>
      </c>
      <c r="B320">
        <v>0.54730000000000001</v>
      </c>
      <c r="C320">
        <v>0.57999999999999996</v>
      </c>
      <c r="D320">
        <v>0.51060000000000005</v>
      </c>
      <c r="E320">
        <v>0.51300000000000001</v>
      </c>
      <c r="F320">
        <v>17301356.16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-0.93083573487031812</v>
      </c>
      <c r="Q320">
        <f t="shared" si="965"/>
        <v>-16104720.575446706</v>
      </c>
      <c r="R320">
        <f t="shared" si="966"/>
        <v>19518614.217338372</v>
      </c>
      <c r="S320">
        <f t="shared" si="967"/>
        <v>195.18614217338373</v>
      </c>
      <c r="T320">
        <f t="shared" si="968"/>
        <v>0.19518614217338373</v>
      </c>
    </row>
    <row r="321" spans="1:20" x14ac:dyDescent="0.25">
      <c r="A321" s="5">
        <v>44272</v>
      </c>
      <c r="B321">
        <v>0.58299999999999996</v>
      </c>
      <c r="C321">
        <v>0.58499999999999996</v>
      </c>
      <c r="D321">
        <v>0.5</v>
      </c>
      <c r="E321">
        <v>0.54769999999999996</v>
      </c>
      <c r="F321">
        <v>23272822.93</v>
      </c>
      <c r="G321">
        <v>0</v>
      </c>
      <c r="L321" t="s">
        <v>7</v>
      </c>
      <c r="M321" t="s">
        <v>8</v>
      </c>
      <c r="N321" t="s">
        <v>7</v>
      </c>
      <c r="P321">
        <f t="shared" si="964"/>
        <v>0.12235294117647022</v>
      </c>
      <c r="Q321">
        <f t="shared" si="965"/>
        <v>2847498.3349646972</v>
      </c>
      <c r="R321">
        <f t="shared" si="966"/>
        <v>35623334.792785078</v>
      </c>
      <c r="S321">
        <f t="shared" si="967"/>
        <v>356.23334792785079</v>
      </c>
      <c r="T321">
        <f t="shared" si="968"/>
        <v>0.35623334792785077</v>
      </c>
    </row>
    <row r="322" spans="1:20" x14ac:dyDescent="0.25">
      <c r="A322" s="5">
        <v>44271</v>
      </c>
      <c r="B322">
        <v>0.72589999999999999</v>
      </c>
      <c r="C322">
        <v>0.72589999999999999</v>
      </c>
      <c r="D322">
        <v>0.50409999999999999</v>
      </c>
      <c r="E322">
        <v>0.58299999999999996</v>
      </c>
      <c r="F322">
        <v>58933482.840000004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-0.28854824165915266</v>
      </c>
      <c r="Q322">
        <f t="shared" si="965"/>
        <v>-17005152.848331846</v>
      </c>
      <c r="R322">
        <f t="shared" si="966"/>
        <v>32775836.457820378</v>
      </c>
      <c r="S322">
        <f t="shared" si="967"/>
        <v>327.75836457820378</v>
      </c>
      <c r="T322">
        <f t="shared" si="968"/>
        <v>0.32775836457820379</v>
      </c>
    </row>
    <row r="323" spans="1:20" x14ac:dyDescent="0.25">
      <c r="A323" s="5">
        <v>44270</v>
      </c>
      <c r="B323">
        <v>0.73870000000000002</v>
      </c>
      <c r="C323">
        <v>0.88759999999999994</v>
      </c>
      <c r="D323">
        <v>0.5353</v>
      </c>
      <c r="E323">
        <v>0.72170000000000001</v>
      </c>
      <c r="F323">
        <v>150344314.15000001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5.8189043428896046E-2</v>
      </c>
      <c r="Q323">
        <f t="shared" si="965"/>
        <v>8748391.825361941</v>
      </c>
      <c r="R323">
        <f t="shared" si="966"/>
        <v>49780989.306152225</v>
      </c>
      <c r="S323">
        <f t="shared" si="967"/>
        <v>497.80989306152225</v>
      </c>
      <c r="T323">
        <f t="shared" si="968"/>
        <v>0.49780989306152224</v>
      </c>
    </row>
    <row r="324" spans="1:20" x14ac:dyDescent="0.25">
      <c r="A324" s="5">
        <v>44269</v>
      </c>
      <c r="B324">
        <v>0.42809999999999998</v>
      </c>
      <c r="C324">
        <v>0.76080000000000003</v>
      </c>
      <c r="D324">
        <v>0.42699999999999999</v>
      </c>
      <c r="E324">
        <v>0.73599999999999999</v>
      </c>
      <c r="F324">
        <v>53035678.43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0.85140802875973609</v>
      </c>
      <c r="Q324">
        <f t="shared" si="965"/>
        <v>45155002.426021554</v>
      </c>
      <c r="R324">
        <f t="shared" si="966"/>
        <v>41032597.48079028</v>
      </c>
      <c r="S324">
        <f t="shared" si="967"/>
        <v>410.32597480790281</v>
      </c>
      <c r="T324">
        <f t="shared" si="968"/>
        <v>0.41032597480790278</v>
      </c>
    </row>
    <row r="325" spans="1:20" x14ac:dyDescent="0.25">
      <c r="A325" s="5">
        <v>44268</v>
      </c>
      <c r="B325">
        <v>0.37869999999999998</v>
      </c>
      <c r="C325">
        <v>0.4844</v>
      </c>
      <c r="D325">
        <v>0.35189999999999999</v>
      </c>
      <c r="E325">
        <v>0.42859999999999998</v>
      </c>
      <c r="F325">
        <v>23489374.82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0.15773584905660357</v>
      </c>
      <c r="Q325">
        <f t="shared" si="965"/>
        <v>3705116.4810415045</v>
      </c>
      <c r="R325">
        <f t="shared" si="966"/>
        <v>-4122404.9452312733</v>
      </c>
      <c r="S325">
        <f t="shared" si="967"/>
        <v>-41.224049452312734</v>
      </c>
      <c r="T325">
        <f t="shared" si="968"/>
        <v>-4.1224049452312735E-2</v>
      </c>
    </row>
    <row r="326" spans="1:20" x14ac:dyDescent="0.25">
      <c r="A326" s="5">
        <v>44267</v>
      </c>
      <c r="B326">
        <v>0.37959999999999999</v>
      </c>
      <c r="C326">
        <v>0.42499999999999999</v>
      </c>
      <c r="D326">
        <v>0.3513</v>
      </c>
      <c r="E326">
        <v>0.37890000000000001</v>
      </c>
      <c r="F326">
        <v>18956098.199999999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-0.25101763907734009</v>
      </c>
      <c r="Q326">
        <f t="shared" ref="Q326:Q389" si="970">F326*P326</f>
        <v>-4758315.0162822157</v>
      </c>
      <c r="R326">
        <f t="shared" ref="R326:R389" si="971">R327+Q326</f>
        <v>-7827521.4262727778</v>
      </c>
      <c r="S326">
        <f t="shared" ref="S326:S389" si="972">R326/100000</f>
        <v>-78.275214262727772</v>
      </c>
      <c r="T326">
        <f t="shared" ref="T326:T389" si="973">S326/1000</f>
        <v>-7.8275214262727766E-2</v>
      </c>
    </row>
    <row r="327" spans="1:20" x14ac:dyDescent="0.25">
      <c r="A327" s="5">
        <v>44266</v>
      </c>
      <c r="B327">
        <v>0.34589999999999999</v>
      </c>
      <c r="C327">
        <v>0.38800000000000001</v>
      </c>
      <c r="D327">
        <v>0.3301</v>
      </c>
      <c r="E327">
        <v>0.38</v>
      </c>
      <c r="F327">
        <v>19073076.52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0.72366148531951624</v>
      </c>
      <c r="Q327">
        <f t="shared" si="970"/>
        <v>13802450.88407599</v>
      </c>
      <c r="R327">
        <f t="shared" si="971"/>
        <v>-3069206.4099905621</v>
      </c>
      <c r="S327">
        <f t="shared" si="972"/>
        <v>-30.692064099905622</v>
      </c>
      <c r="T327">
        <f t="shared" si="973"/>
        <v>-3.0692064099905624E-2</v>
      </c>
    </row>
    <row r="328" spans="1:20" x14ac:dyDescent="0.25">
      <c r="A328" s="5">
        <v>44265</v>
      </c>
      <c r="B328">
        <v>0.40179999999999999</v>
      </c>
      <c r="C328">
        <v>0.40949999999999998</v>
      </c>
      <c r="D328">
        <v>0.34489999999999998</v>
      </c>
      <c r="E328">
        <v>0.34660000000000002</v>
      </c>
      <c r="F328">
        <v>17158586.800000001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-0.94736842105263053</v>
      </c>
      <c r="Q328">
        <f t="shared" si="970"/>
        <v>-16255503.284210509</v>
      </c>
      <c r="R328">
        <f t="shared" si="971"/>
        <v>-16871657.294066552</v>
      </c>
      <c r="S328">
        <f t="shared" si="972"/>
        <v>-168.71657294066551</v>
      </c>
      <c r="T328">
        <f t="shared" si="973"/>
        <v>-0.16871657294066553</v>
      </c>
    </row>
    <row r="329" spans="1:20" x14ac:dyDescent="0.25">
      <c r="A329" s="5">
        <v>44264</v>
      </c>
      <c r="B329">
        <v>0.43430000000000002</v>
      </c>
      <c r="C329">
        <v>0.44</v>
      </c>
      <c r="D329">
        <v>0.36530000000000001</v>
      </c>
      <c r="E329">
        <v>0.40150000000000002</v>
      </c>
      <c r="F329">
        <v>52995705.289999999</v>
      </c>
      <c r="G329">
        <v>0</v>
      </c>
      <c r="L329" t="s">
        <v>7</v>
      </c>
      <c r="M329" t="s">
        <v>7</v>
      </c>
      <c r="N329" t="s">
        <v>7</v>
      </c>
      <c r="P329">
        <f t="shared" si="969"/>
        <v>-3.0789825970548447E-2</v>
      </c>
      <c r="Q329">
        <f t="shared" si="970"/>
        <v>-1631728.5430655738</v>
      </c>
      <c r="R329">
        <f t="shared" si="971"/>
        <v>-616154.0098560428</v>
      </c>
      <c r="S329">
        <f t="shared" si="972"/>
        <v>-6.1615400985604278</v>
      </c>
      <c r="T329">
        <f t="shared" si="973"/>
        <v>-6.1615400985604281E-3</v>
      </c>
    </row>
    <row r="330" spans="1:20" x14ac:dyDescent="0.25">
      <c r="A330" s="5">
        <v>44263</v>
      </c>
      <c r="B330">
        <v>0.28179999999999999</v>
      </c>
      <c r="C330">
        <v>0.58340000000000003</v>
      </c>
      <c r="D330">
        <v>0.28179999999999999</v>
      </c>
      <c r="E330">
        <v>0.4335</v>
      </c>
      <c r="F330">
        <v>170165155.12</v>
      </c>
      <c r="G330">
        <v>0</v>
      </c>
      <c r="P330">
        <f t="shared" si="969"/>
        <v>5.9681697612731033E-3</v>
      </c>
      <c r="Q330">
        <f t="shared" si="970"/>
        <v>1015574.533209531</v>
      </c>
      <c r="R330">
        <f t="shared" si="971"/>
        <v>1015574.533209531</v>
      </c>
      <c r="S330">
        <f t="shared" si="972"/>
        <v>10.155745332095309</v>
      </c>
      <c r="T330">
        <f t="shared" si="973"/>
        <v>1.0155745332095309E-2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Q706" sqref="FQ70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$A$705</v>
      </c>
      <c r="D111" s="1" t="str">
        <f>ADDRESS(C121-1,D121,1,1)</f>
        <v>$FQ$705</v>
      </c>
      <c r="E111"/>
    </row>
    <row r="112" spans="1:5" x14ac:dyDescent="0.25">
      <c r="A112" s="7">
        <v>12164.144957890772</v>
      </c>
      <c r="C112" s="1" t="str">
        <f>ADDRESS(C121,1,1,1)</f>
        <v>$A$706</v>
      </c>
      <c r="D112" s="1" t="str">
        <f>ADDRESS(C121,D121-1,1,1)</f>
        <v>$FP$706</v>
      </c>
      <c r="E112"/>
    </row>
    <row r="113" spans="1:5" x14ac:dyDescent="0.25">
      <c r="A113" s="7">
        <v>11925.63231165762</v>
      </c>
      <c r="C113" s="1" t="str">
        <f>ADDRESS(C121+1,1,1,1)</f>
        <v>$A$707</v>
      </c>
      <c r="D113" s="1" t="str">
        <f>ADDRESS(C121-1,D121+1,1,1)</f>
        <v>$FR$705</v>
      </c>
    </row>
    <row r="114" spans="1:5" x14ac:dyDescent="0.25">
      <c r="A114" s="7">
        <v>11691.796383978059</v>
      </c>
      <c r="C114" s="1" t="str">
        <f>ADDRESS(C121,D121,1,1)</f>
        <v>$FQ$706</v>
      </c>
      <c r="D114" s="1" t="str">
        <f>ADDRESS(C121+1,D121+1,1,1)</f>
        <v>$FR$707</v>
      </c>
    </row>
    <row r="115" spans="1:5" x14ac:dyDescent="0.25">
      <c r="A115" s="7">
        <v>11462.545474488292</v>
      </c>
      <c r="C115" s="1" t="str">
        <f>ADDRESS(C121+1,D121,1,1)</f>
        <v>$FQ$707</v>
      </c>
    </row>
    <row r="116" spans="1:5" x14ac:dyDescent="0.25">
      <c r="A116" s="7">
        <v>11237.789680870874</v>
      </c>
      <c r="C116" s="1">
        <f>C117-1</f>
        <v>705</v>
      </c>
    </row>
    <row r="117" spans="1:5" x14ac:dyDescent="0.25">
      <c r="A117" s="7">
        <v>11017.440863598895</v>
      </c>
      <c r="C117" s="1">
        <f>C121</f>
        <v>706</v>
      </c>
      <c r="D117" s="1">
        <f>D121</f>
        <v>173</v>
      </c>
    </row>
    <row r="118" spans="1:5" x14ac:dyDescent="0.25">
      <c r="A118" s="7">
        <v>10801.412611371465</v>
      </c>
      <c r="C118" s="1">
        <f>C117+1</f>
        <v>707</v>
      </c>
      <c r="D118" s="1">
        <f>D117+1</f>
        <v>174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706</v>
      </c>
      <c r="D121" s="19">
        <v>173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R706</v>
      </c>
      <c r="D123" s="1" t="str">
        <f>"C"&amp;D121</f>
        <v>C173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9.4750074546886304E-2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8" x14ac:dyDescent="0.25">
      <c r="A593" s="7">
        <v>0.8879713821861922</v>
      </c>
      <c r="B593"/>
      <c r="C593"/>
      <c r="D593"/>
      <c r="E593"/>
      <c r="F593" s="27" t="s">
        <v>7</v>
      </c>
    </row>
    <row r="594" spans="1:8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</row>
    <row r="595" spans="1:8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</row>
    <row r="596" spans="1:8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</row>
    <row r="597" spans="1:8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</row>
    <row r="598" spans="1:8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</row>
    <row r="599" spans="1:8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</row>
    <row r="600" spans="1:8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</row>
    <row r="601" spans="1:8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</row>
    <row r="602" spans="1:8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</row>
    <row r="603" spans="1:8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</row>
    <row r="604" spans="1:8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</row>
    <row r="605" spans="1:8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</row>
    <row r="606" spans="1:8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</row>
    <row r="607" spans="1:8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</row>
    <row r="608" spans="1:8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</row>
    <row r="609" spans="1:18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</row>
    <row r="610" spans="1:18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I610" s="27" t="s">
        <v>8</v>
      </c>
    </row>
    <row r="611" spans="1:18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I611" s="27" t="s">
        <v>8</v>
      </c>
      <c r="J611" s="27" t="s">
        <v>7</v>
      </c>
    </row>
    <row r="612" spans="1:18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I612" s="27" t="s">
        <v>8</v>
      </c>
      <c r="J612" s="27" t="s">
        <v>7</v>
      </c>
    </row>
    <row r="613" spans="1:18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I613" s="27" t="s">
        <v>8</v>
      </c>
      <c r="J613" s="27" t="s">
        <v>7</v>
      </c>
    </row>
    <row r="614" spans="1:18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I614" s="27" t="s">
        <v>8</v>
      </c>
      <c r="J614" s="27" t="s">
        <v>7</v>
      </c>
    </row>
    <row r="615" spans="1:18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I615" s="27" t="s">
        <v>8</v>
      </c>
      <c r="J615" s="27" t="s">
        <v>7</v>
      </c>
    </row>
    <row r="616" spans="1:18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I616" s="27" t="s">
        <v>8</v>
      </c>
      <c r="J616" s="27" t="s">
        <v>7</v>
      </c>
    </row>
    <row r="617" spans="1:18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I617" s="27" t="s">
        <v>8</v>
      </c>
      <c r="J617" s="27" t="s">
        <v>7</v>
      </c>
      <c r="K617" s="27" t="s">
        <v>8</v>
      </c>
      <c r="Q617" s="27" t="s">
        <v>8</v>
      </c>
    </row>
    <row r="618" spans="1:18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I618" s="27" t="s">
        <v>8</v>
      </c>
      <c r="J618" s="27" t="s">
        <v>7</v>
      </c>
      <c r="K618" s="27" t="s">
        <v>8</v>
      </c>
      <c r="L618" s="27" t="s">
        <v>7</v>
      </c>
      <c r="M618" s="27" t="s">
        <v>8</v>
      </c>
      <c r="Q618" s="27" t="s">
        <v>8</v>
      </c>
      <c r="R618" s="27" t="s">
        <v>7</v>
      </c>
    </row>
    <row r="619" spans="1:18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I619" s="27" t="s">
        <v>8</v>
      </c>
      <c r="J619" s="27" t="s">
        <v>7</v>
      </c>
      <c r="K619" s="27" t="s">
        <v>8</v>
      </c>
      <c r="L619" s="27" t="s">
        <v>7</v>
      </c>
      <c r="M619" s="27" t="s">
        <v>8</v>
      </c>
      <c r="N619" s="27" t="s">
        <v>7</v>
      </c>
      <c r="Q619" s="27" t="s">
        <v>8</v>
      </c>
      <c r="R619" s="27" t="s">
        <v>7</v>
      </c>
    </row>
    <row r="620" spans="1:18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I620" s="27" t="s">
        <v>8</v>
      </c>
      <c r="J620" s="27" t="s">
        <v>7</v>
      </c>
      <c r="K620" s="27" t="s">
        <v>8</v>
      </c>
      <c r="L620" s="27" t="s">
        <v>7</v>
      </c>
      <c r="M620" s="27" t="s">
        <v>8</v>
      </c>
      <c r="N620" s="27" t="s">
        <v>7</v>
      </c>
      <c r="Q620" s="27" t="s">
        <v>8</v>
      </c>
      <c r="R620" s="27" t="s">
        <v>7</v>
      </c>
    </row>
    <row r="621" spans="1:18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I621" s="27" t="s">
        <v>8</v>
      </c>
      <c r="J621" s="27" t="s">
        <v>7</v>
      </c>
      <c r="K621" s="27" t="s">
        <v>8</v>
      </c>
      <c r="L621" s="27" t="s">
        <v>7</v>
      </c>
      <c r="M621" s="27" t="s">
        <v>8</v>
      </c>
      <c r="N621" s="27" t="s">
        <v>7</v>
      </c>
      <c r="Q621" s="27" t="s">
        <v>8</v>
      </c>
      <c r="R621" s="27" t="s">
        <v>7</v>
      </c>
    </row>
    <row r="622" spans="1:18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J622" s="27" t="s">
        <v>7</v>
      </c>
      <c r="K622" s="27" t="s">
        <v>8</v>
      </c>
      <c r="L622" s="27" t="s">
        <v>7</v>
      </c>
      <c r="M622" s="27" t="s">
        <v>8</v>
      </c>
      <c r="N622" s="27" t="s">
        <v>7</v>
      </c>
      <c r="Q622" s="27" t="s">
        <v>8</v>
      </c>
      <c r="R622" s="27" t="s">
        <v>7</v>
      </c>
    </row>
    <row r="623" spans="1:18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J623" s="27" t="s">
        <v>7</v>
      </c>
      <c r="K623" s="27" t="s">
        <v>8</v>
      </c>
      <c r="L623" s="27" t="s">
        <v>7</v>
      </c>
      <c r="M623" s="27" t="s">
        <v>8</v>
      </c>
      <c r="N623" s="27" t="s">
        <v>7</v>
      </c>
      <c r="Q623" s="27" t="s">
        <v>8</v>
      </c>
      <c r="R623" s="27" t="s">
        <v>7</v>
      </c>
    </row>
    <row r="624" spans="1:18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J624" s="27" t="s">
        <v>7</v>
      </c>
      <c r="K624" s="27" t="s">
        <v>8</v>
      </c>
      <c r="L624" s="27" t="s">
        <v>7</v>
      </c>
      <c r="N624" s="27" t="s">
        <v>7</v>
      </c>
      <c r="O624" s="27" t="s">
        <v>8</v>
      </c>
      <c r="Q624" s="27" t="s">
        <v>8</v>
      </c>
      <c r="R624" s="27" t="s">
        <v>7</v>
      </c>
    </row>
    <row r="625" spans="1:116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J625" s="27" t="s">
        <v>7</v>
      </c>
      <c r="K625" s="27" t="s">
        <v>8</v>
      </c>
      <c r="N625" s="27" t="s">
        <v>7</v>
      </c>
      <c r="O625" s="27" t="s">
        <v>8</v>
      </c>
      <c r="P625" s="27" t="s">
        <v>7</v>
      </c>
      <c r="Q625" s="27" t="s">
        <v>8</v>
      </c>
      <c r="R625" s="27" t="s">
        <v>7</v>
      </c>
    </row>
    <row r="626" spans="1:116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J626" s="27" t="s">
        <v>7</v>
      </c>
      <c r="K626" s="27" t="s">
        <v>8</v>
      </c>
      <c r="N626" s="27" t="s">
        <v>7</v>
      </c>
      <c r="O626" s="27" t="s">
        <v>8</v>
      </c>
      <c r="P626" s="27" t="s">
        <v>7</v>
      </c>
      <c r="Q626" s="27" t="s">
        <v>8</v>
      </c>
      <c r="R626" s="27" t="s">
        <v>7</v>
      </c>
    </row>
    <row r="627" spans="1:116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J627" s="27" t="s">
        <v>7</v>
      </c>
      <c r="K627" s="27" t="s">
        <v>8</v>
      </c>
      <c r="N627" s="27" t="s">
        <v>7</v>
      </c>
      <c r="O627" s="27" t="s">
        <v>8</v>
      </c>
      <c r="P627" s="27" t="s">
        <v>7</v>
      </c>
      <c r="Q627" s="27" t="s">
        <v>8</v>
      </c>
      <c r="R627" s="27" t="s">
        <v>7</v>
      </c>
      <c r="S627" s="27" t="s">
        <v>8</v>
      </c>
      <c r="U627" s="27" t="s">
        <v>8</v>
      </c>
    </row>
    <row r="628" spans="1:116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J628" s="27" t="s">
        <v>7</v>
      </c>
      <c r="K628" s="27" t="s">
        <v>8</v>
      </c>
      <c r="N628" s="27" t="s">
        <v>7</v>
      </c>
      <c r="P628" s="27" t="s">
        <v>7</v>
      </c>
      <c r="Q628" s="27" t="s">
        <v>8</v>
      </c>
      <c r="R628" s="27" t="s">
        <v>7</v>
      </c>
      <c r="S628" s="27" t="s">
        <v>8</v>
      </c>
      <c r="T628" s="27" t="s">
        <v>7</v>
      </c>
      <c r="U628" s="27" t="s">
        <v>8</v>
      </c>
      <c r="V628" s="27" t="s">
        <v>7</v>
      </c>
      <c r="AO628" s="27" t="s">
        <v>8</v>
      </c>
      <c r="DK628" s="27" t="s">
        <v>8</v>
      </c>
    </row>
    <row r="629" spans="1:116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J629" s="27" t="s">
        <v>7</v>
      </c>
      <c r="K629" s="27" t="s">
        <v>8</v>
      </c>
      <c r="P629" s="27" t="s">
        <v>7</v>
      </c>
      <c r="Q629" s="27" t="s">
        <v>8</v>
      </c>
      <c r="R629" s="27" t="s">
        <v>7</v>
      </c>
      <c r="S629" s="27" t="s">
        <v>8</v>
      </c>
      <c r="T629" s="27" t="s">
        <v>7</v>
      </c>
      <c r="U629" s="27" t="s">
        <v>8</v>
      </c>
      <c r="V629" s="27" t="s">
        <v>7</v>
      </c>
      <c r="AG629" s="27" t="s">
        <v>8</v>
      </c>
      <c r="AO629" s="27" t="s">
        <v>8</v>
      </c>
      <c r="AP629" s="27" t="s">
        <v>7</v>
      </c>
      <c r="DK629" s="27" t="s">
        <v>8</v>
      </c>
      <c r="DL629" s="27" t="s">
        <v>7</v>
      </c>
    </row>
    <row r="630" spans="1:116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J630" s="27" t="s">
        <v>7</v>
      </c>
      <c r="K630" s="27" t="s">
        <v>8</v>
      </c>
      <c r="P630" s="27" t="s">
        <v>7</v>
      </c>
      <c r="Q630" s="27" t="s">
        <v>8</v>
      </c>
      <c r="R630" s="27" t="s">
        <v>7</v>
      </c>
      <c r="S630" s="27" t="s">
        <v>8</v>
      </c>
      <c r="T630" s="27" t="s">
        <v>7</v>
      </c>
      <c r="U630" s="27" t="s">
        <v>8</v>
      </c>
      <c r="V630" s="27" t="s">
        <v>7</v>
      </c>
      <c r="AG630" s="27" t="s">
        <v>8</v>
      </c>
      <c r="AH630" s="27" t="s">
        <v>7</v>
      </c>
      <c r="AO630" s="27" t="s">
        <v>8</v>
      </c>
      <c r="AP630" s="27" t="s">
        <v>7</v>
      </c>
      <c r="DK630" s="27" t="s">
        <v>8</v>
      </c>
      <c r="DL630" s="27" t="s">
        <v>7</v>
      </c>
    </row>
    <row r="631" spans="1:116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J631" s="27" t="s">
        <v>7</v>
      </c>
      <c r="K631" s="27" t="s">
        <v>8</v>
      </c>
      <c r="P631" s="27" t="s">
        <v>7</v>
      </c>
      <c r="Q631" s="27" t="s">
        <v>8</v>
      </c>
      <c r="R631" s="27" t="s">
        <v>7</v>
      </c>
      <c r="T631" s="27" t="s">
        <v>7</v>
      </c>
      <c r="U631" s="27" t="s">
        <v>8</v>
      </c>
      <c r="V631" s="27" t="s">
        <v>7</v>
      </c>
      <c r="AE631" s="27" t="s">
        <v>8</v>
      </c>
      <c r="AG631" s="27" t="s">
        <v>8</v>
      </c>
      <c r="AH631" s="27" t="s">
        <v>7</v>
      </c>
      <c r="AO631" s="27" t="s">
        <v>8</v>
      </c>
      <c r="AP631" s="27" t="s">
        <v>7</v>
      </c>
      <c r="DK631" s="27" t="s">
        <v>8</v>
      </c>
      <c r="DL631" s="27" t="s">
        <v>7</v>
      </c>
    </row>
    <row r="632" spans="1:116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J632" s="27" t="s">
        <v>7</v>
      </c>
      <c r="K632" s="27" t="s">
        <v>8</v>
      </c>
      <c r="P632" s="27" t="s">
        <v>7</v>
      </c>
      <c r="Q632" s="27" t="s">
        <v>8</v>
      </c>
      <c r="T632" s="27" t="s">
        <v>7</v>
      </c>
      <c r="V632" s="27" t="s">
        <v>7</v>
      </c>
      <c r="AE632" s="27" t="s">
        <v>8</v>
      </c>
      <c r="AF632" s="27" t="s">
        <v>7</v>
      </c>
      <c r="AG632" s="27" t="s">
        <v>8</v>
      </c>
      <c r="AH632" s="27" t="s">
        <v>7</v>
      </c>
      <c r="AO632" s="27" t="s">
        <v>8</v>
      </c>
      <c r="AP632" s="27" t="s">
        <v>7</v>
      </c>
      <c r="DK632" s="27" t="s">
        <v>8</v>
      </c>
      <c r="DL632" s="27" t="s">
        <v>7</v>
      </c>
    </row>
    <row r="633" spans="1:116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J633" s="27" t="s">
        <v>7</v>
      </c>
      <c r="K633" s="27" t="s">
        <v>8</v>
      </c>
      <c r="P633" s="27" t="s">
        <v>7</v>
      </c>
      <c r="Q633" s="27" t="s">
        <v>8</v>
      </c>
      <c r="V633" s="27" t="s">
        <v>7</v>
      </c>
      <c r="AE633" s="27" t="s">
        <v>8</v>
      </c>
      <c r="AF633" s="27" t="s">
        <v>7</v>
      </c>
      <c r="AG633" s="27" t="s">
        <v>8</v>
      </c>
      <c r="AH633" s="27" t="s">
        <v>7</v>
      </c>
      <c r="AO633" s="27" t="s">
        <v>8</v>
      </c>
      <c r="AP633" s="27" t="s">
        <v>7</v>
      </c>
      <c r="DK633" s="27" t="s">
        <v>8</v>
      </c>
      <c r="DL633" s="27" t="s">
        <v>7</v>
      </c>
    </row>
    <row r="634" spans="1:116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J634" s="27" t="s">
        <v>7</v>
      </c>
      <c r="K634" s="27" t="s">
        <v>8</v>
      </c>
      <c r="P634" s="27" t="s">
        <v>7</v>
      </c>
      <c r="V634" s="27" t="s">
        <v>7</v>
      </c>
      <c r="AE634" s="27" t="s">
        <v>8</v>
      </c>
      <c r="AF634" s="27" t="s">
        <v>7</v>
      </c>
      <c r="AG634" s="27" t="s">
        <v>8</v>
      </c>
      <c r="AH634" s="27" t="s">
        <v>7</v>
      </c>
      <c r="AO634" s="27" t="s">
        <v>8</v>
      </c>
      <c r="AP634" s="27" t="s">
        <v>7</v>
      </c>
      <c r="DK634" s="27" t="s">
        <v>8</v>
      </c>
      <c r="DL634" s="27" t="s">
        <v>7</v>
      </c>
    </row>
    <row r="635" spans="1:116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J635" s="27" t="s">
        <v>7</v>
      </c>
      <c r="K635" s="27" t="s">
        <v>8</v>
      </c>
      <c r="V635" s="27" t="s">
        <v>7</v>
      </c>
      <c r="W635" s="27" t="s">
        <v>8</v>
      </c>
      <c r="AE635" s="27" t="s">
        <v>8</v>
      </c>
      <c r="AF635" s="27" t="s">
        <v>7</v>
      </c>
      <c r="AG635" s="27" t="s">
        <v>8</v>
      </c>
      <c r="AH635" s="27" t="s">
        <v>7</v>
      </c>
      <c r="AI635" s="27" t="s">
        <v>8</v>
      </c>
      <c r="AO635" s="27" t="s">
        <v>8</v>
      </c>
      <c r="AP635" s="27" t="s">
        <v>7</v>
      </c>
      <c r="DK635" s="27" t="s">
        <v>8</v>
      </c>
      <c r="DL635" s="27" t="s">
        <v>7</v>
      </c>
    </row>
    <row r="636" spans="1:116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J636" s="27" t="s">
        <v>7</v>
      </c>
      <c r="K636" s="27" t="s">
        <v>8</v>
      </c>
      <c r="V636" s="27" t="s">
        <v>7</v>
      </c>
      <c r="W636" s="27" t="s">
        <v>8</v>
      </c>
      <c r="X636" s="27" t="s">
        <v>7</v>
      </c>
      <c r="AE636" s="27" t="s">
        <v>8</v>
      </c>
      <c r="AF636" s="27" t="s">
        <v>7</v>
      </c>
      <c r="AG636" s="27" t="s">
        <v>8</v>
      </c>
      <c r="AH636" s="27" t="s">
        <v>7</v>
      </c>
      <c r="AI636" s="27" t="s">
        <v>8</v>
      </c>
      <c r="AJ636" s="27" t="s">
        <v>7</v>
      </c>
      <c r="AO636" s="27" t="s">
        <v>8</v>
      </c>
      <c r="AP636" s="27" t="s">
        <v>7</v>
      </c>
      <c r="DK636" s="27" t="s">
        <v>8</v>
      </c>
      <c r="DL636" s="27" t="s">
        <v>7</v>
      </c>
    </row>
    <row r="637" spans="1:116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J637" s="27" t="s">
        <v>7</v>
      </c>
      <c r="V637" s="27" t="s">
        <v>7</v>
      </c>
      <c r="W637" s="27" t="s">
        <v>8</v>
      </c>
      <c r="X637" s="27" t="s">
        <v>7</v>
      </c>
      <c r="AE637" s="27" t="s">
        <v>8</v>
      </c>
      <c r="AF637" s="27" t="s">
        <v>7</v>
      </c>
      <c r="AG637" s="27" t="s">
        <v>8</v>
      </c>
      <c r="AH637" s="27" t="s">
        <v>7</v>
      </c>
      <c r="AI637" s="27" t="s">
        <v>8</v>
      </c>
      <c r="AJ637" s="27" t="s">
        <v>7</v>
      </c>
      <c r="AK637" s="27" t="s">
        <v>8</v>
      </c>
      <c r="AO637" s="27" t="s">
        <v>8</v>
      </c>
      <c r="AP637" s="27" t="s">
        <v>7</v>
      </c>
      <c r="DK637" s="27" t="s">
        <v>8</v>
      </c>
      <c r="DL637" s="27" t="s">
        <v>7</v>
      </c>
    </row>
    <row r="638" spans="1:116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V638" s="27" t="s">
        <v>7</v>
      </c>
      <c r="W638" s="27" t="s">
        <v>8</v>
      </c>
      <c r="X638" s="27" t="s">
        <v>7</v>
      </c>
      <c r="AE638" s="27" t="s">
        <v>8</v>
      </c>
      <c r="AF638" s="27" t="s">
        <v>7</v>
      </c>
      <c r="AH638" s="27" t="s">
        <v>7</v>
      </c>
      <c r="AI638" s="27" t="s">
        <v>8</v>
      </c>
      <c r="AJ638" s="27" t="s">
        <v>7</v>
      </c>
      <c r="AK638" s="27" t="s">
        <v>8</v>
      </c>
      <c r="AL638" s="27" t="s">
        <v>7</v>
      </c>
      <c r="AO638" s="27" t="s">
        <v>8</v>
      </c>
      <c r="AP638" s="27" t="s">
        <v>7</v>
      </c>
      <c r="DK638" s="27" t="s">
        <v>8</v>
      </c>
      <c r="DL638" s="27" t="s">
        <v>7</v>
      </c>
    </row>
    <row r="639" spans="1:116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V639" s="27" t="s">
        <v>7</v>
      </c>
      <c r="W639" s="27" t="s">
        <v>8</v>
      </c>
      <c r="X639" s="27" t="s">
        <v>7</v>
      </c>
      <c r="AC639" s="27" t="s">
        <v>8</v>
      </c>
      <c r="AE639" s="27" t="s">
        <v>8</v>
      </c>
      <c r="AH639" s="27" t="s">
        <v>7</v>
      </c>
      <c r="AI639" s="27" t="s">
        <v>8</v>
      </c>
      <c r="AJ639" s="27" t="s">
        <v>7</v>
      </c>
      <c r="AK639" s="27" t="s">
        <v>8</v>
      </c>
      <c r="AL639" s="27" t="s">
        <v>7</v>
      </c>
      <c r="AO639" s="27" t="s">
        <v>8</v>
      </c>
      <c r="AP639" s="27" t="s">
        <v>7</v>
      </c>
      <c r="DK639" s="27" t="s">
        <v>8</v>
      </c>
      <c r="DL639" s="27" t="s">
        <v>7</v>
      </c>
    </row>
    <row r="640" spans="1:116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V640" s="27" t="s">
        <v>7</v>
      </c>
      <c r="W640" s="27" t="s">
        <v>8</v>
      </c>
      <c r="X640" s="27" t="s">
        <v>7</v>
      </c>
      <c r="AC640" s="27" t="s">
        <v>8</v>
      </c>
      <c r="AD640" s="27" t="s">
        <v>7</v>
      </c>
      <c r="AE640" s="27" t="s">
        <v>8</v>
      </c>
      <c r="AH640" s="27" t="s">
        <v>7</v>
      </c>
      <c r="AI640" s="27" t="s">
        <v>8</v>
      </c>
      <c r="AJ640" s="27" t="s">
        <v>7</v>
      </c>
      <c r="AK640" s="27" t="s">
        <v>8</v>
      </c>
      <c r="AL640" s="27" t="s">
        <v>7</v>
      </c>
      <c r="AO640" s="27" t="s">
        <v>8</v>
      </c>
      <c r="AP640" s="27" t="s">
        <v>7</v>
      </c>
      <c r="DK640" s="27" t="s">
        <v>8</v>
      </c>
      <c r="DL640" s="27" t="s">
        <v>7</v>
      </c>
    </row>
    <row r="641" spans="1:150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V641" s="27" t="s">
        <v>7</v>
      </c>
      <c r="W641" s="27" t="s">
        <v>8</v>
      </c>
      <c r="X641" s="27" t="s">
        <v>7</v>
      </c>
      <c r="Y641" s="27" t="s">
        <v>8</v>
      </c>
      <c r="AC641" s="27" t="s">
        <v>8</v>
      </c>
      <c r="AD641" s="27" t="s">
        <v>7</v>
      </c>
      <c r="AE641" s="27" t="s">
        <v>8</v>
      </c>
      <c r="AH641" s="27" t="s">
        <v>7</v>
      </c>
      <c r="AJ641" s="27" t="s">
        <v>7</v>
      </c>
      <c r="AK641" s="27" t="s">
        <v>8</v>
      </c>
      <c r="AL641" s="27" t="s">
        <v>7</v>
      </c>
      <c r="AO641" s="27" t="s">
        <v>8</v>
      </c>
      <c r="AP641" s="27" t="s">
        <v>7</v>
      </c>
      <c r="DK641" s="27" t="s">
        <v>8</v>
      </c>
      <c r="DL641" s="27" t="s">
        <v>7</v>
      </c>
    </row>
    <row r="642" spans="1:150" x14ac:dyDescent="0.25">
      <c r="A642" s="7">
        <v>0.33650424955324681</v>
      </c>
      <c r="B642"/>
      <c r="C642"/>
      <c r="D642"/>
      <c r="E642"/>
      <c r="F642" s="27" t="s">
        <v>7</v>
      </c>
      <c r="V642" s="27" t="s">
        <v>7</v>
      </c>
      <c r="W642" s="27" t="s">
        <v>8</v>
      </c>
      <c r="X642" s="27" t="s">
        <v>7</v>
      </c>
      <c r="Y642" s="27" t="s">
        <v>8</v>
      </c>
      <c r="Z642" s="27" t="s">
        <v>7</v>
      </c>
      <c r="AC642" s="27" t="s">
        <v>8</v>
      </c>
      <c r="AD642" s="27" t="s">
        <v>7</v>
      </c>
      <c r="AE642" s="27" t="s">
        <v>8</v>
      </c>
      <c r="AJ642" s="27" t="s">
        <v>7</v>
      </c>
      <c r="AL642" s="27" t="s">
        <v>7</v>
      </c>
      <c r="AO642" s="27" t="s">
        <v>8</v>
      </c>
      <c r="AP642" s="27" t="s">
        <v>7</v>
      </c>
      <c r="DC642" s="27" t="s">
        <v>8</v>
      </c>
      <c r="DK642" s="27" t="s">
        <v>8</v>
      </c>
      <c r="DL642" s="27" t="s">
        <v>7</v>
      </c>
    </row>
    <row r="643" spans="1:150" x14ac:dyDescent="0.25">
      <c r="A643" s="7">
        <v>0.3299061270129871</v>
      </c>
      <c r="B643"/>
      <c r="C643"/>
      <c r="D643"/>
      <c r="E643"/>
      <c r="V643" s="27" t="s">
        <v>7</v>
      </c>
      <c r="X643" s="27" t="s">
        <v>7</v>
      </c>
      <c r="Y643" s="27" t="s">
        <v>8</v>
      </c>
      <c r="Z643" s="27" t="s">
        <v>7</v>
      </c>
      <c r="AC643" s="27" t="s">
        <v>8</v>
      </c>
      <c r="AD643" s="27" t="s">
        <v>7</v>
      </c>
      <c r="AE643" s="27" t="s">
        <v>8</v>
      </c>
      <c r="AL643" s="27" t="s">
        <v>7</v>
      </c>
      <c r="AO643" s="27" t="s">
        <v>8</v>
      </c>
      <c r="AP643" s="27" t="s">
        <v>7</v>
      </c>
      <c r="DC643" s="27" t="s">
        <v>8</v>
      </c>
      <c r="DD643" s="27" t="s">
        <v>7</v>
      </c>
      <c r="DK643" s="27" t="s">
        <v>8</v>
      </c>
      <c r="DL643" s="27" t="s">
        <v>7</v>
      </c>
    </row>
    <row r="644" spans="1:150" x14ac:dyDescent="0.25">
      <c r="A644" s="7">
        <v>0.32343737942449713</v>
      </c>
      <c r="B644"/>
      <c r="C644"/>
      <c r="D644"/>
      <c r="E644"/>
      <c r="X644" s="27" t="s">
        <v>7</v>
      </c>
      <c r="Y644" s="27" t="s">
        <v>8</v>
      </c>
      <c r="Z644" s="27" t="s">
        <v>7</v>
      </c>
      <c r="AC644" s="27" t="s">
        <v>8</v>
      </c>
      <c r="AD644" s="27" t="s">
        <v>7</v>
      </c>
      <c r="AE644" s="27" t="s">
        <v>8</v>
      </c>
      <c r="AL644" s="27" t="s">
        <v>7</v>
      </c>
      <c r="AO644" s="27" t="s">
        <v>8</v>
      </c>
      <c r="AP644" s="27" t="s">
        <v>7</v>
      </c>
      <c r="DC644" s="27" t="s">
        <v>8</v>
      </c>
      <c r="DD644" s="27" t="s">
        <v>7</v>
      </c>
      <c r="DK644" s="27" t="s">
        <v>8</v>
      </c>
      <c r="DL644" s="27" t="s">
        <v>7</v>
      </c>
    </row>
    <row r="645" spans="1:150" x14ac:dyDescent="0.25">
      <c r="A645" s="7">
        <v>0.31709547002401678</v>
      </c>
      <c r="B645"/>
      <c r="C645"/>
      <c r="D645"/>
      <c r="E645"/>
      <c r="X645" s="27" t="s">
        <v>7</v>
      </c>
      <c r="Y645" s="27" t="s">
        <v>8</v>
      </c>
      <c r="Z645" s="27" t="s">
        <v>7</v>
      </c>
      <c r="AC645" s="27" t="s">
        <v>8</v>
      </c>
      <c r="AD645" s="27" t="s">
        <v>7</v>
      </c>
      <c r="AE645" s="27" t="s">
        <v>8</v>
      </c>
      <c r="AL645" s="27" t="s">
        <v>7</v>
      </c>
      <c r="AM645" s="27" t="s">
        <v>8</v>
      </c>
      <c r="AO645" s="27" t="s">
        <v>8</v>
      </c>
      <c r="AP645" s="27" t="s">
        <v>7</v>
      </c>
      <c r="DC645" s="27" t="s">
        <v>8</v>
      </c>
      <c r="DD645" s="27" t="s">
        <v>7</v>
      </c>
      <c r="DK645" s="27" t="s">
        <v>8</v>
      </c>
      <c r="DL645" s="27" t="s">
        <v>7</v>
      </c>
      <c r="ES645" s="27" t="s">
        <v>8</v>
      </c>
    </row>
    <row r="646" spans="1:150" x14ac:dyDescent="0.25">
      <c r="A646" s="7">
        <v>0.31087791178825175</v>
      </c>
      <c r="B646"/>
      <c r="C646"/>
      <c r="D646"/>
      <c r="E646"/>
      <c r="X646" s="27" t="s">
        <v>7</v>
      </c>
      <c r="Y646" s="27" t="s">
        <v>8</v>
      </c>
      <c r="Z646" s="27" t="s">
        <v>7</v>
      </c>
      <c r="AC646" s="27" t="s">
        <v>8</v>
      </c>
      <c r="AD646" s="27" t="s">
        <v>7</v>
      </c>
      <c r="AE646" s="27" t="s">
        <v>8</v>
      </c>
      <c r="AL646" s="27" t="s">
        <v>7</v>
      </c>
      <c r="AM646" s="27" t="s">
        <v>8</v>
      </c>
      <c r="AN646" s="27" t="s">
        <v>7</v>
      </c>
      <c r="AO646" s="27" t="s">
        <v>8</v>
      </c>
      <c r="AP646" s="27" t="s">
        <v>7</v>
      </c>
      <c r="DC646" s="27" t="s">
        <v>8</v>
      </c>
      <c r="DD646" s="27" t="s">
        <v>7</v>
      </c>
      <c r="DK646" s="27" t="s">
        <v>8</v>
      </c>
      <c r="DL646" s="27" t="s">
        <v>7</v>
      </c>
      <c r="ES646" s="27" t="s">
        <v>8</v>
      </c>
      <c r="ET646" s="27" t="s">
        <v>7</v>
      </c>
    </row>
    <row r="647" spans="1:150" x14ac:dyDescent="0.25">
      <c r="A647" s="7">
        <v>0.30478226645907036</v>
      </c>
      <c r="B647"/>
      <c r="C647"/>
      <c r="D647"/>
      <c r="E647"/>
      <c r="X647" s="27" t="s">
        <v>7</v>
      </c>
      <c r="Y647" s="27" t="s">
        <v>8</v>
      </c>
      <c r="Z647" s="27" t="s">
        <v>7</v>
      </c>
      <c r="AC647" s="27" t="s">
        <v>8</v>
      </c>
      <c r="AD647" s="27" t="s">
        <v>7</v>
      </c>
      <c r="AE647" s="27" t="s">
        <v>8</v>
      </c>
      <c r="AL647" s="27" t="s">
        <v>7</v>
      </c>
      <c r="AM647" s="27" t="s">
        <v>8</v>
      </c>
      <c r="AN647" s="27" t="s">
        <v>7</v>
      </c>
      <c r="AO647" s="27" t="s">
        <v>8</v>
      </c>
      <c r="AP647" s="27" t="s">
        <v>7</v>
      </c>
      <c r="DC647" s="27" t="s">
        <v>8</v>
      </c>
      <c r="DD647" s="27" t="s">
        <v>7</v>
      </c>
      <c r="DK647" s="27" t="s">
        <v>8</v>
      </c>
      <c r="DL647" s="27" t="s">
        <v>7</v>
      </c>
      <c r="ES647" s="27" t="s">
        <v>8</v>
      </c>
      <c r="ET647" s="27" t="s">
        <v>7</v>
      </c>
    </row>
    <row r="648" spans="1:150" x14ac:dyDescent="0.25">
      <c r="A648" s="7">
        <v>0.29880614358732388</v>
      </c>
      <c r="B648"/>
      <c r="C648"/>
      <c r="D648"/>
      <c r="E648"/>
      <c r="X648" s="27" t="s">
        <v>7</v>
      </c>
      <c r="Z648" s="27" t="s">
        <v>7</v>
      </c>
      <c r="AC648" s="27" t="s">
        <v>8</v>
      </c>
      <c r="AD648" s="27" t="s">
        <v>7</v>
      </c>
      <c r="AL648" s="27" t="s">
        <v>7</v>
      </c>
      <c r="AM648" s="27" t="s">
        <v>8</v>
      </c>
      <c r="AN648" s="27" t="s">
        <v>7</v>
      </c>
      <c r="AO648" s="27" t="s">
        <v>8</v>
      </c>
      <c r="AP648" s="27" t="s">
        <v>7</v>
      </c>
      <c r="DC648" s="27" t="s">
        <v>8</v>
      </c>
      <c r="DD648" s="27" t="s">
        <v>7</v>
      </c>
      <c r="DK648" s="27" t="s">
        <v>8</v>
      </c>
      <c r="DL648" s="27" t="s">
        <v>7</v>
      </c>
      <c r="ES648" s="27" t="s">
        <v>8</v>
      </c>
      <c r="ET648" s="27" t="s">
        <v>7</v>
      </c>
    </row>
    <row r="649" spans="1:150" x14ac:dyDescent="0.25">
      <c r="A649" s="7">
        <v>0.2929471995954156</v>
      </c>
      <c r="B649"/>
      <c r="C649"/>
      <c r="D649"/>
      <c r="E649"/>
      <c r="Z649" s="27" t="s">
        <v>7</v>
      </c>
      <c r="AC649" s="27" t="s">
        <v>8</v>
      </c>
      <c r="AL649" s="27" t="s">
        <v>7</v>
      </c>
      <c r="AN649" s="27" t="s">
        <v>7</v>
      </c>
      <c r="AO649" s="27" t="s">
        <v>8</v>
      </c>
      <c r="AP649" s="27" t="s">
        <v>7</v>
      </c>
      <c r="DC649" s="27" t="s">
        <v>8</v>
      </c>
      <c r="DD649" s="27" t="s">
        <v>7</v>
      </c>
      <c r="DK649" s="27" t="s">
        <v>8</v>
      </c>
      <c r="DL649" s="27" t="s">
        <v>7</v>
      </c>
      <c r="DW649" s="27" t="s">
        <v>8</v>
      </c>
      <c r="ES649" s="27" t="s">
        <v>8</v>
      </c>
      <c r="ET649" s="27" t="s">
        <v>7</v>
      </c>
    </row>
    <row r="650" spans="1:150" x14ac:dyDescent="0.25">
      <c r="A650" s="7">
        <v>0.28720313685825055</v>
      </c>
      <c r="B650"/>
      <c r="C650"/>
      <c r="D650"/>
      <c r="E650"/>
      <c r="Z650" s="27" t="s">
        <v>7</v>
      </c>
      <c r="AA650" s="27" t="s">
        <v>8</v>
      </c>
      <c r="AC650" s="27" t="s">
        <v>8</v>
      </c>
      <c r="AN650" s="27" t="s">
        <v>7</v>
      </c>
      <c r="AO650" s="27" t="s">
        <v>8</v>
      </c>
      <c r="AP650" s="27" t="s">
        <v>7</v>
      </c>
      <c r="AQ650" s="27" t="s">
        <v>8</v>
      </c>
      <c r="CY650" s="27" t="s">
        <v>8</v>
      </c>
      <c r="DC650" s="27" t="s">
        <v>8</v>
      </c>
      <c r="DD650" s="27" t="s">
        <v>7</v>
      </c>
      <c r="DK650" s="27" t="s">
        <v>8</v>
      </c>
      <c r="DL650" s="27" t="s">
        <v>7</v>
      </c>
      <c r="DW650" s="27" t="s">
        <v>8</v>
      </c>
      <c r="DX650" s="27" t="s">
        <v>7</v>
      </c>
      <c r="ES650" s="27" t="s">
        <v>8</v>
      </c>
      <c r="ET650" s="27" t="s">
        <v>7</v>
      </c>
    </row>
    <row r="651" spans="1:150" x14ac:dyDescent="0.25">
      <c r="A651" s="7">
        <v>0.28157170280220645</v>
      </c>
      <c r="B651"/>
      <c r="C651"/>
      <c r="D651"/>
      <c r="E651"/>
      <c r="Z651" s="27" t="s">
        <v>7</v>
      </c>
      <c r="AA651" s="27" t="s">
        <v>8</v>
      </c>
      <c r="AB651" s="27" t="s">
        <v>7</v>
      </c>
      <c r="AC651" s="27" t="s">
        <v>8</v>
      </c>
      <c r="AN651" s="27" t="s">
        <v>7</v>
      </c>
      <c r="AO651" s="27" t="s">
        <v>8</v>
      </c>
      <c r="AP651" s="27" t="s">
        <v>7</v>
      </c>
      <c r="AQ651" s="27" t="s">
        <v>8</v>
      </c>
      <c r="AR651" s="27" t="s">
        <v>7</v>
      </c>
      <c r="CY651" s="27" t="s">
        <v>8</v>
      </c>
      <c r="CZ651" s="27" t="s">
        <v>7</v>
      </c>
      <c r="DC651" s="27" t="s">
        <v>8</v>
      </c>
      <c r="DD651" s="27" t="s">
        <v>7</v>
      </c>
      <c r="DK651" s="27" t="s">
        <v>8</v>
      </c>
      <c r="DL651" s="27" t="s">
        <v>7</v>
      </c>
      <c r="DW651" s="27" t="s">
        <v>8</v>
      </c>
      <c r="DX651" s="27" t="s">
        <v>7</v>
      </c>
      <c r="ES651" s="27" t="s">
        <v>8</v>
      </c>
      <c r="ET651" s="27" t="s">
        <v>7</v>
      </c>
    </row>
    <row r="652" spans="1:150" x14ac:dyDescent="0.25">
      <c r="A652" s="7">
        <v>0.27605068902177105</v>
      </c>
      <c r="B652"/>
      <c r="C652"/>
      <c r="D652"/>
      <c r="E652"/>
      <c r="Z652" s="27" t="s">
        <v>7</v>
      </c>
      <c r="AA652" s="27" t="s">
        <v>8</v>
      </c>
      <c r="AB652" s="27" t="s">
        <v>7</v>
      </c>
      <c r="AC652" s="27" t="s">
        <v>8</v>
      </c>
      <c r="AN652" s="27" t="s">
        <v>7</v>
      </c>
      <c r="AO652" s="27" t="s">
        <v>8</v>
      </c>
      <c r="AP652" s="27" t="s">
        <v>7</v>
      </c>
      <c r="AQ652" s="27" t="s">
        <v>8</v>
      </c>
      <c r="AR652" s="27" t="s">
        <v>7</v>
      </c>
      <c r="CY652" s="27" t="s">
        <v>8</v>
      </c>
      <c r="CZ652" s="27" t="s">
        <v>7</v>
      </c>
      <c r="DC652" s="27" t="s">
        <v>8</v>
      </c>
      <c r="DD652" s="27" t="s">
        <v>7</v>
      </c>
      <c r="DG652" s="27" t="s">
        <v>8</v>
      </c>
      <c r="DK652" s="27" t="s">
        <v>8</v>
      </c>
      <c r="DL652" s="27" t="s">
        <v>7</v>
      </c>
      <c r="DW652" s="27" t="s">
        <v>8</v>
      </c>
      <c r="DX652" s="27" t="s">
        <v>7</v>
      </c>
      <c r="ES652" s="27" t="s">
        <v>8</v>
      </c>
      <c r="ET652" s="27" t="s">
        <v>7</v>
      </c>
    </row>
    <row r="653" spans="1:150" x14ac:dyDescent="0.25">
      <c r="A653" s="7">
        <v>0.27063793041350104</v>
      </c>
      <c r="B653"/>
      <c r="C653"/>
      <c r="D653"/>
      <c r="E653"/>
      <c r="Z653" s="27" t="s">
        <v>7</v>
      </c>
      <c r="AA653" s="27" t="s">
        <v>8</v>
      </c>
      <c r="AB653" s="27" t="s">
        <v>7</v>
      </c>
      <c r="AC653" s="27" t="s">
        <v>8</v>
      </c>
      <c r="AN653" s="27" t="s">
        <v>7</v>
      </c>
      <c r="AO653" s="27" t="s">
        <v>8</v>
      </c>
      <c r="AP653" s="27" t="s">
        <v>7</v>
      </c>
      <c r="AQ653" s="27" t="s">
        <v>8</v>
      </c>
      <c r="AR653" s="27" t="s">
        <v>7</v>
      </c>
      <c r="CY653" s="27" t="s">
        <v>8</v>
      </c>
      <c r="CZ653" s="27" t="s">
        <v>7</v>
      </c>
      <c r="DC653" s="27" t="s">
        <v>8</v>
      </c>
      <c r="DD653" s="27" t="s">
        <v>7</v>
      </c>
      <c r="DG653" s="27" t="s">
        <v>8</v>
      </c>
      <c r="DH653" s="27" t="s">
        <v>7</v>
      </c>
      <c r="DK653" s="27" t="s">
        <v>8</v>
      </c>
      <c r="DL653" s="27" t="s">
        <v>7</v>
      </c>
      <c r="DW653" s="27" t="s">
        <v>8</v>
      </c>
      <c r="DX653" s="27" t="s">
        <v>7</v>
      </c>
      <c r="ES653" s="27" t="s">
        <v>8</v>
      </c>
      <c r="ET653" s="27" t="s">
        <v>7</v>
      </c>
    </row>
    <row r="654" spans="1:150" x14ac:dyDescent="0.25">
      <c r="A654" s="7">
        <v>0.26533130432696184</v>
      </c>
      <c r="B654"/>
      <c r="C654"/>
      <c r="D654"/>
      <c r="E654"/>
      <c r="Z654" s="27" t="s">
        <v>7</v>
      </c>
      <c r="AA654" s="27" t="s">
        <v>8</v>
      </c>
      <c r="AB654" s="27" t="s">
        <v>7</v>
      </c>
      <c r="AC654" s="27" t="s">
        <v>8</v>
      </c>
      <c r="AN654" s="27" t="s">
        <v>7</v>
      </c>
      <c r="AO654" s="27" t="s">
        <v>8</v>
      </c>
      <c r="AP654" s="27" t="s">
        <v>7</v>
      </c>
      <c r="AQ654" s="27" t="s">
        <v>8</v>
      </c>
      <c r="AR654" s="27" t="s">
        <v>7</v>
      </c>
      <c r="AS654" s="27" t="s">
        <v>8</v>
      </c>
      <c r="CQ654" s="27" t="s">
        <v>8</v>
      </c>
      <c r="CY654" s="27" t="s">
        <v>8</v>
      </c>
      <c r="CZ654" s="27" t="s">
        <v>7</v>
      </c>
      <c r="DC654" s="27" t="s">
        <v>8</v>
      </c>
      <c r="DD654" s="27" t="s">
        <v>7</v>
      </c>
      <c r="DG654" s="27" t="s">
        <v>8</v>
      </c>
      <c r="DH654" s="27" t="s">
        <v>7</v>
      </c>
      <c r="DK654" s="27" t="s">
        <v>8</v>
      </c>
      <c r="DL654" s="27" t="s">
        <v>7</v>
      </c>
      <c r="DW654" s="27" t="s">
        <v>8</v>
      </c>
      <c r="DX654" s="27" t="s">
        <v>7</v>
      </c>
      <c r="EC654" s="27" t="s">
        <v>8</v>
      </c>
      <c r="ES654" s="27" t="s">
        <v>8</v>
      </c>
      <c r="ET654" s="27" t="s">
        <v>7</v>
      </c>
    </row>
    <row r="655" spans="1:150" x14ac:dyDescent="0.25">
      <c r="A655" s="7">
        <v>0.26012872973231554</v>
      </c>
      <c r="B655"/>
      <c r="C655"/>
      <c r="D655"/>
      <c r="E655"/>
      <c r="Z655" s="27" t="s">
        <v>7</v>
      </c>
      <c r="AA655" s="27" t="s">
        <v>8</v>
      </c>
      <c r="AB655" s="27" t="s">
        <v>7</v>
      </c>
      <c r="AC655" s="27" t="s">
        <v>8</v>
      </c>
      <c r="AN655" s="27" t="s">
        <v>7</v>
      </c>
      <c r="AO655" s="27" t="s">
        <v>8</v>
      </c>
      <c r="AP655" s="27" t="s">
        <v>7</v>
      </c>
      <c r="AQ655" s="27" t="s">
        <v>8</v>
      </c>
      <c r="AR655" s="27" t="s">
        <v>7</v>
      </c>
      <c r="AS655" s="27" t="s">
        <v>8</v>
      </c>
      <c r="AT655" s="27" t="s">
        <v>7</v>
      </c>
      <c r="CQ655" s="27" t="s">
        <v>8</v>
      </c>
      <c r="CR655" s="27" t="s">
        <v>7</v>
      </c>
      <c r="CY655" s="27" t="s">
        <v>8</v>
      </c>
      <c r="CZ655" s="27" t="s">
        <v>7</v>
      </c>
      <c r="DC655" s="27" t="s">
        <v>8</v>
      </c>
      <c r="DD655" s="27" t="s">
        <v>7</v>
      </c>
      <c r="DG655" s="27" t="s">
        <v>8</v>
      </c>
      <c r="DH655" s="27" t="s">
        <v>7</v>
      </c>
      <c r="DI655" s="27" t="s">
        <v>8</v>
      </c>
      <c r="DK655" s="27" t="s">
        <v>8</v>
      </c>
      <c r="DL655" s="27" t="s">
        <v>7</v>
      </c>
      <c r="DQ655" s="27" t="s">
        <v>8</v>
      </c>
      <c r="DW655" s="27" t="s">
        <v>8</v>
      </c>
      <c r="DX655" s="27" t="s">
        <v>7</v>
      </c>
      <c r="EC655" s="27" t="s">
        <v>8</v>
      </c>
      <c r="ED655" s="27" t="s">
        <v>7</v>
      </c>
      <c r="EQ655" s="27" t="s">
        <v>8</v>
      </c>
      <c r="ES655" s="27" t="s">
        <v>8</v>
      </c>
      <c r="ET655" s="27" t="s">
        <v>7</v>
      </c>
    </row>
    <row r="656" spans="1:150" x14ac:dyDescent="0.25">
      <c r="A656" s="7">
        <v>0.25502816640423093</v>
      </c>
      <c r="B656"/>
      <c r="C656"/>
      <c r="D656"/>
      <c r="E656"/>
      <c r="Z656" s="27" t="s">
        <v>7</v>
      </c>
      <c r="AA656" s="27" t="s">
        <v>8</v>
      </c>
      <c r="AB656" s="27" t="s">
        <v>7</v>
      </c>
      <c r="AC656" s="27" t="s">
        <v>8</v>
      </c>
      <c r="AN656" s="27" t="s">
        <v>7</v>
      </c>
      <c r="AO656" s="27" t="s">
        <v>8</v>
      </c>
      <c r="AP656" s="27" t="s">
        <v>7</v>
      </c>
      <c r="AR656" s="27" t="s">
        <v>7</v>
      </c>
      <c r="AS656" s="27" t="s">
        <v>8</v>
      </c>
      <c r="AT656" s="27" t="s">
        <v>7</v>
      </c>
      <c r="CQ656" s="27" t="s">
        <v>8</v>
      </c>
      <c r="CR656" s="27" t="s">
        <v>7</v>
      </c>
      <c r="CY656" s="27" t="s">
        <v>8</v>
      </c>
      <c r="CZ656" s="27" t="s">
        <v>7</v>
      </c>
      <c r="DC656" s="27" t="s">
        <v>8</v>
      </c>
      <c r="DD656" s="27" t="s">
        <v>7</v>
      </c>
      <c r="DG656" s="27" t="s">
        <v>8</v>
      </c>
      <c r="DH656" s="27" t="s">
        <v>7</v>
      </c>
      <c r="DI656" s="27" t="s">
        <v>8</v>
      </c>
      <c r="DJ656" s="27" t="s">
        <v>7</v>
      </c>
      <c r="DK656" s="27" t="s">
        <v>8</v>
      </c>
      <c r="DL656" s="27" t="s">
        <v>7</v>
      </c>
      <c r="DQ656" s="27" t="s">
        <v>8</v>
      </c>
      <c r="DR656" s="27" t="s">
        <v>7</v>
      </c>
      <c r="DS656" s="27" t="s">
        <v>8</v>
      </c>
      <c r="DU656" s="27" t="s">
        <v>8</v>
      </c>
      <c r="DW656" s="27" t="s">
        <v>8</v>
      </c>
      <c r="DX656" s="27" t="s">
        <v>7</v>
      </c>
      <c r="DY656" s="27" t="s">
        <v>8</v>
      </c>
      <c r="EA656" s="27" t="s">
        <v>8</v>
      </c>
      <c r="EC656" s="27" t="s">
        <v>8</v>
      </c>
      <c r="ED656" s="27" t="s">
        <v>7</v>
      </c>
      <c r="EE656" s="27" t="s">
        <v>8</v>
      </c>
      <c r="EQ656" s="27" t="s">
        <v>8</v>
      </c>
      <c r="ER656" s="27" t="s">
        <v>7</v>
      </c>
      <c r="ES656" s="27" t="s">
        <v>8</v>
      </c>
      <c r="ET656" s="27" t="s">
        <v>7</v>
      </c>
    </row>
    <row r="657" spans="1:160" x14ac:dyDescent="0.25">
      <c r="A657" s="7">
        <v>0.25002761412179503</v>
      </c>
      <c r="B657"/>
      <c r="C657"/>
      <c r="D657"/>
      <c r="E657"/>
      <c r="Z657" s="27" t="s">
        <v>7</v>
      </c>
      <c r="AA657" s="27" t="s">
        <v>8</v>
      </c>
      <c r="AB657" s="27" t="s">
        <v>7</v>
      </c>
      <c r="AC657" s="27" t="s">
        <v>8</v>
      </c>
      <c r="AN657" s="27" t="s">
        <v>7</v>
      </c>
      <c r="AR657" s="27" t="s">
        <v>7</v>
      </c>
      <c r="AS657" s="27" t="s">
        <v>8</v>
      </c>
      <c r="AT657" s="27" t="s">
        <v>7</v>
      </c>
      <c r="CQ657" s="27" t="s">
        <v>8</v>
      </c>
      <c r="CR657" s="27" t="s">
        <v>7</v>
      </c>
      <c r="CY657" s="27" t="s">
        <v>8</v>
      </c>
      <c r="CZ657" s="27" t="s">
        <v>7</v>
      </c>
      <c r="DC657" s="27" t="s">
        <v>8</v>
      </c>
      <c r="DD657" s="27" t="s">
        <v>7</v>
      </c>
      <c r="DG657" s="27" t="s">
        <v>8</v>
      </c>
      <c r="DH657" s="27" t="s">
        <v>7</v>
      </c>
      <c r="DI657" s="27" t="s">
        <v>8</v>
      </c>
      <c r="DJ657" s="27" t="s">
        <v>7</v>
      </c>
      <c r="DK657" s="27" t="s">
        <v>8</v>
      </c>
      <c r="DL657" s="27" t="s">
        <v>7</v>
      </c>
      <c r="DM657" s="27" t="s">
        <v>8</v>
      </c>
      <c r="DQ657" s="27" t="s">
        <v>8</v>
      </c>
      <c r="DR657" s="27" t="s">
        <v>7</v>
      </c>
      <c r="DS657" s="27" t="s">
        <v>8</v>
      </c>
      <c r="DT657" s="27" t="s">
        <v>7</v>
      </c>
      <c r="DU657" s="27" t="s">
        <v>8</v>
      </c>
      <c r="DV657" s="27" t="s">
        <v>7</v>
      </c>
      <c r="DW657" s="27" t="s">
        <v>8</v>
      </c>
      <c r="DX657" s="27" t="s">
        <v>7</v>
      </c>
      <c r="DY657" s="27" t="s">
        <v>8</v>
      </c>
      <c r="DZ657" s="27" t="s">
        <v>7</v>
      </c>
      <c r="EA657" s="27" t="s">
        <v>8</v>
      </c>
      <c r="EB657" s="27" t="s">
        <v>7</v>
      </c>
      <c r="EC657" s="27" t="s">
        <v>8</v>
      </c>
      <c r="ED657" s="27" t="s">
        <v>7</v>
      </c>
      <c r="EE657" s="27" t="s">
        <v>8</v>
      </c>
      <c r="EF657" s="27" t="s">
        <v>7</v>
      </c>
      <c r="EK657" s="27" t="s">
        <v>8</v>
      </c>
      <c r="EM657" s="27" t="s">
        <v>8</v>
      </c>
      <c r="EQ657" s="27" t="s">
        <v>8</v>
      </c>
      <c r="ER657" s="27" t="s">
        <v>7</v>
      </c>
      <c r="ES657" s="27" t="s">
        <v>8</v>
      </c>
      <c r="ET657" s="27" t="s">
        <v>7</v>
      </c>
    </row>
    <row r="658" spans="1:160" x14ac:dyDescent="0.25">
      <c r="A658" s="7">
        <v>0.24512511188411276</v>
      </c>
      <c r="B658"/>
      <c r="C658"/>
      <c r="D658"/>
      <c r="E658"/>
      <c r="Z658" s="27" t="s">
        <v>7</v>
      </c>
      <c r="AA658" s="27" t="s">
        <v>8</v>
      </c>
      <c r="AB658" s="27" t="s">
        <v>7</v>
      </c>
      <c r="AC658" s="27" t="s">
        <v>8</v>
      </c>
      <c r="AR658" s="27" t="s">
        <v>7</v>
      </c>
      <c r="AS658" s="27" t="s">
        <v>8</v>
      </c>
      <c r="AT658" s="27" t="s">
        <v>7</v>
      </c>
      <c r="CM658" s="27" t="s">
        <v>8</v>
      </c>
      <c r="CQ658" s="27" t="s">
        <v>8</v>
      </c>
      <c r="CR658" s="27" t="s">
        <v>7</v>
      </c>
      <c r="CY658" s="27" t="s">
        <v>8</v>
      </c>
      <c r="CZ658" s="27" t="s">
        <v>7</v>
      </c>
      <c r="DC658" s="27" t="s">
        <v>8</v>
      </c>
      <c r="DD658" s="27" t="s">
        <v>7</v>
      </c>
      <c r="DG658" s="27" t="s">
        <v>8</v>
      </c>
      <c r="DH658" s="27" t="s">
        <v>7</v>
      </c>
      <c r="DI658" s="27" t="s">
        <v>8</v>
      </c>
      <c r="DJ658" s="27" t="s">
        <v>7</v>
      </c>
      <c r="DK658" s="27" t="s">
        <v>8</v>
      </c>
      <c r="DL658" s="27" t="s">
        <v>7</v>
      </c>
      <c r="DM658" s="27" t="s">
        <v>8</v>
      </c>
      <c r="DN658" s="27" t="s">
        <v>7</v>
      </c>
      <c r="DO658" s="27" t="s">
        <v>8</v>
      </c>
      <c r="DQ658" s="27" t="s">
        <v>8</v>
      </c>
      <c r="DR658" s="27" t="s">
        <v>7</v>
      </c>
      <c r="DS658" s="27" t="s">
        <v>8</v>
      </c>
      <c r="DT658" s="27" t="s">
        <v>7</v>
      </c>
      <c r="DU658" s="27" t="s">
        <v>8</v>
      </c>
      <c r="DV658" s="27" t="s">
        <v>7</v>
      </c>
      <c r="DW658" s="27" t="s">
        <v>8</v>
      </c>
      <c r="DX658" s="27" t="s">
        <v>7</v>
      </c>
      <c r="DY658" s="27" t="s">
        <v>8</v>
      </c>
      <c r="DZ658" s="27" t="s">
        <v>7</v>
      </c>
      <c r="EA658" s="27" t="s">
        <v>8</v>
      </c>
      <c r="EB658" s="27" t="s">
        <v>7</v>
      </c>
      <c r="EC658" s="27" t="s">
        <v>8</v>
      </c>
      <c r="ED658" s="27" t="s">
        <v>7</v>
      </c>
      <c r="EE658" s="27" t="s">
        <v>8</v>
      </c>
      <c r="EF658" s="27" t="s">
        <v>7</v>
      </c>
      <c r="EG658" s="27" t="s">
        <v>8</v>
      </c>
      <c r="EK658" s="27" t="s">
        <v>8</v>
      </c>
      <c r="EL658" s="27" t="s">
        <v>7</v>
      </c>
      <c r="EM658" s="27" t="s">
        <v>8</v>
      </c>
      <c r="EN658" s="27" t="s">
        <v>7</v>
      </c>
      <c r="EQ658" s="27" t="s">
        <v>8</v>
      </c>
      <c r="ER658" s="27" t="s">
        <v>7</v>
      </c>
      <c r="ES658" s="27" t="s">
        <v>8</v>
      </c>
      <c r="ET658" s="27" t="s">
        <v>7</v>
      </c>
    </row>
    <row r="659" spans="1:160" x14ac:dyDescent="0.25">
      <c r="A659" s="7">
        <v>0.24031873714128701</v>
      </c>
      <c r="B659"/>
      <c r="C659"/>
      <c r="D659"/>
      <c r="E659"/>
      <c r="Z659" s="27" t="s">
        <v>7</v>
      </c>
      <c r="AB659" s="27" t="s">
        <v>7</v>
      </c>
      <c r="AC659" s="27" t="s">
        <v>8</v>
      </c>
      <c r="AR659" s="27" t="s">
        <v>7</v>
      </c>
      <c r="AS659" s="27" t="s">
        <v>8</v>
      </c>
      <c r="AT659" s="27" t="s">
        <v>7</v>
      </c>
      <c r="CM659" s="27" t="s">
        <v>8</v>
      </c>
      <c r="CN659" s="27" t="s">
        <v>7</v>
      </c>
      <c r="CQ659" s="27" t="s">
        <v>8</v>
      </c>
      <c r="CR659" s="27" t="s">
        <v>7</v>
      </c>
      <c r="CY659" s="27" t="s">
        <v>8</v>
      </c>
      <c r="CZ659" s="27" t="s">
        <v>7</v>
      </c>
      <c r="DC659" s="27" t="s">
        <v>8</v>
      </c>
      <c r="DD659" s="27" t="s">
        <v>7</v>
      </c>
      <c r="DE659" s="27" t="s">
        <v>8</v>
      </c>
      <c r="DG659" s="27" t="s">
        <v>8</v>
      </c>
      <c r="DH659" s="27" t="s">
        <v>7</v>
      </c>
      <c r="DI659" s="27" t="s">
        <v>8</v>
      </c>
      <c r="DJ659" s="27" t="s">
        <v>7</v>
      </c>
      <c r="DK659" s="27" t="s">
        <v>8</v>
      </c>
      <c r="DL659" s="27" t="s">
        <v>7</v>
      </c>
      <c r="DM659" s="27" t="s">
        <v>8</v>
      </c>
      <c r="DN659" s="27" t="s">
        <v>7</v>
      </c>
      <c r="DO659" s="27" t="s">
        <v>8</v>
      </c>
      <c r="DP659" s="27" t="s">
        <v>7</v>
      </c>
      <c r="DQ659" s="27" t="s">
        <v>8</v>
      </c>
      <c r="DR659" s="27" t="s">
        <v>7</v>
      </c>
      <c r="DS659" s="27" t="s">
        <v>8</v>
      </c>
      <c r="DT659" s="27" t="s">
        <v>7</v>
      </c>
      <c r="DU659" s="27" t="s">
        <v>8</v>
      </c>
      <c r="DV659" s="27" t="s">
        <v>7</v>
      </c>
      <c r="DW659" s="27" t="s">
        <v>8</v>
      </c>
      <c r="DX659" s="27" t="s">
        <v>7</v>
      </c>
      <c r="DZ659" s="27" t="s">
        <v>7</v>
      </c>
      <c r="EA659" s="27" t="s">
        <v>8</v>
      </c>
      <c r="EB659" s="27" t="s">
        <v>7</v>
      </c>
      <c r="EC659" s="27" t="s">
        <v>8</v>
      </c>
      <c r="ED659" s="27" t="s">
        <v>7</v>
      </c>
      <c r="EE659" s="27" t="s">
        <v>8</v>
      </c>
      <c r="EF659" s="27" t="s">
        <v>7</v>
      </c>
      <c r="EG659" s="27" t="s">
        <v>8</v>
      </c>
      <c r="EH659" s="27" t="s">
        <v>7</v>
      </c>
      <c r="EK659" s="27" t="s">
        <v>8</v>
      </c>
      <c r="EL659" s="27" t="s">
        <v>7</v>
      </c>
      <c r="EM659" s="27" t="s">
        <v>8</v>
      </c>
      <c r="EN659" s="27" t="s">
        <v>7</v>
      </c>
      <c r="EO659" s="27" t="s">
        <v>8</v>
      </c>
      <c r="EQ659" s="27" t="s">
        <v>8</v>
      </c>
      <c r="ER659" s="27" t="s">
        <v>7</v>
      </c>
      <c r="ES659" s="27" t="s">
        <v>8</v>
      </c>
      <c r="ET659" s="27" t="s">
        <v>7</v>
      </c>
    </row>
    <row r="660" spans="1:160" x14ac:dyDescent="0.25">
      <c r="A660" s="7">
        <v>0.23560660504047748</v>
      </c>
      <c r="B660"/>
      <c r="C660"/>
      <c r="D660"/>
      <c r="E660"/>
      <c r="AB660" s="27" t="s">
        <v>7</v>
      </c>
      <c r="AC660" s="27" t="s">
        <v>8</v>
      </c>
      <c r="AR660" s="27" t="s">
        <v>7</v>
      </c>
      <c r="AS660" s="27" t="s">
        <v>8</v>
      </c>
      <c r="AT660" s="27" t="s">
        <v>7</v>
      </c>
      <c r="CM660" s="27" t="s">
        <v>8</v>
      </c>
      <c r="CN660" s="27" t="s">
        <v>7</v>
      </c>
      <c r="CQ660" s="27" t="s">
        <v>8</v>
      </c>
      <c r="CR660" s="27" t="s">
        <v>7</v>
      </c>
      <c r="CS660" s="27" t="s">
        <v>8</v>
      </c>
      <c r="CY660" s="27" t="s">
        <v>8</v>
      </c>
      <c r="CZ660" s="27" t="s">
        <v>7</v>
      </c>
      <c r="DA660" s="27" t="s">
        <v>8</v>
      </c>
      <c r="DC660" s="27" t="s">
        <v>8</v>
      </c>
      <c r="DD660" s="27" t="s">
        <v>7</v>
      </c>
      <c r="DE660" s="27" t="s">
        <v>8</v>
      </c>
      <c r="DF660" s="27" t="s">
        <v>7</v>
      </c>
      <c r="DG660" s="27" t="s">
        <v>8</v>
      </c>
      <c r="DH660" s="27" t="s">
        <v>7</v>
      </c>
      <c r="DI660" s="27" t="s">
        <v>8</v>
      </c>
      <c r="DJ660" s="27" t="s">
        <v>7</v>
      </c>
      <c r="DK660" s="27" t="s">
        <v>8</v>
      </c>
      <c r="DL660" s="27" t="s">
        <v>7</v>
      </c>
      <c r="DM660" s="27" t="s">
        <v>8</v>
      </c>
      <c r="DN660" s="27" t="s">
        <v>7</v>
      </c>
      <c r="DO660" s="27" t="s">
        <v>8</v>
      </c>
      <c r="DP660" s="27" t="s">
        <v>7</v>
      </c>
      <c r="DQ660" s="27" t="s">
        <v>8</v>
      </c>
      <c r="DR660" s="27" t="s">
        <v>7</v>
      </c>
      <c r="DS660" s="27" t="s">
        <v>8</v>
      </c>
      <c r="DT660" s="27" t="s">
        <v>7</v>
      </c>
      <c r="DU660" s="27" t="s">
        <v>8</v>
      </c>
      <c r="DV660" s="27" t="s">
        <v>7</v>
      </c>
      <c r="DW660" s="27" t="s">
        <v>8</v>
      </c>
      <c r="DZ660" s="27" t="s">
        <v>7</v>
      </c>
      <c r="EA660" s="27" t="s">
        <v>8</v>
      </c>
      <c r="EB660" s="27" t="s">
        <v>7</v>
      </c>
      <c r="ED660" s="27" t="s">
        <v>7</v>
      </c>
      <c r="EE660" s="27" t="s">
        <v>8</v>
      </c>
      <c r="EF660" s="27" t="s">
        <v>7</v>
      </c>
      <c r="EG660" s="27" t="s">
        <v>8</v>
      </c>
      <c r="EH660" s="27" t="s">
        <v>7</v>
      </c>
      <c r="EI660" s="27" t="s">
        <v>8</v>
      </c>
      <c r="EK660" s="27" t="s">
        <v>8</v>
      </c>
      <c r="EL660" s="27" t="s">
        <v>7</v>
      </c>
      <c r="EM660" s="27" t="s">
        <v>8</v>
      </c>
      <c r="EN660" s="27" t="s">
        <v>7</v>
      </c>
      <c r="EO660" s="27" t="s">
        <v>8</v>
      </c>
      <c r="EP660" s="27" t="s">
        <v>7</v>
      </c>
      <c r="EQ660" s="27" t="s">
        <v>8</v>
      </c>
      <c r="ER660" s="27" t="s">
        <v>7</v>
      </c>
      <c r="ES660" s="27" t="s">
        <v>8</v>
      </c>
      <c r="ET660" s="27" t="s">
        <v>7</v>
      </c>
    </row>
    <row r="661" spans="1:160" x14ac:dyDescent="0.25">
      <c r="A661" s="7">
        <v>0.23098686768674265</v>
      </c>
      <c r="B661"/>
      <c r="C661"/>
      <c r="D661"/>
      <c r="E661"/>
      <c r="AB661" s="27" t="s">
        <v>7</v>
      </c>
      <c r="AR661" s="27" t="s">
        <v>7</v>
      </c>
      <c r="AS661" s="27" t="s">
        <v>8</v>
      </c>
      <c r="AT661" s="27" t="s">
        <v>7</v>
      </c>
      <c r="CM661" s="27" t="s">
        <v>8</v>
      </c>
      <c r="CN661" s="27" t="s">
        <v>7</v>
      </c>
      <c r="CQ661" s="27" t="s">
        <v>8</v>
      </c>
      <c r="CR661" s="27" t="s">
        <v>7</v>
      </c>
      <c r="CS661" s="27" t="s">
        <v>8</v>
      </c>
      <c r="CT661" s="27" t="s">
        <v>7</v>
      </c>
      <c r="CY661" s="27" t="s">
        <v>8</v>
      </c>
      <c r="CZ661" s="27" t="s">
        <v>7</v>
      </c>
      <c r="DA661" s="27" t="s">
        <v>8</v>
      </c>
      <c r="DB661" s="27" t="s">
        <v>7</v>
      </c>
      <c r="DC661" s="27" t="s">
        <v>8</v>
      </c>
      <c r="DD661" s="27" t="s">
        <v>7</v>
      </c>
      <c r="DE661" s="27" t="s">
        <v>8</v>
      </c>
      <c r="DF661" s="27" t="s">
        <v>7</v>
      </c>
      <c r="DG661" s="27" t="s">
        <v>8</v>
      </c>
      <c r="DH661" s="27" t="s">
        <v>7</v>
      </c>
      <c r="DI661" s="27" t="s">
        <v>8</v>
      </c>
      <c r="DJ661" s="27" t="s">
        <v>7</v>
      </c>
      <c r="DK661" s="27" t="s">
        <v>8</v>
      </c>
      <c r="DL661" s="27" t="s">
        <v>7</v>
      </c>
      <c r="DM661" s="27" t="s">
        <v>8</v>
      </c>
      <c r="DN661" s="27" t="s">
        <v>7</v>
      </c>
      <c r="DO661" s="27" t="s">
        <v>8</v>
      </c>
      <c r="DP661" s="27" t="s">
        <v>7</v>
      </c>
      <c r="DQ661" s="27" t="s">
        <v>8</v>
      </c>
      <c r="DR661" s="27" t="s">
        <v>7</v>
      </c>
      <c r="DT661" s="27" t="s">
        <v>7</v>
      </c>
      <c r="DU661" s="27" t="s">
        <v>8</v>
      </c>
      <c r="DV661" s="27" t="s">
        <v>7</v>
      </c>
      <c r="DW661" s="27" t="s">
        <v>8</v>
      </c>
      <c r="DZ661" s="27" t="s">
        <v>7</v>
      </c>
      <c r="ED661" s="27" t="s">
        <v>7</v>
      </c>
      <c r="EE661" s="27" t="s">
        <v>8</v>
      </c>
      <c r="EF661" s="27" t="s">
        <v>7</v>
      </c>
      <c r="EH661" s="27" t="s">
        <v>7</v>
      </c>
      <c r="EI661" s="27" t="s">
        <v>8</v>
      </c>
      <c r="EJ661" s="27" t="s">
        <v>7</v>
      </c>
      <c r="EK661" s="27" t="s">
        <v>8</v>
      </c>
      <c r="EL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  <c r="EQ661" s="27" t="s">
        <v>8</v>
      </c>
      <c r="ER661" s="27" t="s">
        <v>7</v>
      </c>
      <c r="ES661" s="27" t="s">
        <v>8</v>
      </c>
      <c r="ET661" s="27" t="s">
        <v>7</v>
      </c>
    </row>
    <row r="662" spans="1:160" x14ac:dyDescent="0.25">
      <c r="A662" s="7">
        <v>0.22645771341837515</v>
      </c>
      <c r="B662"/>
      <c r="C662"/>
      <c r="D662"/>
      <c r="E662"/>
      <c r="AR662" s="27" t="s">
        <v>7</v>
      </c>
      <c r="AS662" s="27" t="s">
        <v>8</v>
      </c>
      <c r="AT662" s="27" t="s">
        <v>7</v>
      </c>
      <c r="CM662" s="27" t="s">
        <v>8</v>
      </c>
      <c r="CN662" s="27" t="s">
        <v>7</v>
      </c>
      <c r="CQ662" s="27" t="s">
        <v>8</v>
      </c>
      <c r="CR662" s="27" t="s">
        <v>7</v>
      </c>
      <c r="CS662" s="27" t="s">
        <v>8</v>
      </c>
      <c r="CT662" s="27" t="s">
        <v>7</v>
      </c>
      <c r="CU662" s="27" t="s">
        <v>8</v>
      </c>
      <c r="CY662" s="27" t="s">
        <v>8</v>
      </c>
      <c r="CZ662" s="27" t="s">
        <v>7</v>
      </c>
      <c r="DA662" s="27" t="s">
        <v>8</v>
      </c>
      <c r="DB662" s="27" t="s">
        <v>7</v>
      </c>
      <c r="DC662" s="27" t="s">
        <v>8</v>
      </c>
      <c r="DD662" s="27" t="s">
        <v>7</v>
      </c>
      <c r="DE662" s="27" t="s">
        <v>8</v>
      </c>
      <c r="DF662" s="27" t="s">
        <v>7</v>
      </c>
      <c r="DG662" s="27" t="s">
        <v>8</v>
      </c>
      <c r="DH662" s="27" t="s">
        <v>7</v>
      </c>
      <c r="DI662" s="27" t="s">
        <v>8</v>
      </c>
      <c r="DJ662" s="27" t="s">
        <v>7</v>
      </c>
      <c r="DK662" s="27" t="s">
        <v>8</v>
      </c>
      <c r="DL662" s="27" t="s">
        <v>7</v>
      </c>
      <c r="DM662" s="27" t="s">
        <v>8</v>
      </c>
      <c r="DN662" s="27" t="s">
        <v>7</v>
      </c>
      <c r="DO662" s="27" t="s">
        <v>8</v>
      </c>
      <c r="DP662" s="27" t="s">
        <v>7</v>
      </c>
      <c r="DQ662" s="27" t="s">
        <v>8</v>
      </c>
      <c r="DT662" s="27" t="s">
        <v>7</v>
      </c>
      <c r="DV662" s="27" t="s">
        <v>7</v>
      </c>
      <c r="DW662" s="27" t="s">
        <v>8</v>
      </c>
      <c r="ED662" s="27" t="s">
        <v>7</v>
      </c>
      <c r="EE662" s="27" t="s">
        <v>8</v>
      </c>
      <c r="EH662" s="27" t="s">
        <v>7</v>
      </c>
      <c r="EI662" s="27" t="s">
        <v>8</v>
      </c>
      <c r="EJ662" s="27" t="s">
        <v>7</v>
      </c>
      <c r="EK662" s="27" t="s">
        <v>8</v>
      </c>
      <c r="EL662" s="27" t="s">
        <v>7</v>
      </c>
      <c r="EM662" s="27" t="s">
        <v>8</v>
      </c>
      <c r="EN662" s="27" t="s">
        <v>7</v>
      </c>
      <c r="EO662" s="27" t="s">
        <v>8</v>
      </c>
      <c r="EP662" s="27" t="s">
        <v>7</v>
      </c>
      <c r="EQ662" s="27" t="s">
        <v>8</v>
      </c>
      <c r="ER662" s="27" t="s">
        <v>7</v>
      </c>
      <c r="ES662" s="27" t="s">
        <v>8</v>
      </c>
      <c r="ET662" s="27" t="s">
        <v>7</v>
      </c>
    </row>
    <row r="663" spans="1:160" x14ac:dyDescent="0.25">
      <c r="A663" s="7">
        <v>0.22201736609644623</v>
      </c>
      <c r="B663"/>
      <c r="C663"/>
      <c r="D663"/>
      <c r="E663"/>
      <c r="AR663" s="27" t="s">
        <v>7</v>
      </c>
      <c r="AS663" s="27" t="s">
        <v>8</v>
      </c>
      <c r="AT663" s="27" t="s">
        <v>7</v>
      </c>
      <c r="CM663" s="27" t="s">
        <v>8</v>
      </c>
      <c r="CN663" s="27" t="s">
        <v>7</v>
      </c>
      <c r="CQ663" s="27" t="s">
        <v>8</v>
      </c>
      <c r="CR663" s="27" t="s">
        <v>7</v>
      </c>
      <c r="CS663" s="27" t="s">
        <v>8</v>
      </c>
      <c r="CT663" s="27" t="s">
        <v>7</v>
      </c>
      <c r="CU663" s="27" t="s">
        <v>8</v>
      </c>
      <c r="CV663" s="27" t="s">
        <v>7</v>
      </c>
      <c r="CW663" s="27" t="s">
        <v>8</v>
      </c>
      <c r="CY663" s="27" t="s">
        <v>8</v>
      </c>
      <c r="CZ663" s="27" t="s">
        <v>7</v>
      </c>
      <c r="DA663" s="27" t="s">
        <v>8</v>
      </c>
      <c r="DB663" s="27" t="s">
        <v>7</v>
      </c>
      <c r="DC663" s="27" t="s">
        <v>8</v>
      </c>
      <c r="DD663" s="27" t="s">
        <v>7</v>
      </c>
      <c r="DE663" s="27" t="s">
        <v>8</v>
      </c>
      <c r="DF663" s="27" t="s">
        <v>7</v>
      </c>
      <c r="DG663" s="27" t="s">
        <v>8</v>
      </c>
      <c r="DH663" s="27" t="s">
        <v>7</v>
      </c>
      <c r="DI663" s="27" t="s">
        <v>8</v>
      </c>
      <c r="DJ663" s="27" t="s">
        <v>7</v>
      </c>
      <c r="DL663" s="27" t="s">
        <v>7</v>
      </c>
      <c r="DM663" s="27" t="s">
        <v>8</v>
      </c>
      <c r="DN663" s="27" t="s">
        <v>7</v>
      </c>
      <c r="DO663" s="27" t="s">
        <v>8</v>
      </c>
      <c r="DP663" s="27" t="s">
        <v>7</v>
      </c>
      <c r="DQ663" s="27" t="s">
        <v>8</v>
      </c>
      <c r="DV663" s="27" t="s">
        <v>7</v>
      </c>
      <c r="DW663" s="27" t="s">
        <v>8</v>
      </c>
      <c r="ED663" s="27" t="s">
        <v>7</v>
      </c>
      <c r="EE663" s="27" t="s">
        <v>8</v>
      </c>
      <c r="EH663" s="27" t="s">
        <v>7</v>
      </c>
      <c r="EJ663" s="27" t="s">
        <v>7</v>
      </c>
      <c r="EL663" s="27" t="s">
        <v>7</v>
      </c>
      <c r="EM663" s="27" t="s">
        <v>8</v>
      </c>
      <c r="EN663" s="27" t="s">
        <v>7</v>
      </c>
      <c r="EP663" s="27" t="s">
        <v>7</v>
      </c>
      <c r="EQ663" s="27" t="s">
        <v>8</v>
      </c>
      <c r="ER663" s="27" t="s">
        <v>7</v>
      </c>
      <c r="ES663" s="27" t="s">
        <v>8</v>
      </c>
      <c r="ET663" s="27" t="s">
        <v>7</v>
      </c>
    </row>
    <row r="664" spans="1:160" x14ac:dyDescent="0.25">
      <c r="A664" s="7">
        <v>0.21766408440828061</v>
      </c>
      <c r="B664"/>
      <c r="C664"/>
      <c r="D664"/>
      <c r="E664"/>
      <c r="AR664" s="27" t="s">
        <v>7</v>
      </c>
      <c r="AS664" s="27" t="s">
        <v>8</v>
      </c>
      <c r="AT664" s="27" t="s">
        <v>7</v>
      </c>
      <c r="CM664" s="27" t="s">
        <v>8</v>
      </c>
      <c r="CN664" s="27" t="s">
        <v>7</v>
      </c>
      <c r="CQ664" s="27" t="s">
        <v>8</v>
      </c>
      <c r="CR664" s="27" t="s">
        <v>7</v>
      </c>
      <c r="CS664" s="27" t="s">
        <v>8</v>
      </c>
      <c r="CT664" s="27" t="s">
        <v>7</v>
      </c>
      <c r="CU664" s="27" t="s">
        <v>8</v>
      </c>
      <c r="CV664" s="27" t="s">
        <v>7</v>
      </c>
      <c r="CW664" s="27" t="s">
        <v>8</v>
      </c>
      <c r="CX664" s="27" t="s">
        <v>7</v>
      </c>
      <c r="CY664" s="27" t="s">
        <v>8</v>
      </c>
      <c r="CZ664" s="27" t="s">
        <v>7</v>
      </c>
      <c r="DA664" s="27" t="s">
        <v>8</v>
      </c>
      <c r="DB664" s="27" t="s">
        <v>7</v>
      </c>
      <c r="DC664" s="27" t="s">
        <v>8</v>
      </c>
      <c r="DD664" s="27" t="s">
        <v>7</v>
      </c>
      <c r="DE664" s="27" t="s">
        <v>8</v>
      </c>
      <c r="DF664" s="27" t="s">
        <v>7</v>
      </c>
      <c r="DG664" s="27" t="s">
        <v>8</v>
      </c>
      <c r="DH664" s="27" t="s">
        <v>7</v>
      </c>
      <c r="DL664" s="27" t="s">
        <v>7</v>
      </c>
      <c r="DM664" s="27" t="s">
        <v>8</v>
      </c>
      <c r="DN664" s="27" t="s">
        <v>7</v>
      </c>
      <c r="DO664" s="27" t="s">
        <v>8</v>
      </c>
      <c r="DP664" s="27" t="s">
        <v>7</v>
      </c>
      <c r="DQ664" s="27" t="s">
        <v>8</v>
      </c>
      <c r="DV664" s="27" t="s">
        <v>7</v>
      </c>
      <c r="DW664" s="27" t="s">
        <v>8</v>
      </c>
      <c r="ED664" s="27" t="s">
        <v>7</v>
      </c>
      <c r="EE664" s="27" t="s">
        <v>8</v>
      </c>
      <c r="EL664" s="27" t="s">
        <v>7</v>
      </c>
      <c r="EM664" s="27" t="s">
        <v>8</v>
      </c>
      <c r="EP664" s="27" t="s">
        <v>7</v>
      </c>
      <c r="EQ664" s="27" t="s">
        <v>8</v>
      </c>
      <c r="ER664" s="27" t="s">
        <v>7</v>
      </c>
      <c r="ES664" s="27" t="s">
        <v>8</v>
      </c>
      <c r="ET664" s="27" t="s">
        <v>7</v>
      </c>
    </row>
    <row r="665" spans="1:160" x14ac:dyDescent="0.25">
      <c r="A665" s="7">
        <v>0.21339616118458882</v>
      </c>
      <c r="B665"/>
      <c r="C665"/>
      <c r="D665"/>
      <c r="E665"/>
      <c r="AR665" s="27" t="s">
        <v>7</v>
      </c>
      <c r="AS665" s="27" t="s">
        <v>8</v>
      </c>
      <c r="AT665" s="27" t="s">
        <v>7</v>
      </c>
      <c r="CM665" s="27" t="s">
        <v>8</v>
      </c>
      <c r="CN665" s="27" t="s">
        <v>7</v>
      </c>
      <c r="CQ665" s="27" t="s">
        <v>8</v>
      </c>
      <c r="CR665" s="27" t="s">
        <v>7</v>
      </c>
      <c r="CS665" s="27" t="s">
        <v>8</v>
      </c>
      <c r="CT665" s="27" t="s">
        <v>7</v>
      </c>
      <c r="CU665" s="27" t="s">
        <v>8</v>
      </c>
      <c r="CV665" s="27" t="s">
        <v>7</v>
      </c>
      <c r="CW665" s="27" t="s">
        <v>8</v>
      </c>
      <c r="CX665" s="27" t="s">
        <v>7</v>
      </c>
      <c r="CY665" s="27" t="s">
        <v>8</v>
      </c>
      <c r="CZ665" s="27" t="s">
        <v>7</v>
      </c>
      <c r="DB665" s="27" t="s">
        <v>7</v>
      </c>
      <c r="DC665" s="27" t="s">
        <v>8</v>
      </c>
      <c r="DD665" s="27" t="s">
        <v>7</v>
      </c>
      <c r="DE665" s="27" t="s">
        <v>8</v>
      </c>
      <c r="DF665" s="27" t="s">
        <v>7</v>
      </c>
      <c r="DL665" s="27" t="s">
        <v>7</v>
      </c>
      <c r="DM665" s="27" t="s">
        <v>8</v>
      </c>
      <c r="DN665" s="27" t="s">
        <v>7</v>
      </c>
      <c r="DO665" s="27" t="s">
        <v>8</v>
      </c>
      <c r="DP665" s="27" t="s">
        <v>7</v>
      </c>
      <c r="DQ665" s="27" t="s">
        <v>8</v>
      </c>
      <c r="DV665" s="27" t="s">
        <v>7</v>
      </c>
      <c r="DW665" s="27" t="s">
        <v>8</v>
      </c>
      <c r="ED665" s="27" t="s">
        <v>7</v>
      </c>
      <c r="EL665" s="27" t="s">
        <v>7</v>
      </c>
      <c r="EM665" s="27" t="s">
        <v>8</v>
      </c>
      <c r="EP665" s="27" t="s">
        <v>7</v>
      </c>
      <c r="ER665" s="27" t="s">
        <v>7</v>
      </c>
      <c r="ET665" s="27" t="s">
        <v>7</v>
      </c>
    </row>
    <row r="666" spans="1:160" x14ac:dyDescent="0.25">
      <c r="A666" s="7">
        <v>0.20921192272998904</v>
      </c>
      <c r="B666"/>
      <c r="C666"/>
      <c r="D666"/>
      <c r="E666"/>
      <c r="AR666" s="27" t="s">
        <v>7</v>
      </c>
      <c r="AS666" s="27" t="s">
        <v>8</v>
      </c>
      <c r="AT666" s="27" t="s">
        <v>7</v>
      </c>
      <c r="AW666" s="27" t="s">
        <v>8</v>
      </c>
      <c r="BC666" s="27" t="s">
        <v>8</v>
      </c>
      <c r="CM666" s="27" t="s">
        <v>8</v>
      </c>
      <c r="CN666" s="27" t="s">
        <v>7</v>
      </c>
      <c r="CQ666" s="27" t="s">
        <v>8</v>
      </c>
      <c r="CR666" s="27" t="s">
        <v>7</v>
      </c>
      <c r="CS666" s="27" t="s">
        <v>8</v>
      </c>
      <c r="CT666" s="27" t="s">
        <v>7</v>
      </c>
      <c r="CU666" s="27" t="s">
        <v>8</v>
      </c>
      <c r="CV666" s="27" t="s">
        <v>7</v>
      </c>
      <c r="CW666" s="27" t="s">
        <v>8</v>
      </c>
      <c r="CX666" s="27" t="s">
        <v>7</v>
      </c>
      <c r="CY666" s="27" t="s">
        <v>8</v>
      </c>
      <c r="DB666" s="27" t="s">
        <v>7</v>
      </c>
      <c r="DC666" s="27" t="s">
        <v>8</v>
      </c>
      <c r="DD666" s="27" t="s">
        <v>7</v>
      </c>
      <c r="DE666" s="27" t="s">
        <v>8</v>
      </c>
      <c r="DL666" s="27" t="s">
        <v>7</v>
      </c>
      <c r="DN666" s="27" t="s">
        <v>7</v>
      </c>
      <c r="DO666" s="27" t="s">
        <v>8</v>
      </c>
      <c r="DP666" s="27" t="s">
        <v>7</v>
      </c>
      <c r="DQ666" s="27" t="s">
        <v>8</v>
      </c>
      <c r="DV666" s="27" t="s">
        <v>7</v>
      </c>
      <c r="EL666" s="27" t="s">
        <v>7</v>
      </c>
      <c r="EM666" s="27" t="s">
        <v>8</v>
      </c>
      <c r="ET666" s="27" t="s">
        <v>7</v>
      </c>
    </row>
    <row r="667" spans="1:160" x14ac:dyDescent="0.25">
      <c r="A667" s="7">
        <v>0.20510972816665593</v>
      </c>
      <c r="B667"/>
      <c r="C667"/>
      <c r="D667"/>
      <c r="E667"/>
      <c r="AR667" s="27" t="s">
        <v>7</v>
      </c>
      <c r="AS667" s="27" t="s">
        <v>8</v>
      </c>
      <c r="AT667" s="27" t="s">
        <v>7</v>
      </c>
      <c r="AW667" s="27" t="s">
        <v>8</v>
      </c>
      <c r="AX667" s="27" t="s">
        <v>7</v>
      </c>
      <c r="BC667" s="27" t="s">
        <v>8</v>
      </c>
      <c r="BD667" s="27" t="s">
        <v>7</v>
      </c>
      <c r="CM667" s="27" t="s">
        <v>8</v>
      </c>
      <c r="CN667" s="27" t="s">
        <v>7</v>
      </c>
      <c r="CQ667" s="27" t="s">
        <v>8</v>
      </c>
      <c r="CR667" s="27" t="s">
        <v>7</v>
      </c>
      <c r="CT667" s="27" t="s">
        <v>7</v>
      </c>
      <c r="CU667" s="27" t="s">
        <v>8</v>
      </c>
      <c r="CV667" s="27" t="s">
        <v>7</v>
      </c>
      <c r="CX667" s="27" t="s">
        <v>7</v>
      </c>
      <c r="CY667" s="27" t="s">
        <v>8</v>
      </c>
      <c r="DB667" s="27" t="s">
        <v>7</v>
      </c>
      <c r="DC667" s="27" t="s">
        <v>8</v>
      </c>
      <c r="DD667" s="27" t="s">
        <v>7</v>
      </c>
      <c r="DE667" s="27" t="s">
        <v>8</v>
      </c>
      <c r="DN667" s="27" t="s">
        <v>7</v>
      </c>
      <c r="DP667" s="27" t="s">
        <v>7</v>
      </c>
      <c r="EL667" s="27" t="s">
        <v>7</v>
      </c>
      <c r="ET667" s="27" t="s">
        <v>7</v>
      </c>
      <c r="FC667" s="27" t="s">
        <v>8</v>
      </c>
    </row>
    <row r="668" spans="1:160" x14ac:dyDescent="0.25">
      <c r="A668" s="7">
        <v>0.20108796879083912</v>
      </c>
      <c r="B668"/>
      <c r="C668"/>
      <c r="D668"/>
      <c r="E668"/>
      <c r="AR668" s="27" t="s">
        <v>7</v>
      </c>
      <c r="AS668" s="27" t="s">
        <v>8</v>
      </c>
      <c r="AT668" s="27" t="s">
        <v>7</v>
      </c>
      <c r="AU668" s="27" t="s">
        <v>8</v>
      </c>
      <c r="AW668" s="27" t="s">
        <v>8</v>
      </c>
      <c r="AX668" s="27" t="s">
        <v>7</v>
      </c>
      <c r="AY668" s="27" t="s">
        <v>8</v>
      </c>
      <c r="BC668" s="27" t="s">
        <v>8</v>
      </c>
      <c r="BD668" s="27" t="s">
        <v>7</v>
      </c>
      <c r="CM668" s="27" t="s">
        <v>8</v>
      </c>
      <c r="CN668" s="27" t="s">
        <v>7</v>
      </c>
      <c r="CQ668" s="27" t="s">
        <v>8</v>
      </c>
      <c r="CT668" s="27" t="s">
        <v>7</v>
      </c>
      <c r="CU668" s="27" t="s">
        <v>8</v>
      </c>
      <c r="CX668" s="27" t="s">
        <v>7</v>
      </c>
      <c r="CY668" s="27" t="s">
        <v>8</v>
      </c>
      <c r="DB668" s="27" t="s">
        <v>7</v>
      </c>
      <c r="DD668" s="27" t="s">
        <v>7</v>
      </c>
      <c r="DE668" s="27" t="s">
        <v>8</v>
      </c>
      <c r="ET668" s="27" t="s">
        <v>7</v>
      </c>
      <c r="FC668" s="27" t="s">
        <v>8</v>
      </c>
      <c r="FD668" s="27" t="s">
        <v>7</v>
      </c>
    </row>
    <row r="669" spans="1:160" x14ac:dyDescent="0.25">
      <c r="A669" s="7">
        <v>0.19714506744199917</v>
      </c>
      <c r="B669"/>
      <c r="C669"/>
      <c r="D669"/>
      <c r="E669"/>
      <c r="AR669" s="27" t="s">
        <v>7</v>
      </c>
      <c r="AS669" s="27" t="s">
        <v>8</v>
      </c>
      <c r="AT669" s="27" t="s">
        <v>7</v>
      </c>
      <c r="AU669" s="27" t="s">
        <v>8</v>
      </c>
      <c r="AV669" s="27" t="s">
        <v>7</v>
      </c>
      <c r="AW669" s="27" t="s">
        <v>8</v>
      </c>
      <c r="AX669" s="27" t="s">
        <v>7</v>
      </c>
      <c r="AY669" s="27" t="s">
        <v>8</v>
      </c>
      <c r="AZ669" s="27" t="s">
        <v>7</v>
      </c>
      <c r="BC669" s="27" t="s">
        <v>8</v>
      </c>
      <c r="BD669" s="27" t="s">
        <v>7</v>
      </c>
      <c r="BE669" s="27" t="s">
        <v>8</v>
      </c>
      <c r="CM669" s="27" t="s">
        <v>8</v>
      </c>
      <c r="CN669" s="27" t="s">
        <v>7</v>
      </c>
      <c r="CO669" s="27" t="s">
        <v>8</v>
      </c>
      <c r="CQ669" s="27" t="s">
        <v>8</v>
      </c>
      <c r="CT669" s="27" t="s">
        <v>7</v>
      </c>
      <c r="CU669" s="27" t="s">
        <v>8</v>
      </c>
      <c r="CX669" s="27" t="s">
        <v>7</v>
      </c>
      <c r="CY669" s="27" t="s">
        <v>8</v>
      </c>
      <c r="DD669" s="27" t="s">
        <v>7</v>
      </c>
      <c r="DE669" s="27" t="s">
        <v>8</v>
      </c>
      <c r="ET669" s="27" t="s">
        <v>7</v>
      </c>
      <c r="FC669" s="27" t="s">
        <v>8</v>
      </c>
      <c r="FD669" s="27" t="s">
        <v>7</v>
      </c>
    </row>
    <row r="670" spans="1:160" x14ac:dyDescent="0.25">
      <c r="A670" s="7">
        <v>0.19327947788431293</v>
      </c>
      <c r="B670"/>
      <c r="C670"/>
      <c r="D670"/>
      <c r="E670"/>
      <c r="AR670" s="27" t="s">
        <v>7</v>
      </c>
      <c r="AS670" s="27" t="s">
        <v>8</v>
      </c>
      <c r="AT670" s="27" t="s">
        <v>7</v>
      </c>
      <c r="AU670" s="27" t="s">
        <v>8</v>
      </c>
      <c r="AV670" s="27" t="s">
        <v>7</v>
      </c>
      <c r="AW670" s="27" t="s">
        <v>8</v>
      </c>
      <c r="AX670" s="27" t="s">
        <v>7</v>
      </c>
      <c r="AY670" s="27" t="s">
        <v>8</v>
      </c>
      <c r="AZ670" s="27" t="s">
        <v>7</v>
      </c>
      <c r="BC670" s="27" t="s">
        <v>8</v>
      </c>
      <c r="BD670" s="27" t="s">
        <v>7</v>
      </c>
      <c r="BE670" s="27" t="s">
        <v>8</v>
      </c>
      <c r="BF670" s="27" t="s">
        <v>7</v>
      </c>
      <c r="CM670" s="27" t="s">
        <v>8</v>
      </c>
      <c r="CN670" s="27" t="s">
        <v>7</v>
      </c>
      <c r="CO670" s="27" t="s">
        <v>8</v>
      </c>
      <c r="CP670" s="27" t="s">
        <v>7</v>
      </c>
      <c r="CQ670" s="27" t="s">
        <v>8</v>
      </c>
      <c r="CT670" s="27" t="s">
        <v>7</v>
      </c>
      <c r="CU670" s="27" t="s">
        <v>8</v>
      </c>
      <c r="CX670" s="27" t="s">
        <v>7</v>
      </c>
      <c r="CY670" s="27" t="s">
        <v>8</v>
      </c>
      <c r="DD670" s="27" t="s">
        <v>7</v>
      </c>
      <c r="DE670" s="27" t="s">
        <v>8</v>
      </c>
      <c r="ET670" s="27" t="s">
        <v>7</v>
      </c>
      <c r="FC670" s="27" t="s">
        <v>8</v>
      </c>
      <c r="FD670" s="27" t="s">
        <v>7</v>
      </c>
    </row>
    <row r="671" spans="1:160" x14ac:dyDescent="0.25">
      <c r="A671" s="7">
        <v>0.18948968420030682</v>
      </c>
      <c r="B671"/>
      <c r="C671"/>
      <c r="D671"/>
      <c r="E671"/>
      <c r="AR671" s="27" t="s">
        <v>7</v>
      </c>
      <c r="AS671" s="27" t="s">
        <v>8</v>
      </c>
      <c r="AT671" s="27" t="s">
        <v>7</v>
      </c>
      <c r="AU671" s="27" t="s">
        <v>8</v>
      </c>
      <c r="AV671" s="27" t="s">
        <v>7</v>
      </c>
      <c r="AW671" s="27" t="s">
        <v>8</v>
      </c>
      <c r="AX671" s="27" t="s">
        <v>7</v>
      </c>
      <c r="AY671" s="27" t="s">
        <v>8</v>
      </c>
      <c r="AZ671" s="27" t="s">
        <v>7</v>
      </c>
      <c r="BC671" s="27" t="s">
        <v>8</v>
      </c>
      <c r="BD671" s="27" t="s">
        <v>7</v>
      </c>
      <c r="BE671" s="27" t="s">
        <v>8</v>
      </c>
      <c r="BF671" s="27" t="s">
        <v>7</v>
      </c>
      <c r="CM671" s="27" t="s">
        <v>8</v>
      </c>
      <c r="CN671" s="27" t="s">
        <v>7</v>
      </c>
      <c r="CO671" s="27" t="s">
        <v>8</v>
      </c>
      <c r="CP671" s="27" t="s">
        <v>7</v>
      </c>
      <c r="CQ671" s="27" t="s">
        <v>8</v>
      </c>
      <c r="CT671" s="27" t="s">
        <v>7</v>
      </c>
      <c r="CU671" s="27" t="s">
        <v>8</v>
      </c>
      <c r="CX671" s="27" t="s">
        <v>7</v>
      </c>
      <c r="DD671" s="27" t="s">
        <v>7</v>
      </c>
      <c r="ET671" s="27" t="s">
        <v>7</v>
      </c>
      <c r="EU671" s="27" t="s">
        <v>8</v>
      </c>
      <c r="FC671" s="27" t="s">
        <v>8</v>
      </c>
      <c r="FD671" s="27" t="s">
        <v>7</v>
      </c>
    </row>
    <row r="672" spans="1:160" x14ac:dyDescent="0.25">
      <c r="A672" s="7">
        <v>0.18577420019637925</v>
      </c>
      <c r="B672"/>
      <c r="C672"/>
      <c r="D672"/>
      <c r="E672"/>
      <c r="AR672" s="27" t="s">
        <v>7</v>
      </c>
      <c r="AS672" s="27" t="s">
        <v>8</v>
      </c>
      <c r="AT672" s="27" t="s">
        <v>7</v>
      </c>
      <c r="AU672" s="27" t="s">
        <v>8</v>
      </c>
      <c r="AV672" s="27" t="s">
        <v>7</v>
      </c>
      <c r="AW672" s="27" t="s">
        <v>8</v>
      </c>
      <c r="AX672" s="27" t="s">
        <v>7</v>
      </c>
      <c r="AY672" s="27" t="s">
        <v>8</v>
      </c>
      <c r="AZ672" s="27" t="s">
        <v>7</v>
      </c>
      <c r="BC672" s="27" t="s">
        <v>8</v>
      </c>
      <c r="BD672" s="27" t="s">
        <v>7</v>
      </c>
      <c r="BE672" s="27" t="s">
        <v>8</v>
      </c>
      <c r="BF672" s="27" t="s">
        <v>7</v>
      </c>
      <c r="BG672" s="27" t="s">
        <v>8</v>
      </c>
      <c r="CM672" s="27" t="s">
        <v>8</v>
      </c>
      <c r="CN672" s="27" t="s">
        <v>7</v>
      </c>
      <c r="CO672" s="27" t="s">
        <v>8</v>
      </c>
      <c r="CP672" s="27" t="s">
        <v>7</v>
      </c>
      <c r="CQ672" s="27" t="s">
        <v>8</v>
      </c>
      <c r="CT672" s="27" t="s">
        <v>7</v>
      </c>
      <c r="ET672" s="27" t="s">
        <v>7</v>
      </c>
      <c r="EU672" s="27" t="s">
        <v>8</v>
      </c>
      <c r="EV672" s="27" t="s">
        <v>7</v>
      </c>
      <c r="FC672" s="27" t="s">
        <v>8</v>
      </c>
      <c r="FD672" s="27" t="s">
        <v>7</v>
      </c>
    </row>
    <row r="673" spans="1:164" x14ac:dyDescent="0.25">
      <c r="A673" s="7">
        <v>0.18213156881997963</v>
      </c>
      <c r="B673"/>
      <c r="C673"/>
      <c r="D673"/>
      <c r="E673"/>
      <c r="AR673" s="27" t="s">
        <v>7</v>
      </c>
      <c r="AS673" s="27" t="s">
        <v>8</v>
      </c>
      <c r="AT673" s="27" t="s">
        <v>7</v>
      </c>
      <c r="AU673" s="27" t="s">
        <v>8</v>
      </c>
      <c r="AV673" s="27" t="s">
        <v>7</v>
      </c>
      <c r="AW673" s="27" t="s">
        <v>8</v>
      </c>
      <c r="AX673" s="27" t="s">
        <v>7</v>
      </c>
      <c r="AY673" s="27" t="s">
        <v>8</v>
      </c>
      <c r="AZ673" s="27" t="s">
        <v>7</v>
      </c>
      <c r="BA673" s="27" t="s">
        <v>8</v>
      </c>
      <c r="BC673" s="27" t="s">
        <v>8</v>
      </c>
      <c r="BD673" s="27" t="s">
        <v>7</v>
      </c>
      <c r="BE673" s="27" t="s">
        <v>8</v>
      </c>
      <c r="BF673" s="27" t="s">
        <v>7</v>
      </c>
      <c r="BG673" s="27" t="s">
        <v>8</v>
      </c>
      <c r="BH673" s="27" t="s">
        <v>7</v>
      </c>
      <c r="CM673" s="27" t="s">
        <v>8</v>
      </c>
      <c r="CN673" s="27" t="s">
        <v>7</v>
      </c>
      <c r="CO673" s="27" t="s">
        <v>8</v>
      </c>
      <c r="CP673" s="27" t="s">
        <v>7</v>
      </c>
      <c r="CQ673" s="27" t="s">
        <v>8</v>
      </c>
      <c r="ET673" s="27" t="s">
        <v>7</v>
      </c>
      <c r="EU673" s="27" t="s">
        <v>8</v>
      </c>
      <c r="EV673" s="27" t="s">
        <v>7</v>
      </c>
      <c r="FC673" s="27" t="s">
        <v>8</v>
      </c>
      <c r="FD673" s="27" t="s">
        <v>7</v>
      </c>
    </row>
    <row r="674" spans="1:164" x14ac:dyDescent="0.25">
      <c r="A674" s="7">
        <v>0.17856036158821534</v>
      </c>
      <c r="B674"/>
      <c r="C674"/>
      <c r="D674"/>
      <c r="E674"/>
      <c r="AR674" s="27" t="s">
        <v>7</v>
      </c>
      <c r="AS674" s="27" t="s">
        <v>8</v>
      </c>
      <c r="AT674" s="27" t="s">
        <v>7</v>
      </c>
      <c r="AU674" s="27" t="s">
        <v>8</v>
      </c>
      <c r="AV674" s="27" t="s">
        <v>7</v>
      </c>
      <c r="AW674" s="27" t="s">
        <v>8</v>
      </c>
      <c r="AX674" s="27" t="s">
        <v>7</v>
      </c>
      <c r="AY674" s="27" t="s">
        <v>8</v>
      </c>
      <c r="AZ674" s="27" t="s">
        <v>7</v>
      </c>
      <c r="BA674" s="27" t="s">
        <v>8</v>
      </c>
      <c r="BB674" s="27" t="s">
        <v>7</v>
      </c>
      <c r="BC674" s="27" t="s">
        <v>8</v>
      </c>
      <c r="BD674" s="27" t="s">
        <v>7</v>
      </c>
      <c r="BE674" s="27" t="s">
        <v>8</v>
      </c>
      <c r="BF674" s="27" t="s">
        <v>7</v>
      </c>
      <c r="BG674" s="27" t="s">
        <v>8</v>
      </c>
      <c r="BH674" s="27" t="s">
        <v>7</v>
      </c>
      <c r="CM674" s="27" t="s">
        <v>8</v>
      </c>
      <c r="CN674" s="27" t="s">
        <v>7</v>
      </c>
      <c r="CO674" s="27" t="s">
        <v>8</v>
      </c>
      <c r="CP674" s="27" t="s">
        <v>7</v>
      </c>
      <c r="CQ674" s="27" t="s">
        <v>8</v>
      </c>
      <c r="ET674" s="27" t="s">
        <v>7</v>
      </c>
      <c r="EU674" s="27" t="s">
        <v>8</v>
      </c>
      <c r="EV674" s="27" t="s">
        <v>7</v>
      </c>
      <c r="FC674" s="27" t="s">
        <v>8</v>
      </c>
      <c r="FD674" s="27" t="s">
        <v>7</v>
      </c>
      <c r="FE674" s="27" t="s">
        <v>8</v>
      </c>
    </row>
    <row r="675" spans="1:164" x14ac:dyDescent="0.25">
      <c r="A675" s="7">
        <v>0.17505917802766208</v>
      </c>
      <c r="B675"/>
      <c r="C675"/>
      <c r="D675"/>
      <c r="E675"/>
      <c r="AR675" s="27" t="s">
        <v>7</v>
      </c>
      <c r="AS675" s="27" t="s">
        <v>8</v>
      </c>
      <c r="AT675" s="27" t="s">
        <v>7</v>
      </c>
      <c r="AU675" s="27" t="s">
        <v>8</v>
      </c>
      <c r="AV675" s="27" t="s">
        <v>7</v>
      </c>
      <c r="AW675" s="27" t="s">
        <v>8</v>
      </c>
      <c r="AX675" s="27" t="s">
        <v>7</v>
      </c>
      <c r="AY675" s="27" t="s">
        <v>8</v>
      </c>
      <c r="AZ675" s="27" t="s">
        <v>7</v>
      </c>
      <c r="BA675" s="27" t="s">
        <v>8</v>
      </c>
      <c r="BB675" s="27" t="s">
        <v>7</v>
      </c>
      <c r="BC675" s="27" t="s">
        <v>8</v>
      </c>
      <c r="BD675" s="27" t="s">
        <v>7</v>
      </c>
      <c r="BE675" s="27" t="s">
        <v>8</v>
      </c>
      <c r="BF675" s="27" t="s">
        <v>7</v>
      </c>
      <c r="BG675" s="27" t="s">
        <v>8</v>
      </c>
      <c r="BH675" s="27" t="s">
        <v>7</v>
      </c>
      <c r="CM675" s="27" t="s">
        <v>8</v>
      </c>
      <c r="CN675" s="27" t="s">
        <v>7</v>
      </c>
      <c r="CP675" s="27" t="s">
        <v>7</v>
      </c>
      <c r="CQ675" s="27" t="s">
        <v>8</v>
      </c>
      <c r="ET675" s="27" t="s">
        <v>7</v>
      </c>
      <c r="EU675" s="27" t="s">
        <v>8</v>
      </c>
      <c r="EV675" s="27" t="s">
        <v>7</v>
      </c>
      <c r="FA675" s="27" t="s">
        <v>8</v>
      </c>
      <c r="FC675" s="27" t="s">
        <v>8</v>
      </c>
      <c r="FD675" s="27" t="s">
        <v>7</v>
      </c>
      <c r="FE675" s="27" t="s">
        <v>8</v>
      </c>
      <c r="FF675" s="27" t="s">
        <v>7</v>
      </c>
    </row>
    <row r="676" spans="1:164" x14ac:dyDescent="0.25">
      <c r="A676" s="7">
        <v>0.17162664512515888</v>
      </c>
      <c r="B676"/>
      <c r="C676"/>
      <c r="D676"/>
      <c r="E676"/>
      <c r="AR676" s="27" t="s">
        <v>7</v>
      </c>
      <c r="AS676" s="27" t="s">
        <v>8</v>
      </c>
      <c r="AT676" s="27" t="s">
        <v>7</v>
      </c>
      <c r="AU676" s="27" t="s">
        <v>8</v>
      </c>
      <c r="AV676" s="27" t="s">
        <v>7</v>
      </c>
      <c r="AW676" s="27" t="s">
        <v>8</v>
      </c>
      <c r="AX676" s="27" t="s">
        <v>7</v>
      </c>
      <c r="AY676" s="27" t="s">
        <v>8</v>
      </c>
      <c r="AZ676" s="27" t="s">
        <v>7</v>
      </c>
      <c r="BA676" s="27" t="s">
        <v>8</v>
      </c>
      <c r="BB676" s="27" t="s">
        <v>7</v>
      </c>
      <c r="BD676" s="27" t="s">
        <v>7</v>
      </c>
      <c r="BE676" s="27" t="s">
        <v>8</v>
      </c>
      <c r="BF676" s="27" t="s">
        <v>7</v>
      </c>
      <c r="BG676" s="27" t="s">
        <v>8</v>
      </c>
      <c r="BH676" s="27" t="s">
        <v>7</v>
      </c>
      <c r="CM676" s="27" t="s">
        <v>8</v>
      </c>
      <c r="CP676" s="27" t="s">
        <v>7</v>
      </c>
      <c r="CQ676" s="27" t="s">
        <v>8</v>
      </c>
      <c r="ET676" s="27" t="s">
        <v>7</v>
      </c>
      <c r="EU676" s="27" t="s">
        <v>8</v>
      </c>
      <c r="EV676" s="27" t="s">
        <v>7</v>
      </c>
      <c r="FA676" s="27" t="s">
        <v>8</v>
      </c>
      <c r="FB676" s="27" t="s">
        <v>7</v>
      </c>
      <c r="FC676" s="27" t="s">
        <v>8</v>
      </c>
      <c r="FD676" s="27" t="s">
        <v>7</v>
      </c>
      <c r="FE676" s="27" t="s">
        <v>8</v>
      </c>
      <c r="FF676" s="27" t="s">
        <v>7</v>
      </c>
    </row>
    <row r="677" spans="1:164" x14ac:dyDescent="0.25">
      <c r="A677" s="7">
        <v>0.16826141678937145</v>
      </c>
      <c r="B677"/>
      <c r="C677"/>
      <c r="D677"/>
      <c r="E677"/>
      <c r="AR677" s="27" t="s">
        <v>7</v>
      </c>
      <c r="AS677" s="27" t="s">
        <v>8</v>
      </c>
      <c r="AT677" s="27" t="s">
        <v>7</v>
      </c>
      <c r="AU677" s="27" t="s">
        <v>8</v>
      </c>
      <c r="AV677" s="27" t="s">
        <v>7</v>
      </c>
      <c r="AW677" s="27" t="s">
        <v>8</v>
      </c>
      <c r="AX677" s="27" t="s">
        <v>7</v>
      </c>
      <c r="AY677" s="27" t="s">
        <v>8</v>
      </c>
      <c r="AZ677" s="27" t="s">
        <v>7</v>
      </c>
      <c r="BA677" s="27" t="s">
        <v>8</v>
      </c>
      <c r="BD677" s="27" t="s">
        <v>7</v>
      </c>
      <c r="BE677" s="27" t="s">
        <v>8</v>
      </c>
      <c r="BF677" s="27" t="s">
        <v>7</v>
      </c>
      <c r="BG677" s="27" t="s">
        <v>8</v>
      </c>
      <c r="BH677" s="27" t="s">
        <v>7</v>
      </c>
      <c r="BI677" s="27" t="s">
        <v>8</v>
      </c>
      <c r="BK677" s="27" t="s">
        <v>8</v>
      </c>
      <c r="CM677" s="27" t="s">
        <v>8</v>
      </c>
      <c r="CP677" s="27" t="s">
        <v>7</v>
      </c>
      <c r="CQ677" s="27" t="s">
        <v>8</v>
      </c>
      <c r="ET677" s="27" t="s">
        <v>7</v>
      </c>
      <c r="EU677" s="27" t="s">
        <v>8</v>
      </c>
      <c r="EV677" s="27" t="s">
        <v>7</v>
      </c>
      <c r="EW677" s="27" t="s">
        <v>8</v>
      </c>
      <c r="FA677" s="27" t="s">
        <v>8</v>
      </c>
      <c r="FB677" s="27" t="s">
        <v>7</v>
      </c>
      <c r="FC677" s="27" t="s">
        <v>8</v>
      </c>
      <c r="FD677" s="27" t="s">
        <v>7</v>
      </c>
      <c r="FE677" s="27" t="s">
        <v>8</v>
      </c>
      <c r="FF677" s="27" t="s">
        <v>7</v>
      </c>
    </row>
    <row r="678" spans="1:164" x14ac:dyDescent="0.25">
      <c r="A678" s="7">
        <v>0.16496217332291319</v>
      </c>
      <c r="B678"/>
      <c r="C678"/>
      <c r="D678"/>
      <c r="E678"/>
      <c r="AR678" s="27" t="s">
        <v>7</v>
      </c>
      <c r="AS678" s="27" t="s">
        <v>8</v>
      </c>
      <c r="AT678" s="27" t="s">
        <v>7</v>
      </c>
      <c r="AU678" s="27" t="s">
        <v>8</v>
      </c>
      <c r="AV678" s="27" t="s">
        <v>7</v>
      </c>
      <c r="AW678" s="27" t="s">
        <v>8</v>
      </c>
      <c r="AX678" s="27" t="s">
        <v>7</v>
      </c>
      <c r="AY678" s="27" t="s">
        <v>8</v>
      </c>
      <c r="AZ678" s="27" t="s">
        <v>7</v>
      </c>
      <c r="BA678" s="27" t="s">
        <v>8</v>
      </c>
      <c r="BD678" s="27" t="s">
        <v>7</v>
      </c>
      <c r="BE678" s="27" t="s">
        <v>8</v>
      </c>
      <c r="BF678" s="27" t="s">
        <v>7</v>
      </c>
      <c r="BG678" s="27" t="s">
        <v>8</v>
      </c>
      <c r="BH678" s="27" t="s">
        <v>7</v>
      </c>
      <c r="BI678" s="27" t="s">
        <v>8</v>
      </c>
      <c r="BJ678" s="27" t="s">
        <v>7</v>
      </c>
      <c r="BK678" s="27" t="s">
        <v>8</v>
      </c>
      <c r="BL678" s="27" t="s">
        <v>7</v>
      </c>
      <c r="CM678" s="27" t="s">
        <v>8</v>
      </c>
      <c r="CP678" s="27" t="s">
        <v>7</v>
      </c>
      <c r="ET678" s="27" t="s">
        <v>7</v>
      </c>
      <c r="EU678" s="27" t="s">
        <v>8</v>
      </c>
      <c r="EV678" s="27" t="s">
        <v>7</v>
      </c>
      <c r="EW678" s="27" t="s">
        <v>8</v>
      </c>
      <c r="EX678" s="27" t="s">
        <v>7</v>
      </c>
      <c r="FA678" s="27" t="s">
        <v>8</v>
      </c>
      <c r="FB678" s="27" t="s">
        <v>7</v>
      </c>
      <c r="FC678" s="27" t="s">
        <v>8</v>
      </c>
      <c r="FD678" s="27" t="s">
        <v>7</v>
      </c>
      <c r="FE678" s="27" t="s">
        <v>8</v>
      </c>
      <c r="FF678" s="27" t="s">
        <v>7</v>
      </c>
    </row>
    <row r="679" spans="1:164" x14ac:dyDescent="0.25">
      <c r="A679" s="7">
        <v>0.16172762090481685</v>
      </c>
      <c r="B679"/>
      <c r="C679"/>
      <c r="D679"/>
      <c r="E679"/>
      <c r="AR679" s="27" t="s">
        <v>7</v>
      </c>
      <c r="AS679" s="27" t="s">
        <v>8</v>
      </c>
      <c r="AT679" s="27" t="s">
        <v>7</v>
      </c>
      <c r="AU679" s="27" t="s">
        <v>8</v>
      </c>
      <c r="AV679" s="27" t="s">
        <v>7</v>
      </c>
      <c r="AW679" s="27" t="s">
        <v>8</v>
      </c>
      <c r="AX679" s="27" t="s">
        <v>7</v>
      </c>
      <c r="AY679" s="27" t="s">
        <v>8</v>
      </c>
      <c r="AZ679" s="27" t="s">
        <v>7</v>
      </c>
      <c r="BA679" s="27" t="s">
        <v>8</v>
      </c>
      <c r="BD679" s="27" t="s">
        <v>7</v>
      </c>
      <c r="BE679" s="27" t="s">
        <v>8</v>
      </c>
      <c r="BF679" s="27" t="s">
        <v>7</v>
      </c>
      <c r="BG679" s="27" t="s">
        <v>8</v>
      </c>
      <c r="BH679" s="27" t="s">
        <v>7</v>
      </c>
      <c r="BI679" s="27" t="s">
        <v>8</v>
      </c>
      <c r="BJ679" s="27" t="s">
        <v>7</v>
      </c>
      <c r="BK679" s="27" t="s">
        <v>8</v>
      </c>
      <c r="BL679" s="27" t="s">
        <v>7</v>
      </c>
      <c r="CM679" s="27" t="s">
        <v>8</v>
      </c>
      <c r="ET679" s="27" t="s">
        <v>7</v>
      </c>
      <c r="EV679" s="27" t="s">
        <v>7</v>
      </c>
      <c r="EW679" s="27" t="s">
        <v>8</v>
      </c>
      <c r="EX679" s="27" t="s">
        <v>7</v>
      </c>
      <c r="FA679" s="27" t="s">
        <v>8</v>
      </c>
      <c r="FB679" s="27" t="s">
        <v>7</v>
      </c>
      <c r="FC679" s="27" t="s">
        <v>8</v>
      </c>
      <c r="FD679" s="27" t="s">
        <v>7</v>
      </c>
      <c r="FE679" s="27" t="s">
        <v>8</v>
      </c>
      <c r="FF679" s="27" t="s">
        <v>7</v>
      </c>
    </row>
    <row r="680" spans="1:164" x14ac:dyDescent="0.25">
      <c r="A680" s="7">
        <v>0.15855649108315376</v>
      </c>
      <c r="B680"/>
      <c r="C680"/>
      <c r="D680"/>
      <c r="E680"/>
      <c r="AR680" s="27" t="s">
        <v>7</v>
      </c>
      <c r="AS680" s="27" t="s">
        <v>8</v>
      </c>
      <c r="AT680" s="27" t="s">
        <v>7</v>
      </c>
      <c r="AU680" s="27" t="s">
        <v>8</v>
      </c>
      <c r="AV680" s="27" t="s">
        <v>7</v>
      </c>
      <c r="AX680" s="27" t="s">
        <v>7</v>
      </c>
      <c r="AZ680" s="27" t="s">
        <v>7</v>
      </c>
      <c r="BD680" s="27" t="s">
        <v>7</v>
      </c>
      <c r="BE680" s="27" t="s">
        <v>8</v>
      </c>
      <c r="BF680" s="27" t="s">
        <v>7</v>
      </c>
      <c r="BG680" s="27" t="s">
        <v>8</v>
      </c>
      <c r="BH680" s="27" t="s">
        <v>7</v>
      </c>
      <c r="BI680" s="27" t="s">
        <v>8</v>
      </c>
      <c r="BJ680" s="27" t="s">
        <v>7</v>
      </c>
      <c r="BK680" s="27" t="s">
        <v>8</v>
      </c>
      <c r="BL680" s="27" t="s">
        <v>7</v>
      </c>
      <c r="CA680" s="27" t="s">
        <v>8</v>
      </c>
      <c r="CM680" s="27" t="s">
        <v>8</v>
      </c>
      <c r="EV680" s="27" t="s">
        <v>7</v>
      </c>
      <c r="EW680" s="27" t="s">
        <v>8</v>
      </c>
      <c r="EX680" s="27" t="s">
        <v>7</v>
      </c>
      <c r="EY680" s="27" t="s">
        <v>8</v>
      </c>
      <c r="FA680" s="27" t="s">
        <v>8</v>
      </c>
      <c r="FB680" s="27" t="s">
        <v>7</v>
      </c>
      <c r="FC680" s="27" t="s">
        <v>8</v>
      </c>
      <c r="FD680" s="27" t="s">
        <v>7</v>
      </c>
      <c r="FF680" s="27" t="s">
        <v>7</v>
      </c>
    </row>
    <row r="681" spans="1:164" x14ac:dyDescent="0.25">
      <c r="A681" s="7">
        <v>0.15544754027760171</v>
      </c>
      <c r="B681"/>
      <c r="C681"/>
      <c r="D681"/>
      <c r="E681"/>
      <c r="AR681" s="27" t="s">
        <v>7</v>
      </c>
      <c r="AS681" s="27" t="s">
        <v>8</v>
      </c>
      <c r="AT681" s="27" t="s">
        <v>7</v>
      </c>
      <c r="AU681" s="27" t="s">
        <v>8</v>
      </c>
      <c r="BD681" s="27" t="s">
        <v>7</v>
      </c>
      <c r="BF681" s="27" t="s">
        <v>7</v>
      </c>
      <c r="BG681" s="27" t="s">
        <v>8</v>
      </c>
      <c r="BH681" s="27" t="s">
        <v>7</v>
      </c>
      <c r="BI681" s="27" t="s">
        <v>8</v>
      </c>
      <c r="BJ681" s="27" t="s">
        <v>7</v>
      </c>
      <c r="BK681" s="27" t="s">
        <v>8</v>
      </c>
      <c r="BL681" s="27" t="s">
        <v>7</v>
      </c>
      <c r="CA681" s="27" t="s">
        <v>8</v>
      </c>
      <c r="CB681" s="27" t="s">
        <v>7</v>
      </c>
      <c r="CG681" s="27" t="s">
        <v>8</v>
      </c>
      <c r="CM681" s="27" t="s">
        <v>8</v>
      </c>
      <c r="EV681" s="27" t="s">
        <v>7</v>
      </c>
      <c r="EX681" s="27" t="s">
        <v>7</v>
      </c>
      <c r="EY681" s="27" t="s">
        <v>8</v>
      </c>
      <c r="EZ681" s="27" t="s">
        <v>7</v>
      </c>
      <c r="FA681" s="27" t="s">
        <v>8</v>
      </c>
      <c r="FB681" s="27" t="s">
        <v>7</v>
      </c>
      <c r="FC681" s="27" t="s">
        <v>8</v>
      </c>
      <c r="FF681" s="27" t="s">
        <v>7</v>
      </c>
      <c r="FG681" s="27" t="s">
        <v>8</v>
      </c>
    </row>
    <row r="682" spans="1:164" x14ac:dyDescent="0.25">
      <c r="A682" s="7">
        <v>0.15239954929176638</v>
      </c>
      <c r="B682"/>
      <c r="C682"/>
      <c r="D682"/>
      <c r="E682"/>
      <c r="AR682" s="27" t="s">
        <v>7</v>
      </c>
      <c r="AS682" s="27" t="s">
        <v>8</v>
      </c>
      <c r="AT682" s="27" t="s">
        <v>7</v>
      </c>
      <c r="AU682" s="27" t="s">
        <v>8</v>
      </c>
      <c r="BF682" s="27" t="s">
        <v>7</v>
      </c>
      <c r="BG682" s="27" t="s">
        <v>8</v>
      </c>
      <c r="BH682" s="27" t="s">
        <v>7</v>
      </c>
      <c r="BJ682" s="27" t="s">
        <v>7</v>
      </c>
      <c r="BK682" s="27" t="s">
        <v>8</v>
      </c>
      <c r="BL682" s="27" t="s">
        <v>7</v>
      </c>
      <c r="CA682" s="27" t="s">
        <v>8</v>
      </c>
      <c r="CB682" s="27" t="s">
        <v>7</v>
      </c>
      <c r="CG682" s="27" t="s">
        <v>8</v>
      </c>
      <c r="CH682" s="27" t="s">
        <v>7</v>
      </c>
      <c r="CM682" s="27" t="s">
        <v>8</v>
      </c>
      <c r="EX682" s="27" t="s">
        <v>7</v>
      </c>
      <c r="EY682" s="27" t="s">
        <v>8</v>
      </c>
      <c r="EZ682" s="27" t="s">
        <v>7</v>
      </c>
      <c r="FA682" s="27" t="s">
        <v>8</v>
      </c>
      <c r="FB682" s="27" t="s">
        <v>7</v>
      </c>
      <c r="FC682" s="27" t="s">
        <v>8</v>
      </c>
      <c r="FF682" s="27" t="s">
        <v>7</v>
      </c>
      <c r="FG682" s="27" t="s">
        <v>8</v>
      </c>
      <c r="FH682" s="27" t="s">
        <v>7</v>
      </c>
    </row>
    <row r="683" spans="1:164" x14ac:dyDescent="0.25">
      <c r="A683" s="7">
        <v>0.14941132283506509</v>
      </c>
      <c r="B683"/>
      <c r="C683"/>
      <c r="D683"/>
      <c r="E683"/>
      <c r="AR683" s="27" t="s">
        <v>7</v>
      </c>
      <c r="AS683" s="27" t="s">
        <v>8</v>
      </c>
      <c r="AT683" s="27" t="s">
        <v>7</v>
      </c>
      <c r="AU683" s="27" t="s">
        <v>8</v>
      </c>
      <c r="BF683" s="27" t="s">
        <v>7</v>
      </c>
      <c r="BG683" s="27" t="s">
        <v>8</v>
      </c>
      <c r="BJ683" s="27" t="s">
        <v>7</v>
      </c>
      <c r="BK683" s="27" t="s">
        <v>8</v>
      </c>
      <c r="BL683" s="27" t="s">
        <v>7</v>
      </c>
      <c r="CA683" s="27" t="s">
        <v>8</v>
      </c>
      <c r="CB683" s="27" t="s">
        <v>7</v>
      </c>
      <c r="CG683" s="27" t="s">
        <v>8</v>
      </c>
      <c r="CH683" s="27" t="s">
        <v>7</v>
      </c>
      <c r="CM683" s="27" t="s">
        <v>8</v>
      </c>
      <c r="EX683" s="27" t="s">
        <v>7</v>
      </c>
      <c r="EY683" s="27" t="s">
        <v>8</v>
      </c>
      <c r="EZ683" s="27" t="s">
        <v>7</v>
      </c>
      <c r="FA683" s="27" t="s">
        <v>8</v>
      </c>
      <c r="FB683" s="27" t="s">
        <v>7</v>
      </c>
      <c r="FC683" s="27" t="s">
        <v>8</v>
      </c>
      <c r="FF683" s="27" t="s">
        <v>7</v>
      </c>
      <c r="FG683" s="27" t="s">
        <v>8</v>
      </c>
      <c r="FH683" s="27" t="s">
        <v>7</v>
      </c>
    </row>
    <row r="684" spans="1:164" x14ac:dyDescent="0.25">
      <c r="A684" s="7">
        <v>0.14648168905398537</v>
      </c>
      <c r="B684"/>
      <c r="C684"/>
      <c r="D684"/>
      <c r="E684"/>
      <c r="AR684" s="27" t="s">
        <v>7</v>
      </c>
      <c r="AS684" s="27" t="s">
        <v>8</v>
      </c>
      <c r="AT684" s="27" t="s">
        <v>7</v>
      </c>
      <c r="BF684" s="27" t="s">
        <v>7</v>
      </c>
      <c r="BG684" s="27" t="s">
        <v>8</v>
      </c>
      <c r="BJ684" s="27" t="s">
        <v>7</v>
      </c>
      <c r="BK684" s="27" t="s">
        <v>8</v>
      </c>
      <c r="BL684" s="27" t="s">
        <v>7</v>
      </c>
      <c r="CA684" s="27" t="s">
        <v>8</v>
      </c>
      <c r="CB684" s="27" t="s">
        <v>7</v>
      </c>
      <c r="CG684" s="27" t="s">
        <v>8</v>
      </c>
      <c r="CH684" s="27" t="s">
        <v>7</v>
      </c>
      <c r="CM684" s="27" t="s">
        <v>8</v>
      </c>
      <c r="EX684" s="27" t="s">
        <v>7</v>
      </c>
      <c r="EY684" s="27" t="s">
        <v>8</v>
      </c>
      <c r="EZ684" s="27" t="s">
        <v>7</v>
      </c>
      <c r="FA684" s="27" t="s">
        <v>8</v>
      </c>
      <c r="FB684" s="27" t="s">
        <v>7</v>
      </c>
      <c r="FC684" s="27" t="s">
        <v>8</v>
      </c>
      <c r="FF684" s="27" t="s">
        <v>7</v>
      </c>
      <c r="FH684" s="27" t="s">
        <v>7</v>
      </c>
    </row>
    <row r="685" spans="1:164" x14ac:dyDescent="0.25">
      <c r="A685" s="7">
        <v>0.14360949907253467</v>
      </c>
      <c r="B685"/>
      <c r="C685"/>
      <c r="D685"/>
      <c r="E685"/>
      <c r="AR685" s="27" t="s">
        <v>7</v>
      </c>
      <c r="BF685" s="27" t="s">
        <v>7</v>
      </c>
      <c r="BG685" s="27" t="s">
        <v>8</v>
      </c>
      <c r="BJ685" s="27" t="s">
        <v>7</v>
      </c>
      <c r="BK685" s="27" t="s">
        <v>8</v>
      </c>
      <c r="BL685" s="27" t="s">
        <v>7</v>
      </c>
      <c r="CA685" s="27" t="s">
        <v>8</v>
      </c>
      <c r="CB685" s="27" t="s">
        <v>7</v>
      </c>
      <c r="CG685" s="27" t="s">
        <v>8</v>
      </c>
      <c r="CH685" s="27" t="s">
        <v>7</v>
      </c>
      <c r="CK685" s="27" t="s">
        <v>8</v>
      </c>
      <c r="CM685" s="27" t="s">
        <v>8</v>
      </c>
      <c r="EX685" s="27" t="s">
        <v>7</v>
      </c>
      <c r="EY685" s="27" t="s">
        <v>8</v>
      </c>
      <c r="EZ685" s="27" t="s">
        <v>7</v>
      </c>
      <c r="FA685" s="27" t="s">
        <v>8</v>
      </c>
      <c r="FB685" s="27" t="s">
        <v>7</v>
      </c>
      <c r="FC685" s="27" t="s">
        <v>8</v>
      </c>
      <c r="FH685" s="27" t="s">
        <v>7</v>
      </c>
    </row>
    <row r="686" spans="1:164" x14ac:dyDescent="0.25">
      <c r="A686" s="7">
        <v>0.14079362654170066</v>
      </c>
      <c r="B686"/>
      <c r="C686"/>
      <c r="D686"/>
      <c r="E686"/>
      <c r="BF686" s="27" t="s">
        <v>7</v>
      </c>
      <c r="BJ686" s="27" t="s">
        <v>7</v>
      </c>
      <c r="BK686" s="27" t="s">
        <v>8</v>
      </c>
      <c r="BL686" s="27" t="s">
        <v>7</v>
      </c>
      <c r="CA686" s="27" t="s">
        <v>8</v>
      </c>
      <c r="CB686" s="27" t="s">
        <v>7</v>
      </c>
      <c r="CG686" s="27" t="s">
        <v>8</v>
      </c>
      <c r="CH686" s="27" t="s">
        <v>7</v>
      </c>
      <c r="CK686" s="27" t="s">
        <v>8</v>
      </c>
      <c r="CL686" s="27" t="s">
        <v>7</v>
      </c>
      <c r="CM686" s="27" t="s">
        <v>8</v>
      </c>
      <c r="EX686" s="27" t="s">
        <v>7</v>
      </c>
      <c r="EY686" s="27" t="s">
        <v>8</v>
      </c>
      <c r="EZ686" s="27" t="s">
        <v>7</v>
      </c>
      <c r="FA686" s="27" t="s">
        <v>8</v>
      </c>
      <c r="FB686" s="27" t="s">
        <v>7</v>
      </c>
      <c r="FH686" s="27" t="s">
        <v>7</v>
      </c>
    </row>
    <row r="687" spans="1:164" x14ac:dyDescent="0.25">
      <c r="A687" s="7">
        <v>0.13803296719774574</v>
      </c>
      <c r="B687"/>
      <c r="C687"/>
      <c r="D687"/>
      <c r="E687"/>
      <c r="BJ687" s="27" t="s">
        <v>7</v>
      </c>
      <c r="BL687" s="27" t="s">
        <v>7</v>
      </c>
      <c r="CA687" s="27" t="s">
        <v>8</v>
      </c>
      <c r="CB687" s="27" t="s">
        <v>7</v>
      </c>
      <c r="CG687" s="27" t="s">
        <v>8</v>
      </c>
      <c r="CH687" s="27" t="s">
        <v>7</v>
      </c>
      <c r="CK687" s="27" t="s">
        <v>8</v>
      </c>
      <c r="CL687" s="27" t="s">
        <v>7</v>
      </c>
      <c r="CM687" s="27" t="s">
        <v>8</v>
      </c>
      <c r="EX687" s="27" t="s">
        <v>7</v>
      </c>
      <c r="EZ687" s="27" t="s">
        <v>7</v>
      </c>
      <c r="FH687" s="27" t="s">
        <v>7</v>
      </c>
    </row>
    <row r="688" spans="1:164" x14ac:dyDescent="0.25">
      <c r="A688" s="7">
        <v>0.1353264384291625</v>
      </c>
      <c r="B688"/>
      <c r="C688"/>
      <c r="D688"/>
      <c r="E688"/>
      <c r="BL688" s="27" t="s">
        <v>7</v>
      </c>
      <c r="CA688" s="27" t="s">
        <v>8</v>
      </c>
      <c r="CB688" s="27" t="s">
        <v>7</v>
      </c>
      <c r="CG688" s="27" t="s">
        <v>8</v>
      </c>
      <c r="CH688" s="27" t="s">
        <v>7</v>
      </c>
      <c r="CI688" s="27" t="s">
        <v>8</v>
      </c>
      <c r="CK688" s="27" t="s">
        <v>8</v>
      </c>
      <c r="CL688" s="27" t="s">
        <v>7</v>
      </c>
      <c r="CM688" s="27" t="s">
        <v>8</v>
      </c>
      <c r="FH688" s="27" t="s">
        <v>7</v>
      </c>
    </row>
    <row r="689" spans="1:170" x14ac:dyDescent="0.25">
      <c r="A689" s="7">
        <v>0.13267297885212009</v>
      </c>
      <c r="B689"/>
      <c r="C689"/>
      <c r="D689"/>
      <c r="E689"/>
      <c r="BL689" s="27" t="s">
        <v>7</v>
      </c>
      <c r="BO689" s="27" t="s">
        <v>8</v>
      </c>
      <c r="CA689" s="27" t="s">
        <v>8</v>
      </c>
      <c r="CB689" s="27" t="s">
        <v>7</v>
      </c>
      <c r="CC689" s="18" t="s">
        <v>8</v>
      </c>
      <c r="CG689" s="27" t="s">
        <v>8</v>
      </c>
      <c r="CH689" s="27" t="s">
        <v>7</v>
      </c>
      <c r="CI689" s="27" t="s">
        <v>8</v>
      </c>
      <c r="CJ689" s="27" t="s">
        <v>7</v>
      </c>
      <c r="CK689" s="27" t="s">
        <v>8</v>
      </c>
      <c r="CL689" s="27" t="s">
        <v>7</v>
      </c>
      <c r="CM689" s="27" t="s">
        <v>8</v>
      </c>
      <c r="FH689" s="27" t="s">
        <v>7</v>
      </c>
      <c r="FI689" s="27" t="s">
        <v>8</v>
      </c>
    </row>
    <row r="690" spans="1:170" x14ac:dyDescent="0.25">
      <c r="A690" s="7">
        <v>0.13007154789423539</v>
      </c>
      <c r="B690"/>
      <c r="C690"/>
      <c r="D690"/>
      <c r="E690"/>
      <c r="BL690" s="27" t="s">
        <v>7</v>
      </c>
      <c r="BO690" s="27" t="s">
        <v>8</v>
      </c>
      <c r="BP690" s="27" t="s">
        <v>7</v>
      </c>
      <c r="CA690" s="27" t="s">
        <v>8</v>
      </c>
      <c r="CB690" s="27" t="s">
        <v>7</v>
      </c>
      <c r="CC690" s="27" t="s">
        <v>8</v>
      </c>
      <c r="CD690" s="27" t="s">
        <v>7</v>
      </c>
      <c r="CG690" s="27" t="s">
        <v>8</v>
      </c>
      <c r="CH690" s="27" t="s">
        <v>7</v>
      </c>
      <c r="CI690" s="27" t="s">
        <v>8</v>
      </c>
      <c r="CJ690" s="27" t="s">
        <v>7</v>
      </c>
      <c r="CK690" s="27" t="s">
        <v>8</v>
      </c>
      <c r="CL690" s="27" t="s">
        <v>7</v>
      </c>
      <c r="CM690" s="27" t="s">
        <v>8</v>
      </c>
      <c r="FH690" s="27" t="s">
        <v>7</v>
      </c>
      <c r="FI690" s="27" t="s">
        <v>8</v>
      </c>
      <c r="FJ690" s="27" t="s">
        <v>7</v>
      </c>
      <c r="FK690" s="27" t="s">
        <v>8</v>
      </c>
    </row>
    <row r="691" spans="1:170" x14ac:dyDescent="0.25">
      <c r="A691" s="7">
        <v>0.12752112538650529</v>
      </c>
      <c r="B691"/>
      <c r="C691"/>
      <c r="D691"/>
      <c r="E691"/>
      <c r="BL691" s="27" t="s">
        <v>7</v>
      </c>
      <c r="BO691" s="27" t="s">
        <v>8</v>
      </c>
      <c r="BP691" s="27" t="s">
        <v>7</v>
      </c>
      <c r="CA691" s="27" t="s">
        <v>8</v>
      </c>
      <c r="CB691" s="27" t="s">
        <v>7</v>
      </c>
      <c r="CC691" s="27" t="s">
        <v>8</v>
      </c>
      <c r="CD691" s="27" t="s">
        <v>7</v>
      </c>
      <c r="CG691" s="27" t="s">
        <v>8</v>
      </c>
      <c r="CH691" s="27" t="s">
        <v>7</v>
      </c>
      <c r="CI691" s="27" t="s">
        <v>8</v>
      </c>
      <c r="CJ691" s="27" t="s">
        <v>7</v>
      </c>
      <c r="CK691" s="27" t="s">
        <v>8</v>
      </c>
      <c r="CL691" s="27" t="s">
        <v>7</v>
      </c>
      <c r="CM691" s="27" t="s">
        <v>8</v>
      </c>
      <c r="FH691" s="27" t="s">
        <v>7</v>
      </c>
      <c r="FI691" s="27" t="s">
        <v>8</v>
      </c>
      <c r="FJ691" s="27" t="s">
        <v>7</v>
      </c>
      <c r="FK691" s="27" t="s">
        <v>8</v>
      </c>
      <c r="FL691" s="27" t="s">
        <v>7</v>
      </c>
    </row>
    <row r="692" spans="1:170" x14ac:dyDescent="0.25">
      <c r="A692" s="7">
        <v>0.12502071116324048</v>
      </c>
      <c r="B692"/>
      <c r="C692"/>
      <c r="D692"/>
      <c r="E692"/>
      <c r="BL692" s="27" t="s">
        <v>7</v>
      </c>
      <c r="BO692" s="27" t="s">
        <v>8</v>
      </c>
      <c r="BP692" s="27" t="s">
        <v>7</v>
      </c>
      <c r="CA692" s="27" t="s">
        <v>8</v>
      </c>
      <c r="CB692" s="27" t="s">
        <v>7</v>
      </c>
      <c r="CC692" s="27" t="s">
        <v>8</v>
      </c>
      <c r="CD692" s="27" t="s">
        <v>7</v>
      </c>
      <c r="CG692" s="27" t="s">
        <v>8</v>
      </c>
      <c r="CH692" s="27" t="s">
        <v>7</v>
      </c>
      <c r="CI692" s="27" t="s">
        <v>8</v>
      </c>
      <c r="CJ692" s="27" t="s">
        <v>7</v>
      </c>
      <c r="CK692" s="27" t="s">
        <v>8</v>
      </c>
      <c r="CL692" s="27" t="s">
        <v>7</v>
      </c>
      <c r="FH692" s="27" t="s">
        <v>7</v>
      </c>
      <c r="FI692" s="27" t="s">
        <v>8</v>
      </c>
      <c r="FJ692" s="27" t="s">
        <v>7</v>
      </c>
      <c r="FK692" s="27" t="s">
        <v>8</v>
      </c>
      <c r="FL692" s="27" t="s">
        <v>7</v>
      </c>
    </row>
    <row r="693" spans="1:170" x14ac:dyDescent="0.25">
      <c r="A693" s="7">
        <v>0.1225693246698436</v>
      </c>
      <c r="B693"/>
      <c r="C693"/>
      <c r="D693"/>
      <c r="E693"/>
      <c r="BL693" s="27" t="s">
        <v>7</v>
      </c>
      <c r="BM693" s="27" t="s">
        <v>8</v>
      </c>
      <c r="BO693" s="27" t="s">
        <v>8</v>
      </c>
      <c r="BP693" s="27" t="s">
        <v>7</v>
      </c>
      <c r="CA693" s="27" t="s">
        <v>8</v>
      </c>
      <c r="CB693" s="27" t="s">
        <v>7</v>
      </c>
      <c r="CC693" s="27" t="s">
        <v>8</v>
      </c>
      <c r="CD693" s="27" t="s">
        <v>7</v>
      </c>
      <c r="CE693" s="27" t="s">
        <v>8</v>
      </c>
      <c r="CG693" s="27" t="s">
        <v>8</v>
      </c>
      <c r="CH693" s="27" t="s">
        <v>7</v>
      </c>
      <c r="CI693" s="27" t="s">
        <v>8</v>
      </c>
      <c r="CJ693" s="27" t="s">
        <v>7</v>
      </c>
      <c r="FH693" s="27" t="s">
        <v>7</v>
      </c>
      <c r="FI693" s="27" t="s">
        <v>8</v>
      </c>
      <c r="FJ693" s="27" t="s">
        <v>7</v>
      </c>
      <c r="FK693" s="27" t="s">
        <v>8</v>
      </c>
      <c r="FL693" s="27" t="s">
        <v>7</v>
      </c>
      <c r="FM693" s="27" t="s">
        <v>8</v>
      </c>
    </row>
    <row r="694" spans="1:170" x14ac:dyDescent="0.25">
      <c r="A694" s="7">
        <v>0.12016600457827803</v>
      </c>
      <c r="B694"/>
      <c r="C694"/>
      <c r="D694"/>
      <c r="E694"/>
      <c r="BL694" s="27" t="s">
        <v>7</v>
      </c>
      <c r="BM694" s="27" t="s">
        <v>8</v>
      </c>
      <c r="BN694" s="27" t="s">
        <v>7</v>
      </c>
      <c r="BO694" s="27" t="s">
        <v>8</v>
      </c>
      <c r="BP694" s="27" t="s">
        <v>7</v>
      </c>
      <c r="BU694" s="27" t="s">
        <v>8</v>
      </c>
      <c r="CA694" s="27" t="s">
        <v>8</v>
      </c>
      <c r="CB694" s="27" t="s">
        <v>7</v>
      </c>
      <c r="CC694" s="27" t="s">
        <v>8</v>
      </c>
      <c r="CD694" s="27" t="s">
        <v>7</v>
      </c>
      <c r="CE694" s="27" t="s">
        <v>8</v>
      </c>
      <c r="CF694" s="27" t="s">
        <v>7</v>
      </c>
      <c r="CG694" s="27" t="s">
        <v>8</v>
      </c>
      <c r="CH694" s="27" t="s">
        <v>7</v>
      </c>
      <c r="FH694" s="27" t="s">
        <v>7</v>
      </c>
      <c r="FI694" s="27" t="s">
        <v>8</v>
      </c>
      <c r="FJ694" s="27" t="s">
        <v>7</v>
      </c>
      <c r="FL694" s="27" t="s">
        <v>7</v>
      </c>
      <c r="FM694" s="27" t="s">
        <v>8</v>
      </c>
      <c r="FN694" s="27" t="s">
        <v>7</v>
      </c>
    </row>
    <row r="695" spans="1:170" x14ac:dyDescent="0.25">
      <c r="A695" s="7">
        <v>0.1178098084100765</v>
      </c>
      <c r="B695"/>
      <c r="C695"/>
      <c r="D695"/>
      <c r="E695"/>
      <c r="BL695" s="27" t="s">
        <v>7</v>
      </c>
      <c r="BM695" s="27" t="s">
        <v>8</v>
      </c>
      <c r="BN695" s="27" t="s">
        <v>7</v>
      </c>
      <c r="BO695" s="27" t="s">
        <v>8</v>
      </c>
      <c r="BP695" s="27" t="s">
        <v>7</v>
      </c>
      <c r="BU695" s="27" t="s">
        <v>8</v>
      </c>
      <c r="BV695" s="27" t="s">
        <v>7</v>
      </c>
      <c r="CA695" s="27" t="s">
        <v>8</v>
      </c>
      <c r="CB695" s="27" t="s">
        <v>7</v>
      </c>
      <c r="CC695" s="27" t="s">
        <v>8</v>
      </c>
      <c r="CD695" s="27" t="s">
        <v>7</v>
      </c>
      <c r="CE695" s="27" t="s">
        <v>8</v>
      </c>
      <c r="CF695" s="27" t="s">
        <v>7</v>
      </c>
      <c r="CG695" s="27" t="s">
        <v>8</v>
      </c>
      <c r="FH695" s="27" t="s">
        <v>7</v>
      </c>
      <c r="FI695" s="27" t="s">
        <v>8</v>
      </c>
      <c r="FL695" s="27" t="s">
        <v>7</v>
      </c>
      <c r="FM695" s="27" t="s">
        <v>8</v>
      </c>
      <c r="FN695" s="27" t="s">
        <v>7</v>
      </c>
    </row>
    <row r="696" spans="1:170" x14ac:dyDescent="0.25">
      <c r="A696" s="7">
        <v>0.11549981216674166</v>
      </c>
      <c r="B696"/>
      <c r="C696"/>
      <c r="D696"/>
      <c r="E696"/>
      <c r="BL696" s="27" t="s">
        <v>7</v>
      </c>
      <c r="BM696" s="27" t="s">
        <v>8</v>
      </c>
      <c r="BN696" s="27" t="s">
        <v>7</v>
      </c>
      <c r="BO696" s="27" t="s">
        <v>8</v>
      </c>
      <c r="BP696" s="27" t="s">
        <v>7</v>
      </c>
      <c r="BQ696" s="27" t="s">
        <v>8</v>
      </c>
      <c r="BU696" s="27" t="s">
        <v>8</v>
      </c>
      <c r="BV696" s="27" t="s">
        <v>7</v>
      </c>
      <c r="CA696" s="27" t="s">
        <v>8</v>
      </c>
      <c r="CB696" s="27" t="s">
        <v>7</v>
      </c>
      <c r="CC696" s="27" t="s">
        <v>8</v>
      </c>
      <c r="CD696" s="27" t="s">
        <v>7</v>
      </c>
      <c r="CE696" s="27" t="s">
        <v>8</v>
      </c>
      <c r="CF696" s="27" t="s">
        <v>7</v>
      </c>
      <c r="CG696" s="27" t="s">
        <v>8</v>
      </c>
      <c r="FH696" s="27" t="s">
        <v>7</v>
      </c>
      <c r="FI696" s="27" t="s">
        <v>8</v>
      </c>
      <c r="FL696" s="27" t="s">
        <v>7</v>
      </c>
      <c r="FN696" s="27" t="s">
        <v>7</v>
      </c>
    </row>
    <row r="697" spans="1:170" x14ac:dyDescent="0.25">
      <c r="A697" s="7">
        <v>0.11323510996739378</v>
      </c>
      <c r="B697"/>
      <c r="C697"/>
      <c r="D697"/>
      <c r="E697"/>
      <c r="BL697" s="27" t="s">
        <v>7</v>
      </c>
      <c r="BM697" s="27" t="s">
        <v>8</v>
      </c>
      <c r="BN697" s="27" t="s">
        <v>7</v>
      </c>
      <c r="BO697" s="27" t="s">
        <v>8</v>
      </c>
      <c r="BP697" s="27" t="s">
        <v>7</v>
      </c>
      <c r="BQ697" s="27" t="s">
        <v>8</v>
      </c>
      <c r="BR697" s="27" t="s">
        <v>7</v>
      </c>
      <c r="BU697" s="27" t="s">
        <v>8</v>
      </c>
      <c r="BV697" s="27" t="s">
        <v>7</v>
      </c>
      <c r="CA697" s="27" t="s">
        <v>8</v>
      </c>
      <c r="CB697" s="27" t="s">
        <v>7</v>
      </c>
      <c r="CC697" s="27" t="s">
        <v>8</v>
      </c>
      <c r="CD697" s="27" t="s">
        <v>7</v>
      </c>
      <c r="CE697" s="27" t="s">
        <v>8</v>
      </c>
      <c r="CF697" s="27" t="s">
        <v>7</v>
      </c>
      <c r="CG697" s="27" t="s">
        <v>8</v>
      </c>
      <c r="FH697" s="27" t="s">
        <v>7</v>
      </c>
      <c r="FN697" s="27" t="s">
        <v>7</v>
      </c>
    </row>
    <row r="698" spans="1:170" x14ac:dyDescent="0.25">
      <c r="A698" s="7">
        <v>0.11101481369352331</v>
      </c>
      <c r="B698"/>
      <c r="C698"/>
      <c r="D698"/>
      <c r="E698"/>
      <c r="BL698" s="27" t="s">
        <v>7</v>
      </c>
      <c r="BM698" s="27" t="s">
        <v>8</v>
      </c>
      <c r="BN698" s="27" t="s">
        <v>7</v>
      </c>
      <c r="BO698" s="27" t="s">
        <v>8</v>
      </c>
      <c r="BP698" s="27" t="s">
        <v>7</v>
      </c>
      <c r="BQ698" s="27" t="s">
        <v>8</v>
      </c>
      <c r="BR698" s="27" t="s">
        <v>7</v>
      </c>
      <c r="BU698" s="27" t="s">
        <v>8</v>
      </c>
      <c r="BV698" s="27" t="s">
        <v>7</v>
      </c>
      <c r="CA698" s="27" t="s">
        <v>8</v>
      </c>
      <c r="CB698" s="27" t="s">
        <v>7</v>
      </c>
      <c r="CC698" s="27" t="s">
        <v>8</v>
      </c>
      <c r="CD698" s="27" t="s">
        <v>7</v>
      </c>
      <c r="CE698" s="27" t="s">
        <v>8</v>
      </c>
      <c r="CF698" s="27" t="s">
        <v>7</v>
      </c>
      <c r="FN698" s="27" t="s">
        <v>7</v>
      </c>
    </row>
    <row r="699" spans="1:170" x14ac:dyDescent="0.25">
      <c r="A699" s="7">
        <v>0.10883805264070913</v>
      </c>
      <c r="B699"/>
      <c r="C699"/>
      <c r="D699"/>
      <c r="E699"/>
      <c r="BL699" s="27" t="s">
        <v>7</v>
      </c>
      <c r="BM699" s="27" t="s">
        <v>8</v>
      </c>
      <c r="BN699" s="27" t="s">
        <v>7</v>
      </c>
      <c r="BO699" s="27" t="s">
        <v>8</v>
      </c>
      <c r="BP699" s="27" t="s">
        <v>7</v>
      </c>
      <c r="BQ699" s="27" t="s">
        <v>8</v>
      </c>
      <c r="BR699" s="27" t="s">
        <v>7</v>
      </c>
      <c r="BS699" s="27" t="s">
        <v>8</v>
      </c>
      <c r="BU699" s="27" t="s">
        <v>8</v>
      </c>
      <c r="BV699" s="27" t="s">
        <v>7</v>
      </c>
      <c r="BW699" s="27" t="s">
        <v>8</v>
      </c>
      <c r="BY699" s="27" t="s">
        <v>8</v>
      </c>
      <c r="CA699" s="27" t="s">
        <v>8</v>
      </c>
      <c r="CB699" s="27" t="s">
        <v>7</v>
      </c>
      <c r="CC699" s="27" t="s">
        <v>8</v>
      </c>
      <c r="CD699" s="27" t="s">
        <v>7</v>
      </c>
      <c r="CE699" s="27" t="s">
        <v>8</v>
      </c>
      <c r="FN699" s="27" t="s">
        <v>7</v>
      </c>
    </row>
    <row r="700" spans="1:170" x14ac:dyDescent="0.25">
      <c r="A700" s="7">
        <v>0.10670397317716582</v>
      </c>
      <c r="B700"/>
      <c r="C700"/>
      <c r="D700"/>
      <c r="E700"/>
      <c r="BL700" s="27" t="s">
        <v>7</v>
      </c>
      <c r="BM700" s="27" t="s">
        <v>8</v>
      </c>
      <c r="BN700" s="27" t="s">
        <v>7</v>
      </c>
      <c r="BO700" s="27" t="s">
        <v>8</v>
      </c>
      <c r="BP700" s="27" t="s">
        <v>7</v>
      </c>
      <c r="BR700" s="27" t="s">
        <v>7</v>
      </c>
      <c r="BS700" s="27" t="s">
        <v>8</v>
      </c>
      <c r="BT700" s="27" t="s">
        <v>7</v>
      </c>
      <c r="BU700" s="27" t="s">
        <v>8</v>
      </c>
      <c r="BV700" s="27" t="s">
        <v>7</v>
      </c>
      <c r="BW700" s="27" t="s">
        <v>8</v>
      </c>
      <c r="BX700" s="27" t="s">
        <v>7</v>
      </c>
      <c r="BY700" s="27" t="s">
        <v>8</v>
      </c>
      <c r="BZ700" s="27" t="s">
        <v>7</v>
      </c>
      <c r="CA700" s="27" t="s">
        <v>8</v>
      </c>
      <c r="CB700" s="27" t="s">
        <v>7</v>
      </c>
      <c r="CC700" s="27" t="s">
        <v>8</v>
      </c>
      <c r="CD700" s="27" t="s">
        <v>7</v>
      </c>
      <c r="CE700" s="27" t="s">
        <v>8</v>
      </c>
      <c r="FN700" s="27" t="s">
        <v>7</v>
      </c>
    </row>
    <row r="701" spans="1:170" x14ac:dyDescent="0.25">
      <c r="A701" s="7">
        <v>0.1046117384089861</v>
      </c>
      <c r="B701"/>
      <c r="C701"/>
      <c r="D701"/>
      <c r="E701"/>
      <c r="BL701" s="27" t="s">
        <v>7</v>
      </c>
      <c r="BM701" s="27" t="s">
        <v>8</v>
      </c>
      <c r="BN701" s="27" t="s">
        <v>7</v>
      </c>
      <c r="BO701" s="27" t="s">
        <v>8</v>
      </c>
      <c r="BR701" s="27" t="s">
        <v>7</v>
      </c>
      <c r="BS701" s="27" t="s">
        <v>8</v>
      </c>
      <c r="BT701" s="27" t="s">
        <v>7</v>
      </c>
      <c r="BU701" s="27" t="s">
        <v>8</v>
      </c>
      <c r="BV701" s="27" t="s">
        <v>7</v>
      </c>
      <c r="BW701" s="27" t="s">
        <v>8</v>
      </c>
      <c r="BX701" s="27" t="s">
        <v>7</v>
      </c>
      <c r="BY701" s="27" t="s">
        <v>8</v>
      </c>
      <c r="BZ701" s="27" t="s">
        <v>7</v>
      </c>
      <c r="CA701" s="27" t="s">
        <v>8</v>
      </c>
      <c r="CB701" s="27" t="s">
        <v>7</v>
      </c>
      <c r="CC701" s="27" t="s">
        <v>8</v>
      </c>
      <c r="CD701" s="27" t="s">
        <v>7</v>
      </c>
      <c r="CE701" s="27" t="s">
        <v>8</v>
      </c>
      <c r="FN701" s="27" t="s">
        <v>7</v>
      </c>
    </row>
    <row r="702" spans="1:170" x14ac:dyDescent="0.25">
      <c r="A702" s="7">
        <v>0.10256052785194716</v>
      </c>
      <c r="B702"/>
      <c r="C702"/>
      <c r="D702"/>
      <c r="E702"/>
      <c r="BL702" s="27" t="s">
        <v>7</v>
      </c>
      <c r="BM702" s="27" t="s">
        <v>8</v>
      </c>
      <c r="BN702" s="27" t="s">
        <v>7</v>
      </c>
      <c r="BO702" s="27" t="s">
        <v>8</v>
      </c>
      <c r="BR702" s="27" t="s">
        <v>7</v>
      </c>
      <c r="BS702" s="27" t="s">
        <v>8</v>
      </c>
      <c r="BT702" s="27" t="s">
        <v>7</v>
      </c>
      <c r="BV702" s="27" t="s">
        <v>7</v>
      </c>
      <c r="BW702" s="27" t="s">
        <v>8</v>
      </c>
      <c r="BX702" s="27" t="s">
        <v>7</v>
      </c>
      <c r="BZ702" s="27" t="s">
        <v>7</v>
      </c>
      <c r="CA702" s="27" t="s">
        <v>8</v>
      </c>
      <c r="CB702" s="27" t="s">
        <v>7</v>
      </c>
      <c r="CD702" s="27" t="s">
        <v>7</v>
      </c>
      <c r="CE702" s="27" t="s">
        <v>8</v>
      </c>
      <c r="FN702" s="27" t="s">
        <v>7</v>
      </c>
    </row>
    <row r="703" spans="1:170" x14ac:dyDescent="0.25">
      <c r="A703" s="7">
        <v>0.10054953710975212</v>
      </c>
      <c r="B703"/>
      <c r="C703"/>
      <c r="D703"/>
      <c r="E703"/>
      <c r="BL703" s="27" t="s">
        <v>7</v>
      </c>
      <c r="BM703" s="27" t="s">
        <v>8</v>
      </c>
      <c r="BN703" s="27" t="s">
        <v>7</v>
      </c>
      <c r="BO703" s="27" t="s">
        <v>8</v>
      </c>
      <c r="BR703" s="27" t="s">
        <v>7</v>
      </c>
      <c r="BS703" s="27" t="s">
        <v>8</v>
      </c>
      <c r="BV703" s="27" t="s">
        <v>7</v>
      </c>
      <c r="BZ703" s="27" t="s">
        <v>7</v>
      </c>
      <c r="CD703" s="27" t="s">
        <v>7</v>
      </c>
      <c r="CE703" s="27" t="s">
        <v>8</v>
      </c>
      <c r="FN703" s="27" t="s">
        <v>7</v>
      </c>
    </row>
    <row r="704" spans="1:170" x14ac:dyDescent="0.25">
      <c r="A704" s="7">
        <v>9.8577977558580512E-2</v>
      </c>
      <c r="B704"/>
      <c r="C704"/>
      <c r="D704"/>
      <c r="E704"/>
      <c r="BL704" s="27" t="s">
        <v>7</v>
      </c>
      <c r="BM704" s="27" t="s">
        <v>8</v>
      </c>
      <c r="BN704" s="27" t="s">
        <v>7</v>
      </c>
      <c r="BO704" s="27" t="s">
        <v>8</v>
      </c>
      <c r="BR704" s="27" t="s">
        <v>7</v>
      </c>
      <c r="CD704" s="27" t="s">
        <v>7</v>
      </c>
      <c r="CE704" s="27" t="s">
        <v>8</v>
      </c>
      <c r="FN704" s="27" t="s">
        <v>7</v>
      </c>
    </row>
    <row r="705" spans="1:173" x14ac:dyDescent="0.25">
      <c r="A705" s="7">
        <v>9.6645076037824032E-2</v>
      </c>
      <c r="B705"/>
      <c r="C705"/>
      <c r="D705"/>
      <c r="E705"/>
      <c r="BL705" s="27" t="s">
        <v>7</v>
      </c>
      <c r="BM705" s="27" t="s">
        <v>8</v>
      </c>
      <c r="BN705" s="27" t="s">
        <v>7</v>
      </c>
      <c r="BO705" s="27" t="s">
        <v>8</v>
      </c>
      <c r="CD705" s="27" t="s">
        <v>7</v>
      </c>
      <c r="FN705" s="27" t="s">
        <v>7</v>
      </c>
    </row>
    <row r="706" spans="1:173" x14ac:dyDescent="0.25">
      <c r="A706" s="7">
        <v>9.4750074546886304E-2</v>
      </c>
      <c r="B706"/>
      <c r="C706"/>
      <c r="D706"/>
      <c r="E706"/>
      <c r="BL706" s="27" t="s">
        <v>7</v>
      </c>
      <c r="BM706" s="27" t="s">
        <v>8</v>
      </c>
      <c r="BN706" s="27" t="s">
        <v>7</v>
      </c>
      <c r="BO706" s="27" t="s">
        <v>8</v>
      </c>
      <c r="FN706" s="27" t="s">
        <v>7</v>
      </c>
      <c r="FQ706" s="27" t="s">
        <v>8</v>
      </c>
    </row>
    <row r="707" spans="1:173" x14ac:dyDescent="0.25">
      <c r="A707" s="7">
        <v>9.2892229947927743E-2</v>
      </c>
      <c r="B707"/>
      <c r="C707"/>
      <c r="D707"/>
      <c r="E707"/>
      <c r="BL707" s="27" t="s">
        <v>7</v>
      </c>
      <c r="BM707" s="27" t="s">
        <v>8</v>
      </c>
      <c r="BN707" s="27" t="s">
        <v>7</v>
      </c>
      <c r="BO707" s="27" t="s">
        <v>8</v>
      </c>
      <c r="FN707" s="27" t="s">
        <v>7</v>
      </c>
      <c r="FQ707" s="27" t="s">
        <v>8</v>
      </c>
    </row>
    <row r="708" spans="1:173" x14ac:dyDescent="0.25">
      <c r="A708" s="7">
        <v>9.1070813674438963E-2</v>
      </c>
      <c r="B708"/>
      <c r="C708"/>
      <c r="D708"/>
      <c r="E708"/>
      <c r="BL708" s="27" t="s">
        <v>7</v>
      </c>
      <c r="BM708" s="27" t="s">
        <v>8</v>
      </c>
      <c r="BN708" s="27" t="s">
        <v>7</v>
      </c>
      <c r="FN708" s="27" t="s">
        <v>7</v>
      </c>
      <c r="FQ708" s="27" t="s">
        <v>8</v>
      </c>
    </row>
    <row r="709" spans="1:173" x14ac:dyDescent="0.25">
      <c r="A709" s="7">
        <v>8.9285111445528392E-2</v>
      </c>
      <c r="B709"/>
      <c r="C709"/>
      <c r="D709"/>
      <c r="E709"/>
      <c r="BL709" s="27" t="s">
        <v>7</v>
      </c>
      <c r="BM709" s="27" t="s">
        <v>8</v>
      </c>
      <c r="FN709" s="27" t="s">
        <v>7</v>
      </c>
      <c r="FO709" s="27" t="s">
        <v>8</v>
      </c>
      <c r="FQ709" s="27" t="s">
        <v>8</v>
      </c>
    </row>
    <row r="710" spans="1:173" x14ac:dyDescent="0.25">
      <c r="A710" s="7">
        <v>8.7534422985812155E-2</v>
      </c>
      <c r="B710"/>
      <c r="C710"/>
      <c r="D710"/>
      <c r="E710"/>
      <c r="BL710" s="27" t="s">
        <v>7</v>
      </c>
      <c r="BM710" s="27" t="s">
        <v>8</v>
      </c>
      <c r="FN710" s="27" t="s">
        <v>7</v>
      </c>
      <c r="FO710" s="27" t="s">
        <v>8</v>
      </c>
      <c r="FP710" s="27" t="s">
        <v>7</v>
      </c>
      <c r="FQ710" s="27" t="s">
        <v>8</v>
      </c>
    </row>
    <row r="711" spans="1:173" x14ac:dyDescent="0.25">
      <c r="A711" s="7">
        <v>8.5818061750796232E-2</v>
      </c>
      <c r="B711"/>
      <c r="C711"/>
      <c r="D711"/>
      <c r="E711"/>
      <c r="BL711" s="27" t="s">
        <v>7</v>
      </c>
      <c r="BM711" s="27" t="s">
        <v>8</v>
      </c>
      <c r="FN711" s="27" t="s">
        <v>7</v>
      </c>
      <c r="FO711" s="27" t="s">
        <v>8</v>
      </c>
      <c r="FP711" s="27" t="s">
        <v>7</v>
      </c>
      <c r="FQ711" s="27" t="s">
        <v>8</v>
      </c>
    </row>
    <row r="712" spans="1:173" x14ac:dyDescent="0.25">
      <c r="A712" s="7">
        <v>8.4135354657643366E-2</v>
      </c>
      <c r="B712"/>
      <c r="C712"/>
      <c r="D712"/>
      <c r="E712"/>
      <c r="BL712" s="27" t="s">
        <v>7</v>
      </c>
      <c r="FN712" s="27" t="s">
        <v>7</v>
      </c>
      <c r="FO712" s="27" t="s">
        <v>8</v>
      </c>
      <c r="FP712" s="27" t="s">
        <v>7</v>
      </c>
      <c r="FQ712" s="27" t="s">
        <v>8</v>
      </c>
    </row>
    <row r="713" spans="1:173" x14ac:dyDescent="0.25">
      <c r="A713" s="7">
        <v>8.248564182121898E-2</v>
      </c>
      <c r="B713"/>
      <c r="C713"/>
      <c r="D713"/>
      <c r="E713"/>
      <c r="FN713" s="27" t="s">
        <v>7</v>
      </c>
      <c r="FO713" s="27" t="s">
        <v>8</v>
      </c>
      <c r="FP713" s="27" t="s">
        <v>7</v>
      </c>
      <c r="FQ713" s="27" t="s">
        <v>8</v>
      </c>
    </row>
    <row r="714" spans="1:173" x14ac:dyDescent="0.25">
      <c r="A714" s="7">
        <v>8.0868276295312735E-2</v>
      </c>
      <c r="B714"/>
      <c r="C714"/>
      <c r="D714"/>
      <c r="E714"/>
      <c r="FN714" s="27" t="s">
        <v>7</v>
      </c>
      <c r="FO714" s="27" t="s">
        <v>8</v>
      </c>
      <c r="FP714" s="27" t="s">
        <v>7</v>
      </c>
      <c r="FQ714" s="27" t="s">
        <v>8</v>
      </c>
    </row>
    <row r="715" spans="1:173" x14ac:dyDescent="0.25">
      <c r="A715" s="7">
        <v>7.9282623818934056E-2</v>
      </c>
      <c r="B715"/>
      <c r="C715"/>
      <c r="D715"/>
      <c r="E715"/>
      <c r="FN715" s="27" t="s">
        <v>7</v>
      </c>
      <c r="FP715" s="27" t="s">
        <v>7</v>
      </c>
      <c r="FQ715" s="27" t="s">
        <v>8</v>
      </c>
    </row>
    <row r="716" spans="1:173" x14ac:dyDescent="0.25">
      <c r="A716" s="7">
        <v>7.7728062567582412E-2</v>
      </c>
      <c r="B716"/>
      <c r="C716"/>
      <c r="D716"/>
      <c r="E716"/>
      <c r="FP716" s="27" t="s">
        <v>7</v>
      </c>
    </row>
    <row r="717" spans="1:173" x14ac:dyDescent="0.25">
      <c r="A717" s="7">
        <v>7.6203982909394521E-2</v>
      </c>
      <c r="B717"/>
      <c r="C717"/>
      <c r="D717"/>
      <c r="E717"/>
    </row>
    <row r="718" spans="1:173" x14ac:dyDescent="0.25">
      <c r="A718" s="7">
        <v>7.4709787166073058E-2</v>
      </c>
      <c r="B718"/>
      <c r="C718"/>
      <c r="D718"/>
      <c r="E718"/>
    </row>
    <row r="719" spans="1:173" x14ac:dyDescent="0.25">
      <c r="A719" s="7">
        <v>7.3244889378503E-2</v>
      </c>
      <c r="B719"/>
      <c r="C719"/>
      <c r="D719"/>
      <c r="E719"/>
    </row>
    <row r="720" spans="1:173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31" operator="equal">
      <formula>$U$1</formula>
    </cfRule>
    <cfRule type="cellIs" dxfId="89" priority="732" operator="equal">
      <formula>$S$1</formula>
    </cfRule>
  </conditionalFormatting>
  <conditionalFormatting sqref="D27">
    <cfRule type="cellIs" dxfId="88" priority="729" operator="equal">
      <formula>$S$1</formula>
    </cfRule>
    <cfRule type="cellIs" dxfId="87" priority="730" operator="equal">
      <formula>$U$1</formula>
    </cfRule>
  </conditionalFormatting>
  <conditionalFormatting sqref="C164">
    <cfRule type="cellIs" dxfId="86" priority="727" operator="equal">
      <formula>$U$1</formula>
    </cfRule>
    <cfRule type="cellIs" dxfId="85" priority="728" operator="equal">
      <formula>$S$1</formula>
    </cfRule>
  </conditionalFormatting>
  <conditionalFormatting sqref="D164">
    <cfRule type="cellIs" dxfId="84" priority="725" operator="equal">
      <formula>$S$1</formula>
    </cfRule>
    <cfRule type="cellIs" dxfId="83" priority="726" operator="equal">
      <formula>$U$1</formula>
    </cfRule>
  </conditionalFormatting>
  <conditionalFormatting sqref="C55">
    <cfRule type="cellIs" dxfId="82" priority="723" operator="equal">
      <formula>$U$1</formula>
    </cfRule>
    <cfRule type="cellIs" dxfId="81" priority="724" operator="equal">
      <formula>$S$1</formula>
    </cfRule>
  </conditionalFormatting>
  <conditionalFormatting sqref="D55">
    <cfRule type="cellIs" dxfId="80" priority="721" operator="equal">
      <formula>$S$1</formula>
    </cfRule>
    <cfRule type="cellIs" dxfId="79" priority="722" operator="equal">
      <formula>$U$1</formula>
    </cfRule>
  </conditionalFormatting>
  <conditionalFormatting sqref="C89">
    <cfRule type="cellIs" dxfId="78" priority="719" operator="equal">
      <formula>$U$1</formula>
    </cfRule>
    <cfRule type="cellIs" dxfId="77" priority="720" operator="equal">
      <formula>$S$1</formula>
    </cfRule>
  </conditionalFormatting>
  <conditionalFormatting sqref="D89">
    <cfRule type="cellIs" dxfId="76" priority="717" operator="equal">
      <formula>$S$1</formula>
    </cfRule>
    <cfRule type="cellIs" dxfId="75" priority="718" operator="equal">
      <formula>$U$1</formula>
    </cfRule>
  </conditionalFormatting>
  <conditionalFormatting sqref="C136">
    <cfRule type="cellIs" dxfId="74" priority="715" operator="equal">
      <formula>$U$1</formula>
    </cfRule>
    <cfRule type="cellIs" dxfId="73" priority="716" operator="equal">
      <formula>$S$1</formula>
    </cfRule>
  </conditionalFormatting>
  <conditionalFormatting sqref="D136">
    <cfRule type="cellIs" dxfId="72" priority="713" operator="equal">
      <formula>$S$1</formula>
    </cfRule>
    <cfRule type="cellIs" dxfId="71" priority="714" operator="equal">
      <formula>$U$1</formula>
    </cfRule>
  </conditionalFormatting>
  <conditionalFormatting sqref="C1">
    <cfRule type="cellIs" dxfId="70" priority="71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Q289" sqref="CQ28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$A$288</v>
      </c>
      <c r="D111" s="1" t="str">
        <f>ADDRESS(C121-1,D121,1,1)</f>
        <v>$CQ$288</v>
      </c>
      <c r="E111"/>
    </row>
    <row r="112" spans="1:5" x14ac:dyDescent="0.25">
      <c r="A112" s="30">
        <v>515.50191262726139</v>
      </c>
      <c r="C112" s="1" t="str">
        <f>ADDRESS(C121,1,1,1)</f>
        <v>$A$289</v>
      </c>
      <c r="D112" s="1" t="str">
        <f>ADDRESS(C121,D121-1,1,1)</f>
        <v>$CP$289</v>
      </c>
      <c r="E112"/>
    </row>
    <row r="113" spans="1:5" x14ac:dyDescent="0.25">
      <c r="A113" s="30">
        <v>490.95420250215363</v>
      </c>
      <c r="C113" s="1" t="str">
        <f>ADDRESS(C121+1,1,1,1)</f>
        <v>$A$290</v>
      </c>
      <c r="D113" s="1" t="str">
        <f>ADDRESS(C121-1,D121+1,1,1)</f>
        <v>$CR$288</v>
      </c>
    </row>
    <row r="114" spans="1:5" x14ac:dyDescent="0.25">
      <c r="A114" s="30">
        <v>467.57543095443202</v>
      </c>
      <c r="C114" s="1" t="str">
        <f>ADDRESS(C121,D121,1,1)</f>
        <v>$CQ$289</v>
      </c>
      <c r="D114" s="1" t="str">
        <f>ADDRESS(C121+1,D121+1,1,1)</f>
        <v>$CR$290</v>
      </c>
    </row>
    <row r="115" spans="1:5" x14ac:dyDescent="0.25">
      <c r="A115" s="30">
        <v>445.30993424231622</v>
      </c>
      <c r="C115" s="1" t="str">
        <f>ADDRESS(C121+1,D121,1,1)</f>
        <v>$CQ$290</v>
      </c>
    </row>
    <row r="116" spans="1:5" x14ac:dyDescent="0.25">
      <c r="A116" s="30">
        <v>424.10469927839637</v>
      </c>
      <c r="C116" s="1">
        <f>C117-1</f>
        <v>288</v>
      </c>
    </row>
    <row r="117" spans="1:5" x14ac:dyDescent="0.25">
      <c r="A117" s="30">
        <v>403.9092374079965</v>
      </c>
      <c r="C117" s="1">
        <f>C121</f>
        <v>289</v>
      </c>
      <c r="D117" s="1">
        <f>D121</f>
        <v>95</v>
      </c>
    </row>
    <row r="118" spans="1:5" x14ac:dyDescent="0.25">
      <c r="A118" s="30">
        <v>384.6754641980919</v>
      </c>
      <c r="C118" s="1">
        <f>C117+1</f>
        <v>290</v>
      </c>
      <c r="D118" s="1">
        <f>D117+1</f>
        <v>96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289</v>
      </c>
      <c r="D121" s="19">
        <v>95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R289</v>
      </c>
      <c r="D123" s="1" t="str">
        <f>"C"&amp;D121</f>
        <v>C95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9.1563913320997906E-2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6" x14ac:dyDescent="0.25">
      <c r="A241" s="30">
        <v>0.952380952380952</v>
      </c>
      <c r="B241"/>
      <c r="C241"/>
      <c r="D241"/>
      <c r="E241"/>
      <c r="F241" s="27" t="s">
        <v>7</v>
      </c>
    </row>
    <row r="242" spans="1:16" x14ac:dyDescent="0.25">
      <c r="A242" s="30">
        <v>0.90702947845804915</v>
      </c>
      <c r="B242"/>
      <c r="C242"/>
      <c r="D242"/>
      <c r="E242"/>
      <c r="F242" s="27" t="s">
        <v>7</v>
      </c>
    </row>
    <row r="243" spans="1:16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</row>
    <row r="244" spans="1:16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</row>
    <row r="245" spans="1:16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</row>
    <row r="246" spans="1:16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</row>
    <row r="247" spans="1:16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</row>
    <row r="248" spans="1:16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</row>
    <row r="249" spans="1:16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</row>
    <row r="250" spans="1:16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K250" s="27" t="s">
        <v>8</v>
      </c>
    </row>
    <row r="251" spans="1:16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K251" s="27" t="s">
        <v>8</v>
      </c>
      <c r="L251" s="27" t="s">
        <v>7</v>
      </c>
    </row>
    <row r="252" spans="1:16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M252" s="27" t="s">
        <v>8</v>
      </c>
    </row>
    <row r="253" spans="1:16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J253" s="27" t="s">
        <v>7</v>
      </c>
      <c r="K253" s="27" t="s">
        <v>8</v>
      </c>
      <c r="L253" s="27" t="s">
        <v>7</v>
      </c>
      <c r="M253" s="27" t="s">
        <v>8</v>
      </c>
      <c r="N253" s="27" t="s">
        <v>7</v>
      </c>
      <c r="O253" s="27" t="s">
        <v>8</v>
      </c>
    </row>
    <row r="254" spans="1:16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J254" s="27" t="s">
        <v>7</v>
      </c>
      <c r="L254" s="27" t="s">
        <v>7</v>
      </c>
      <c r="M254" s="27" t="s">
        <v>8</v>
      </c>
      <c r="N254" s="27" t="s">
        <v>7</v>
      </c>
      <c r="O254" s="27" t="s">
        <v>8</v>
      </c>
      <c r="P254" s="27" t="s">
        <v>7</v>
      </c>
    </row>
    <row r="255" spans="1:16" x14ac:dyDescent="0.25">
      <c r="A255" s="30">
        <v>0.48101709809096732</v>
      </c>
      <c r="E255"/>
      <c r="F255" s="27" t="s">
        <v>7</v>
      </c>
      <c r="G255" s="27" t="s">
        <v>8</v>
      </c>
      <c r="L255" s="27" t="s">
        <v>7</v>
      </c>
      <c r="M255" s="27" t="s">
        <v>8</v>
      </c>
      <c r="N255" s="27" t="s">
        <v>7</v>
      </c>
      <c r="O255" s="27" t="s">
        <v>8</v>
      </c>
      <c r="P255" s="27" t="s">
        <v>7</v>
      </c>
    </row>
    <row r="256" spans="1:16" x14ac:dyDescent="0.25">
      <c r="A256" s="30">
        <v>0.45811152199139726</v>
      </c>
      <c r="E256"/>
      <c r="F256" s="27" t="s">
        <v>7</v>
      </c>
      <c r="G256" s="27" t="s">
        <v>8</v>
      </c>
      <c r="L256" s="27" t="s">
        <v>7</v>
      </c>
      <c r="M256" s="27" t="s">
        <v>8</v>
      </c>
      <c r="N256" s="27" t="s">
        <v>7</v>
      </c>
      <c r="O256" s="27" t="s">
        <v>8</v>
      </c>
      <c r="P256" s="27" t="s">
        <v>7</v>
      </c>
    </row>
    <row r="257" spans="1:86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L257" s="27" t="s">
        <v>7</v>
      </c>
      <c r="M257" s="27" t="s">
        <v>8</v>
      </c>
      <c r="N257" s="27" t="s">
        <v>7</v>
      </c>
      <c r="O257" s="27" t="s">
        <v>8</v>
      </c>
      <c r="P257" s="27" t="s">
        <v>7</v>
      </c>
      <c r="W257" s="27" t="s">
        <v>8</v>
      </c>
      <c r="Y257" s="27" t="s">
        <v>8</v>
      </c>
      <c r="BO257" s="27" t="s">
        <v>8</v>
      </c>
    </row>
    <row r="258" spans="1:86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L258" s="27" t="s">
        <v>7</v>
      </c>
      <c r="M258" s="27" t="s">
        <v>8</v>
      </c>
      <c r="N258" s="27" t="s">
        <v>7</v>
      </c>
      <c r="O258" s="27" t="s">
        <v>8</v>
      </c>
      <c r="P258" s="27" t="s">
        <v>7</v>
      </c>
      <c r="W258" s="27" t="s">
        <v>8</v>
      </c>
      <c r="X258" s="27" t="s">
        <v>7</v>
      </c>
      <c r="Y258" s="27" t="s">
        <v>8</v>
      </c>
      <c r="Z258" s="27" t="s">
        <v>7</v>
      </c>
      <c r="BO258" s="27" t="s">
        <v>8</v>
      </c>
      <c r="BP258" s="27" t="s">
        <v>7</v>
      </c>
    </row>
    <row r="259" spans="1:86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L259" s="27" t="s">
        <v>7</v>
      </c>
      <c r="M259" s="27" t="s">
        <v>8</v>
      </c>
      <c r="N259" s="27" t="s">
        <v>7</v>
      </c>
      <c r="P259" s="27" t="s">
        <v>7</v>
      </c>
      <c r="W259" s="27" t="s">
        <v>8</v>
      </c>
      <c r="X259" s="27" t="s">
        <v>7</v>
      </c>
      <c r="Y259" s="27" t="s">
        <v>8</v>
      </c>
      <c r="Z259" s="27" t="s">
        <v>7</v>
      </c>
      <c r="BO259" s="27" t="s">
        <v>8</v>
      </c>
      <c r="BP259" s="27" t="s">
        <v>7</v>
      </c>
    </row>
    <row r="260" spans="1:86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L260" s="27" t="s">
        <v>7</v>
      </c>
      <c r="P260" s="27" t="s">
        <v>7</v>
      </c>
      <c r="W260" s="27" t="s">
        <v>8</v>
      </c>
      <c r="X260" s="27" t="s">
        <v>7</v>
      </c>
      <c r="Y260" s="27" t="s">
        <v>8</v>
      </c>
      <c r="Z260" s="27" t="s">
        <v>7</v>
      </c>
      <c r="BO260" s="27" t="s">
        <v>8</v>
      </c>
      <c r="BP260" s="27" t="s">
        <v>7</v>
      </c>
    </row>
    <row r="261" spans="1:86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P261" s="27" t="s">
        <v>7</v>
      </c>
      <c r="U261" s="27" t="s">
        <v>8</v>
      </c>
      <c r="W261" s="27" t="s">
        <v>8</v>
      </c>
      <c r="X261" s="27" t="s">
        <v>7</v>
      </c>
      <c r="Y261" s="27" t="s">
        <v>8</v>
      </c>
      <c r="Z261" s="27" t="s">
        <v>7</v>
      </c>
      <c r="BO261" s="27" t="s">
        <v>8</v>
      </c>
      <c r="BP261" s="27" t="s">
        <v>7</v>
      </c>
    </row>
    <row r="262" spans="1:86" x14ac:dyDescent="0.25">
      <c r="A262" s="30">
        <v>0.34184987108661891</v>
      </c>
      <c r="B262"/>
      <c r="C262"/>
      <c r="D262"/>
      <c r="E262"/>
      <c r="F262" s="27" t="s">
        <v>7</v>
      </c>
      <c r="P262" s="27" t="s">
        <v>7</v>
      </c>
      <c r="Q262" s="27" t="s">
        <v>8</v>
      </c>
      <c r="U262" s="27" t="s">
        <v>8</v>
      </c>
      <c r="V262" s="27" t="s">
        <v>7</v>
      </c>
      <c r="W262" s="27" t="s">
        <v>8</v>
      </c>
      <c r="X262" s="27" t="s">
        <v>7</v>
      </c>
      <c r="Y262" s="27" t="s">
        <v>8</v>
      </c>
      <c r="Z262" s="27" t="s">
        <v>7</v>
      </c>
      <c r="BO262" s="27" t="s">
        <v>8</v>
      </c>
      <c r="BP262" s="27" t="s">
        <v>7</v>
      </c>
    </row>
    <row r="263" spans="1:86" x14ac:dyDescent="0.25">
      <c r="A263" s="30">
        <v>0.32557130579677979</v>
      </c>
      <c r="B263"/>
      <c r="C263"/>
      <c r="D263"/>
      <c r="E263"/>
      <c r="P263" s="27" t="s">
        <v>7</v>
      </c>
      <c r="Q263" s="27" t="s">
        <v>8</v>
      </c>
      <c r="R263" s="27" t="s">
        <v>7</v>
      </c>
      <c r="U263" s="27" t="s">
        <v>8</v>
      </c>
      <c r="V263" s="27" t="s">
        <v>7</v>
      </c>
      <c r="W263" s="27" t="s">
        <v>8</v>
      </c>
      <c r="X263" s="27" t="s">
        <v>7</v>
      </c>
      <c r="Y263" s="27" t="s">
        <v>8</v>
      </c>
      <c r="Z263" s="27" t="s">
        <v>7</v>
      </c>
      <c r="BI263" s="27" t="s">
        <v>8</v>
      </c>
      <c r="BO263" s="27" t="s">
        <v>8</v>
      </c>
      <c r="BP263" s="27" t="s">
        <v>7</v>
      </c>
    </row>
    <row r="264" spans="1:86" x14ac:dyDescent="0.25">
      <c r="A264" s="30">
        <v>0.3100679102826473</v>
      </c>
      <c r="B264"/>
      <c r="C264"/>
      <c r="D264"/>
      <c r="E264"/>
      <c r="P264" s="27" t="s">
        <v>7</v>
      </c>
      <c r="Q264" s="27" t="s">
        <v>8</v>
      </c>
      <c r="R264" s="27" t="s">
        <v>7</v>
      </c>
      <c r="U264" s="27" t="s">
        <v>8</v>
      </c>
      <c r="V264" s="27" t="s">
        <v>7</v>
      </c>
      <c r="X264" s="27" t="s">
        <v>7</v>
      </c>
      <c r="Y264" s="27" t="s">
        <v>8</v>
      </c>
      <c r="Z264" s="27" t="s">
        <v>7</v>
      </c>
      <c r="BI264" s="27" t="s">
        <v>8</v>
      </c>
      <c r="BJ264" s="27" t="s">
        <v>7</v>
      </c>
      <c r="BO264" s="27" t="s">
        <v>8</v>
      </c>
      <c r="BP264" s="27" t="s">
        <v>7</v>
      </c>
      <c r="CG264" s="27" t="s">
        <v>8</v>
      </c>
    </row>
    <row r="265" spans="1:86" x14ac:dyDescent="0.25">
      <c r="A265" s="30">
        <v>0.2953027716977592</v>
      </c>
      <c r="B265"/>
      <c r="C265"/>
      <c r="D265"/>
      <c r="E265"/>
      <c r="P265" s="27" t="s">
        <v>7</v>
      </c>
      <c r="R265" s="27" t="s">
        <v>7</v>
      </c>
      <c r="U265" s="27" t="s">
        <v>8</v>
      </c>
      <c r="X265" s="27" t="s">
        <v>7</v>
      </c>
      <c r="Y265" s="27" t="s">
        <v>8</v>
      </c>
      <c r="Z265" s="27" t="s">
        <v>7</v>
      </c>
      <c r="BI265" s="27" t="s">
        <v>8</v>
      </c>
      <c r="BJ265" s="27" t="s">
        <v>7</v>
      </c>
      <c r="BO265" s="27" t="s">
        <v>8</v>
      </c>
      <c r="BP265" s="27" t="s">
        <v>7</v>
      </c>
      <c r="BW265" s="27" t="s">
        <v>8</v>
      </c>
      <c r="CG265" s="27" t="s">
        <v>8</v>
      </c>
      <c r="CH265" s="27" t="s">
        <v>7</v>
      </c>
    </row>
    <row r="266" spans="1:86" x14ac:dyDescent="0.25">
      <c r="A266" s="30">
        <v>0.28124073495024676</v>
      </c>
      <c r="B266"/>
      <c r="C266"/>
      <c r="D266"/>
      <c r="E266"/>
      <c r="R266" s="27" t="s">
        <v>7</v>
      </c>
      <c r="S266" s="27" t="s">
        <v>8</v>
      </c>
      <c r="U266" s="27" t="s">
        <v>8</v>
      </c>
      <c r="X266" s="27" t="s">
        <v>7</v>
      </c>
      <c r="Y266" s="27" t="s">
        <v>8</v>
      </c>
      <c r="Z266" s="27" t="s">
        <v>7</v>
      </c>
      <c r="BG266" s="27" t="s">
        <v>8</v>
      </c>
      <c r="BI266" s="27" t="s">
        <v>8</v>
      </c>
      <c r="BJ266" s="27" t="s">
        <v>7</v>
      </c>
      <c r="BO266" s="27" t="s">
        <v>8</v>
      </c>
      <c r="BP266" s="27" t="s">
        <v>7</v>
      </c>
      <c r="BW266" s="27" t="s">
        <v>8</v>
      </c>
      <c r="BX266" s="27" t="s">
        <v>7</v>
      </c>
      <c r="CG266" s="27" t="s">
        <v>8</v>
      </c>
      <c r="CH266" s="27" t="s">
        <v>7</v>
      </c>
    </row>
    <row r="267" spans="1:86" x14ac:dyDescent="0.25">
      <c r="A267" s="30">
        <v>0.26784831900023492</v>
      </c>
      <c r="B267"/>
      <c r="C267"/>
      <c r="D267"/>
      <c r="E267"/>
      <c r="R267" s="27" t="s">
        <v>7</v>
      </c>
      <c r="S267" s="27" t="s">
        <v>8</v>
      </c>
      <c r="T267" s="27" t="s">
        <v>7</v>
      </c>
      <c r="U267" s="27" t="s">
        <v>8</v>
      </c>
      <c r="X267" s="27" t="s">
        <v>7</v>
      </c>
      <c r="Y267" s="27" t="s">
        <v>8</v>
      </c>
      <c r="Z267" s="27" t="s">
        <v>7</v>
      </c>
      <c r="BG267" s="27" t="s">
        <v>8</v>
      </c>
      <c r="BH267" s="27" t="s">
        <v>7</v>
      </c>
      <c r="BI267" s="27" t="s">
        <v>8</v>
      </c>
      <c r="BJ267" s="27" t="s">
        <v>7</v>
      </c>
      <c r="BK267" s="27" t="s">
        <v>8</v>
      </c>
      <c r="BO267" s="27" t="s">
        <v>8</v>
      </c>
      <c r="BP267" s="27" t="s">
        <v>7</v>
      </c>
      <c r="BW267" s="27" t="s">
        <v>8</v>
      </c>
      <c r="BX267" s="27" t="s">
        <v>7</v>
      </c>
      <c r="BY267" s="27" t="s">
        <v>8</v>
      </c>
      <c r="CG267" s="27" t="s">
        <v>8</v>
      </c>
      <c r="CH267" s="27" t="s">
        <v>7</v>
      </c>
    </row>
    <row r="268" spans="1:86" x14ac:dyDescent="0.25">
      <c r="A268" s="30">
        <v>0.25509363714308075</v>
      </c>
      <c r="B268"/>
      <c r="C268"/>
      <c r="D268"/>
      <c r="E268"/>
      <c r="R268" s="27" t="s">
        <v>7</v>
      </c>
      <c r="S268" s="27" t="s">
        <v>8</v>
      </c>
      <c r="T268" s="27" t="s">
        <v>7</v>
      </c>
      <c r="U268" s="27" t="s">
        <v>8</v>
      </c>
      <c r="X268" s="27" t="s">
        <v>7</v>
      </c>
      <c r="Z268" s="27" t="s">
        <v>7</v>
      </c>
      <c r="AA268" s="27" t="s">
        <v>8</v>
      </c>
      <c r="BE268" s="27" t="s">
        <v>8</v>
      </c>
      <c r="BG268" s="27" t="s">
        <v>8</v>
      </c>
      <c r="BH268" s="27" t="s">
        <v>7</v>
      </c>
      <c r="BI268" s="27" t="s">
        <v>8</v>
      </c>
      <c r="BJ268" s="27" t="s">
        <v>7</v>
      </c>
      <c r="BK268" s="27" t="s">
        <v>8</v>
      </c>
      <c r="BL268" s="27" t="s">
        <v>7</v>
      </c>
      <c r="BM268" s="27" t="s">
        <v>8</v>
      </c>
      <c r="BO268" s="27" t="s">
        <v>8</v>
      </c>
      <c r="BP268" s="27" t="s">
        <v>7</v>
      </c>
      <c r="BQ268" s="27" t="s">
        <v>8</v>
      </c>
      <c r="BU268" s="27" t="s">
        <v>8</v>
      </c>
      <c r="BW268" s="27" t="s">
        <v>8</v>
      </c>
      <c r="BX268" s="27" t="s">
        <v>7</v>
      </c>
      <c r="BY268" s="27" t="s">
        <v>8</v>
      </c>
      <c r="BZ268" s="27" t="s">
        <v>7</v>
      </c>
      <c r="CA268" s="27" t="s">
        <v>8</v>
      </c>
      <c r="CE268" s="27" t="s">
        <v>8</v>
      </c>
      <c r="CG268" s="27" t="s">
        <v>8</v>
      </c>
      <c r="CH268" s="27" t="s">
        <v>7</v>
      </c>
    </row>
    <row r="269" spans="1:86" x14ac:dyDescent="0.25">
      <c r="A269" s="30">
        <v>0.24294632108864825</v>
      </c>
      <c r="B269"/>
      <c r="C269"/>
      <c r="D269"/>
      <c r="E269"/>
      <c r="R269" s="27" t="s">
        <v>7</v>
      </c>
      <c r="T269" s="27" t="s">
        <v>7</v>
      </c>
      <c r="U269" s="27" t="s">
        <v>8</v>
      </c>
      <c r="Z269" s="27" t="s">
        <v>7</v>
      </c>
      <c r="AA269" s="27" t="s">
        <v>8</v>
      </c>
      <c r="AB269" s="27" t="s">
        <v>7</v>
      </c>
      <c r="BC269" s="27" t="s">
        <v>8</v>
      </c>
      <c r="BE269" s="27" t="s">
        <v>8</v>
      </c>
      <c r="BF269" s="27" t="s">
        <v>7</v>
      </c>
      <c r="BG269" s="27" t="s">
        <v>8</v>
      </c>
      <c r="BH269" s="27" t="s">
        <v>7</v>
      </c>
      <c r="BI269" s="27" t="s">
        <v>8</v>
      </c>
      <c r="BJ269" s="27" t="s">
        <v>7</v>
      </c>
      <c r="BK269" s="27" t="s">
        <v>8</v>
      </c>
      <c r="BL269" s="27" t="s">
        <v>7</v>
      </c>
      <c r="BM269" s="27" t="s">
        <v>8</v>
      </c>
      <c r="BN269" s="27" t="s">
        <v>7</v>
      </c>
      <c r="BO269" s="27" t="s">
        <v>8</v>
      </c>
      <c r="BP269" s="27" t="s">
        <v>7</v>
      </c>
      <c r="BQ269" s="27" t="s">
        <v>8</v>
      </c>
      <c r="BR269" s="27" t="s">
        <v>7</v>
      </c>
      <c r="BS269" s="27" t="s">
        <v>8</v>
      </c>
      <c r="BU269" s="27" t="s">
        <v>8</v>
      </c>
      <c r="BV269" s="27" t="s">
        <v>7</v>
      </c>
      <c r="BW269" s="27" t="s">
        <v>8</v>
      </c>
      <c r="BX269" s="27" t="s">
        <v>7</v>
      </c>
      <c r="BY269" s="27" t="s">
        <v>8</v>
      </c>
      <c r="BZ269" s="27" t="s">
        <v>7</v>
      </c>
      <c r="CA269" s="27" t="s">
        <v>8</v>
      </c>
      <c r="CB269" s="27" t="s">
        <v>7</v>
      </c>
      <c r="CC269" s="27" t="s">
        <v>8</v>
      </c>
      <c r="CE269" s="27" t="s">
        <v>8</v>
      </c>
      <c r="CF269" s="27" t="s">
        <v>7</v>
      </c>
      <c r="CG269" s="27" t="s">
        <v>8</v>
      </c>
      <c r="CH269" s="27" t="s">
        <v>7</v>
      </c>
    </row>
    <row r="270" spans="1:86" x14ac:dyDescent="0.25">
      <c r="A270" s="30">
        <v>0.23137744865585538</v>
      </c>
      <c r="B270"/>
      <c r="C270"/>
      <c r="D270"/>
      <c r="E270"/>
      <c r="T270" s="27" t="s">
        <v>7</v>
      </c>
      <c r="Z270" s="27" t="s">
        <v>7</v>
      </c>
      <c r="AA270" s="27" t="s">
        <v>8</v>
      </c>
      <c r="AB270" s="27" t="s">
        <v>7</v>
      </c>
      <c r="BC270" s="27" t="s">
        <v>8</v>
      </c>
      <c r="BD270" s="27" t="s">
        <v>7</v>
      </c>
      <c r="BE270" s="27" t="s">
        <v>8</v>
      </c>
      <c r="BF270" s="27" t="s">
        <v>7</v>
      </c>
      <c r="BG270" s="27" t="s">
        <v>8</v>
      </c>
      <c r="BH270" s="27" t="s">
        <v>7</v>
      </c>
      <c r="BI270" s="27" t="s">
        <v>8</v>
      </c>
      <c r="BJ270" s="27" t="s">
        <v>7</v>
      </c>
      <c r="BK270" s="27" t="s">
        <v>8</v>
      </c>
      <c r="BL270" s="27" t="s">
        <v>7</v>
      </c>
      <c r="BM270" s="27" t="s">
        <v>8</v>
      </c>
      <c r="BN270" s="27" t="s">
        <v>7</v>
      </c>
      <c r="BO270" s="27" t="s">
        <v>8</v>
      </c>
      <c r="BP270" s="27" t="s">
        <v>7</v>
      </c>
      <c r="BQ270" s="27" t="s">
        <v>8</v>
      </c>
      <c r="BR270" s="27" t="s">
        <v>7</v>
      </c>
      <c r="BS270" s="27" t="s">
        <v>8</v>
      </c>
      <c r="BT270" s="27" t="s">
        <v>7</v>
      </c>
      <c r="BU270" s="27" t="s">
        <v>8</v>
      </c>
      <c r="BV270" s="27" t="s">
        <v>7</v>
      </c>
      <c r="BW270" s="27" t="s">
        <v>8</v>
      </c>
      <c r="BX270" s="27" t="s">
        <v>7</v>
      </c>
      <c r="BZ270" s="27" t="s">
        <v>7</v>
      </c>
      <c r="CA270" s="27" t="s">
        <v>8</v>
      </c>
      <c r="CB270" s="27" t="s">
        <v>7</v>
      </c>
      <c r="CC270" s="27" t="s">
        <v>8</v>
      </c>
      <c r="CD270" s="27" t="s">
        <v>7</v>
      </c>
      <c r="CE270" s="27" t="s">
        <v>8</v>
      </c>
      <c r="CF270" s="27" t="s">
        <v>7</v>
      </c>
      <c r="CG270" s="27" t="s">
        <v>8</v>
      </c>
      <c r="CH270" s="27" t="s">
        <v>7</v>
      </c>
    </row>
    <row r="271" spans="1:86" x14ac:dyDescent="0.25">
      <c r="A271" s="30">
        <v>0.22035947491033836</v>
      </c>
      <c r="B271"/>
      <c r="C271"/>
      <c r="D271"/>
      <c r="E271"/>
      <c r="Z271" s="27" t="s">
        <v>7</v>
      </c>
      <c r="AA271" s="27" t="s">
        <v>8</v>
      </c>
      <c r="AB271" s="27" t="s">
        <v>7</v>
      </c>
      <c r="BC271" s="27" t="s">
        <v>8</v>
      </c>
      <c r="BD271" s="27" t="s">
        <v>7</v>
      </c>
      <c r="BE271" s="27" t="s">
        <v>8</v>
      </c>
      <c r="BF271" s="27" t="s">
        <v>7</v>
      </c>
      <c r="BG271" s="27" t="s">
        <v>8</v>
      </c>
      <c r="BH271" s="27" t="s">
        <v>7</v>
      </c>
      <c r="BI271" s="27" t="s">
        <v>8</v>
      </c>
      <c r="BJ271" s="27" t="s">
        <v>7</v>
      </c>
      <c r="BK271" s="27" t="s">
        <v>8</v>
      </c>
      <c r="BL271" s="27" t="s">
        <v>7</v>
      </c>
      <c r="BN271" s="27" t="s">
        <v>7</v>
      </c>
      <c r="BP271" s="27" t="s">
        <v>7</v>
      </c>
      <c r="BQ271" s="27" t="s">
        <v>8</v>
      </c>
      <c r="BR271" s="27" t="s">
        <v>7</v>
      </c>
      <c r="BS271" s="27" t="s">
        <v>8</v>
      </c>
      <c r="BT271" s="27" t="s">
        <v>7</v>
      </c>
      <c r="BU271" s="27" t="s">
        <v>8</v>
      </c>
      <c r="BV271" s="27" t="s">
        <v>7</v>
      </c>
      <c r="BW271" s="27" t="s">
        <v>8</v>
      </c>
      <c r="BZ271" s="27" t="s">
        <v>7</v>
      </c>
      <c r="CB271" s="27" t="s">
        <v>7</v>
      </c>
      <c r="CC271" s="27" t="s">
        <v>8</v>
      </c>
      <c r="CD271" s="27" t="s">
        <v>7</v>
      </c>
      <c r="CE271" s="27" t="s">
        <v>8</v>
      </c>
      <c r="CF271" s="27" t="s">
        <v>7</v>
      </c>
      <c r="CH271" s="27" t="s">
        <v>7</v>
      </c>
    </row>
    <row r="272" spans="1:86" x14ac:dyDescent="0.25">
      <c r="A272" s="30">
        <v>0.20986616658127455</v>
      </c>
      <c r="B272"/>
      <c r="C272"/>
      <c r="D272"/>
      <c r="E272"/>
      <c r="Z272" s="27" t="s">
        <v>7</v>
      </c>
      <c r="AA272" s="27" t="s">
        <v>8</v>
      </c>
      <c r="AB272" s="27" t="s">
        <v>7</v>
      </c>
      <c r="AE272" s="27" t="s">
        <v>8</v>
      </c>
      <c r="AI272" s="27" t="s">
        <v>8</v>
      </c>
      <c r="BC272" s="27" t="s">
        <v>8</v>
      </c>
      <c r="BD272" s="27" t="s">
        <v>7</v>
      </c>
      <c r="BE272" s="27" t="s">
        <v>8</v>
      </c>
      <c r="BF272" s="27" t="s">
        <v>7</v>
      </c>
      <c r="BG272" s="27" t="s">
        <v>8</v>
      </c>
      <c r="BH272" s="27" t="s">
        <v>7</v>
      </c>
      <c r="BJ272" s="27" t="s">
        <v>7</v>
      </c>
      <c r="BK272" s="27" t="s">
        <v>8</v>
      </c>
      <c r="BP272" s="27" t="s">
        <v>7</v>
      </c>
      <c r="BR272" s="27" t="s">
        <v>7</v>
      </c>
      <c r="BS272" s="27" t="s">
        <v>8</v>
      </c>
      <c r="BT272" s="27" t="s">
        <v>7</v>
      </c>
      <c r="BV272" s="27" t="s">
        <v>7</v>
      </c>
      <c r="CB272" s="27" t="s">
        <v>7</v>
      </c>
      <c r="CD272" s="27" t="s">
        <v>7</v>
      </c>
      <c r="CH272" s="27" t="s">
        <v>7</v>
      </c>
    </row>
    <row r="273" spans="1:94" x14ac:dyDescent="0.25">
      <c r="A273" s="30">
        <v>0.19987253960121379</v>
      </c>
      <c r="B273"/>
      <c r="C273"/>
      <c r="D273"/>
      <c r="E273"/>
      <c r="Z273" s="27" t="s">
        <v>7</v>
      </c>
      <c r="AA273" s="27" t="s">
        <v>8</v>
      </c>
      <c r="AB273" s="27" t="s">
        <v>7</v>
      </c>
      <c r="AC273" s="27" t="s">
        <v>8</v>
      </c>
      <c r="AE273" s="27" t="s">
        <v>8</v>
      </c>
      <c r="AF273" s="27" t="s">
        <v>7</v>
      </c>
      <c r="AG273" s="27" t="s">
        <v>8</v>
      </c>
      <c r="AI273" s="27" t="s">
        <v>8</v>
      </c>
      <c r="AJ273" s="27" t="s">
        <v>7</v>
      </c>
      <c r="BC273" s="27" t="s">
        <v>8</v>
      </c>
      <c r="BD273" s="27" t="s">
        <v>7</v>
      </c>
      <c r="BE273" s="27" t="s">
        <v>8</v>
      </c>
      <c r="BF273" s="27" t="s">
        <v>7</v>
      </c>
      <c r="BG273" s="27" t="s">
        <v>8</v>
      </c>
      <c r="BJ273" s="27" t="s">
        <v>7</v>
      </c>
      <c r="BK273" s="27" t="s">
        <v>8</v>
      </c>
      <c r="BR273" s="27" t="s">
        <v>7</v>
      </c>
      <c r="CH273" s="27" t="s">
        <v>7</v>
      </c>
      <c r="CM273" s="27" t="s">
        <v>8</v>
      </c>
    </row>
    <row r="274" spans="1:94" x14ac:dyDescent="0.25">
      <c r="A274" s="30">
        <v>0.19035479962020352</v>
      </c>
      <c r="B274"/>
      <c r="C274"/>
      <c r="D274"/>
      <c r="E274"/>
      <c r="Z274" s="27" t="s">
        <v>7</v>
      </c>
      <c r="AA274" s="27" t="s">
        <v>8</v>
      </c>
      <c r="AB274" s="27" t="s">
        <v>7</v>
      </c>
      <c r="AC274" s="27" t="s">
        <v>8</v>
      </c>
      <c r="AD274" s="27" t="s">
        <v>7</v>
      </c>
      <c r="AE274" s="27" t="s">
        <v>8</v>
      </c>
      <c r="AF274" s="27" t="s">
        <v>7</v>
      </c>
      <c r="AG274" s="27" t="s">
        <v>8</v>
      </c>
      <c r="AH274" s="27" t="s">
        <v>7</v>
      </c>
      <c r="AI274" s="27" t="s">
        <v>8</v>
      </c>
      <c r="AJ274" s="27" t="s">
        <v>7</v>
      </c>
      <c r="AK274" s="27" t="s">
        <v>8</v>
      </c>
      <c r="BC274" s="27" t="s">
        <v>8</v>
      </c>
      <c r="BD274" s="27" t="s">
        <v>7</v>
      </c>
      <c r="BE274" s="27" t="s">
        <v>8</v>
      </c>
      <c r="BF274" s="27" t="s">
        <v>7</v>
      </c>
      <c r="BJ274" s="27" t="s">
        <v>7</v>
      </c>
      <c r="CH274" s="27" t="s">
        <v>7</v>
      </c>
      <c r="CI274" s="27" t="s">
        <v>8</v>
      </c>
      <c r="CM274" s="27" t="s">
        <v>8</v>
      </c>
      <c r="CN274" s="27" t="s">
        <v>7</v>
      </c>
    </row>
    <row r="275" spans="1:94" x14ac:dyDescent="0.25">
      <c r="A275" s="30">
        <v>0.18129028535257471</v>
      </c>
      <c r="B275"/>
      <c r="C275"/>
      <c r="D275"/>
      <c r="E275"/>
      <c r="Z275" s="27" t="s">
        <v>7</v>
      </c>
      <c r="AA275" s="27" t="s">
        <v>8</v>
      </c>
      <c r="AB275" s="27" t="s">
        <v>7</v>
      </c>
      <c r="AC275" s="27" t="s">
        <v>8</v>
      </c>
      <c r="AD275" s="27" t="s">
        <v>7</v>
      </c>
      <c r="AE275" s="27" t="s">
        <v>8</v>
      </c>
      <c r="AF275" s="27" t="s">
        <v>7</v>
      </c>
      <c r="AG275" s="27" t="s">
        <v>8</v>
      </c>
      <c r="AH275" s="27" t="s">
        <v>7</v>
      </c>
      <c r="AI275" s="27" t="s">
        <v>8</v>
      </c>
      <c r="AJ275" s="27" t="s">
        <v>7</v>
      </c>
      <c r="AK275" s="27" t="s">
        <v>8</v>
      </c>
      <c r="AL275" s="27" t="s">
        <v>7</v>
      </c>
      <c r="AM275" s="27" t="s">
        <v>8</v>
      </c>
      <c r="BC275" s="27" t="s">
        <v>8</v>
      </c>
      <c r="BD275" s="27" t="s">
        <v>7</v>
      </c>
      <c r="BE275" s="27" t="s">
        <v>8</v>
      </c>
      <c r="CH275" s="27" t="s">
        <v>7</v>
      </c>
      <c r="CI275" s="27" t="s">
        <v>8</v>
      </c>
      <c r="CJ275" s="27" t="s">
        <v>7</v>
      </c>
      <c r="CM275" s="27" t="s">
        <v>8</v>
      </c>
      <c r="CN275" s="27" t="s">
        <v>7</v>
      </c>
      <c r="CO275" s="27" t="s">
        <v>8</v>
      </c>
    </row>
    <row r="276" spans="1:94" x14ac:dyDescent="0.25">
      <c r="A276" s="30">
        <v>0.17265741462149967</v>
      </c>
      <c r="B276"/>
      <c r="C276"/>
      <c r="D276"/>
      <c r="E276"/>
      <c r="Z276" s="27" t="s">
        <v>7</v>
      </c>
      <c r="AA276" s="27" t="s">
        <v>8</v>
      </c>
      <c r="AB276" s="27" t="s">
        <v>7</v>
      </c>
      <c r="AC276" s="27" t="s">
        <v>8</v>
      </c>
      <c r="AD276" s="27" t="s">
        <v>7</v>
      </c>
      <c r="AE276" s="27" t="s">
        <v>8</v>
      </c>
      <c r="AF276" s="27" t="s">
        <v>7</v>
      </c>
      <c r="AG276" s="27" t="s">
        <v>8</v>
      </c>
      <c r="AH276" s="27" t="s">
        <v>7</v>
      </c>
      <c r="AI276" s="27" t="s">
        <v>8</v>
      </c>
      <c r="AJ276" s="27" t="s">
        <v>7</v>
      </c>
      <c r="AK276" s="27" t="s">
        <v>8</v>
      </c>
      <c r="AL276" s="27" t="s">
        <v>7</v>
      </c>
      <c r="AM276" s="27" t="s">
        <v>8</v>
      </c>
      <c r="AN276" s="27" t="s">
        <v>7</v>
      </c>
      <c r="BC276" s="27" t="s">
        <v>8</v>
      </c>
      <c r="BD276" s="27" t="s">
        <v>7</v>
      </c>
      <c r="CH276" s="27" t="s">
        <v>7</v>
      </c>
      <c r="CI276" s="27" t="s">
        <v>8</v>
      </c>
      <c r="CJ276" s="27" t="s">
        <v>7</v>
      </c>
      <c r="CK276" s="27" t="s">
        <v>8</v>
      </c>
      <c r="CM276" s="27" t="s">
        <v>8</v>
      </c>
      <c r="CN276" s="27" t="s">
        <v>7</v>
      </c>
      <c r="CO276" s="27" t="s">
        <v>8</v>
      </c>
      <c r="CP276" s="27" t="s">
        <v>7</v>
      </c>
    </row>
    <row r="277" spans="1:94" x14ac:dyDescent="0.25">
      <c r="A277" s="30">
        <v>0.16443563297285677</v>
      </c>
      <c r="B277"/>
      <c r="C277"/>
      <c r="D277"/>
      <c r="E277"/>
      <c r="Z277" s="27" t="s">
        <v>7</v>
      </c>
      <c r="AA277" s="27" t="s">
        <v>8</v>
      </c>
      <c r="AB277" s="27" t="s">
        <v>7</v>
      </c>
      <c r="AC277" s="27" t="s">
        <v>8</v>
      </c>
      <c r="AD277" s="27" t="s">
        <v>7</v>
      </c>
      <c r="AE277" s="27" t="s">
        <v>8</v>
      </c>
      <c r="AF277" s="27" t="s">
        <v>7</v>
      </c>
      <c r="AG277" s="27" t="s">
        <v>8</v>
      </c>
      <c r="AH277" s="27" t="s">
        <v>7</v>
      </c>
      <c r="AJ277" s="27" t="s">
        <v>7</v>
      </c>
      <c r="AK277" s="27" t="s">
        <v>8</v>
      </c>
      <c r="AL277" s="27" t="s">
        <v>7</v>
      </c>
      <c r="AM277" s="27" t="s">
        <v>8</v>
      </c>
      <c r="AN277" s="27" t="s">
        <v>7</v>
      </c>
      <c r="AO277" s="27" t="s">
        <v>8</v>
      </c>
      <c r="BC277" s="27" t="s">
        <v>8</v>
      </c>
      <c r="CH277" s="27" t="s">
        <v>7</v>
      </c>
      <c r="CJ277" s="27" t="s">
        <v>7</v>
      </c>
      <c r="CK277" s="27" t="s">
        <v>8</v>
      </c>
      <c r="CL277" s="27" t="s">
        <v>7</v>
      </c>
      <c r="CM277" s="27" t="s">
        <v>8</v>
      </c>
      <c r="CN277" s="27" t="s">
        <v>7</v>
      </c>
      <c r="CO277" s="27" t="s">
        <v>8</v>
      </c>
      <c r="CP277" s="27" t="s">
        <v>7</v>
      </c>
    </row>
    <row r="278" spans="1:94" x14ac:dyDescent="0.25">
      <c r="A278" s="30">
        <v>0.15660536473605399</v>
      </c>
      <c r="B278"/>
      <c r="C278"/>
      <c r="D278"/>
      <c r="E278"/>
      <c r="Z278" s="27" t="s">
        <v>7</v>
      </c>
      <c r="AA278" s="27" t="s">
        <v>8</v>
      </c>
      <c r="AB278" s="27" t="s">
        <v>7</v>
      </c>
      <c r="AC278" s="27" t="s">
        <v>8</v>
      </c>
      <c r="AD278" s="27" t="s">
        <v>7</v>
      </c>
      <c r="AF278" s="27" t="s">
        <v>7</v>
      </c>
      <c r="AJ278" s="27" t="s">
        <v>7</v>
      </c>
      <c r="AL278" s="27" t="s">
        <v>7</v>
      </c>
      <c r="AM278" s="27" t="s">
        <v>8</v>
      </c>
      <c r="AN278" s="27" t="s">
        <v>7</v>
      </c>
      <c r="AO278" s="27" t="s">
        <v>8</v>
      </c>
      <c r="AP278" s="27" t="s">
        <v>7</v>
      </c>
      <c r="AW278" s="27" t="s">
        <v>8</v>
      </c>
      <c r="BC278" s="27" t="s">
        <v>8</v>
      </c>
      <c r="CJ278" s="27" t="s">
        <v>7</v>
      </c>
      <c r="CK278" s="27" t="s">
        <v>8</v>
      </c>
      <c r="CL278" s="27" t="s">
        <v>7</v>
      </c>
      <c r="CM278" s="27" t="s">
        <v>8</v>
      </c>
      <c r="CN278" s="27" t="s">
        <v>7</v>
      </c>
      <c r="CP278" s="27" t="s">
        <v>7</v>
      </c>
    </row>
    <row r="279" spans="1:94" x14ac:dyDescent="0.25">
      <c r="A279" s="30">
        <v>0.14914796641528946</v>
      </c>
      <c r="B279"/>
      <c r="C279"/>
      <c r="D279"/>
      <c r="E279"/>
      <c r="Z279" s="27" t="s">
        <v>7</v>
      </c>
      <c r="AB279" s="27" t="s">
        <v>7</v>
      </c>
      <c r="AL279" s="27" t="s">
        <v>7</v>
      </c>
      <c r="AM279" s="27" t="s">
        <v>8</v>
      </c>
      <c r="AN279" s="27" t="s">
        <v>7</v>
      </c>
      <c r="AO279" s="27" t="s">
        <v>8</v>
      </c>
      <c r="AP279" s="27" t="s">
        <v>7</v>
      </c>
      <c r="AW279" s="27" t="s">
        <v>8</v>
      </c>
      <c r="AX279" s="27" t="s">
        <v>7</v>
      </c>
      <c r="BA279" s="27" t="s">
        <v>8</v>
      </c>
      <c r="BC279" s="27" t="s">
        <v>8</v>
      </c>
      <c r="CJ279" s="27" t="s">
        <v>7</v>
      </c>
      <c r="CK279" s="27" t="s">
        <v>8</v>
      </c>
      <c r="CL279" s="27" t="s">
        <v>7</v>
      </c>
      <c r="CM279" s="27" t="s">
        <v>8</v>
      </c>
      <c r="CP279" s="27" t="s">
        <v>7</v>
      </c>
    </row>
    <row r="280" spans="1:94" x14ac:dyDescent="0.25">
      <c r="A280" s="30">
        <v>0.14204568230027562</v>
      </c>
      <c r="B280"/>
      <c r="C280"/>
      <c r="D280"/>
      <c r="E280"/>
      <c r="AL280" s="27" t="s">
        <v>7</v>
      </c>
      <c r="AN280" s="27" t="s">
        <v>7</v>
      </c>
      <c r="AP280" s="27" t="s">
        <v>7</v>
      </c>
      <c r="AW280" s="27" t="s">
        <v>8</v>
      </c>
      <c r="AX280" s="27" t="s">
        <v>7</v>
      </c>
      <c r="BA280" s="27" t="s">
        <v>8</v>
      </c>
      <c r="BB280" s="27" t="s">
        <v>7</v>
      </c>
      <c r="BC280" s="27" t="s">
        <v>8</v>
      </c>
      <c r="CJ280" s="27" t="s">
        <v>7</v>
      </c>
      <c r="CL280" s="27" t="s">
        <v>7</v>
      </c>
      <c r="CP280" s="27" t="s">
        <v>7</v>
      </c>
    </row>
    <row r="281" spans="1:94" x14ac:dyDescent="0.25">
      <c r="A281" s="30">
        <v>0.13528160219073862</v>
      </c>
      <c r="B281"/>
      <c r="C281"/>
      <c r="D281"/>
      <c r="E281"/>
      <c r="AP281" s="27" t="s">
        <v>7</v>
      </c>
      <c r="AW281" s="27" t="s">
        <v>8</v>
      </c>
      <c r="AX281" s="27" t="s">
        <v>7</v>
      </c>
      <c r="BA281" s="27" t="s">
        <v>8</v>
      </c>
      <c r="BB281" s="27" t="s">
        <v>7</v>
      </c>
      <c r="BC281" s="27" t="s">
        <v>8</v>
      </c>
      <c r="CP281" s="27" t="s">
        <v>7</v>
      </c>
    </row>
    <row r="282" spans="1:94" x14ac:dyDescent="0.25">
      <c r="A282" s="30">
        <v>0.12883962113403674</v>
      </c>
      <c r="B282"/>
      <c r="C282"/>
      <c r="D282"/>
      <c r="E282"/>
      <c r="AP282" s="27" t="s">
        <v>7</v>
      </c>
      <c r="AS282" s="27" t="s">
        <v>8</v>
      </c>
      <c r="AW282" s="27" t="s">
        <v>8</v>
      </c>
      <c r="AX282" s="27" t="s">
        <v>7</v>
      </c>
      <c r="AY282" s="18" t="s">
        <v>8</v>
      </c>
      <c r="BA282" s="27" t="s">
        <v>8</v>
      </c>
      <c r="BB282" s="27" t="s">
        <v>7</v>
      </c>
      <c r="BC282" s="27" t="s">
        <v>8</v>
      </c>
      <c r="CP282" s="27" t="s">
        <v>7</v>
      </c>
    </row>
    <row r="283" spans="1:94" x14ac:dyDescent="0.25">
      <c r="A283" s="30">
        <v>0.12270440108003494</v>
      </c>
      <c r="B283"/>
      <c r="C283"/>
      <c r="D283"/>
      <c r="E283"/>
      <c r="AP283" s="27" t="s">
        <v>7</v>
      </c>
      <c r="AQ283" s="27" t="s">
        <v>8</v>
      </c>
      <c r="AS283" s="27" t="s">
        <v>8</v>
      </c>
      <c r="AT283" s="27" t="s">
        <v>7</v>
      </c>
      <c r="AW283" s="27" t="s">
        <v>8</v>
      </c>
      <c r="AX283" s="27" t="s">
        <v>7</v>
      </c>
      <c r="AY283" s="27" t="s">
        <v>8</v>
      </c>
      <c r="AZ283" s="27" t="s">
        <v>7</v>
      </c>
      <c r="BA283" s="27" t="s">
        <v>8</v>
      </c>
      <c r="BB283" s="27" t="s">
        <v>7</v>
      </c>
      <c r="CP283" s="27" t="s">
        <v>7</v>
      </c>
    </row>
    <row r="284" spans="1:94" x14ac:dyDescent="0.25">
      <c r="A284" s="30">
        <v>0.11686133436193799</v>
      </c>
      <c r="B284"/>
      <c r="C284"/>
      <c r="D284"/>
      <c r="E284"/>
      <c r="AP284" s="27" t="s">
        <v>7</v>
      </c>
      <c r="AQ284" s="27" t="s">
        <v>8</v>
      </c>
      <c r="AR284" s="27" t="s">
        <v>7</v>
      </c>
      <c r="AS284" s="27" t="s">
        <v>8</v>
      </c>
      <c r="AT284" s="27" t="s">
        <v>7</v>
      </c>
      <c r="AU284" s="27" t="s">
        <v>8</v>
      </c>
      <c r="AW284" s="27" t="s">
        <v>8</v>
      </c>
      <c r="AX284" s="27" t="s">
        <v>7</v>
      </c>
      <c r="AY284" s="27" t="s">
        <v>8</v>
      </c>
      <c r="AZ284" s="27" t="s">
        <v>7</v>
      </c>
      <c r="BA284" s="27" t="s">
        <v>8</v>
      </c>
      <c r="CP284" s="27" t="s">
        <v>7</v>
      </c>
    </row>
    <row r="285" spans="1:94" x14ac:dyDescent="0.25">
      <c r="A285" s="30">
        <v>0.11129650891613138</v>
      </c>
      <c r="B285"/>
      <c r="C285"/>
      <c r="D285"/>
      <c r="E285"/>
      <c r="AP285" s="27" t="s">
        <v>7</v>
      </c>
      <c r="AQ285" s="27" t="s">
        <v>8</v>
      </c>
      <c r="AR285" s="27" t="s">
        <v>7</v>
      </c>
      <c r="AS285" s="27" t="s">
        <v>8</v>
      </c>
      <c r="AT285" s="27" t="s">
        <v>7</v>
      </c>
      <c r="AU285" s="27" t="s">
        <v>8</v>
      </c>
      <c r="AV285" s="27" t="s">
        <v>7</v>
      </c>
      <c r="AW285" s="27" t="s">
        <v>8</v>
      </c>
      <c r="AX285" s="27" t="s">
        <v>7</v>
      </c>
      <c r="AY285" s="27" t="s">
        <v>8</v>
      </c>
      <c r="AZ285" s="27" t="s">
        <v>7</v>
      </c>
      <c r="BA285" s="27" t="s">
        <v>8</v>
      </c>
      <c r="CP285" s="27" t="s">
        <v>7</v>
      </c>
    </row>
    <row r="286" spans="1:94" x14ac:dyDescent="0.25">
      <c r="A286" s="30">
        <v>0.10599667515822032</v>
      </c>
      <c r="B286"/>
      <c r="C286"/>
      <c r="D286"/>
      <c r="E286"/>
      <c r="AP286" s="27" t="s">
        <v>7</v>
      </c>
      <c r="AQ286" s="27" t="s">
        <v>8</v>
      </c>
      <c r="AR286" s="27" t="s">
        <v>7</v>
      </c>
      <c r="AS286" s="27" t="s">
        <v>8</v>
      </c>
      <c r="AT286" s="27" t="s">
        <v>7</v>
      </c>
      <c r="AU286" s="27" t="s">
        <v>8</v>
      </c>
      <c r="AV286" s="27" t="s">
        <v>7</v>
      </c>
      <c r="AW286" s="27" t="s">
        <v>8</v>
      </c>
      <c r="AX286" s="27" t="s">
        <v>7</v>
      </c>
      <c r="AZ286" s="27" t="s">
        <v>7</v>
      </c>
      <c r="BA286" s="27" t="s">
        <v>8</v>
      </c>
      <c r="CP286" s="27" t="s">
        <v>7</v>
      </c>
    </row>
    <row r="287" spans="1:94" x14ac:dyDescent="0.25">
      <c r="A287" s="30">
        <v>0.10094921443640027</v>
      </c>
      <c r="B287"/>
      <c r="C287"/>
      <c r="D287"/>
      <c r="E287"/>
      <c r="AP287" s="27" t="s">
        <v>7</v>
      </c>
      <c r="AQ287" s="27" t="s">
        <v>8</v>
      </c>
      <c r="AR287" s="27" t="s">
        <v>7</v>
      </c>
      <c r="AS287" s="27" t="s">
        <v>8</v>
      </c>
      <c r="AT287" s="27" t="s">
        <v>7</v>
      </c>
      <c r="AV287" s="27" t="s">
        <v>7</v>
      </c>
      <c r="AZ287" s="27" t="s">
        <v>7</v>
      </c>
      <c r="BA287" s="27" t="s">
        <v>8</v>
      </c>
      <c r="CP287" s="27" t="s">
        <v>7</v>
      </c>
    </row>
    <row r="288" spans="1:94" x14ac:dyDescent="0.25">
      <c r="A288" s="30">
        <v>9.6142108987047836E-2</v>
      </c>
      <c r="B288"/>
      <c r="C288"/>
      <c r="D288"/>
      <c r="E288"/>
      <c r="AP288" s="27" t="s">
        <v>7</v>
      </c>
      <c r="AQ288" s="27" t="s">
        <v>8</v>
      </c>
      <c r="AR288" s="27" t="s">
        <v>7</v>
      </c>
      <c r="AS288" s="27" t="s">
        <v>8</v>
      </c>
      <c r="AZ288" s="27" t="s">
        <v>7</v>
      </c>
      <c r="CP288" s="27" t="s">
        <v>7</v>
      </c>
    </row>
    <row r="289" spans="1:95" x14ac:dyDescent="0.25">
      <c r="A289" s="30">
        <v>9.1563913320997906E-2</v>
      </c>
      <c r="B289"/>
      <c r="C289"/>
      <c r="D289"/>
      <c r="E289"/>
      <c r="AP289" s="27" t="s">
        <v>7</v>
      </c>
      <c r="AQ289" s="27" t="s">
        <v>8</v>
      </c>
      <c r="AR289" s="27" t="s">
        <v>7</v>
      </c>
      <c r="CP289" s="27" t="s">
        <v>7</v>
      </c>
      <c r="CQ289" s="27" t="s">
        <v>8</v>
      </c>
    </row>
    <row r="290" spans="1:95" x14ac:dyDescent="0.25">
      <c r="A290" s="30">
        <v>8.7203726972378923E-2</v>
      </c>
      <c r="B290"/>
      <c r="C290"/>
      <c r="D290"/>
      <c r="E290"/>
      <c r="AP290" s="27" t="s">
        <v>7</v>
      </c>
      <c r="CP290" s="27" t="s">
        <v>7</v>
      </c>
      <c r="CQ290" s="27" t="s">
        <v>8</v>
      </c>
    </row>
    <row r="291" spans="1:95" x14ac:dyDescent="0.25">
      <c r="A291" s="30">
        <v>8.3051168545122747E-2</v>
      </c>
      <c r="B291"/>
      <c r="C291"/>
      <c r="D291"/>
      <c r="E291"/>
      <c r="CP291" s="27" t="s">
        <v>7</v>
      </c>
      <c r="CQ291" s="27" t="s">
        <v>8</v>
      </c>
    </row>
    <row r="292" spans="1:95" x14ac:dyDescent="0.25">
      <c r="A292" s="30">
        <v>7.9096350995354961E-2</v>
      </c>
      <c r="B292"/>
      <c r="C292"/>
      <c r="D292"/>
      <c r="E292"/>
      <c r="CP292" s="27" t="s">
        <v>7</v>
      </c>
    </row>
    <row r="293" spans="1:95" x14ac:dyDescent="0.25">
      <c r="A293" s="30">
        <v>7.5329858090814217E-2</v>
      </c>
      <c r="B293"/>
      <c r="C293"/>
      <c r="D293"/>
      <c r="E293"/>
    </row>
    <row r="294" spans="1:95" x14ac:dyDescent="0.25">
      <c r="A294" s="30">
        <v>7.1742721991251604E-2</v>
      </c>
      <c r="B294"/>
      <c r="C294"/>
      <c r="D294"/>
      <c r="E294"/>
    </row>
    <row r="295" spans="1:95" x14ac:dyDescent="0.25">
      <c r="A295" s="30">
        <v>6.8326401896430078E-2</v>
      </c>
      <c r="B295"/>
      <c r="C295"/>
      <c r="D295"/>
      <c r="E295"/>
    </row>
    <row r="296" spans="1:95" x14ac:dyDescent="0.25">
      <c r="A296" s="30">
        <v>6.5072763710885759E-2</v>
      </c>
      <c r="B296"/>
      <c r="C296"/>
      <c r="D296"/>
      <c r="E296"/>
    </row>
    <row r="297" spans="1:95" x14ac:dyDescent="0.25">
      <c r="A297" s="30">
        <v>6.197406067703403E-2</v>
      </c>
      <c r="B297"/>
      <c r="C297"/>
      <c r="D297"/>
      <c r="E297"/>
    </row>
    <row r="298" spans="1:95" x14ac:dyDescent="0.25">
      <c r="A298" s="30">
        <v>5.9022914930508576E-2</v>
      </c>
      <c r="B298"/>
      <c r="C298"/>
      <c r="D298"/>
      <c r="E298"/>
    </row>
    <row r="299" spans="1:95" x14ac:dyDescent="0.25">
      <c r="A299" s="30">
        <v>5.6212299933817669E-2</v>
      </c>
      <c r="B299"/>
      <c r="C299"/>
      <c r="D299"/>
      <c r="E299"/>
    </row>
    <row r="300" spans="1:95" x14ac:dyDescent="0.25">
      <c r="A300" s="30">
        <v>5.3535523746492994E-2</v>
      </c>
      <c r="B300"/>
      <c r="C300"/>
      <c r="D300"/>
      <c r="E300"/>
    </row>
    <row r="301" spans="1:95" x14ac:dyDescent="0.25">
      <c r="A301" s="30">
        <v>5.0986213091898068E-2</v>
      </c>
      <c r="B301"/>
      <c r="C301"/>
      <c r="D301"/>
      <c r="E301"/>
    </row>
    <row r="302" spans="1:95" x14ac:dyDescent="0.25">
      <c r="A302" s="30">
        <v>4.8558298182760043E-2</v>
      </c>
      <c r="B302"/>
      <c r="C302"/>
      <c r="D302"/>
      <c r="E302"/>
    </row>
    <row r="303" spans="1:95" x14ac:dyDescent="0.25">
      <c r="A303" s="30">
        <v>4.6245998269295263E-2</v>
      </c>
      <c r="B303"/>
      <c r="C303"/>
      <c r="D303"/>
      <c r="E303"/>
    </row>
    <row r="304" spans="1:9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46" operator="equal">
      <formula>$U$1</formula>
    </cfRule>
    <cfRule type="cellIs" dxfId="67" priority="747" operator="equal">
      <formula>$S$1</formula>
    </cfRule>
  </conditionalFormatting>
  <conditionalFormatting sqref="D136">
    <cfRule type="cellIs" dxfId="66" priority="744" operator="equal">
      <formula>$S$1</formula>
    </cfRule>
    <cfRule type="cellIs" dxfId="65" priority="745" operator="equal">
      <formula>$U$1</formula>
    </cfRule>
  </conditionalFormatting>
  <conditionalFormatting sqref="C162">
    <cfRule type="cellIs" dxfId="64" priority="742" operator="equal">
      <formula>$U$1</formula>
    </cfRule>
    <cfRule type="cellIs" dxfId="63" priority="743" operator="equal">
      <formula>$S$1</formula>
    </cfRule>
  </conditionalFormatting>
  <conditionalFormatting sqref="D162">
    <cfRule type="cellIs" dxfId="62" priority="740" operator="equal">
      <formula>$S$1</formula>
    </cfRule>
    <cfRule type="cellIs" dxfId="61" priority="741" operator="equal">
      <formula>$U$1</formula>
    </cfRule>
  </conditionalFormatting>
  <conditionalFormatting sqref="C187">
    <cfRule type="cellIs" dxfId="60" priority="738" operator="equal">
      <formula>$U$1</formula>
    </cfRule>
    <cfRule type="cellIs" dxfId="59" priority="739" operator="equal">
      <formula>$S$1</formula>
    </cfRule>
  </conditionalFormatting>
  <conditionalFormatting sqref="D187">
    <cfRule type="cellIs" dxfId="58" priority="736" operator="equal">
      <formula>$S$1</formula>
    </cfRule>
    <cfRule type="cellIs" dxfId="57" priority="737" operator="equal">
      <formula>$U$1</formula>
    </cfRule>
  </conditionalFormatting>
  <conditionalFormatting sqref="C212">
    <cfRule type="cellIs" dxfId="56" priority="734" operator="equal">
      <formula>$U$1</formula>
    </cfRule>
    <cfRule type="cellIs" dxfId="55" priority="735" operator="equal">
      <formula>$S$1</formula>
    </cfRule>
  </conditionalFormatting>
  <conditionalFormatting sqref="D212">
    <cfRule type="cellIs" dxfId="54" priority="732" operator="equal">
      <formula>$S$1</formula>
    </cfRule>
    <cfRule type="cellIs" dxfId="53" priority="733" operator="equal">
      <formula>$U$1</formula>
    </cfRule>
  </conditionalFormatting>
  <conditionalFormatting sqref="C237">
    <cfRule type="cellIs" dxfId="52" priority="730" operator="equal">
      <formula>$U$1</formula>
    </cfRule>
    <cfRule type="cellIs" dxfId="51" priority="731" operator="equal">
      <formula>$S$1</formula>
    </cfRule>
  </conditionalFormatting>
  <conditionalFormatting sqref="D237">
    <cfRule type="cellIs" dxfId="50" priority="728" operator="equal">
      <formula>$S$1</formula>
    </cfRule>
    <cfRule type="cellIs" dxfId="49" priority="729" operator="equal">
      <formula>$U$1</formula>
    </cfRule>
  </conditionalFormatting>
  <conditionalFormatting sqref="C106">
    <cfRule type="cellIs" dxfId="48" priority="726" operator="equal">
      <formula>$U$1</formula>
    </cfRule>
    <cfRule type="cellIs" dxfId="47" priority="727" operator="equal">
      <formula>$S$1</formula>
    </cfRule>
  </conditionalFormatting>
  <conditionalFormatting sqref="D106">
    <cfRule type="cellIs" dxfId="46" priority="724" operator="equal">
      <formula>$S$1</formula>
    </cfRule>
    <cfRule type="cellIs" dxfId="45" priority="725" operator="equal">
      <formula>$U$1</formula>
    </cfRule>
  </conditionalFormatting>
  <conditionalFormatting sqref="C81">
    <cfRule type="cellIs" dxfId="44" priority="722" operator="equal">
      <formula>$U$1</formula>
    </cfRule>
    <cfRule type="cellIs" dxfId="43" priority="723" operator="equal">
      <formula>$S$1</formula>
    </cfRule>
  </conditionalFormatting>
  <conditionalFormatting sqref="D81">
    <cfRule type="cellIs" dxfId="42" priority="720" operator="equal">
      <formula>$S$1</formula>
    </cfRule>
    <cfRule type="cellIs" dxfId="41" priority="721" operator="equal">
      <formula>$U$1</formula>
    </cfRule>
  </conditionalFormatting>
  <conditionalFormatting sqref="C56">
    <cfRule type="cellIs" dxfId="40" priority="718" operator="equal">
      <formula>$U$1</formula>
    </cfRule>
    <cfRule type="cellIs" dxfId="39" priority="719" operator="equal">
      <formula>$S$1</formula>
    </cfRule>
  </conditionalFormatting>
  <conditionalFormatting sqref="D56">
    <cfRule type="cellIs" dxfId="38" priority="716" operator="equal">
      <formula>$S$1</formula>
    </cfRule>
    <cfRule type="cellIs" dxfId="37" priority="717" operator="equal">
      <formula>$U$1</formula>
    </cfRule>
  </conditionalFormatting>
  <conditionalFormatting sqref="C31">
    <cfRule type="cellIs" dxfId="36" priority="714" operator="equal">
      <formula>$U$1</formula>
    </cfRule>
    <cfRule type="cellIs" dxfId="35" priority="715" operator="equal">
      <formula>$S$1</formula>
    </cfRule>
  </conditionalFormatting>
  <conditionalFormatting sqref="D31">
    <cfRule type="cellIs" dxfId="34" priority="712" operator="equal">
      <formula>$S$1</formula>
    </cfRule>
    <cfRule type="cellIs" dxfId="33" priority="71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J147" sqref="AJ14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$A$146</v>
      </c>
      <c r="D111" s="1" t="str">
        <f>ADDRESS(C121-1,D121,1,1)</f>
        <v>$AJ$146</v>
      </c>
      <c r="E111"/>
    </row>
    <row r="112" spans="1:5" x14ac:dyDescent="0.25">
      <c r="A112" s="30">
        <v>2.3579476910000019</v>
      </c>
      <c r="C112" s="1" t="str">
        <f>ADDRESS(C121,1,1,1)</f>
        <v>$A$147</v>
      </c>
      <c r="D112" s="1" t="str">
        <f>ADDRESS(C121,D121-1,1,1)</f>
        <v>$AI$147</v>
      </c>
      <c r="E112"/>
    </row>
    <row r="113" spans="1:9" x14ac:dyDescent="0.25">
      <c r="A113" s="30">
        <v>2.1435888100000016</v>
      </c>
      <c r="C113" s="1" t="str">
        <f>ADDRESS(C121+1,1,1,1)</f>
        <v>$A$148</v>
      </c>
      <c r="D113" s="1" t="str">
        <f>ADDRESS(C121-1,D121+1,1,1)</f>
        <v>$AK$146</v>
      </c>
    </row>
    <row r="114" spans="1:9" x14ac:dyDescent="0.25">
      <c r="A114" s="30">
        <v>1.9487171000000014</v>
      </c>
      <c r="C114" s="1" t="str">
        <f>ADDRESS(C121,D121,1,1)</f>
        <v>$AJ$147</v>
      </c>
      <c r="D114" s="1" t="str">
        <f>ADDRESS(C121+1,D121+1,1,1)</f>
        <v>$AK$148</v>
      </c>
    </row>
    <row r="115" spans="1:9" x14ac:dyDescent="0.25">
      <c r="A115" s="30">
        <v>1.7715610000000011</v>
      </c>
      <c r="C115" s="1" t="str">
        <f>ADDRESS(C121+1,D121,1,1)</f>
        <v>$AJ$148</v>
      </c>
    </row>
    <row r="116" spans="1:9" x14ac:dyDescent="0.25">
      <c r="A116" s="30">
        <v>1.6105100000000008</v>
      </c>
      <c r="C116" s="1">
        <f>C117-1</f>
        <v>146</v>
      </c>
    </row>
    <row r="117" spans="1:9" x14ac:dyDescent="0.25">
      <c r="A117" s="30">
        <v>1.4641000000000006</v>
      </c>
      <c r="C117" s="1">
        <f>C121</f>
        <v>147</v>
      </c>
      <c r="D117" s="1">
        <f>D121</f>
        <v>36</v>
      </c>
    </row>
    <row r="118" spans="1:9" x14ac:dyDescent="0.25">
      <c r="A118" s="30">
        <v>1.3310000000000004</v>
      </c>
      <c r="C118" s="1">
        <f>C117+1</f>
        <v>148</v>
      </c>
      <c r="D118" s="1">
        <f>D117+1</f>
        <v>37</v>
      </c>
    </row>
    <row r="119" spans="1:9" x14ac:dyDescent="0.25">
      <c r="A119" s="30">
        <v>1.2100000000000002</v>
      </c>
    </row>
    <row r="120" spans="1:9" x14ac:dyDescent="0.25">
      <c r="A120" s="30">
        <v>1.1000000000000001</v>
      </c>
      <c r="C120" s="1" t="s">
        <v>9</v>
      </c>
    </row>
    <row r="121" spans="1:9" x14ac:dyDescent="0.25">
      <c r="A121" s="30">
        <v>1</v>
      </c>
      <c r="C121" s="18">
        <v>147</v>
      </c>
      <c r="D121" s="19">
        <v>36</v>
      </c>
      <c r="E121" s="18" t="s">
        <v>8</v>
      </c>
    </row>
    <row r="122" spans="1:9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9" x14ac:dyDescent="0.25">
      <c r="A123" s="30">
        <v>0.82644628099173523</v>
      </c>
      <c r="C123" s="1" t="str">
        <f>"R"&amp;C121</f>
        <v>R147</v>
      </c>
      <c r="D123" s="1" t="str">
        <f>"C"&amp;D121</f>
        <v>C36</v>
      </c>
      <c r="F123" s="27" t="s">
        <v>7</v>
      </c>
      <c r="G123" s="27" t="s">
        <v>8</v>
      </c>
    </row>
    <row r="124" spans="1:9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</row>
    <row r="125" spans="1:9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</row>
    <row r="126" spans="1:9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</row>
    <row r="127" spans="1:9" x14ac:dyDescent="0.25">
      <c r="A127" s="30">
        <v>0.56447393005377677</v>
      </c>
      <c r="C127" s="30">
        <v>8.3905452888239848E-2</v>
      </c>
      <c r="D127"/>
      <c r="F127" s="27" t="s">
        <v>7</v>
      </c>
      <c r="G127" s="27" t="s">
        <v>8</v>
      </c>
      <c r="H127" s="27" t="s">
        <v>7</v>
      </c>
    </row>
    <row r="128" spans="1:9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</row>
    <row r="129" spans="1:3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I129" s="27" t="s">
        <v>8</v>
      </c>
      <c r="J129" s="27" t="s">
        <v>7</v>
      </c>
    </row>
    <row r="130" spans="1:36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I130" s="27" t="s">
        <v>8</v>
      </c>
      <c r="J130" s="27" t="s">
        <v>7</v>
      </c>
      <c r="K130" s="27" t="s">
        <v>8</v>
      </c>
      <c r="M130" s="27" t="s">
        <v>8</v>
      </c>
      <c r="AC130" s="27" t="s">
        <v>8</v>
      </c>
    </row>
    <row r="131" spans="1:36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J131" s="27" t="s">
        <v>7</v>
      </c>
      <c r="K131" s="27" t="s">
        <v>8</v>
      </c>
      <c r="L131" s="27" t="s">
        <v>7</v>
      </c>
      <c r="M131" s="27" t="s">
        <v>8</v>
      </c>
      <c r="N131" s="27" t="s">
        <v>7</v>
      </c>
      <c r="AC131" s="27" t="s">
        <v>8</v>
      </c>
      <c r="AD131" s="27" t="s">
        <v>7</v>
      </c>
    </row>
    <row r="132" spans="1:36" x14ac:dyDescent="0.25">
      <c r="A132" s="30">
        <v>0.35049389948139187</v>
      </c>
      <c r="C132" s="1" t="s">
        <v>13</v>
      </c>
      <c r="E132"/>
      <c r="F132" s="27" t="s">
        <v>7</v>
      </c>
      <c r="J132" s="27" t="s">
        <v>7</v>
      </c>
      <c r="K132" s="27" t="s">
        <v>8</v>
      </c>
      <c r="L132" s="27" t="s">
        <v>7</v>
      </c>
      <c r="M132" s="27" t="s">
        <v>8</v>
      </c>
      <c r="N132" s="27" t="s">
        <v>7</v>
      </c>
      <c r="AC132" s="27" t="s">
        <v>8</v>
      </c>
      <c r="AD132" s="27" t="s">
        <v>7</v>
      </c>
    </row>
    <row r="133" spans="1:36" x14ac:dyDescent="0.25">
      <c r="A133" s="30">
        <v>0.31863081771035617</v>
      </c>
      <c r="C133" s="1" t="str">
        <f>C122</f>
        <v>O</v>
      </c>
      <c r="E133"/>
      <c r="J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AA133" s="27" t="s">
        <v>8</v>
      </c>
      <c r="AC133" s="27" t="s">
        <v>8</v>
      </c>
      <c r="AD133" s="27" t="s">
        <v>7</v>
      </c>
      <c r="AG133" s="27" t="s">
        <v>8</v>
      </c>
    </row>
    <row r="134" spans="1:36" x14ac:dyDescent="0.25">
      <c r="A134" s="30">
        <v>0.28966437973668741</v>
      </c>
      <c r="C134"/>
      <c r="D134"/>
      <c r="E134"/>
      <c r="J134" s="27" t="s">
        <v>7</v>
      </c>
      <c r="K134" s="27" t="s">
        <v>8</v>
      </c>
      <c r="L134" s="27" t="s">
        <v>7</v>
      </c>
      <c r="M134" s="27" t="s">
        <v>8</v>
      </c>
      <c r="N134" s="27" t="s">
        <v>7</v>
      </c>
      <c r="AA134" s="27" t="s">
        <v>8</v>
      </c>
      <c r="AB134" s="27" t="s">
        <v>7</v>
      </c>
      <c r="AC134" s="27" t="s">
        <v>8</v>
      </c>
      <c r="AD134" s="27" t="s">
        <v>7</v>
      </c>
      <c r="AE134" s="27" t="s">
        <v>8</v>
      </c>
      <c r="AG134" s="27" t="s">
        <v>8</v>
      </c>
      <c r="AH134" s="27" t="s">
        <v>7</v>
      </c>
    </row>
    <row r="135" spans="1:36" x14ac:dyDescent="0.25">
      <c r="A135" s="30">
        <v>0.2633312543060794</v>
      </c>
      <c r="C135" s="1" t="s">
        <v>14</v>
      </c>
      <c r="E135"/>
      <c r="J135" s="27" t="s">
        <v>7</v>
      </c>
      <c r="K135" s="27" t="s">
        <v>8</v>
      </c>
      <c r="L135" s="27" t="s">
        <v>7</v>
      </c>
      <c r="N135" s="27" t="s">
        <v>7</v>
      </c>
      <c r="O135" s="27" t="s">
        <v>8</v>
      </c>
      <c r="Y135" s="27" t="s">
        <v>8</v>
      </c>
      <c r="AA135" s="27" t="s">
        <v>8</v>
      </c>
      <c r="AB135" s="27" t="s">
        <v>7</v>
      </c>
      <c r="AC135" s="27" t="s">
        <v>8</v>
      </c>
      <c r="AD135" s="27" t="s">
        <v>7</v>
      </c>
      <c r="AE135" s="27" t="s">
        <v>8</v>
      </c>
      <c r="AF135" s="27" t="s">
        <v>7</v>
      </c>
      <c r="AG135" s="27" t="s">
        <v>8</v>
      </c>
      <c r="AH135" s="27" t="s">
        <v>7</v>
      </c>
    </row>
    <row r="136" spans="1:3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J136" s="27" t="s">
        <v>7</v>
      </c>
      <c r="N136" s="27" t="s">
        <v>7</v>
      </c>
      <c r="O136" s="27" t="s">
        <v>8</v>
      </c>
      <c r="P136" s="27" t="s">
        <v>7</v>
      </c>
      <c r="W136" s="27" t="s">
        <v>8</v>
      </c>
      <c r="Y136" s="27" t="s">
        <v>8</v>
      </c>
      <c r="Z136" s="27" t="s">
        <v>7</v>
      </c>
      <c r="AA136" s="27" t="s">
        <v>8</v>
      </c>
      <c r="AB136" s="27" t="s">
        <v>7</v>
      </c>
      <c r="AC136" s="27" t="s">
        <v>8</v>
      </c>
      <c r="AD136" s="27" t="s">
        <v>7</v>
      </c>
      <c r="AE136" s="27" t="s">
        <v>8</v>
      </c>
      <c r="AF136" s="27" t="s">
        <v>7</v>
      </c>
      <c r="AG136" s="27" t="s">
        <v>8</v>
      </c>
      <c r="AH136" s="27" t="s">
        <v>7</v>
      </c>
    </row>
    <row r="137" spans="1:36" x14ac:dyDescent="0.25">
      <c r="A137" s="30">
        <v>0.2176291357901482</v>
      </c>
      <c r="E137"/>
      <c r="N137" s="27" t="s">
        <v>7</v>
      </c>
      <c r="O137" s="27" t="s">
        <v>8</v>
      </c>
      <c r="P137" s="27" t="s">
        <v>7</v>
      </c>
      <c r="W137" s="27" t="s">
        <v>8</v>
      </c>
      <c r="X137" s="27" t="s">
        <v>7</v>
      </c>
      <c r="Y137" s="27" t="s">
        <v>8</v>
      </c>
      <c r="Z137" s="27" t="s">
        <v>7</v>
      </c>
      <c r="AA137" s="27" t="s">
        <v>8</v>
      </c>
      <c r="AB137" s="27" t="s">
        <v>7</v>
      </c>
      <c r="AC137" s="27" t="s">
        <v>8</v>
      </c>
      <c r="AD137" s="27" t="s">
        <v>7</v>
      </c>
      <c r="AE137" s="27" t="s">
        <v>8</v>
      </c>
      <c r="AF137" s="27" t="s">
        <v>7</v>
      </c>
      <c r="AH137" s="27" t="s">
        <v>7</v>
      </c>
    </row>
    <row r="138" spans="1:3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N138" s="27" t="s">
        <v>7</v>
      </c>
      <c r="O138" s="27" t="s">
        <v>8</v>
      </c>
      <c r="P138" s="27" t="s">
        <v>7</v>
      </c>
      <c r="Q138" s="27" t="s">
        <v>8</v>
      </c>
      <c r="W138" s="27" t="s">
        <v>8</v>
      </c>
      <c r="X138" s="27" t="s">
        <v>7</v>
      </c>
      <c r="Y138" s="27" t="s">
        <v>8</v>
      </c>
      <c r="Z138" s="27" t="s">
        <v>7</v>
      </c>
      <c r="AB138" s="27" t="s">
        <v>7</v>
      </c>
      <c r="AD138" s="27" t="s">
        <v>7</v>
      </c>
      <c r="AH138" s="27" t="s">
        <v>7</v>
      </c>
      <c r="AI138" s="27" t="s">
        <v>8</v>
      </c>
    </row>
    <row r="139" spans="1:36" x14ac:dyDescent="0.25">
      <c r="A139" s="30">
        <v>0.17985878990921333</v>
      </c>
      <c r="E139"/>
      <c r="N139" s="27" t="s">
        <v>7</v>
      </c>
      <c r="O139" s="27" t="s">
        <v>8</v>
      </c>
      <c r="P139" s="27" t="s">
        <v>7</v>
      </c>
      <c r="Q139" s="27" t="s">
        <v>8</v>
      </c>
      <c r="R139" s="27" t="s">
        <v>7</v>
      </c>
      <c r="W139" s="27" t="s">
        <v>8</v>
      </c>
      <c r="X139" s="27" t="s">
        <v>7</v>
      </c>
      <c r="AH139" s="27" t="s">
        <v>7</v>
      </c>
      <c r="AI139" s="27" t="s">
        <v>8</v>
      </c>
      <c r="AJ139" s="27" t="s">
        <v>7</v>
      </c>
    </row>
    <row r="140" spans="1:36" x14ac:dyDescent="0.25">
      <c r="A140" s="30">
        <v>0.16350799082655756</v>
      </c>
      <c r="C140" s="1">
        <v>0</v>
      </c>
      <c r="E140"/>
      <c r="N140" s="27" t="s">
        <v>7</v>
      </c>
      <c r="O140" s="27" t="s">
        <v>8</v>
      </c>
      <c r="P140" s="27" t="s">
        <v>7</v>
      </c>
      <c r="Q140" s="27" t="s">
        <v>8</v>
      </c>
      <c r="R140" s="27" t="s">
        <v>7</v>
      </c>
      <c r="W140" s="27" t="s">
        <v>8</v>
      </c>
      <c r="AH140" s="27" t="s">
        <v>7</v>
      </c>
      <c r="AI140" s="27" t="s">
        <v>8</v>
      </c>
      <c r="AJ140" s="27" t="s">
        <v>7</v>
      </c>
    </row>
    <row r="141" spans="1:36" x14ac:dyDescent="0.25">
      <c r="A141" s="30">
        <v>0.14864362802414322</v>
      </c>
      <c r="C141" s="1">
        <v>1</v>
      </c>
      <c r="E141"/>
      <c r="N141" s="27" t="s">
        <v>7</v>
      </c>
      <c r="P141" s="27" t="s">
        <v>7</v>
      </c>
      <c r="R141" s="27" t="s">
        <v>7</v>
      </c>
      <c r="U141" s="27" t="s">
        <v>8</v>
      </c>
      <c r="W141" s="27" t="s">
        <v>8</v>
      </c>
      <c r="AH141" s="27" t="s">
        <v>7</v>
      </c>
      <c r="AJ141" s="27" t="s">
        <v>7</v>
      </c>
    </row>
    <row r="142" spans="1:36" x14ac:dyDescent="0.25">
      <c r="A142" s="30">
        <v>0.13513057093103928</v>
      </c>
      <c r="C142" s="1">
        <v>2</v>
      </c>
      <c r="E142"/>
      <c r="R142" s="27" t="s">
        <v>7</v>
      </c>
      <c r="U142" s="27" t="s">
        <v>8</v>
      </c>
      <c r="V142" s="27" t="s">
        <v>7</v>
      </c>
      <c r="W142" s="27" t="s">
        <v>8</v>
      </c>
      <c r="AJ142" s="27" t="s">
        <v>7</v>
      </c>
    </row>
    <row r="143" spans="1:36" x14ac:dyDescent="0.25">
      <c r="A143" s="30">
        <v>0.12284597357367205</v>
      </c>
      <c r="C143" s="1">
        <v>3</v>
      </c>
      <c r="E143"/>
      <c r="R143" s="27" t="s">
        <v>7</v>
      </c>
      <c r="S143" s="27" t="s">
        <v>8</v>
      </c>
      <c r="U143" s="27" t="s">
        <v>8</v>
      </c>
      <c r="V143" s="27" t="s">
        <v>7</v>
      </c>
      <c r="W143" s="27" t="s">
        <v>8</v>
      </c>
      <c r="AJ143" s="27" t="s">
        <v>7</v>
      </c>
    </row>
    <row r="144" spans="1:36" x14ac:dyDescent="0.25">
      <c r="A144" s="30">
        <v>0.11167815779424731</v>
      </c>
      <c r="C144" s="1">
        <v>4</v>
      </c>
      <c r="E144"/>
      <c r="R144" s="27" t="s">
        <v>7</v>
      </c>
      <c r="S144" s="27" t="s">
        <v>8</v>
      </c>
      <c r="T144" s="27" t="s">
        <v>7</v>
      </c>
      <c r="U144" s="27" t="s">
        <v>8</v>
      </c>
      <c r="V144" s="18" t="s">
        <v>7</v>
      </c>
      <c r="W144" s="27" t="s">
        <v>8</v>
      </c>
      <c r="AJ144" s="27" t="s">
        <v>7</v>
      </c>
    </row>
    <row r="145" spans="1:36" x14ac:dyDescent="0.25">
      <c r="A145" s="30">
        <v>0.10152559799477026</v>
      </c>
      <c r="B145"/>
      <c r="C145"/>
      <c r="D145"/>
      <c r="E145"/>
      <c r="R145" s="27" t="s">
        <v>7</v>
      </c>
      <c r="S145" s="27" t="s">
        <v>8</v>
      </c>
      <c r="T145" s="27" t="s">
        <v>7</v>
      </c>
      <c r="U145" s="27" t="s">
        <v>8</v>
      </c>
      <c r="V145" s="27" t="s">
        <v>7</v>
      </c>
      <c r="AJ145" s="27" t="s">
        <v>7</v>
      </c>
    </row>
    <row r="146" spans="1:36" x14ac:dyDescent="0.25">
      <c r="A146" s="30">
        <v>9.2295998177063854E-2</v>
      </c>
      <c r="B146"/>
      <c r="C146"/>
      <c r="D146"/>
      <c r="E146"/>
      <c r="R146" s="27" t="s">
        <v>7</v>
      </c>
      <c r="T146" s="27" t="s">
        <v>7</v>
      </c>
      <c r="AJ146" s="27" t="s">
        <v>7</v>
      </c>
    </row>
    <row r="147" spans="1:36" x14ac:dyDescent="0.25">
      <c r="A147" s="30">
        <v>8.3905452888239848E-2</v>
      </c>
      <c r="B147"/>
      <c r="C147"/>
      <c r="D147"/>
      <c r="E147"/>
      <c r="AJ147" s="27" t="s">
        <v>7</v>
      </c>
    </row>
    <row r="148" spans="1:36" x14ac:dyDescent="0.25">
      <c r="A148" s="30">
        <v>7.6277684443854396E-2</v>
      </c>
      <c r="B148"/>
      <c r="C148"/>
      <c r="D148"/>
      <c r="E148"/>
    </row>
    <row r="149" spans="1:36" x14ac:dyDescent="0.25">
      <c r="A149" s="30">
        <v>6.9343349494413078E-2</v>
      </c>
      <c r="B149"/>
      <c r="C149"/>
      <c r="D149"/>
      <c r="E149"/>
    </row>
    <row r="150" spans="1:36" x14ac:dyDescent="0.25">
      <c r="A150" s="30">
        <v>6.3039408631284613E-2</v>
      </c>
      <c r="B150"/>
      <c r="C150"/>
      <c r="D150"/>
      <c r="E150"/>
    </row>
    <row r="151" spans="1:36" x14ac:dyDescent="0.25">
      <c r="A151" s="30">
        <v>5.7308553301167818E-2</v>
      </c>
      <c r="B151"/>
      <c r="C151"/>
      <c r="D151"/>
      <c r="E151"/>
    </row>
    <row r="152" spans="1:36" x14ac:dyDescent="0.25">
      <c r="A152" s="30">
        <v>5.2098684819243464E-2</v>
      </c>
      <c r="B152"/>
      <c r="C152"/>
      <c r="D152"/>
      <c r="E152"/>
    </row>
    <row r="153" spans="1:36" x14ac:dyDescent="0.25">
      <c r="A153" s="30">
        <v>4.7362440744766775E-2</v>
      </c>
      <c r="B153"/>
      <c r="C153"/>
      <c r="D153"/>
      <c r="E153"/>
    </row>
    <row r="154" spans="1:36" x14ac:dyDescent="0.25">
      <c r="A154" s="30">
        <v>4.3056764313424332E-2</v>
      </c>
      <c r="B154"/>
      <c r="C154"/>
      <c r="D154"/>
      <c r="E154"/>
    </row>
    <row r="155" spans="1:36" x14ac:dyDescent="0.25">
      <c r="A155" s="30">
        <v>3.9142513012203929E-2</v>
      </c>
      <c r="B155"/>
      <c r="C155"/>
      <c r="D155"/>
      <c r="E155"/>
    </row>
    <row r="156" spans="1:36" x14ac:dyDescent="0.25">
      <c r="A156" s="30">
        <v>3.55841027383672E-2</v>
      </c>
      <c r="B156"/>
      <c r="C156"/>
      <c r="D156"/>
      <c r="E156"/>
    </row>
    <row r="157" spans="1:36" x14ac:dyDescent="0.25">
      <c r="A157" s="30">
        <v>3.2349184307606541E-2</v>
      </c>
      <c r="B157"/>
      <c r="C157"/>
      <c r="D157"/>
      <c r="E157"/>
    </row>
    <row r="158" spans="1:36" x14ac:dyDescent="0.25">
      <c r="A158" s="30">
        <v>2.9408349370551395E-2</v>
      </c>
      <c r="B158"/>
      <c r="C158"/>
      <c r="D158"/>
      <c r="E158"/>
    </row>
    <row r="159" spans="1:36" x14ac:dyDescent="0.25">
      <c r="A159" s="30">
        <v>2.6734863064137627E-2</v>
      </c>
      <c r="B159"/>
      <c r="C159"/>
      <c r="D159"/>
      <c r="E159"/>
    </row>
    <row r="160" spans="1:3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30" operator="equal">
      <formula>$U$1</formula>
    </cfRule>
    <cfRule type="cellIs" dxfId="30" priority="731" operator="equal">
      <formula>$S$1</formula>
    </cfRule>
  </conditionalFormatting>
  <conditionalFormatting sqref="D136">
    <cfRule type="cellIs" dxfId="29" priority="728" operator="equal">
      <formula>$S$1</formula>
    </cfRule>
    <cfRule type="cellIs" dxfId="28" priority="729" operator="equal">
      <formula>$U$1</formula>
    </cfRule>
  </conditionalFormatting>
  <conditionalFormatting sqref="C102">
    <cfRule type="cellIs" dxfId="27" priority="726" operator="equal">
      <formula>$U$1</formula>
    </cfRule>
    <cfRule type="cellIs" dxfId="26" priority="727" operator="equal">
      <formula>$S$1</formula>
    </cfRule>
  </conditionalFormatting>
  <conditionalFormatting sqref="D102">
    <cfRule type="cellIs" dxfId="25" priority="724" operator="equal">
      <formula>$S$1</formula>
    </cfRule>
    <cfRule type="cellIs" dxfId="24" priority="725" operator="equal">
      <formula>$U$1</formula>
    </cfRule>
  </conditionalFormatting>
  <conditionalFormatting sqref="C77">
    <cfRule type="cellIs" dxfId="23" priority="722" operator="equal">
      <formula>$U$1</formula>
    </cfRule>
    <cfRule type="cellIs" dxfId="22" priority="723" operator="equal">
      <formula>$S$1</formula>
    </cfRule>
  </conditionalFormatting>
  <conditionalFormatting sqref="D77">
    <cfRule type="cellIs" dxfId="21" priority="720" operator="equal">
      <formula>$S$1</formula>
    </cfRule>
    <cfRule type="cellIs" dxfId="20" priority="721" operator="equal">
      <formula>$U$1</formula>
    </cfRule>
  </conditionalFormatting>
  <conditionalFormatting sqref="C52">
    <cfRule type="cellIs" dxfId="19" priority="718" operator="equal">
      <formula>$U$1</formula>
    </cfRule>
    <cfRule type="cellIs" dxfId="18" priority="719" operator="equal">
      <formula>$S$1</formula>
    </cfRule>
  </conditionalFormatting>
  <conditionalFormatting sqref="D52">
    <cfRule type="cellIs" dxfId="17" priority="716" operator="equal">
      <formula>$S$1</formula>
    </cfRule>
    <cfRule type="cellIs" dxfId="16" priority="717" operator="equal">
      <formula>$U$1</formula>
    </cfRule>
  </conditionalFormatting>
  <conditionalFormatting sqref="C26">
    <cfRule type="cellIs" dxfId="15" priority="714" operator="equal">
      <formula>$U$1</formula>
    </cfRule>
    <cfRule type="cellIs" dxfId="14" priority="715" operator="equal">
      <formula>$S$1</formula>
    </cfRule>
  </conditionalFormatting>
  <conditionalFormatting sqref="D26">
    <cfRule type="cellIs" dxfId="13" priority="712" operator="equal">
      <formula>$S$1</formula>
    </cfRule>
    <cfRule type="cellIs" dxfId="12" priority="71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2022-01-28T01:19:44Z</dcterms:modified>
</cp:coreProperties>
</file>