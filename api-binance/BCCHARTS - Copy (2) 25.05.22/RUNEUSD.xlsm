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0DA07BE-DD71-4D8D-B8A0-18648B2542B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R765" i="1"/>
  <c r="S766" i="1"/>
  <c r="T766" i="1" s="1"/>
  <c r="C122" i="4"/>
  <c r="C133" i="4" s="1"/>
  <c r="D136" i="4" s="1"/>
  <c r="C122" i="3"/>
  <c r="C133" i="3" s="1"/>
  <c r="D136" i="3" s="1"/>
  <c r="C116" i="3"/>
  <c r="D136" i="5" l="1"/>
  <c r="C138" i="5" s="1"/>
  <c r="R764" i="1"/>
  <c r="S765" i="1"/>
  <c r="T765" i="1" s="1"/>
  <c r="C136" i="4"/>
  <c r="C138" i="4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R704" i="1" l="1"/>
  <c r="S705" i="1"/>
  <c r="T705" i="1" s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S644" i="1" l="1"/>
  <c r="T644" i="1" s="1"/>
  <c r="R643" i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R568" i="1" l="1"/>
  <c r="S569" i="1"/>
  <c r="T569" i="1" s="1"/>
  <c r="S568" i="1" l="1"/>
  <c r="T568" i="1" s="1"/>
  <c r="R567" i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S560" i="1" l="1"/>
  <c r="T560" i="1" s="1"/>
  <c r="R559" i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S530" i="1" l="1"/>
  <c r="T530" i="1" s="1"/>
  <c r="R529" i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S513" i="1" l="1"/>
  <c r="T513" i="1" s="1"/>
  <c r="R512" i="1"/>
  <c r="S512" i="1" l="1"/>
  <c r="T512" i="1" s="1"/>
  <c r="R511" i="1"/>
  <c r="S511" i="1" l="1"/>
  <c r="T511" i="1" s="1"/>
  <c r="R510" i="1"/>
  <c r="S510" i="1" l="1"/>
  <c r="T510" i="1" s="1"/>
  <c r="R509" i="1"/>
  <c r="S509" i="1" l="1"/>
  <c r="T509" i="1" s="1"/>
  <c r="R508" i="1"/>
  <c r="S508" i="1" l="1"/>
  <c r="T508" i="1" s="1"/>
  <c r="R507" i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S485" i="1" l="1"/>
  <c r="T485" i="1" s="1"/>
  <c r="R484" i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S370" i="1" l="1"/>
  <c r="T370" i="1" s="1"/>
  <c r="R369" i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S110" i="1" l="1"/>
  <c r="T110" i="1" s="1"/>
  <c r="R109" i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<sst xmlns="http://schemas.openxmlformats.org/spreadsheetml/2006/main" count="6117" uniqueCount="34">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</sst>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3.9809999999999999</c:v>
                </c:pt>
                <c:pt idx="1">
                  <c:v>4.0789999999999997</c:v>
                </c:pt>
                <c:pt idx="2">
                  <c:v>4.1849999999999996</c:v>
                </c:pt>
                <c:pt idx="3">
                  <c:v>3.7810000000000001</c:v>
                </c:pt>
                <c:pt idx="4">
                  <c:v>3.931</c:v>
                </c:pt>
                <c:pt idx="5">
                  <c:v>3.8959999999999999</c:v>
                </c:pt>
                <c:pt idx="6">
                  <c:v>4.2590000000000003</c:v>
                </c:pt>
                <c:pt idx="7">
                  <c:v>5.07</c:v>
                </c:pt>
                <c:pt idx="8">
                  <c:v>5.3780000000000001</c:v>
                </c:pt>
                <c:pt idx="9">
                  <c:v>5.8129999999999997</c:v>
                </c:pt>
                <c:pt idx="10">
                  <c:v>5.875</c:v>
                </c:pt>
                <c:pt idx="11">
                  <c:v>6.2960000000000003</c:v>
                </c:pt>
                <c:pt idx="12">
                  <c:v>6.5179999999999998</c:v>
                </c:pt>
                <c:pt idx="13">
                  <c:v>6.39</c:v>
                </c:pt>
                <c:pt idx="14">
                  <c:v>6.3209999999999997</c:v>
                </c:pt>
                <c:pt idx="15">
                  <c:v>6.992</c:v>
                </c:pt>
                <c:pt idx="16">
                  <c:v>6.173</c:v>
                </c:pt>
                <c:pt idx="17">
                  <c:v>5.7220000000000004</c:v>
                </c:pt>
                <c:pt idx="18">
                  <c:v>6.21</c:v>
                </c:pt>
                <c:pt idx="19">
                  <c:v>6.0670000000000002</c:v>
                </c:pt>
                <c:pt idx="20">
                  <c:v>6.5190000000000001</c:v>
                </c:pt>
                <c:pt idx="21">
                  <c:v>6.9690000000000003</c:v>
                </c:pt>
                <c:pt idx="22">
                  <c:v>7.09</c:v>
                </c:pt>
                <c:pt idx="23">
                  <c:v>7.7679999999999998</c:v>
                </c:pt>
                <c:pt idx="24">
                  <c:v>7.306</c:v>
                </c:pt>
                <c:pt idx="25">
                  <c:v>7.3849999999999998</c:v>
                </c:pt>
                <c:pt idx="26">
                  <c:v>7.3609999999999998</c:v>
                </c:pt>
                <c:pt idx="27">
                  <c:v>6.7949999999999999</c:v>
                </c:pt>
                <c:pt idx="28">
                  <c:v>6.8559999999999999</c:v>
                </c:pt>
                <c:pt idx="29">
                  <c:v>6.8029999999999999</c:v>
                </c:pt>
                <c:pt idx="30">
                  <c:v>7.2</c:v>
                </c:pt>
                <c:pt idx="31">
                  <c:v>8.2810000000000006</c:v>
                </c:pt>
                <c:pt idx="32">
                  <c:v>7.7709999999999999</c:v>
                </c:pt>
                <c:pt idx="33">
                  <c:v>7.8879999999999999</c:v>
                </c:pt>
                <c:pt idx="34">
                  <c:v>7.62</c:v>
                </c:pt>
                <c:pt idx="35">
                  <c:v>7.8040000000000003</c:v>
                </c:pt>
                <c:pt idx="36">
                  <c:v>7.2190000000000003</c:v>
                </c:pt>
                <c:pt idx="37">
                  <c:v>6.8630000000000004</c:v>
                </c:pt>
                <c:pt idx="38">
                  <c:v>6.36</c:v>
                </c:pt>
                <c:pt idx="39">
                  <c:v>6.1680000000000001</c:v>
                </c:pt>
                <c:pt idx="40">
                  <c:v>6.4649999999999999</c:v>
                </c:pt>
                <c:pt idx="41">
                  <c:v>6.2489999999999997</c:v>
                </c:pt>
                <c:pt idx="42">
                  <c:v>6.5010000000000003</c:v>
                </c:pt>
                <c:pt idx="43">
                  <c:v>6.63</c:v>
                </c:pt>
                <c:pt idx="44">
                  <c:v>6.2569999999999997</c:v>
                </c:pt>
                <c:pt idx="45">
                  <c:v>6.2789999999999999</c:v>
                </c:pt>
                <c:pt idx="46">
                  <c:v>7.117</c:v>
                </c:pt>
                <c:pt idx="47">
                  <c:v>6.6340000000000003</c:v>
                </c:pt>
                <c:pt idx="48">
                  <c:v>6.548</c:v>
                </c:pt>
                <c:pt idx="49">
                  <c:v>6.9909999999999997</c:v>
                </c:pt>
                <c:pt idx="50">
                  <c:v>8.0530000000000008</c:v>
                </c:pt>
                <c:pt idx="51">
                  <c:v>7.2670000000000003</c:v>
                </c:pt>
                <c:pt idx="52">
                  <c:v>7.6260000000000003</c:v>
                </c:pt>
                <c:pt idx="53">
                  <c:v>7.84</c:v>
                </c:pt>
                <c:pt idx="54">
                  <c:v>8.7569999999999997</c:v>
                </c:pt>
                <c:pt idx="55">
                  <c:v>10.039999999999999</c:v>
                </c:pt>
                <c:pt idx="56">
                  <c:v>10.494999999999999</c:v>
                </c:pt>
                <c:pt idx="57">
                  <c:v>10.816000000000001</c:v>
                </c:pt>
                <c:pt idx="58">
                  <c:v>11.297000000000001</c:v>
                </c:pt>
                <c:pt idx="59">
                  <c:v>10.657</c:v>
                </c:pt>
                <c:pt idx="60">
                  <c:v>11.173</c:v>
                </c:pt>
                <c:pt idx="61">
                  <c:v>11.231</c:v>
                </c:pt>
                <c:pt idx="62">
                  <c:v>11.021000000000001</c:v>
                </c:pt>
                <c:pt idx="63">
                  <c:v>12.930999999999999</c:v>
                </c:pt>
                <c:pt idx="64">
                  <c:v>11.271000000000001</c:v>
                </c:pt>
                <c:pt idx="65">
                  <c:v>10.555</c:v>
                </c:pt>
                <c:pt idx="66">
                  <c:v>10.327999999999999</c:v>
                </c:pt>
                <c:pt idx="67">
                  <c:v>10.847</c:v>
                </c:pt>
                <c:pt idx="68">
                  <c:v>11.516999999999999</c:v>
                </c:pt>
                <c:pt idx="69">
                  <c:v>11.12</c:v>
                </c:pt>
                <c:pt idx="70">
                  <c:v>9.7949999999999999</c:v>
                </c:pt>
                <c:pt idx="71">
                  <c:v>10.881</c:v>
                </c:pt>
                <c:pt idx="72">
                  <c:v>10.83</c:v>
                </c:pt>
                <c:pt idx="73">
                  <c:v>12.108000000000001</c:v>
                </c:pt>
                <c:pt idx="74">
                  <c:v>12.637</c:v>
                </c:pt>
                <c:pt idx="75">
                  <c:v>12.959</c:v>
                </c:pt>
                <c:pt idx="76">
                  <c:v>11.95</c:v>
                </c:pt>
                <c:pt idx="77">
                  <c:v>12.737</c:v>
                </c:pt>
                <c:pt idx="78">
                  <c:v>12.282</c:v>
                </c:pt>
                <c:pt idx="79">
                  <c:v>12.875</c:v>
                </c:pt>
                <c:pt idx="80">
                  <c:v>13.725</c:v>
                </c:pt>
                <c:pt idx="81">
                  <c:v>14.036</c:v>
                </c:pt>
                <c:pt idx="82">
                  <c:v>13.763999999999999</c:v>
                </c:pt>
                <c:pt idx="83">
                  <c:v>13.821</c:v>
                </c:pt>
                <c:pt idx="84">
                  <c:v>14.2</c:v>
                </c:pt>
                <c:pt idx="85">
                  <c:v>15.489000000000001</c:v>
                </c:pt>
                <c:pt idx="86">
                  <c:v>16.574999999999999</c:v>
                </c:pt>
                <c:pt idx="87">
                  <c:v>15.843999999999999</c:v>
                </c:pt>
                <c:pt idx="88">
                  <c:v>14.85</c:v>
                </c:pt>
                <c:pt idx="89">
                  <c:v>14.042999999999999</c:v>
                </c:pt>
                <c:pt idx="90">
                  <c:v>13.566000000000001</c:v>
                </c:pt>
                <c:pt idx="91">
                  <c:v>13.231999999999999</c:v>
                </c:pt>
                <c:pt idx="92">
                  <c:v>12.3</c:v>
                </c:pt>
                <c:pt idx="93">
                  <c:v>12.483000000000001</c:v>
                </c:pt>
                <c:pt idx="94">
                  <c:v>13.839</c:v>
                </c:pt>
                <c:pt idx="95">
                  <c:v>12.417999999999999</c:v>
                </c:pt>
                <c:pt idx="96">
                  <c:v>10.88</c:v>
                </c:pt>
                <c:pt idx="97">
                  <c:v>10.859</c:v>
                </c:pt>
                <c:pt idx="98">
                  <c:v>9.2750000000000004</c:v>
                </c:pt>
                <c:pt idx="99">
                  <c:v>7.968</c:v>
                </c:pt>
                <c:pt idx="100">
                  <c:v>7.4770000000000003</c:v>
                </c:pt>
                <c:pt idx="101">
                  <c:v>7.6710000000000003</c:v>
                </c:pt>
                <c:pt idx="102">
                  <c:v>7.7569999999999997</c:v>
                </c:pt>
                <c:pt idx="103">
                  <c:v>8.0670000000000002</c:v>
                </c:pt>
                <c:pt idx="104">
                  <c:v>7.9880000000000004</c:v>
                </c:pt>
                <c:pt idx="105">
                  <c:v>7.7430000000000003</c:v>
                </c:pt>
                <c:pt idx="106">
                  <c:v>7.3220000000000001</c:v>
                </c:pt>
                <c:pt idx="107">
                  <c:v>7.2560000000000002</c:v>
                </c:pt>
                <c:pt idx="108">
                  <c:v>7.431</c:v>
                </c:pt>
                <c:pt idx="109">
                  <c:v>7.4950000000000001</c:v>
                </c:pt>
                <c:pt idx="110">
                  <c:v>8.1170000000000009</c:v>
                </c:pt>
                <c:pt idx="111">
                  <c:v>8.3230000000000004</c:v>
                </c:pt>
                <c:pt idx="112">
                  <c:v>8.4719999999999995</c:v>
                </c:pt>
                <c:pt idx="113">
                  <c:v>8.6150000000000002</c:v>
                </c:pt>
                <c:pt idx="114">
                  <c:v>8.9220000000000006</c:v>
                </c:pt>
                <c:pt idx="115">
                  <c:v>9.1590000000000007</c:v>
                </c:pt>
                <c:pt idx="116">
                  <c:v>8.7260000000000009</c:v>
                </c:pt>
                <c:pt idx="117">
                  <c:v>8.24</c:v>
                </c:pt>
                <c:pt idx="118">
                  <c:v>7.9539999999999997</c:v>
                </c:pt>
                <c:pt idx="119">
                  <c:v>6.9740000000000002</c:v>
                </c:pt>
                <c:pt idx="120">
                  <c:v>6.5279999999999996</c:v>
                </c:pt>
                <c:pt idx="121">
                  <c:v>6.625</c:v>
                </c:pt>
                <c:pt idx="122">
                  <c:v>6.9420000000000002</c:v>
                </c:pt>
                <c:pt idx="123">
                  <c:v>7.2320000000000002</c:v>
                </c:pt>
                <c:pt idx="124">
                  <c:v>7.2830000000000004</c:v>
                </c:pt>
                <c:pt idx="125">
                  <c:v>7.9109999999999996</c:v>
                </c:pt>
                <c:pt idx="126">
                  <c:v>9.1120000000000001</c:v>
                </c:pt>
                <c:pt idx="127">
                  <c:v>7.7350000000000003</c:v>
                </c:pt>
                <c:pt idx="128">
                  <c:v>6.7089999999999996</c:v>
                </c:pt>
                <c:pt idx="129">
                  <c:v>8.1020000000000003</c:v>
                </c:pt>
                <c:pt idx="130">
                  <c:v>9.1059999999999999</c:v>
                </c:pt>
                <c:pt idx="131">
                  <c:v>9.9339999999999993</c:v>
                </c:pt>
                <c:pt idx="132">
                  <c:v>9.6839999999999993</c:v>
                </c:pt>
                <c:pt idx="133">
                  <c:v>10.052</c:v>
                </c:pt>
                <c:pt idx="134">
                  <c:v>10.138999999999999</c:v>
                </c:pt>
                <c:pt idx="135">
                  <c:v>9.2850000000000001</c:v>
                </c:pt>
                <c:pt idx="136">
                  <c:v>8.3810000000000002</c:v>
                </c:pt>
                <c:pt idx="137">
                  <c:v>9.1020000000000003</c:v>
                </c:pt>
                <c:pt idx="138">
                  <c:v>8.5579999999999998</c:v>
                </c:pt>
                <c:pt idx="139">
                  <c:v>8.49</c:v>
                </c:pt>
                <c:pt idx="140">
                  <c:v>9.0690000000000008</c:v>
                </c:pt>
                <c:pt idx="141">
                  <c:v>9.0060000000000002</c:v>
                </c:pt>
                <c:pt idx="142">
                  <c:v>9.5180000000000007</c:v>
                </c:pt>
                <c:pt idx="143">
                  <c:v>11.688000000000001</c:v>
                </c:pt>
                <c:pt idx="144">
                  <c:v>10.358000000000001</c:v>
                </c:pt>
                <c:pt idx="145">
                  <c:v>10.319000000000001</c:v>
                </c:pt>
                <c:pt idx="146">
                  <c:v>10.183999999999999</c:v>
                </c:pt>
                <c:pt idx="147">
                  <c:v>10.362</c:v>
                </c:pt>
                <c:pt idx="148">
                  <c:v>10.701000000000001</c:v>
                </c:pt>
                <c:pt idx="149">
                  <c:v>9.8670000000000009</c:v>
                </c:pt>
                <c:pt idx="150">
                  <c:v>9.5329999999999995</c:v>
                </c:pt>
                <c:pt idx="151">
                  <c:v>9.8979999999999997</c:v>
                </c:pt>
                <c:pt idx="152">
                  <c:v>9.9659999999999993</c:v>
                </c:pt>
                <c:pt idx="153">
                  <c:v>10.38</c:v>
                </c:pt>
                <c:pt idx="154">
                  <c:v>9.4939999999999998</c:v>
                </c:pt>
                <c:pt idx="155">
                  <c:v>10.441000000000001</c:v>
                </c:pt>
                <c:pt idx="156">
                  <c:v>10.372999999999999</c:v>
                </c:pt>
                <c:pt idx="157">
                  <c:v>11.420999999999999</c:v>
                </c:pt>
                <c:pt idx="158">
                  <c:v>11.172000000000001</c:v>
                </c:pt>
                <c:pt idx="159">
                  <c:v>11.303000000000001</c:v>
                </c:pt>
                <c:pt idx="160">
                  <c:v>9.3030000000000008</c:v>
                </c:pt>
                <c:pt idx="161">
                  <c:v>8.8350000000000009</c:v>
                </c:pt>
                <c:pt idx="162">
                  <c:v>8.0619999999999994</c:v>
                </c:pt>
                <c:pt idx="163">
                  <c:v>8.3849999999999998</c:v>
                </c:pt>
                <c:pt idx="164">
                  <c:v>8.6349999999999998</c:v>
                </c:pt>
                <c:pt idx="165">
                  <c:v>8.4160000000000004</c:v>
                </c:pt>
                <c:pt idx="166">
                  <c:v>7.7210000000000001</c:v>
                </c:pt>
                <c:pt idx="167">
                  <c:v>7.32</c:v>
                </c:pt>
                <c:pt idx="168">
                  <c:v>6.782</c:v>
                </c:pt>
                <c:pt idx="169">
                  <c:v>7.016</c:v>
                </c:pt>
                <c:pt idx="170">
                  <c:v>7.1029999999999998</c:v>
                </c:pt>
                <c:pt idx="171">
                  <c:v>6.87</c:v>
                </c:pt>
                <c:pt idx="172">
                  <c:v>6.6970000000000001</c:v>
                </c:pt>
                <c:pt idx="173">
                  <c:v>7.5659999999999998</c:v>
                </c:pt>
                <c:pt idx="174">
                  <c:v>7.7709999999999999</c:v>
                </c:pt>
                <c:pt idx="175">
                  <c:v>8.0939999999999994</c:v>
                </c:pt>
                <c:pt idx="176">
                  <c:v>7.899</c:v>
                </c:pt>
                <c:pt idx="177">
                  <c:v>6.82</c:v>
                </c:pt>
                <c:pt idx="178">
                  <c:v>7.2939999999999996</c:v>
                </c:pt>
                <c:pt idx="179">
                  <c:v>5.98</c:v>
                </c:pt>
                <c:pt idx="180">
                  <c:v>6.4870000000000001</c:v>
                </c:pt>
                <c:pt idx="181">
                  <c:v>6.327</c:v>
                </c:pt>
                <c:pt idx="182">
                  <c:v>5.4610000000000003</c:v>
                </c:pt>
                <c:pt idx="183">
                  <c:v>4.6470000000000002</c:v>
                </c:pt>
                <c:pt idx="184">
                  <c:v>3.9980000000000002</c:v>
                </c:pt>
                <c:pt idx="185">
                  <c:v>3.8940000000000001</c:v>
                </c:pt>
                <c:pt idx="186">
                  <c:v>3.5070000000000001</c:v>
                </c:pt>
                <c:pt idx="187">
                  <c:v>3.5920000000000001</c:v>
                </c:pt>
                <c:pt idx="188">
                  <c:v>3.831</c:v>
                </c:pt>
                <c:pt idx="189">
                  <c:v>3.4809999999999999</c:v>
                </c:pt>
                <c:pt idx="190">
                  <c:v>4.2969999999999997</c:v>
                </c:pt>
                <c:pt idx="191">
                  <c:v>3.524</c:v>
                </c:pt>
                <c:pt idx="192">
                  <c:v>3.673</c:v>
                </c:pt>
                <c:pt idx="193">
                  <c:v>4.0949999999999998</c:v>
                </c:pt>
                <c:pt idx="194">
                  <c:v>4.2460000000000004</c:v>
                </c:pt>
                <c:pt idx="195">
                  <c:v>4.59</c:v>
                </c:pt>
                <c:pt idx="196">
                  <c:v>4.9000000000000004</c:v>
                </c:pt>
                <c:pt idx="197">
                  <c:v>5.7309999999999999</c:v>
                </c:pt>
                <c:pt idx="198">
                  <c:v>5.6210000000000004</c:v>
                </c:pt>
                <c:pt idx="199">
                  <c:v>6.109</c:v>
                </c:pt>
                <c:pt idx="200">
                  <c:v>6.2880000000000003</c:v>
                </c:pt>
                <c:pt idx="201">
                  <c:v>6.117</c:v>
                </c:pt>
                <c:pt idx="202">
                  <c:v>6.2080000000000002</c:v>
                </c:pt>
                <c:pt idx="203">
                  <c:v>6.2060000000000004</c:v>
                </c:pt>
                <c:pt idx="204">
                  <c:v>7.1020000000000003</c:v>
                </c:pt>
                <c:pt idx="205">
                  <c:v>7.02</c:v>
                </c:pt>
                <c:pt idx="206">
                  <c:v>6.109</c:v>
                </c:pt>
                <c:pt idx="207">
                  <c:v>6.25</c:v>
                </c:pt>
                <c:pt idx="208">
                  <c:v>5.9850000000000003</c:v>
                </c:pt>
                <c:pt idx="209">
                  <c:v>5.7949999999999999</c:v>
                </c:pt>
                <c:pt idx="210">
                  <c:v>6.1539999999999999</c:v>
                </c:pt>
                <c:pt idx="211">
                  <c:v>6.77</c:v>
                </c:pt>
                <c:pt idx="212">
                  <c:v>6.6369999999999996</c:v>
                </c:pt>
                <c:pt idx="213">
                  <c:v>6.32</c:v>
                </c:pt>
                <c:pt idx="214">
                  <c:v>6.101</c:v>
                </c:pt>
                <c:pt idx="215">
                  <c:v>5.4089999999999998</c:v>
                </c:pt>
                <c:pt idx="216">
                  <c:v>5.4119999999999999</c:v>
                </c:pt>
                <c:pt idx="217">
                  <c:v>6.3769999999999998</c:v>
                </c:pt>
                <c:pt idx="218">
                  <c:v>5.5949999999999998</c:v>
                </c:pt>
                <c:pt idx="219">
                  <c:v>5.319</c:v>
                </c:pt>
                <c:pt idx="220">
                  <c:v>5.97</c:v>
                </c:pt>
                <c:pt idx="221">
                  <c:v>8.3539999999999992</c:v>
                </c:pt>
                <c:pt idx="222">
                  <c:v>7.2919999999999998</c:v>
                </c:pt>
                <c:pt idx="223">
                  <c:v>8.15</c:v>
                </c:pt>
                <c:pt idx="224">
                  <c:v>8.7360000000000007</c:v>
                </c:pt>
                <c:pt idx="225">
                  <c:v>9.3360000000000003</c:v>
                </c:pt>
                <c:pt idx="226">
                  <c:v>9.8420000000000005</c:v>
                </c:pt>
                <c:pt idx="227">
                  <c:v>8.8689999999999998</c:v>
                </c:pt>
                <c:pt idx="228">
                  <c:v>8.3279999999999994</c:v>
                </c:pt>
                <c:pt idx="229">
                  <c:v>7.07</c:v>
                </c:pt>
                <c:pt idx="230">
                  <c:v>7.2670000000000003</c:v>
                </c:pt>
                <c:pt idx="231">
                  <c:v>8.4730000000000008</c:v>
                </c:pt>
                <c:pt idx="232">
                  <c:v>9.7349999999999994</c:v>
                </c:pt>
                <c:pt idx="233">
                  <c:v>9.08</c:v>
                </c:pt>
                <c:pt idx="234">
                  <c:v>9.1069999999999993</c:v>
                </c:pt>
                <c:pt idx="235">
                  <c:v>10.813000000000001</c:v>
                </c:pt>
                <c:pt idx="236">
                  <c:v>10.602</c:v>
                </c:pt>
                <c:pt idx="237">
                  <c:v>11.52</c:v>
                </c:pt>
                <c:pt idx="238">
                  <c:v>13.263999999999999</c:v>
                </c:pt>
                <c:pt idx="239">
                  <c:v>12.374000000000001</c:v>
                </c:pt>
                <c:pt idx="240">
                  <c:v>11.544</c:v>
                </c:pt>
                <c:pt idx="241">
                  <c:v>12.631</c:v>
                </c:pt>
                <c:pt idx="242">
                  <c:v>11.036</c:v>
                </c:pt>
                <c:pt idx="243">
                  <c:v>9.9710000000000001</c:v>
                </c:pt>
                <c:pt idx="244">
                  <c:v>10.791</c:v>
                </c:pt>
                <c:pt idx="245">
                  <c:v>14.076000000000001</c:v>
                </c:pt>
                <c:pt idx="246">
                  <c:v>12.728</c:v>
                </c:pt>
                <c:pt idx="247">
                  <c:v>12.653</c:v>
                </c:pt>
                <c:pt idx="248">
                  <c:v>10.199999999999999</c:v>
                </c:pt>
                <c:pt idx="249">
                  <c:v>7.77</c:v>
                </c:pt>
                <c:pt idx="250">
                  <c:v>9.4239999999999995</c:v>
                </c:pt>
                <c:pt idx="251">
                  <c:v>10.391999999999999</c:v>
                </c:pt>
                <c:pt idx="252">
                  <c:v>13.603</c:v>
                </c:pt>
                <c:pt idx="253">
                  <c:v>11.574999999999999</c:v>
                </c:pt>
                <c:pt idx="254">
                  <c:v>20.335000000000001</c:v>
                </c:pt>
                <c:pt idx="255">
                  <c:v>18.335000000000001</c:v>
                </c:pt>
                <c:pt idx="256">
                  <c:v>19.45</c:v>
                </c:pt>
                <c:pt idx="257">
                  <c:v>17.574999999999999</c:v>
                </c:pt>
                <c:pt idx="258">
                  <c:v>18.7</c:v>
                </c:pt>
                <c:pt idx="259">
                  <c:v>17.363</c:v>
                </c:pt>
                <c:pt idx="260">
                  <c:v>17.459</c:v>
                </c:pt>
                <c:pt idx="261">
                  <c:v>18.001000000000001</c:v>
                </c:pt>
                <c:pt idx="262">
                  <c:v>16.510000000000002</c:v>
                </c:pt>
                <c:pt idx="263">
                  <c:v>17.905000000000001</c:v>
                </c:pt>
                <c:pt idx="264">
                  <c:v>19.248000000000001</c:v>
                </c:pt>
                <c:pt idx="265">
                  <c:v>17.959</c:v>
                </c:pt>
                <c:pt idx="266">
                  <c:v>17.477</c:v>
                </c:pt>
                <c:pt idx="267">
                  <c:v>18.327999999999999</c:v>
                </c:pt>
                <c:pt idx="268">
                  <c:v>16.856000000000002</c:v>
                </c:pt>
                <c:pt idx="269">
                  <c:v>17.77</c:v>
                </c:pt>
                <c:pt idx="270">
                  <c:v>14.542999999999999</c:v>
                </c:pt>
                <c:pt idx="271">
                  <c:v>15.503</c:v>
                </c:pt>
                <c:pt idx="272">
                  <c:v>15.4</c:v>
                </c:pt>
                <c:pt idx="273">
                  <c:v>14.196</c:v>
                </c:pt>
                <c:pt idx="274">
                  <c:v>14.138</c:v>
                </c:pt>
                <c:pt idx="275">
                  <c:v>14.750999999999999</c:v>
                </c:pt>
                <c:pt idx="276">
                  <c:v>13.85</c:v>
                </c:pt>
                <c:pt idx="277">
                  <c:v>11.512</c:v>
                </c:pt>
                <c:pt idx="278">
                  <c:v>11.3094</c:v>
                </c:pt>
                <c:pt idx="279">
                  <c:v>13.0945</c:v>
                </c:pt>
                <c:pt idx="280">
                  <c:v>13.9688</c:v>
                </c:pt>
                <c:pt idx="281">
                  <c:v>13.068300000000001</c:v>
                </c:pt>
                <c:pt idx="282">
                  <c:v>14.789</c:v>
                </c:pt>
                <c:pt idx="283">
                  <c:v>14.023099999999999</c:v>
                </c:pt>
                <c:pt idx="284">
                  <c:v>16.6083</c:v>
                </c:pt>
                <c:pt idx="285">
                  <c:v>14.190300000000001</c:v>
                </c:pt>
                <c:pt idx="286">
                  <c:v>14.597099999999999</c:v>
                </c:pt>
                <c:pt idx="287">
                  <c:v>14.552199999999999</c:v>
                </c:pt>
                <c:pt idx="288">
                  <c:v>15.245799999999999</c:v>
                </c:pt>
                <c:pt idx="289">
                  <c:v>13.297000000000001</c:v>
                </c:pt>
                <c:pt idx="290">
                  <c:v>12.0984</c:v>
                </c:pt>
                <c:pt idx="291">
                  <c:v>11.0052</c:v>
                </c:pt>
                <c:pt idx="292">
                  <c:v>11.8725</c:v>
                </c:pt>
                <c:pt idx="293">
                  <c:v>11.8797</c:v>
                </c:pt>
                <c:pt idx="294">
                  <c:v>10.229900000000001</c:v>
                </c:pt>
                <c:pt idx="295">
                  <c:v>9.1449999999999996</c:v>
                </c:pt>
                <c:pt idx="296">
                  <c:v>9.8859999999999992</c:v>
                </c:pt>
                <c:pt idx="297">
                  <c:v>9.7965</c:v>
                </c:pt>
                <c:pt idx="298">
                  <c:v>10.3575</c:v>
                </c:pt>
                <c:pt idx="299">
                  <c:v>9.2347999999999999</c:v>
                </c:pt>
                <c:pt idx="300">
                  <c:v>8.3897999999999993</c:v>
                </c:pt>
                <c:pt idx="301">
                  <c:v>8.3545999999999996</c:v>
                </c:pt>
                <c:pt idx="302">
                  <c:v>7.9359999999999999</c:v>
                </c:pt>
                <c:pt idx="303">
                  <c:v>7.2797000000000001</c:v>
                </c:pt>
                <c:pt idx="304">
                  <c:v>6.7370000000000001</c:v>
                </c:pt>
                <c:pt idx="305">
                  <c:v>6.1585000000000001</c:v>
                </c:pt>
                <c:pt idx="306">
                  <c:v>6.2298</c:v>
                </c:pt>
                <c:pt idx="307">
                  <c:v>5.9185999999999996</c:v>
                </c:pt>
                <c:pt idx="308">
                  <c:v>4.7602000000000002</c:v>
                </c:pt>
                <c:pt idx="309">
                  <c:v>4.6360000000000001</c:v>
                </c:pt>
                <c:pt idx="310">
                  <c:v>5.125</c:v>
                </c:pt>
                <c:pt idx="311">
                  <c:v>5.2527999999999997</c:v>
                </c:pt>
                <c:pt idx="312">
                  <c:v>5.6300999999999997</c:v>
                </c:pt>
                <c:pt idx="313">
                  <c:v>5.7876000000000003</c:v>
                </c:pt>
                <c:pt idx="314">
                  <c:v>5.56</c:v>
                </c:pt>
                <c:pt idx="315">
                  <c:v>5.6349999999999998</c:v>
                </c:pt>
                <c:pt idx="316">
                  <c:v>5.8289999999999997</c:v>
                </c:pt>
                <c:pt idx="317">
                  <c:v>5.5869</c:v>
                </c:pt>
                <c:pt idx="318">
                  <c:v>5.6628999999999996</c:v>
                </c:pt>
                <c:pt idx="319">
                  <c:v>5.55</c:v>
                </c:pt>
                <c:pt idx="320">
                  <c:v>6.1109999999999998</c:v>
                </c:pt>
                <c:pt idx="321">
                  <c:v>5.9924999999999997</c:v>
                </c:pt>
                <c:pt idx="322">
                  <c:v>6.4194000000000004</c:v>
                </c:pt>
                <c:pt idx="323">
                  <c:v>6.3174000000000001</c:v>
                </c:pt>
                <c:pt idx="324">
                  <c:v>6.1425000000000001</c:v>
                </c:pt>
                <c:pt idx="325">
                  <c:v>5.8243</c:v>
                </c:pt>
                <c:pt idx="326">
                  <c:v>5.6946000000000003</c:v>
                </c:pt>
                <c:pt idx="327">
                  <c:v>5.6848999999999998</c:v>
                </c:pt>
                <c:pt idx="328">
                  <c:v>5.5042</c:v>
                </c:pt>
                <c:pt idx="329">
                  <c:v>5.2686000000000002</c:v>
                </c:pt>
                <c:pt idx="330">
                  <c:v>5.71</c:v>
                </c:pt>
                <c:pt idx="331">
                  <c:v>5.1898999999999997</c:v>
                </c:pt>
                <c:pt idx="332">
                  <c:v>5.1929999999999996</c:v>
                </c:pt>
                <c:pt idx="333">
                  <c:v>4.3499999999999996</c:v>
                </c:pt>
                <c:pt idx="334">
                  <c:v>4.5189000000000004</c:v>
                </c:pt>
                <c:pt idx="335">
                  <c:v>4.4059999999999997</c:v>
                </c:pt>
                <c:pt idx="336">
                  <c:v>4.4455</c:v>
                </c:pt>
                <c:pt idx="337">
                  <c:v>4.9318</c:v>
                </c:pt>
                <c:pt idx="338">
                  <c:v>4.8968999999999996</c:v>
                </c:pt>
                <c:pt idx="339">
                  <c:v>4.4981999999999998</c:v>
                </c:pt>
                <c:pt idx="340">
                  <c:v>4.7748999999999997</c:v>
                </c:pt>
                <c:pt idx="341">
                  <c:v>5.1144999999999996</c:v>
                </c:pt>
                <c:pt idx="342">
                  <c:v>4.78</c:v>
                </c:pt>
                <c:pt idx="343">
                  <c:v>3.9780000000000002</c:v>
                </c:pt>
                <c:pt idx="344">
                  <c:v>4.0030000000000001</c:v>
                </c:pt>
                <c:pt idx="345">
                  <c:v>3.9249999999999998</c:v>
                </c:pt>
                <c:pt idx="346">
                  <c:v>3.8824999999999998</c:v>
                </c:pt>
                <c:pt idx="347">
                  <c:v>3.9641999999999999</c:v>
                </c:pt>
                <c:pt idx="348">
                  <c:v>4.3970000000000002</c:v>
                </c:pt>
                <c:pt idx="349">
                  <c:v>4.2949999999999999</c:v>
                </c:pt>
                <c:pt idx="350">
                  <c:v>4.5057999999999998</c:v>
                </c:pt>
                <c:pt idx="351">
                  <c:v>4.4649999999999999</c:v>
                </c:pt>
                <c:pt idx="352">
                  <c:v>4.58</c:v>
                </c:pt>
                <c:pt idx="353">
                  <c:v>4.5945999999999998</c:v>
                </c:pt>
                <c:pt idx="354">
                  <c:v>3.79</c:v>
                </c:pt>
                <c:pt idx="355">
                  <c:v>3.5737000000000001</c:v>
                </c:pt>
                <c:pt idx="356">
                  <c:v>3.9649999999999999</c:v>
                </c:pt>
                <c:pt idx="357">
                  <c:v>3.8957999999999999</c:v>
                </c:pt>
                <c:pt idx="358">
                  <c:v>3.7225000000000001</c:v>
                </c:pt>
                <c:pt idx="359">
                  <c:v>3.7919999999999998</c:v>
                </c:pt>
                <c:pt idx="360">
                  <c:v>4.1797000000000004</c:v>
                </c:pt>
                <c:pt idx="361">
                  <c:v>3.6110000000000002</c:v>
                </c:pt>
                <c:pt idx="362">
                  <c:v>3.8805999999999998</c:v>
                </c:pt>
                <c:pt idx="363">
                  <c:v>3.6328999999999998</c:v>
                </c:pt>
                <c:pt idx="364">
                  <c:v>3.1606999999999998</c:v>
                </c:pt>
                <c:pt idx="365">
                  <c:v>2.5323000000000002</c:v>
                </c:pt>
                <c:pt idx="366">
                  <c:v>2.4089999999999998</c:v>
                </c:pt>
                <c:pt idx="367">
                  <c:v>2.3776999999999999</c:v>
                </c:pt>
                <c:pt idx="368">
                  <c:v>2.5962999999999998</c:v>
                </c:pt>
                <c:pt idx="369">
                  <c:v>2.37</c:v>
                </c:pt>
                <c:pt idx="370">
                  <c:v>2.1315</c:v>
                </c:pt>
                <c:pt idx="371">
                  <c:v>1.6455</c:v>
                </c:pt>
                <c:pt idx="372">
                  <c:v>2.0156000000000001</c:v>
                </c:pt>
                <c:pt idx="373">
                  <c:v>1.9915</c:v>
                </c:pt>
                <c:pt idx="374">
                  <c:v>2.0724999999999998</c:v>
                </c:pt>
                <c:pt idx="375">
                  <c:v>1.9533</c:v>
                </c:pt>
                <c:pt idx="376">
                  <c:v>1.96</c:v>
                </c:pt>
                <c:pt idx="377">
                  <c:v>1.8435999999999999</c:v>
                </c:pt>
                <c:pt idx="378">
                  <c:v>1.9053</c:v>
                </c:pt>
                <c:pt idx="379">
                  <c:v>1.8080000000000001</c:v>
                </c:pt>
                <c:pt idx="380">
                  <c:v>1.2912999999999999</c:v>
                </c:pt>
                <c:pt idx="381">
                  <c:v>1.3090999999999999</c:v>
                </c:pt>
                <c:pt idx="382">
                  <c:v>1.4594</c:v>
                </c:pt>
                <c:pt idx="383">
                  <c:v>1.5673999999999999</c:v>
                </c:pt>
                <c:pt idx="384">
                  <c:v>1.3460000000000001</c:v>
                </c:pt>
                <c:pt idx="385">
                  <c:v>1.4612000000000001</c:v>
                </c:pt>
                <c:pt idx="386">
                  <c:v>1.5915999999999999</c:v>
                </c:pt>
                <c:pt idx="387">
                  <c:v>1.5826</c:v>
                </c:pt>
                <c:pt idx="388">
                  <c:v>1.5929</c:v>
                </c:pt>
                <c:pt idx="389">
                  <c:v>1.4839</c:v>
                </c:pt>
                <c:pt idx="390">
                  <c:v>1.2919</c:v>
                </c:pt>
                <c:pt idx="391">
                  <c:v>1.2874000000000001</c:v>
                </c:pt>
                <c:pt idx="392">
                  <c:v>1.1698999999999999</c:v>
                </c:pt>
                <c:pt idx="393">
                  <c:v>1.2134</c:v>
                </c:pt>
                <c:pt idx="394">
                  <c:v>1.2009000000000001</c:v>
                </c:pt>
                <c:pt idx="395">
                  <c:v>1.0383</c:v>
                </c:pt>
                <c:pt idx="396">
                  <c:v>0.89729999999999999</c:v>
                </c:pt>
                <c:pt idx="397">
                  <c:v>0.87560000000000004</c:v>
                </c:pt>
                <c:pt idx="398">
                  <c:v>0.92379999999999995</c:v>
                </c:pt>
                <c:pt idx="399">
                  <c:v>0.92589999999999995</c:v>
                </c:pt>
                <c:pt idx="400">
                  <c:v>0.87329999999999997</c:v>
                </c:pt>
                <c:pt idx="401">
                  <c:v>0.91649999999999998</c:v>
                </c:pt>
                <c:pt idx="402">
                  <c:v>0.89629999999999999</c:v>
                </c:pt>
                <c:pt idx="403">
                  <c:v>0.97840000000000005</c:v>
                </c:pt>
                <c:pt idx="404">
                  <c:v>1.0525</c:v>
                </c:pt>
                <c:pt idx="405">
                  <c:v>1.0201</c:v>
                </c:pt>
                <c:pt idx="406">
                  <c:v>0.99929999999999997</c:v>
                </c:pt>
                <c:pt idx="407">
                  <c:v>1.0293000000000001</c:v>
                </c:pt>
                <c:pt idx="408">
                  <c:v>0.91500000000000004</c:v>
                </c:pt>
                <c:pt idx="409">
                  <c:v>0.92920000000000003</c:v>
                </c:pt>
                <c:pt idx="410">
                  <c:v>0.89890000000000003</c:v>
                </c:pt>
                <c:pt idx="411">
                  <c:v>0.85199999999999998</c:v>
                </c:pt>
                <c:pt idx="412">
                  <c:v>0.80400000000000005</c:v>
                </c:pt>
                <c:pt idx="413">
                  <c:v>0.87680000000000002</c:v>
                </c:pt>
                <c:pt idx="414">
                  <c:v>0.89500000000000002</c:v>
                </c:pt>
                <c:pt idx="415">
                  <c:v>0.84040000000000004</c:v>
                </c:pt>
                <c:pt idx="416">
                  <c:v>0.96679999999999999</c:v>
                </c:pt>
                <c:pt idx="417">
                  <c:v>0.98150000000000004</c:v>
                </c:pt>
                <c:pt idx="418">
                  <c:v>1.0085999999999999</c:v>
                </c:pt>
                <c:pt idx="419">
                  <c:v>0.93799999999999994</c:v>
                </c:pt>
                <c:pt idx="420">
                  <c:v>1.0186999999999999</c:v>
                </c:pt>
                <c:pt idx="421">
                  <c:v>0.98540000000000005</c:v>
                </c:pt>
                <c:pt idx="422">
                  <c:v>0.8952</c:v>
                </c:pt>
                <c:pt idx="423">
                  <c:v>0.8579</c:v>
                </c:pt>
                <c:pt idx="424">
                  <c:v>0.83</c:v>
                </c:pt>
                <c:pt idx="425">
                  <c:v>0.79449999999999998</c:v>
                </c:pt>
                <c:pt idx="426">
                  <c:v>0.7722</c:v>
                </c:pt>
                <c:pt idx="427">
                  <c:v>0.79549999999999998</c:v>
                </c:pt>
                <c:pt idx="428">
                  <c:v>0.89500000000000002</c:v>
                </c:pt>
                <c:pt idx="429">
                  <c:v>0.91920000000000002</c:v>
                </c:pt>
                <c:pt idx="430">
                  <c:v>0.91549999999999998</c:v>
                </c:pt>
                <c:pt idx="431">
                  <c:v>0.84850000000000003</c:v>
                </c:pt>
                <c:pt idx="432">
                  <c:v>0.92169999999999996</c:v>
                </c:pt>
                <c:pt idx="433">
                  <c:v>0.93089999999999995</c:v>
                </c:pt>
                <c:pt idx="434">
                  <c:v>0.90010000000000001</c:v>
                </c:pt>
                <c:pt idx="435">
                  <c:v>0.89349999999999996</c:v>
                </c:pt>
                <c:pt idx="436">
                  <c:v>1.0065999999999999</c:v>
                </c:pt>
                <c:pt idx="437">
                  <c:v>0.90700000000000003</c:v>
                </c:pt>
                <c:pt idx="438">
                  <c:v>0.88349999999999995</c:v>
                </c:pt>
                <c:pt idx="439">
                  <c:v>0.83089999999999997</c:v>
                </c:pt>
                <c:pt idx="440">
                  <c:v>0.71409999999999996</c:v>
                </c:pt>
                <c:pt idx="441">
                  <c:v>0.57420000000000004</c:v>
                </c:pt>
                <c:pt idx="442">
                  <c:v>0.62570000000000003</c:v>
                </c:pt>
                <c:pt idx="443">
                  <c:v>0.68140000000000001</c:v>
                </c:pt>
                <c:pt idx="444">
                  <c:v>0.59189999999999998</c:v>
                </c:pt>
                <c:pt idx="445">
                  <c:v>0.58050000000000002</c:v>
                </c:pt>
                <c:pt idx="446">
                  <c:v>0.49199999999999999</c:v>
                </c:pt>
                <c:pt idx="447">
                  <c:v>0.52290000000000003</c:v>
                </c:pt>
                <c:pt idx="448">
                  <c:v>0.4234</c:v>
                </c:pt>
                <c:pt idx="449">
                  <c:v>0.37719999999999998</c:v>
                </c:pt>
                <c:pt idx="450">
                  <c:v>0.36770000000000003</c:v>
                </c:pt>
                <c:pt idx="451">
                  <c:v>0.38140000000000002</c:v>
                </c:pt>
                <c:pt idx="452">
                  <c:v>0.39529999999999998</c:v>
                </c:pt>
                <c:pt idx="453">
                  <c:v>0.40560000000000002</c:v>
                </c:pt>
                <c:pt idx="454">
                  <c:v>0.39379999999999998</c:v>
                </c:pt>
                <c:pt idx="455">
                  <c:v>0.39650000000000002</c:v>
                </c:pt>
                <c:pt idx="456">
                  <c:v>0.40329999999999999</c:v>
                </c:pt>
                <c:pt idx="457">
                  <c:v>0.43769999999999998</c:v>
                </c:pt>
                <c:pt idx="458">
                  <c:v>0.4425</c:v>
                </c:pt>
                <c:pt idx="459">
                  <c:v>0.46589999999999998</c:v>
                </c:pt>
                <c:pt idx="460">
                  <c:v>0.4975</c:v>
                </c:pt>
                <c:pt idx="461">
                  <c:v>0.49880000000000002</c:v>
                </c:pt>
                <c:pt idx="462">
                  <c:v>0.51549999999999996</c:v>
                </c:pt>
                <c:pt idx="463">
                  <c:v>0.4899</c:v>
                </c:pt>
                <c:pt idx="464">
                  <c:v>0.47070000000000001</c:v>
                </c:pt>
                <c:pt idx="465">
                  <c:v>0.55989999999999995</c:v>
                </c:pt>
                <c:pt idx="466">
                  <c:v>0.57010000000000005</c:v>
                </c:pt>
                <c:pt idx="467">
                  <c:v>0.50490000000000002</c:v>
                </c:pt>
                <c:pt idx="468">
                  <c:v>0.49930000000000002</c:v>
                </c:pt>
                <c:pt idx="469">
                  <c:v>0.53210000000000002</c:v>
                </c:pt>
                <c:pt idx="470">
                  <c:v>0.55800000000000005</c:v>
                </c:pt>
                <c:pt idx="471">
                  <c:v>0.57730000000000004</c:v>
                </c:pt>
                <c:pt idx="472">
                  <c:v>0.58199999999999996</c:v>
                </c:pt>
                <c:pt idx="473">
                  <c:v>0.53839999999999999</c:v>
                </c:pt>
                <c:pt idx="474">
                  <c:v>0.53610000000000002</c:v>
                </c:pt>
                <c:pt idx="475">
                  <c:v>0.48499999999999999</c:v>
                </c:pt>
                <c:pt idx="476">
                  <c:v>0.47789999999999999</c:v>
                </c:pt>
                <c:pt idx="477">
                  <c:v>0.435</c:v>
                </c:pt>
                <c:pt idx="478">
                  <c:v>0.38350000000000001</c:v>
                </c:pt>
                <c:pt idx="479">
                  <c:v>0.4113</c:v>
                </c:pt>
                <c:pt idx="480">
                  <c:v>0.45429999999999998</c:v>
                </c:pt>
                <c:pt idx="481">
                  <c:v>0.4592</c:v>
                </c:pt>
                <c:pt idx="482">
                  <c:v>0.45729999999999998</c:v>
                </c:pt>
                <c:pt idx="483">
                  <c:v>0.48270000000000002</c:v>
                </c:pt>
                <c:pt idx="484">
                  <c:v>0.48480000000000001</c:v>
                </c:pt>
                <c:pt idx="485">
                  <c:v>0.53100000000000003</c:v>
                </c:pt>
                <c:pt idx="486">
                  <c:v>0.55369999999999997</c:v>
                </c:pt>
                <c:pt idx="487">
                  <c:v>0.63160000000000005</c:v>
                </c:pt>
                <c:pt idx="488">
                  <c:v>0.52880000000000005</c:v>
                </c:pt>
                <c:pt idx="489">
                  <c:v>0.4844</c:v>
                </c:pt>
                <c:pt idx="490">
                  <c:v>0.39739999999999998</c:v>
                </c:pt>
                <c:pt idx="491">
                  <c:v>0.33889999999999998</c:v>
                </c:pt>
                <c:pt idx="492">
                  <c:v>0.38919999999999999</c:v>
                </c:pt>
                <c:pt idx="493">
                  <c:v>0.38440000000000002</c:v>
                </c:pt>
                <c:pt idx="494">
                  <c:v>0.45150000000000001</c:v>
                </c:pt>
                <c:pt idx="495">
                  <c:v>0.49159999999999998</c:v>
                </c:pt>
                <c:pt idx="496">
                  <c:v>0.52410000000000001</c:v>
                </c:pt>
                <c:pt idx="497">
                  <c:v>0.5171</c:v>
                </c:pt>
                <c:pt idx="498">
                  <c:v>0.59199999999999997</c:v>
                </c:pt>
                <c:pt idx="499">
                  <c:v>0.58230000000000004</c:v>
                </c:pt>
                <c:pt idx="500">
                  <c:v>0.64290000000000003</c:v>
                </c:pt>
                <c:pt idx="501">
                  <c:v>0.70640000000000003</c:v>
                </c:pt>
                <c:pt idx="502">
                  <c:v>0.79979999999999996</c:v>
                </c:pt>
                <c:pt idx="503">
                  <c:v>0.74860000000000004</c:v>
                </c:pt>
                <c:pt idx="504">
                  <c:v>0.72289999999999999</c:v>
                </c:pt>
                <c:pt idx="505">
                  <c:v>0.72740000000000005</c:v>
                </c:pt>
                <c:pt idx="506">
                  <c:v>0.69689999999999996</c:v>
                </c:pt>
                <c:pt idx="507">
                  <c:v>0.72209999999999996</c:v>
                </c:pt>
                <c:pt idx="508">
                  <c:v>0.78100000000000003</c:v>
                </c:pt>
                <c:pt idx="509">
                  <c:v>0.6371</c:v>
                </c:pt>
                <c:pt idx="510">
                  <c:v>0.81830000000000003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F-46BF-84AE-570436A09F1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0.93645729779553355</c:v>
                </c:pt>
                <c:pt idx="1">
                  <c:v>0.93850715275657248</c:v>
                </c:pt>
                <c:pt idx="2">
                  <c:v>0.97566731866847367</c:v>
                </c:pt>
                <c:pt idx="3">
                  <c:v>0.9443178081129181</c:v>
                </c:pt>
                <c:pt idx="4">
                  <c:v>0.90560740975839416</c:v>
                </c:pt>
                <c:pt idx="5">
                  <c:v>0.91544636137827728</c:v>
                </c:pt>
                <c:pt idx="6">
                  <c:v>0.92641491177535806</c:v>
                </c:pt>
                <c:pt idx="7">
                  <c:v>0.99892712822177687</c:v>
                </c:pt>
                <c:pt idx="8">
                  <c:v>1.0410985614494672</c:v>
                </c:pt>
                <c:pt idx="9">
                  <c:v>1.0632188238016624</c:v>
                </c:pt>
                <c:pt idx="10">
                  <c:v>1.0653933134544402</c:v>
                </c:pt>
                <c:pt idx="11">
                  <c:v>1.0852633406187258</c:v>
                </c:pt>
                <c:pt idx="12">
                  <c:v>1.0986796773700771</c:v>
                </c:pt>
                <c:pt idx="13">
                  <c:v>1.0943610661292396</c:v>
                </c:pt>
                <c:pt idx="14">
                  <c:v>1.0805165853177212</c:v>
                </c:pt>
                <c:pt idx="15">
                  <c:v>1.116424307806452</c:v>
                </c:pt>
                <c:pt idx="16">
                  <c:v>1.0742994264145738</c:v>
                </c:pt>
                <c:pt idx="17">
                  <c:v>1.0622696877611084</c:v>
                </c:pt>
                <c:pt idx="18">
                  <c:v>1.079983466553432</c:v>
                </c:pt>
                <c:pt idx="19">
                  <c:v>1.0763912658577799</c:v>
                </c:pt>
                <c:pt idx="20">
                  <c:v>1.0931031287420114</c:v>
                </c:pt>
                <c:pt idx="21">
                  <c:v>1.1142502655330977</c:v>
                </c:pt>
                <c:pt idx="22">
                  <c:v>1.103599371641431</c:v>
                </c:pt>
                <c:pt idx="23">
                  <c:v>1.1371699802790058</c:v>
                </c:pt>
                <c:pt idx="24">
                  <c:v>1.1303085660715859</c:v>
                </c:pt>
                <c:pt idx="25">
                  <c:v>1.1179917063724336</c:v>
                </c:pt>
                <c:pt idx="26">
                  <c:v>1.1336969485073172</c:v>
                </c:pt>
                <c:pt idx="27">
                  <c:v>1.1212538171052551</c:v>
                </c:pt>
                <c:pt idx="28">
                  <c:v>1.1321340956447485</c:v>
                </c:pt>
                <c:pt idx="29">
                  <c:v>1.134002709494448</c:v>
                </c:pt>
                <c:pt idx="30">
                  <c:v>1.1609597761120951</c:v>
                </c:pt>
                <c:pt idx="31">
                  <c:v>1.2002690461120951</c:v>
                </c:pt>
                <c:pt idx="32">
                  <c:v>1.2007891558002852</c:v>
                </c:pt>
                <c:pt idx="33">
                  <c:v>1.1984915822475213</c:v>
                </c:pt>
                <c:pt idx="34">
                  <c:v>1.1933302076331069</c:v>
                </c:pt>
                <c:pt idx="35">
                  <c:v>1.2063561522426789</c:v>
                </c:pt>
                <c:pt idx="36">
                  <c:v>1.1717041710165919</c:v>
                </c:pt>
                <c:pt idx="37">
                  <c:v>1.1779223976851632</c:v>
                </c:pt>
                <c:pt idx="38">
                  <c:v>1.1583010141187471</c:v>
                </c:pt>
                <c:pt idx="39">
                  <c:v>1.1486801256916372</c:v>
                </c:pt>
                <c:pt idx="40">
                  <c:v>1.1606579110971786</c:v>
                </c:pt>
                <c:pt idx="41">
                  <c:v>1.1498306630062696</c:v>
                </c:pt>
                <c:pt idx="42">
                  <c:v>1.1563697378369404</c:v>
                </c:pt>
                <c:pt idx="43">
                  <c:v>1.1890494295769933</c:v>
                </c:pt>
                <c:pt idx="44">
                  <c:v>1.1690697096460199</c:v>
                </c:pt>
                <c:pt idx="45">
                  <c:v>1.164436348565915</c:v>
                </c:pt>
                <c:pt idx="46">
                  <c:v>1.1863157447541304</c:v>
                </c:pt>
                <c:pt idx="47">
                  <c:v>1.1701460599910167</c:v>
                </c:pt>
                <c:pt idx="48">
                  <c:v>1.1684686494479706</c:v>
                </c:pt>
                <c:pt idx="49">
                  <c:v>1.2004441743497469</c:v>
                </c:pt>
                <c:pt idx="50">
                  <c:v>1.2360565933273377</c:v>
                </c:pt>
                <c:pt idx="51">
                  <c:v>1.1918449353273379</c:v>
                </c:pt>
                <c:pt idx="52">
                  <c:v>1.2210080184378909</c:v>
                </c:pt>
                <c:pt idx="53">
                  <c:v>1.1818448930731491</c:v>
                </c:pt>
                <c:pt idx="54">
                  <c:v>1.2045408155064348</c:v>
                </c:pt>
                <c:pt idx="55">
                  <c:v>1.1763153908243686</c:v>
                </c:pt>
                <c:pt idx="56">
                  <c:v>1.175836454439926</c:v>
                </c:pt>
                <c:pt idx="57">
                  <c:v>1.1870082679242027</c:v>
                </c:pt>
                <c:pt idx="58">
                  <c:v>1.2060178120182026</c:v>
                </c:pt>
                <c:pt idx="59">
                  <c:v>1.1829509756635634</c:v>
                </c:pt>
                <c:pt idx="60">
                  <c:v>1.206142454727168</c:v>
                </c:pt>
                <c:pt idx="61">
                  <c:v>1.1783979042377026</c:v>
                </c:pt>
                <c:pt idx="62">
                  <c:v>1.1896820960487262</c:v>
                </c:pt>
                <c:pt idx="63">
                  <c:v>1.2480972064253881</c:v>
                </c:pt>
                <c:pt idx="64">
                  <c:v>1.2034443430332828</c:v>
                </c:pt>
                <c:pt idx="65">
                  <c:v>1.1888788607628809</c:v>
                </c:pt>
                <c:pt idx="66">
                  <c:v>1.1694000511314375</c:v>
                </c:pt>
                <c:pt idx="67">
                  <c:v>1.1939882026140873</c:v>
                </c:pt>
                <c:pt idx="68">
                  <c:v>1.2109436681620325</c:v>
                </c:pt>
                <c:pt idx="69">
                  <c:v>1.1900148443536436</c:v>
                </c:pt>
                <c:pt idx="70">
                  <c:v>1.1606628885238566</c:v>
                </c:pt>
                <c:pt idx="71">
                  <c:v>1.1905742560352568</c:v>
                </c:pt>
                <c:pt idx="72">
                  <c:v>1.174987389089664</c:v>
                </c:pt>
                <c:pt idx="73">
                  <c:v>1.1917073623794514</c:v>
                </c:pt>
                <c:pt idx="74">
                  <c:v>1.2132277150286823</c:v>
                </c:pt>
                <c:pt idx="75">
                  <c:v>1.2318980564210202</c:v>
                </c:pt>
                <c:pt idx="76">
                  <c:v>1.2161938280862563</c:v>
                </c:pt>
                <c:pt idx="77">
                  <c:v>1.2375100345429728</c:v>
                </c:pt>
                <c:pt idx="78">
                  <c:v>1.2386104168785435</c:v>
                </c:pt>
                <c:pt idx="79">
                  <c:v>1.2650119080601114</c:v>
                </c:pt>
                <c:pt idx="80">
                  <c:v>1.2923163917317393</c:v>
                </c:pt>
                <c:pt idx="81">
                  <c:v>1.2998219463851555</c:v>
                </c:pt>
                <c:pt idx="82">
                  <c:v>1.3060274392422981</c:v>
                </c:pt>
                <c:pt idx="83">
                  <c:v>1.307647194238615</c:v>
                </c:pt>
                <c:pt idx="84">
                  <c:v>1.3228050558782911</c:v>
                </c:pt>
                <c:pt idx="85">
                  <c:v>1.3541420447366075</c:v>
                </c:pt>
                <c:pt idx="86">
                  <c:v>1.394166995271596</c:v>
                </c:pt>
                <c:pt idx="87">
                  <c:v>1.3930542502411078</c:v>
                </c:pt>
                <c:pt idx="88">
                  <c:v>1.3724217656109909</c:v>
                </c:pt>
                <c:pt idx="89">
                  <c:v>1.342607149610991</c:v>
                </c:pt>
                <c:pt idx="90">
                  <c:v>1.3541087943302765</c:v>
                </c:pt>
                <c:pt idx="91">
                  <c:v>1.3497069117007912</c:v>
                </c:pt>
                <c:pt idx="92">
                  <c:v>1.3174367062917001</c:v>
                </c:pt>
                <c:pt idx="93">
                  <c:v>1.3162387046611581</c:v>
                </c:pt>
                <c:pt idx="94">
                  <c:v>1.343308636522234</c:v>
                </c:pt>
                <c:pt idx="95">
                  <c:v>1.2669367623416388</c:v>
                </c:pt>
                <c:pt idx="96">
                  <c:v>1.1977937376473444</c:v>
                </c:pt>
                <c:pt idx="97">
                  <c:v>1.2142254693803238</c:v>
                </c:pt>
                <c:pt idx="98">
                  <c:v>1.1157019409737776</c:v>
                </c:pt>
                <c:pt idx="99">
                  <c:v>1.0541666155481919</c:v>
                </c:pt>
                <c:pt idx="100">
                  <c:v>1.0338115036078934</c:v>
                </c:pt>
                <c:pt idx="101">
                  <c:v>1.031166696585547</c:v>
                </c:pt>
                <c:pt idx="102">
                  <c:v>1.0330702541299486</c:v>
                </c:pt>
                <c:pt idx="103">
                  <c:v>1.0325363103348004</c:v>
                </c:pt>
                <c:pt idx="104">
                  <c:v>1.0398729609267285</c:v>
                </c:pt>
                <c:pt idx="105">
                  <c:v>1.0251616516467286</c:v>
                </c:pt>
                <c:pt idx="106">
                  <c:v>1.0073420454235598</c:v>
                </c:pt>
                <c:pt idx="107">
                  <c:v>0.997909279268961</c:v>
                </c:pt>
                <c:pt idx="108">
                  <c:v>0.98409709211630225</c:v>
                </c:pt>
                <c:pt idx="109">
                  <c:v>0.9985647274817413</c:v>
                </c:pt>
                <c:pt idx="110">
                  <c:v>1.0219369540695551</c:v>
                </c:pt>
                <c:pt idx="111">
                  <c:v>1.0310481352399252</c:v>
                </c:pt>
                <c:pt idx="112">
                  <c:v>1.0481212534375826</c:v>
                </c:pt>
                <c:pt idx="113">
                  <c:v>1.0561463198690342</c:v>
                </c:pt>
                <c:pt idx="114">
                  <c:v>1.0481032388807301</c:v>
                </c:pt>
                <c:pt idx="115">
                  <c:v>1.0432960052405034</c:v>
                </c:pt>
                <c:pt idx="116">
                  <c:v>0.98942941925465</c:v>
                </c:pt>
                <c:pt idx="117">
                  <c:v>0.97334303275697565</c:v>
                </c:pt>
                <c:pt idx="118">
                  <c:v>0.98582706624062266</c:v>
                </c:pt>
                <c:pt idx="119">
                  <c:v>0.92945273562294994</c:v>
                </c:pt>
                <c:pt idx="120">
                  <c:v>0.89751609747796857</c:v>
                </c:pt>
                <c:pt idx="121">
                  <c:v>0.91798070086071759</c:v>
                </c:pt>
                <c:pt idx="122">
                  <c:v>0.9436219187068714</c:v>
                </c:pt>
                <c:pt idx="123">
                  <c:v>0.98893885054668829</c:v>
                </c:pt>
                <c:pt idx="124">
                  <c:v>0.97986854553969538</c:v>
                </c:pt>
                <c:pt idx="125">
                  <c:v>1.0129589451375851</c:v>
                </c:pt>
                <c:pt idx="126">
                  <c:v>1.0554225691916541</c:v>
                </c:pt>
                <c:pt idx="127">
                  <c:v>0.99317979188650907</c:v>
                </c:pt>
                <c:pt idx="128">
                  <c:v>0.95381404571679418</c:v>
                </c:pt>
                <c:pt idx="129">
                  <c:v>0.99948563870525353</c:v>
                </c:pt>
                <c:pt idx="130">
                  <c:v>1.0235067298792402</c:v>
                </c:pt>
                <c:pt idx="131">
                  <c:v>1.047827428408652</c:v>
                </c:pt>
                <c:pt idx="132">
                  <c:v>1.0570583148588366</c:v>
                </c:pt>
                <c:pt idx="133">
                  <c:v>1.0644735017630804</c:v>
                </c:pt>
                <c:pt idx="134">
                  <c:v>1.1158007047423011</c:v>
                </c:pt>
                <c:pt idx="135">
                  <c:v>1.0731156716565107</c:v>
                </c:pt>
                <c:pt idx="136">
                  <c:v>1.0364897024711746</c:v>
                </c:pt>
                <c:pt idx="137">
                  <c:v>1.0458919333497225</c:v>
                </c:pt>
                <c:pt idx="138">
                  <c:v>1.0273298627982184</c:v>
                </c:pt>
                <c:pt idx="139">
                  <c:v>1.0492508170165591</c:v>
                </c:pt>
                <c:pt idx="140">
                  <c:v>1.0766786399008776</c:v>
                </c:pt>
                <c:pt idx="141">
                  <c:v>1.0786078988226167</c:v>
                </c:pt>
                <c:pt idx="142">
                  <c:v>1.0761871427849214</c:v>
                </c:pt>
                <c:pt idx="143">
                  <c:v>1.0941750916484188</c:v>
                </c:pt>
                <c:pt idx="144">
                  <c:v>1.0253349443262159</c:v>
                </c:pt>
                <c:pt idx="145">
                  <c:v>1.0374289202897691</c:v>
                </c:pt>
                <c:pt idx="146">
                  <c:v>1.0535583126713945</c:v>
                </c:pt>
                <c:pt idx="147">
                  <c:v>1.0603106252892289</c:v>
                </c:pt>
                <c:pt idx="148">
                  <c:v>1.0950924372263824</c:v>
                </c:pt>
                <c:pt idx="149">
                  <c:v>1.0473185922044017</c:v>
                </c:pt>
                <c:pt idx="150">
                  <c:v>1.045990974477129</c:v>
                </c:pt>
                <c:pt idx="151">
                  <c:v>1.0734941427049567</c:v>
                </c:pt>
                <c:pt idx="152">
                  <c:v>1.0724199278578979</c:v>
                </c:pt>
                <c:pt idx="153">
                  <c:v>1.0987978998229486</c:v>
                </c:pt>
                <c:pt idx="154">
                  <c:v>1.0417421686172768</c:v>
                </c:pt>
                <c:pt idx="155">
                  <c:v>1.0904450295465213</c:v>
                </c:pt>
                <c:pt idx="156">
                  <c:v>1.0713807842542564</c:v>
                </c:pt>
                <c:pt idx="157">
                  <c:v>1.1524699649231795</c:v>
                </c:pt>
                <c:pt idx="158">
                  <c:v>1.1645584127198305</c:v>
                </c:pt>
                <c:pt idx="159">
                  <c:v>1.1587115410313624</c:v>
                </c:pt>
                <c:pt idx="160">
                  <c:v>1.0580725194260006</c:v>
                </c:pt>
                <c:pt idx="161">
                  <c:v>1.0202403664459627</c:v>
                </c:pt>
                <c:pt idx="162">
                  <c:v>0.95837009549374708</c:v>
                </c:pt>
                <c:pt idx="163">
                  <c:v>0.9877639058526998</c:v>
                </c:pt>
                <c:pt idx="164">
                  <c:v>1.084216933024059</c:v>
                </c:pt>
                <c:pt idx="165">
                  <c:v>1.1396519187401857</c:v>
                </c:pt>
                <c:pt idx="166">
                  <c:v>1.0918778626419381</c:v>
                </c:pt>
                <c:pt idx="167">
                  <c:v>1.0081051422632921</c:v>
                </c:pt>
                <c:pt idx="168">
                  <c:v>0.96264307422387452</c:v>
                </c:pt>
                <c:pt idx="169">
                  <c:v>0.98842626836292158</c:v>
                </c:pt>
                <c:pt idx="170">
                  <c:v>1.0663890937397877</c:v>
                </c:pt>
                <c:pt idx="171">
                  <c:v>1.0231699612428542</c:v>
                </c:pt>
                <c:pt idx="172">
                  <c:v>1.0579126278645934</c:v>
                </c:pt>
                <c:pt idx="173">
                  <c:v>1.1273932196662111</c:v>
                </c:pt>
                <c:pt idx="174">
                  <c:v>1.153739237221578</c:v>
                </c:pt>
                <c:pt idx="175">
                  <c:v>1.2110127367058603</c:v>
                </c:pt>
                <c:pt idx="176">
                  <c:v>1.1804154897157861</c:v>
                </c:pt>
                <c:pt idx="177">
                  <c:v>1.0810401020136493</c:v>
                </c:pt>
                <c:pt idx="178">
                  <c:v>1.1750014848088768</c:v>
                </c:pt>
                <c:pt idx="179">
                  <c:v>1.0217819629486458</c:v>
                </c:pt>
                <c:pt idx="180">
                  <c:v>1.1133014524012523</c:v>
                </c:pt>
                <c:pt idx="181">
                  <c:v>1.0806244602729378</c:v>
                </c:pt>
                <c:pt idx="182">
                  <c:v>0.89787420479582292</c:v>
                </c:pt>
                <c:pt idx="183">
                  <c:v>0.75567798570821543</c:v>
                </c:pt>
                <c:pt idx="184">
                  <c:v>0.60400739351816179</c:v>
                </c:pt>
                <c:pt idx="185">
                  <c:v>0.53839550448494233</c:v>
                </c:pt>
                <c:pt idx="186">
                  <c:v>0.58752291442500559</c:v>
                </c:pt>
                <c:pt idx="187">
                  <c:v>0.54377161241346705</c:v>
                </c:pt>
                <c:pt idx="188">
                  <c:v>0.61421614606328967</c:v>
                </c:pt>
                <c:pt idx="189">
                  <c:v>0.60540528687933137</c:v>
                </c:pt>
                <c:pt idx="190">
                  <c:v>0.83860285457947259</c:v>
                </c:pt>
                <c:pt idx="191">
                  <c:v>0.7340102480387265</c:v>
                </c:pt>
                <c:pt idx="192">
                  <c:v>0.69663358431282163</c:v>
                </c:pt>
                <c:pt idx="193">
                  <c:v>0.752591489185514</c:v>
                </c:pt>
                <c:pt idx="194">
                  <c:v>0.80596807437838658</c:v>
                </c:pt>
                <c:pt idx="195">
                  <c:v>0.82332093144273422</c:v>
                </c:pt>
                <c:pt idx="196">
                  <c:v>0.89517440787866509</c:v>
                </c:pt>
                <c:pt idx="197">
                  <c:v>0.97226280838675661</c:v>
                </c:pt>
                <c:pt idx="198">
                  <c:v>0.96378349225220394</c:v>
                </c:pt>
                <c:pt idx="199">
                  <c:v>0.9902132406814218</c:v>
                </c:pt>
                <c:pt idx="200">
                  <c:v>1.0045079840421391</c:v>
                </c:pt>
                <c:pt idx="201">
                  <c:v>0.99060831293782037</c:v>
                </c:pt>
                <c:pt idx="202">
                  <c:v>1.0017805724273068</c:v>
                </c:pt>
                <c:pt idx="203">
                  <c:v>0.98416269738265216</c:v>
                </c:pt>
                <c:pt idx="204">
                  <c:v>1.0379478880894621</c:v>
                </c:pt>
                <c:pt idx="205">
                  <c:v>1.0827643018259223</c:v>
                </c:pt>
                <c:pt idx="206">
                  <c:v>1.0329501555561551</c:v>
                </c:pt>
                <c:pt idx="207">
                  <c:v>1.0106381931434967</c:v>
                </c:pt>
                <c:pt idx="208">
                  <c:v>0.99867506939349671</c:v>
                </c:pt>
                <c:pt idx="209">
                  <c:v>0.98934890495555328</c:v>
                </c:pt>
                <c:pt idx="210">
                  <c:v>1.0184696138373668</c:v>
                </c:pt>
                <c:pt idx="211">
                  <c:v>1.0638672225466796</c:v>
                </c:pt>
                <c:pt idx="212">
                  <c:v>1.0280231270107671</c:v>
                </c:pt>
                <c:pt idx="213">
                  <c:v>1.0426653819529597</c:v>
                </c:pt>
                <c:pt idx="214">
                  <c:v>1.0481266671923442</c:v>
                </c:pt>
                <c:pt idx="215">
                  <c:v>0.97643189423227306</c:v>
                </c:pt>
                <c:pt idx="216">
                  <c:v>0.96184218349431394</c:v>
                </c:pt>
                <c:pt idx="217">
                  <c:v>1.0783345770175889</c:v>
                </c:pt>
                <c:pt idx="218">
                  <c:v>1.0187449030020523</c:v>
                </c:pt>
                <c:pt idx="219">
                  <c:v>1.0644238444814915</c:v>
                </c:pt>
                <c:pt idx="220">
                  <c:v>1.1186867432352552</c:v>
                </c:pt>
                <c:pt idx="221">
                  <c:v>1.2755502093270203</c:v>
                </c:pt>
                <c:pt idx="222">
                  <c:v>1.2022293479414417</c:v>
                </c:pt>
                <c:pt idx="223">
                  <c:v>1.2630465370545745</c:v>
                </c:pt>
                <c:pt idx="224">
                  <c:v>1.2608339901427166</c:v>
                </c:pt>
                <c:pt idx="225">
                  <c:v>1.3071171397567525</c:v>
                </c:pt>
                <c:pt idx="226">
                  <c:v>1.3324629003315838</c:v>
                </c:pt>
                <c:pt idx="227">
                  <c:v>1.3125886959796806</c:v>
                </c:pt>
                <c:pt idx="228">
                  <c:v>1.2737462920648221</c:v>
                </c:pt>
                <c:pt idx="229">
                  <c:v>1.2218055255531206</c:v>
                </c:pt>
                <c:pt idx="230">
                  <c:v>1.247304002273028</c:v>
                </c:pt>
                <c:pt idx="231">
                  <c:v>1.2993163862479651</c:v>
                </c:pt>
                <c:pt idx="232">
                  <c:v>1.3502488828347345</c:v>
                </c:pt>
                <c:pt idx="233">
                  <c:v>1.2999993808957104</c:v>
                </c:pt>
                <c:pt idx="234">
                  <c:v>1.237063693310086</c:v>
                </c:pt>
                <c:pt idx="235">
                  <c:v>1.2866363623019588</c:v>
                </c:pt>
                <c:pt idx="236">
                  <c:v>1.2840085443585427</c:v>
                </c:pt>
                <c:pt idx="237">
                  <c:v>1.3188635273324176</c:v>
                </c:pt>
                <c:pt idx="238">
                  <c:v>1.3493343492188952</c:v>
                </c:pt>
                <c:pt idx="239">
                  <c:v>1.3281628187961076</c:v>
                </c:pt>
                <c:pt idx="240">
                  <c:v>1.3033284237224625</c:v>
                </c:pt>
                <c:pt idx="241">
                  <c:v>1.3355675077694575</c:v>
                </c:pt>
                <c:pt idx="242">
                  <c:v>1.2713977762889606</c:v>
                </c:pt>
                <c:pt idx="243">
                  <c:v>1.246210468017994</c:v>
                </c:pt>
                <c:pt idx="244">
                  <c:v>1.3011744533585772</c:v>
                </c:pt>
                <c:pt idx="245">
                  <c:v>1.3890900988219108</c:v>
                </c:pt>
                <c:pt idx="246">
                  <c:v>1.3455866036720971</c:v>
                </c:pt>
                <c:pt idx="247">
                  <c:v>1.366556385466025</c:v>
                </c:pt>
                <c:pt idx="248">
                  <c:v>1.2185637138849275</c:v>
                </c:pt>
                <c:pt idx="249">
                  <c:v>1.1100015631870486</c:v>
                </c:pt>
                <c:pt idx="250">
                  <c:v>1.1248612209849818</c:v>
                </c:pt>
                <c:pt idx="251">
                  <c:v>1.150440568284659</c:v>
                </c:pt>
                <c:pt idx="252">
                  <c:v>1.192455074098322</c:v>
                </c:pt>
                <c:pt idx="253">
                  <c:v>1.1547039351545139</c:v>
                </c:pt>
                <c:pt idx="254">
                  <c:v>1.2854837364940881</c:v>
                </c:pt>
                <c:pt idx="255">
                  <c:v>1.2499523380052442</c:v>
                </c:pt>
                <c:pt idx="256">
                  <c:v>1.2528922479141431</c:v>
                </c:pt>
                <c:pt idx="257">
                  <c:v>1.2447378591506648</c:v>
                </c:pt>
                <c:pt idx="258">
                  <c:v>1.2734879359721627</c:v>
                </c:pt>
                <c:pt idx="259">
                  <c:v>1.2607146416582673</c:v>
                </c:pt>
                <c:pt idx="260">
                  <c:v>1.2649454189813238</c:v>
                </c:pt>
                <c:pt idx="261">
                  <c:v>1.3090411911950417</c:v>
                </c:pt>
                <c:pt idx="262">
                  <c:v>1.2835666475160843</c:v>
                </c:pt>
                <c:pt idx="263">
                  <c:v>1.3013558666590899</c:v>
                </c:pt>
                <c:pt idx="264">
                  <c:v>1.312967053670929</c:v>
                </c:pt>
                <c:pt idx="265">
                  <c:v>1.2908173405570611</c:v>
                </c:pt>
                <c:pt idx="266">
                  <c:v>1.2841951515370278</c:v>
                </c:pt>
                <c:pt idx="267">
                  <c:v>1.291568194600041</c:v>
                </c:pt>
                <c:pt idx="268">
                  <c:v>1.2747998296423904</c:v>
                </c:pt>
                <c:pt idx="269">
                  <c:v>1.3243001242942363</c:v>
                </c:pt>
                <c:pt idx="270">
                  <c:v>1.2641998925354205</c:v>
                </c:pt>
                <c:pt idx="271">
                  <c:v>1.2765443143814763</c:v>
                </c:pt>
                <c:pt idx="272">
                  <c:v>1.2713362776506205</c:v>
                </c:pt>
                <c:pt idx="273">
                  <c:v>1.255808198996643</c:v>
                </c:pt>
                <c:pt idx="274">
                  <c:v>1.2500246192837299</c:v>
                </c:pt>
                <c:pt idx="275">
                  <c:v>1.2721081377225334</c:v>
                </c:pt>
                <c:pt idx="276">
                  <c:v>1.2501822025492586</c:v>
                </c:pt>
                <c:pt idx="277">
                  <c:v>1.1969020544758691</c:v>
                </c:pt>
                <c:pt idx="278">
                  <c:v>1.2039886766860088</c:v>
                </c:pt>
                <c:pt idx="279">
                  <c:v>1.2398224869536243</c:v>
                </c:pt>
                <c:pt idx="280">
                  <c:v>1.2461186840112821</c:v>
                </c:pt>
                <c:pt idx="281">
                  <c:v>1.2384247040693275</c:v>
                </c:pt>
                <c:pt idx="282">
                  <c:v>1.273287303407685</c:v>
                </c:pt>
                <c:pt idx="283">
                  <c:v>1.2179150250023165</c:v>
                </c:pt>
                <c:pt idx="284">
                  <c:v>1.2709871439446392</c:v>
                </c:pt>
                <c:pt idx="285">
                  <c:v>1.189147004595932</c:v>
                </c:pt>
                <c:pt idx="286">
                  <c:v>1.2236945346870864</c:v>
                </c:pt>
                <c:pt idx="287">
                  <c:v>1.1999814065853396</c:v>
                </c:pt>
                <c:pt idx="288">
                  <c:v>1.2307250689027471</c:v>
                </c:pt>
                <c:pt idx="289">
                  <c:v>1.2258514320335787</c:v>
                </c:pt>
                <c:pt idx="290">
                  <c:v>1.1772034300412575</c:v>
                </c:pt>
                <c:pt idx="291">
                  <c:v>1.1426334210839573</c:v>
                </c:pt>
                <c:pt idx="292">
                  <c:v>1.1654907135948958</c:v>
                </c:pt>
                <c:pt idx="293">
                  <c:v>1.1804152912085009</c:v>
                </c:pt>
                <c:pt idx="294">
                  <c:v>1.1309001506500074</c:v>
                </c:pt>
                <c:pt idx="295">
                  <c:v>1.1036896235671778</c:v>
                </c:pt>
                <c:pt idx="296">
                  <c:v>1.1298097748109572</c:v>
                </c:pt>
                <c:pt idx="297">
                  <c:v>1.0988965599623841</c:v>
                </c:pt>
                <c:pt idx="298">
                  <c:v>1.1259297929037635</c:v>
                </c:pt>
                <c:pt idx="299">
                  <c:v>1.0772036889388894</c:v>
                </c:pt>
                <c:pt idx="300">
                  <c:v>1.0515174094279682</c:v>
                </c:pt>
                <c:pt idx="301">
                  <c:v>1.0522910294094967</c:v>
                </c:pt>
                <c:pt idx="302">
                  <c:v>1.0602158841257994</c:v>
                </c:pt>
                <c:pt idx="303">
                  <c:v>1.0213654411974984</c:v>
                </c:pt>
                <c:pt idx="304">
                  <c:v>0.98057347230212499</c:v>
                </c:pt>
                <c:pt idx="305">
                  <c:v>0.95718625468859253</c:v>
                </c:pt>
                <c:pt idx="306">
                  <c:v>0.96094597747062305</c:v>
                </c:pt>
                <c:pt idx="307">
                  <c:v>0.94823375847718594</c:v>
                </c:pt>
                <c:pt idx="308">
                  <c:v>0.91953396056807968</c:v>
                </c:pt>
                <c:pt idx="309">
                  <c:v>0.91405361610054203</c:v>
                </c:pt>
                <c:pt idx="310">
                  <c:v>0.94509256290268973</c:v>
                </c:pt>
                <c:pt idx="311">
                  <c:v>0.94969232670249115</c:v>
                </c:pt>
                <c:pt idx="312">
                  <c:v>0.95340979099100787</c:v>
                </c:pt>
                <c:pt idx="313">
                  <c:v>0.94949069174716372</c:v>
                </c:pt>
                <c:pt idx="314">
                  <c:v>0.9495575736105667</c:v>
                </c:pt>
                <c:pt idx="315">
                  <c:v>0.95338911511338054</c:v>
                </c:pt>
                <c:pt idx="316">
                  <c:v>0.96797224844603469</c:v>
                </c:pt>
                <c:pt idx="317">
                  <c:v>0.95117237131232679</c:v>
                </c:pt>
                <c:pt idx="318">
                  <c:v>0.94734387241899942</c:v>
                </c:pt>
                <c:pt idx="319">
                  <c:v>0.93201974212803362</c:v>
                </c:pt>
                <c:pt idx="320">
                  <c:v>0.95950056782803361</c:v>
                </c:pt>
                <c:pt idx="321">
                  <c:v>0.95532742231515611</c:v>
                </c:pt>
                <c:pt idx="322">
                  <c:v>0.96423312809326567</c:v>
                </c:pt>
                <c:pt idx="323">
                  <c:v>0.9666460118792719</c:v>
                </c:pt>
                <c:pt idx="324">
                  <c:v>0.95851479897338676</c:v>
                </c:pt>
                <c:pt idx="325">
                  <c:v>0.93678241504121385</c:v>
                </c:pt>
                <c:pt idx="326">
                  <c:v>0.91876592553631964</c:v>
                </c:pt>
                <c:pt idx="327">
                  <c:v>0.92416212302357226</c:v>
                </c:pt>
                <c:pt idx="328">
                  <c:v>0.92169647810052291</c:v>
                </c:pt>
                <c:pt idx="329">
                  <c:v>0.90080648371319338</c:v>
                </c:pt>
                <c:pt idx="330">
                  <c:v>0.92201135267415002</c:v>
                </c:pt>
                <c:pt idx="331">
                  <c:v>0.91557917737085015</c:v>
                </c:pt>
                <c:pt idx="332">
                  <c:v>0.93125151301743891</c:v>
                </c:pt>
                <c:pt idx="333">
                  <c:v>0.89847171809829318</c:v>
                </c:pt>
                <c:pt idx="334">
                  <c:v>0.88196903730547516</c:v>
                </c:pt>
                <c:pt idx="335">
                  <c:v>0.895118223543656</c:v>
                </c:pt>
                <c:pt idx="336">
                  <c:v>0.90251930696152671</c:v>
                </c:pt>
                <c:pt idx="337">
                  <c:v>0.95025115323012088</c:v>
                </c:pt>
                <c:pt idx="338">
                  <c:v>0.9747131279890302</c:v>
                </c:pt>
                <c:pt idx="339">
                  <c:v>0.858291035290346</c:v>
                </c:pt>
                <c:pt idx="340">
                  <c:v>0.81071454267647358</c:v>
                </c:pt>
                <c:pt idx="341">
                  <c:v>0.83329687537110142</c:v>
                </c:pt>
                <c:pt idx="342">
                  <c:v>0.83864078939768583</c:v>
                </c:pt>
                <c:pt idx="343">
                  <c:v>0.79289795334464241</c:v>
                </c:pt>
                <c:pt idx="344">
                  <c:v>0.8252461594565208</c:v>
                </c:pt>
                <c:pt idx="345">
                  <c:v>0.79928162354122678</c:v>
                </c:pt>
                <c:pt idx="346">
                  <c:v>0.79762336503624354</c:v>
                </c:pt>
                <c:pt idx="347">
                  <c:v>0.79411690559375026</c:v>
                </c:pt>
                <c:pt idx="348">
                  <c:v>0.82756890426012797</c:v>
                </c:pt>
                <c:pt idx="349">
                  <c:v>0.76913759268776438</c:v>
                </c:pt>
                <c:pt idx="350">
                  <c:v>0.77627990484185438</c:v>
                </c:pt>
                <c:pt idx="351">
                  <c:v>0.77676195060174891</c:v>
                </c:pt>
                <c:pt idx="352">
                  <c:v>0.79555146549513334</c:v>
                </c:pt>
                <c:pt idx="353">
                  <c:v>0.79019885051680239</c:v>
                </c:pt>
                <c:pt idx="354">
                  <c:v>0.70647673152667745</c:v>
                </c:pt>
                <c:pt idx="355">
                  <c:v>0.63666441815398234</c:v>
                </c:pt>
                <c:pt idx="356">
                  <c:v>0.64856476548359776</c:v>
                </c:pt>
                <c:pt idx="357">
                  <c:v>0.67296359898515412</c:v>
                </c:pt>
                <c:pt idx="358">
                  <c:v>0.66862188285569968</c:v>
                </c:pt>
                <c:pt idx="359">
                  <c:v>0.67522568397742133</c:v>
                </c:pt>
                <c:pt idx="360">
                  <c:v>0.70180525344518629</c:v>
                </c:pt>
                <c:pt idx="361">
                  <c:v>0.64796708886765575</c:v>
                </c:pt>
                <c:pt idx="362">
                  <c:v>0.66370275139243762</c:v>
                </c:pt>
                <c:pt idx="363">
                  <c:v>0.63350814767511487</c:v>
                </c:pt>
                <c:pt idx="364">
                  <c:v>0.56323103367641947</c:v>
                </c:pt>
                <c:pt idx="365">
                  <c:v>0.50777442521457494</c:v>
                </c:pt>
                <c:pt idx="366">
                  <c:v>0.46245555319132031</c:v>
                </c:pt>
                <c:pt idx="367">
                  <c:v>0.43824668071349576</c:v>
                </c:pt>
                <c:pt idx="368">
                  <c:v>0.45243060200557833</c:v>
                </c:pt>
                <c:pt idx="369">
                  <c:v>0.42056821879456552</c:v>
                </c:pt>
                <c:pt idx="370">
                  <c:v>0.40610394586555748</c:v>
                </c:pt>
                <c:pt idx="371">
                  <c:v>0.34552048321621209</c:v>
                </c:pt>
                <c:pt idx="372">
                  <c:v>0.39005670240341211</c:v>
                </c:pt>
                <c:pt idx="373">
                  <c:v>0.35056440770911967</c:v>
                </c:pt>
                <c:pt idx="374">
                  <c:v>0.38971954212951099</c:v>
                </c:pt>
                <c:pt idx="375">
                  <c:v>0.35976309759247405</c:v>
                </c:pt>
                <c:pt idx="376">
                  <c:v>0.34479382705675338</c:v>
                </c:pt>
                <c:pt idx="377">
                  <c:v>0.36479728324020838</c:v>
                </c:pt>
                <c:pt idx="378">
                  <c:v>0.35444858816275887</c:v>
                </c:pt>
                <c:pt idx="379">
                  <c:v>0.31567975134048809</c:v>
                </c:pt>
                <c:pt idx="380">
                  <c:v>0.19724110809201828</c:v>
                </c:pt>
                <c:pt idx="381">
                  <c:v>0.22022880700444769</c:v>
                </c:pt>
                <c:pt idx="382">
                  <c:v>0.2110567000438007</c:v>
                </c:pt>
                <c:pt idx="383">
                  <c:v>0.2243816081036</c:v>
                </c:pt>
                <c:pt idx="384">
                  <c:v>0.18881972139848952</c:v>
                </c:pt>
                <c:pt idx="385">
                  <c:v>0.17634457693176747</c:v>
                </c:pt>
                <c:pt idx="386">
                  <c:v>0.18668828099299709</c:v>
                </c:pt>
                <c:pt idx="387">
                  <c:v>0.15684338731582667</c:v>
                </c:pt>
                <c:pt idx="388">
                  <c:v>0.15568240064916003</c:v>
                </c:pt>
                <c:pt idx="389">
                  <c:v>7.4952496162876317E-2</c:v>
                </c:pt>
                <c:pt idx="390">
                  <c:v>2.3757576782586231E-2</c:v>
                </c:pt>
                <c:pt idx="391">
                  <c:v>3.6049458742072243E-2</c:v>
                </c:pt>
                <c:pt idx="392">
                  <c:v>3.8217285777837562E-2</c:v>
                </c:pt>
                <c:pt idx="393">
                  <c:v>4.3923464304518454E-2</c:v>
                </c:pt>
                <c:pt idx="394">
                  <c:v>1.96080495705407E-2</c:v>
                </c:pt>
                <c:pt idx="395">
                  <c:v>-6.8183619258477615E-2</c:v>
                </c:pt>
                <c:pt idx="396">
                  <c:v>-0.11748178279792715</c:v>
                </c:pt>
                <c:pt idx="397">
                  <c:v>-0.11012052661812015</c:v>
                </c:pt>
                <c:pt idx="398">
                  <c:v>-8.9352998416970753E-2</c:v>
                </c:pt>
                <c:pt idx="399">
                  <c:v>-8.3644496361586093E-2</c:v>
                </c:pt>
                <c:pt idx="400">
                  <c:v>-0.10401004988081684</c:v>
                </c:pt>
                <c:pt idx="401">
                  <c:v>-7.5065597832547987E-2</c:v>
                </c:pt>
                <c:pt idx="402">
                  <c:v>-8.3674412040407015E-2</c:v>
                </c:pt>
                <c:pt idx="403">
                  <c:v>-4.5523787082787967E-2</c:v>
                </c:pt>
                <c:pt idx="404">
                  <c:v>-2.9556739498197142E-2</c:v>
                </c:pt>
                <c:pt idx="405">
                  <c:v>-1.9138961759769171E-2</c:v>
                </c:pt>
                <c:pt idx="406">
                  <c:v>-2.3279877481779239E-2</c:v>
                </c:pt>
                <c:pt idx="407">
                  <c:v>2.3545549967978693E-2</c:v>
                </c:pt>
                <c:pt idx="408">
                  <c:v>-3.5360296174081964E-2</c:v>
                </c:pt>
                <c:pt idx="409">
                  <c:v>-2.8328383503895653E-2</c:v>
                </c:pt>
                <c:pt idx="410">
                  <c:v>-4.7540793524904069E-2</c:v>
                </c:pt>
                <c:pt idx="411">
                  <c:v>-6.782496025901083E-2</c:v>
                </c:pt>
                <c:pt idx="412">
                  <c:v>-7.2712901460093848E-2</c:v>
                </c:pt>
                <c:pt idx="413">
                  <c:v>-4.8525719382053391E-2</c:v>
                </c:pt>
                <c:pt idx="414">
                  <c:v>-5.3535296103180183E-2</c:v>
                </c:pt>
                <c:pt idx="415">
                  <c:v>-7.7021164010294491E-2</c:v>
                </c:pt>
                <c:pt idx="416">
                  <c:v>-1.8611328891919986E-2</c:v>
                </c:pt>
                <c:pt idx="417">
                  <c:v>-7.050621155476812E-3</c:v>
                </c:pt>
                <c:pt idx="418">
                  <c:v>8.1142330351237218E-3</c:v>
                </c:pt>
                <c:pt idx="419">
                  <c:v>-2.1194013971690788E-2</c:v>
                </c:pt>
                <c:pt idx="420">
                  <c:v>6.2059607188583263E-2</c:v>
                </c:pt>
                <c:pt idx="421">
                  <c:v>8.3417368116816423E-2</c:v>
                </c:pt>
                <c:pt idx="422">
                  <c:v>4.1829843428943594E-2</c:v>
                </c:pt>
                <c:pt idx="423">
                  <c:v>2.5893498018312092E-2</c:v>
                </c:pt>
                <c:pt idx="424">
                  <c:v>3.4169372174424838E-3</c:v>
                </c:pt>
                <c:pt idx="425">
                  <c:v>-1.9463577251648406E-2</c:v>
                </c:pt>
                <c:pt idx="426">
                  <c:v>-3.2013829836890148E-2</c:v>
                </c:pt>
                <c:pt idx="427">
                  <c:v>-3.8930753728582485E-2</c:v>
                </c:pt>
                <c:pt idx="428">
                  <c:v>-4.9383162432742211E-2</c:v>
                </c:pt>
                <c:pt idx="429">
                  <c:v>-1.7121818075985434E-2</c:v>
                </c:pt>
                <c:pt idx="430">
                  <c:v>-1.2281138467871546E-2</c:v>
                </c:pt>
                <c:pt idx="431">
                  <c:v>-4.8652715385279308E-2</c:v>
                </c:pt>
                <c:pt idx="432">
                  <c:v>-1.0694328586707954E-2</c:v>
                </c:pt>
                <c:pt idx="433">
                  <c:v>-2.8915889051663692E-5</c:v>
                </c:pt>
                <c:pt idx="434">
                  <c:v>3.1937001916267554E-2</c:v>
                </c:pt>
                <c:pt idx="435">
                  <c:v>1.0982960924272802E-2</c:v>
                </c:pt>
                <c:pt idx="436">
                  <c:v>5.3505392249582895E-3</c:v>
                </c:pt>
                <c:pt idx="437">
                  <c:v>-6.4764356812920365E-2</c:v>
                </c:pt>
                <c:pt idx="438">
                  <c:v>-4.1245937355526049E-2</c:v>
                </c:pt>
                <c:pt idx="439">
                  <c:v>-1.6415819058645694E-2</c:v>
                </c:pt>
                <c:pt idx="440">
                  <c:v>-9.1577423376177178E-2</c:v>
                </c:pt>
                <c:pt idx="441">
                  <c:v>-0.13753661325303007</c:v>
                </c:pt>
                <c:pt idx="442">
                  <c:v>-0.10799574288683296</c:v>
                </c:pt>
                <c:pt idx="443">
                  <c:v>-6.526699390934218E-2</c:v>
                </c:pt>
                <c:pt idx="444">
                  <c:v>-0.10251144476716069</c:v>
                </c:pt>
                <c:pt idx="445">
                  <c:v>-9.0947894410643201E-2</c:v>
                </c:pt>
                <c:pt idx="446">
                  <c:v>-0.13253272344944206</c:v>
                </c:pt>
                <c:pt idx="447">
                  <c:v>-0.12151145255010207</c:v>
                </c:pt>
                <c:pt idx="448">
                  <c:v>-0.15946670324020779</c:v>
                </c:pt>
                <c:pt idx="449">
                  <c:v>-0.17003529019185334</c:v>
                </c:pt>
                <c:pt idx="450">
                  <c:v>-0.19198837890442816</c:v>
                </c:pt>
                <c:pt idx="451">
                  <c:v>-0.18876797344901694</c:v>
                </c:pt>
                <c:pt idx="452">
                  <c:v>-0.16567528187601083</c:v>
                </c:pt>
                <c:pt idx="453">
                  <c:v>-0.16267287597018121</c:v>
                </c:pt>
                <c:pt idx="454">
                  <c:v>-0.14756601488991367</c:v>
                </c:pt>
                <c:pt idx="455">
                  <c:v>-0.16285815732748585</c:v>
                </c:pt>
                <c:pt idx="456">
                  <c:v>-0.15652001776461946</c:v>
                </c:pt>
                <c:pt idx="457">
                  <c:v>-0.13401044069382298</c:v>
                </c:pt>
                <c:pt idx="458">
                  <c:v>-0.1367259733852576</c:v>
                </c:pt>
                <c:pt idx="459">
                  <c:v>-0.11053822844360325</c:v>
                </c:pt>
                <c:pt idx="460">
                  <c:v>-9.9579220137054142E-2</c:v>
                </c:pt>
                <c:pt idx="461">
                  <c:v>-9.6718794851599593E-2</c:v>
                </c:pt>
                <c:pt idx="462">
                  <c:v>-9.437634196241039E-2</c:v>
                </c:pt>
                <c:pt idx="463">
                  <c:v>-9.5794182292054622E-2</c:v>
                </c:pt>
                <c:pt idx="464">
                  <c:v>-8.8952366380556355E-2</c:v>
                </c:pt>
                <c:pt idx="465">
                  <c:v>-4.3872077136252539E-2</c:v>
                </c:pt>
                <c:pt idx="466">
                  <c:v>-3.9612128586252522E-2</c:v>
                </c:pt>
                <c:pt idx="467">
                  <c:v>-5.2876706502140415E-2</c:v>
                </c:pt>
                <c:pt idx="468">
                  <c:v>-4.9287483230858395E-2</c:v>
                </c:pt>
                <c:pt idx="469">
                  <c:v>-3.3820267522162745E-2</c:v>
                </c:pt>
                <c:pt idx="470">
                  <c:v>-3.2437292559838085E-2</c:v>
                </c:pt>
                <c:pt idx="471">
                  <c:v>1.126271466248843E-3</c:v>
                </c:pt>
                <c:pt idx="472">
                  <c:v>2.7078885729154619E-3</c:v>
                </c:pt>
                <c:pt idx="473">
                  <c:v>-3.5628317226508124E-2</c:v>
                </c:pt>
                <c:pt idx="474">
                  <c:v>-3.5628317226508124E-2</c:v>
                </c:pt>
                <c:pt idx="475">
                  <c:v>-4.1299455487377693E-2</c:v>
                </c:pt>
                <c:pt idx="476">
                  <c:v>1.7423421906681686E-2</c:v>
                </c:pt>
                <c:pt idx="477">
                  <c:v>-1.924937847476162E-2</c:v>
                </c:pt>
                <c:pt idx="478">
                  <c:v>-6.0022363577005675E-2</c:v>
                </c:pt>
                <c:pt idx="479">
                  <c:v>-6.3105138819638945E-2</c:v>
                </c:pt>
                <c:pt idx="480">
                  <c:v>-3.952256416761301E-2</c:v>
                </c:pt>
                <c:pt idx="481">
                  <c:v>-5.0359081920648141E-2</c:v>
                </c:pt>
                <c:pt idx="482">
                  <c:v>-2.2029934842894353E-2</c:v>
                </c:pt>
                <c:pt idx="483">
                  <c:v>-3.6985756881402161E-2</c:v>
                </c:pt>
                <c:pt idx="484">
                  <c:v>-1.3482301090170226E-2</c:v>
                </c:pt>
                <c:pt idx="485">
                  <c:v>5.0121971092500607E-3</c:v>
                </c:pt>
                <c:pt idx="486">
                  <c:v>1.7625286666616367E-2</c:v>
                </c:pt>
                <c:pt idx="487">
                  <c:v>5.4805069003112744E-2</c:v>
                </c:pt>
                <c:pt idx="488">
                  <c:v>-5.179252054836065E-3</c:v>
                </c:pt>
                <c:pt idx="489">
                  <c:v>-3.0720414378070687E-2</c:v>
                </c:pt>
                <c:pt idx="490">
                  <c:v>-6.8991920823066169E-2</c:v>
                </c:pt>
                <c:pt idx="491">
                  <c:v>-0.11422540352835014</c:v>
                </c:pt>
                <c:pt idx="492">
                  <c:v>-8.3991968746648646E-2</c:v>
                </c:pt>
                <c:pt idx="493">
                  <c:v>-8.2690380722648657E-2</c:v>
                </c:pt>
                <c:pt idx="494">
                  <c:v>-7.0922865181950984E-2</c:v>
                </c:pt>
                <c:pt idx="495">
                  <c:v>-5.1643549538617654E-2</c:v>
                </c:pt>
                <c:pt idx="496">
                  <c:v>-4.1098570646617649E-2</c:v>
                </c:pt>
                <c:pt idx="497">
                  <c:v>-4.053043710257228E-2</c:v>
                </c:pt>
                <c:pt idx="498">
                  <c:v>-2.2812691903108851E-2</c:v>
                </c:pt>
                <c:pt idx="499">
                  <c:v>-2.3416391336442122E-2</c:v>
                </c:pt>
                <c:pt idx="500">
                  <c:v>-1.8783087716847013E-2</c:v>
                </c:pt>
                <c:pt idx="501">
                  <c:v>1.0866277221832206E-2</c:v>
                </c:pt>
                <c:pt idx="502">
                  <c:v>2.1907953122772415E-2</c:v>
                </c:pt>
                <c:pt idx="503">
                  <c:v>-1.0481239159901274E-2</c:v>
                </c:pt>
                <c:pt idx="504">
                  <c:v>-2.9240765582212041E-2</c:v>
                </c:pt>
                <c:pt idx="505">
                  <c:v>-1.3796367947090072E-2</c:v>
                </c:pt>
                <c:pt idx="506">
                  <c:v>-2.1911649628094672E-2</c:v>
                </c:pt>
                <c:pt idx="507">
                  <c:v>-1.7664725768914633E-2</c:v>
                </c:pt>
                <c:pt idx="508">
                  <c:v>-1.9076035948977922E-2</c:v>
                </c:pt>
                <c:pt idx="509">
                  <c:v>-3.8457832800986164E-2</c:v>
                </c:pt>
                <c:pt idx="510">
                  <c:v>-2.1632173460434976E-2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F-46BF-84AE-570436A09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24944"/>
        <c:axId val="629925360"/>
      </c:lineChart>
      <c:dateAx>
        <c:axId val="629924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25360"/>
        <c:crosses val="autoZero"/>
        <c:auto val="1"/>
        <c:lblOffset val="100"/>
        <c:baseTimeUnit val="days"/>
      </c:dateAx>
      <c:valAx>
        <c:axId val="62992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2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58DA759-104E-471E-96B6-6E260BC9FE26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20D6CA-FB51-4C48-88BE-4DFA577E9A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21.28</v>
      </c>
      <c r="D2" s="4">
        <f>MIN(D3:D1912)</f>
        <v>0.32240000000000002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4.0789999999999997</v>
      </c>
      <c r="C5">
        <v>4.13</v>
      </c>
      <c r="D5">
        <v>3.976</v>
      </c>
      <c r="E5">
        <v>3.9809999999999999</v>
      </c>
      <c r="F5">
        <v>219220.6</v>
      </c>
      <c r="G5">
        <v>3.9809999999999999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-0.93506493506493638</v>
      </c>
      <c r="Q5">
        <f t="shared" ref="Q5" si="1">F5*P5</f>
        <v>-204985.49610389641</v>
      </c>
      <c r="R5">
        <f t="shared" ref="R5" si="2">R6+Q5</f>
        <v>93645729.779553354</v>
      </c>
      <c r="S5">
        <f t="shared" ref="S5" si="3">R5/100000</f>
        <v>936.45729779553358</v>
      </c>
      <c r="T5">
        <f t="shared" ref="T5" si="4">S5/1000</f>
        <v>0.93645729779553355</v>
      </c>
    </row>
    <row r="6" spans="1:20" x14ac:dyDescent="0.25">
      <c r="A6" s="5">
        <v>44587</v>
      </c>
      <c r="B6">
        <v>4.1840000000000002</v>
      </c>
      <c r="C6">
        <v>4.5999999999999996</v>
      </c>
      <c r="D6">
        <v>3.9529999999999998</v>
      </c>
      <c r="E6">
        <v>4.0789999999999997</v>
      </c>
      <c r="F6">
        <v>6086741.0999999996</v>
      </c>
      <c r="G6">
        <v>4.0789999999999997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-0.61051004636785189</v>
      </c>
      <c r="Q6">
        <f t="shared" ref="Q6" si="6">F6*P6</f>
        <v>-3716016.5911901095</v>
      </c>
      <c r="R6">
        <f t="shared" ref="R6" si="7">R7+Q6</f>
        <v>93850715.275657251</v>
      </c>
      <c r="S6">
        <f t="shared" ref="S6" si="8">R6/100000</f>
        <v>938.50715275657251</v>
      </c>
      <c r="T6">
        <f t="shared" ref="T6" si="9">S6/1000</f>
        <v>0.93850715275657248</v>
      </c>
    </row>
    <row r="7" spans="1:20" x14ac:dyDescent="0.25">
      <c r="A7" s="5">
        <v>44586</v>
      </c>
      <c r="B7">
        <v>3.7879999999999998</v>
      </c>
      <c r="C7">
        <v>4.335</v>
      </c>
      <c r="D7">
        <v>3.66</v>
      </c>
      <c r="E7">
        <v>4.1849999999999996</v>
      </c>
      <c r="F7">
        <v>5642911.9000000004</v>
      </c>
      <c r="G7">
        <v>4.1849999999999996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0.55555555555555436</v>
      </c>
      <c r="Q7">
        <f t="shared" ref="Q7" si="11">F7*P7</f>
        <v>3134951.055555549</v>
      </c>
      <c r="R7">
        <f t="shared" ref="R7" si="12">R8+Q7</f>
        <v>97566731.866847366</v>
      </c>
      <c r="S7">
        <f t="shared" ref="S7" si="13">R7/100000</f>
        <v>975.66731866847363</v>
      </c>
      <c r="T7">
        <f t="shared" ref="T7" si="14">S7/1000</f>
        <v>0.97566731866847367</v>
      </c>
    </row>
    <row r="8" spans="1:20" x14ac:dyDescent="0.25">
      <c r="A8" s="5">
        <v>44585</v>
      </c>
      <c r="B8">
        <v>3.9260000000000002</v>
      </c>
      <c r="C8">
        <v>3.9289999999999998</v>
      </c>
      <c r="D8">
        <v>3.2570000000000001</v>
      </c>
      <c r="E8">
        <v>3.7810000000000001</v>
      </c>
      <c r="F8">
        <v>6918454.1739999996</v>
      </c>
      <c r="G8">
        <v>3.7810000000000001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0.55952380952381031</v>
      </c>
      <c r="Q8">
        <f t="shared" ref="Q8" si="16">F8*P8</f>
        <v>3871039.8354523862</v>
      </c>
      <c r="R8">
        <f t="shared" ref="R8" si="17">R9+Q8</f>
        <v>94431780.811291814</v>
      </c>
      <c r="S8">
        <f t="shared" ref="S8" si="18">R8/100000</f>
        <v>944.3178081129181</v>
      </c>
      <c r="T8">
        <f t="shared" ref="T8" si="19">S8/1000</f>
        <v>0.9443178081129181</v>
      </c>
    </row>
    <row r="9" spans="1:20" x14ac:dyDescent="0.25">
      <c r="A9" s="5">
        <v>44584</v>
      </c>
      <c r="B9">
        <v>3.8940000000000001</v>
      </c>
      <c r="C9">
        <v>4.2380000000000004</v>
      </c>
      <c r="D9">
        <v>3.7250000000000001</v>
      </c>
      <c r="E9">
        <v>3.931</v>
      </c>
      <c r="F9">
        <v>4997408.0999999996</v>
      </c>
      <c r="G9">
        <v>3.931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-0.19688109161793441</v>
      </c>
      <c r="Q9">
        <f t="shared" ref="Q9" si="21">F9*P9</f>
        <v>-983895.16198830749</v>
      </c>
      <c r="R9">
        <f t="shared" ref="R9" si="22">R10+Q9</f>
        <v>90560740.975839421</v>
      </c>
      <c r="S9">
        <f t="shared" ref="S9" si="23">R9/100000</f>
        <v>905.60740975839417</v>
      </c>
      <c r="T9">
        <f t="shared" ref="T9" si="24">S9/1000</f>
        <v>0.90560740975839416</v>
      </c>
    </row>
    <row r="10" spans="1:20" x14ac:dyDescent="0.25">
      <c r="A10" s="5">
        <v>44583</v>
      </c>
      <c r="B10">
        <v>4.258</v>
      </c>
      <c r="C10">
        <v>4.3490000000000002</v>
      </c>
      <c r="D10">
        <v>3.544</v>
      </c>
      <c r="E10">
        <v>3.8959999999999999</v>
      </c>
      <c r="F10">
        <v>8742260.4649999999</v>
      </c>
      <c r="G10">
        <v>3.8959999999999999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-0.12546583850931728</v>
      </c>
      <c r="Q10">
        <f t="shared" ref="Q10" si="26">F10*P10</f>
        <v>-1096855.0397080791</v>
      </c>
      <c r="R10">
        <f t="shared" ref="R10" si="27">R11+Q10</f>
        <v>91544636.137827724</v>
      </c>
      <c r="S10">
        <f t="shared" ref="S10" si="28">R10/100000</f>
        <v>915.44636137827729</v>
      </c>
      <c r="T10">
        <f t="shared" ref="T10" si="29">S10/1000</f>
        <v>0.91544636137827728</v>
      </c>
    </row>
    <row r="11" spans="1:20" x14ac:dyDescent="0.25">
      <c r="A11" s="5">
        <v>44582</v>
      </c>
      <c r="B11">
        <v>5.0670000000000002</v>
      </c>
      <c r="C11">
        <v>5.1360000000000001</v>
      </c>
      <c r="D11">
        <v>4.1529999999999996</v>
      </c>
      <c r="E11">
        <v>4.2590000000000003</v>
      </c>
      <c r="F11">
        <v>9245072.4729999993</v>
      </c>
      <c r="G11">
        <v>4.2590000000000003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-0.78433367243133123</v>
      </c>
      <c r="Q11">
        <f t="shared" ref="Q11" si="31">F11*P11</f>
        <v>-7251221.6446418986</v>
      </c>
      <c r="R11">
        <f t="shared" ref="R11" si="32">R12+Q11</f>
        <v>92641491.177535802</v>
      </c>
      <c r="S11">
        <f t="shared" ref="S11" si="33">R11/100000</f>
        <v>926.41491177535806</v>
      </c>
      <c r="T11">
        <f t="shared" ref="T11" si="34">S11/1000</f>
        <v>0.92641491177535806</v>
      </c>
    </row>
    <row r="12" spans="1:20" x14ac:dyDescent="0.25">
      <c r="A12" s="5">
        <v>44581</v>
      </c>
      <c r="B12">
        <v>5.3780000000000001</v>
      </c>
      <c r="C12">
        <v>5.899</v>
      </c>
      <c r="D12">
        <v>5.0199999999999996</v>
      </c>
      <c r="E12">
        <v>5.07</v>
      </c>
      <c r="F12">
        <v>4758496.7659999998</v>
      </c>
      <c r="G12">
        <v>5.07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-0.88623435722411681</v>
      </c>
      <c r="Q12">
        <f t="shared" ref="Q12" si="36">F12*P12</f>
        <v>-4217143.3227690486</v>
      </c>
      <c r="R12">
        <f t="shared" ref="R12" si="37">R13+Q12</f>
        <v>99892712.822177693</v>
      </c>
      <c r="S12">
        <f t="shared" ref="S12" si="38">R12/100000</f>
        <v>998.92712822177691</v>
      </c>
      <c r="T12">
        <f t="shared" ref="T12" si="39">S12/1000</f>
        <v>0.99892712822177687</v>
      </c>
    </row>
    <row r="13" spans="1:20" x14ac:dyDescent="0.25">
      <c r="A13" s="5">
        <v>44580</v>
      </c>
      <c r="B13">
        <v>5.8090000000000002</v>
      </c>
      <c r="C13">
        <v>5.8259999999999996</v>
      </c>
      <c r="D13">
        <v>5.3339999999999996</v>
      </c>
      <c r="E13">
        <v>5.3780000000000001</v>
      </c>
      <c r="F13">
        <v>2693853.7319999998</v>
      </c>
      <c r="G13">
        <v>5.3780000000000001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-0.82113821138211185</v>
      </c>
      <c r="Q13">
        <f t="shared" ref="Q13" si="41">F13*P13</f>
        <v>-2212026.2352195065</v>
      </c>
      <c r="R13">
        <f t="shared" ref="R13" si="42">R14+Q13</f>
        <v>104109856.14494674</v>
      </c>
      <c r="S13">
        <f t="shared" ref="S13" si="43">R13/100000</f>
        <v>1041.0985614494673</v>
      </c>
      <c r="T13">
        <f t="shared" ref="T13" si="44">S13/1000</f>
        <v>1.0410985614494672</v>
      </c>
    </row>
    <row r="14" spans="1:20" x14ac:dyDescent="0.25">
      <c r="A14" s="5">
        <v>44579</v>
      </c>
      <c r="B14">
        <v>5.8739999999999997</v>
      </c>
      <c r="C14">
        <v>6.1210000000000004</v>
      </c>
      <c r="D14">
        <v>5.5449999999999999</v>
      </c>
      <c r="E14">
        <v>5.8129999999999997</v>
      </c>
      <c r="F14">
        <v>3131265.1</v>
      </c>
      <c r="G14">
        <v>5.8129999999999997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-6.9444444444445988E-2</v>
      </c>
      <c r="Q14">
        <f t="shared" ref="Q14" si="46">F14*P14</f>
        <v>-217448.96527778261</v>
      </c>
      <c r="R14">
        <f t="shared" ref="R14" si="47">R15+Q14</f>
        <v>106321882.38016625</v>
      </c>
      <c r="S14">
        <f t="shared" ref="S14" si="48">R14/100000</f>
        <v>1063.2188238016624</v>
      </c>
      <c r="T14">
        <f t="shared" ref="T14" si="49">S14/1000</f>
        <v>1.0632188238016624</v>
      </c>
    </row>
    <row r="15" spans="1:20" x14ac:dyDescent="0.25">
      <c r="A15" s="5">
        <v>44578</v>
      </c>
      <c r="B15">
        <v>6.29</v>
      </c>
      <c r="C15">
        <v>6.3179999999999996</v>
      </c>
      <c r="D15">
        <v>5.758</v>
      </c>
      <c r="E15">
        <v>5.875</v>
      </c>
      <c r="F15">
        <v>3413256.2</v>
      </c>
      <c r="G15">
        <v>5.875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-0.58214285714285685</v>
      </c>
      <c r="Q15">
        <f t="shared" ref="Q15" si="51">F15*P15</f>
        <v>-1987002.7164285704</v>
      </c>
      <c r="R15">
        <f t="shared" ref="R15" si="52">R16+Q15</f>
        <v>106539331.34544402</v>
      </c>
      <c r="S15">
        <f t="shared" ref="S15" si="53">R15/100000</f>
        <v>1065.3933134544402</v>
      </c>
      <c r="T15">
        <f t="shared" ref="T15" si="54">S15/1000</f>
        <v>1.0653933134544402</v>
      </c>
    </row>
    <row r="16" spans="1:20" x14ac:dyDescent="0.25">
      <c r="A16" s="5">
        <v>44577</v>
      </c>
      <c r="B16">
        <v>6.516</v>
      </c>
      <c r="C16">
        <v>6.57</v>
      </c>
      <c r="D16">
        <v>6.2</v>
      </c>
      <c r="E16">
        <v>6.2960000000000003</v>
      </c>
      <c r="F16">
        <v>2788789.1</v>
      </c>
      <c r="G16">
        <v>6.2960000000000003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-0.48108108108108077</v>
      </c>
      <c r="Q16">
        <f t="shared" ref="Q16" si="56">F16*P16</f>
        <v>-1341633.6751351343</v>
      </c>
      <c r="R16">
        <f t="shared" ref="R16" si="57">R17+Q16</f>
        <v>108526334.06187259</v>
      </c>
      <c r="S16">
        <f t="shared" ref="S16" si="58">R16/100000</f>
        <v>1085.2633406187258</v>
      </c>
      <c r="T16">
        <f t="shared" ref="T16" si="59">S16/1000</f>
        <v>1.0852633406187258</v>
      </c>
    </row>
    <row r="17" spans="1:20" x14ac:dyDescent="0.25">
      <c r="A17" s="5">
        <v>44576</v>
      </c>
      <c r="B17">
        <v>6.39</v>
      </c>
      <c r="C17">
        <v>6.6619999999999999</v>
      </c>
      <c r="D17">
        <v>6.28</v>
      </c>
      <c r="E17">
        <v>6.5179999999999998</v>
      </c>
      <c r="F17">
        <v>1755010.1</v>
      </c>
      <c r="G17">
        <v>6.5179999999999998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0.24607329842931805</v>
      </c>
      <c r="Q17">
        <f t="shared" ref="Q17" si="61">F17*P17</f>
        <v>431861.12408376735</v>
      </c>
      <c r="R17">
        <f t="shared" ref="R17" si="62">R18+Q17</f>
        <v>109867967.73700772</v>
      </c>
      <c r="S17">
        <f t="shared" ref="S17" si="63">R17/100000</f>
        <v>1098.6796773700771</v>
      </c>
      <c r="T17">
        <f t="shared" ref="T17" si="64">S17/1000</f>
        <v>1.0986796773700771</v>
      </c>
    </row>
    <row r="18" spans="1:20" x14ac:dyDescent="0.25">
      <c r="A18" s="5">
        <v>44575</v>
      </c>
      <c r="B18">
        <v>6.32</v>
      </c>
      <c r="C18">
        <v>6.47</v>
      </c>
      <c r="D18">
        <v>6.0880000000000001</v>
      </c>
      <c r="E18">
        <v>6.39</v>
      </c>
      <c r="F18">
        <v>2382248.5</v>
      </c>
      <c r="G18">
        <v>6.39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0.58115183246073221</v>
      </c>
      <c r="Q18">
        <f t="shared" ref="Q18" si="66">F18*P18</f>
        <v>1384448.0811518307</v>
      </c>
      <c r="R18">
        <f t="shared" ref="R18" si="67">R19+Q18</f>
        <v>109436106.61292395</v>
      </c>
      <c r="S18">
        <f t="shared" ref="S18" si="68">R18/100000</f>
        <v>1094.3610661292396</v>
      </c>
      <c r="T18">
        <f t="shared" ref="T18" si="69">S18/1000</f>
        <v>1.0943610661292396</v>
      </c>
    </row>
    <row r="19" spans="1:20" x14ac:dyDescent="0.25">
      <c r="A19" s="5">
        <v>44574</v>
      </c>
      <c r="B19">
        <v>6.9850000000000003</v>
      </c>
      <c r="C19">
        <v>7.1269999999999998</v>
      </c>
      <c r="D19">
        <v>6.2839999999999998</v>
      </c>
      <c r="E19">
        <v>6.3209999999999997</v>
      </c>
      <c r="F19">
        <v>3936308.2</v>
      </c>
      <c r="G19">
        <v>6.3209999999999997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-0.91221826809015438</v>
      </c>
      <c r="Q19">
        <f t="shared" ref="Q19" si="71">F19*P19</f>
        <v>-3590772.2488730731</v>
      </c>
      <c r="R19">
        <f t="shared" ref="R19" si="72">R20+Q19</f>
        <v>108051658.53177212</v>
      </c>
      <c r="S19">
        <f t="shared" ref="S19" si="73">R19/100000</f>
        <v>1080.5165853177211</v>
      </c>
      <c r="T19">
        <f t="shared" ref="T19" si="74">S19/1000</f>
        <v>1.0805165853177212</v>
      </c>
    </row>
    <row r="20" spans="1:20" x14ac:dyDescent="0.25">
      <c r="A20" s="5">
        <v>44573</v>
      </c>
      <c r="B20">
        <v>6.1779999999999999</v>
      </c>
      <c r="C20">
        <v>7.0289999999999999</v>
      </c>
      <c r="D20">
        <v>6.0439999999999996</v>
      </c>
      <c r="E20">
        <v>6.992</v>
      </c>
      <c r="F20">
        <v>4554666.0999999996</v>
      </c>
      <c r="G20">
        <v>6.992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0.92487309644670068</v>
      </c>
      <c r="Q20">
        <f t="shared" ref="Q20" si="76">F20*P20</f>
        <v>4212488.1391878175</v>
      </c>
      <c r="R20">
        <f t="shared" ref="R20" si="77">R21+Q20</f>
        <v>111642430.78064519</v>
      </c>
      <c r="S20">
        <f t="shared" ref="S20" si="78">R20/100000</f>
        <v>1116.4243078064519</v>
      </c>
      <c r="T20">
        <f t="shared" ref="T20" si="79">S20/1000</f>
        <v>1.116424307806452</v>
      </c>
    </row>
    <row r="21" spans="1:20" x14ac:dyDescent="0.25">
      <c r="A21" s="5">
        <v>44572</v>
      </c>
      <c r="B21">
        <v>5.7210000000000001</v>
      </c>
      <c r="C21">
        <v>6.4610000000000003</v>
      </c>
      <c r="D21">
        <v>5.6529999999999996</v>
      </c>
      <c r="E21">
        <v>6.173</v>
      </c>
      <c r="F21">
        <v>4189667.6</v>
      </c>
      <c r="G21">
        <v>6.173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0.28712871287128711</v>
      </c>
      <c r="Q21">
        <f t="shared" ref="Q21" si="81">F21*P21</f>
        <v>1202973.8653465346</v>
      </c>
      <c r="R21">
        <f t="shared" ref="R21" si="82">R22+Q21</f>
        <v>107429942.64145738</v>
      </c>
      <c r="S21">
        <f t="shared" ref="S21" si="83">R21/100000</f>
        <v>1074.2994264145739</v>
      </c>
      <c r="T21">
        <f t="shared" ref="T21" si="84">S21/1000</f>
        <v>1.0742994264145738</v>
      </c>
    </row>
    <row r="22" spans="1:20" x14ac:dyDescent="0.25">
      <c r="A22" s="5">
        <v>44571</v>
      </c>
      <c r="B22">
        <v>6.2089999999999996</v>
      </c>
      <c r="C22">
        <v>6.43</v>
      </c>
      <c r="D22">
        <v>5.4660000000000002</v>
      </c>
      <c r="E22">
        <v>5.7220000000000004</v>
      </c>
      <c r="F22">
        <v>3777894.415</v>
      </c>
      <c r="G22">
        <v>5.7220000000000004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-0.46887966804979181</v>
      </c>
      <c r="Q22">
        <f t="shared" ref="Q22" si="86">F22*P22</f>
        <v>-1771377.8792323624</v>
      </c>
      <c r="R22">
        <f t="shared" ref="R22" si="87">R23+Q22</f>
        <v>106226968.77611084</v>
      </c>
      <c r="S22">
        <f t="shared" ref="S22" si="88">R22/100000</f>
        <v>1062.2696877611083</v>
      </c>
      <c r="T22">
        <f t="shared" ref="T22" si="89">S22/1000</f>
        <v>1.0622696877611084</v>
      </c>
    </row>
    <row r="23" spans="1:20" x14ac:dyDescent="0.25">
      <c r="A23" s="5">
        <v>44570</v>
      </c>
      <c r="B23">
        <v>6.0670000000000002</v>
      </c>
      <c r="C23">
        <v>6.4189999999999996</v>
      </c>
      <c r="D23">
        <v>5.9130000000000003</v>
      </c>
      <c r="E23">
        <v>6.21</v>
      </c>
      <c r="F23">
        <v>2065515.4</v>
      </c>
      <c r="G23">
        <v>6.21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0.17391304347826125</v>
      </c>
      <c r="Q23">
        <f t="shared" ref="Q23" si="91">F23*P23</f>
        <v>359220.06956521817</v>
      </c>
      <c r="R23">
        <f t="shared" ref="R23" si="92">R24+Q23</f>
        <v>107998346.6553432</v>
      </c>
      <c r="S23">
        <f t="shared" ref="S23" si="93">R23/100000</f>
        <v>1079.983466553432</v>
      </c>
      <c r="T23">
        <f t="shared" ref="T23" si="94">S23/1000</f>
        <v>1.079983466553432</v>
      </c>
    </row>
    <row r="24" spans="1:20" x14ac:dyDescent="0.25">
      <c r="A24" s="5">
        <v>44569</v>
      </c>
      <c r="B24">
        <v>6.52</v>
      </c>
      <c r="C24">
        <v>6.7830000000000004</v>
      </c>
      <c r="D24">
        <v>5.7809999999999997</v>
      </c>
      <c r="E24">
        <v>6.0670000000000002</v>
      </c>
      <c r="F24">
        <v>3894252.7</v>
      </c>
      <c r="G24">
        <v>6.0670000000000002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-0.42914171656686567</v>
      </c>
      <c r="Q24">
        <f t="shared" ref="Q24" si="96">F24*P24</f>
        <v>-1671186.2884231515</v>
      </c>
      <c r="R24">
        <f t="shared" ref="R24" si="97">R25+Q24</f>
        <v>107639126.58577798</v>
      </c>
      <c r="S24">
        <f t="shared" ref="S24" si="98">R24/100000</f>
        <v>1076.3912658577799</v>
      </c>
      <c r="T24">
        <f t="shared" ref="T24" si="99">S24/1000</f>
        <v>1.0763912658577799</v>
      </c>
    </row>
    <row r="25" spans="1:20" x14ac:dyDescent="0.25">
      <c r="A25" s="5">
        <v>44568</v>
      </c>
      <c r="B25">
        <v>6.9710000000000001</v>
      </c>
      <c r="C25">
        <v>7.056</v>
      </c>
      <c r="D25">
        <v>6.3380000000000001</v>
      </c>
      <c r="E25">
        <v>6.5190000000000001</v>
      </c>
      <c r="F25">
        <v>4265068.5999999996</v>
      </c>
      <c r="G25">
        <v>6.5190000000000001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-0.49582172701949845</v>
      </c>
      <c r="Q25">
        <f t="shared" ref="Q25" si="101">F25*P25</f>
        <v>-2114713.6791086341</v>
      </c>
      <c r="R25">
        <f t="shared" ref="R25" si="102">R26+Q25</f>
        <v>109310312.87420113</v>
      </c>
      <c r="S25">
        <f t="shared" ref="S25" si="103">R25/100000</f>
        <v>1093.1031287420114</v>
      </c>
      <c r="T25">
        <f t="shared" ref="T25" si="104">S25/1000</f>
        <v>1.0931031287420114</v>
      </c>
    </row>
    <row r="26" spans="1:20" x14ac:dyDescent="0.25">
      <c r="A26" s="5">
        <v>44567</v>
      </c>
      <c r="B26">
        <v>7.0990000000000002</v>
      </c>
      <c r="C26">
        <v>7.25</v>
      </c>
      <c r="D26">
        <v>6.53</v>
      </c>
      <c r="E26">
        <v>6.9690000000000003</v>
      </c>
      <c r="F26">
        <v>4853571.9000000004</v>
      </c>
      <c r="G26">
        <v>6.9690000000000003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0.21944444444444502</v>
      </c>
      <c r="Q26">
        <f t="shared" ref="Q26" si="106">F26*P26</f>
        <v>1065089.3891666695</v>
      </c>
      <c r="R26">
        <f t="shared" ref="R26" si="107">R27+Q26</f>
        <v>111425026.55330977</v>
      </c>
      <c r="S26">
        <f t="shared" ref="S26" si="108">R26/100000</f>
        <v>1114.2502655330977</v>
      </c>
      <c r="T26">
        <f t="shared" ref="T26" si="109">S26/1000</f>
        <v>1.1142502655330977</v>
      </c>
    </row>
    <row r="27" spans="1:20" x14ac:dyDescent="0.25">
      <c r="A27" s="5">
        <v>44566</v>
      </c>
      <c r="B27">
        <v>7.7690000000000001</v>
      </c>
      <c r="C27">
        <v>8.2119999999999997</v>
      </c>
      <c r="D27">
        <v>6.7110000000000003</v>
      </c>
      <c r="E27">
        <v>7.09</v>
      </c>
      <c r="F27">
        <v>6781895.5</v>
      </c>
      <c r="G27">
        <v>7.09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-0.49500333111259198</v>
      </c>
      <c r="Q27">
        <f t="shared" ref="Q27" si="111">F27*P27</f>
        <v>-3357060.8637574976</v>
      </c>
      <c r="R27">
        <f t="shared" ref="R27" si="112">R28+Q27</f>
        <v>110359937.1641431</v>
      </c>
      <c r="S27">
        <f t="shared" ref="S27" si="113">R27/100000</f>
        <v>1103.5993716414309</v>
      </c>
      <c r="T27">
        <f t="shared" ref="T27" si="114">S27/1000</f>
        <v>1.103599371641431</v>
      </c>
    </row>
    <row r="28" spans="1:20" x14ac:dyDescent="0.25">
      <c r="A28" s="5">
        <v>44565</v>
      </c>
      <c r="B28">
        <v>7.306</v>
      </c>
      <c r="C28">
        <v>8.2859999999999996</v>
      </c>
      <c r="D28">
        <v>7.1</v>
      </c>
      <c r="E28">
        <v>7.7679999999999998</v>
      </c>
      <c r="F28">
        <v>5425091.5</v>
      </c>
      <c r="G28">
        <v>7.7679999999999998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0.12647554806070857</v>
      </c>
      <c r="Q28">
        <f t="shared" ref="Q28" si="116">F28*P28</f>
        <v>686141.42074199161</v>
      </c>
      <c r="R28">
        <f t="shared" ref="R28" si="117">R29+Q28</f>
        <v>113716998.02790059</v>
      </c>
      <c r="S28">
        <f t="shared" ref="S28" si="118">R28/100000</f>
        <v>1137.1699802790058</v>
      </c>
      <c r="T28">
        <f t="shared" ref="T28" si="119">S28/1000</f>
        <v>1.1371699802790058</v>
      </c>
    </row>
    <row r="29" spans="1:20" x14ac:dyDescent="0.25">
      <c r="A29" s="5">
        <v>44564</v>
      </c>
      <c r="B29">
        <v>7.3819999999999997</v>
      </c>
      <c r="C29">
        <v>7.4409999999999998</v>
      </c>
      <c r="D29">
        <v>6.9690000000000003</v>
      </c>
      <c r="E29">
        <v>7.306</v>
      </c>
      <c r="F29">
        <v>2877998.9</v>
      </c>
      <c r="G29">
        <v>7.306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0.42796610169491561</v>
      </c>
      <c r="Q29">
        <f t="shared" ref="Q29" si="121">F29*P29</f>
        <v>1231685.9699152552</v>
      </c>
      <c r="R29">
        <f t="shared" ref="R29" si="122">R30+Q29</f>
        <v>113030856.6071586</v>
      </c>
      <c r="S29">
        <f t="shared" ref="S29" si="123">R29/100000</f>
        <v>1130.308566071586</v>
      </c>
      <c r="T29">
        <f t="shared" ref="T29" si="124">S29/1000</f>
        <v>1.1303085660715859</v>
      </c>
    </row>
    <row r="30" spans="1:20" x14ac:dyDescent="0.25">
      <c r="A30" s="5">
        <v>44563</v>
      </c>
      <c r="B30">
        <v>7.359</v>
      </c>
      <c r="C30">
        <v>7.7389999999999999</v>
      </c>
      <c r="D30">
        <v>7.3090000000000002</v>
      </c>
      <c r="E30">
        <v>7.3849999999999998</v>
      </c>
      <c r="F30">
        <v>2429228.1</v>
      </c>
      <c r="G30">
        <v>7.3849999999999998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-0.64651162790697825</v>
      </c>
      <c r="Q30">
        <f t="shared" ref="Q30" si="126">F30*P30</f>
        <v>-1570524.2134883758</v>
      </c>
      <c r="R30">
        <f t="shared" ref="R30" si="127">R31+Q30</f>
        <v>111799170.63724335</v>
      </c>
      <c r="S30">
        <f t="shared" ref="S30" si="128">R30/100000</f>
        <v>1117.9917063724336</v>
      </c>
      <c r="T30">
        <f t="shared" ref="T30" si="129">S30/1000</f>
        <v>1.1179917063724336</v>
      </c>
    </row>
    <row r="31" spans="1:20" x14ac:dyDescent="0.25">
      <c r="A31" s="5">
        <v>44562</v>
      </c>
      <c r="B31">
        <v>6.7969999999999997</v>
      </c>
      <c r="C31">
        <v>7.47</v>
      </c>
      <c r="D31">
        <v>6.7910000000000004</v>
      </c>
      <c r="E31">
        <v>7.3609999999999998</v>
      </c>
      <c r="F31">
        <v>1832730.2</v>
      </c>
      <c r="G31">
        <v>7.3609999999999998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0.67893961708394668</v>
      </c>
      <c r="Q31">
        <f t="shared" ref="Q31" si="131">F31*P31</f>
        <v>1244313.1402061849</v>
      </c>
      <c r="R31">
        <f t="shared" ref="R31" si="132">R32+Q31</f>
        <v>113369694.85073172</v>
      </c>
      <c r="S31">
        <f t="shared" ref="S31" si="133">R31/100000</f>
        <v>1133.6969485073171</v>
      </c>
      <c r="T31">
        <f t="shared" ref="T31" si="134">S31/1000</f>
        <v>1.1336969485073172</v>
      </c>
    </row>
    <row r="32" spans="1:20" x14ac:dyDescent="0.25">
      <c r="A32" s="5">
        <v>44561</v>
      </c>
      <c r="B32">
        <v>6.8570000000000002</v>
      </c>
      <c r="C32">
        <v>7.2990000000000004</v>
      </c>
      <c r="D32">
        <v>6.6280000000000001</v>
      </c>
      <c r="E32">
        <v>6.7949999999999999</v>
      </c>
      <c r="F32">
        <v>2166370</v>
      </c>
      <c r="G32">
        <v>6.7949999999999999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-0.50223546944858499</v>
      </c>
      <c r="Q32">
        <f t="shared" ref="Q32" si="136">F32*P32</f>
        <v>-1088027.853949331</v>
      </c>
      <c r="R32">
        <f t="shared" ref="R32" si="137">R33+Q32</f>
        <v>112125381.71052553</v>
      </c>
      <c r="S32">
        <f t="shared" ref="S32" si="138">R32/100000</f>
        <v>1121.2538171052552</v>
      </c>
      <c r="T32">
        <f t="shared" ref="T32" si="139">S32/1000</f>
        <v>1.1212538171052551</v>
      </c>
    </row>
    <row r="33" spans="1:20" x14ac:dyDescent="0.25">
      <c r="A33" s="5">
        <v>44560</v>
      </c>
      <c r="B33">
        <v>6.8019999999999996</v>
      </c>
      <c r="C33">
        <v>7.1289999999999996</v>
      </c>
      <c r="D33">
        <v>6.63</v>
      </c>
      <c r="E33">
        <v>6.8559999999999999</v>
      </c>
      <c r="F33">
        <v>1983911.3</v>
      </c>
      <c r="G33">
        <v>6.8559999999999999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-9.4188376753506498E-2</v>
      </c>
      <c r="Q33">
        <f t="shared" ref="Q33" si="141">F33*P33</f>
        <v>-186861.38496993887</v>
      </c>
      <c r="R33">
        <f t="shared" ref="R33" si="142">R34+Q33</f>
        <v>113213409.56447487</v>
      </c>
      <c r="S33">
        <f t="shared" ref="S33" si="143">R33/100000</f>
        <v>1132.1340956447486</v>
      </c>
      <c r="T33">
        <f t="shared" ref="T33" si="144">S33/1000</f>
        <v>1.1321340956447485</v>
      </c>
    </row>
    <row r="34" spans="1:20" x14ac:dyDescent="0.25">
      <c r="A34" s="5">
        <v>44559</v>
      </c>
      <c r="B34">
        <v>7.2039999999999997</v>
      </c>
      <c r="C34">
        <v>7.5209999999999999</v>
      </c>
      <c r="D34">
        <v>6.7050000000000001</v>
      </c>
      <c r="E34">
        <v>6.8029999999999999</v>
      </c>
      <c r="F34">
        <v>3547897.8</v>
      </c>
      <c r="G34">
        <v>6.8029999999999999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-0.75980392156862775</v>
      </c>
      <c r="Q34">
        <f t="shared" ref="Q34" si="146">F34*P34</f>
        <v>-2695706.661764707</v>
      </c>
      <c r="R34">
        <f t="shared" ref="R34" si="147">R35+Q34</f>
        <v>113400270.9494448</v>
      </c>
      <c r="S34">
        <f t="shared" ref="S34" si="148">R34/100000</f>
        <v>1134.002709494448</v>
      </c>
      <c r="T34">
        <f t="shared" ref="T34" si="149">S34/1000</f>
        <v>1.134002709494448</v>
      </c>
    </row>
    <row r="35" spans="1:20" x14ac:dyDescent="0.25">
      <c r="A35" s="5">
        <v>44558</v>
      </c>
      <c r="B35">
        <v>8.2859999999999996</v>
      </c>
      <c r="C35">
        <v>8.2880000000000003</v>
      </c>
      <c r="D35">
        <v>7.1319999999999997</v>
      </c>
      <c r="E35">
        <v>7.2</v>
      </c>
      <c r="F35">
        <v>4455050.5999999996</v>
      </c>
      <c r="G35">
        <v>7.2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-0.88235294117646978</v>
      </c>
      <c r="Q35">
        <f t="shared" ref="Q35" si="151">F35*P35</f>
        <v>-3930926.9999999963</v>
      </c>
      <c r="R35">
        <f t="shared" ref="R35" si="152">R36+Q35</f>
        <v>116095977.61120951</v>
      </c>
      <c r="S35">
        <f t="shared" ref="S35" si="153">R35/100000</f>
        <v>1160.9597761120951</v>
      </c>
      <c r="T35">
        <f t="shared" ref="T35" si="154">S35/1000</f>
        <v>1.1609597761120951</v>
      </c>
    </row>
    <row r="36" spans="1:20" x14ac:dyDescent="0.25">
      <c r="A36" s="5">
        <v>44557</v>
      </c>
      <c r="B36">
        <v>7.7809999999999997</v>
      </c>
      <c r="C36">
        <v>8.8759999999999994</v>
      </c>
      <c r="D36">
        <v>7.6989999999999998</v>
      </c>
      <c r="E36">
        <v>8.2810000000000006</v>
      </c>
      <c r="F36">
        <v>4708993.0999999996</v>
      </c>
      <c r="G36">
        <v>8.2810000000000006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-1.1045029736616932E-2</v>
      </c>
      <c r="Q36">
        <f t="shared" ref="Q36" si="156">F36*P36</f>
        <v>-52010.968819023947</v>
      </c>
      <c r="R36">
        <f t="shared" ref="R36" si="157">R37+Q36</f>
        <v>120026904.61120951</v>
      </c>
      <c r="S36">
        <f t="shared" ref="S36" si="158">R36/100000</f>
        <v>1200.2690461120951</v>
      </c>
      <c r="T36">
        <f t="shared" ref="T36" si="159">S36/1000</f>
        <v>1.2002690461120951</v>
      </c>
    </row>
    <row r="37" spans="1:20" x14ac:dyDescent="0.25">
      <c r="A37" s="5">
        <v>44556</v>
      </c>
      <c r="B37">
        <v>7.8959999999999999</v>
      </c>
      <c r="C37">
        <v>8.0399999999999991</v>
      </c>
      <c r="D37">
        <v>7.4429999999999996</v>
      </c>
      <c r="E37">
        <v>7.7709999999999999</v>
      </c>
      <c r="F37">
        <v>2324832.9</v>
      </c>
      <c r="G37">
        <v>7.7709999999999999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9.8827470686769003E-2</v>
      </c>
      <c r="Q37">
        <f t="shared" ref="Q37" si="161">F37*P37</f>
        <v>229757.35527638617</v>
      </c>
      <c r="R37">
        <f t="shared" ref="R37" si="162">R38+Q37</f>
        <v>120078915.58002853</v>
      </c>
      <c r="S37">
        <f t="shared" ref="S37" si="163">R37/100000</f>
        <v>1200.7891558002852</v>
      </c>
      <c r="T37">
        <f t="shared" ref="T37" si="164">S37/1000</f>
        <v>1.2007891558002852</v>
      </c>
    </row>
    <row r="38" spans="1:20" x14ac:dyDescent="0.25">
      <c r="A38" s="5">
        <v>44555</v>
      </c>
      <c r="B38">
        <v>7.62</v>
      </c>
      <c r="C38">
        <v>8.0990000000000002</v>
      </c>
      <c r="D38">
        <v>7.5439999999999996</v>
      </c>
      <c r="E38">
        <v>7.8879999999999999</v>
      </c>
      <c r="F38">
        <v>2153806.7000000002</v>
      </c>
      <c r="G38">
        <v>7.8879999999999999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0.23963963963963938</v>
      </c>
      <c r="Q38">
        <f t="shared" ref="Q38" si="166">F38*P38</f>
        <v>516137.46144144092</v>
      </c>
      <c r="R38">
        <f t="shared" ref="R38" si="167">R39+Q38</f>
        <v>119849158.22475214</v>
      </c>
      <c r="S38">
        <f t="shared" ref="S38" si="168">R38/100000</f>
        <v>1198.4915822475214</v>
      </c>
      <c r="T38">
        <f t="shared" ref="T38" si="169">S38/1000</f>
        <v>1.1984915822475213</v>
      </c>
    </row>
    <row r="39" spans="1:20" x14ac:dyDescent="0.25">
      <c r="A39" s="5">
        <v>44554</v>
      </c>
      <c r="B39">
        <v>7.8040000000000003</v>
      </c>
      <c r="C39">
        <v>8.1790000000000003</v>
      </c>
      <c r="D39">
        <v>7.3849999999999998</v>
      </c>
      <c r="E39">
        <v>7.62</v>
      </c>
      <c r="F39">
        <v>3192160.5</v>
      </c>
      <c r="G39">
        <v>7.62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-0.40806045340050334</v>
      </c>
      <c r="Q39">
        <f t="shared" ref="Q39" si="171">F39*P39</f>
        <v>-1302594.4609571774</v>
      </c>
      <c r="R39">
        <f t="shared" ref="R39" si="172">R40+Q39</f>
        <v>119333020.7633107</v>
      </c>
      <c r="S39">
        <f t="shared" ref="S39" si="173">R39/100000</f>
        <v>1193.330207633107</v>
      </c>
      <c r="T39">
        <f t="shared" ref="T39" si="174">S39/1000</f>
        <v>1.1933302076331069</v>
      </c>
    </row>
    <row r="40" spans="1:20" x14ac:dyDescent="0.25">
      <c r="A40" s="5">
        <v>44553</v>
      </c>
      <c r="B40">
        <v>7.2169999999999996</v>
      </c>
      <c r="C40">
        <v>7.8869999999999996</v>
      </c>
      <c r="D40">
        <v>6.9669999999999996</v>
      </c>
      <c r="E40">
        <v>7.8040000000000003</v>
      </c>
      <c r="F40">
        <v>4228093.2</v>
      </c>
      <c r="G40">
        <v>7.8040000000000003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0.81956521739130583</v>
      </c>
      <c r="Q40">
        <f t="shared" ref="Q40" si="176">F40*P40</f>
        <v>3465198.1226087022</v>
      </c>
      <c r="R40">
        <f t="shared" ref="R40" si="177">R41+Q40</f>
        <v>120635615.22426789</v>
      </c>
      <c r="S40">
        <f t="shared" ref="S40" si="178">R40/100000</f>
        <v>1206.3561522426789</v>
      </c>
      <c r="T40">
        <f t="shared" ref="T40" si="179">S40/1000</f>
        <v>1.2063561522426789</v>
      </c>
    </row>
    <row r="41" spans="1:20" x14ac:dyDescent="0.25">
      <c r="A41" s="5">
        <v>44552</v>
      </c>
      <c r="B41">
        <v>6.8650000000000002</v>
      </c>
      <c r="C41">
        <v>7.7240000000000002</v>
      </c>
      <c r="D41">
        <v>6.8490000000000002</v>
      </c>
      <c r="E41">
        <v>7.2190000000000003</v>
      </c>
      <c r="F41">
        <v>4030332.1</v>
      </c>
      <c r="G41">
        <v>7.2190000000000003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-0.15428571428571405</v>
      </c>
      <c r="Q41">
        <f t="shared" ref="Q41" si="181">F41*P41</f>
        <v>-621822.66685714188</v>
      </c>
      <c r="R41">
        <f t="shared" ref="R41" si="182">R42+Q41</f>
        <v>117170417.10165918</v>
      </c>
      <c r="S41">
        <f t="shared" ref="S41" si="183">R41/100000</f>
        <v>1171.7041710165918</v>
      </c>
      <c r="T41">
        <f t="shared" ref="T41" si="184">S41/1000</f>
        <v>1.1717041710165919</v>
      </c>
    </row>
    <row r="42" spans="1:20" x14ac:dyDescent="0.25">
      <c r="A42" s="5">
        <v>44551</v>
      </c>
      <c r="B42">
        <v>6.367</v>
      </c>
      <c r="C42">
        <v>7.0709999999999997</v>
      </c>
      <c r="D42">
        <v>6.2729999999999997</v>
      </c>
      <c r="E42">
        <v>6.8630000000000004</v>
      </c>
      <c r="F42">
        <v>4098917.3</v>
      </c>
      <c r="G42">
        <v>6.8630000000000004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0.4786967418546384</v>
      </c>
      <c r="Q42">
        <f t="shared" ref="Q42" si="186">F42*P42</f>
        <v>1962138.3566416113</v>
      </c>
      <c r="R42">
        <f t="shared" ref="R42" si="187">R43+Q42</f>
        <v>117792239.76851632</v>
      </c>
      <c r="S42">
        <f t="shared" ref="S42" si="188">R42/100000</f>
        <v>1177.9223976851631</v>
      </c>
      <c r="T42">
        <f t="shared" ref="T42" si="189">S42/1000</f>
        <v>1.1779223976851632</v>
      </c>
    </row>
    <row r="43" spans="1:20" x14ac:dyDescent="0.25">
      <c r="A43" s="5">
        <v>44550</v>
      </c>
      <c r="B43">
        <v>6.1669999999999998</v>
      </c>
      <c r="C43">
        <v>6.6260000000000003</v>
      </c>
      <c r="D43">
        <v>5.8440000000000003</v>
      </c>
      <c r="E43">
        <v>6.36</v>
      </c>
      <c r="F43">
        <v>3009413.9</v>
      </c>
      <c r="G43">
        <v>6.36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0.31969309462915602</v>
      </c>
      <c r="Q43">
        <f t="shared" ref="Q43" si="191">F43*P43</f>
        <v>962088.84271099744</v>
      </c>
      <c r="R43">
        <f t="shared" ref="R43" si="192">R44+Q43</f>
        <v>115830101.41187471</v>
      </c>
      <c r="S43">
        <f t="shared" ref="S43" si="193">R43/100000</f>
        <v>1158.3010141187472</v>
      </c>
      <c r="T43">
        <f t="shared" ref="T43" si="194">S43/1000</f>
        <v>1.1583010141187471</v>
      </c>
    </row>
    <row r="44" spans="1:20" x14ac:dyDescent="0.25">
      <c r="A44" s="5">
        <v>44549</v>
      </c>
      <c r="B44">
        <v>6.4660000000000002</v>
      </c>
      <c r="C44">
        <v>6.5279999999999996</v>
      </c>
      <c r="D44">
        <v>6.1310000000000002</v>
      </c>
      <c r="E44">
        <v>6.1680000000000001</v>
      </c>
      <c r="F44">
        <v>1472192.2</v>
      </c>
      <c r="G44">
        <v>6.1680000000000001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-0.81360201511335017</v>
      </c>
      <c r="Q44">
        <f t="shared" ref="Q44" si="196">F44*P44</f>
        <v>-1197778.5405541563</v>
      </c>
      <c r="R44">
        <f t="shared" ref="R44" si="197">R45+Q44</f>
        <v>114868012.56916371</v>
      </c>
      <c r="S44">
        <f t="shared" ref="S44" si="198">R44/100000</f>
        <v>1148.6801256916372</v>
      </c>
      <c r="T44">
        <f t="shared" ref="T44" si="199">S44/1000</f>
        <v>1.1486801256916372</v>
      </c>
    </row>
    <row r="45" spans="1:20" x14ac:dyDescent="0.25">
      <c r="A45" s="5">
        <v>44548</v>
      </c>
      <c r="B45">
        <v>6.2460000000000004</v>
      </c>
      <c r="C45">
        <v>6.55</v>
      </c>
      <c r="D45">
        <v>6.0659999999999998</v>
      </c>
      <c r="E45">
        <v>6.4649999999999999</v>
      </c>
      <c r="F45">
        <v>1668913.4</v>
      </c>
      <c r="G45">
        <v>6.4649999999999999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0.64876033057851257</v>
      </c>
      <c r="Q45">
        <f t="shared" ref="Q45" si="201">F45*P45</f>
        <v>1082724.8090909093</v>
      </c>
      <c r="R45">
        <f t="shared" ref="R45" si="202">R46+Q45</f>
        <v>116065791.10971786</v>
      </c>
      <c r="S45">
        <f t="shared" ref="S45" si="203">R45/100000</f>
        <v>1160.6579110971786</v>
      </c>
      <c r="T45">
        <f t="shared" ref="T45" si="204">S45/1000</f>
        <v>1.1606579110971786</v>
      </c>
    </row>
    <row r="46" spans="1:20" x14ac:dyDescent="0.25">
      <c r="A46" s="5">
        <v>44547</v>
      </c>
      <c r="B46">
        <v>6.5010000000000003</v>
      </c>
      <c r="C46">
        <v>6.6280000000000001</v>
      </c>
      <c r="D46">
        <v>6.0019999999999998</v>
      </c>
      <c r="E46">
        <v>6.2489999999999997</v>
      </c>
      <c r="F46">
        <v>3101106.7</v>
      </c>
      <c r="G46">
        <v>6.2489999999999997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-0.21086261980830751</v>
      </c>
      <c r="Q46">
        <f t="shared" ref="Q46" si="206">F46*P46</f>
        <v>-653907.48306709516</v>
      </c>
      <c r="R46">
        <f t="shared" ref="R46" si="207">R47+Q46</f>
        <v>114983066.30062695</v>
      </c>
      <c r="S46">
        <f t="shared" ref="S46" si="208">R46/100000</f>
        <v>1149.8306630062696</v>
      </c>
      <c r="T46">
        <f t="shared" ref="T46" si="209">S46/1000</f>
        <v>1.1498306630062696</v>
      </c>
    </row>
    <row r="47" spans="1:20" x14ac:dyDescent="0.25">
      <c r="A47" s="5">
        <v>44546</v>
      </c>
      <c r="B47">
        <v>6.63</v>
      </c>
      <c r="C47">
        <v>7.2240000000000002</v>
      </c>
      <c r="D47">
        <v>6.47</v>
      </c>
      <c r="E47">
        <v>6.5010000000000003</v>
      </c>
      <c r="F47">
        <v>3560764.1</v>
      </c>
      <c r="G47">
        <v>6.5010000000000003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-0.91777188328912318</v>
      </c>
      <c r="Q47">
        <f t="shared" ref="Q47" si="211">F47*P47</f>
        <v>-3267969.1740052998</v>
      </c>
      <c r="R47">
        <f t="shared" ref="R47" si="212">R48+Q47</f>
        <v>115636973.78369404</v>
      </c>
      <c r="S47">
        <f t="shared" ref="S47" si="213">R47/100000</f>
        <v>1156.3697378369404</v>
      </c>
      <c r="T47">
        <f t="shared" ref="T47" si="214">S47/1000</f>
        <v>1.1563697378369404</v>
      </c>
    </row>
    <row r="48" spans="1:20" x14ac:dyDescent="0.25">
      <c r="A48" s="5">
        <v>44545</v>
      </c>
      <c r="B48">
        <v>6.258</v>
      </c>
      <c r="C48">
        <v>6.8940000000000001</v>
      </c>
      <c r="D48">
        <v>5.7640000000000002</v>
      </c>
      <c r="E48">
        <v>6.63</v>
      </c>
      <c r="F48">
        <v>3750346.1</v>
      </c>
      <c r="G48">
        <v>6.63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0.53274336283185797</v>
      </c>
      <c r="Q48">
        <f t="shared" ref="Q48" si="216">F48*P48</f>
        <v>1997971.9930973435</v>
      </c>
      <c r="R48">
        <f t="shared" ref="R48" si="217">R49+Q48</f>
        <v>118904942.95769934</v>
      </c>
      <c r="S48">
        <f t="shared" ref="S48" si="218">R48/100000</f>
        <v>1189.0494295769934</v>
      </c>
      <c r="T48">
        <f t="shared" ref="T48" si="219">S48/1000</f>
        <v>1.1890494295769933</v>
      </c>
    </row>
    <row r="49" spans="1:20" x14ac:dyDescent="0.25">
      <c r="A49" s="5">
        <v>44544</v>
      </c>
      <c r="B49">
        <v>6.28</v>
      </c>
      <c r="C49">
        <v>6.4589999999999996</v>
      </c>
      <c r="D49">
        <v>5.9820000000000002</v>
      </c>
      <c r="E49">
        <v>6.2569999999999997</v>
      </c>
      <c r="F49">
        <v>3027552.3769999999</v>
      </c>
      <c r="G49">
        <v>6.2569999999999997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0.15303983228511447</v>
      </c>
      <c r="Q49">
        <f t="shared" ref="Q49" si="221">F49*P49</f>
        <v>463336.10801047966</v>
      </c>
      <c r="R49">
        <f t="shared" ref="R49" si="222">R50+Q49</f>
        <v>116906970.96460199</v>
      </c>
      <c r="S49">
        <f t="shared" ref="S49" si="223">R49/100000</f>
        <v>1169.0697096460199</v>
      </c>
      <c r="T49">
        <f t="shared" ref="T49" si="224">S49/1000</f>
        <v>1.1690697096460199</v>
      </c>
    </row>
    <row r="50" spans="1:20" x14ac:dyDescent="0.25">
      <c r="A50" s="5">
        <v>44543</v>
      </c>
      <c r="B50">
        <v>7.1109999999999998</v>
      </c>
      <c r="C50">
        <v>7.2380000000000004</v>
      </c>
      <c r="D50">
        <v>6.0110000000000001</v>
      </c>
      <c r="E50">
        <v>6.2789999999999999</v>
      </c>
      <c r="F50">
        <v>3885096.8339999998</v>
      </c>
      <c r="G50">
        <v>6.2789999999999999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-0.56316218418907948</v>
      </c>
      <c r="Q50">
        <f t="shared" ref="Q50" si="226">F50*P50</f>
        <v>-2187939.6188215176</v>
      </c>
      <c r="R50">
        <f t="shared" ref="R50" si="227">R51+Q50</f>
        <v>116443634.85659151</v>
      </c>
      <c r="S50">
        <f t="shared" ref="S50" si="228">R50/100000</f>
        <v>1164.4363485659151</v>
      </c>
      <c r="T50">
        <f t="shared" ref="T50" si="229">S50/1000</f>
        <v>1.164436348565915</v>
      </c>
    </row>
    <row r="51" spans="1:20" x14ac:dyDescent="0.25">
      <c r="A51" s="5">
        <v>44542</v>
      </c>
      <c r="B51">
        <v>7.0279999999999996</v>
      </c>
      <c r="C51">
        <v>7.2350000000000003</v>
      </c>
      <c r="D51">
        <v>6.6440000000000001</v>
      </c>
      <c r="E51">
        <v>7.117</v>
      </c>
      <c r="F51">
        <v>2691910.9</v>
      </c>
      <c r="G51">
        <v>7.117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0.60067681895092961</v>
      </c>
      <c r="Q51">
        <f t="shared" ref="Q51" si="231">F51*P51</f>
        <v>1616968.4763113339</v>
      </c>
      <c r="R51">
        <f t="shared" ref="R51" si="232">R52+Q51</f>
        <v>118631574.47541302</v>
      </c>
      <c r="S51">
        <f t="shared" ref="S51" si="233">R51/100000</f>
        <v>1186.3157447541303</v>
      </c>
      <c r="T51">
        <f t="shared" ref="T51" si="234">S51/1000</f>
        <v>1.1863157447541304</v>
      </c>
    </row>
    <row r="52" spans="1:20" x14ac:dyDescent="0.25">
      <c r="A52" s="5">
        <v>44541</v>
      </c>
      <c r="B52">
        <v>6.5350000000000001</v>
      </c>
      <c r="C52">
        <v>6.6890000000000001</v>
      </c>
      <c r="D52">
        <v>6.3869999999999996</v>
      </c>
      <c r="E52">
        <v>6.6340000000000003</v>
      </c>
      <c r="F52">
        <v>263842.7</v>
      </c>
      <c r="G52">
        <v>6.6340000000000003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0.63576158940397598</v>
      </c>
      <c r="Q52">
        <f t="shared" ref="Q52" si="236">F52*P52</f>
        <v>167741.05430463643</v>
      </c>
      <c r="R52">
        <f t="shared" ref="R52" si="237">R53+Q52</f>
        <v>117014605.99910168</v>
      </c>
      <c r="S52">
        <f t="shared" ref="S52" si="238">R52/100000</f>
        <v>1170.1460599910167</v>
      </c>
      <c r="T52">
        <f t="shared" ref="T52" si="239">S52/1000</f>
        <v>1.1701460599910167</v>
      </c>
    </row>
    <row r="53" spans="1:20" x14ac:dyDescent="0.25">
      <c r="A53" s="5">
        <v>44540</v>
      </c>
      <c r="B53">
        <v>6.984</v>
      </c>
      <c r="C53">
        <v>7.48</v>
      </c>
      <c r="D53">
        <v>6.5229999999999997</v>
      </c>
      <c r="E53">
        <v>6.548</v>
      </c>
      <c r="F53">
        <v>3373823.3</v>
      </c>
      <c r="G53">
        <v>6.548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-0.94775339602925734</v>
      </c>
      <c r="Q53">
        <f t="shared" ref="Q53" si="241">F53*P53</f>
        <v>-3197552.4901776356</v>
      </c>
      <c r="R53">
        <f t="shared" ref="R53" si="242">R54+Q53</f>
        <v>116846864.94479705</v>
      </c>
      <c r="S53">
        <f t="shared" ref="S53" si="243">R53/100000</f>
        <v>1168.4686494479706</v>
      </c>
      <c r="T53">
        <f t="shared" ref="T53" si="244">S53/1000</f>
        <v>1.1684686494479706</v>
      </c>
    </row>
    <row r="54" spans="1:20" x14ac:dyDescent="0.25">
      <c r="A54" s="5">
        <v>44539</v>
      </c>
      <c r="B54">
        <v>8.0470000000000006</v>
      </c>
      <c r="C54">
        <v>8.375</v>
      </c>
      <c r="D54">
        <v>6.9470000000000001</v>
      </c>
      <c r="E54">
        <v>6.9909999999999997</v>
      </c>
      <c r="F54">
        <v>3795114.5</v>
      </c>
      <c r="G54">
        <v>6.9909999999999997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-0.93837535014005657</v>
      </c>
      <c r="Q54">
        <f t="shared" ref="Q54" si="246">F54*P54</f>
        <v>-3561241.8977591055</v>
      </c>
      <c r="R54">
        <f t="shared" ref="R54" si="247">R55+Q54</f>
        <v>120044417.43497469</v>
      </c>
      <c r="S54">
        <f t="shared" ref="S54" si="248">R54/100000</f>
        <v>1200.4441743497468</v>
      </c>
      <c r="T54">
        <f t="shared" ref="T54" si="249">S54/1000</f>
        <v>1.2004441743497469</v>
      </c>
    </row>
    <row r="55" spans="1:20" x14ac:dyDescent="0.25">
      <c r="A55" s="5">
        <v>44538</v>
      </c>
      <c r="B55">
        <v>7.27</v>
      </c>
      <c r="C55">
        <v>8.0530000000000008</v>
      </c>
      <c r="D55">
        <v>7.0330000000000004</v>
      </c>
      <c r="E55">
        <v>8.0530000000000008</v>
      </c>
      <c r="F55">
        <v>4421165.8</v>
      </c>
      <c r="G55">
        <v>8.0530000000000008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1</v>
      </c>
      <c r="Q55">
        <f t="shared" ref="Q55" si="251">F55*P55</f>
        <v>4421165.8</v>
      </c>
      <c r="R55">
        <f t="shared" ref="R55" si="252">R56+Q55</f>
        <v>123605659.3327338</v>
      </c>
      <c r="S55">
        <f t="shared" ref="S55" si="253">R55/100000</f>
        <v>1236.0565933273379</v>
      </c>
      <c r="T55">
        <f t="shared" ref="T55" si="254">S55/1000</f>
        <v>1.2360565933273377</v>
      </c>
    </row>
    <row r="56" spans="1:20" x14ac:dyDescent="0.25">
      <c r="A56" s="5">
        <v>44537</v>
      </c>
      <c r="B56">
        <v>7.6239999999999997</v>
      </c>
      <c r="C56">
        <v>7.899</v>
      </c>
      <c r="D56">
        <v>7.1029999999999998</v>
      </c>
      <c r="E56">
        <v>7.2670000000000003</v>
      </c>
      <c r="F56">
        <v>4960216.7</v>
      </c>
      <c r="G56">
        <v>7.2670000000000003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-0.58793969849246097</v>
      </c>
      <c r="Q56">
        <f t="shared" ref="Q56" si="256">F56*P56</f>
        <v>-2916308.31105527</v>
      </c>
      <c r="R56">
        <f t="shared" ref="R56" si="257">R57+Q56</f>
        <v>119184493.5327338</v>
      </c>
      <c r="S56">
        <f t="shared" ref="S56" si="258">R56/100000</f>
        <v>1191.8449353273379</v>
      </c>
      <c r="T56">
        <f t="shared" ref="T56" si="259">S56/1000</f>
        <v>1.1918449353273379</v>
      </c>
    </row>
    <row r="57" spans="1:20" x14ac:dyDescent="0.25">
      <c r="A57" s="5">
        <v>44536</v>
      </c>
      <c r="B57">
        <v>7.84</v>
      </c>
      <c r="C57">
        <v>7.867</v>
      </c>
      <c r="D57">
        <v>6.5510000000000002</v>
      </c>
      <c r="E57">
        <v>7.6260000000000003</v>
      </c>
      <c r="F57">
        <v>6179697</v>
      </c>
      <c r="G57">
        <v>7.6260000000000003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0.63373860182370867</v>
      </c>
      <c r="Q57">
        <f t="shared" ref="Q57" si="261">F57*P57</f>
        <v>3916312.5364741669</v>
      </c>
      <c r="R57">
        <f t="shared" ref="R57" si="262">R58+Q57</f>
        <v>122100801.84378907</v>
      </c>
      <c r="S57">
        <f t="shared" ref="S57" si="263">R57/100000</f>
        <v>1221.0080184378908</v>
      </c>
      <c r="T57">
        <f t="shared" ref="T57" si="264">S57/1000</f>
        <v>1.2210080184378909</v>
      </c>
    </row>
    <row r="58" spans="1:20" x14ac:dyDescent="0.25">
      <c r="A58" s="5">
        <v>44535</v>
      </c>
      <c r="B58">
        <v>8.7569999999999997</v>
      </c>
      <c r="C58">
        <v>8.9</v>
      </c>
      <c r="D58">
        <v>7.5060000000000002</v>
      </c>
      <c r="E58">
        <v>7.84</v>
      </c>
      <c r="F58">
        <v>4357867.2</v>
      </c>
      <c r="G58">
        <v>7.84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-0.52080344332855155</v>
      </c>
      <c r="Q58">
        <f t="shared" ref="Q58" si="266">F58*P58</f>
        <v>-2269592.2433285536</v>
      </c>
      <c r="R58">
        <f t="shared" ref="R58" si="267">R59+Q58</f>
        <v>118184489.3073149</v>
      </c>
      <c r="S58">
        <f t="shared" ref="S58" si="268">R58/100000</f>
        <v>1181.844893073149</v>
      </c>
      <c r="T58">
        <f t="shared" ref="T58" si="269">S58/1000</f>
        <v>1.1818448930731491</v>
      </c>
    </row>
    <row r="59" spans="1:20" x14ac:dyDescent="0.25">
      <c r="A59" s="5">
        <v>44534</v>
      </c>
      <c r="B59">
        <v>10.045</v>
      </c>
      <c r="C59">
        <v>10.11</v>
      </c>
      <c r="D59">
        <v>6.16</v>
      </c>
      <c r="E59">
        <v>8.7569999999999997</v>
      </c>
      <c r="F59">
        <v>8962253.0140000004</v>
      </c>
      <c r="G59">
        <v>8.7569999999999997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0.31493670886075947</v>
      </c>
      <c r="Q59">
        <f t="shared" ref="Q59" si="271">F59*P59</f>
        <v>2822542.4682065821</v>
      </c>
      <c r="R59">
        <f t="shared" ref="R59" si="272">R60+Q59</f>
        <v>120454081.55064346</v>
      </c>
      <c r="S59">
        <f t="shared" ref="S59" si="273">R59/100000</f>
        <v>1204.5408155064347</v>
      </c>
      <c r="T59">
        <f t="shared" ref="T59" si="274">S59/1000</f>
        <v>1.2045408155064348</v>
      </c>
    </row>
    <row r="60" spans="1:20" x14ac:dyDescent="0.25">
      <c r="A60" s="5">
        <v>44533</v>
      </c>
      <c r="B60">
        <v>10.493</v>
      </c>
      <c r="C60">
        <v>10.7</v>
      </c>
      <c r="D60">
        <v>9.3629999999999995</v>
      </c>
      <c r="E60">
        <v>10.039999999999999</v>
      </c>
      <c r="F60">
        <v>3766693.8</v>
      </c>
      <c r="G60">
        <v>10.039999999999999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1.2715033657441633E-2</v>
      </c>
      <c r="Q60">
        <f t="shared" ref="Q60" si="276">F60*P60</f>
        <v>47893.638444276723</v>
      </c>
      <c r="R60">
        <f t="shared" ref="R60" si="277">R61+Q60</f>
        <v>117631539.08243687</v>
      </c>
      <c r="S60">
        <f t="shared" ref="S60" si="278">R60/100000</f>
        <v>1176.3153908243687</v>
      </c>
      <c r="T60">
        <f t="shared" ref="T60" si="279">S60/1000</f>
        <v>1.1763153908243686</v>
      </c>
    </row>
    <row r="61" spans="1:20" x14ac:dyDescent="0.25">
      <c r="A61" s="5">
        <v>44532</v>
      </c>
      <c r="B61">
        <v>10.814</v>
      </c>
      <c r="C61">
        <v>10.843</v>
      </c>
      <c r="D61">
        <v>10.366</v>
      </c>
      <c r="E61">
        <v>10.494999999999999</v>
      </c>
      <c r="F61">
        <v>2433312.7999999998</v>
      </c>
      <c r="G61">
        <v>10.494999999999999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-0.45911949685534809</v>
      </c>
      <c r="Q61">
        <f t="shared" ref="Q61" si="281">F61*P61</f>
        <v>-1117181.3484276782</v>
      </c>
      <c r="R61">
        <f t="shared" ref="R61" si="282">R62+Q61</f>
        <v>117583645.4439926</v>
      </c>
      <c r="S61">
        <f t="shared" ref="S61" si="283">R61/100000</f>
        <v>1175.836454439926</v>
      </c>
      <c r="T61">
        <f t="shared" ref="T61" si="284">S61/1000</f>
        <v>1.175836454439926</v>
      </c>
    </row>
    <row r="62" spans="1:20" x14ac:dyDescent="0.25">
      <c r="A62" s="5">
        <v>44531</v>
      </c>
      <c r="B62">
        <v>11.298</v>
      </c>
      <c r="C62">
        <v>11.648999999999999</v>
      </c>
      <c r="D62">
        <v>10.648999999999999</v>
      </c>
      <c r="E62">
        <v>10.816000000000001</v>
      </c>
      <c r="F62">
        <v>2854285.9</v>
      </c>
      <c r="G62">
        <v>10.816000000000001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-0.66599999999999682</v>
      </c>
      <c r="Q62">
        <f t="shared" ref="Q62" si="286">F62*P62</f>
        <v>-1900954.4093999909</v>
      </c>
      <c r="R62">
        <f t="shared" ref="R62" si="287">R63+Q62</f>
        <v>118700826.79242028</v>
      </c>
      <c r="S62">
        <f t="shared" ref="S62" si="288">R62/100000</f>
        <v>1187.0082679242028</v>
      </c>
      <c r="T62">
        <f t="shared" ref="T62" si="289">S62/1000</f>
        <v>1.1870082679242027</v>
      </c>
    </row>
    <row r="63" spans="1:20" x14ac:dyDescent="0.25">
      <c r="A63" s="5">
        <v>44530</v>
      </c>
      <c r="B63">
        <v>10.659000000000001</v>
      </c>
      <c r="C63">
        <v>11.6</v>
      </c>
      <c r="D63">
        <v>10.145</v>
      </c>
      <c r="E63">
        <v>11.297000000000001</v>
      </c>
      <c r="F63">
        <v>3953150.4</v>
      </c>
      <c r="G63">
        <v>11.297000000000001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0.58350515463917663</v>
      </c>
      <c r="Q63">
        <f t="shared" ref="Q63" si="291">F63*P63</f>
        <v>2306683.6354639228</v>
      </c>
      <c r="R63">
        <f t="shared" ref="R63" si="292">R64+Q63</f>
        <v>120601781.20182027</v>
      </c>
      <c r="S63">
        <f t="shared" ref="S63" si="293">R63/100000</f>
        <v>1206.0178120182027</v>
      </c>
      <c r="T63">
        <f t="shared" ref="T63" si="294">S63/1000</f>
        <v>1.2060178120182026</v>
      </c>
    </row>
    <row r="64" spans="1:20" x14ac:dyDescent="0.25">
      <c r="A64" s="5">
        <v>44529</v>
      </c>
      <c r="B64">
        <v>11.182</v>
      </c>
      <c r="C64">
        <v>11.419</v>
      </c>
      <c r="D64">
        <v>10.57</v>
      </c>
      <c r="E64">
        <v>10.657</v>
      </c>
      <c r="F64">
        <v>2916972.7</v>
      </c>
      <c r="G64">
        <v>10.657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-0.79505300353356956</v>
      </c>
      <c r="Q64">
        <f t="shared" ref="Q64" si="296">F64*P64</f>
        <v>-2319147.906360426</v>
      </c>
      <c r="R64">
        <f t="shared" ref="R64" si="297">R65+Q64</f>
        <v>118295097.56635635</v>
      </c>
      <c r="S64">
        <f t="shared" ref="S64" si="298">R64/100000</f>
        <v>1182.9509756635634</v>
      </c>
      <c r="T64">
        <f t="shared" ref="T64" si="299">S64/1000</f>
        <v>1.1829509756635634</v>
      </c>
    </row>
    <row r="65" spans="1:20" x14ac:dyDescent="0.25">
      <c r="A65" s="5">
        <v>44528</v>
      </c>
      <c r="B65">
        <v>11.227</v>
      </c>
      <c r="C65">
        <v>11.234</v>
      </c>
      <c r="D65">
        <v>10</v>
      </c>
      <c r="E65">
        <v>11.173</v>
      </c>
      <c r="F65">
        <v>3078846.7</v>
      </c>
      <c r="G65">
        <v>11.173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0.90113452188006493</v>
      </c>
      <c r="Q65">
        <f t="shared" ref="Q65" si="301">F65*P65</f>
        <v>2774455.0489465157</v>
      </c>
      <c r="R65">
        <f t="shared" ref="R65" si="302">R66+Q65</f>
        <v>120614245.47271678</v>
      </c>
      <c r="S65">
        <f t="shared" ref="S65" si="303">R65/100000</f>
        <v>1206.1424547271679</v>
      </c>
      <c r="T65">
        <f t="shared" ref="T65" si="304">S65/1000</f>
        <v>1.206142454727168</v>
      </c>
    </row>
    <row r="66" spans="1:20" x14ac:dyDescent="0.25">
      <c r="A66" s="5">
        <v>44527</v>
      </c>
      <c r="B66">
        <v>11.02</v>
      </c>
      <c r="C66">
        <v>12.146000000000001</v>
      </c>
      <c r="D66">
        <v>10.875999999999999</v>
      </c>
      <c r="E66">
        <v>11.231</v>
      </c>
      <c r="F66">
        <v>2559093.5</v>
      </c>
      <c r="G66">
        <v>11.231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-0.44094488188976372</v>
      </c>
      <c r="Q66">
        <f t="shared" ref="Q66" si="306">F66*P66</f>
        <v>-1128419.181102362</v>
      </c>
      <c r="R66">
        <f t="shared" ref="R66" si="307">R67+Q66</f>
        <v>117839790.42377026</v>
      </c>
      <c r="S66">
        <f t="shared" ref="S66" si="308">R66/100000</f>
        <v>1178.3979042377027</v>
      </c>
      <c r="T66">
        <f t="shared" ref="T66" si="309">S66/1000</f>
        <v>1.1783979042377026</v>
      </c>
    </row>
    <row r="67" spans="1:20" x14ac:dyDescent="0.25">
      <c r="A67" s="5">
        <v>44526</v>
      </c>
      <c r="B67">
        <v>12.94</v>
      </c>
      <c r="C67">
        <v>13.525</v>
      </c>
      <c r="D67">
        <v>10.817</v>
      </c>
      <c r="E67">
        <v>11.021000000000001</v>
      </c>
      <c r="F67">
        <v>6877744.2999999998</v>
      </c>
      <c r="G67">
        <v>11.021000000000001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-0.84933530280649883</v>
      </c>
      <c r="Q67">
        <f t="shared" ref="Q67" si="311">F67*P67</f>
        <v>-5841511.0376661709</v>
      </c>
      <c r="R67">
        <f t="shared" ref="R67" si="312">R68+Q67</f>
        <v>118968209.60487263</v>
      </c>
      <c r="S67">
        <f t="shared" ref="S67" si="313">R67/100000</f>
        <v>1189.6820960487262</v>
      </c>
      <c r="T67">
        <f t="shared" ref="T67" si="314">S67/1000</f>
        <v>1.1896820960487262</v>
      </c>
    </row>
    <row r="68" spans="1:20" x14ac:dyDescent="0.25">
      <c r="A68" s="5">
        <v>44525</v>
      </c>
      <c r="B68">
        <v>11.063000000000001</v>
      </c>
      <c r="C68">
        <v>13.1</v>
      </c>
      <c r="D68">
        <v>10.82</v>
      </c>
      <c r="E68">
        <v>12.930999999999999</v>
      </c>
      <c r="F68">
        <v>5242457.7</v>
      </c>
      <c r="G68">
        <v>12.930999999999999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0.85175438596491182</v>
      </c>
      <c r="Q68">
        <f t="shared" ref="Q68" si="316">F68*P68</f>
        <v>4465286.3392105242</v>
      </c>
      <c r="R68">
        <f t="shared" ref="R68" si="317">R69+Q68</f>
        <v>124809720.6425388</v>
      </c>
      <c r="S68">
        <f t="shared" ref="S68" si="318">R68/100000</f>
        <v>1248.0972064253881</v>
      </c>
      <c r="T68">
        <f t="shared" ref="T68" si="319">S68/1000</f>
        <v>1.2480972064253881</v>
      </c>
    </row>
    <row r="69" spans="1:20" x14ac:dyDescent="0.25">
      <c r="A69" s="5">
        <v>44524</v>
      </c>
      <c r="B69">
        <v>10.558</v>
      </c>
      <c r="C69">
        <v>11.3</v>
      </c>
      <c r="D69">
        <v>10.478999999999999</v>
      </c>
      <c r="E69">
        <v>11.271000000000001</v>
      </c>
      <c r="F69">
        <v>1567268.8</v>
      </c>
      <c r="G69">
        <v>11.271000000000001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0.9293544457978079</v>
      </c>
      <c r="Q69">
        <f t="shared" ref="Q69" si="321">F69*P69</f>
        <v>1456548.2270401954</v>
      </c>
      <c r="R69">
        <f t="shared" ref="R69" si="322">R70+Q69</f>
        <v>120344434.30332828</v>
      </c>
      <c r="S69">
        <f t="shared" ref="S69" si="323">R69/100000</f>
        <v>1203.4443430332828</v>
      </c>
      <c r="T69">
        <f t="shared" ref="T69" si="324">S69/1000</f>
        <v>1.2034443430332828</v>
      </c>
    </row>
    <row r="70" spans="1:20" x14ac:dyDescent="0.25">
      <c r="A70" s="5">
        <v>44523</v>
      </c>
      <c r="B70">
        <v>10.329000000000001</v>
      </c>
      <c r="C70">
        <v>10.68</v>
      </c>
      <c r="D70">
        <v>9.9039999999999999</v>
      </c>
      <c r="E70">
        <v>10.555</v>
      </c>
      <c r="F70">
        <v>2873679.9</v>
      </c>
      <c r="G70">
        <v>10.555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0.67783505154639168</v>
      </c>
      <c r="Q70">
        <f t="shared" ref="Q70" si="326">F70*P70</f>
        <v>1947880.9631443296</v>
      </c>
      <c r="R70">
        <f t="shared" ref="R70" si="327">R71+Q70</f>
        <v>118887886.07628807</v>
      </c>
      <c r="S70">
        <f t="shared" ref="S70" si="328">R70/100000</f>
        <v>1188.8788607628808</v>
      </c>
      <c r="T70">
        <f t="shared" ref="T70" si="329">S70/1000</f>
        <v>1.1888788607628809</v>
      </c>
    </row>
    <row r="71" spans="1:20" x14ac:dyDescent="0.25">
      <c r="A71" s="5">
        <v>44522</v>
      </c>
      <c r="B71">
        <v>10.86</v>
      </c>
      <c r="C71">
        <v>11.401999999999999</v>
      </c>
      <c r="D71">
        <v>10.134</v>
      </c>
      <c r="E71">
        <v>10.327999999999999</v>
      </c>
      <c r="F71">
        <v>3542929.1</v>
      </c>
      <c r="G71">
        <v>10.327999999999999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-0.69400630914826622</v>
      </c>
      <c r="Q71">
        <f t="shared" ref="Q71" si="331">F71*P71</f>
        <v>-2458815.1482649888</v>
      </c>
      <c r="R71">
        <f t="shared" ref="R71" si="332">R72+Q71</f>
        <v>116940005.11314374</v>
      </c>
      <c r="S71">
        <f t="shared" ref="S71" si="333">R71/100000</f>
        <v>1169.4000511314375</v>
      </c>
      <c r="T71">
        <f t="shared" ref="T71" si="334">S71/1000</f>
        <v>1.1694000511314375</v>
      </c>
    </row>
    <row r="72" spans="1:20" x14ac:dyDescent="0.25">
      <c r="A72" s="5">
        <v>44521</v>
      </c>
      <c r="B72">
        <v>11.516999999999999</v>
      </c>
      <c r="C72">
        <v>11.566000000000001</v>
      </c>
      <c r="D72">
        <v>10.763</v>
      </c>
      <c r="E72">
        <v>10.847</v>
      </c>
      <c r="F72">
        <v>2144132.1</v>
      </c>
      <c r="G72">
        <v>10.847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-0.79078455790784674</v>
      </c>
      <c r="Q72">
        <f t="shared" ref="Q72" si="336">F72*P72</f>
        <v>-1695546.5547945232</v>
      </c>
      <c r="R72">
        <f t="shared" ref="R72" si="337">R73+Q72</f>
        <v>119398820.26140873</v>
      </c>
      <c r="S72">
        <f t="shared" ref="S72" si="338">R72/100000</f>
        <v>1193.9882026140874</v>
      </c>
      <c r="T72">
        <f t="shared" ref="T72" si="339">S72/1000</f>
        <v>1.1939882026140873</v>
      </c>
    </row>
    <row r="73" spans="1:20" x14ac:dyDescent="0.25">
      <c r="A73" s="5">
        <v>44520</v>
      </c>
      <c r="B73">
        <v>11.119</v>
      </c>
      <c r="C73">
        <v>11.679</v>
      </c>
      <c r="D73">
        <v>10.63</v>
      </c>
      <c r="E73">
        <v>11.516999999999999</v>
      </c>
      <c r="F73">
        <v>3028184.3</v>
      </c>
      <c r="G73">
        <v>11.516999999999999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0.69113441372735773</v>
      </c>
      <c r="Q73">
        <f t="shared" ref="Q73" si="341">F73*P73</f>
        <v>2092882.3808388889</v>
      </c>
      <c r="R73">
        <f t="shared" ref="R73" si="342">R74+Q73</f>
        <v>121094366.81620325</v>
      </c>
      <c r="S73">
        <f t="shared" ref="S73" si="343">R73/100000</f>
        <v>1210.9436681620325</v>
      </c>
      <c r="T73">
        <f t="shared" ref="T73" si="344">S73/1000</f>
        <v>1.2109436681620325</v>
      </c>
    </row>
    <row r="74" spans="1:20" x14ac:dyDescent="0.25">
      <c r="A74" s="5">
        <v>44519</v>
      </c>
      <c r="B74">
        <v>9.7989999999999995</v>
      </c>
      <c r="C74">
        <v>11.215999999999999</v>
      </c>
      <c r="D74">
        <v>9.7119999999999997</v>
      </c>
      <c r="E74">
        <v>11.12</v>
      </c>
      <c r="F74">
        <v>3364736.4</v>
      </c>
      <c r="G74">
        <v>11.12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0.87234042553191471</v>
      </c>
      <c r="Q74">
        <f t="shared" ref="Q74" si="346">F74*P74</f>
        <v>2935195.5829787226</v>
      </c>
      <c r="R74">
        <f t="shared" ref="R74" si="347">R75+Q74</f>
        <v>119001484.43536437</v>
      </c>
      <c r="S74">
        <f t="shared" ref="S74" si="348">R74/100000</f>
        <v>1190.0148443536436</v>
      </c>
      <c r="T74">
        <f t="shared" ref="T74" si="349">S74/1000</f>
        <v>1.1900148443536436</v>
      </c>
    </row>
    <row r="75" spans="1:20" x14ac:dyDescent="0.25">
      <c r="A75" s="5">
        <v>44518</v>
      </c>
      <c r="B75">
        <v>10.878</v>
      </c>
      <c r="C75">
        <v>11.384</v>
      </c>
      <c r="D75">
        <v>9.2349999999999994</v>
      </c>
      <c r="E75">
        <v>9.7949999999999999</v>
      </c>
      <c r="F75">
        <v>6246795.7999999998</v>
      </c>
      <c r="G75">
        <v>9.7949999999999999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-0.47882736156351768</v>
      </c>
      <c r="Q75">
        <f t="shared" ref="Q75" si="351">F75*P75</f>
        <v>-2991136.7511400636</v>
      </c>
      <c r="R75">
        <f t="shared" ref="R75" si="352">R76+Q75</f>
        <v>116066288.85238564</v>
      </c>
      <c r="S75">
        <f t="shared" ref="S75" si="353">R75/100000</f>
        <v>1160.6628885238565</v>
      </c>
      <c r="T75">
        <f t="shared" ref="T75" si="354">S75/1000</f>
        <v>1.1606628885238566</v>
      </c>
    </row>
    <row r="76" spans="1:20" x14ac:dyDescent="0.25">
      <c r="A76" s="5">
        <v>44517</v>
      </c>
      <c r="B76">
        <v>10.82</v>
      </c>
      <c r="C76">
        <v>11.14</v>
      </c>
      <c r="D76">
        <v>10.221</v>
      </c>
      <c r="E76">
        <v>10.881</v>
      </c>
      <c r="F76">
        <v>3572152.3</v>
      </c>
      <c r="G76">
        <v>10.881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0.4363438520130572</v>
      </c>
      <c r="Q76">
        <f t="shared" ref="Q76" si="356">F76*P76</f>
        <v>1558686.6945593017</v>
      </c>
      <c r="R76">
        <f t="shared" ref="R76" si="357">R77+Q76</f>
        <v>119057425.6035257</v>
      </c>
      <c r="S76">
        <f t="shared" ref="S76" si="358">R76/100000</f>
        <v>1190.5742560352569</v>
      </c>
      <c r="T76">
        <f t="shared" ref="T76" si="359">S76/1000</f>
        <v>1.1905742560352568</v>
      </c>
    </row>
    <row r="77" spans="1:20" x14ac:dyDescent="0.25">
      <c r="A77" s="5">
        <v>44516</v>
      </c>
      <c r="B77">
        <v>12.089</v>
      </c>
      <c r="C77">
        <v>12.103</v>
      </c>
      <c r="D77">
        <v>10.173999999999999</v>
      </c>
      <c r="E77">
        <v>10.83</v>
      </c>
      <c r="F77">
        <v>5227362.8</v>
      </c>
      <c r="G77">
        <v>10.83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-0.31985484707102074</v>
      </c>
      <c r="Q77">
        <f t="shared" ref="Q77" si="361">F77*P77</f>
        <v>-1671997.3289787427</v>
      </c>
      <c r="R77">
        <f t="shared" ref="R77" si="362">R78+Q77</f>
        <v>117498738.90896639</v>
      </c>
      <c r="S77">
        <f t="shared" ref="S77" si="363">R77/100000</f>
        <v>1174.987389089664</v>
      </c>
      <c r="T77">
        <f t="shared" ref="T77" si="364">S77/1000</f>
        <v>1.174987389089664</v>
      </c>
    </row>
    <row r="78" spans="1:20" x14ac:dyDescent="0.25">
      <c r="A78" s="5">
        <v>44515</v>
      </c>
      <c r="B78">
        <v>12.638999999999999</v>
      </c>
      <c r="C78">
        <v>13.3</v>
      </c>
      <c r="D78">
        <v>12</v>
      </c>
      <c r="E78">
        <v>12.108000000000001</v>
      </c>
      <c r="F78">
        <v>2580854.1</v>
      </c>
      <c r="G78">
        <v>12.108000000000001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-0.83384615384615313</v>
      </c>
      <c r="Q78">
        <f t="shared" ref="Q78" si="366">F78*P78</f>
        <v>-2152035.2649230752</v>
      </c>
      <c r="R78">
        <f t="shared" ref="R78" si="367">R79+Q78</f>
        <v>119170736.23794514</v>
      </c>
      <c r="S78">
        <f t="shared" ref="S78" si="368">R78/100000</f>
        <v>1191.7073623794513</v>
      </c>
      <c r="T78">
        <f t="shared" ref="T78" si="369">S78/1000</f>
        <v>1.1917073623794514</v>
      </c>
    </row>
    <row r="79" spans="1:20" x14ac:dyDescent="0.25">
      <c r="A79" s="5">
        <v>44514</v>
      </c>
      <c r="B79">
        <v>12.964</v>
      </c>
      <c r="C79">
        <v>13.877000000000001</v>
      </c>
      <c r="D79">
        <v>12.363</v>
      </c>
      <c r="E79">
        <v>12.637</v>
      </c>
      <c r="F79">
        <v>2926179.8</v>
      </c>
      <c r="G79">
        <v>12.637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-0.63804491413474151</v>
      </c>
      <c r="Q79">
        <f t="shared" ref="Q79" si="371">F79*P79</f>
        <v>-1867034.139233815</v>
      </c>
      <c r="R79">
        <f t="shared" ref="R79" si="372">R80+Q79</f>
        <v>121322771.50286822</v>
      </c>
      <c r="S79">
        <f t="shared" ref="S79" si="373">R79/100000</f>
        <v>1213.2277150286823</v>
      </c>
      <c r="T79">
        <f t="shared" ref="T79" si="374">S79/1000</f>
        <v>1.2132277150286823</v>
      </c>
    </row>
    <row r="80" spans="1:20" x14ac:dyDescent="0.25">
      <c r="A80" s="5">
        <v>44513</v>
      </c>
      <c r="B80">
        <v>11.95</v>
      </c>
      <c r="C80">
        <v>13.2</v>
      </c>
      <c r="D80">
        <v>11.802</v>
      </c>
      <c r="E80">
        <v>12.959</v>
      </c>
      <c r="F80">
        <v>2396780.7000000002</v>
      </c>
      <c r="G80">
        <v>12.959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0.65522174535050115</v>
      </c>
      <c r="Q80">
        <f t="shared" ref="Q80" si="376">F80*P80</f>
        <v>1570422.833476396</v>
      </c>
      <c r="R80">
        <f t="shared" ref="R80" si="377">R81+Q80</f>
        <v>123189805.64210203</v>
      </c>
      <c r="S80">
        <f t="shared" ref="S80" si="378">R80/100000</f>
        <v>1231.8980564210203</v>
      </c>
      <c r="T80">
        <f t="shared" ref="T80" si="379">S80/1000</f>
        <v>1.2318980564210202</v>
      </c>
    </row>
    <row r="81" spans="1:20" x14ac:dyDescent="0.25">
      <c r="A81" s="5">
        <v>44512</v>
      </c>
      <c r="B81">
        <v>12.731</v>
      </c>
      <c r="C81">
        <v>13.057</v>
      </c>
      <c r="D81">
        <v>11.717000000000001</v>
      </c>
      <c r="E81">
        <v>11.95</v>
      </c>
      <c r="F81">
        <v>3268159.8</v>
      </c>
      <c r="G81">
        <v>11.95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-0.65223880597015105</v>
      </c>
      <c r="Q81">
        <f t="shared" ref="Q81" si="381">F81*P81</f>
        <v>-2131620.6456716475</v>
      </c>
      <c r="R81">
        <f t="shared" ref="R81" si="382">R82+Q81</f>
        <v>121619382.80862564</v>
      </c>
      <c r="S81">
        <f t="shared" ref="S81" si="383">R81/100000</f>
        <v>1216.1938280862564</v>
      </c>
      <c r="T81">
        <f t="shared" ref="T81" si="384">S81/1000</f>
        <v>1.2161938280862563</v>
      </c>
    </row>
    <row r="82" spans="1:20" x14ac:dyDescent="0.25">
      <c r="A82" s="5">
        <v>44511</v>
      </c>
      <c r="B82">
        <v>12.282999999999999</v>
      </c>
      <c r="C82">
        <v>13.51</v>
      </c>
      <c r="D82">
        <v>12.02</v>
      </c>
      <c r="E82">
        <v>12.737</v>
      </c>
      <c r="F82">
        <v>2927803</v>
      </c>
      <c r="G82">
        <v>12.737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-3.7583892617449099E-2</v>
      </c>
      <c r="Q82">
        <f t="shared" ref="Q82" si="386">F82*P82</f>
        <v>-110038.23355704533</v>
      </c>
      <c r="R82">
        <f t="shared" ref="R82" si="387">R83+Q82</f>
        <v>123751003.45429729</v>
      </c>
      <c r="S82">
        <f t="shared" ref="S82" si="388">R82/100000</f>
        <v>1237.5100345429728</v>
      </c>
      <c r="T82">
        <f t="shared" ref="T82" si="389">S82/1000</f>
        <v>1.2375100345429728</v>
      </c>
    </row>
    <row r="83" spans="1:20" x14ac:dyDescent="0.25">
      <c r="A83" s="5">
        <v>44510</v>
      </c>
      <c r="B83">
        <v>12.869</v>
      </c>
      <c r="C83">
        <v>13.893000000000001</v>
      </c>
      <c r="D83">
        <v>11.712</v>
      </c>
      <c r="E83">
        <v>12.282</v>
      </c>
      <c r="F83">
        <v>5531378.7000000002</v>
      </c>
      <c r="G83">
        <v>12.282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-0.4773039889958734</v>
      </c>
      <c r="Q83">
        <f t="shared" ref="Q83" si="391">F83*P83</f>
        <v>-2640149.1181568084</v>
      </c>
      <c r="R83">
        <f t="shared" ref="R83" si="392">R84+Q83</f>
        <v>123861041.68785433</v>
      </c>
      <c r="S83">
        <f t="shared" ref="S83" si="393">R83/100000</f>
        <v>1238.6104168785434</v>
      </c>
      <c r="T83">
        <f t="shared" ref="T83" si="394">S83/1000</f>
        <v>1.2386104168785435</v>
      </c>
    </row>
    <row r="84" spans="1:20" x14ac:dyDescent="0.25">
      <c r="A84" s="5">
        <v>44509</v>
      </c>
      <c r="B84">
        <v>13.725</v>
      </c>
      <c r="C84">
        <v>13.731999999999999</v>
      </c>
      <c r="D84">
        <v>12.657</v>
      </c>
      <c r="E84">
        <v>12.875</v>
      </c>
      <c r="F84">
        <v>4593477.3</v>
      </c>
      <c r="G84">
        <v>12.875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-0.59441860465116259</v>
      </c>
      <c r="Q84">
        <f t="shared" ref="Q84" si="396">F84*P84</f>
        <v>-2730448.3671627897</v>
      </c>
      <c r="R84">
        <f t="shared" ref="R84" si="397">R85+Q84</f>
        <v>126501190.80601114</v>
      </c>
      <c r="S84">
        <f t="shared" ref="S84" si="398">R84/100000</f>
        <v>1265.0119080601114</v>
      </c>
      <c r="T84">
        <f t="shared" ref="T84" si="399">S84/1000</f>
        <v>1.2650119080601114</v>
      </c>
    </row>
    <row r="85" spans="1:20" x14ac:dyDescent="0.25">
      <c r="A85" s="5">
        <v>44508</v>
      </c>
      <c r="B85">
        <v>14.036</v>
      </c>
      <c r="C85">
        <v>14.221</v>
      </c>
      <c r="D85">
        <v>13.416</v>
      </c>
      <c r="E85">
        <v>13.725</v>
      </c>
      <c r="F85">
        <v>3231000.8</v>
      </c>
      <c r="G85">
        <v>13.725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-0.23229813664596427</v>
      </c>
      <c r="Q85">
        <f t="shared" ref="Q85" si="401">F85*P85</f>
        <v>-750555.4653416198</v>
      </c>
      <c r="R85">
        <f t="shared" ref="R85" si="402">R86+Q85</f>
        <v>129231639.17317393</v>
      </c>
      <c r="S85">
        <f t="shared" ref="S85" si="403">R85/100000</f>
        <v>1292.3163917317393</v>
      </c>
      <c r="T85">
        <f t="shared" ref="T85" si="404">S85/1000</f>
        <v>1.2923163917317393</v>
      </c>
    </row>
    <row r="86" spans="1:20" x14ac:dyDescent="0.25">
      <c r="A86" s="5">
        <v>44507</v>
      </c>
      <c r="B86">
        <v>13.757</v>
      </c>
      <c r="C86">
        <v>14.696</v>
      </c>
      <c r="D86">
        <v>13.618</v>
      </c>
      <c r="E86">
        <v>14.036</v>
      </c>
      <c r="F86">
        <v>2764265</v>
      </c>
      <c r="G86">
        <v>14.036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-0.22448979591836829</v>
      </c>
      <c r="Q86">
        <f t="shared" ref="Q86" si="406">F86*P86</f>
        <v>-620549.28571428836</v>
      </c>
      <c r="R86">
        <f t="shared" ref="R86" si="407">R87+Q86</f>
        <v>129982194.63851555</v>
      </c>
      <c r="S86">
        <f t="shared" ref="S86" si="408">R86/100000</f>
        <v>1299.8219463851556</v>
      </c>
      <c r="T86">
        <f t="shared" ref="T86" si="409">S86/1000</f>
        <v>1.2998219463851555</v>
      </c>
    </row>
    <row r="87" spans="1:20" x14ac:dyDescent="0.25">
      <c r="A87" s="5">
        <v>44506</v>
      </c>
      <c r="B87">
        <v>13.824</v>
      </c>
      <c r="C87">
        <v>14.343999999999999</v>
      </c>
      <c r="D87">
        <v>13.257999999999999</v>
      </c>
      <c r="E87">
        <v>13.763999999999999</v>
      </c>
      <c r="F87">
        <v>2377099.9</v>
      </c>
      <c r="G87">
        <v>13.763999999999999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-6.8139963167587317E-2</v>
      </c>
      <c r="Q87">
        <f t="shared" ref="Q87" si="411">F87*P87</f>
        <v>-161975.49963167548</v>
      </c>
      <c r="R87">
        <f t="shared" ref="R87" si="412">R88+Q87</f>
        <v>130602743.92422983</v>
      </c>
      <c r="S87">
        <f t="shared" ref="S87" si="413">R87/100000</f>
        <v>1306.0274392422982</v>
      </c>
      <c r="T87">
        <f t="shared" ref="T87" si="414">S87/1000</f>
        <v>1.3060274392422981</v>
      </c>
    </row>
    <row r="88" spans="1:20" x14ac:dyDescent="0.25">
      <c r="A88" s="5">
        <v>44505</v>
      </c>
      <c r="B88">
        <v>14.2</v>
      </c>
      <c r="C88">
        <v>14.897</v>
      </c>
      <c r="D88">
        <v>13.414999999999999</v>
      </c>
      <c r="E88">
        <v>13.821</v>
      </c>
      <c r="F88">
        <v>3352828.5</v>
      </c>
      <c r="G88">
        <v>13.821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-0.45209176788124117</v>
      </c>
      <c r="Q88">
        <f t="shared" ref="Q88" si="416">F88*P88</f>
        <v>-1515786.1639676101</v>
      </c>
      <c r="R88">
        <f t="shared" ref="R88" si="417">R89+Q88</f>
        <v>130764719.4238615</v>
      </c>
      <c r="S88">
        <f t="shared" ref="S88" si="418">R88/100000</f>
        <v>1307.6471942386149</v>
      </c>
      <c r="T88">
        <f t="shared" ref="T88" si="419">S88/1000</f>
        <v>1.307647194238615</v>
      </c>
    </row>
    <row r="89" spans="1:20" x14ac:dyDescent="0.25">
      <c r="A89" s="5">
        <v>44504</v>
      </c>
      <c r="B89">
        <v>15.510999999999999</v>
      </c>
      <c r="C89">
        <v>15.510999999999999</v>
      </c>
      <c r="D89">
        <v>14.05</v>
      </c>
      <c r="E89">
        <v>14.2</v>
      </c>
      <c r="F89">
        <v>3943440.2</v>
      </c>
      <c r="G89">
        <v>14.2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-0.79466119096509413</v>
      </c>
      <c r="Q89">
        <f t="shared" ref="Q89" si="421">F89*P89</f>
        <v>-3133698.8858316289</v>
      </c>
      <c r="R89">
        <f t="shared" ref="R89" si="422">R90+Q89</f>
        <v>132280505.58782911</v>
      </c>
      <c r="S89">
        <f t="shared" ref="S89" si="423">R89/100000</f>
        <v>1322.8050558782911</v>
      </c>
      <c r="T89">
        <f t="shared" ref="T89" si="424">S89/1000</f>
        <v>1.3228050558782911</v>
      </c>
    </row>
    <row r="90" spans="1:20" x14ac:dyDescent="0.25">
      <c r="A90" s="5">
        <v>44503</v>
      </c>
      <c r="B90">
        <v>16.574000000000002</v>
      </c>
      <c r="C90">
        <v>17.209</v>
      </c>
      <c r="D90">
        <v>15.436999999999999</v>
      </c>
      <c r="E90">
        <v>15.489000000000001</v>
      </c>
      <c r="F90">
        <v>4252051.0999999996</v>
      </c>
      <c r="G90">
        <v>15.489000000000001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-0.9413092550790052</v>
      </c>
      <c r="Q90">
        <f t="shared" ref="Q90" si="426">F90*P90</f>
        <v>-4002495.0534988642</v>
      </c>
      <c r="R90">
        <f t="shared" ref="R90" si="427">R91+Q90</f>
        <v>135414204.47366074</v>
      </c>
      <c r="S90">
        <f t="shared" ref="S90" si="428">R90/100000</f>
        <v>1354.1420447366074</v>
      </c>
      <c r="T90">
        <f t="shared" ref="T90" si="429">S90/1000</f>
        <v>1.3541420447366075</v>
      </c>
    </row>
    <row r="91" spans="1:20" x14ac:dyDescent="0.25">
      <c r="A91" s="5">
        <v>44502</v>
      </c>
      <c r="B91">
        <v>15.848000000000001</v>
      </c>
      <c r="C91">
        <v>17.27</v>
      </c>
      <c r="D91">
        <v>15.836</v>
      </c>
      <c r="E91">
        <v>16.574999999999999</v>
      </c>
      <c r="F91">
        <v>3626537.213</v>
      </c>
      <c r="G91">
        <v>16.574999999999999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3.0683403068339419E-2</v>
      </c>
      <c r="Q91">
        <f t="shared" ref="Q91" si="431">F91*P91</f>
        <v>111274.50304881128</v>
      </c>
      <c r="R91">
        <f t="shared" ref="R91" si="432">R92+Q91</f>
        <v>139416699.5271596</v>
      </c>
      <c r="S91">
        <f t="shared" ref="S91" si="433">R91/100000</f>
        <v>1394.1669952715961</v>
      </c>
      <c r="T91">
        <f t="shared" ref="T91" si="434">S91/1000</f>
        <v>1.394166995271596</v>
      </c>
    </row>
    <row r="92" spans="1:20" x14ac:dyDescent="0.25">
      <c r="A92" s="5">
        <v>44501</v>
      </c>
      <c r="B92">
        <v>14.839</v>
      </c>
      <c r="C92">
        <v>16.856999999999999</v>
      </c>
      <c r="D92">
        <v>14.212</v>
      </c>
      <c r="E92">
        <v>15.843999999999999</v>
      </c>
      <c r="F92">
        <v>8816304.0140000004</v>
      </c>
      <c r="G92">
        <v>15.843999999999999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0.23402646502835533</v>
      </c>
      <c r="Q92">
        <f t="shared" ref="Q92" si="436">F92*P92</f>
        <v>2063248.4630117198</v>
      </c>
      <c r="R92">
        <f t="shared" ref="R92" si="437">R93+Q92</f>
        <v>139305425.02411079</v>
      </c>
      <c r="S92">
        <f t="shared" ref="S92" si="438">R92/100000</f>
        <v>1393.0542502411079</v>
      </c>
      <c r="T92">
        <f t="shared" ref="T92" si="439">S92/1000</f>
        <v>1.3930542502411078</v>
      </c>
    </row>
    <row r="93" spans="1:20" x14ac:dyDescent="0.25">
      <c r="A93" s="5">
        <v>44500</v>
      </c>
      <c r="B93">
        <v>14.042999999999999</v>
      </c>
      <c r="C93">
        <v>14.85</v>
      </c>
      <c r="D93">
        <v>13.05</v>
      </c>
      <c r="E93">
        <v>14.85</v>
      </c>
      <c r="F93">
        <v>2981461.6</v>
      </c>
      <c r="G93">
        <v>14.85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1</v>
      </c>
      <c r="Q93">
        <f t="shared" ref="Q93" si="441">F93*P93</f>
        <v>2981461.6</v>
      </c>
      <c r="R93">
        <f t="shared" ref="R93" si="442">R94+Q93</f>
        <v>137242176.56109908</v>
      </c>
      <c r="S93">
        <f t="shared" ref="S93" si="443">R93/100000</f>
        <v>1372.4217656109909</v>
      </c>
      <c r="T93">
        <f t="shared" ref="T93" si="444">S93/1000</f>
        <v>1.3724217656109909</v>
      </c>
    </row>
    <row r="94" spans="1:20" x14ac:dyDescent="0.25">
      <c r="A94" s="5">
        <v>44499</v>
      </c>
      <c r="B94">
        <v>13.571999999999999</v>
      </c>
      <c r="C94">
        <v>15</v>
      </c>
      <c r="D94">
        <v>13.46</v>
      </c>
      <c r="E94">
        <v>14.042999999999999</v>
      </c>
      <c r="F94">
        <v>4735971.3550000004</v>
      </c>
      <c r="G94">
        <v>14.042999999999999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-0.24285714285714449</v>
      </c>
      <c r="Q94">
        <f t="shared" ref="Q94" si="446">F94*P94</f>
        <v>-1150164.4719285793</v>
      </c>
      <c r="R94">
        <f t="shared" ref="R94" si="447">R95+Q94</f>
        <v>134260714.96109909</v>
      </c>
      <c r="S94">
        <f t="shared" ref="S94" si="448">R94/100000</f>
        <v>1342.607149610991</v>
      </c>
      <c r="T94">
        <f t="shared" ref="T94" si="449">S94/1000</f>
        <v>1.342607149610991</v>
      </c>
    </row>
    <row r="95" spans="1:20" x14ac:dyDescent="0.25">
      <c r="A95" s="5">
        <v>44498</v>
      </c>
      <c r="B95">
        <v>13.22</v>
      </c>
      <c r="C95">
        <v>14.2</v>
      </c>
      <c r="D95">
        <v>12.762</v>
      </c>
      <c r="E95">
        <v>13.566000000000001</v>
      </c>
      <c r="F95">
        <v>3723474.8360000001</v>
      </c>
      <c r="G95">
        <v>13.566000000000001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0.11821974965229613</v>
      </c>
      <c r="Q95">
        <f t="shared" ref="Q95" si="451">F95*P95</f>
        <v>440188.2629485444</v>
      </c>
      <c r="R95">
        <f t="shared" ref="R95" si="452">R96+Q95</f>
        <v>135410879.43302765</v>
      </c>
      <c r="S95">
        <f t="shared" ref="S95" si="453">R95/100000</f>
        <v>1354.1087943302766</v>
      </c>
      <c r="T95">
        <f t="shared" ref="T95" si="454">S95/1000</f>
        <v>1.3541087943302765</v>
      </c>
    </row>
    <row r="96" spans="1:20" x14ac:dyDescent="0.25">
      <c r="A96" s="5">
        <v>44497</v>
      </c>
      <c r="B96">
        <v>12.301</v>
      </c>
      <c r="C96">
        <v>13.56</v>
      </c>
      <c r="D96">
        <v>11.8</v>
      </c>
      <c r="E96">
        <v>13.231999999999999</v>
      </c>
      <c r="F96">
        <v>5144525.5</v>
      </c>
      <c r="G96">
        <v>13.231999999999999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0.62727272727272587</v>
      </c>
      <c r="Q96">
        <f t="shared" ref="Q96" si="456">F96*P96</f>
        <v>3227020.5409090836</v>
      </c>
      <c r="R96">
        <f t="shared" ref="R96" si="457">R97+Q96</f>
        <v>134970691.17007911</v>
      </c>
      <c r="S96">
        <f t="shared" ref="S96" si="458">R96/100000</f>
        <v>1349.7069117007911</v>
      </c>
      <c r="T96">
        <f t="shared" ref="T96" si="459">S96/1000</f>
        <v>1.3497069117007912</v>
      </c>
    </row>
    <row r="97" spans="1:20" x14ac:dyDescent="0.25">
      <c r="A97" s="5">
        <v>44496</v>
      </c>
      <c r="B97">
        <v>12.49</v>
      </c>
      <c r="C97">
        <v>13.5</v>
      </c>
      <c r="D97">
        <v>11.064</v>
      </c>
      <c r="E97">
        <v>12.3</v>
      </c>
      <c r="F97">
        <v>8106477.7000000002</v>
      </c>
      <c r="G97">
        <v>12.3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1.4778325123153269E-2</v>
      </c>
      <c r="Q97">
        <f t="shared" ref="Q97" si="461">F97*P97</f>
        <v>119800.16305419173</v>
      </c>
      <c r="R97">
        <f t="shared" ref="R97" si="462">R98+Q97</f>
        <v>131743670.62917002</v>
      </c>
      <c r="S97">
        <f t="shared" ref="S97" si="463">R97/100000</f>
        <v>1317.4367062917001</v>
      </c>
      <c r="T97">
        <f t="shared" ref="T97" si="464">S97/1000</f>
        <v>1.3174367062917001</v>
      </c>
    </row>
    <row r="98" spans="1:20" x14ac:dyDescent="0.25">
      <c r="A98" s="5">
        <v>44495</v>
      </c>
      <c r="B98">
        <v>13.839</v>
      </c>
      <c r="C98">
        <v>13.981</v>
      </c>
      <c r="D98">
        <v>12.103</v>
      </c>
      <c r="E98">
        <v>12.483000000000001</v>
      </c>
      <c r="F98">
        <v>4547167.4450000003</v>
      </c>
      <c r="G98">
        <v>12.483000000000001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-0.59531416400425907</v>
      </c>
      <c r="Q98">
        <f t="shared" ref="Q98" si="466">F98*P98</f>
        <v>-2706993.1861075577</v>
      </c>
      <c r="R98">
        <f t="shared" ref="R98" si="467">R99+Q98</f>
        <v>131623870.46611582</v>
      </c>
      <c r="S98">
        <f t="shared" ref="S98" si="468">R98/100000</f>
        <v>1316.2387046611582</v>
      </c>
      <c r="T98">
        <f t="shared" ref="T98" si="469">S98/1000</f>
        <v>1.3162387046611581</v>
      </c>
    </row>
    <row r="99" spans="1:20" x14ac:dyDescent="0.25">
      <c r="A99" s="5">
        <v>44494</v>
      </c>
      <c r="B99">
        <v>12.425000000000001</v>
      </c>
      <c r="C99">
        <v>13.88</v>
      </c>
      <c r="D99">
        <v>12.334</v>
      </c>
      <c r="E99">
        <v>13.839</v>
      </c>
      <c r="F99">
        <v>8064953.3799999999</v>
      </c>
      <c r="G99">
        <v>13.839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0.94695989650711465</v>
      </c>
      <c r="Q99">
        <f t="shared" ref="Q99" si="471">F99*P99</f>
        <v>7637187.4180595046</v>
      </c>
      <c r="R99">
        <f t="shared" ref="R99" si="472">R100+Q99</f>
        <v>134330863.65222338</v>
      </c>
      <c r="S99">
        <f t="shared" ref="S99" si="473">R99/100000</f>
        <v>1343.3086365222339</v>
      </c>
      <c r="T99">
        <f t="shared" ref="T99" si="474">S99/1000</f>
        <v>1.343308636522234</v>
      </c>
    </row>
    <row r="100" spans="1:20" x14ac:dyDescent="0.25">
      <c r="A100" s="5">
        <v>44493</v>
      </c>
      <c r="B100">
        <v>10.882</v>
      </c>
      <c r="C100">
        <v>12.48</v>
      </c>
      <c r="D100">
        <v>10.856999999999999</v>
      </c>
      <c r="E100">
        <v>12.417999999999999</v>
      </c>
      <c r="F100">
        <v>7486266.1160000004</v>
      </c>
      <c r="G100">
        <v>12.417999999999999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0.92359827479975221</v>
      </c>
      <c r="Q100">
        <f t="shared" ref="Q100" si="476">F100*P100</f>
        <v>6914302.4694294417</v>
      </c>
      <c r="R100">
        <f t="shared" ref="R100" si="477">R101+Q100</f>
        <v>126693676.23416388</v>
      </c>
      <c r="S100">
        <f t="shared" ref="S100" si="478">R100/100000</f>
        <v>1266.9367623416388</v>
      </c>
      <c r="T100">
        <f t="shared" ref="T100" si="479">S100/1000</f>
        <v>1.2669367623416388</v>
      </c>
    </row>
    <row r="101" spans="1:20" x14ac:dyDescent="0.25">
      <c r="A101" s="5">
        <v>44492</v>
      </c>
      <c r="B101">
        <v>10.865</v>
      </c>
      <c r="C101">
        <v>11.632</v>
      </c>
      <c r="D101">
        <v>10.500999999999999</v>
      </c>
      <c r="E101">
        <v>10.88</v>
      </c>
      <c r="F101">
        <v>4982383</v>
      </c>
      <c r="G101">
        <v>10.88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-0.32979664014146548</v>
      </c>
      <c r="Q101">
        <f t="shared" ref="Q101" si="481">F101*P101</f>
        <v>-1643173.1732979552</v>
      </c>
      <c r="R101">
        <f t="shared" ref="R101" si="482">R102+Q101</f>
        <v>119779373.76473443</v>
      </c>
      <c r="S101">
        <f t="shared" ref="S101" si="483">R101/100000</f>
        <v>1197.7937376473444</v>
      </c>
      <c r="T101">
        <f t="shared" ref="T101" si="484">S101/1000</f>
        <v>1.1977937376473444</v>
      </c>
    </row>
    <row r="102" spans="1:20" x14ac:dyDescent="0.25">
      <c r="A102" s="5">
        <v>44491</v>
      </c>
      <c r="B102">
        <v>9.2720000000000002</v>
      </c>
      <c r="C102">
        <v>11.34</v>
      </c>
      <c r="D102">
        <v>9.0180000000000007</v>
      </c>
      <c r="E102">
        <v>10.859</v>
      </c>
      <c r="F102">
        <v>16821443.600000001</v>
      </c>
      <c r="G102">
        <v>10.859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0.58570198105081828</v>
      </c>
      <c r="Q102">
        <f t="shared" ref="Q102" si="486">F102*P102</f>
        <v>9852352.8406546097</v>
      </c>
      <c r="R102">
        <f t="shared" ref="R102" si="487">R103+Q102</f>
        <v>121422546.93803239</v>
      </c>
      <c r="S102">
        <f t="shared" ref="S102" si="488">R102/100000</f>
        <v>1214.2254693803238</v>
      </c>
      <c r="T102">
        <f t="shared" ref="T102" si="489">S102/1000</f>
        <v>1.2142254693803238</v>
      </c>
    </row>
    <row r="103" spans="1:20" x14ac:dyDescent="0.25">
      <c r="A103" s="5">
        <v>44490</v>
      </c>
      <c r="B103">
        <v>7.9640000000000004</v>
      </c>
      <c r="C103">
        <v>9.5229999999999997</v>
      </c>
      <c r="D103">
        <v>7.944</v>
      </c>
      <c r="E103">
        <v>9.2750000000000004</v>
      </c>
      <c r="F103">
        <v>8971770.9000000004</v>
      </c>
      <c r="G103">
        <v>9.2750000000000004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0.68587713742875311</v>
      </c>
      <c r="Q103">
        <f t="shared" ref="Q103" si="491">F103*P103</f>
        <v>6153532.5425585881</v>
      </c>
      <c r="R103">
        <f t="shared" ref="R103" si="492">R104+Q103</f>
        <v>111570194.09737778</v>
      </c>
      <c r="S103">
        <f t="shared" ref="S103" si="493">R103/100000</f>
        <v>1115.7019409737777</v>
      </c>
      <c r="T103">
        <f t="shared" ref="T103" si="494">S103/1000</f>
        <v>1.1157019409737776</v>
      </c>
    </row>
    <row r="104" spans="1:20" x14ac:dyDescent="0.25">
      <c r="A104" s="5">
        <v>44489</v>
      </c>
      <c r="B104">
        <v>7.4779999999999998</v>
      </c>
      <c r="C104">
        <v>8.1</v>
      </c>
      <c r="D104">
        <v>7.2960000000000003</v>
      </c>
      <c r="E104">
        <v>7.968</v>
      </c>
      <c r="F104">
        <v>3030650</v>
      </c>
      <c r="G104">
        <v>7.968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0.67164179104477673</v>
      </c>
      <c r="Q104">
        <f t="shared" ref="Q104" si="496">F104*P104</f>
        <v>2035511.1940298525</v>
      </c>
      <c r="R104">
        <f t="shared" ref="R104" si="497">R105+Q104</f>
        <v>105416661.5548192</v>
      </c>
      <c r="S104">
        <f t="shared" ref="S104" si="498">R104/100000</f>
        <v>1054.1666155481919</v>
      </c>
      <c r="T104">
        <f t="shared" ref="T104" si="499">S104/1000</f>
        <v>1.0541666155481919</v>
      </c>
    </row>
    <row r="105" spans="1:20" x14ac:dyDescent="0.25">
      <c r="A105" s="5">
        <v>44488</v>
      </c>
      <c r="B105">
        <v>7.6719999999999997</v>
      </c>
      <c r="C105">
        <v>7.8079999999999998</v>
      </c>
      <c r="D105">
        <v>7.0919999999999996</v>
      </c>
      <c r="E105">
        <v>7.4770000000000003</v>
      </c>
      <c r="F105">
        <v>3506818.2</v>
      </c>
      <c r="G105">
        <v>7.4770000000000003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7.5418994413409421E-2</v>
      </c>
      <c r="Q105">
        <f t="shared" ref="Q105" si="501">F105*P105</f>
        <v>264480.70223464252</v>
      </c>
      <c r="R105">
        <f t="shared" ref="R105" si="502">R106+Q105</f>
        <v>103381150.36078934</v>
      </c>
      <c r="S105">
        <f t="shared" ref="S105" si="503">R105/100000</f>
        <v>1033.8115036078934</v>
      </c>
      <c r="T105">
        <f t="shared" ref="T105" si="504">S105/1000</f>
        <v>1.0338115036078934</v>
      </c>
    </row>
    <row r="106" spans="1:20" x14ac:dyDescent="0.25">
      <c r="A106" s="5">
        <v>44487</v>
      </c>
      <c r="B106">
        <v>7.7590000000000003</v>
      </c>
      <c r="C106">
        <v>7.9569999999999999</v>
      </c>
      <c r="D106">
        <v>7.4390000000000001</v>
      </c>
      <c r="E106">
        <v>7.6710000000000003</v>
      </c>
      <c r="F106">
        <v>1826005.2</v>
      </c>
      <c r="G106">
        <v>7.6710000000000003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-0.1042471042471031</v>
      </c>
      <c r="Q106">
        <f t="shared" ref="Q106" si="506">F106*P106</f>
        <v>-190355.75444015232</v>
      </c>
      <c r="R106">
        <f t="shared" ref="R106" si="507">R107+Q106</f>
        <v>103116669.6585547</v>
      </c>
      <c r="S106">
        <f t="shared" ref="S106" si="508">R106/100000</f>
        <v>1031.166696585547</v>
      </c>
      <c r="T106">
        <f t="shared" ref="T106" si="509">S106/1000</f>
        <v>1.031166696585547</v>
      </c>
    </row>
    <row r="107" spans="1:20" x14ac:dyDescent="0.25">
      <c r="A107" s="5">
        <v>44486</v>
      </c>
      <c r="B107">
        <v>8.0679999999999996</v>
      </c>
      <c r="C107">
        <v>8.1170000000000009</v>
      </c>
      <c r="D107">
        <v>7.375</v>
      </c>
      <c r="E107">
        <v>7.7569999999999997</v>
      </c>
      <c r="F107">
        <v>1800846.8</v>
      </c>
      <c r="G107">
        <v>7.7569999999999997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2.9649595687329434E-2</v>
      </c>
      <c r="Q107">
        <f t="shared" ref="Q107" si="511">F107*P107</f>
        <v>53394.379514821012</v>
      </c>
      <c r="R107">
        <f t="shared" ref="R107" si="512">R108+Q107</f>
        <v>103307025.41299486</v>
      </c>
      <c r="S107">
        <f t="shared" ref="S107" si="513">R107/100000</f>
        <v>1033.0702541299486</v>
      </c>
      <c r="T107">
        <f t="shared" ref="T107" si="514">S107/1000</f>
        <v>1.0330702541299486</v>
      </c>
    </row>
    <row r="108" spans="1:20" x14ac:dyDescent="0.25">
      <c r="A108" s="5">
        <v>44485</v>
      </c>
      <c r="B108">
        <v>7.9889999999999999</v>
      </c>
      <c r="C108">
        <v>8.4960000000000004</v>
      </c>
      <c r="D108">
        <v>7.827</v>
      </c>
      <c r="E108">
        <v>8.0670000000000002</v>
      </c>
      <c r="F108">
        <v>2596941.4</v>
      </c>
      <c r="G108">
        <v>8.0670000000000002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-0.28251121076233171</v>
      </c>
      <c r="Q108">
        <f t="shared" ref="Q108" si="516">F108*P108</f>
        <v>-733665.05919282476</v>
      </c>
      <c r="R108">
        <f t="shared" ref="R108" si="517">R109+Q108</f>
        <v>103253631.03348003</v>
      </c>
      <c r="S108">
        <f t="shared" ref="S108" si="518">R108/100000</f>
        <v>1032.5363103348004</v>
      </c>
      <c r="T108">
        <f t="shared" ref="T108" si="519">S108/1000</f>
        <v>1.0325363103348004</v>
      </c>
    </row>
    <row r="109" spans="1:20" x14ac:dyDescent="0.25">
      <c r="A109" s="5">
        <v>44484</v>
      </c>
      <c r="B109">
        <v>7.7439999999999998</v>
      </c>
      <c r="C109">
        <v>8.1959999999999997</v>
      </c>
      <c r="D109">
        <v>7.5460000000000003</v>
      </c>
      <c r="E109">
        <v>7.9880000000000004</v>
      </c>
      <c r="F109">
        <v>4086474.8</v>
      </c>
      <c r="G109">
        <v>7.9880000000000004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0.36000000000000165</v>
      </c>
      <c r="Q109">
        <f t="shared" ref="Q109" si="521">F109*P109</f>
        <v>1471130.9280000066</v>
      </c>
      <c r="R109">
        <f t="shared" ref="R109" si="522">R110+Q109</f>
        <v>103987296.09267285</v>
      </c>
      <c r="S109">
        <f t="shared" ref="S109" si="523">R109/100000</f>
        <v>1039.8729609267286</v>
      </c>
      <c r="T109">
        <f t="shared" ref="T109" si="524">S109/1000</f>
        <v>1.0398729609267285</v>
      </c>
    </row>
    <row r="110" spans="1:20" x14ac:dyDescent="0.25">
      <c r="A110" s="5">
        <v>44483</v>
      </c>
      <c r="B110">
        <v>7.3220000000000001</v>
      </c>
      <c r="C110">
        <v>7.8529999999999998</v>
      </c>
      <c r="D110">
        <v>7.266</v>
      </c>
      <c r="E110">
        <v>7.7430000000000003</v>
      </c>
      <c r="F110">
        <v>2850165.9</v>
      </c>
      <c r="G110">
        <v>7.7430000000000003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0.62521294718909892</v>
      </c>
      <c r="Q110">
        <f t="shared" ref="Q110" si="526">F110*P110</f>
        <v>1781960.6223168706</v>
      </c>
      <c r="R110">
        <f t="shared" ref="R110" si="527">R111+Q110</f>
        <v>102516165.16467285</v>
      </c>
      <c r="S110">
        <f t="shared" ref="S110" si="528">R110/100000</f>
        <v>1025.1616516467286</v>
      </c>
      <c r="T110">
        <f t="shared" ref="T110" si="529">S110/1000</f>
        <v>1.0251616516467286</v>
      </c>
    </row>
    <row r="111" spans="1:20" x14ac:dyDescent="0.25">
      <c r="A111" s="5">
        <v>44482</v>
      </c>
      <c r="B111">
        <v>7.2610000000000001</v>
      </c>
      <c r="C111">
        <v>7.5049999999999999</v>
      </c>
      <c r="D111">
        <v>6.9939999999999998</v>
      </c>
      <c r="E111">
        <v>7.3220000000000001</v>
      </c>
      <c r="F111">
        <v>3324236.9</v>
      </c>
      <c r="G111">
        <v>7.3220000000000001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0.28375733855185992</v>
      </c>
      <c r="Q111">
        <f t="shared" ref="Q111" si="531">F111*P111</f>
        <v>943276.61545988522</v>
      </c>
      <c r="R111">
        <f t="shared" ref="R111" si="532">R112+Q111</f>
        <v>100734204.54235598</v>
      </c>
      <c r="S111">
        <f t="shared" ref="S111" si="533">R111/100000</f>
        <v>1007.3420454235599</v>
      </c>
      <c r="T111">
        <f t="shared" ref="T111" si="534">S111/1000</f>
        <v>1.0073420454235598</v>
      </c>
    </row>
    <row r="112" spans="1:20" x14ac:dyDescent="0.25">
      <c r="A112" s="5">
        <v>44481</v>
      </c>
      <c r="B112">
        <v>7.4260000000000002</v>
      </c>
      <c r="C112">
        <v>7.4279999999999999</v>
      </c>
      <c r="D112">
        <v>6.8449999999999998</v>
      </c>
      <c r="E112">
        <v>7.2560000000000002</v>
      </c>
      <c r="F112">
        <v>3369249</v>
      </c>
      <c r="G112">
        <v>7.2560000000000002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0.40994854202401493</v>
      </c>
      <c r="Q112">
        <f t="shared" ref="Q112" si="536">F112*P112</f>
        <v>1381218.7152658703</v>
      </c>
      <c r="R112">
        <f t="shared" ref="R112" si="537">R113+Q112</f>
        <v>99790927.926896095</v>
      </c>
      <c r="S112">
        <f t="shared" ref="S112" si="538">R112/100000</f>
        <v>997.90927926896097</v>
      </c>
      <c r="T112">
        <f t="shared" ref="T112" si="539">S112/1000</f>
        <v>0.997909279268961</v>
      </c>
    </row>
    <row r="113" spans="1:20" x14ac:dyDescent="0.25">
      <c r="A113" s="5">
        <v>44480</v>
      </c>
      <c r="B113">
        <v>7.4969999999999999</v>
      </c>
      <c r="C113">
        <v>7.97</v>
      </c>
      <c r="D113">
        <v>7.2640000000000002</v>
      </c>
      <c r="E113">
        <v>7.431</v>
      </c>
      <c r="F113">
        <v>2745739.4</v>
      </c>
      <c r="G113">
        <v>7.431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-0.52691218130311634</v>
      </c>
      <c r="Q113">
        <f t="shared" ref="Q113" si="541">F113*P113</f>
        <v>-1446763.5365439099</v>
      </c>
      <c r="R113">
        <f t="shared" ref="R113" si="542">R114+Q113</f>
        <v>98409709.211630225</v>
      </c>
      <c r="S113">
        <f t="shared" ref="S113" si="543">R113/100000</f>
        <v>984.09709211630229</v>
      </c>
      <c r="T113">
        <f t="shared" ref="T113" si="544">S113/1000</f>
        <v>0.98409709211630225</v>
      </c>
    </row>
    <row r="114" spans="1:20" x14ac:dyDescent="0.25">
      <c r="A114" s="5">
        <v>44479</v>
      </c>
      <c r="B114">
        <v>8.11</v>
      </c>
      <c r="C114">
        <v>8.2769999999999992</v>
      </c>
      <c r="D114">
        <v>7.44</v>
      </c>
      <c r="E114">
        <v>7.4950000000000001</v>
      </c>
      <c r="F114">
        <v>2690860.2</v>
      </c>
      <c r="G114">
        <v>7.4950000000000001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-0.86857825567503033</v>
      </c>
      <c r="Q114">
        <f t="shared" ref="Q114" si="546">F114*P114</f>
        <v>-2337222.6587813636</v>
      </c>
      <c r="R114">
        <f t="shared" ref="R114" si="547">R115+Q114</f>
        <v>99856472.748174131</v>
      </c>
      <c r="S114">
        <f t="shared" ref="S114" si="548">R114/100000</f>
        <v>998.56472748174133</v>
      </c>
      <c r="T114">
        <f t="shared" ref="T114" si="549">S114/1000</f>
        <v>0.9985647274817413</v>
      </c>
    </row>
    <row r="115" spans="1:20" x14ac:dyDescent="0.25">
      <c r="A115" s="5">
        <v>44478</v>
      </c>
      <c r="B115">
        <v>8.3260000000000005</v>
      </c>
      <c r="C115">
        <v>8.4160000000000004</v>
      </c>
      <c r="D115">
        <v>8.0109999999999992</v>
      </c>
      <c r="E115">
        <v>8.1170000000000009</v>
      </c>
      <c r="F115">
        <v>1911931.8</v>
      </c>
      <c r="G115">
        <v>8.1170000000000009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-0.47654320987653653</v>
      </c>
      <c r="Q115">
        <f t="shared" ref="Q115" si="551">F115*P115</f>
        <v>-911118.11703702435</v>
      </c>
      <c r="R115">
        <f t="shared" ref="R115" si="552">R116+Q115</f>
        <v>102193695.4069555</v>
      </c>
      <c r="S115">
        <f t="shared" ref="S115" si="553">R115/100000</f>
        <v>1021.936954069555</v>
      </c>
      <c r="T115">
        <f t="shared" ref="T115" si="554">S115/1000</f>
        <v>1.0219369540695551</v>
      </c>
    </row>
    <row r="116" spans="1:20" x14ac:dyDescent="0.25">
      <c r="A116" s="5">
        <v>44477</v>
      </c>
      <c r="B116">
        <v>8.4760000000000009</v>
      </c>
      <c r="C116">
        <v>8.8539999999999992</v>
      </c>
      <c r="D116">
        <v>8.1709999999999994</v>
      </c>
      <c r="E116">
        <v>8.3230000000000004</v>
      </c>
      <c r="F116">
        <v>3076765.1</v>
      </c>
      <c r="G116">
        <v>8.3230000000000004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-0.5549048316251799</v>
      </c>
      <c r="Q116">
        <f t="shared" ref="Q116" si="556">F116*P116</f>
        <v>-1707311.8197657298</v>
      </c>
      <c r="R116">
        <f t="shared" ref="R116" si="557">R117+Q116</f>
        <v>103104813.52399252</v>
      </c>
      <c r="S116">
        <f t="shared" ref="S116" si="558">R116/100000</f>
        <v>1031.0481352399252</v>
      </c>
      <c r="T116">
        <f t="shared" ref="T116" si="559">S116/1000</f>
        <v>1.0310481352399252</v>
      </c>
    </row>
    <row r="117" spans="1:20" x14ac:dyDescent="0.25">
      <c r="A117" s="5">
        <v>44476</v>
      </c>
      <c r="B117">
        <v>8.6210000000000004</v>
      </c>
      <c r="C117">
        <v>8.7850000000000001</v>
      </c>
      <c r="D117">
        <v>8.2889999999999997</v>
      </c>
      <c r="E117">
        <v>8.4719999999999995</v>
      </c>
      <c r="F117">
        <v>3061871.5</v>
      </c>
      <c r="G117">
        <v>8.4719999999999995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-0.26209677419354971</v>
      </c>
      <c r="Q117">
        <f t="shared" ref="Q117" si="561">F117*P117</f>
        <v>-802506.64314516529</v>
      </c>
      <c r="R117">
        <f t="shared" ref="R117" si="562">R118+Q117</f>
        <v>104812125.34375826</v>
      </c>
      <c r="S117">
        <f t="shared" ref="S117" si="563">R117/100000</f>
        <v>1048.1212534375825</v>
      </c>
      <c r="T117">
        <f t="shared" ref="T117" si="564">S117/1000</f>
        <v>1.0481212534375826</v>
      </c>
    </row>
    <row r="118" spans="1:20" x14ac:dyDescent="0.25">
      <c r="A118" s="5">
        <v>44475</v>
      </c>
      <c r="B118">
        <v>8.9220000000000006</v>
      </c>
      <c r="C118">
        <v>8.9499999999999993</v>
      </c>
      <c r="D118">
        <v>8.0950000000000006</v>
      </c>
      <c r="E118">
        <v>8.6150000000000002</v>
      </c>
      <c r="F118">
        <v>3717207.7</v>
      </c>
      <c r="G118">
        <v>8.6150000000000002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0.21637426900584888</v>
      </c>
      <c r="Q118">
        <f t="shared" ref="Q118" si="566">F118*P118</f>
        <v>804308.09883041284</v>
      </c>
      <c r="R118">
        <f t="shared" ref="R118" si="567">R119+Q118</f>
        <v>105614631.98690341</v>
      </c>
      <c r="S118">
        <f t="shared" ref="S118" si="568">R118/100000</f>
        <v>1056.1463198690342</v>
      </c>
      <c r="T118">
        <f t="shared" ref="T118" si="569">S118/1000</f>
        <v>1.0561463198690342</v>
      </c>
    </row>
    <row r="119" spans="1:20" x14ac:dyDescent="0.25">
      <c r="A119" s="5">
        <v>44474</v>
      </c>
      <c r="B119">
        <v>9.19</v>
      </c>
      <c r="C119">
        <v>9.24</v>
      </c>
      <c r="D119">
        <v>8.5340000000000007</v>
      </c>
      <c r="E119">
        <v>8.9220000000000006</v>
      </c>
      <c r="F119">
        <v>4848438.5</v>
      </c>
      <c r="G119">
        <v>8.9220000000000006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9.9150141643059964E-2</v>
      </c>
      <c r="Q119">
        <f t="shared" ref="Q119" si="571">F119*P119</f>
        <v>480723.36402266519</v>
      </c>
      <c r="R119">
        <f t="shared" ref="R119" si="572">R120+Q119</f>
        <v>104810323.888073</v>
      </c>
      <c r="S119">
        <f t="shared" ref="S119" si="573">R119/100000</f>
        <v>1048.10323888073</v>
      </c>
      <c r="T119">
        <f t="shared" ref="T119" si="574">S119/1000</f>
        <v>1.0481032388807301</v>
      </c>
    </row>
    <row r="120" spans="1:20" x14ac:dyDescent="0.25">
      <c r="A120" s="5">
        <v>44473</v>
      </c>
      <c r="B120">
        <v>8.7409999999999997</v>
      </c>
      <c r="C120">
        <v>9.2870000000000008</v>
      </c>
      <c r="D120">
        <v>8.1560000000000006</v>
      </c>
      <c r="E120">
        <v>9.1590000000000007</v>
      </c>
      <c r="F120">
        <v>6962641</v>
      </c>
      <c r="G120">
        <v>9.1590000000000007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0.77365163572060103</v>
      </c>
      <c r="Q120">
        <f t="shared" ref="Q120" si="576">F120*P120</f>
        <v>5386658.5985853216</v>
      </c>
      <c r="R120">
        <f t="shared" ref="R120" si="577">R121+Q120</f>
        <v>104329600.52405033</v>
      </c>
      <c r="S120">
        <f t="shared" ref="S120" si="578">R120/100000</f>
        <v>1043.2960052405033</v>
      </c>
      <c r="T120">
        <f t="shared" ref="T120" si="579">S120/1000</f>
        <v>1.0432960052405034</v>
      </c>
    </row>
    <row r="121" spans="1:20" x14ac:dyDescent="0.25">
      <c r="A121" s="5">
        <v>44472</v>
      </c>
      <c r="B121">
        <v>8.234</v>
      </c>
      <c r="C121">
        <v>9.0640000000000001</v>
      </c>
      <c r="D121">
        <v>7.9889999999999999</v>
      </c>
      <c r="E121">
        <v>8.7260000000000009</v>
      </c>
      <c r="F121">
        <v>4334051.5</v>
      </c>
      <c r="G121">
        <v>8.7260000000000009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0.37116279069767605</v>
      </c>
      <c r="Q121">
        <f t="shared" ref="Q121" si="581">F121*P121</f>
        <v>1608638.6497674489</v>
      </c>
      <c r="R121">
        <f t="shared" ref="R121" si="582">R122+Q121</f>
        <v>98942941.925465003</v>
      </c>
      <c r="S121">
        <f t="shared" ref="S121" si="583">R121/100000</f>
        <v>989.42941925465004</v>
      </c>
      <c r="T121">
        <f t="shared" ref="T121" si="584">S121/1000</f>
        <v>0.98942941925465</v>
      </c>
    </row>
    <row r="122" spans="1:20" x14ac:dyDescent="0.25">
      <c r="A122" s="5">
        <v>44471</v>
      </c>
      <c r="B122">
        <v>7.9539999999999997</v>
      </c>
      <c r="C122">
        <v>8.8719999999999999</v>
      </c>
      <c r="D122">
        <v>7.8630000000000004</v>
      </c>
      <c r="E122">
        <v>8.24</v>
      </c>
      <c r="F122">
        <v>4939760.7</v>
      </c>
      <c r="G122">
        <v>8.24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-0.25272547076313184</v>
      </c>
      <c r="Q122">
        <f t="shared" ref="Q122" si="586">F122*P122</f>
        <v>-1248403.3483647178</v>
      </c>
      <c r="R122">
        <f t="shared" ref="R122" si="587">R123+Q122</f>
        <v>97334303.275697559</v>
      </c>
      <c r="S122">
        <f t="shared" ref="S122" si="588">R122/100000</f>
        <v>973.34303275697562</v>
      </c>
      <c r="T122">
        <f t="shared" ref="T122" si="589">S122/1000</f>
        <v>0.97334303275697565</v>
      </c>
    </row>
    <row r="123" spans="1:20" x14ac:dyDescent="0.25">
      <c r="A123" s="5">
        <v>44470</v>
      </c>
      <c r="B123">
        <v>6.976</v>
      </c>
      <c r="C123">
        <v>8</v>
      </c>
      <c r="D123">
        <v>6.8570000000000002</v>
      </c>
      <c r="E123">
        <v>7.9539999999999997</v>
      </c>
      <c r="F123">
        <v>6130909.5999999996</v>
      </c>
      <c r="G123">
        <v>7.9539999999999997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0.91951006124234425</v>
      </c>
      <c r="Q123">
        <f t="shared" ref="Q123" si="591">F123*P123</f>
        <v>5637433.0617672764</v>
      </c>
      <c r="R123">
        <f t="shared" ref="R123" si="592">R124+Q123</f>
        <v>98582706.62406227</v>
      </c>
      <c r="S123">
        <f t="shared" ref="S123" si="593">R123/100000</f>
        <v>985.82706624062268</v>
      </c>
      <c r="T123">
        <f t="shared" ref="T123" si="594">S123/1000</f>
        <v>0.98582706624062266</v>
      </c>
    </row>
    <row r="124" spans="1:20" x14ac:dyDescent="0.25">
      <c r="A124" s="5">
        <v>44469</v>
      </c>
      <c r="B124">
        <v>6.53</v>
      </c>
      <c r="C124">
        <v>7</v>
      </c>
      <c r="D124">
        <v>6.4619999999999997</v>
      </c>
      <c r="E124">
        <v>6.9740000000000002</v>
      </c>
      <c r="F124">
        <v>3535372.7</v>
      </c>
      <c r="G124">
        <v>6.9740000000000002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0.903345724907064</v>
      </c>
      <c r="Q124">
        <f t="shared" ref="Q124" si="596">F124*P124</f>
        <v>3193663.8144981442</v>
      </c>
      <c r="R124">
        <f t="shared" ref="R124" si="597">R125+Q124</f>
        <v>92945273.56229499</v>
      </c>
      <c r="S124">
        <f t="shared" ref="S124" si="598">R124/100000</f>
        <v>929.45273562294994</v>
      </c>
      <c r="T124">
        <f t="shared" ref="T124" si="599">S124/1000</f>
        <v>0.92945273562294994</v>
      </c>
    </row>
    <row r="125" spans="1:20" x14ac:dyDescent="0.25">
      <c r="A125" s="5">
        <v>44468</v>
      </c>
      <c r="B125">
        <v>6.6189999999999998</v>
      </c>
      <c r="C125">
        <v>7.1040000000000001</v>
      </c>
      <c r="D125">
        <v>6.351</v>
      </c>
      <c r="E125">
        <v>6.5279999999999996</v>
      </c>
      <c r="F125">
        <v>3862116.8790000002</v>
      </c>
      <c r="G125">
        <v>6.5279999999999996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-0.52988047808765049</v>
      </c>
      <c r="Q125">
        <f t="shared" ref="Q125" si="601">F125*P125</f>
        <v>-2046460.3382749048</v>
      </c>
      <c r="R125">
        <f t="shared" ref="R125" si="602">R126+Q125</f>
        <v>89751609.747796848</v>
      </c>
      <c r="S125">
        <f t="shared" ref="S125" si="603">R125/100000</f>
        <v>897.51609747796851</v>
      </c>
      <c r="T125">
        <f t="shared" ref="T125" si="604">S125/1000</f>
        <v>0.89751609747796857</v>
      </c>
    </row>
    <row r="126" spans="1:20" x14ac:dyDescent="0.25">
      <c r="A126" s="5">
        <v>44467</v>
      </c>
      <c r="B126">
        <v>6.9450000000000003</v>
      </c>
      <c r="C126">
        <v>7.15</v>
      </c>
      <c r="D126">
        <v>6.5</v>
      </c>
      <c r="E126">
        <v>6.625</v>
      </c>
      <c r="F126">
        <v>4166697.9</v>
      </c>
      <c r="G126">
        <v>6.625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-0.61538461538461564</v>
      </c>
      <c r="Q126">
        <f t="shared" ref="Q126" si="606">F126*P126</f>
        <v>-2564121.7846153858</v>
      </c>
      <c r="R126">
        <f t="shared" ref="R126" si="607">R127+Q126</f>
        <v>91798070.086071759</v>
      </c>
      <c r="S126">
        <f t="shared" ref="S126" si="608">R126/100000</f>
        <v>917.98070086071755</v>
      </c>
      <c r="T126">
        <f t="shared" ref="T126" si="609">S126/1000</f>
        <v>0.91798070086071759</v>
      </c>
    </row>
    <row r="127" spans="1:20" x14ac:dyDescent="0.25">
      <c r="A127" s="5">
        <v>44466</v>
      </c>
      <c r="B127">
        <v>7.2210000000000001</v>
      </c>
      <c r="C127">
        <v>7.81</v>
      </c>
      <c r="D127">
        <v>6.9359999999999999</v>
      </c>
      <c r="E127">
        <v>6.9420000000000002</v>
      </c>
      <c r="F127">
        <v>4594779.4000000004</v>
      </c>
      <c r="G127">
        <v>6.9420000000000002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-0.98627002288329468</v>
      </c>
      <c r="Q127">
        <f t="shared" ref="Q127" si="611">F127*P127</f>
        <v>-4531693.1839816915</v>
      </c>
      <c r="R127">
        <f t="shared" ref="R127" si="612">R128+Q127</f>
        <v>94362191.870687142</v>
      </c>
      <c r="S127">
        <f t="shared" ref="S127" si="613">R127/100000</f>
        <v>943.62191870687138</v>
      </c>
      <c r="T127">
        <f t="shared" ref="T127" si="614">S127/1000</f>
        <v>0.9436219187068714</v>
      </c>
    </row>
    <row r="128" spans="1:20" x14ac:dyDescent="0.25">
      <c r="A128" s="5">
        <v>44465</v>
      </c>
      <c r="B128">
        <v>7.2779999999999996</v>
      </c>
      <c r="C128">
        <v>7.5780000000000003</v>
      </c>
      <c r="D128">
        <v>6.72</v>
      </c>
      <c r="E128">
        <v>7.2320000000000002</v>
      </c>
      <c r="F128">
        <v>4688145.5999999996</v>
      </c>
      <c r="G128">
        <v>7.2320000000000002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0.19347319347319378</v>
      </c>
      <c r="Q128">
        <f t="shared" ref="Q128" si="616">F128*P128</f>
        <v>907030.50069930207</v>
      </c>
      <c r="R128">
        <f t="shared" ref="R128" si="617">R129+Q128</f>
        <v>98893885.054668829</v>
      </c>
      <c r="S128">
        <f t="shared" ref="S128" si="618">R128/100000</f>
        <v>988.93885054668829</v>
      </c>
      <c r="T128">
        <f t="shared" ref="T128" si="619">S128/1000</f>
        <v>0.98893885054668829</v>
      </c>
    </row>
    <row r="129" spans="1:20" x14ac:dyDescent="0.25">
      <c r="A129" s="5">
        <v>44464</v>
      </c>
      <c r="B129">
        <v>7.9059999999999997</v>
      </c>
      <c r="C129">
        <v>8.0980000000000008</v>
      </c>
      <c r="D129">
        <v>7.2450000000000001</v>
      </c>
      <c r="E129">
        <v>7.2830000000000004</v>
      </c>
      <c r="F129">
        <v>3632704.1</v>
      </c>
      <c r="G129">
        <v>7.2830000000000004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-0.91090269636576737</v>
      </c>
      <c r="Q129">
        <f t="shared" ref="Q129" si="621">F129*P129</f>
        <v>-3309039.9597889781</v>
      </c>
      <c r="R129">
        <f t="shared" ref="R129" si="622">R130+Q129</f>
        <v>97986854.553969532</v>
      </c>
      <c r="S129">
        <f t="shared" ref="S129" si="623">R129/100000</f>
        <v>979.86854553969533</v>
      </c>
      <c r="T129">
        <f t="shared" ref="T129" si="624">S129/1000</f>
        <v>0.97986854553969538</v>
      </c>
    </row>
    <row r="130" spans="1:20" x14ac:dyDescent="0.25">
      <c r="A130" s="5">
        <v>44463</v>
      </c>
      <c r="B130">
        <v>9.1050000000000004</v>
      </c>
      <c r="C130">
        <v>9.2550000000000008</v>
      </c>
      <c r="D130">
        <v>7.4240000000000004</v>
      </c>
      <c r="E130">
        <v>7.9109999999999996</v>
      </c>
      <c r="F130">
        <v>9072449.9000000004</v>
      </c>
      <c r="G130">
        <v>7.9109999999999996</v>
      </c>
      <c r="L130" t="s">
        <v>8</v>
      </c>
      <c r="M130" t="s">
        <v>7</v>
      </c>
      <c r="N130" t="s">
        <v>8</v>
      </c>
      <c r="P130">
        <f t="shared" ref="P130" si="625">IF(C130=D130,0,((E130-D130)-(C130-E130))/(C130-D130))</f>
        <v>-0.46805024576734122</v>
      </c>
      <c r="Q130">
        <f t="shared" ref="Q130" si="626">F130*P130</f>
        <v>-4246362.4054068904</v>
      </c>
      <c r="R130">
        <f t="shared" ref="R130" si="627">R131+Q130</f>
        <v>101295894.51375851</v>
      </c>
      <c r="S130">
        <f t="shared" ref="S130" si="628">R130/100000</f>
        <v>1012.9589451375851</v>
      </c>
      <c r="T130">
        <f t="shared" ref="T130" si="629">S130/1000</f>
        <v>1.0129589451375851</v>
      </c>
    </row>
    <row r="131" spans="1:20" x14ac:dyDescent="0.25">
      <c r="A131" s="5">
        <v>44462</v>
      </c>
      <c r="B131">
        <v>7.726</v>
      </c>
      <c r="C131">
        <v>9.1539999999999999</v>
      </c>
      <c r="D131">
        <v>7.4630000000000001</v>
      </c>
      <c r="E131">
        <v>9.1120000000000001</v>
      </c>
      <c r="F131">
        <v>6549628.9000000004</v>
      </c>
      <c r="G131">
        <v>9.1120000000000001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0.95032525133057388</v>
      </c>
      <c r="Q131">
        <f t="shared" ref="Q131" si="631">F131*P131</f>
        <v>6224277.730514491</v>
      </c>
      <c r="R131">
        <f t="shared" ref="R131" si="632">R132+Q131</f>
        <v>105542256.9191654</v>
      </c>
      <c r="S131">
        <f t="shared" ref="S131" si="633">R131/100000</f>
        <v>1055.422569191654</v>
      </c>
      <c r="T131">
        <f t="shared" ref="T131" si="634">S131/1000</f>
        <v>1.0554225691916541</v>
      </c>
    </row>
    <row r="132" spans="1:20" x14ac:dyDescent="0.25">
      <c r="A132" s="5">
        <v>44461</v>
      </c>
      <c r="B132">
        <v>6.7229999999999999</v>
      </c>
      <c r="C132">
        <v>7.952</v>
      </c>
      <c r="D132">
        <v>6.585</v>
      </c>
      <c r="E132">
        <v>7.7350000000000003</v>
      </c>
      <c r="F132">
        <v>5767735.7999999998</v>
      </c>
      <c r="G132">
        <v>7.7350000000000003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0.68251645940014682</v>
      </c>
      <c r="Q132">
        <f t="shared" ref="Q132" si="636">F132*P132</f>
        <v>3936574.6169714732</v>
      </c>
      <c r="R132">
        <f t="shared" ref="R132" si="637">R133+Q132</f>
        <v>99317979.188650906</v>
      </c>
      <c r="S132">
        <f t="shared" ref="S132" si="638">R132/100000</f>
        <v>993.17979188650907</v>
      </c>
      <c r="T132">
        <f t="shared" ref="T132" si="639">S132/1000</f>
        <v>0.99317979188650907</v>
      </c>
    </row>
    <row r="133" spans="1:20" x14ac:dyDescent="0.25">
      <c r="A133" s="5">
        <v>44460</v>
      </c>
      <c r="B133">
        <v>7.4260000000000002</v>
      </c>
      <c r="C133">
        <v>7.8949999999999996</v>
      </c>
      <c r="D133">
        <v>6.4669999999999996</v>
      </c>
      <c r="E133">
        <v>6.7089999999999996</v>
      </c>
      <c r="F133">
        <v>6908796.0580000002</v>
      </c>
      <c r="G133">
        <v>6.7089999999999996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-0.66106442577030811</v>
      </c>
      <c r="Q133">
        <f t="shared" ref="Q133" si="641">F133*P133</f>
        <v>-4567159.2988459384</v>
      </c>
      <c r="R133">
        <f t="shared" ref="R133" si="642">R134+Q133</f>
        <v>95381404.571679428</v>
      </c>
      <c r="S133">
        <f t="shared" ref="S133" si="643">R133/100000</f>
        <v>953.81404571679423</v>
      </c>
      <c r="T133">
        <f t="shared" ref="T133" si="644">S133/1000</f>
        <v>0.95381404571679418</v>
      </c>
    </row>
    <row r="134" spans="1:20" x14ac:dyDescent="0.25">
      <c r="A134" s="5">
        <v>44459</v>
      </c>
      <c r="B134">
        <v>9.1059999999999999</v>
      </c>
      <c r="C134">
        <v>9.1189999999999998</v>
      </c>
      <c r="D134">
        <v>7.9349999999999996</v>
      </c>
      <c r="E134">
        <v>8.1020000000000003</v>
      </c>
      <c r="F134">
        <v>3345996.7</v>
      </c>
      <c r="G134">
        <v>8.1020000000000003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-0.71790540540540426</v>
      </c>
      <c r="Q134">
        <f t="shared" ref="Q134" si="646">F134*P134</f>
        <v>-2402109.1173986448</v>
      </c>
      <c r="R134">
        <f t="shared" ref="R134" si="647">R135+Q134</f>
        <v>99948563.87052536</v>
      </c>
      <c r="S134">
        <f t="shared" ref="S134" si="648">R134/100000</f>
        <v>999.48563870525356</v>
      </c>
      <c r="T134">
        <f t="shared" ref="T134" si="649">S134/1000</f>
        <v>0.99948563870525353</v>
      </c>
    </row>
    <row r="135" spans="1:20" x14ac:dyDescent="0.25">
      <c r="A135" s="5">
        <v>44458</v>
      </c>
      <c r="B135">
        <v>9.9290000000000003</v>
      </c>
      <c r="C135">
        <v>9.9760000000000009</v>
      </c>
      <c r="D135">
        <v>8.9390000000000001</v>
      </c>
      <c r="E135">
        <v>9.1059999999999999</v>
      </c>
      <c r="F135">
        <v>3587562.5</v>
      </c>
      <c r="G135">
        <v>9.1059999999999999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-0.67791706846673161</v>
      </c>
      <c r="Q135">
        <f t="shared" ref="Q135" si="651">F135*P135</f>
        <v>-2432069.8529411787</v>
      </c>
      <c r="R135">
        <f t="shared" ref="R135" si="652">R136+Q135</f>
        <v>102350672.98792401</v>
      </c>
      <c r="S135">
        <f t="shared" ref="S135" si="653">R135/100000</f>
        <v>1023.5067298792401</v>
      </c>
      <c r="T135">
        <f t="shared" ref="T135" si="654">S135/1000</f>
        <v>1.0235067298792402</v>
      </c>
    </row>
    <row r="136" spans="1:20" x14ac:dyDescent="0.25">
      <c r="A136" s="5">
        <v>44457</v>
      </c>
      <c r="B136">
        <v>9.6869999999999994</v>
      </c>
      <c r="C136">
        <v>10.763999999999999</v>
      </c>
      <c r="D136">
        <v>9.4090000000000007</v>
      </c>
      <c r="E136">
        <v>9.9339999999999993</v>
      </c>
      <c r="F136">
        <v>4100934.8</v>
      </c>
      <c r="G136">
        <v>9.9339999999999993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-0.22509225092251056</v>
      </c>
      <c r="Q136">
        <f t="shared" ref="Q136" si="656">F136*P136</f>
        <v>-923088.64501845557</v>
      </c>
      <c r="R136">
        <f t="shared" ref="R136" si="657">R137+Q136</f>
        <v>104782742.84086519</v>
      </c>
      <c r="S136">
        <f t="shared" ref="S136" si="658">R136/100000</f>
        <v>1047.8274284086519</v>
      </c>
      <c r="T136">
        <f t="shared" ref="T136" si="659">S136/1000</f>
        <v>1.047827428408652</v>
      </c>
    </row>
    <row r="137" spans="1:20" x14ac:dyDescent="0.25">
      <c r="A137" s="5">
        <v>44456</v>
      </c>
      <c r="B137">
        <v>10.044</v>
      </c>
      <c r="C137">
        <v>10.218999999999999</v>
      </c>
      <c r="D137">
        <v>9.3000000000000007</v>
      </c>
      <c r="E137">
        <v>9.6839999999999993</v>
      </c>
      <c r="F137">
        <v>4512951.5</v>
      </c>
      <c r="G137">
        <v>9.6839999999999993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-0.16430903155604112</v>
      </c>
      <c r="Q137">
        <f t="shared" ref="Q137" si="661">F137*P137</f>
        <v>-741518.69042438315</v>
      </c>
      <c r="R137">
        <f t="shared" ref="R137" si="662">R138+Q137</f>
        <v>105705831.48588365</v>
      </c>
      <c r="S137">
        <f t="shared" ref="S137" si="663">R137/100000</f>
        <v>1057.0583148588366</v>
      </c>
      <c r="T137">
        <f t="shared" ref="T137" si="664">S137/1000</f>
        <v>1.0570583148588366</v>
      </c>
    </row>
    <row r="138" spans="1:20" x14ac:dyDescent="0.25">
      <c r="A138" s="5">
        <v>44455</v>
      </c>
      <c r="B138">
        <v>10.141</v>
      </c>
      <c r="C138">
        <v>11.292999999999999</v>
      </c>
      <c r="D138">
        <v>9.7530000000000001</v>
      </c>
      <c r="E138">
        <v>10.052</v>
      </c>
      <c r="F138">
        <v>8391071.4000000004</v>
      </c>
      <c r="G138">
        <v>10.052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-0.61168831168831217</v>
      </c>
      <c r="Q138">
        <f t="shared" ref="Q138" si="666">F138*P138</f>
        <v>-5132720.2979220822</v>
      </c>
      <c r="R138">
        <f t="shared" ref="R138" si="667">R139+Q138</f>
        <v>106447350.17630804</v>
      </c>
      <c r="S138">
        <f t="shared" ref="S138" si="668">R138/100000</f>
        <v>1064.4735017630803</v>
      </c>
      <c r="T138">
        <f t="shared" ref="T138" si="669">S138/1000</f>
        <v>1.0644735017630804</v>
      </c>
    </row>
    <row r="139" spans="1:20" x14ac:dyDescent="0.25">
      <c r="A139" s="5">
        <v>44454</v>
      </c>
      <c r="B139">
        <v>9.2870000000000008</v>
      </c>
      <c r="C139">
        <v>10.210000000000001</v>
      </c>
      <c r="D139">
        <v>9.0909999999999993</v>
      </c>
      <c r="E139">
        <v>10.138999999999999</v>
      </c>
      <c r="F139">
        <v>4888899.9000000004</v>
      </c>
      <c r="G139">
        <v>10.138999999999999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0.8731009830205515</v>
      </c>
      <c r="Q139">
        <f t="shared" ref="Q139" si="671">F139*P139</f>
        <v>4268503.3085790761</v>
      </c>
      <c r="R139">
        <f t="shared" ref="R139" si="672">R140+Q139</f>
        <v>111580070.47423013</v>
      </c>
      <c r="S139">
        <f t="shared" ref="S139" si="673">R139/100000</f>
        <v>1115.8007047423011</v>
      </c>
      <c r="T139">
        <f t="shared" ref="T139" si="674">S139/1000</f>
        <v>1.1158007047423011</v>
      </c>
    </row>
    <row r="140" spans="1:20" x14ac:dyDescent="0.25">
      <c r="A140" s="5">
        <v>44453</v>
      </c>
      <c r="B140">
        <v>8.3819999999999997</v>
      </c>
      <c r="C140">
        <v>9.2970000000000006</v>
      </c>
      <c r="D140">
        <v>8.3149999999999995</v>
      </c>
      <c r="E140">
        <v>9.2850000000000001</v>
      </c>
      <c r="F140">
        <v>3754353</v>
      </c>
      <c r="G140">
        <v>9.2850000000000001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0.97556008146639417</v>
      </c>
      <c r="Q140">
        <f t="shared" ref="Q140" si="676">F140*P140</f>
        <v>3662596.9185336013</v>
      </c>
      <c r="R140">
        <f t="shared" ref="R140" si="677">R141+Q140</f>
        <v>107311567.16565105</v>
      </c>
      <c r="S140">
        <f t="shared" ref="S140" si="678">R140/100000</f>
        <v>1073.1156716565106</v>
      </c>
      <c r="T140">
        <f t="shared" ref="T140" si="679">S140/1000</f>
        <v>1.0731156716565107</v>
      </c>
    </row>
    <row r="141" spans="1:20" x14ac:dyDescent="0.25">
      <c r="A141" s="5">
        <v>44452</v>
      </c>
      <c r="B141">
        <v>9.1050000000000004</v>
      </c>
      <c r="C141">
        <v>9.3000000000000007</v>
      </c>
      <c r="D141">
        <v>7.7850000000000001</v>
      </c>
      <c r="E141">
        <v>8.3810000000000002</v>
      </c>
      <c r="F141">
        <v>4410024.7</v>
      </c>
      <c r="G141">
        <v>8.3810000000000002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-0.21320132013201337</v>
      </c>
      <c r="Q141">
        <f t="shared" ref="Q141" si="681">F141*P141</f>
        <v>-940223.08785478631</v>
      </c>
      <c r="R141">
        <f t="shared" ref="R141" si="682">R142+Q141</f>
        <v>103648970.24711744</v>
      </c>
      <c r="S141">
        <f t="shared" ref="S141" si="683">R141/100000</f>
        <v>1036.4897024711745</v>
      </c>
      <c r="T141">
        <f t="shared" ref="T141" si="684">S141/1000</f>
        <v>1.0364897024711746</v>
      </c>
    </row>
    <row r="142" spans="1:20" x14ac:dyDescent="0.25">
      <c r="A142" s="5">
        <v>44451</v>
      </c>
      <c r="B142">
        <v>8.5630000000000006</v>
      </c>
      <c r="C142">
        <v>9.4</v>
      </c>
      <c r="D142">
        <v>8.3030000000000008</v>
      </c>
      <c r="E142">
        <v>9.1020000000000003</v>
      </c>
      <c r="F142">
        <v>4064389.5</v>
      </c>
      <c r="G142">
        <v>9.1020000000000003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0.45670009115770249</v>
      </c>
      <c r="Q142">
        <f t="shared" ref="Q142" si="686">F142*P142</f>
        <v>1856207.0551504088</v>
      </c>
      <c r="R142">
        <f t="shared" ref="R142" si="687">R143+Q142</f>
        <v>104589193.33497223</v>
      </c>
      <c r="S142">
        <f t="shared" ref="S142" si="688">R142/100000</f>
        <v>1045.8919333497224</v>
      </c>
      <c r="T142">
        <f t="shared" ref="T142" si="689">S142/1000</f>
        <v>1.0458919333497225</v>
      </c>
    </row>
    <row r="143" spans="1:20" x14ac:dyDescent="0.25">
      <c r="A143" s="5">
        <v>44450</v>
      </c>
      <c r="B143">
        <v>8.4879999999999995</v>
      </c>
      <c r="C143">
        <v>9.2780000000000005</v>
      </c>
      <c r="D143">
        <v>8.3620000000000001</v>
      </c>
      <c r="E143">
        <v>8.5579999999999998</v>
      </c>
      <c r="F143">
        <v>3831983.6</v>
      </c>
      <c r="G143">
        <v>8.5579999999999998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-0.57205240174672567</v>
      </c>
      <c r="Q143">
        <f t="shared" ref="Q143" si="691">F143*P143</f>
        <v>-2192095.4218340642</v>
      </c>
      <c r="R143">
        <f t="shared" ref="R143" si="692">R144+Q143</f>
        <v>102732986.27982183</v>
      </c>
      <c r="S143">
        <f t="shared" ref="S143" si="693">R143/100000</f>
        <v>1027.3298627982183</v>
      </c>
      <c r="T143">
        <f t="shared" ref="T143" si="694">S143/1000</f>
        <v>1.0273298627982184</v>
      </c>
    </row>
    <row r="144" spans="1:20" x14ac:dyDescent="0.25">
      <c r="A144" s="5">
        <v>44449</v>
      </c>
      <c r="B144">
        <v>9.0649999999999995</v>
      </c>
      <c r="C144">
        <v>9.6989999999999998</v>
      </c>
      <c r="D144">
        <v>8.1430000000000007</v>
      </c>
      <c r="E144">
        <v>8.49</v>
      </c>
      <c r="F144">
        <v>4951008.4000000004</v>
      </c>
      <c r="G144">
        <v>8.49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-0.55398457583547589</v>
      </c>
      <c r="Q144">
        <f t="shared" ref="Q144" si="696">F144*P144</f>
        <v>-2742782.2884318782</v>
      </c>
      <c r="R144">
        <f t="shared" ref="R144" si="697">R145+Q144</f>
        <v>104925081.70165589</v>
      </c>
      <c r="S144">
        <f t="shared" ref="S144" si="698">R144/100000</f>
        <v>1049.250817016559</v>
      </c>
      <c r="T144">
        <f t="shared" ref="T144" si="699">S144/1000</f>
        <v>1.0492508170165591</v>
      </c>
    </row>
    <row r="145" spans="1:20" x14ac:dyDescent="0.25">
      <c r="A145" s="5">
        <v>44448</v>
      </c>
      <c r="B145">
        <v>9.01</v>
      </c>
      <c r="C145">
        <v>9.5429999999999993</v>
      </c>
      <c r="D145">
        <v>8.6229999999999993</v>
      </c>
      <c r="E145">
        <v>9.0690000000000008</v>
      </c>
      <c r="F145">
        <v>6338993.5999999996</v>
      </c>
      <c r="G145">
        <v>9.0690000000000008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-3.0434782608692302E-2</v>
      </c>
      <c r="Q145">
        <f t="shared" ref="Q145" si="701">F145*P145</f>
        <v>-192925.8921738918</v>
      </c>
      <c r="R145">
        <f t="shared" ref="R145" si="702">R146+Q145</f>
        <v>107667863.99008778</v>
      </c>
      <c r="S145">
        <f t="shared" ref="S145" si="703">R145/100000</f>
        <v>1076.6786399008777</v>
      </c>
      <c r="T145">
        <f t="shared" ref="T145" si="704">S145/1000</f>
        <v>1.0766786399008776</v>
      </c>
    </row>
    <row r="146" spans="1:20" x14ac:dyDescent="0.25">
      <c r="A146" s="5">
        <v>44447</v>
      </c>
      <c r="B146">
        <v>9.5350000000000001</v>
      </c>
      <c r="C146">
        <v>9.9009999999999998</v>
      </c>
      <c r="D146">
        <v>8.0440000000000005</v>
      </c>
      <c r="E146">
        <v>9.0060000000000002</v>
      </c>
      <c r="F146">
        <v>6709468.5999999996</v>
      </c>
      <c r="G146">
        <v>9.0060000000000002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3.6079698438341516E-2</v>
      </c>
      <c r="Q146">
        <f t="shared" ref="Q146" si="706">F146*P146</f>
        <v>242075.60376952143</v>
      </c>
      <c r="R146">
        <f t="shared" ref="R146" si="707">R147+Q146</f>
        <v>107860789.88226166</v>
      </c>
      <c r="S146">
        <f t="shared" ref="S146" si="708">R146/100000</f>
        <v>1078.6078988226166</v>
      </c>
      <c r="T146">
        <f t="shared" ref="T146" si="709">S146/1000</f>
        <v>1.0786078988226167</v>
      </c>
    </row>
    <row r="147" spans="1:20" x14ac:dyDescent="0.25">
      <c r="A147" s="5">
        <v>44446</v>
      </c>
      <c r="B147">
        <v>11.688000000000001</v>
      </c>
      <c r="C147">
        <v>12.086</v>
      </c>
      <c r="D147">
        <v>7.5</v>
      </c>
      <c r="E147">
        <v>9.5180000000000007</v>
      </c>
      <c r="F147">
        <v>14998678.816</v>
      </c>
      <c r="G147">
        <v>9.5180000000000007</v>
      </c>
      <c r="L147" t="s">
        <v>7</v>
      </c>
      <c r="M147" t="s">
        <v>8</v>
      </c>
      <c r="N147" t="s">
        <v>7</v>
      </c>
      <c r="P147">
        <f t="shared" ref="P147" si="710">IF(C147=D147,0,((E147-D147)-(C147-E147))/(C147-D147))</f>
        <v>-0.1199302224160486</v>
      </c>
      <c r="Q147">
        <f t="shared" ref="Q147" si="711">F147*P147</f>
        <v>-1798794.8863497565</v>
      </c>
      <c r="R147">
        <f t="shared" ref="R147" si="712">R148+Q147</f>
        <v>107618714.27849214</v>
      </c>
      <c r="S147">
        <f t="shared" ref="S147" si="713">R147/100000</f>
        <v>1076.1871427849214</v>
      </c>
      <c r="T147">
        <f t="shared" ref="T147" si="714">S147/1000</f>
        <v>1.0761871427849214</v>
      </c>
    </row>
    <row r="148" spans="1:20" x14ac:dyDescent="0.25">
      <c r="A148" s="5">
        <v>44445</v>
      </c>
      <c r="B148">
        <v>10.353999999999999</v>
      </c>
      <c r="C148">
        <v>11.999000000000001</v>
      </c>
      <c r="D148">
        <v>10.256</v>
      </c>
      <c r="E148">
        <v>11.688000000000001</v>
      </c>
      <c r="F148">
        <v>10703691.060000001</v>
      </c>
      <c r="G148">
        <v>11.688000000000001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0.64314400458978782</v>
      </c>
      <c r="Q148">
        <f t="shared" ref="Q148" si="716">F148*P148</f>
        <v>6884014.7322203116</v>
      </c>
      <c r="R148">
        <f t="shared" ref="R148" si="717">R149+Q148</f>
        <v>109417509.16484189</v>
      </c>
      <c r="S148">
        <f t="shared" ref="S148" si="718">R148/100000</f>
        <v>1094.1750916484189</v>
      </c>
      <c r="T148">
        <f t="shared" ref="T148" si="719">S148/1000</f>
        <v>1.0941750916484188</v>
      </c>
    </row>
    <row r="149" spans="1:20" x14ac:dyDescent="0.25">
      <c r="A149" s="5">
        <v>44444</v>
      </c>
      <c r="B149">
        <v>10.321</v>
      </c>
      <c r="C149">
        <v>10.651</v>
      </c>
      <c r="D149">
        <v>10.212</v>
      </c>
      <c r="E149">
        <v>10.358000000000001</v>
      </c>
      <c r="F149">
        <v>3611738.4</v>
      </c>
      <c r="G149">
        <v>10.358000000000001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-0.33485193621867526</v>
      </c>
      <c r="Q149">
        <f t="shared" ref="Q149" si="721">F149*P149</f>
        <v>-1209397.5963553402</v>
      </c>
      <c r="R149">
        <f t="shared" ref="R149" si="722">R150+Q149</f>
        <v>102533494.43262158</v>
      </c>
      <c r="S149">
        <f t="shared" ref="S149" si="723">R149/100000</f>
        <v>1025.3349443262159</v>
      </c>
      <c r="T149">
        <f t="shared" ref="T149" si="724">S149/1000</f>
        <v>1.0253349443262159</v>
      </c>
    </row>
    <row r="150" spans="1:20" x14ac:dyDescent="0.25">
      <c r="A150" s="5">
        <v>44443</v>
      </c>
      <c r="B150">
        <v>10.183999999999999</v>
      </c>
      <c r="C150">
        <v>10.894</v>
      </c>
      <c r="D150">
        <v>10.045</v>
      </c>
      <c r="E150">
        <v>10.319000000000001</v>
      </c>
      <c r="F150">
        <v>4549453.2</v>
      </c>
      <c r="G150">
        <v>10.319000000000001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-0.35453474676089319</v>
      </c>
      <c r="Q150">
        <f t="shared" ref="Q150" si="726">F150*P150</f>
        <v>-1612939.2381625352</v>
      </c>
      <c r="R150">
        <f t="shared" ref="R150" si="727">R151+Q150</f>
        <v>103742892.02897692</v>
      </c>
      <c r="S150">
        <f t="shared" ref="S150" si="728">R150/100000</f>
        <v>1037.4289202897692</v>
      </c>
      <c r="T150">
        <f t="shared" ref="T150" si="729">S150/1000</f>
        <v>1.0374289202897691</v>
      </c>
    </row>
    <row r="151" spans="1:20" x14ac:dyDescent="0.25">
      <c r="A151" s="5">
        <v>44442</v>
      </c>
      <c r="B151">
        <v>10.382</v>
      </c>
      <c r="C151">
        <v>10.456</v>
      </c>
      <c r="D151">
        <v>9.9849999999999994</v>
      </c>
      <c r="E151">
        <v>10.183999999999999</v>
      </c>
      <c r="F151">
        <v>4356629.0999999996</v>
      </c>
      <c r="G151">
        <v>10.183999999999999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-0.15498938428874817</v>
      </c>
      <c r="Q151">
        <f t="shared" ref="Q151" si="731">F151*P151</f>
        <v>-675231.26178344304</v>
      </c>
      <c r="R151">
        <f t="shared" ref="R151" si="732">R152+Q151</f>
        <v>105355831.26713945</v>
      </c>
      <c r="S151">
        <f t="shared" ref="S151" si="733">R151/100000</f>
        <v>1053.5583126713946</v>
      </c>
      <c r="T151">
        <f t="shared" ref="T151" si="734">S151/1000</f>
        <v>1.0535583126713945</v>
      </c>
    </row>
    <row r="152" spans="1:20" x14ac:dyDescent="0.25">
      <c r="A152" s="5">
        <v>44441</v>
      </c>
      <c r="B152">
        <v>10.707000000000001</v>
      </c>
      <c r="C152">
        <v>10.829000000000001</v>
      </c>
      <c r="D152">
        <v>10.288</v>
      </c>
      <c r="E152">
        <v>10.362</v>
      </c>
      <c r="F152">
        <v>4788030.5999999996</v>
      </c>
      <c r="G152">
        <v>10.362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-0.72643253234750538</v>
      </c>
      <c r="Q152">
        <f t="shared" ref="Q152" si="736">F152*P152</f>
        <v>-3478181.1937153451</v>
      </c>
      <c r="R152">
        <f t="shared" ref="R152" si="737">R153+Q152</f>
        <v>106031062.52892289</v>
      </c>
      <c r="S152">
        <f t="shared" ref="S152" si="738">R152/100000</f>
        <v>1060.3106252892289</v>
      </c>
      <c r="T152">
        <f t="shared" ref="T152" si="739">S152/1000</f>
        <v>1.0603106252892289</v>
      </c>
    </row>
    <row r="153" spans="1:20" x14ac:dyDescent="0.25">
      <c r="A153" s="5">
        <v>44440</v>
      </c>
      <c r="B153">
        <v>9.8659999999999997</v>
      </c>
      <c r="C153">
        <v>10.964</v>
      </c>
      <c r="D153">
        <v>9.5299999999999994</v>
      </c>
      <c r="E153">
        <v>10.701000000000001</v>
      </c>
      <c r="F153">
        <v>7544900.1940000001</v>
      </c>
      <c r="G153">
        <v>10.701000000000001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0.63319386331938676</v>
      </c>
      <c r="Q153">
        <f t="shared" ref="Q153" si="741">F153*P153</f>
        <v>4777384.5021980507</v>
      </c>
      <c r="R153">
        <f t="shared" ref="R153" si="742">R154+Q153</f>
        <v>109509243.72263823</v>
      </c>
      <c r="S153">
        <f t="shared" ref="S153" si="743">R153/100000</f>
        <v>1095.0924372263823</v>
      </c>
      <c r="T153">
        <f t="shared" ref="T153" si="744">S153/1000</f>
        <v>1.0950924372263824</v>
      </c>
    </row>
    <row r="154" spans="1:20" x14ac:dyDescent="0.25">
      <c r="A154" s="5">
        <v>44439</v>
      </c>
      <c r="B154">
        <v>9.5340000000000007</v>
      </c>
      <c r="C154">
        <v>10.326000000000001</v>
      </c>
      <c r="D154">
        <v>9.391</v>
      </c>
      <c r="E154">
        <v>9.8670000000000009</v>
      </c>
      <c r="F154">
        <v>7301897.5</v>
      </c>
      <c r="G154">
        <v>9.8670000000000009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1.8181818181819496E-2</v>
      </c>
      <c r="Q154">
        <f t="shared" ref="Q154" si="746">F154*P154</f>
        <v>132761.77272728231</v>
      </c>
      <c r="R154">
        <f t="shared" ref="R154" si="747">R155+Q154</f>
        <v>104731859.22044018</v>
      </c>
      <c r="S154">
        <f t="shared" ref="S154" si="748">R154/100000</f>
        <v>1047.3185922044017</v>
      </c>
      <c r="T154">
        <f t="shared" ref="T154" si="749">S154/1000</f>
        <v>1.0473185922044017</v>
      </c>
    </row>
    <row r="155" spans="1:20" x14ac:dyDescent="0.25">
      <c r="A155" s="5">
        <v>44438</v>
      </c>
      <c r="B155">
        <v>9.8960000000000008</v>
      </c>
      <c r="C155">
        <v>10.444000000000001</v>
      </c>
      <c r="D155">
        <v>9.2149999999999999</v>
      </c>
      <c r="E155">
        <v>9.5329999999999995</v>
      </c>
      <c r="F155">
        <v>5700066.4000000004</v>
      </c>
      <c r="G155">
        <v>9.5329999999999995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-0.48250610252237697</v>
      </c>
      <c r="Q155">
        <f t="shared" ref="Q155" si="751">F155*P155</f>
        <v>-2750316.8227827563</v>
      </c>
      <c r="R155">
        <f t="shared" ref="R155" si="752">R156+Q155</f>
        <v>104599097.4477129</v>
      </c>
      <c r="S155">
        <f t="shared" ref="S155" si="753">R155/100000</f>
        <v>1045.9909744771289</v>
      </c>
      <c r="T155">
        <f t="shared" ref="T155" si="754">S155/1000</f>
        <v>1.045990974477129</v>
      </c>
    </row>
    <row r="156" spans="1:20" x14ac:dyDescent="0.25">
      <c r="A156" s="5">
        <v>44437</v>
      </c>
      <c r="B156">
        <v>9.9710000000000001</v>
      </c>
      <c r="C156">
        <v>10.23</v>
      </c>
      <c r="D156">
        <v>9.5500000000000007</v>
      </c>
      <c r="E156">
        <v>9.8979999999999997</v>
      </c>
      <c r="F156">
        <v>4565413.0999999996</v>
      </c>
      <c r="G156">
        <v>9.8979999999999997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2.3529411764703301E-2</v>
      </c>
      <c r="Q156">
        <f t="shared" ref="Q156" si="756">F156*P156</f>
        <v>107421.48470587056</v>
      </c>
      <c r="R156">
        <f t="shared" ref="R156" si="757">R157+Q156</f>
        <v>107349414.27049565</v>
      </c>
      <c r="S156">
        <f t="shared" ref="S156" si="758">R156/100000</f>
        <v>1073.4941427049566</v>
      </c>
      <c r="T156">
        <f t="shared" ref="T156" si="759">S156/1000</f>
        <v>1.0734941427049567</v>
      </c>
    </row>
    <row r="157" spans="1:20" x14ac:dyDescent="0.25">
      <c r="A157" s="5">
        <v>44436</v>
      </c>
      <c r="B157">
        <v>10.38</v>
      </c>
      <c r="C157">
        <v>10.654999999999999</v>
      </c>
      <c r="D157">
        <v>9.7680000000000007</v>
      </c>
      <c r="E157">
        <v>9.9659999999999993</v>
      </c>
      <c r="F157">
        <v>4765226.3</v>
      </c>
      <c r="G157">
        <v>9.9659999999999993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-0.55355129650507573</v>
      </c>
      <c r="Q157">
        <f t="shared" ref="Q157" si="761">F157*P157</f>
        <v>-2637797.1965050846</v>
      </c>
      <c r="R157">
        <f t="shared" ref="R157" si="762">R158+Q157</f>
        <v>107241992.78578979</v>
      </c>
      <c r="S157">
        <f t="shared" ref="S157" si="763">R157/100000</f>
        <v>1072.4199278578978</v>
      </c>
      <c r="T157">
        <f t="shared" ref="T157" si="764">S157/1000</f>
        <v>1.0724199278578979</v>
      </c>
    </row>
    <row r="158" spans="1:20" x14ac:dyDescent="0.25">
      <c r="A158" s="5">
        <v>44435</v>
      </c>
      <c r="B158">
        <v>9.4930000000000003</v>
      </c>
      <c r="C158">
        <v>10.606999999999999</v>
      </c>
      <c r="D158">
        <v>9.26</v>
      </c>
      <c r="E158">
        <v>10.38</v>
      </c>
      <c r="F158">
        <v>8606278.8279999997</v>
      </c>
      <c r="G158">
        <v>10.38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0.66295471417966056</v>
      </c>
      <c r="Q158">
        <f t="shared" ref="Q158" si="766">F158*P158</f>
        <v>5705573.1205672035</v>
      </c>
      <c r="R158">
        <f t="shared" ref="R158" si="767">R159+Q158</f>
        <v>109879789.98229487</v>
      </c>
      <c r="S158">
        <f t="shared" ref="S158" si="768">R158/100000</f>
        <v>1098.7978998229487</v>
      </c>
      <c r="T158">
        <f t="shared" ref="T158" si="769">S158/1000</f>
        <v>1.0987978998229486</v>
      </c>
    </row>
    <row r="159" spans="1:20" x14ac:dyDescent="0.25">
      <c r="A159" s="5">
        <v>44434</v>
      </c>
      <c r="B159">
        <v>10.445</v>
      </c>
      <c r="C159">
        <v>10.760999999999999</v>
      </c>
      <c r="D159">
        <v>9.1989999999999998</v>
      </c>
      <c r="E159">
        <v>9.4939999999999998</v>
      </c>
      <c r="F159">
        <v>7826529.7089999998</v>
      </c>
      <c r="G159">
        <v>9.4939999999999998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-0.62227912932138274</v>
      </c>
      <c r="Q159">
        <f t="shared" ref="Q159" si="771">F159*P159</f>
        <v>-4870286.0929244552</v>
      </c>
      <c r="R159">
        <f t="shared" ref="R159" si="772">R160+Q159</f>
        <v>104174216.86172767</v>
      </c>
      <c r="S159">
        <f t="shared" ref="S159" si="773">R159/100000</f>
        <v>1041.7421686172768</v>
      </c>
      <c r="T159">
        <f t="shared" ref="T159" si="774">S159/1000</f>
        <v>1.0417421686172768</v>
      </c>
    </row>
    <row r="160" spans="1:20" x14ac:dyDescent="0.25">
      <c r="A160" s="5">
        <v>44433</v>
      </c>
      <c r="B160">
        <v>10.358000000000001</v>
      </c>
      <c r="C160">
        <v>10.85</v>
      </c>
      <c r="D160">
        <v>9.7769999999999992</v>
      </c>
      <c r="E160">
        <v>10.441000000000001</v>
      </c>
      <c r="F160">
        <v>8021935.3720000004</v>
      </c>
      <c r="G160">
        <v>10.441000000000001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0.23765144454799858</v>
      </c>
      <c r="Q160">
        <f t="shared" ref="Q160" si="776">F160*P160</f>
        <v>1906424.5292264866</v>
      </c>
      <c r="R160">
        <f t="shared" ref="R160" si="777">R161+Q160</f>
        <v>109044502.95465213</v>
      </c>
      <c r="S160">
        <f t="shared" ref="S160" si="778">R160/100000</f>
        <v>1090.4450295465213</v>
      </c>
      <c r="T160">
        <f t="shared" ref="T160" si="779">S160/1000</f>
        <v>1.0904450295465213</v>
      </c>
    </row>
    <row r="161" spans="1:20" x14ac:dyDescent="0.25">
      <c r="A161" s="5">
        <v>44432</v>
      </c>
      <c r="B161">
        <v>11.417999999999999</v>
      </c>
      <c r="C161">
        <v>12.005000000000001</v>
      </c>
      <c r="D161">
        <v>10.25</v>
      </c>
      <c r="E161">
        <v>10.372999999999999</v>
      </c>
      <c r="F161">
        <v>9430849.0439999998</v>
      </c>
      <c r="G161">
        <v>10.372999999999999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-0.85982905982906066</v>
      </c>
      <c r="Q161">
        <f t="shared" ref="Q161" si="781">F161*P161</f>
        <v>-8108918.0668923156</v>
      </c>
      <c r="R161">
        <f t="shared" ref="R161" si="782">R162+Q161</f>
        <v>107138078.42542565</v>
      </c>
      <c r="S161">
        <f t="shared" ref="S161" si="783">R161/100000</f>
        <v>1071.3807842542565</v>
      </c>
      <c r="T161">
        <f t="shared" ref="T161" si="784">S161/1000</f>
        <v>1.0713807842542564</v>
      </c>
    </row>
    <row r="162" spans="1:20" x14ac:dyDescent="0.25">
      <c r="A162" s="5">
        <v>44431</v>
      </c>
      <c r="B162">
        <v>10.584</v>
      </c>
      <c r="C162">
        <v>12.478999999999999</v>
      </c>
      <c r="D162">
        <v>10.568</v>
      </c>
      <c r="E162">
        <v>11.420999999999999</v>
      </c>
      <c r="F162">
        <v>11268792.068</v>
      </c>
      <c r="G162">
        <v>11.420999999999999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-0.10727367870225019</v>
      </c>
      <c r="Q162">
        <f t="shared" ref="Q162" si="786">F162*P162</f>
        <v>-1208844.7796650974</v>
      </c>
      <c r="R162">
        <f t="shared" ref="R162" si="787">R163+Q162</f>
        <v>115246996.49231796</v>
      </c>
      <c r="S162">
        <f t="shared" ref="S162" si="788">R162/100000</f>
        <v>1152.4699649231795</v>
      </c>
      <c r="T162">
        <f t="shared" ref="T162" si="789">S162/1000</f>
        <v>1.1524699649231795</v>
      </c>
    </row>
    <row r="163" spans="1:20" x14ac:dyDescent="0.25">
      <c r="A163" s="5">
        <v>44430</v>
      </c>
      <c r="B163">
        <v>11.305</v>
      </c>
      <c r="C163">
        <v>11.5</v>
      </c>
      <c r="D163">
        <v>10.670999999999999</v>
      </c>
      <c r="E163">
        <v>11.172000000000001</v>
      </c>
      <c r="F163">
        <v>2801766.838</v>
      </c>
      <c r="G163">
        <v>11.172000000000001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0.20868516284680541</v>
      </c>
      <c r="Q163">
        <f t="shared" ref="Q163" si="791">F163*P163</f>
        <v>584687.16884680907</v>
      </c>
      <c r="R163">
        <f t="shared" ref="R163" si="792">R164+Q163</f>
        <v>116455841.27198306</v>
      </c>
      <c r="S163">
        <f t="shared" ref="S163" si="793">R163/100000</f>
        <v>1164.5584127198306</v>
      </c>
      <c r="T163">
        <f t="shared" ref="T163" si="794">S163/1000</f>
        <v>1.1645584127198305</v>
      </c>
    </row>
    <row r="164" spans="1:20" x14ac:dyDescent="0.25">
      <c r="A164" s="5">
        <v>44429</v>
      </c>
      <c r="B164">
        <v>9.3070000000000004</v>
      </c>
      <c r="C164">
        <v>11.73</v>
      </c>
      <c r="D164">
        <v>9.1039999999999992</v>
      </c>
      <c r="E164">
        <v>11.303000000000001</v>
      </c>
      <c r="F164">
        <v>14914112.344000001</v>
      </c>
      <c r="G164">
        <v>11.303000000000001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0.67479055597867521</v>
      </c>
      <c r="Q164">
        <f t="shared" ref="Q164" si="796">F164*P164</f>
        <v>10063902.160536183</v>
      </c>
      <c r="R164">
        <f t="shared" ref="R164" si="797">R165+Q164</f>
        <v>115871154.10313624</v>
      </c>
      <c r="S164">
        <f t="shared" ref="S164" si="798">R164/100000</f>
        <v>1158.7115410313625</v>
      </c>
      <c r="T164">
        <f t="shared" ref="T164" si="799">S164/1000</f>
        <v>1.1587115410313624</v>
      </c>
    </row>
    <row r="165" spans="1:20" x14ac:dyDescent="0.25">
      <c r="A165" s="5">
        <v>44428</v>
      </c>
      <c r="B165">
        <v>8.8360000000000003</v>
      </c>
      <c r="C165">
        <v>9.5</v>
      </c>
      <c r="D165">
        <v>8.7070000000000007</v>
      </c>
      <c r="E165">
        <v>9.3030000000000008</v>
      </c>
      <c r="F165">
        <v>7519021.8830000004</v>
      </c>
      <c r="G165">
        <v>9.3030000000000008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0.50315258511979988</v>
      </c>
      <c r="Q165">
        <f t="shared" ref="Q165" si="801">F165*P165</f>
        <v>3783215.2980037956</v>
      </c>
      <c r="R165">
        <f t="shared" ref="R165" si="802">R166+Q165</f>
        <v>105807251.94260006</v>
      </c>
      <c r="S165">
        <f t="shared" ref="S165" si="803">R165/100000</f>
        <v>1058.0725194260006</v>
      </c>
      <c r="T165">
        <f t="shared" ref="T165" si="804">S165/1000</f>
        <v>1.0580725194260006</v>
      </c>
    </row>
    <row r="166" spans="1:20" x14ac:dyDescent="0.25">
      <c r="A166" s="5">
        <v>44427</v>
      </c>
      <c r="B166">
        <v>8.0630000000000006</v>
      </c>
      <c r="C166">
        <v>9.0229999999999997</v>
      </c>
      <c r="D166">
        <v>7.8719999999999999</v>
      </c>
      <c r="E166">
        <v>8.8350000000000009</v>
      </c>
      <c r="F166">
        <v>9188733.1439999994</v>
      </c>
      <c r="G166">
        <v>8.8350000000000009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0.67332754126846417</v>
      </c>
      <c r="Q166">
        <f t="shared" ref="Q166" si="806">F166*P166</f>
        <v>6187027.0952215642</v>
      </c>
      <c r="R166">
        <f t="shared" ref="R166" si="807">R167+Q166</f>
        <v>102024036.64459626</v>
      </c>
      <c r="S166">
        <f t="shared" ref="S166" si="808">R166/100000</f>
        <v>1020.2403664459626</v>
      </c>
      <c r="T166">
        <f t="shared" ref="T166" si="809">S166/1000</f>
        <v>1.0202403664459627</v>
      </c>
    </row>
    <row r="167" spans="1:20" x14ac:dyDescent="0.25">
      <c r="A167" s="5">
        <v>44426</v>
      </c>
      <c r="B167">
        <v>8.3940000000000001</v>
      </c>
      <c r="C167">
        <v>8.5719999999999992</v>
      </c>
      <c r="D167">
        <v>7.8079999999999998</v>
      </c>
      <c r="E167">
        <v>8.0619999999999994</v>
      </c>
      <c r="F167">
        <v>8772215.2789999992</v>
      </c>
      <c r="G167">
        <v>8.0619999999999994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-0.33507853403141419</v>
      </c>
      <c r="Q167">
        <f t="shared" ref="Q167" si="811">F167*P167</f>
        <v>-2939381.0358952926</v>
      </c>
      <c r="R167">
        <f t="shared" ref="R167" si="812">R168+Q167</f>
        <v>95837009.5493747</v>
      </c>
      <c r="S167">
        <f t="shared" ref="S167" si="813">R167/100000</f>
        <v>958.37009549374704</v>
      </c>
      <c r="T167">
        <f t="shared" ref="T167" si="814">S167/1000</f>
        <v>0.95837009549374708</v>
      </c>
    </row>
    <row r="168" spans="1:20" x14ac:dyDescent="0.25">
      <c r="A168" s="5">
        <v>44425</v>
      </c>
      <c r="B168">
        <v>8.6349999999999998</v>
      </c>
      <c r="C168">
        <v>9.7449999999999992</v>
      </c>
      <c r="D168">
        <v>8.1999999999999993</v>
      </c>
      <c r="E168">
        <v>8.3849999999999998</v>
      </c>
      <c r="F168">
        <v>12682546.977</v>
      </c>
      <c r="G168">
        <v>8.3849999999999998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-0.7605177993527501</v>
      </c>
      <c r="Q168">
        <f t="shared" ref="Q168" si="816">F168*P168</f>
        <v>-9645302.7171359137</v>
      </c>
      <c r="R168">
        <f t="shared" ref="R168" si="817">R169+Q168</f>
        <v>98776390.585269988</v>
      </c>
      <c r="S168">
        <f t="shared" ref="S168" si="818">R168/100000</f>
        <v>987.76390585269985</v>
      </c>
      <c r="T168">
        <f t="shared" ref="T168" si="819">S168/1000</f>
        <v>0.9877639058526998</v>
      </c>
    </row>
    <row r="169" spans="1:20" x14ac:dyDescent="0.25">
      <c r="A169" s="5">
        <v>44424</v>
      </c>
      <c r="B169">
        <v>8.4160000000000004</v>
      </c>
      <c r="C169">
        <v>9.609</v>
      </c>
      <c r="D169">
        <v>8.2509999999999994</v>
      </c>
      <c r="E169">
        <v>8.6349999999999998</v>
      </c>
      <c r="F169">
        <v>12759442.475</v>
      </c>
      <c r="G169">
        <v>8.6349999999999998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-0.43446244477172286</v>
      </c>
      <c r="Q169">
        <f t="shared" ref="Q169" si="821">F169*P169</f>
        <v>-5543498.5716126617</v>
      </c>
      <c r="R169">
        <f t="shared" ref="R169" si="822">R170+Q169</f>
        <v>108421693.30240591</v>
      </c>
      <c r="S169">
        <f t="shared" ref="S169" si="823">R169/100000</f>
        <v>1084.216933024059</v>
      </c>
      <c r="T169">
        <f t="shared" ref="T169" si="824">S169/1000</f>
        <v>1.084216933024059</v>
      </c>
    </row>
    <row r="170" spans="1:20" x14ac:dyDescent="0.25">
      <c r="A170" s="5">
        <v>44423</v>
      </c>
      <c r="B170">
        <v>7.7210000000000001</v>
      </c>
      <c r="C170">
        <v>8.7789999999999999</v>
      </c>
      <c r="D170">
        <v>7.7119999999999997</v>
      </c>
      <c r="E170">
        <v>8.4160000000000004</v>
      </c>
      <c r="F170">
        <v>14948656.263</v>
      </c>
      <c r="G170">
        <v>8.4160000000000004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0.31958762886598036</v>
      </c>
      <c r="Q170">
        <f t="shared" ref="Q170" si="826">F170*P170</f>
        <v>4777405.6098247571</v>
      </c>
      <c r="R170">
        <f t="shared" ref="R170" si="827">R171+Q170</f>
        <v>113965191.87401856</v>
      </c>
      <c r="S170">
        <f t="shared" ref="S170" si="828">R170/100000</f>
        <v>1139.6519187401857</v>
      </c>
      <c r="T170">
        <f t="shared" ref="T170" si="829">S170/1000</f>
        <v>1.1396519187401857</v>
      </c>
    </row>
    <row r="171" spans="1:20" x14ac:dyDescent="0.25">
      <c r="A171" s="5">
        <v>44422</v>
      </c>
      <c r="B171">
        <v>7.3159999999999998</v>
      </c>
      <c r="C171">
        <v>7.8</v>
      </c>
      <c r="D171">
        <v>7.032</v>
      </c>
      <c r="E171">
        <v>7.7210000000000001</v>
      </c>
      <c r="F171">
        <v>10547122.828</v>
      </c>
      <c r="G171">
        <v>7.7210000000000001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0.79427083333333393</v>
      </c>
      <c r="Q171">
        <f t="shared" ref="Q171" si="831">F171*P171</f>
        <v>8377272.0378645891</v>
      </c>
      <c r="R171">
        <f t="shared" ref="R171" si="832">R172+Q171</f>
        <v>109187786.2641938</v>
      </c>
      <c r="S171">
        <f t="shared" ref="S171" si="833">R171/100000</f>
        <v>1091.877862641938</v>
      </c>
      <c r="T171">
        <f t="shared" ref="T171" si="834">S171/1000</f>
        <v>1.0918778626419381</v>
      </c>
    </row>
    <row r="172" spans="1:20" x14ac:dyDescent="0.25">
      <c r="A172" s="5">
        <v>44421</v>
      </c>
      <c r="B172">
        <v>6.7839999999999998</v>
      </c>
      <c r="C172">
        <v>7.468</v>
      </c>
      <c r="D172">
        <v>6.6440000000000001</v>
      </c>
      <c r="E172">
        <v>7.32</v>
      </c>
      <c r="F172">
        <v>7094837.8909999998</v>
      </c>
      <c r="G172">
        <v>7.32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0.64077669902912693</v>
      </c>
      <c r="Q172">
        <f t="shared" ref="Q172" si="836">F172*P172</f>
        <v>4546206.8039417528</v>
      </c>
      <c r="R172">
        <f t="shared" ref="R172" si="837">R173+Q172</f>
        <v>100810514.22632921</v>
      </c>
      <c r="S172">
        <f t="shared" ref="S172" si="838">R172/100000</f>
        <v>1008.1051422632921</v>
      </c>
      <c r="T172">
        <f t="shared" ref="T172" si="839">S172/1000</f>
        <v>1.0081051422632921</v>
      </c>
    </row>
    <row r="173" spans="1:20" x14ac:dyDescent="0.25">
      <c r="A173" s="5">
        <v>44420</v>
      </c>
      <c r="B173">
        <v>7.016</v>
      </c>
      <c r="C173">
        <v>7.351</v>
      </c>
      <c r="D173">
        <v>6.48</v>
      </c>
      <c r="E173">
        <v>6.782</v>
      </c>
      <c r="F173">
        <v>8410922.1329999994</v>
      </c>
      <c r="G173">
        <v>6.782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-0.30654420206659067</v>
      </c>
      <c r="Q173">
        <f t="shared" ref="Q173" si="841">F173*P173</f>
        <v>-2578319.4139047116</v>
      </c>
      <c r="R173">
        <f t="shared" ref="R173" si="842">R174+Q173</f>
        <v>96264307.422387451</v>
      </c>
      <c r="S173">
        <f t="shared" ref="S173" si="843">R173/100000</f>
        <v>962.64307422387446</v>
      </c>
      <c r="T173">
        <f t="shared" ref="T173" si="844">S173/1000</f>
        <v>0.96264307422387452</v>
      </c>
    </row>
    <row r="174" spans="1:20" x14ac:dyDescent="0.25">
      <c r="A174" s="5">
        <v>44419</v>
      </c>
      <c r="B174">
        <v>7.1029999999999998</v>
      </c>
      <c r="C174">
        <v>7.609</v>
      </c>
      <c r="D174">
        <v>6.907</v>
      </c>
      <c r="E174">
        <v>7.016</v>
      </c>
      <c r="F174">
        <v>11307831.284</v>
      </c>
      <c r="G174">
        <v>7.016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-0.68945868945868949</v>
      </c>
      <c r="Q174">
        <f t="shared" ref="Q174" si="846">F174*P174</f>
        <v>-7796282.5376866097</v>
      </c>
      <c r="R174">
        <f t="shared" ref="R174" si="847">R175+Q174</f>
        <v>98842626.836292163</v>
      </c>
      <c r="S174">
        <f t="shared" ref="S174" si="848">R174/100000</f>
        <v>988.42626836292163</v>
      </c>
      <c r="T174">
        <f t="shared" ref="T174" si="849">S174/1000</f>
        <v>0.98842626836292158</v>
      </c>
    </row>
    <row r="175" spans="1:20" x14ac:dyDescent="0.25">
      <c r="A175" s="5">
        <v>44418</v>
      </c>
      <c r="B175">
        <v>6.87</v>
      </c>
      <c r="C175">
        <v>7.3339999999999996</v>
      </c>
      <c r="D175">
        <v>6.61</v>
      </c>
      <c r="E175">
        <v>7.1029999999999998</v>
      </c>
      <c r="F175">
        <v>11942996.919</v>
      </c>
      <c r="G175">
        <v>7.1029999999999998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0.36187845303867378</v>
      </c>
      <c r="Q175">
        <f t="shared" ref="Q175" si="851">F175*P175</f>
        <v>4321913.2496933667</v>
      </c>
      <c r="R175">
        <f t="shared" ref="R175" si="852">R176+Q175</f>
        <v>106638909.37397878</v>
      </c>
      <c r="S175">
        <f t="shared" ref="S175" si="853">R175/100000</f>
        <v>1066.3890937397878</v>
      </c>
      <c r="T175">
        <f t="shared" ref="T175" si="854">S175/1000</f>
        <v>1.0663890937397877</v>
      </c>
    </row>
    <row r="176" spans="1:20" x14ac:dyDescent="0.25">
      <c r="A176" s="5">
        <v>44417</v>
      </c>
      <c r="B176">
        <v>6.7009999999999996</v>
      </c>
      <c r="C176">
        <v>7.6879999999999997</v>
      </c>
      <c r="D176">
        <v>6.4</v>
      </c>
      <c r="E176">
        <v>6.87</v>
      </c>
      <c r="F176">
        <v>12858780.060000001</v>
      </c>
      <c r="G176">
        <v>6.87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-0.27018633540372672</v>
      </c>
      <c r="Q176">
        <f t="shared" ref="Q176" si="856">F176*P176</f>
        <v>-3474266.6621739133</v>
      </c>
      <c r="R176">
        <f t="shared" ref="R176" si="857">R177+Q176</f>
        <v>102316996.12428541</v>
      </c>
      <c r="S176">
        <f t="shared" ref="S176" si="858">R176/100000</f>
        <v>1023.1699612428541</v>
      </c>
      <c r="T176">
        <f t="shared" ref="T176" si="859">S176/1000</f>
        <v>1.0231699612428542</v>
      </c>
    </row>
    <row r="177" spans="1:20" x14ac:dyDescent="0.25">
      <c r="A177" s="5">
        <v>44416</v>
      </c>
      <c r="B177">
        <v>7.5629999999999997</v>
      </c>
      <c r="C177">
        <v>7.5990000000000002</v>
      </c>
      <c r="D177">
        <v>6.5110000000000001</v>
      </c>
      <c r="E177">
        <v>6.6970000000000001</v>
      </c>
      <c r="F177">
        <v>10557944.676000001</v>
      </c>
      <c r="G177">
        <v>6.6970000000000001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-0.65808823529411775</v>
      </c>
      <c r="Q177">
        <f t="shared" ref="Q177" si="861">F177*P177</f>
        <v>-6948059.1801617667</v>
      </c>
      <c r="R177">
        <f t="shared" ref="R177" si="862">R178+Q177</f>
        <v>105791262.78645933</v>
      </c>
      <c r="S177">
        <f t="shared" ref="S177" si="863">R177/100000</f>
        <v>1057.9126278645933</v>
      </c>
      <c r="T177">
        <f t="shared" ref="T177" si="864">S177/1000</f>
        <v>1.0579126278645934</v>
      </c>
    </row>
    <row r="178" spans="1:20" x14ac:dyDescent="0.25">
      <c r="A178" s="5">
        <v>44415</v>
      </c>
      <c r="B178">
        <v>7.774</v>
      </c>
      <c r="C178">
        <v>8.1</v>
      </c>
      <c r="D178">
        <v>7.2279999999999998</v>
      </c>
      <c r="E178">
        <v>7.5659999999999998</v>
      </c>
      <c r="F178">
        <v>11721289.443</v>
      </c>
      <c r="G178">
        <v>7.5659999999999998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-0.22477064220183457</v>
      </c>
      <c r="Q178">
        <f t="shared" ref="Q178" si="866">F178*P178</f>
        <v>-2634601.7555366936</v>
      </c>
      <c r="R178">
        <f t="shared" ref="R178" si="867">R179+Q178</f>
        <v>112739321.9666211</v>
      </c>
      <c r="S178">
        <f t="shared" ref="S178" si="868">R178/100000</f>
        <v>1127.3932196662111</v>
      </c>
      <c r="T178">
        <f t="shared" ref="T178" si="869">S178/1000</f>
        <v>1.1273932196662111</v>
      </c>
    </row>
    <row r="179" spans="1:20" x14ac:dyDescent="0.25">
      <c r="A179" s="5">
        <v>44414</v>
      </c>
      <c r="B179">
        <v>8.0920000000000005</v>
      </c>
      <c r="C179">
        <v>8.1359999999999992</v>
      </c>
      <c r="D179">
        <v>7.6970000000000001</v>
      </c>
      <c r="E179">
        <v>7.7709999999999999</v>
      </c>
      <c r="F179">
        <v>8640228.9600000009</v>
      </c>
      <c r="G179">
        <v>7.7709999999999999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-0.66287015945330308</v>
      </c>
      <c r="Q179">
        <f t="shared" ref="Q179" si="871">F179*P179</f>
        <v>-5727349.9484282481</v>
      </c>
      <c r="R179">
        <f t="shared" ref="R179" si="872">R180+Q179</f>
        <v>115373923.72215779</v>
      </c>
      <c r="S179">
        <f t="shared" ref="S179" si="873">R179/100000</f>
        <v>1153.7392372215779</v>
      </c>
      <c r="T179">
        <f t="shared" ref="T179" si="874">S179/1000</f>
        <v>1.153739237221578</v>
      </c>
    </row>
    <row r="180" spans="1:20" x14ac:dyDescent="0.25">
      <c r="A180" s="5">
        <v>44413</v>
      </c>
      <c r="B180">
        <v>7.899</v>
      </c>
      <c r="C180">
        <v>8.4</v>
      </c>
      <c r="D180">
        <v>7.5940000000000003</v>
      </c>
      <c r="E180">
        <v>8.0939999999999994</v>
      </c>
      <c r="F180">
        <v>12712052.1</v>
      </c>
      <c r="G180">
        <v>8.0939999999999994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0.24069478908188358</v>
      </c>
      <c r="Q180">
        <f t="shared" ref="Q180" si="876">F180*P180</f>
        <v>3059724.6990074152</v>
      </c>
      <c r="R180">
        <f t="shared" ref="R180" si="877">R181+Q180</f>
        <v>121101273.67058603</v>
      </c>
      <c r="S180">
        <f t="shared" ref="S180" si="878">R180/100000</f>
        <v>1211.0127367058603</v>
      </c>
      <c r="T180">
        <f t="shared" ref="T180" si="879">S180/1000</f>
        <v>1.2110127367058603</v>
      </c>
    </row>
    <row r="181" spans="1:20" x14ac:dyDescent="0.25">
      <c r="A181" s="5">
        <v>44412</v>
      </c>
      <c r="B181">
        <v>6.8239999999999998</v>
      </c>
      <c r="C181">
        <v>8.25</v>
      </c>
      <c r="D181">
        <v>6.64</v>
      </c>
      <c r="E181">
        <v>7.899</v>
      </c>
      <c r="F181">
        <v>17620525.793000001</v>
      </c>
      <c r="G181">
        <v>7.899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0.56397515527950326</v>
      </c>
      <c r="Q181">
        <f t="shared" ref="Q181" si="881">F181*P181</f>
        <v>9937538.7702136673</v>
      </c>
      <c r="R181">
        <f t="shared" ref="R181" si="882">R182+Q181</f>
        <v>118041548.97157861</v>
      </c>
      <c r="S181">
        <f t="shared" ref="S181" si="883">R181/100000</f>
        <v>1180.4154897157862</v>
      </c>
      <c r="T181">
        <f t="shared" ref="T181" si="884">S181/1000</f>
        <v>1.1804154897157861</v>
      </c>
    </row>
    <row r="182" spans="1:20" x14ac:dyDescent="0.25">
      <c r="A182" s="5">
        <v>44411</v>
      </c>
      <c r="B182">
        <v>7.2990000000000004</v>
      </c>
      <c r="C182">
        <v>7.68</v>
      </c>
      <c r="D182">
        <v>6.6239999999999997</v>
      </c>
      <c r="E182">
        <v>6.82</v>
      </c>
      <c r="F182">
        <v>14943256.059</v>
      </c>
      <c r="G182">
        <v>6.82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-0.62878787878787767</v>
      </c>
      <c r="Q182">
        <f t="shared" ref="Q182" si="886">F182*P182</f>
        <v>-9396138.2795227114</v>
      </c>
      <c r="R182">
        <f t="shared" ref="R182" si="887">R183+Q182</f>
        <v>108104010.20136495</v>
      </c>
      <c r="S182">
        <f t="shared" ref="S182" si="888">R182/100000</f>
        <v>1081.0401020136494</v>
      </c>
      <c r="T182">
        <f t="shared" ref="T182" si="889">S182/1000</f>
        <v>1.0810401020136493</v>
      </c>
    </row>
    <row r="183" spans="1:20" x14ac:dyDescent="0.25">
      <c r="A183" s="5">
        <v>44410</v>
      </c>
      <c r="B183">
        <v>5.9820000000000002</v>
      </c>
      <c r="C183">
        <v>7.4589999999999996</v>
      </c>
      <c r="D183">
        <v>5.77</v>
      </c>
      <c r="E183">
        <v>7.2939999999999996</v>
      </c>
      <c r="F183">
        <v>19042514.526999999</v>
      </c>
      <c r="G183">
        <v>7.2939999999999996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0.80461811722912968</v>
      </c>
      <c r="Q183">
        <f t="shared" ref="Q183" si="891">F183*P183</f>
        <v>15321952.18602309</v>
      </c>
      <c r="R183">
        <f t="shared" ref="R183" si="892">R184+Q183</f>
        <v>117500148.48088767</v>
      </c>
      <c r="S183">
        <f t="shared" ref="S183" si="893">R183/100000</f>
        <v>1175.0014848088767</v>
      </c>
      <c r="T183">
        <f t="shared" ref="T183" si="894">S183/1000</f>
        <v>1.1750014848088768</v>
      </c>
    </row>
    <row r="184" spans="1:20" x14ac:dyDescent="0.25">
      <c r="A184" s="5">
        <v>44409</v>
      </c>
      <c r="B184">
        <v>6.4859999999999998</v>
      </c>
      <c r="C184">
        <v>6.76</v>
      </c>
      <c r="D184">
        <v>5.9160000000000004</v>
      </c>
      <c r="E184">
        <v>5.98</v>
      </c>
      <c r="F184">
        <v>10788051.550000001</v>
      </c>
      <c r="G184">
        <v>5.98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-0.84834123222748792</v>
      </c>
      <c r="Q184">
        <f t="shared" ref="Q184" si="896">F184*P184</f>
        <v>-9151948.9452606607</v>
      </c>
      <c r="R184">
        <f t="shared" ref="R184" si="897">R185+Q184</f>
        <v>102178196.29486458</v>
      </c>
      <c r="S184">
        <f t="shared" ref="S184" si="898">R184/100000</f>
        <v>1021.7819629486459</v>
      </c>
      <c r="T184">
        <f t="shared" ref="T184" si="899">S184/1000</f>
        <v>1.0217819629486458</v>
      </c>
    </row>
    <row r="185" spans="1:20" x14ac:dyDescent="0.25">
      <c r="A185" s="5">
        <v>44408</v>
      </c>
      <c r="B185">
        <v>6.3259999999999996</v>
      </c>
      <c r="C185">
        <v>6.7649999999999997</v>
      </c>
      <c r="D185">
        <v>6.0529999999999999</v>
      </c>
      <c r="E185">
        <v>6.4870000000000001</v>
      </c>
      <c r="F185">
        <v>14914114.356000001</v>
      </c>
      <c r="G185">
        <v>6.4870000000000001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0.21910112359550651</v>
      </c>
      <c r="Q185">
        <f t="shared" ref="Q185" si="901">F185*P185</f>
        <v>3267699.2128314744</v>
      </c>
      <c r="R185">
        <f t="shared" ref="R185" si="902">R186+Q185</f>
        <v>111330145.24012524</v>
      </c>
      <c r="S185">
        <f t="shared" ref="S185" si="903">R185/100000</f>
        <v>1113.3014524012524</v>
      </c>
      <c r="T185">
        <f t="shared" ref="T185" si="904">S185/1000</f>
        <v>1.1133014524012523</v>
      </c>
    </row>
    <row r="186" spans="1:20" x14ac:dyDescent="0.25">
      <c r="A186" s="5">
        <v>44407</v>
      </c>
      <c r="B186">
        <v>5.4610000000000003</v>
      </c>
      <c r="C186">
        <v>6.444</v>
      </c>
      <c r="D186">
        <v>5.12</v>
      </c>
      <c r="E186">
        <v>6.327</v>
      </c>
      <c r="F186">
        <v>22198287.912999999</v>
      </c>
      <c r="G186">
        <v>6.327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0.82326283987915405</v>
      </c>
      <c r="Q186">
        <f t="shared" ref="Q186" si="906">F186*P186</f>
        <v>18275025.54771148</v>
      </c>
      <c r="R186">
        <f t="shared" ref="R186" si="907">R187+Q186</f>
        <v>108062446.02729377</v>
      </c>
      <c r="S186">
        <f t="shared" ref="S186" si="908">R186/100000</f>
        <v>1080.6244602729378</v>
      </c>
      <c r="T186">
        <f t="shared" ref="T186" si="909">S186/1000</f>
        <v>1.0806244602729378</v>
      </c>
    </row>
    <row r="187" spans="1:20" x14ac:dyDescent="0.25">
      <c r="A187" s="5">
        <v>44406</v>
      </c>
      <c r="B187">
        <v>4.6470000000000002</v>
      </c>
      <c r="C187">
        <v>5.8869999999999996</v>
      </c>
      <c r="D187">
        <v>4.5579999999999998</v>
      </c>
      <c r="E187">
        <v>5.4610000000000003</v>
      </c>
      <c r="F187">
        <v>39618191.858999997</v>
      </c>
      <c r="G187">
        <v>5.4610000000000003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0.35891647855530573</v>
      </c>
      <c r="Q187">
        <f t="shared" ref="Q187" si="911">F187*P187</f>
        <v>14219621.90876076</v>
      </c>
      <c r="R187">
        <f t="shared" ref="R187" si="912">R188+Q187</f>
        <v>89787420.479582295</v>
      </c>
      <c r="S187">
        <f t="shared" ref="S187" si="913">R187/100000</f>
        <v>897.87420479582295</v>
      </c>
      <c r="T187">
        <f t="shared" ref="T187" si="914">S187/1000</f>
        <v>0.89787420479582292</v>
      </c>
    </row>
    <row r="188" spans="1:20" x14ac:dyDescent="0.25">
      <c r="A188" s="5">
        <v>44405</v>
      </c>
      <c r="B188">
        <v>4.0019999999999998</v>
      </c>
      <c r="C188">
        <v>4.782</v>
      </c>
      <c r="D188">
        <v>3.847</v>
      </c>
      <c r="E188">
        <v>4.6470000000000002</v>
      </c>
      <c r="F188">
        <v>21325113.338</v>
      </c>
      <c r="G188">
        <v>4.6470000000000002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0.71122994652406468</v>
      </c>
      <c r="Q188">
        <f t="shared" ref="Q188" si="916">F188*P188</f>
        <v>15167059.219005357</v>
      </c>
      <c r="R188">
        <f t="shared" ref="R188" si="917">R189+Q188</f>
        <v>75567798.570821539</v>
      </c>
      <c r="S188">
        <f t="shared" ref="S188" si="918">R188/100000</f>
        <v>755.67798570821537</v>
      </c>
      <c r="T188">
        <f t="shared" ref="T188" si="919">S188/1000</f>
        <v>0.75567798570821543</v>
      </c>
    </row>
    <row r="189" spans="1:20" x14ac:dyDescent="0.25">
      <c r="A189" s="5">
        <v>44404</v>
      </c>
      <c r="B189">
        <v>3.8969999999999998</v>
      </c>
      <c r="C189">
        <v>4.1870000000000003</v>
      </c>
      <c r="D189">
        <v>3.5720000000000001</v>
      </c>
      <c r="E189">
        <v>3.9980000000000002</v>
      </c>
      <c r="F189">
        <v>17025869.938999999</v>
      </c>
      <c r="G189">
        <v>3.9980000000000002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0.38536585365853659</v>
      </c>
      <c r="Q189">
        <f t="shared" ref="Q189" si="921">F189*P189</f>
        <v>6561188.9033219507</v>
      </c>
      <c r="R189">
        <f t="shared" ref="R189" si="922">R190+Q189</f>
        <v>60400739.351816185</v>
      </c>
      <c r="S189">
        <f t="shared" ref="S189" si="923">R189/100000</f>
        <v>604.00739351816185</v>
      </c>
      <c r="T189">
        <f t="shared" ref="T189" si="924">S189/1000</f>
        <v>0.60400739351816179</v>
      </c>
    </row>
    <row r="190" spans="1:20" x14ac:dyDescent="0.25">
      <c r="A190" s="5">
        <v>44403</v>
      </c>
      <c r="B190">
        <v>3.5049999999999999</v>
      </c>
      <c r="C190">
        <v>4.4379999999999997</v>
      </c>
      <c r="D190">
        <v>3.492</v>
      </c>
      <c r="E190">
        <v>3.8940000000000001</v>
      </c>
      <c r="F190">
        <v>32728542.114999998</v>
      </c>
      <c r="G190">
        <v>3.8940000000000001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-0.15010570824524261</v>
      </c>
      <c r="Q190">
        <f t="shared" ref="Q190" si="926">F190*P190</f>
        <v>-4912740.9940063255</v>
      </c>
      <c r="R190">
        <f t="shared" ref="R190" si="927">R191+Q190</f>
        <v>53839550.448494233</v>
      </c>
      <c r="S190">
        <f t="shared" ref="S190" si="928">R190/100000</f>
        <v>538.39550448494231</v>
      </c>
      <c r="T190">
        <f t="shared" ref="T190" si="929">S190/1000</f>
        <v>0.53839550448494233</v>
      </c>
    </row>
    <row r="191" spans="1:20" x14ac:dyDescent="0.25">
      <c r="A191" s="5">
        <v>44402</v>
      </c>
      <c r="B191">
        <v>3.5920000000000001</v>
      </c>
      <c r="C191">
        <v>3.5990000000000002</v>
      </c>
      <c r="D191">
        <v>3.3</v>
      </c>
      <c r="E191">
        <v>3.5070000000000001</v>
      </c>
      <c r="F191">
        <v>11375338.523</v>
      </c>
      <c r="G191">
        <v>3.5070000000000001</v>
      </c>
      <c r="L191" t="s">
        <v>7</v>
      </c>
      <c r="M191" t="s">
        <v>7</v>
      </c>
      <c r="N191" t="s">
        <v>7</v>
      </c>
      <c r="P191">
        <f t="shared" ref="P191" si="930">IF(C191=D191,0,((E191-D191)-(C191-E191))/(C191-D191))</f>
        <v>0.38461538461538486</v>
      </c>
      <c r="Q191">
        <f t="shared" ref="Q191" si="931">F191*P191</f>
        <v>4375130.2011538493</v>
      </c>
      <c r="R191">
        <f t="shared" ref="R191" si="932">R192+Q191</f>
        <v>58752291.442500561</v>
      </c>
      <c r="S191">
        <f t="shared" ref="S191" si="933">R191/100000</f>
        <v>587.52291442500564</v>
      </c>
      <c r="T191">
        <f t="shared" ref="T191:T197" si="934">S191/1000</f>
        <v>0.58752291442500559</v>
      </c>
    </row>
    <row r="192" spans="1:20" x14ac:dyDescent="0.25">
      <c r="A192" s="5">
        <v>44401</v>
      </c>
      <c r="B192">
        <v>3.835</v>
      </c>
      <c r="C192">
        <v>3.9009999999999998</v>
      </c>
      <c r="D192">
        <v>3.45</v>
      </c>
      <c r="E192">
        <v>3.5920000000000001</v>
      </c>
      <c r="F192">
        <v>19024242.320999999</v>
      </c>
      <c r="G192">
        <v>3.5920000000000001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-0.37028824833702872</v>
      </c>
      <c r="Q192">
        <f t="shared" ref="Q192" si="936">F192*P192</f>
        <v>-7044453.3649822595</v>
      </c>
      <c r="R192">
        <f t="shared" ref="R192" si="937">R193+Q192</f>
        <v>54377161.241346709</v>
      </c>
      <c r="S192">
        <f t="shared" ref="S192" si="938">R192/100000</f>
        <v>543.7716124134671</v>
      </c>
      <c r="T192">
        <f t="shared" si="934"/>
        <v>0.54377161241346705</v>
      </c>
    </row>
    <row r="193" spans="1:20" x14ac:dyDescent="0.25">
      <c r="A193" s="5">
        <v>44400</v>
      </c>
      <c r="B193">
        <v>3.48</v>
      </c>
      <c r="C193">
        <v>4.2069999999999999</v>
      </c>
      <c r="D193">
        <v>3.4390000000000001</v>
      </c>
      <c r="E193">
        <v>3.831</v>
      </c>
      <c r="F193">
        <v>42292124.082999997</v>
      </c>
      <c r="G193">
        <v>3.831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2.0833333333333356E-2</v>
      </c>
      <c r="Q193">
        <f t="shared" ref="Q193" si="940">F193*P193</f>
        <v>881085.91839583428</v>
      </c>
      <c r="R193">
        <f t="shared" ref="R193" si="941">R194+Q193</f>
        <v>61421614.606328972</v>
      </c>
      <c r="S193">
        <f t="shared" ref="S193" si="942">R193/100000</f>
        <v>614.21614606328967</v>
      </c>
      <c r="T193">
        <f t="shared" si="934"/>
        <v>0.61421614606328967</v>
      </c>
    </row>
    <row r="194" spans="1:20" x14ac:dyDescent="0.25">
      <c r="A194" s="5">
        <v>44399</v>
      </c>
      <c r="B194">
        <v>4.3</v>
      </c>
      <c r="C194">
        <v>4.82</v>
      </c>
      <c r="D194">
        <v>3.4020000000000001</v>
      </c>
      <c r="E194">
        <v>3.4809999999999999</v>
      </c>
      <c r="F194">
        <v>26243980.238000002</v>
      </c>
      <c r="G194">
        <v>3.4809999999999999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-0.88857545839210195</v>
      </c>
      <c r="Q194">
        <f t="shared" ref="Q194" si="944">F194*P194</f>
        <v>-23319756.770014115</v>
      </c>
      <c r="R194">
        <f t="shared" ref="R194" si="945">R195+Q194</f>
        <v>60540528.68793314</v>
      </c>
      <c r="S194">
        <f t="shared" ref="S194" si="946">R194/100000</f>
        <v>605.40528687933136</v>
      </c>
      <c r="T194">
        <f t="shared" si="934"/>
        <v>0.60540528687933137</v>
      </c>
    </row>
    <row r="195" spans="1:20" x14ac:dyDescent="0.25">
      <c r="A195" s="5">
        <v>44398</v>
      </c>
      <c r="B195">
        <v>3.5179999999999998</v>
      </c>
      <c r="C195">
        <v>4.5190000000000001</v>
      </c>
      <c r="D195">
        <v>3.4470000000000001</v>
      </c>
      <c r="E195">
        <v>4.2969999999999997</v>
      </c>
      <c r="F195">
        <v>17854024.556000002</v>
      </c>
      <c r="G195">
        <v>4.2969999999999997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0.58582089552238725</v>
      </c>
      <c r="Q195">
        <f t="shared" ref="Q195" si="948">F195*P195</f>
        <v>10459260.654074613</v>
      </c>
      <c r="R195">
        <f t="shared" ref="R195" si="949">R196+Q195</f>
        <v>83860285.457947254</v>
      </c>
      <c r="S195">
        <f t="shared" ref="S195" si="950">R195/100000</f>
        <v>838.60285457947259</v>
      </c>
      <c r="T195">
        <f t="shared" si="934"/>
        <v>0.83860285457947259</v>
      </c>
    </row>
    <row r="196" spans="1:20" x14ac:dyDescent="0.25">
      <c r="A196" s="5">
        <v>44397</v>
      </c>
      <c r="B196">
        <v>3.6739999999999999</v>
      </c>
      <c r="C196">
        <v>3.85</v>
      </c>
      <c r="D196">
        <v>3.01</v>
      </c>
      <c r="E196">
        <v>3.524</v>
      </c>
      <c r="F196">
        <v>16700211.452</v>
      </c>
      <c r="G196">
        <v>3.524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0.22380952380952393</v>
      </c>
      <c r="Q196">
        <f t="shared" ref="Q196" si="952">F196*P196</f>
        <v>3737666.372590478</v>
      </c>
      <c r="R196">
        <f t="shared" ref="R196" si="953">R197+Q196</f>
        <v>73401024.803872645</v>
      </c>
      <c r="S196">
        <f t="shared" ref="S196" si="954">R196/100000</f>
        <v>734.01024803872644</v>
      </c>
      <c r="T196">
        <f t="shared" si="934"/>
        <v>0.7340102480387265</v>
      </c>
    </row>
    <row r="197" spans="1:20" x14ac:dyDescent="0.25">
      <c r="A197" s="5">
        <v>44396</v>
      </c>
      <c r="B197">
        <v>4.0979999999999999</v>
      </c>
      <c r="C197">
        <v>4.12</v>
      </c>
      <c r="D197">
        <v>3.548</v>
      </c>
      <c r="E197">
        <v>3.673</v>
      </c>
      <c r="F197">
        <v>9940348.3190000001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-0.56293706293706303</v>
      </c>
      <c r="Q197">
        <f t="shared" ref="Q197" si="956">F197*P197</f>
        <v>-5595790.487269232</v>
      </c>
      <c r="R197">
        <f t="shared" ref="R197" si="957">R198+Q197</f>
        <v>69663358.431282163</v>
      </c>
      <c r="S197">
        <f t="shared" ref="S197" si="958">R197/100000</f>
        <v>696.63358431282165</v>
      </c>
      <c r="T197">
        <f t="shared" si="934"/>
        <v>0.69663358431282163</v>
      </c>
    </row>
    <row r="198" spans="1:20" x14ac:dyDescent="0.25">
      <c r="A198" s="5">
        <v>44395</v>
      </c>
      <c r="B198">
        <v>4.2460000000000004</v>
      </c>
      <c r="C198">
        <v>4.6479999999999997</v>
      </c>
      <c r="D198">
        <v>4.0910000000000002</v>
      </c>
      <c r="E198">
        <v>4.0949999999999998</v>
      </c>
      <c r="F198">
        <v>5415438.6069999998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-0.98563734290843963</v>
      </c>
      <c r="Q198">
        <f t="shared" ref="Q198:Q261" si="960">F198*P198</f>
        <v>-5337658.5192872612</v>
      </c>
      <c r="R198">
        <f t="shared" ref="R198:R261" si="961">R199+Q198</f>
        <v>75259148.9185514</v>
      </c>
      <c r="S198">
        <f t="shared" ref="S198:S261" si="962">R198/100000</f>
        <v>752.59148918551398</v>
      </c>
      <c r="T198">
        <f t="shared" ref="T198:T261" si="963">S198/1000</f>
        <v>0.752591489185514</v>
      </c>
    </row>
    <row r="199" spans="1:20" x14ac:dyDescent="0.25">
      <c r="A199" s="5">
        <v>44394</v>
      </c>
      <c r="B199">
        <v>4.5910000000000002</v>
      </c>
      <c r="C199">
        <v>4.6509999999999998</v>
      </c>
      <c r="D199">
        <v>3.9609999999999999</v>
      </c>
      <c r="E199">
        <v>4.2460000000000004</v>
      </c>
      <c r="F199">
        <v>9977892.8120000008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-0.17391304347825912</v>
      </c>
      <c r="Q199">
        <f t="shared" si="960"/>
        <v>-1735285.7064347654</v>
      </c>
      <c r="R199">
        <f t="shared" si="961"/>
        <v>80596807.437838659</v>
      </c>
      <c r="S199">
        <f t="shared" si="962"/>
        <v>805.96807437838663</v>
      </c>
      <c r="T199">
        <f t="shared" si="963"/>
        <v>0.80596807437838658</v>
      </c>
    </row>
    <row r="200" spans="1:20" x14ac:dyDescent="0.25">
      <c r="A200" s="5">
        <v>44393</v>
      </c>
      <c r="B200">
        <v>4.9000000000000004</v>
      </c>
      <c r="C200">
        <v>5.1349999999999998</v>
      </c>
      <c r="D200">
        <v>4.5279999999999996</v>
      </c>
      <c r="E200">
        <v>4.59</v>
      </c>
      <c r="F200">
        <v>9030033.1669999994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-0.79571663920922486</v>
      </c>
      <c r="Q200">
        <f t="shared" si="960"/>
        <v>-7185347.6435930729</v>
      </c>
      <c r="R200">
        <f t="shared" si="961"/>
        <v>82332093.14427343</v>
      </c>
      <c r="S200">
        <f t="shared" si="962"/>
        <v>823.32093144273426</v>
      </c>
      <c r="T200">
        <f t="shared" si="963"/>
        <v>0.82332093144273422</v>
      </c>
    </row>
    <row r="201" spans="1:20" x14ac:dyDescent="0.25">
      <c r="A201" s="5">
        <v>44392</v>
      </c>
      <c r="B201">
        <v>5.7309999999999999</v>
      </c>
      <c r="C201">
        <v>5.92</v>
      </c>
      <c r="D201">
        <v>4.6100000000000003</v>
      </c>
      <c r="E201">
        <v>4.9000000000000004</v>
      </c>
      <c r="F201">
        <v>13833671.872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-0.55725190839694638</v>
      </c>
      <c r="Q201">
        <f t="shared" si="960"/>
        <v>-7708840.0508091571</v>
      </c>
      <c r="R201">
        <f t="shared" si="961"/>
        <v>89517440.787866503</v>
      </c>
      <c r="S201">
        <f t="shared" si="962"/>
        <v>895.17440787866508</v>
      </c>
      <c r="T201">
        <f t="shared" si="963"/>
        <v>0.89517440787866509</v>
      </c>
    </row>
    <row r="202" spans="1:20" x14ac:dyDescent="0.25">
      <c r="A202" s="5">
        <v>44391</v>
      </c>
      <c r="B202">
        <v>5.6269999999999998</v>
      </c>
      <c r="C202">
        <v>6.0990000000000002</v>
      </c>
      <c r="D202">
        <v>5.2160000000000002</v>
      </c>
      <c r="E202">
        <v>5.7309999999999999</v>
      </c>
      <c r="F202">
        <v>5093357.9230000004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0.16647791619478974</v>
      </c>
      <c r="Q202">
        <f t="shared" si="960"/>
        <v>847931.61345526238</v>
      </c>
      <c r="R202">
        <f t="shared" si="961"/>
        <v>97226280.838675663</v>
      </c>
      <c r="S202">
        <f t="shared" si="962"/>
        <v>972.26280838675666</v>
      </c>
      <c r="T202">
        <f t="shared" si="963"/>
        <v>0.97226280838675661</v>
      </c>
    </row>
    <row r="203" spans="1:20" x14ac:dyDescent="0.25">
      <c r="A203" s="5">
        <v>44390</v>
      </c>
      <c r="B203">
        <v>6.0979999999999999</v>
      </c>
      <c r="C203">
        <v>6.2279999999999998</v>
      </c>
      <c r="D203">
        <v>5.5119999999999996</v>
      </c>
      <c r="E203">
        <v>5.6210000000000004</v>
      </c>
      <c r="F203">
        <v>3799939.7340000002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-0.69553072625698087</v>
      </c>
      <c r="Q203">
        <f t="shared" si="960"/>
        <v>-2642974.842921779</v>
      </c>
      <c r="R203">
        <f t="shared" si="961"/>
        <v>96378349.225220397</v>
      </c>
      <c r="S203">
        <f t="shared" si="962"/>
        <v>963.78349225220393</v>
      </c>
      <c r="T203">
        <f t="shared" si="963"/>
        <v>0.96378349225220394</v>
      </c>
    </row>
    <row r="204" spans="1:20" x14ac:dyDescent="0.25">
      <c r="A204" s="5">
        <v>44389</v>
      </c>
      <c r="B204">
        <v>6.29</v>
      </c>
      <c r="C204">
        <v>6.7</v>
      </c>
      <c r="D204">
        <v>5.78</v>
      </c>
      <c r="E204">
        <v>6.109</v>
      </c>
      <c r="F204">
        <v>5019528.2029999997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-0.28478260869565269</v>
      </c>
      <c r="Q204">
        <f t="shared" si="960"/>
        <v>-1429474.3360717418</v>
      </c>
      <c r="R204">
        <f t="shared" si="961"/>
        <v>99021324.068142176</v>
      </c>
      <c r="S204">
        <f t="shared" si="962"/>
        <v>990.21324068142178</v>
      </c>
      <c r="T204">
        <f t="shared" si="963"/>
        <v>0.9902132406814218</v>
      </c>
    </row>
    <row r="205" spans="1:20" x14ac:dyDescent="0.25">
      <c r="A205" s="5">
        <v>44388</v>
      </c>
      <c r="B205">
        <v>6.1180000000000003</v>
      </c>
      <c r="C205">
        <v>6.359</v>
      </c>
      <c r="D205">
        <v>5.97</v>
      </c>
      <c r="E205">
        <v>6.2880000000000003</v>
      </c>
      <c r="F205">
        <v>2189057.514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0.63496143958869056</v>
      </c>
      <c r="Q205">
        <f t="shared" si="960"/>
        <v>1389967.1104318802</v>
      </c>
      <c r="R205">
        <f t="shared" si="961"/>
        <v>100450798.40421392</v>
      </c>
      <c r="S205">
        <f t="shared" si="962"/>
        <v>1004.5079840421392</v>
      </c>
      <c r="T205">
        <f t="shared" si="963"/>
        <v>1.0045079840421391</v>
      </c>
    </row>
    <row r="206" spans="1:20" x14ac:dyDescent="0.25">
      <c r="A206" s="5">
        <v>44387</v>
      </c>
      <c r="B206">
        <v>6.2149999999999999</v>
      </c>
      <c r="C206">
        <v>6.5620000000000003</v>
      </c>
      <c r="D206">
        <v>5.9</v>
      </c>
      <c r="E206">
        <v>6.117</v>
      </c>
      <c r="F206">
        <v>3243875.3429999999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-0.34441087613293153</v>
      </c>
      <c r="Q206">
        <f t="shared" si="960"/>
        <v>-1117225.9489486436</v>
      </c>
      <c r="R206">
        <f t="shared" si="961"/>
        <v>99060831.29378204</v>
      </c>
      <c r="S206">
        <f t="shared" si="962"/>
        <v>990.60831293782041</v>
      </c>
      <c r="T206">
        <f t="shared" si="963"/>
        <v>0.99060831293782037</v>
      </c>
    </row>
    <row r="207" spans="1:20" x14ac:dyDescent="0.25">
      <c r="A207" s="5">
        <v>44386</v>
      </c>
      <c r="B207">
        <v>6.2110000000000003</v>
      </c>
      <c r="C207">
        <v>6.4009999999999998</v>
      </c>
      <c r="D207">
        <v>5.851</v>
      </c>
      <c r="E207">
        <v>6.2080000000000002</v>
      </c>
      <c r="F207">
        <v>5908433.7039999999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0.29818181818181932</v>
      </c>
      <c r="Q207">
        <f t="shared" si="960"/>
        <v>1761787.5044654612</v>
      </c>
      <c r="R207">
        <f t="shared" si="961"/>
        <v>100178057.24273068</v>
      </c>
      <c r="S207">
        <f t="shared" si="962"/>
        <v>1001.7805724273068</v>
      </c>
      <c r="T207">
        <f t="shared" si="963"/>
        <v>1.0017805724273068</v>
      </c>
    </row>
    <row r="208" spans="1:20" x14ac:dyDescent="0.25">
      <c r="A208" s="5">
        <v>44385</v>
      </c>
      <c r="B208">
        <v>7.1020000000000003</v>
      </c>
      <c r="C208">
        <v>7.1349999999999998</v>
      </c>
      <c r="D208">
        <v>6.0190000000000001</v>
      </c>
      <c r="E208">
        <v>6.2060000000000004</v>
      </c>
      <c r="F208">
        <v>8089524.6399999997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-0.66487455197132561</v>
      </c>
      <c r="Q208">
        <f t="shared" si="960"/>
        <v>-5378519.0706809992</v>
      </c>
      <c r="R208">
        <f t="shared" si="961"/>
        <v>98416269.738265216</v>
      </c>
      <c r="S208">
        <f t="shared" si="962"/>
        <v>984.16269738265214</v>
      </c>
      <c r="T208">
        <f t="shared" si="963"/>
        <v>0.98416269738265216</v>
      </c>
    </row>
    <row r="209" spans="1:20" x14ac:dyDescent="0.25">
      <c r="A209" s="5">
        <v>44384</v>
      </c>
      <c r="B209">
        <v>7.02</v>
      </c>
      <c r="C209">
        <v>7.6980000000000004</v>
      </c>
      <c r="D209">
        <v>6.907</v>
      </c>
      <c r="E209">
        <v>7.1020000000000003</v>
      </c>
      <c r="F209">
        <v>8840344.9539999999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-0.50695322376738261</v>
      </c>
      <c r="Q209">
        <f t="shared" si="960"/>
        <v>-4481641.3736460134</v>
      </c>
      <c r="R209">
        <f t="shared" si="961"/>
        <v>103794788.80894622</v>
      </c>
      <c r="S209">
        <f t="shared" si="962"/>
        <v>1037.9478880894621</v>
      </c>
      <c r="T209">
        <f t="shared" si="963"/>
        <v>1.0379478880894621</v>
      </c>
    </row>
    <row r="210" spans="1:20" x14ac:dyDescent="0.25">
      <c r="A210" s="5">
        <v>44383</v>
      </c>
      <c r="B210">
        <v>6.12</v>
      </c>
      <c r="C210">
        <v>7.48</v>
      </c>
      <c r="D210">
        <v>6.1040000000000001</v>
      </c>
      <c r="E210">
        <v>7.02</v>
      </c>
      <c r="F210">
        <v>15031637.119999999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0.33139534883720823</v>
      </c>
      <c r="Q210">
        <f t="shared" si="960"/>
        <v>4981414.6269767275</v>
      </c>
      <c r="R210">
        <f t="shared" si="961"/>
        <v>108276430.18259223</v>
      </c>
      <c r="S210">
        <f t="shared" si="962"/>
        <v>1082.7643018259223</v>
      </c>
      <c r="T210">
        <f t="shared" si="963"/>
        <v>1.0827643018259223</v>
      </c>
    </row>
    <row r="211" spans="1:20" x14ac:dyDescent="0.25">
      <c r="A211" s="5">
        <v>44382</v>
      </c>
      <c r="B211">
        <v>6.2450000000000001</v>
      </c>
      <c r="C211">
        <v>6.2610000000000001</v>
      </c>
      <c r="D211">
        <v>5.7869999999999999</v>
      </c>
      <c r="E211">
        <v>6.109</v>
      </c>
      <c r="F211">
        <v>6221100.108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0.35864978902953554</v>
      </c>
      <c r="Q211">
        <f t="shared" si="960"/>
        <v>2231196.2412658208</v>
      </c>
      <c r="R211">
        <f t="shared" si="961"/>
        <v>103295015.5556155</v>
      </c>
      <c r="S211">
        <f t="shared" si="962"/>
        <v>1032.9501555561551</v>
      </c>
      <c r="T211">
        <f t="shared" si="963"/>
        <v>1.0329501555561551</v>
      </c>
    </row>
    <row r="212" spans="1:20" x14ac:dyDescent="0.25">
      <c r="A212" s="5">
        <v>44381</v>
      </c>
      <c r="B212">
        <v>5.9870000000000001</v>
      </c>
      <c r="C212">
        <v>6.55</v>
      </c>
      <c r="D212">
        <v>5.8</v>
      </c>
      <c r="E212">
        <v>6.25</v>
      </c>
      <c r="F212">
        <v>5981561.875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0.20000000000000048</v>
      </c>
      <c r="Q212">
        <f t="shared" si="960"/>
        <v>1196312.3750000028</v>
      </c>
      <c r="R212">
        <f t="shared" si="961"/>
        <v>101063819.31434968</v>
      </c>
      <c r="S212">
        <f t="shared" si="962"/>
        <v>1010.6381931434968</v>
      </c>
      <c r="T212">
        <f t="shared" si="963"/>
        <v>1.0106381931434967</v>
      </c>
    </row>
    <row r="213" spans="1:20" x14ac:dyDescent="0.25">
      <c r="A213" s="5">
        <v>44380</v>
      </c>
      <c r="B213">
        <v>5.7949999999999999</v>
      </c>
      <c r="C213">
        <v>6.2549999999999999</v>
      </c>
      <c r="D213">
        <v>5.6180000000000003</v>
      </c>
      <c r="E213">
        <v>5.9850000000000003</v>
      </c>
      <c r="F213">
        <v>6124501.801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0.15227629513343877</v>
      </c>
      <c r="Q213">
        <f t="shared" si="960"/>
        <v>932616.44379435328</v>
      </c>
      <c r="R213">
        <f t="shared" si="961"/>
        <v>99867506.939349681</v>
      </c>
      <c r="S213">
        <f t="shared" si="962"/>
        <v>998.67506939349676</v>
      </c>
      <c r="T213">
        <f t="shared" si="963"/>
        <v>0.99867506939349671</v>
      </c>
    </row>
    <row r="214" spans="1:20" x14ac:dyDescent="0.25">
      <c r="A214" s="5">
        <v>44379</v>
      </c>
      <c r="B214">
        <v>6.1529999999999996</v>
      </c>
      <c r="C214">
        <v>6.3479999999999999</v>
      </c>
      <c r="D214">
        <v>5.5540000000000003</v>
      </c>
      <c r="E214">
        <v>5.7949999999999999</v>
      </c>
      <c r="F214">
        <v>7410847.068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-0.39294710327455973</v>
      </c>
      <c r="Q214">
        <f t="shared" si="960"/>
        <v>-2912070.8881813642</v>
      </c>
      <c r="R214">
        <f t="shared" si="961"/>
        <v>98934890.495555326</v>
      </c>
      <c r="S214">
        <f t="shared" si="962"/>
        <v>989.34890495555328</v>
      </c>
      <c r="T214">
        <f t="shared" si="963"/>
        <v>0.98934890495555328</v>
      </c>
    </row>
    <row r="215" spans="1:20" x14ac:dyDescent="0.25">
      <c r="A215" s="5">
        <v>44378</v>
      </c>
      <c r="B215">
        <v>6.7729999999999997</v>
      </c>
      <c r="C215">
        <v>6.7789999999999999</v>
      </c>
      <c r="D215">
        <v>6.0659999999999998</v>
      </c>
      <c r="E215">
        <v>6.1539999999999999</v>
      </c>
      <c r="F215">
        <v>6027652.7019999996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-0.75315568022440371</v>
      </c>
      <c r="Q215">
        <f t="shared" si="960"/>
        <v>-4539760.8709312743</v>
      </c>
      <c r="R215">
        <f t="shared" si="961"/>
        <v>101846961.38373668</v>
      </c>
      <c r="S215">
        <f t="shared" si="962"/>
        <v>1018.4696138373669</v>
      </c>
      <c r="T215">
        <f t="shared" si="963"/>
        <v>1.0184696138373668</v>
      </c>
    </row>
    <row r="216" spans="1:20" x14ac:dyDescent="0.25">
      <c r="A216" s="5">
        <v>44377</v>
      </c>
      <c r="B216">
        <v>6.625</v>
      </c>
      <c r="C216">
        <v>7</v>
      </c>
      <c r="D216">
        <v>6.1340000000000003</v>
      </c>
      <c r="E216">
        <v>6.77</v>
      </c>
      <c r="F216">
        <v>7645563.2350000003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0.46882217090069167</v>
      </c>
      <c r="Q216">
        <f t="shared" si="960"/>
        <v>3584409.5535912151</v>
      </c>
      <c r="R216">
        <f t="shared" si="961"/>
        <v>106386722.25466795</v>
      </c>
      <c r="S216">
        <f t="shared" si="962"/>
        <v>1063.8672225466796</v>
      </c>
      <c r="T216">
        <f t="shared" si="963"/>
        <v>1.0638672225466796</v>
      </c>
    </row>
    <row r="217" spans="1:20" x14ac:dyDescent="0.25">
      <c r="A217" s="5">
        <v>44376</v>
      </c>
      <c r="B217">
        <v>6.3150000000000004</v>
      </c>
      <c r="C217">
        <v>7.16</v>
      </c>
      <c r="D217">
        <v>6.266</v>
      </c>
      <c r="E217">
        <v>6.6369999999999996</v>
      </c>
      <c r="F217">
        <v>8611957.841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-0.17002237136465437</v>
      </c>
      <c r="Q217">
        <f t="shared" si="960"/>
        <v>-1464225.4942192491</v>
      </c>
      <c r="R217">
        <f t="shared" si="961"/>
        <v>102802312.70107673</v>
      </c>
      <c r="S217">
        <f t="shared" si="962"/>
        <v>1028.0231270107672</v>
      </c>
      <c r="T217">
        <f t="shared" si="963"/>
        <v>1.0280231270107671</v>
      </c>
    </row>
    <row r="218" spans="1:20" x14ac:dyDescent="0.25">
      <c r="A218" s="5">
        <v>44375</v>
      </c>
      <c r="B218">
        <v>6.1070000000000002</v>
      </c>
      <c r="C218">
        <v>6.7290000000000001</v>
      </c>
      <c r="D218">
        <v>5.9489999999999998</v>
      </c>
      <c r="E218">
        <v>6.32</v>
      </c>
      <c r="F218">
        <v>11210006.544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-4.8717948717947893E-2</v>
      </c>
      <c r="Q218">
        <f t="shared" si="960"/>
        <v>-546128.52393845224</v>
      </c>
      <c r="R218">
        <f t="shared" si="961"/>
        <v>104266538.19529597</v>
      </c>
      <c r="S218">
        <f t="shared" si="962"/>
        <v>1042.6653819529597</v>
      </c>
      <c r="T218">
        <f t="shared" si="963"/>
        <v>1.0426653819529597</v>
      </c>
    </row>
    <row r="219" spans="1:20" x14ac:dyDescent="0.25">
      <c r="A219" s="5">
        <v>44374</v>
      </c>
      <c r="B219">
        <v>5.4180000000000001</v>
      </c>
      <c r="C219">
        <v>6.109</v>
      </c>
      <c r="D219">
        <v>5.266</v>
      </c>
      <c r="E219">
        <v>6.101</v>
      </c>
      <c r="F219">
        <v>7308185.4419999998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0.98102016607354681</v>
      </c>
      <c r="Q219">
        <f t="shared" si="960"/>
        <v>7169477.2960071173</v>
      </c>
      <c r="R219">
        <f t="shared" si="961"/>
        <v>104812666.71923442</v>
      </c>
      <c r="S219">
        <f t="shared" si="962"/>
        <v>1048.1266671923443</v>
      </c>
      <c r="T219">
        <f t="shared" si="963"/>
        <v>1.0481266671923442</v>
      </c>
    </row>
    <row r="220" spans="1:20" x14ac:dyDescent="0.25">
      <c r="A220" s="5">
        <v>44373</v>
      </c>
      <c r="B220">
        <v>5.4059999999999997</v>
      </c>
      <c r="C220">
        <v>5.6959999999999997</v>
      </c>
      <c r="D220">
        <v>5.01</v>
      </c>
      <c r="E220">
        <v>5.4089999999999998</v>
      </c>
      <c r="F220">
        <v>8936197.8269999996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0.16326530612244913</v>
      </c>
      <c r="Q220">
        <f t="shared" si="960"/>
        <v>1458971.0737959198</v>
      </c>
      <c r="R220">
        <f t="shared" si="961"/>
        <v>97643189.42322731</v>
      </c>
      <c r="S220">
        <f t="shared" si="962"/>
        <v>976.43189423227307</v>
      </c>
      <c r="T220">
        <f t="shared" si="963"/>
        <v>0.97643189423227306</v>
      </c>
    </row>
    <row r="221" spans="1:20" x14ac:dyDescent="0.25">
      <c r="A221" s="5">
        <v>44372</v>
      </c>
      <c r="B221">
        <v>6.3769999999999998</v>
      </c>
      <c r="C221">
        <v>6.87</v>
      </c>
      <c r="D221">
        <v>5.27</v>
      </c>
      <c r="E221">
        <v>5.4119999999999999</v>
      </c>
      <c r="F221">
        <v>14163208.938999999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-0.82249999999999968</v>
      </c>
      <c r="Q221">
        <f t="shared" si="960"/>
        <v>-11649239.352327494</v>
      </c>
      <c r="R221">
        <f t="shared" si="961"/>
        <v>96184218.349431396</v>
      </c>
      <c r="S221">
        <f t="shared" si="962"/>
        <v>961.84218349431399</v>
      </c>
      <c r="T221">
        <f t="shared" si="963"/>
        <v>0.96184218349431394</v>
      </c>
    </row>
    <row r="222" spans="1:20" x14ac:dyDescent="0.25">
      <c r="A222" s="5">
        <v>44371</v>
      </c>
      <c r="B222">
        <v>5.593</v>
      </c>
      <c r="C222">
        <v>6.66</v>
      </c>
      <c r="D222">
        <v>5.2439999999999998</v>
      </c>
      <c r="E222">
        <v>6.3769999999999998</v>
      </c>
      <c r="F222">
        <v>9926938.6359999999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0.60028248587570576</v>
      </c>
      <c r="Q222">
        <f t="shared" si="960"/>
        <v>5958967.4015536681</v>
      </c>
      <c r="R222">
        <f t="shared" si="961"/>
        <v>107833457.70175889</v>
      </c>
      <c r="S222">
        <f t="shared" si="962"/>
        <v>1078.334577017589</v>
      </c>
      <c r="T222">
        <f t="shared" si="963"/>
        <v>1.0783345770175889</v>
      </c>
    </row>
    <row r="223" spans="1:20" x14ac:dyDescent="0.25">
      <c r="A223" s="5">
        <v>44370</v>
      </c>
      <c r="B223">
        <v>5.3129999999999997</v>
      </c>
      <c r="C223">
        <v>6.6760000000000002</v>
      </c>
      <c r="D223">
        <v>5</v>
      </c>
      <c r="E223">
        <v>5.5949999999999998</v>
      </c>
      <c r="F223">
        <v>15752655.539000001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-0.28997613365155167</v>
      </c>
      <c r="Q223">
        <f t="shared" si="960"/>
        <v>-4567894.1479439195</v>
      </c>
      <c r="R223">
        <f t="shared" si="961"/>
        <v>101874490.30020523</v>
      </c>
      <c r="S223">
        <f t="shared" si="962"/>
        <v>1018.7449030020523</v>
      </c>
      <c r="T223">
        <f t="shared" si="963"/>
        <v>1.0187449030020523</v>
      </c>
    </row>
    <row r="224" spans="1:20" x14ac:dyDescent="0.25">
      <c r="A224" s="5">
        <v>44369</v>
      </c>
      <c r="B224">
        <v>5.976</v>
      </c>
      <c r="C224">
        <v>6.6639999999999997</v>
      </c>
      <c r="D224">
        <v>4.4800000000000004</v>
      </c>
      <c r="E224">
        <v>5.319</v>
      </c>
      <c r="F224">
        <v>23420982.386999998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-0.23168498168498186</v>
      </c>
      <c r="Q224">
        <f t="shared" si="960"/>
        <v>-5426289.8753763773</v>
      </c>
      <c r="R224">
        <f t="shared" si="961"/>
        <v>106442384.44814914</v>
      </c>
      <c r="S224">
        <f t="shared" si="962"/>
        <v>1064.4238444814914</v>
      </c>
      <c r="T224">
        <f t="shared" si="963"/>
        <v>1.0644238444814915</v>
      </c>
    </row>
    <row r="225" spans="1:20" x14ac:dyDescent="0.25">
      <c r="A225" s="5">
        <v>44368</v>
      </c>
      <c r="B225">
        <v>8.3580000000000005</v>
      </c>
      <c r="C225">
        <v>8.4740000000000002</v>
      </c>
      <c r="D225">
        <v>5.9359999999999999</v>
      </c>
      <c r="E225">
        <v>5.97</v>
      </c>
      <c r="F225">
        <v>16118197.447000001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-0.97320724980299467</v>
      </c>
      <c r="Q225">
        <f t="shared" si="960"/>
        <v>-15686346.60917652</v>
      </c>
      <c r="R225">
        <f t="shared" si="961"/>
        <v>111868674.32352552</v>
      </c>
      <c r="S225">
        <f t="shared" si="962"/>
        <v>1118.6867432352551</v>
      </c>
      <c r="T225">
        <f t="shared" si="963"/>
        <v>1.1186867432352552</v>
      </c>
    </row>
    <row r="226" spans="1:20" x14ac:dyDescent="0.25">
      <c r="A226" s="5">
        <v>44367</v>
      </c>
      <c r="B226">
        <v>7.298</v>
      </c>
      <c r="C226">
        <v>8.4</v>
      </c>
      <c r="D226">
        <v>6.88</v>
      </c>
      <c r="E226">
        <v>8.3539999999999992</v>
      </c>
      <c r="F226">
        <v>7804461.4359999998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0.9394736842105248</v>
      </c>
      <c r="Q226">
        <f t="shared" si="960"/>
        <v>7332086.138557883</v>
      </c>
      <c r="R226">
        <f t="shared" si="961"/>
        <v>127555020.93270203</v>
      </c>
      <c r="S226">
        <f t="shared" si="962"/>
        <v>1275.5502093270204</v>
      </c>
      <c r="T226">
        <f t="shared" si="963"/>
        <v>1.2755502093270203</v>
      </c>
    </row>
    <row r="227" spans="1:20" x14ac:dyDescent="0.25">
      <c r="A227" s="5">
        <v>44366</v>
      </c>
      <c r="B227">
        <v>8.1579999999999995</v>
      </c>
      <c r="C227">
        <v>8.3239999999999998</v>
      </c>
      <c r="D227">
        <v>7.194</v>
      </c>
      <c r="E227">
        <v>7.2919999999999998</v>
      </c>
      <c r="F227">
        <v>7357968.2759999996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-0.82654867256637188</v>
      </c>
      <c r="Q227">
        <f t="shared" si="960"/>
        <v>-6081718.9113132758</v>
      </c>
      <c r="R227">
        <f t="shared" si="961"/>
        <v>120222934.79414415</v>
      </c>
      <c r="S227">
        <f t="shared" si="962"/>
        <v>1202.2293479414416</v>
      </c>
      <c r="T227">
        <f t="shared" si="963"/>
        <v>1.2022293479414417</v>
      </c>
    </row>
    <row r="228" spans="1:20" x14ac:dyDescent="0.25">
      <c r="A228" s="5">
        <v>44365</v>
      </c>
      <c r="B228">
        <v>8.74</v>
      </c>
      <c r="C228">
        <v>8.9580000000000002</v>
      </c>
      <c r="D228">
        <v>7.3</v>
      </c>
      <c r="E228">
        <v>8.15</v>
      </c>
      <c r="F228">
        <v>8734292.3330000006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2.5331724969843605E-2</v>
      </c>
      <c r="Q228">
        <f t="shared" si="960"/>
        <v>221254.69118576965</v>
      </c>
      <c r="R228">
        <f t="shared" si="961"/>
        <v>126304653.70545743</v>
      </c>
      <c r="S228">
        <f t="shared" si="962"/>
        <v>1263.0465370545744</v>
      </c>
      <c r="T228">
        <f t="shared" si="963"/>
        <v>1.2630465370545745</v>
      </c>
    </row>
    <row r="229" spans="1:20" x14ac:dyDescent="0.25">
      <c r="A229" s="5">
        <v>44364</v>
      </c>
      <c r="B229">
        <v>9.3369999999999997</v>
      </c>
      <c r="C229">
        <v>10</v>
      </c>
      <c r="D229">
        <v>8.5009999999999994</v>
      </c>
      <c r="E229">
        <v>8.7360000000000007</v>
      </c>
      <c r="F229">
        <v>6742316.9359999998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-0.68645763842561558</v>
      </c>
      <c r="Q229">
        <f t="shared" si="960"/>
        <v>-4628314.9614035925</v>
      </c>
      <c r="R229">
        <f t="shared" si="961"/>
        <v>126083399.01427166</v>
      </c>
      <c r="S229">
        <f t="shared" si="962"/>
        <v>1260.8339901427166</v>
      </c>
      <c r="T229">
        <f t="shared" si="963"/>
        <v>1.2608339901427166</v>
      </c>
    </row>
    <row r="230" spans="1:20" x14ac:dyDescent="0.25">
      <c r="A230" s="5">
        <v>44363</v>
      </c>
      <c r="B230">
        <v>9.8360000000000003</v>
      </c>
      <c r="C230">
        <v>10.292999999999999</v>
      </c>
      <c r="D230">
        <v>8.9</v>
      </c>
      <c r="E230">
        <v>9.3360000000000003</v>
      </c>
      <c r="F230">
        <v>6776707.1940000001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-0.37401292175161482</v>
      </c>
      <c r="Q230">
        <f t="shared" si="960"/>
        <v>-2534576.0574831273</v>
      </c>
      <c r="R230">
        <f t="shared" si="961"/>
        <v>130711713.97567526</v>
      </c>
      <c r="S230">
        <f t="shared" si="962"/>
        <v>1307.1171397567525</v>
      </c>
      <c r="T230">
        <f t="shared" si="963"/>
        <v>1.3071171397567525</v>
      </c>
    </row>
    <row r="231" spans="1:20" x14ac:dyDescent="0.25">
      <c r="A231" s="5">
        <v>44362</v>
      </c>
      <c r="B231">
        <v>8.8699999999999992</v>
      </c>
      <c r="C231">
        <v>10.5</v>
      </c>
      <c r="D231">
        <v>8.766</v>
      </c>
      <c r="E231">
        <v>9.8420000000000005</v>
      </c>
      <c r="F231">
        <v>8244466.5899999999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0.24106113033448734</v>
      </c>
      <c r="Q231">
        <f t="shared" si="960"/>
        <v>1987420.4351903163</v>
      </c>
      <c r="R231">
        <f t="shared" si="961"/>
        <v>133246290.03315838</v>
      </c>
      <c r="S231">
        <f t="shared" si="962"/>
        <v>1332.4629003315838</v>
      </c>
      <c r="T231">
        <f t="shared" si="963"/>
        <v>1.3324629003315838</v>
      </c>
    </row>
    <row r="232" spans="1:20" x14ac:dyDescent="0.25">
      <c r="A232" s="5">
        <v>44361</v>
      </c>
      <c r="B232">
        <v>8.3360000000000003</v>
      </c>
      <c r="C232">
        <v>9.14</v>
      </c>
      <c r="D232">
        <v>7.9050000000000002</v>
      </c>
      <c r="E232">
        <v>8.8689999999999998</v>
      </c>
      <c r="F232">
        <v>6922131.1449999996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0.56113360323886519</v>
      </c>
      <c r="Q232">
        <f t="shared" si="960"/>
        <v>3884240.3914858215</v>
      </c>
      <c r="R232">
        <f t="shared" si="961"/>
        <v>131258869.59796806</v>
      </c>
      <c r="S232">
        <f t="shared" si="962"/>
        <v>1312.5886959796806</v>
      </c>
      <c r="T232">
        <f t="shared" si="963"/>
        <v>1.3125886959796806</v>
      </c>
    </row>
    <row r="233" spans="1:20" x14ac:dyDescent="0.25">
      <c r="A233" s="5">
        <v>44360</v>
      </c>
      <c r="B233">
        <v>7.069</v>
      </c>
      <c r="C233">
        <v>8.4990000000000006</v>
      </c>
      <c r="D233">
        <v>6.8890000000000002</v>
      </c>
      <c r="E233">
        <v>8.3279999999999994</v>
      </c>
      <c r="F233">
        <v>6595002.6880000001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0.78757763975155137</v>
      </c>
      <c r="Q233">
        <f t="shared" si="960"/>
        <v>5194076.6511701774</v>
      </c>
      <c r="R233">
        <f t="shared" si="961"/>
        <v>127374629.20648223</v>
      </c>
      <c r="S233">
        <f t="shared" si="962"/>
        <v>1273.7462920648222</v>
      </c>
      <c r="T233">
        <f t="shared" si="963"/>
        <v>1.2737462920648221</v>
      </c>
    </row>
    <row r="234" spans="1:20" x14ac:dyDescent="0.25">
      <c r="A234" s="5">
        <v>44359</v>
      </c>
      <c r="B234">
        <v>7.2649999999999997</v>
      </c>
      <c r="C234">
        <v>7.8959999999999999</v>
      </c>
      <c r="D234">
        <v>6.6</v>
      </c>
      <c r="E234">
        <v>7.07</v>
      </c>
      <c r="F234">
        <v>9282591.5250000004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-0.27469135802469052</v>
      </c>
      <c r="Q234">
        <f t="shared" si="960"/>
        <v>-2549847.6719907331</v>
      </c>
      <c r="R234">
        <f t="shared" si="961"/>
        <v>122180552.55531205</v>
      </c>
      <c r="S234">
        <f t="shared" si="962"/>
        <v>1221.8055255531206</v>
      </c>
      <c r="T234">
        <f t="shared" si="963"/>
        <v>1.2218055255531206</v>
      </c>
    </row>
    <row r="235" spans="1:20" x14ac:dyDescent="0.25">
      <c r="A235" s="5">
        <v>44358</v>
      </c>
      <c r="B235">
        <v>8.48</v>
      </c>
      <c r="C235">
        <v>8.7230000000000008</v>
      </c>
      <c r="D235">
        <v>7.05</v>
      </c>
      <c r="E235">
        <v>7.2670000000000003</v>
      </c>
      <c r="F235">
        <v>7023141.1129999999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-0.74058577405857695</v>
      </c>
      <c r="Q235">
        <f t="shared" si="960"/>
        <v>-5201238.397493721</v>
      </c>
      <c r="R235">
        <f t="shared" si="961"/>
        <v>124730400.22730279</v>
      </c>
      <c r="S235">
        <f t="shared" si="962"/>
        <v>1247.3040022730279</v>
      </c>
      <c r="T235">
        <f t="shared" si="963"/>
        <v>1.247304002273028</v>
      </c>
    </row>
    <row r="236" spans="1:20" x14ac:dyDescent="0.25">
      <c r="A236" s="5">
        <v>44357</v>
      </c>
      <c r="B236">
        <v>9.7289999999999992</v>
      </c>
      <c r="C236">
        <v>9.9979999999999993</v>
      </c>
      <c r="D236">
        <v>8.3140000000000001</v>
      </c>
      <c r="E236">
        <v>8.4730000000000008</v>
      </c>
      <c r="F236">
        <v>6278940.2819999997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-0.8111638954869349</v>
      </c>
      <c r="Q236">
        <f t="shared" si="960"/>
        <v>-5093249.6586769531</v>
      </c>
      <c r="R236">
        <f t="shared" si="961"/>
        <v>129931638.62479651</v>
      </c>
      <c r="S236">
        <f t="shared" si="962"/>
        <v>1299.3163862479651</v>
      </c>
      <c r="T236">
        <f t="shared" si="963"/>
        <v>1.2993163862479651</v>
      </c>
    </row>
    <row r="237" spans="1:20" x14ac:dyDescent="0.25">
      <c r="A237" s="5">
        <v>44356</v>
      </c>
      <c r="B237">
        <v>9.08</v>
      </c>
      <c r="C237">
        <v>10.199999999999999</v>
      </c>
      <c r="D237">
        <v>8.2319999999999993</v>
      </c>
      <c r="E237">
        <v>9.7349999999999994</v>
      </c>
      <c r="F237">
        <v>9527073.1999999993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0.52743902439024404</v>
      </c>
      <c r="Q237">
        <f t="shared" si="960"/>
        <v>5024950.1939024404</v>
      </c>
      <c r="R237">
        <f t="shared" si="961"/>
        <v>135024888.28347346</v>
      </c>
      <c r="S237">
        <f t="shared" si="962"/>
        <v>1350.2488828347346</v>
      </c>
      <c r="T237">
        <f t="shared" si="963"/>
        <v>1.3502488828347345</v>
      </c>
    </row>
    <row r="238" spans="1:20" x14ac:dyDescent="0.25">
      <c r="A238" s="5">
        <v>44355</v>
      </c>
      <c r="B238">
        <v>9.11</v>
      </c>
      <c r="C238">
        <v>9.4610000000000003</v>
      </c>
      <c r="D238">
        <v>7.875</v>
      </c>
      <c r="E238">
        <v>9.08</v>
      </c>
      <c r="F238">
        <v>12113592.295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0.51954602774274883</v>
      </c>
      <c r="Q238">
        <f t="shared" si="960"/>
        <v>6293568.7585624186</v>
      </c>
      <c r="R238">
        <f t="shared" si="961"/>
        <v>129999938.08957103</v>
      </c>
      <c r="S238">
        <f t="shared" si="962"/>
        <v>1299.9993808957104</v>
      </c>
      <c r="T238">
        <f t="shared" si="963"/>
        <v>1.2999993808957104</v>
      </c>
    </row>
    <row r="239" spans="1:20" x14ac:dyDescent="0.25">
      <c r="A239" s="5">
        <v>44354</v>
      </c>
      <c r="B239">
        <v>10.797000000000001</v>
      </c>
      <c r="C239">
        <v>11.257999999999999</v>
      </c>
      <c r="D239">
        <v>8.9510000000000005</v>
      </c>
      <c r="E239">
        <v>9.1069999999999993</v>
      </c>
      <c r="F239">
        <v>5732538.7149999999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-0.86475942782834947</v>
      </c>
      <c r="Q239">
        <f t="shared" si="960"/>
        <v>-4957266.8991872612</v>
      </c>
      <c r="R239">
        <f t="shared" si="961"/>
        <v>123706369.33100861</v>
      </c>
      <c r="S239">
        <f t="shared" si="962"/>
        <v>1237.0636933100861</v>
      </c>
      <c r="T239">
        <f t="shared" si="963"/>
        <v>1.237063693310086</v>
      </c>
    </row>
    <row r="240" spans="1:20" x14ac:dyDescent="0.25">
      <c r="A240" s="5">
        <v>44353</v>
      </c>
      <c r="B240">
        <v>10.603</v>
      </c>
      <c r="C240">
        <v>11.183</v>
      </c>
      <c r="D240">
        <v>10.378</v>
      </c>
      <c r="E240">
        <v>10.813000000000001</v>
      </c>
      <c r="F240">
        <v>3254451.4530000002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8.0745341614908456E-2</v>
      </c>
      <c r="Q240">
        <f t="shared" si="960"/>
        <v>262781.79434162023</v>
      </c>
      <c r="R240">
        <f t="shared" si="961"/>
        <v>128663636.23019588</v>
      </c>
      <c r="S240">
        <f t="shared" si="962"/>
        <v>1286.6363623019588</v>
      </c>
      <c r="T240">
        <f t="shared" si="963"/>
        <v>1.2866363623019588</v>
      </c>
    </row>
    <row r="241" spans="1:20" x14ac:dyDescent="0.25">
      <c r="A241" s="5">
        <v>44352</v>
      </c>
      <c r="B241">
        <v>11.532</v>
      </c>
      <c r="C241">
        <v>12.3</v>
      </c>
      <c r="D241">
        <v>10.282</v>
      </c>
      <c r="E241">
        <v>10.602</v>
      </c>
      <c r="F241">
        <v>5104307.3760000002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-0.68285431119920692</v>
      </c>
      <c r="Q241">
        <f t="shared" si="960"/>
        <v>-3485498.2973875115</v>
      </c>
      <c r="R241">
        <f t="shared" si="961"/>
        <v>128400854.43585426</v>
      </c>
      <c r="S241">
        <f t="shared" si="962"/>
        <v>1284.0085443585426</v>
      </c>
      <c r="T241">
        <f t="shared" si="963"/>
        <v>1.2840085443585427</v>
      </c>
    </row>
    <row r="242" spans="1:20" x14ac:dyDescent="0.25">
      <c r="A242" s="5">
        <v>44351</v>
      </c>
      <c r="B242">
        <v>13.256</v>
      </c>
      <c r="C242">
        <v>13.326000000000001</v>
      </c>
      <c r="D242">
        <v>10.737</v>
      </c>
      <c r="E242">
        <v>11.52</v>
      </c>
      <c r="F242">
        <v>7711530.5829999996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-0.39513325608343042</v>
      </c>
      <c r="Q242">
        <f t="shared" si="960"/>
        <v>-3047082.1886477442</v>
      </c>
      <c r="R242">
        <f t="shared" si="961"/>
        <v>131886352.73324177</v>
      </c>
      <c r="S242">
        <f t="shared" si="962"/>
        <v>1318.8635273324176</v>
      </c>
      <c r="T242">
        <f t="shared" si="963"/>
        <v>1.3188635273324176</v>
      </c>
    </row>
    <row r="243" spans="1:20" x14ac:dyDescent="0.25">
      <c r="A243" s="5">
        <v>44350</v>
      </c>
      <c r="B243">
        <v>12.343</v>
      </c>
      <c r="C243">
        <v>13.722</v>
      </c>
      <c r="D243">
        <v>12.079000000000001</v>
      </c>
      <c r="E243">
        <v>13.263999999999999</v>
      </c>
      <c r="F243">
        <v>4784707.6320000002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0.44248326232501461</v>
      </c>
      <c r="Q243">
        <f t="shared" si="960"/>
        <v>2117153.0422787555</v>
      </c>
      <c r="R243">
        <f t="shared" si="961"/>
        <v>134933434.92188951</v>
      </c>
      <c r="S243">
        <f t="shared" si="962"/>
        <v>1349.3343492188951</v>
      </c>
      <c r="T243">
        <f t="shared" si="963"/>
        <v>1.3493343492188952</v>
      </c>
    </row>
    <row r="244" spans="1:20" x14ac:dyDescent="0.25">
      <c r="A244" s="5">
        <v>44349</v>
      </c>
      <c r="B244">
        <v>11.526999999999999</v>
      </c>
      <c r="C244">
        <v>12.696999999999999</v>
      </c>
      <c r="D244">
        <v>11.221</v>
      </c>
      <c r="E244">
        <v>12.374000000000001</v>
      </c>
      <c r="F244">
        <v>4416333.3890000004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0.56233062330623462</v>
      </c>
      <c r="Q244">
        <f t="shared" si="960"/>
        <v>2483439.5073645059</v>
      </c>
      <c r="R244">
        <f t="shared" si="961"/>
        <v>132816281.87961076</v>
      </c>
      <c r="S244">
        <f t="shared" si="962"/>
        <v>1328.1628187961076</v>
      </c>
      <c r="T244">
        <f t="shared" si="963"/>
        <v>1.3281628187961076</v>
      </c>
    </row>
    <row r="245" spans="1:20" x14ac:dyDescent="0.25">
      <c r="A245" s="5">
        <v>44348</v>
      </c>
      <c r="B245">
        <v>12.613</v>
      </c>
      <c r="C245">
        <v>12.9</v>
      </c>
      <c r="D245">
        <v>11.103</v>
      </c>
      <c r="E245">
        <v>11.544</v>
      </c>
      <c r="F245">
        <v>6331544.7029999997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-0.50918196994991594</v>
      </c>
      <c r="Q245">
        <f t="shared" si="960"/>
        <v>-3223908.4046994951</v>
      </c>
      <c r="R245">
        <f t="shared" si="961"/>
        <v>130332842.37224625</v>
      </c>
      <c r="S245">
        <f t="shared" si="962"/>
        <v>1303.3284237224625</v>
      </c>
      <c r="T245">
        <f t="shared" si="963"/>
        <v>1.3033284237224625</v>
      </c>
    </row>
    <row r="246" spans="1:20" x14ac:dyDescent="0.25">
      <c r="A246" s="5">
        <v>44347</v>
      </c>
      <c r="B246">
        <v>11.016999999999999</v>
      </c>
      <c r="C246">
        <v>12.762</v>
      </c>
      <c r="D246">
        <v>10.186</v>
      </c>
      <c r="E246">
        <v>12.631</v>
      </c>
      <c r="F246">
        <v>7143527.5839999998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0.89829192546583836</v>
      </c>
      <c r="Q246">
        <f t="shared" si="960"/>
        <v>6416973.148049688</v>
      </c>
      <c r="R246">
        <f t="shared" si="961"/>
        <v>133556750.77694574</v>
      </c>
      <c r="S246">
        <f t="shared" si="962"/>
        <v>1335.5675077694575</v>
      </c>
      <c r="T246">
        <f t="shared" si="963"/>
        <v>1.3355675077694575</v>
      </c>
    </row>
    <row r="247" spans="1:20" x14ac:dyDescent="0.25">
      <c r="A247" s="5">
        <v>44346</v>
      </c>
      <c r="B247">
        <v>9.9870000000000001</v>
      </c>
      <c r="C247">
        <v>11.948</v>
      </c>
      <c r="D247">
        <v>9.3000000000000007</v>
      </c>
      <c r="E247">
        <v>11.036</v>
      </c>
      <c r="F247">
        <v>8094173.8229999999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0.31117824773413827</v>
      </c>
      <c r="Q247">
        <f t="shared" si="960"/>
        <v>2518730.8270966709</v>
      </c>
      <c r="R247">
        <f t="shared" si="961"/>
        <v>127139777.62889606</v>
      </c>
      <c r="S247">
        <f t="shared" si="962"/>
        <v>1271.3977762889606</v>
      </c>
      <c r="T247">
        <f t="shared" si="963"/>
        <v>1.2713977762889606</v>
      </c>
    </row>
    <row r="248" spans="1:20" x14ac:dyDescent="0.25">
      <c r="A248" s="5">
        <v>44345</v>
      </c>
      <c r="B248">
        <v>10.791</v>
      </c>
      <c r="C248">
        <v>11.99</v>
      </c>
      <c r="D248">
        <v>9.282</v>
      </c>
      <c r="E248">
        <v>9.9710000000000001</v>
      </c>
      <c r="F248">
        <v>11191163.331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-0.49113737075332348</v>
      </c>
      <c r="Q248">
        <f t="shared" si="960"/>
        <v>-5496398.5340583455</v>
      </c>
      <c r="R248">
        <f t="shared" si="961"/>
        <v>124621046.80179939</v>
      </c>
      <c r="S248">
        <f t="shared" si="962"/>
        <v>1246.2104680179939</v>
      </c>
      <c r="T248">
        <f t="shared" si="963"/>
        <v>1.246210468017994</v>
      </c>
    </row>
    <row r="249" spans="1:20" x14ac:dyDescent="0.25">
      <c r="A249" s="5">
        <v>44344</v>
      </c>
      <c r="B249">
        <v>14.122999999999999</v>
      </c>
      <c r="C249">
        <v>14.62</v>
      </c>
      <c r="D249">
        <v>10</v>
      </c>
      <c r="E249">
        <v>10.791</v>
      </c>
      <c r="F249">
        <v>13369660.369999999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-0.65757575757575737</v>
      </c>
      <c r="Q249">
        <f t="shared" si="960"/>
        <v>-8791564.5463333298</v>
      </c>
      <c r="R249">
        <f t="shared" si="961"/>
        <v>130117445.33585773</v>
      </c>
      <c r="S249">
        <f t="shared" si="962"/>
        <v>1301.1744533585772</v>
      </c>
      <c r="T249">
        <f t="shared" si="963"/>
        <v>1.3011744533585772</v>
      </c>
    </row>
    <row r="250" spans="1:20" x14ac:dyDescent="0.25">
      <c r="A250" s="5">
        <v>44343</v>
      </c>
      <c r="B250">
        <v>12.728</v>
      </c>
      <c r="C250">
        <v>14.878</v>
      </c>
      <c r="D250">
        <v>11.666</v>
      </c>
      <c r="E250">
        <v>14.076000000000001</v>
      </c>
      <c r="F250">
        <v>8689877.2650000006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0.50062266500622687</v>
      </c>
      <c r="Q250">
        <f t="shared" si="960"/>
        <v>4350349.514981322</v>
      </c>
      <c r="R250">
        <f t="shared" si="961"/>
        <v>138909009.88219106</v>
      </c>
      <c r="S250">
        <f t="shared" si="962"/>
        <v>1389.0900988219107</v>
      </c>
      <c r="T250">
        <f t="shared" si="963"/>
        <v>1.3890900988219108</v>
      </c>
    </row>
    <row r="251" spans="1:20" x14ac:dyDescent="0.25">
      <c r="A251" s="5">
        <v>44342</v>
      </c>
      <c r="B251">
        <v>12.657</v>
      </c>
      <c r="C251">
        <v>14.082000000000001</v>
      </c>
      <c r="D251">
        <v>11.872</v>
      </c>
      <c r="E251">
        <v>12.728</v>
      </c>
      <c r="F251">
        <v>9305867.0209999997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-0.22533936651583752</v>
      </c>
      <c r="Q251">
        <f t="shared" si="960"/>
        <v>-2096978.1793927641</v>
      </c>
      <c r="R251">
        <f t="shared" si="961"/>
        <v>134558660.36720973</v>
      </c>
      <c r="S251">
        <f t="shared" si="962"/>
        <v>1345.5866036720972</v>
      </c>
      <c r="T251">
        <f t="shared" si="963"/>
        <v>1.3455866036720971</v>
      </c>
    </row>
    <row r="252" spans="1:20" x14ac:dyDescent="0.25">
      <c r="A252" s="5">
        <v>44341</v>
      </c>
      <c r="B252">
        <v>10.18</v>
      </c>
      <c r="C252">
        <v>12.699</v>
      </c>
      <c r="D252">
        <v>9.5</v>
      </c>
      <c r="E252">
        <v>12.653</v>
      </c>
      <c r="F252">
        <v>15237481.698999999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0.97124101281650554</v>
      </c>
      <c r="Q252">
        <f t="shared" si="960"/>
        <v>14799267.158109726</v>
      </c>
      <c r="R252">
        <f t="shared" si="961"/>
        <v>136655638.54660249</v>
      </c>
      <c r="S252">
        <f t="shared" si="962"/>
        <v>1366.5563854660249</v>
      </c>
      <c r="T252">
        <f t="shared" si="963"/>
        <v>1.366556385466025</v>
      </c>
    </row>
    <row r="253" spans="1:20" x14ac:dyDescent="0.25">
      <c r="A253" s="5">
        <v>44340</v>
      </c>
      <c r="B253">
        <v>7.7759999999999998</v>
      </c>
      <c r="C253">
        <v>10.75</v>
      </c>
      <c r="D253">
        <v>7.6760000000000002</v>
      </c>
      <c r="E253">
        <v>10.199999999999999</v>
      </c>
      <c r="F253">
        <v>16905777.671999998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0.64216005204944648</v>
      </c>
      <c r="Q253">
        <f t="shared" si="960"/>
        <v>10856215.06978789</v>
      </c>
      <c r="R253">
        <f t="shared" si="961"/>
        <v>121856371.38849275</v>
      </c>
      <c r="S253">
        <f t="shared" si="962"/>
        <v>1218.5637138849274</v>
      </c>
      <c r="T253">
        <f t="shared" si="963"/>
        <v>1.2185637138849275</v>
      </c>
    </row>
    <row r="254" spans="1:20" x14ac:dyDescent="0.25">
      <c r="A254" s="5">
        <v>44339</v>
      </c>
      <c r="B254">
        <v>9.42</v>
      </c>
      <c r="C254">
        <v>9.7739999999999991</v>
      </c>
      <c r="D254">
        <v>6</v>
      </c>
      <c r="E254">
        <v>7.77</v>
      </c>
      <c r="F254">
        <v>23965960.91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-6.2003179650238487E-2</v>
      </c>
      <c r="Q254">
        <f t="shared" si="960"/>
        <v>-1485965.779793323</v>
      </c>
      <c r="R254">
        <f t="shared" si="961"/>
        <v>111000156.31870486</v>
      </c>
      <c r="S254">
        <f t="shared" si="962"/>
        <v>1110.0015631870485</v>
      </c>
      <c r="T254">
        <f t="shared" si="963"/>
        <v>1.1100015631870486</v>
      </c>
    </row>
    <row r="255" spans="1:20" x14ac:dyDescent="0.25">
      <c r="A255" s="5">
        <v>44338</v>
      </c>
      <c r="B255">
        <v>10.391</v>
      </c>
      <c r="C255">
        <v>10.954000000000001</v>
      </c>
      <c r="D255">
        <v>8.3520000000000003</v>
      </c>
      <c r="E255">
        <v>9.4239999999999995</v>
      </c>
      <c r="F255">
        <v>14532196.872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-0.17601844734819444</v>
      </c>
      <c r="Q255">
        <f t="shared" si="960"/>
        <v>-2557934.7299677278</v>
      </c>
      <c r="R255">
        <f t="shared" si="961"/>
        <v>112486122.09849818</v>
      </c>
      <c r="S255">
        <f t="shared" si="962"/>
        <v>1124.8612209849819</v>
      </c>
      <c r="T255">
        <f t="shared" si="963"/>
        <v>1.1248612209849818</v>
      </c>
    </row>
    <row r="256" spans="1:20" x14ac:dyDescent="0.25">
      <c r="A256" s="5">
        <v>44337</v>
      </c>
      <c r="B256">
        <v>13.577999999999999</v>
      </c>
      <c r="C256">
        <v>14.398999999999999</v>
      </c>
      <c r="D256">
        <v>8.09</v>
      </c>
      <c r="E256">
        <v>10.391999999999999</v>
      </c>
      <c r="F256">
        <v>15546599.248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-0.27024885084799499</v>
      </c>
      <c r="Q256">
        <f t="shared" si="960"/>
        <v>-4201450.5813663034</v>
      </c>
      <c r="R256">
        <f t="shared" si="961"/>
        <v>115044056.82846591</v>
      </c>
      <c r="S256">
        <f t="shared" si="962"/>
        <v>1150.4405682846591</v>
      </c>
      <c r="T256">
        <f t="shared" si="963"/>
        <v>1.150440568284659</v>
      </c>
    </row>
    <row r="257" spans="1:20" x14ac:dyDescent="0.25">
      <c r="A257" s="5">
        <v>44336</v>
      </c>
      <c r="B257">
        <v>11.576000000000001</v>
      </c>
      <c r="C257">
        <v>15.090999999999999</v>
      </c>
      <c r="D257">
        <v>10.27</v>
      </c>
      <c r="E257">
        <v>13.603</v>
      </c>
      <c r="F257">
        <v>9864403.2980000004</v>
      </c>
      <c r="G257">
        <v>0</v>
      </c>
      <c r="L257" t="s">
        <v>7</v>
      </c>
      <c r="M257" t="s">
        <v>8</v>
      </c>
      <c r="N257" t="s">
        <v>7</v>
      </c>
      <c r="P257">
        <f t="shared" si="959"/>
        <v>0.38270068450528949</v>
      </c>
      <c r="Q257">
        <f t="shared" si="960"/>
        <v>3775113.8943808354</v>
      </c>
      <c r="R257">
        <f t="shared" si="961"/>
        <v>119245507.40983221</v>
      </c>
      <c r="S257">
        <f t="shared" si="962"/>
        <v>1192.455074098322</v>
      </c>
      <c r="T257">
        <f t="shared" si="963"/>
        <v>1.192455074098322</v>
      </c>
    </row>
    <row r="258" spans="1:20" x14ac:dyDescent="0.25">
      <c r="A258" s="5">
        <v>44335</v>
      </c>
      <c r="B258">
        <v>20.335999999999999</v>
      </c>
      <c r="C258">
        <v>21.28</v>
      </c>
      <c r="D258">
        <v>10</v>
      </c>
      <c r="E258">
        <v>11.574999999999999</v>
      </c>
      <c r="F258">
        <v>18145094.208000001</v>
      </c>
      <c r="G258">
        <v>0</v>
      </c>
      <c r="L258" t="s">
        <v>8</v>
      </c>
      <c r="M258" t="s">
        <v>7</v>
      </c>
      <c r="N258" t="s">
        <v>8</v>
      </c>
      <c r="P258">
        <f t="shared" si="959"/>
        <v>-0.72074468085106402</v>
      </c>
      <c r="Q258">
        <f t="shared" si="960"/>
        <v>-13077980.133957451</v>
      </c>
      <c r="R258">
        <f t="shared" si="961"/>
        <v>115470393.51545137</v>
      </c>
      <c r="S258">
        <f t="shared" si="962"/>
        <v>1154.7039351545138</v>
      </c>
      <c r="T258">
        <f t="shared" si="963"/>
        <v>1.1547039351545139</v>
      </c>
    </row>
    <row r="259" spans="1:20" x14ac:dyDescent="0.25">
      <c r="A259" s="5">
        <v>44334</v>
      </c>
      <c r="B259">
        <v>18.335000000000001</v>
      </c>
      <c r="C259">
        <v>20.8</v>
      </c>
      <c r="D259">
        <v>18.335000000000001</v>
      </c>
      <c r="E259">
        <v>20.335000000000001</v>
      </c>
      <c r="F259">
        <v>5705856.5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0.6227180527383368</v>
      </c>
      <c r="Q259">
        <f t="shared" si="960"/>
        <v>3553139.8488843818</v>
      </c>
      <c r="R259">
        <f t="shared" si="961"/>
        <v>128548373.64940882</v>
      </c>
      <c r="S259">
        <f t="shared" si="962"/>
        <v>1285.4837364940881</v>
      </c>
      <c r="T259">
        <f t="shared" si="963"/>
        <v>1.2854837364940881</v>
      </c>
    </row>
    <row r="260" spans="1:20" x14ac:dyDescent="0.25">
      <c r="A260" s="5">
        <v>44333</v>
      </c>
      <c r="B260">
        <v>19.451000000000001</v>
      </c>
      <c r="C260">
        <v>20.100000000000001</v>
      </c>
      <c r="D260">
        <v>16.739999999999998</v>
      </c>
      <c r="E260">
        <v>18.335000000000001</v>
      </c>
      <c r="F260">
        <v>5810645.4670000002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-5.0595238095237499E-2</v>
      </c>
      <c r="Q260">
        <f t="shared" si="960"/>
        <v>-293990.99088987749</v>
      </c>
      <c r="R260">
        <f t="shared" si="961"/>
        <v>124995233.80052443</v>
      </c>
      <c r="S260">
        <f t="shared" si="962"/>
        <v>1249.9523380052442</v>
      </c>
      <c r="T260">
        <f t="shared" si="963"/>
        <v>1.2499523380052442</v>
      </c>
    </row>
    <row r="261" spans="1:20" x14ac:dyDescent="0.25">
      <c r="A261" s="5">
        <v>44332</v>
      </c>
      <c r="B261">
        <v>17.574999999999999</v>
      </c>
      <c r="C261">
        <v>20.95</v>
      </c>
      <c r="D261">
        <v>17.5</v>
      </c>
      <c r="E261">
        <v>19.45</v>
      </c>
      <c r="F261">
        <v>6251698.0520000001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0.13043478260869548</v>
      </c>
      <c r="Q261">
        <f t="shared" si="960"/>
        <v>815438.87634782505</v>
      </c>
      <c r="R261">
        <f t="shared" si="961"/>
        <v>125289224.79141431</v>
      </c>
      <c r="S261">
        <f t="shared" si="962"/>
        <v>1252.8922479141431</v>
      </c>
      <c r="T261">
        <f t="shared" si="963"/>
        <v>1.2528922479141431</v>
      </c>
    </row>
    <row r="262" spans="1:20" x14ac:dyDescent="0.25">
      <c r="A262" s="5">
        <v>44331</v>
      </c>
      <c r="B262">
        <v>18.693000000000001</v>
      </c>
      <c r="C262">
        <v>19.3</v>
      </c>
      <c r="D262">
        <v>17.484000000000002</v>
      </c>
      <c r="E262">
        <v>17.574999999999999</v>
      </c>
      <c r="F262">
        <v>3195234.9759999998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-0.8997797356828221</v>
      </c>
      <c r="Q262">
        <f t="shared" ref="Q262:Q325" si="965">F262*P262</f>
        <v>-2875007.6821497884</v>
      </c>
      <c r="R262">
        <f t="shared" ref="R262:R325" si="966">R263+Q262</f>
        <v>124473785.91506648</v>
      </c>
      <c r="S262">
        <f t="shared" ref="S262:S325" si="967">R262/100000</f>
        <v>1244.7378591506649</v>
      </c>
      <c r="T262">
        <f t="shared" ref="T262:T325" si="968">S262/1000</f>
        <v>1.2447378591506648</v>
      </c>
    </row>
    <row r="263" spans="1:20" x14ac:dyDescent="0.25">
      <c r="A263" s="5">
        <v>44330</v>
      </c>
      <c r="B263">
        <v>17.343</v>
      </c>
      <c r="C263">
        <v>19.3</v>
      </c>
      <c r="D263">
        <v>17.195</v>
      </c>
      <c r="E263">
        <v>18.7</v>
      </c>
      <c r="F263">
        <v>2971025.915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0.42992874109263535</v>
      </c>
      <c r="Q263">
        <f t="shared" si="965"/>
        <v>1277329.4313895451</v>
      </c>
      <c r="R263">
        <f t="shared" si="966"/>
        <v>127348793.59721626</v>
      </c>
      <c r="S263">
        <f t="shared" si="967"/>
        <v>1273.4879359721626</v>
      </c>
      <c r="T263">
        <f t="shared" si="968"/>
        <v>1.2734879359721627</v>
      </c>
    </row>
    <row r="264" spans="1:20" x14ac:dyDescent="0.25">
      <c r="A264" s="5">
        <v>44329</v>
      </c>
      <c r="B264">
        <v>17.459</v>
      </c>
      <c r="C264">
        <v>18.684000000000001</v>
      </c>
      <c r="D264">
        <v>16.25</v>
      </c>
      <c r="E264">
        <v>17.363</v>
      </c>
      <c r="F264">
        <v>4950823.0789999999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-8.5456039441249743E-2</v>
      </c>
      <c r="Q264">
        <f t="shared" si="965"/>
        <v>-423077.73230567347</v>
      </c>
      <c r="R264">
        <f t="shared" si="966"/>
        <v>126071464.16582672</v>
      </c>
      <c r="S264">
        <f t="shared" si="967"/>
        <v>1260.7146416582673</v>
      </c>
      <c r="T264">
        <f t="shared" si="968"/>
        <v>1.2607146416582673</v>
      </c>
    </row>
    <row r="265" spans="1:20" x14ac:dyDescent="0.25">
      <c r="A265" s="5">
        <v>44328</v>
      </c>
      <c r="B265">
        <v>18.001000000000001</v>
      </c>
      <c r="C265">
        <v>19.776</v>
      </c>
      <c r="D265">
        <v>17</v>
      </c>
      <c r="E265">
        <v>17.459</v>
      </c>
      <c r="F265">
        <v>6588259.6160000004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-0.66930835734870342</v>
      </c>
      <c r="Q265">
        <f t="shared" si="965"/>
        <v>-4409577.2213717597</v>
      </c>
      <c r="R265">
        <f t="shared" si="966"/>
        <v>126494541.8981324</v>
      </c>
      <c r="S265">
        <f t="shared" si="967"/>
        <v>1264.9454189813239</v>
      </c>
      <c r="T265">
        <f t="shared" si="968"/>
        <v>1.2649454189813238</v>
      </c>
    </row>
    <row r="266" spans="1:20" x14ac:dyDescent="0.25">
      <c r="A266" s="5">
        <v>44327</v>
      </c>
      <c r="B266">
        <v>16.516999999999999</v>
      </c>
      <c r="C266">
        <v>18.277000000000001</v>
      </c>
      <c r="D266">
        <v>15.726000000000001</v>
      </c>
      <c r="E266">
        <v>18.001000000000001</v>
      </c>
      <c r="F266">
        <v>3250903.4980000001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0.78361426891415153</v>
      </c>
      <c r="Q266">
        <f t="shared" si="965"/>
        <v>2547454.367895728</v>
      </c>
      <c r="R266">
        <f t="shared" si="966"/>
        <v>130904119.11950415</v>
      </c>
      <c r="S266">
        <f t="shared" si="967"/>
        <v>1309.0411911950416</v>
      </c>
      <c r="T266">
        <f t="shared" si="968"/>
        <v>1.3090411911950417</v>
      </c>
    </row>
    <row r="267" spans="1:20" x14ac:dyDescent="0.25">
      <c r="A267" s="5">
        <v>44326</v>
      </c>
      <c r="B267">
        <v>17.916</v>
      </c>
      <c r="C267">
        <v>18.462</v>
      </c>
      <c r="D267">
        <v>15.92</v>
      </c>
      <c r="E267">
        <v>16.510000000000002</v>
      </c>
      <c r="F267">
        <v>3320131.7960000001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-0.53579858379228817</v>
      </c>
      <c r="Q267">
        <f t="shared" si="965"/>
        <v>-1778921.9143005463</v>
      </c>
      <c r="R267">
        <f t="shared" si="966"/>
        <v>128356664.75160843</v>
      </c>
      <c r="S267">
        <f t="shared" si="967"/>
        <v>1283.5666475160842</v>
      </c>
      <c r="T267">
        <f t="shared" si="968"/>
        <v>1.2835666475160843</v>
      </c>
    </row>
    <row r="268" spans="1:20" x14ac:dyDescent="0.25">
      <c r="A268" s="5">
        <v>44325</v>
      </c>
      <c r="B268">
        <v>19.271000000000001</v>
      </c>
      <c r="C268">
        <v>19.271000000000001</v>
      </c>
      <c r="D268">
        <v>17.379000000000001</v>
      </c>
      <c r="E268">
        <v>17.905000000000001</v>
      </c>
      <c r="F268">
        <v>2615281.6460000002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-0.44397463002114168</v>
      </c>
      <c r="Q268">
        <f t="shared" si="965"/>
        <v>-1161118.7011839326</v>
      </c>
      <c r="R268">
        <f t="shared" si="966"/>
        <v>130135586.66590898</v>
      </c>
      <c r="S268">
        <f t="shared" si="967"/>
        <v>1301.3558666590898</v>
      </c>
      <c r="T268">
        <f t="shared" si="968"/>
        <v>1.3013558666590899</v>
      </c>
    </row>
    <row r="269" spans="1:20" x14ac:dyDescent="0.25">
      <c r="A269" s="5">
        <v>44324</v>
      </c>
      <c r="B269">
        <v>17.962</v>
      </c>
      <c r="C269">
        <v>19.3</v>
      </c>
      <c r="D269">
        <v>17.722999999999999</v>
      </c>
      <c r="E269">
        <v>19.248000000000001</v>
      </c>
      <c r="F269">
        <v>2371357.6090000002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0.93405199746353895</v>
      </c>
      <c r="Q269">
        <f t="shared" si="965"/>
        <v>2214971.311386812</v>
      </c>
      <c r="R269">
        <f t="shared" si="966"/>
        <v>131296705.36709291</v>
      </c>
      <c r="S269">
        <f t="shared" si="967"/>
        <v>1312.9670536709291</v>
      </c>
      <c r="T269">
        <f t="shared" si="968"/>
        <v>1.312967053670929</v>
      </c>
    </row>
    <row r="270" spans="1:20" x14ac:dyDescent="0.25">
      <c r="A270" s="5">
        <v>44323</v>
      </c>
      <c r="B270">
        <v>17.468</v>
      </c>
      <c r="C270">
        <v>18.771000000000001</v>
      </c>
      <c r="D270">
        <v>16.649999999999999</v>
      </c>
      <c r="E270">
        <v>17.959</v>
      </c>
      <c r="F270">
        <v>2826089.1170000001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0.23432343234323402</v>
      </c>
      <c r="Q270">
        <f t="shared" si="965"/>
        <v>662218.90200329944</v>
      </c>
      <c r="R270">
        <f t="shared" si="966"/>
        <v>129081734.0557061</v>
      </c>
      <c r="S270">
        <f t="shared" si="967"/>
        <v>1290.817340557061</v>
      </c>
      <c r="T270">
        <f t="shared" si="968"/>
        <v>1.2908173405570611</v>
      </c>
    </row>
    <row r="271" spans="1:20" x14ac:dyDescent="0.25">
      <c r="A271" s="5">
        <v>44322</v>
      </c>
      <c r="B271">
        <v>18.350000000000001</v>
      </c>
      <c r="C271">
        <v>18.425999999999998</v>
      </c>
      <c r="D271">
        <v>16.925999999999998</v>
      </c>
      <c r="E271">
        <v>17.477</v>
      </c>
      <c r="F271">
        <v>2778785.074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-0.26533333333333076</v>
      </c>
      <c r="Q271">
        <f t="shared" si="965"/>
        <v>-737304.30630132614</v>
      </c>
      <c r="R271">
        <f t="shared" si="966"/>
        <v>128419515.1537028</v>
      </c>
      <c r="S271">
        <f t="shared" si="967"/>
        <v>1284.1951515370279</v>
      </c>
      <c r="T271">
        <f t="shared" si="968"/>
        <v>1.2841951515370278</v>
      </c>
    </row>
    <row r="272" spans="1:20" x14ac:dyDescent="0.25">
      <c r="A272" s="5">
        <v>44321</v>
      </c>
      <c r="B272">
        <v>16.869</v>
      </c>
      <c r="C272">
        <v>19.102</v>
      </c>
      <c r="D272">
        <v>16.649999999999999</v>
      </c>
      <c r="E272">
        <v>18.327999999999999</v>
      </c>
      <c r="F272">
        <v>4548233.5039999997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0.36867862969004866</v>
      </c>
      <c r="Q272">
        <f t="shared" si="965"/>
        <v>1676836.4957650884</v>
      </c>
      <c r="R272">
        <f t="shared" si="966"/>
        <v>129156819.46000412</v>
      </c>
      <c r="S272">
        <f t="shared" si="967"/>
        <v>1291.5681946000411</v>
      </c>
      <c r="T272">
        <f t="shared" si="968"/>
        <v>1.291568194600041</v>
      </c>
    </row>
    <row r="273" spans="1:20" x14ac:dyDescent="0.25">
      <c r="A273" s="5">
        <v>44320</v>
      </c>
      <c r="B273">
        <v>17.756</v>
      </c>
      <c r="C273">
        <v>18.809999999999999</v>
      </c>
      <c r="D273">
        <v>16.263999999999999</v>
      </c>
      <c r="E273">
        <v>16.856000000000002</v>
      </c>
      <c r="F273">
        <v>9253138.7799999993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-0.53495679497250392</v>
      </c>
      <c r="Q273">
        <f t="shared" si="965"/>
        <v>-4950029.4651845852</v>
      </c>
      <c r="R273">
        <f t="shared" si="966"/>
        <v>127479982.96423903</v>
      </c>
      <c r="S273">
        <f t="shared" si="967"/>
        <v>1274.7998296423903</v>
      </c>
      <c r="T273">
        <f t="shared" si="968"/>
        <v>1.2747998296423904</v>
      </c>
    </row>
    <row r="274" spans="1:20" x14ac:dyDescent="0.25">
      <c r="A274" s="5">
        <v>44319</v>
      </c>
      <c r="B274">
        <v>14.542999999999999</v>
      </c>
      <c r="C274">
        <v>17.79</v>
      </c>
      <c r="D274">
        <v>14.531000000000001</v>
      </c>
      <c r="E274">
        <v>17.77</v>
      </c>
      <c r="F274">
        <v>6084705.0420000004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0.98772629640994192</v>
      </c>
      <c r="Q274">
        <f t="shared" si="965"/>
        <v>6010023.1758815609</v>
      </c>
      <c r="R274">
        <f t="shared" si="966"/>
        <v>132430012.42942362</v>
      </c>
      <c r="S274">
        <f t="shared" si="967"/>
        <v>1324.3001242942362</v>
      </c>
      <c r="T274">
        <f t="shared" si="968"/>
        <v>1.3243001242942363</v>
      </c>
    </row>
    <row r="275" spans="1:20" x14ac:dyDescent="0.25">
      <c r="A275" s="5">
        <v>44318</v>
      </c>
      <c r="B275">
        <v>15.481999999999999</v>
      </c>
      <c r="C275">
        <v>15.494999999999999</v>
      </c>
      <c r="D275">
        <v>14.316000000000001</v>
      </c>
      <c r="E275">
        <v>14.542999999999999</v>
      </c>
      <c r="F275">
        <v>2007458.3940000001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-0.61492790500424288</v>
      </c>
      <c r="Q275">
        <f t="shared" si="965"/>
        <v>-1234442.1846056019</v>
      </c>
      <c r="R275">
        <f t="shared" si="966"/>
        <v>126419989.25354205</v>
      </c>
      <c r="S275">
        <f t="shared" si="967"/>
        <v>1264.1998925354205</v>
      </c>
      <c r="T275">
        <f t="shared" si="968"/>
        <v>1.2641998925354205</v>
      </c>
    </row>
    <row r="276" spans="1:20" x14ac:dyDescent="0.25">
      <c r="A276" s="5">
        <v>44317</v>
      </c>
      <c r="B276">
        <v>15.4</v>
      </c>
      <c r="C276">
        <v>15.925000000000001</v>
      </c>
      <c r="D276">
        <v>14.85</v>
      </c>
      <c r="E276">
        <v>15.503</v>
      </c>
      <c r="F276">
        <v>2423653.4569999999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0.21488372093023222</v>
      </c>
      <c r="Q276">
        <f t="shared" si="965"/>
        <v>520803.67308558058</v>
      </c>
      <c r="R276">
        <f t="shared" si="966"/>
        <v>127654431.43814765</v>
      </c>
      <c r="S276">
        <f t="shared" si="967"/>
        <v>1276.5443143814764</v>
      </c>
      <c r="T276">
        <f t="shared" si="968"/>
        <v>1.2765443143814763</v>
      </c>
    </row>
    <row r="277" spans="1:20" x14ac:dyDescent="0.25">
      <c r="A277" s="5">
        <v>44316</v>
      </c>
      <c r="B277">
        <v>14.208</v>
      </c>
      <c r="C277">
        <v>16.1661</v>
      </c>
      <c r="D277">
        <v>13.855</v>
      </c>
      <c r="E277">
        <v>15.4</v>
      </c>
      <c r="F277">
        <v>4607387.6720000003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0.33702565877720575</v>
      </c>
      <c r="Q277">
        <f t="shared" si="965"/>
        <v>1552807.8653977765</v>
      </c>
      <c r="R277">
        <f t="shared" si="966"/>
        <v>127133627.76506206</v>
      </c>
      <c r="S277">
        <f t="shared" si="967"/>
        <v>1271.3362776506206</v>
      </c>
      <c r="T277">
        <f t="shared" si="968"/>
        <v>1.2713362776506205</v>
      </c>
    </row>
    <row r="278" spans="1:20" x14ac:dyDescent="0.25">
      <c r="A278" s="5">
        <v>44315</v>
      </c>
      <c r="B278">
        <v>14.141</v>
      </c>
      <c r="C278">
        <v>14.75</v>
      </c>
      <c r="D278">
        <v>13.417999999999999</v>
      </c>
      <c r="E278">
        <v>14.196</v>
      </c>
      <c r="F278">
        <v>3439164.3650000002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0.16816816816816824</v>
      </c>
      <c r="Q278">
        <f t="shared" si="965"/>
        <v>578357.97129129153</v>
      </c>
      <c r="R278">
        <f t="shared" si="966"/>
        <v>125580819.89966428</v>
      </c>
      <c r="S278">
        <f t="shared" si="967"/>
        <v>1255.8081989966429</v>
      </c>
      <c r="T278">
        <f t="shared" si="968"/>
        <v>1.255808198996643</v>
      </c>
    </row>
    <row r="279" spans="1:20" x14ac:dyDescent="0.25">
      <c r="A279" s="5">
        <v>44314</v>
      </c>
      <c r="B279">
        <v>14.724</v>
      </c>
      <c r="C279">
        <v>15.448</v>
      </c>
      <c r="D279">
        <v>13.785</v>
      </c>
      <c r="E279">
        <v>14.138</v>
      </c>
      <c r="F279">
        <v>3837501.6889999998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-0.57546602525556256</v>
      </c>
      <c r="Q279">
        <f t="shared" si="965"/>
        <v>-2208351.8438803377</v>
      </c>
      <c r="R279">
        <f t="shared" si="966"/>
        <v>125002461.92837299</v>
      </c>
      <c r="S279">
        <f t="shared" si="967"/>
        <v>1250.0246192837299</v>
      </c>
      <c r="T279">
        <f t="shared" si="968"/>
        <v>1.2500246192837299</v>
      </c>
    </row>
    <row r="280" spans="1:20" x14ac:dyDescent="0.25">
      <c r="A280" s="5">
        <v>44313</v>
      </c>
      <c r="B280">
        <v>13.859</v>
      </c>
      <c r="C280">
        <v>15.141999999999999</v>
      </c>
      <c r="D280">
        <v>13.548</v>
      </c>
      <c r="E280">
        <v>14.750999999999999</v>
      </c>
      <c r="F280">
        <v>4304179.8849999998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0.50941028858218296</v>
      </c>
      <c r="Q280">
        <f t="shared" si="965"/>
        <v>2192593.5173274768</v>
      </c>
      <c r="R280">
        <f t="shared" si="966"/>
        <v>127210813.77225333</v>
      </c>
      <c r="S280">
        <f t="shared" si="967"/>
        <v>1272.1081377225335</v>
      </c>
      <c r="T280">
        <f t="shared" si="968"/>
        <v>1.2721081377225334</v>
      </c>
    </row>
    <row r="281" spans="1:20" x14ac:dyDescent="0.25">
      <c r="A281" s="5">
        <v>44312</v>
      </c>
      <c r="B281">
        <v>11.523999999999999</v>
      </c>
      <c r="C281">
        <v>14</v>
      </c>
      <c r="D281">
        <v>11.327</v>
      </c>
      <c r="E281">
        <v>13.85</v>
      </c>
      <c r="F281">
        <v>6001594.4289999995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0.88776655443322083</v>
      </c>
      <c r="Q281">
        <f t="shared" si="965"/>
        <v>5328014.8073389428</v>
      </c>
      <c r="R281">
        <f t="shared" si="966"/>
        <v>125018220.25492586</v>
      </c>
      <c r="S281">
        <f t="shared" si="967"/>
        <v>1250.1822025492586</v>
      </c>
      <c r="T281">
        <f t="shared" si="968"/>
        <v>1.2501822025492586</v>
      </c>
    </row>
    <row r="282" spans="1:20" x14ac:dyDescent="0.25">
      <c r="A282" s="5">
        <v>44311</v>
      </c>
      <c r="B282">
        <v>11.333500000000001</v>
      </c>
      <c r="C282">
        <v>12.648999999999999</v>
      </c>
      <c r="D282">
        <v>10.644</v>
      </c>
      <c r="E282">
        <v>11.512</v>
      </c>
      <c r="F282">
        <v>5282036.2570000002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-0.13416458852867755</v>
      </c>
      <c r="Q282">
        <f t="shared" si="965"/>
        <v>-708662.22101396113</v>
      </c>
      <c r="R282">
        <f t="shared" si="966"/>
        <v>119690205.44758692</v>
      </c>
      <c r="S282">
        <f t="shared" si="967"/>
        <v>1196.9020544758691</v>
      </c>
      <c r="T282">
        <f t="shared" si="968"/>
        <v>1.1969020544758691</v>
      </c>
    </row>
    <row r="283" spans="1:20" x14ac:dyDescent="0.25">
      <c r="A283" s="5">
        <v>44310</v>
      </c>
      <c r="B283">
        <v>13.0999</v>
      </c>
      <c r="C283">
        <v>13.1303</v>
      </c>
      <c r="D283">
        <v>11.134600000000001</v>
      </c>
      <c r="E283">
        <v>11.3094</v>
      </c>
      <c r="F283">
        <v>4344422.28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-0.82482337024602947</v>
      </c>
      <c r="Q283">
        <f t="shared" si="965"/>
        <v>-3583381.0267615397</v>
      </c>
      <c r="R283">
        <f t="shared" si="966"/>
        <v>120398867.66860089</v>
      </c>
      <c r="S283">
        <f t="shared" si="967"/>
        <v>1203.9886766860088</v>
      </c>
      <c r="T283">
        <f t="shared" si="968"/>
        <v>1.2039886766860088</v>
      </c>
    </row>
    <row r="284" spans="1:20" x14ac:dyDescent="0.25">
      <c r="A284" s="5">
        <v>44309</v>
      </c>
      <c r="B284">
        <v>13.9541</v>
      </c>
      <c r="C284">
        <v>14.91</v>
      </c>
      <c r="D284">
        <v>11.58</v>
      </c>
      <c r="E284">
        <v>13.0945</v>
      </c>
      <c r="F284">
        <v>6965560.2000000002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-9.0390390390390429E-2</v>
      </c>
      <c r="Q284">
        <f t="shared" si="965"/>
        <v>-629619.70576576609</v>
      </c>
      <c r="R284">
        <f t="shared" si="966"/>
        <v>123982248.69536243</v>
      </c>
      <c r="S284">
        <f t="shared" si="967"/>
        <v>1239.8224869536243</v>
      </c>
      <c r="T284">
        <f t="shared" si="968"/>
        <v>1.2398224869536243</v>
      </c>
    </row>
    <row r="285" spans="1:20" x14ac:dyDescent="0.25">
      <c r="A285" s="5">
        <v>44308</v>
      </c>
      <c r="B285">
        <v>13.101599999999999</v>
      </c>
      <c r="C285">
        <v>15.03</v>
      </c>
      <c r="D285">
        <v>12.598800000000001</v>
      </c>
      <c r="E285">
        <v>13.9688</v>
      </c>
      <c r="F285">
        <v>6057514.2599999998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0.12701546561368868</v>
      </c>
      <c r="Q285">
        <f t="shared" si="965"/>
        <v>769397.99419545883</v>
      </c>
      <c r="R285">
        <f t="shared" si="966"/>
        <v>124611868.4011282</v>
      </c>
      <c r="S285">
        <f t="shared" si="967"/>
        <v>1246.1186840112821</v>
      </c>
      <c r="T285">
        <f t="shared" si="968"/>
        <v>1.2461186840112821</v>
      </c>
    </row>
    <row r="286" spans="1:20" x14ac:dyDescent="0.25">
      <c r="A286" s="5">
        <v>44307</v>
      </c>
      <c r="B286">
        <v>14.8164</v>
      </c>
      <c r="C286">
        <v>14.8924</v>
      </c>
      <c r="D286">
        <v>12.91</v>
      </c>
      <c r="E286">
        <v>13.068300000000001</v>
      </c>
      <c r="F286">
        <v>4148854.42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-0.8402945924132359</v>
      </c>
      <c r="Q286">
        <f t="shared" si="965"/>
        <v>-3486259.9338357523</v>
      </c>
      <c r="R286">
        <f t="shared" si="966"/>
        <v>123842470.40693274</v>
      </c>
      <c r="S286">
        <f t="shared" si="967"/>
        <v>1238.4247040693274</v>
      </c>
      <c r="T286">
        <f t="shared" si="968"/>
        <v>1.2384247040693275</v>
      </c>
    </row>
    <row r="287" spans="1:20" x14ac:dyDescent="0.25">
      <c r="A287" s="5">
        <v>44306</v>
      </c>
      <c r="B287">
        <v>14.0273</v>
      </c>
      <c r="C287">
        <v>15.0093</v>
      </c>
      <c r="D287">
        <v>12.3308</v>
      </c>
      <c r="E287">
        <v>14.789</v>
      </c>
      <c r="F287">
        <v>6627402.8200000003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0.83550494679858134</v>
      </c>
      <c r="Q287">
        <f t="shared" si="965"/>
        <v>5537227.8405368682</v>
      </c>
      <c r="R287">
        <f t="shared" si="966"/>
        <v>127328730.3407685</v>
      </c>
      <c r="S287">
        <f t="shared" si="967"/>
        <v>1273.2873034076849</v>
      </c>
      <c r="T287">
        <f t="shared" si="968"/>
        <v>1.273287303407685</v>
      </c>
    </row>
    <row r="288" spans="1:20" x14ac:dyDescent="0.25">
      <c r="A288" s="5">
        <v>44305</v>
      </c>
      <c r="B288">
        <v>16.562899999999999</v>
      </c>
      <c r="C288">
        <v>16.858799999999999</v>
      </c>
      <c r="D288">
        <v>13.6799</v>
      </c>
      <c r="E288">
        <v>14.023099999999999</v>
      </c>
      <c r="F288">
        <v>6768744.5899999999</v>
      </c>
      <c r="G288">
        <v>0</v>
      </c>
      <c r="L288" t="s">
        <v>8</v>
      </c>
      <c r="M288" t="s">
        <v>7</v>
      </c>
      <c r="N288" t="s">
        <v>8</v>
      </c>
      <c r="P288">
        <f t="shared" si="964"/>
        <v>-0.78407625279184645</v>
      </c>
      <c r="Q288">
        <f t="shared" si="965"/>
        <v>-5307211.8942322833</v>
      </c>
      <c r="R288">
        <f t="shared" si="966"/>
        <v>121791502.50023164</v>
      </c>
      <c r="S288">
        <f t="shared" si="967"/>
        <v>1217.9150250023165</v>
      </c>
      <c r="T288">
        <f t="shared" si="968"/>
        <v>1.2179150250023165</v>
      </c>
    </row>
    <row r="289" spans="1:20" x14ac:dyDescent="0.25">
      <c r="A289" s="5">
        <v>44304</v>
      </c>
      <c r="B289">
        <v>14.1897</v>
      </c>
      <c r="C289">
        <v>16.621099999999998</v>
      </c>
      <c r="D289">
        <v>11.666600000000001</v>
      </c>
      <c r="E289">
        <v>16.6083</v>
      </c>
      <c r="F289">
        <v>8226520.5300000003</v>
      </c>
      <c r="G289">
        <v>0</v>
      </c>
      <c r="L289" t="s">
        <v>8</v>
      </c>
      <c r="M289" t="s">
        <v>8</v>
      </c>
      <c r="N289" t="s">
        <v>7</v>
      </c>
      <c r="P289">
        <f t="shared" si="964"/>
        <v>0.99483298011908428</v>
      </c>
      <c r="Q289">
        <f t="shared" si="965"/>
        <v>8184013.9348707292</v>
      </c>
      <c r="R289">
        <f t="shared" si="966"/>
        <v>127098714.39446393</v>
      </c>
      <c r="S289">
        <f t="shared" si="967"/>
        <v>1270.9871439446392</v>
      </c>
      <c r="T289">
        <f t="shared" si="968"/>
        <v>1.2709871439446392</v>
      </c>
    </row>
    <row r="290" spans="1:20" x14ac:dyDescent="0.25">
      <c r="A290" s="5">
        <v>44303</v>
      </c>
      <c r="B290">
        <v>14.5929</v>
      </c>
      <c r="C290">
        <v>15.82</v>
      </c>
      <c r="D290">
        <v>14.153600000000001</v>
      </c>
      <c r="E290">
        <v>14.190300000000001</v>
      </c>
      <c r="F290">
        <v>3613936.23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-0.95595295247239587</v>
      </c>
      <c r="Q290">
        <f t="shared" si="965"/>
        <v>-3454753.0091154594</v>
      </c>
      <c r="R290">
        <f t="shared" si="966"/>
        <v>118914700.45959319</v>
      </c>
      <c r="S290">
        <f t="shared" si="967"/>
        <v>1189.147004595932</v>
      </c>
      <c r="T290">
        <f t="shared" si="968"/>
        <v>1.189147004595932</v>
      </c>
    </row>
    <row r="291" spans="1:20" x14ac:dyDescent="0.25">
      <c r="A291" s="5">
        <v>44302</v>
      </c>
      <c r="B291">
        <v>14.556900000000001</v>
      </c>
      <c r="C291">
        <v>15.379899999999999</v>
      </c>
      <c r="D291">
        <v>12.9185</v>
      </c>
      <c r="E291">
        <v>14.597099999999999</v>
      </c>
      <c r="F291">
        <v>6515683.5800000001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0.36393922158121383</v>
      </c>
      <c r="Q291">
        <f t="shared" si="965"/>
        <v>2371312.8101746966</v>
      </c>
      <c r="R291">
        <f t="shared" si="966"/>
        <v>122369453.46870865</v>
      </c>
      <c r="S291">
        <f t="shared" si="967"/>
        <v>1223.6945346870864</v>
      </c>
      <c r="T291">
        <f t="shared" si="968"/>
        <v>1.2236945346870864</v>
      </c>
    </row>
    <row r="292" spans="1:20" x14ac:dyDescent="0.25">
      <c r="A292" s="5">
        <v>44301</v>
      </c>
      <c r="B292">
        <v>15.270899999999999</v>
      </c>
      <c r="C292">
        <v>15.9831</v>
      </c>
      <c r="D292">
        <v>14.15</v>
      </c>
      <c r="E292">
        <v>14.552199999999999</v>
      </c>
      <c r="F292">
        <v>5478390.9199999999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-0.56118051388358647</v>
      </c>
      <c r="Q292">
        <f t="shared" si="965"/>
        <v>-3074366.2317407741</v>
      </c>
      <c r="R292">
        <f t="shared" si="966"/>
        <v>119998140.65853395</v>
      </c>
      <c r="S292">
        <f t="shared" si="967"/>
        <v>1199.9814065853395</v>
      </c>
      <c r="T292">
        <f t="shared" si="968"/>
        <v>1.1999814065853396</v>
      </c>
    </row>
    <row r="293" spans="1:20" x14ac:dyDescent="0.25">
      <c r="A293" s="5">
        <v>44300</v>
      </c>
      <c r="B293">
        <v>13.290900000000001</v>
      </c>
      <c r="C293">
        <v>17.0611</v>
      </c>
      <c r="D293">
        <v>13.2721</v>
      </c>
      <c r="E293">
        <v>15.245799999999999</v>
      </c>
      <c r="F293">
        <v>11657960.92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4.1805225653206268E-2</v>
      </c>
      <c r="Q293">
        <f t="shared" si="965"/>
        <v>487363.68691686017</v>
      </c>
      <c r="R293">
        <f t="shared" si="966"/>
        <v>123072506.89027472</v>
      </c>
      <c r="S293">
        <f t="shared" si="967"/>
        <v>1230.7250689027471</v>
      </c>
      <c r="T293">
        <f t="shared" si="968"/>
        <v>1.2307250689027471</v>
      </c>
    </row>
    <row r="294" spans="1:20" x14ac:dyDescent="0.25">
      <c r="A294" s="5">
        <v>44299</v>
      </c>
      <c r="B294">
        <v>12.078099999999999</v>
      </c>
      <c r="C294">
        <v>13.38</v>
      </c>
      <c r="D294">
        <v>11.661</v>
      </c>
      <c r="E294">
        <v>13.297000000000001</v>
      </c>
      <c r="F294">
        <v>5384798.1600000001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0.90343222803955769</v>
      </c>
      <c r="Q294">
        <f t="shared" si="965"/>
        <v>4864800.1992321108</v>
      </c>
      <c r="R294">
        <f t="shared" si="966"/>
        <v>122585143.20335786</v>
      </c>
      <c r="S294">
        <f t="shared" si="967"/>
        <v>1225.8514320335787</v>
      </c>
      <c r="T294">
        <f t="shared" si="968"/>
        <v>1.2258514320335787</v>
      </c>
    </row>
    <row r="295" spans="1:20" x14ac:dyDescent="0.25">
      <c r="A295" s="5">
        <v>44298</v>
      </c>
      <c r="B295">
        <v>11.0062</v>
      </c>
      <c r="C295">
        <v>12.302300000000001</v>
      </c>
      <c r="D295">
        <v>10.4496</v>
      </c>
      <c r="E295">
        <v>12.0984</v>
      </c>
      <c r="F295">
        <v>4432684.3099999996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0.77988881092459561</v>
      </c>
      <c r="Q295">
        <f t="shared" si="965"/>
        <v>3457000.8957300112</v>
      </c>
      <c r="R295">
        <f t="shared" si="966"/>
        <v>117720343.00412574</v>
      </c>
      <c r="S295">
        <f t="shared" si="967"/>
        <v>1177.2034300412574</v>
      </c>
      <c r="T295">
        <f t="shared" si="968"/>
        <v>1.1772034300412575</v>
      </c>
    </row>
    <row r="296" spans="1:20" x14ac:dyDescent="0.25">
      <c r="A296" s="5">
        <v>44297</v>
      </c>
      <c r="B296">
        <v>11.8741</v>
      </c>
      <c r="C296">
        <v>12.06</v>
      </c>
      <c r="D296">
        <v>10.9337</v>
      </c>
      <c r="E296">
        <v>11.0052</v>
      </c>
      <c r="F296">
        <v>2618139.79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-0.87303560330284946</v>
      </c>
      <c r="Q296">
        <f t="shared" si="965"/>
        <v>-2285729.2510938458</v>
      </c>
      <c r="R296">
        <f t="shared" si="966"/>
        <v>114263342.10839573</v>
      </c>
      <c r="S296">
        <f t="shared" si="967"/>
        <v>1142.6334210839573</v>
      </c>
      <c r="T296">
        <f t="shared" si="968"/>
        <v>1.1426334210839573</v>
      </c>
    </row>
    <row r="297" spans="1:20" x14ac:dyDescent="0.25">
      <c r="A297" s="5">
        <v>44296</v>
      </c>
      <c r="B297">
        <v>11.8796</v>
      </c>
      <c r="C297">
        <v>13</v>
      </c>
      <c r="D297">
        <v>11.322699999999999</v>
      </c>
      <c r="E297">
        <v>11.8725</v>
      </c>
      <c r="F297">
        <v>4333216.9000000004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-0.34442258391462355</v>
      </c>
      <c r="Q297">
        <f t="shared" si="965"/>
        <v>-1492457.7613605151</v>
      </c>
      <c r="R297">
        <f t="shared" si="966"/>
        <v>116549071.35948958</v>
      </c>
      <c r="S297">
        <f t="shared" si="967"/>
        <v>1165.4907135948959</v>
      </c>
      <c r="T297">
        <f t="shared" si="968"/>
        <v>1.1654907135948958</v>
      </c>
    </row>
    <row r="298" spans="1:20" x14ac:dyDescent="0.25">
      <c r="A298" s="5">
        <v>44295</v>
      </c>
      <c r="B298">
        <v>10.229799999999999</v>
      </c>
      <c r="C298">
        <v>12.093999999999999</v>
      </c>
      <c r="D298">
        <v>10.200799999999999</v>
      </c>
      <c r="E298">
        <v>11.8797</v>
      </c>
      <c r="F298">
        <v>6400523.29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0.77361081766321604</v>
      </c>
      <c r="Q298">
        <f t="shared" si="965"/>
        <v>4951514.0558493575</v>
      </c>
      <c r="R298">
        <f t="shared" si="966"/>
        <v>118041529.12085009</v>
      </c>
      <c r="S298">
        <f t="shared" si="967"/>
        <v>1180.4152912085008</v>
      </c>
      <c r="T298">
        <f t="shared" si="968"/>
        <v>1.1804152912085009</v>
      </c>
    </row>
    <row r="299" spans="1:20" x14ac:dyDescent="0.25">
      <c r="A299" s="5">
        <v>44294</v>
      </c>
      <c r="B299">
        <v>9.1456</v>
      </c>
      <c r="C299">
        <v>10.360799999999999</v>
      </c>
      <c r="D299">
        <v>9.1167999999999996</v>
      </c>
      <c r="E299">
        <v>10.229900000000001</v>
      </c>
      <c r="F299">
        <v>3446334.32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0.78954983922829791</v>
      </c>
      <c r="Q299">
        <f t="shared" si="965"/>
        <v>2721052.7082829652</v>
      </c>
      <c r="R299">
        <f t="shared" si="966"/>
        <v>113090015.06500073</v>
      </c>
      <c r="S299">
        <f t="shared" si="967"/>
        <v>1130.9001506500074</v>
      </c>
      <c r="T299">
        <f t="shared" si="968"/>
        <v>1.1309001506500074</v>
      </c>
    </row>
    <row r="300" spans="1:20" x14ac:dyDescent="0.25">
      <c r="A300" s="5">
        <v>44293</v>
      </c>
      <c r="B300">
        <v>9.8856000000000002</v>
      </c>
      <c r="C300">
        <v>10.199999999999999</v>
      </c>
      <c r="D300">
        <v>8.8431999999999995</v>
      </c>
      <c r="E300">
        <v>9.1449999999999996</v>
      </c>
      <c r="F300">
        <v>4705233.83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-0.55512971698113189</v>
      </c>
      <c r="Q300">
        <f t="shared" si="965"/>
        <v>-2612015.1243779473</v>
      </c>
      <c r="R300">
        <f t="shared" si="966"/>
        <v>110368962.35671777</v>
      </c>
      <c r="S300">
        <f t="shared" si="967"/>
        <v>1103.6896235671777</v>
      </c>
      <c r="T300">
        <f t="shared" si="968"/>
        <v>1.1036896235671778</v>
      </c>
    </row>
    <row r="301" spans="1:20" x14ac:dyDescent="0.25">
      <c r="A301" s="5">
        <v>44292</v>
      </c>
      <c r="B301">
        <v>9.7965</v>
      </c>
      <c r="C301">
        <v>10.0442</v>
      </c>
      <c r="D301">
        <v>9.07</v>
      </c>
      <c r="E301">
        <v>9.8859999999999992</v>
      </c>
      <c r="F301">
        <v>4578238.66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0.67522069390268769</v>
      </c>
      <c r="Q301">
        <f t="shared" si="965"/>
        <v>3091321.484857311</v>
      </c>
      <c r="R301">
        <f t="shared" si="966"/>
        <v>112980977.48109572</v>
      </c>
      <c r="S301">
        <f t="shared" si="967"/>
        <v>1129.8097748109572</v>
      </c>
      <c r="T301">
        <f t="shared" si="968"/>
        <v>1.1298097748109572</v>
      </c>
    </row>
    <row r="302" spans="1:20" x14ac:dyDescent="0.25">
      <c r="A302" s="5">
        <v>44291</v>
      </c>
      <c r="B302">
        <v>10.3428</v>
      </c>
      <c r="C302">
        <v>10.9221</v>
      </c>
      <c r="D302">
        <v>9.4604999999999997</v>
      </c>
      <c r="E302">
        <v>9.7965</v>
      </c>
      <c r="F302">
        <v>5004023.97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-0.54022988505747105</v>
      </c>
      <c r="Q302">
        <f t="shared" si="965"/>
        <v>-2703323.29413793</v>
      </c>
      <c r="R302">
        <f t="shared" si="966"/>
        <v>109889655.99623841</v>
      </c>
      <c r="S302">
        <f t="shared" si="967"/>
        <v>1098.8965599623841</v>
      </c>
      <c r="T302">
        <f t="shared" si="968"/>
        <v>1.0988965599623841</v>
      </c>
    </row>
    <row r="303" spans="1:20" x14ac:dyDescent="0.25">
      <c r="A303" s="5">
        <v>44290</v>
      </c>
      <c r="B303">
        <v>9.2205999999999992</v>
      </c>
      <c r="C303">
        <v>10.42</v>
      </c>
      <c r="D303">
        <v>9.0404</v>
      </c>
      <c r="E303">
        <v>10.3575</v>
      </c>
      <c r="F303">
        <v>5358084.8899999997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0.90939402725427665</v>
      </c>
      <c r="Q303">
        <f t="shared" si="965"/>
        <v>4872610.3964873878</v>
      </c>
      <c r="R303">
        <f t="shared" si="966"/>
        <v>112592979.29037634</v>
      </c>
      <c r="S303">
        <f t="shared" si="967"/>
        <v>1125.9297929037634</v>
      </c>
      <c r="T303">
        <f t="shared" si="968"/>
        <v>1.1259297929037635</v>
      </c>
    </row>
    <row r="304" spans="1:20" x14ac:dyDescent="0.25">
      <c r="A304" s="5">
        <v>44289</v>
      </c>
      <c r="B304">
        <v>8.4001999999999999</v>
      </c>
      <c r="C304">
        <v>9.5</v>
      </c>
      <c r="D304">
        <v>8.1888000000000005</v>
      </c>
      <c r="E304">
        <v>9.2347999999999999</v>
      </c>
      <c r="F304">
        <v>4313505.34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0.59548505186089051</v>
      </c>
      <c r="Q304">
        <f t="shared" si="965"/>
        <v>2568627.9510921282</v>
      </c>
      <c r="R304">
        <f t="shared" si="966"/>
        <v>107720368.89388895</v>
      </c>
      <c r="S304">
        <f t="shared" si="967"/>
        <v>1077.2036889388894</v>
      </c>
      <c r="T304">
        <f t="shared" si="968"/>
        <v>1.0772036889388894</v>
      </c>
    </row>
    <row r="305" spans="1:20" x14ac:dyDescent="0.25">
      <c r="A305" s="5">
        <v>44288</v>
      </c>
      <c r="B305">
        <v>8.3554999999999993</v>
      </c>
      <c r="C305">
        <v>8.89</v>
      </c>
      <c r="D305">
        <v>7.9112</v>
      </c>
      <c r="E305">
        <v>8.3897999999999993</v>
      </c>
      <c r="F305">
        <v>3505644.62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-2.2067838169188853E-2</v>
      </c>
      <c r="Q305">
        <f t="shared" si="965"/>
        <v>-77361.998152847562</v>
      </c>
      <c r="R305">
        <f t="shared" si="966"/>
        <v>105151740.94279683</v>
      </c>
      <c r="S305">
        <f t="shared" si="967"/>
        <v>1051.5174094279682</v>
      </c>
      <c r="T305">
        <f t="shared" si="968"/>
        <v>1.0515174094279682</v>
      </c>
    </row>
    <row r="306" spans="1:20" x14ac:dyDescent="0.25">
      <c r="A306" s="5">
        <v>44287</v>
      </c>
      <c r="B306">
        <v>7.9359999999999999</v>
      </c>
      <c r="C306">
        <v>8.9357000000000006</v>
      </c>
      <c r="D306">
        <v>7.9328000000000003</v>
      </c>
      <c r="E306">
        <v>8.3545999999999996</v>
      </c>
      <c r="F306">
        <v>4989225.8600000003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-0.15883936583906841</v>
      </c>
      <c r="Q306">
        <f t="shared" si="965"/>
        <v>-792485.47163028072</v>
      </c>
      <c r="R306">
        <f t="shared" si="966"/>
        <v>105229102.94094968</v>
      </c>
      <c r="S306">
        <f t="shared" si="967"/>
        <v>1052.2910294094968</v>
      </c>
      <c r="T306">
        <f t="shared" si="968"/>
        <v>1.0522910294094967</v>
      </c>
    </row>
    <row r="307" spans="1:20" x14ac:dyDescent="0.25">
      <c r="A307" s="5">
        <v>44286</v>
      </c>
      <c r="B307">
        <v>7.2786</v>
      </c>
      <c r="C307">
        <v>8.0500000000000007</v>
      </c>
      <c r="D307">
        <v>6.9504000000000001</v>
      </c>
      <c r="E307">
        <v>7.9359999999999999</v>
      </c>
      <c r="F307">
        <v>4901324.8099999996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0.79265187340851095</v>
      </c>
      <c r="Q307">
        <f t="shared" si="965"/>
        <v>3885044.2928301138</v>
      </c>
      <c r="R307">
        <f t="shared" si="966"/>
        <v>106021588.41257995</v>
      </c>
      <c r="S307">
        <f t="shared" si="967"/>
        <v>1060.2158841257994</v>
      </c>
      <c r="T307">
        <f t="shared" si="968"/>
        <v>1.0602158841257994</v>
      </c>
    </row>
    <row r="308" spans="1:20" x14ac:dyDescent="0.25">
      <c r="A308" s="5">
        <v>44285</v>
      </c>
      <c r="B308">
        <v>6.74</v>
      </c>
      <c r="C308">
        <v>7.3231000000000002</v>
      </c>
      <c r="D308">
        <v>6.4757999999999996</v>
      </c>
      <c r="E308">
        <v>7.2797000000000001</v>
      </c>
      <c r="F308">
        <v>4544777.8099999996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0.89755694559187993</v>
      </c>
      <c r="Q308">
        <f t="shared" si="965"/>
        <v>4079196.8895373531</v>
      </c>
      <c r="R308">
        <f t="shared" si="966"/>
        <v>102136544.11974984</v>
      </c>
      <c r="S308">
        <f t="shared" si="967"/>
        <v>1021.3654411974984</v>
      </c>
      <c r="T308">
        <f t="shared" si="968"/>
        <v>1.0213654411974984</v>
      </c>
    </row>
    <row r="309" spans="1:20" x14ac:dyDescent="0.25">
      <c r="A309" s="5">
        <v>44284</v>
      </c>
      <c r="B309">
        <v>6.157</v>
      </c>
      <c r="C309">
        <v>6.75</v>
      </c>
      <c r="D309">
        <v>6.1204000000000001</v>
      </c>
      <c r="E309">
        <v>6.7370000000000001</v>
      </c>
      <c r="F309">
        <v>2439461.9300000002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0.95870393900889483</v>
      </c>
      <c r="Q309">
        <f t="shared" si="965"/>
        <v>2338721.7613532408</v>
      </c>
      <c r="R309">
        <f t="shared" si="966"/>
        <v>98057347.230212495</v>
      </c>
      <c r="S309">
        <f t="shared" si="967"/>
        <v>980.57347230212497</v>
      </c>
      <c r="T309">
        <f t="shared" si="968"/>
        <v>0.98057347230212499</v>
      </c>
    </row>
    <row r="310" spans="1:20" x14ac:dyDescent="0.25">
      <c r="A310" s="5">
        <v>44283</v>
      </c>
      <c r="B310">
        <v>6.2344999999999997</v>
      </c>
      <c r="C310">
        <v>6.4999000000000002</v>
      </c>
      <c r="D310">
        <v>5.9</v>
      </c>
      <c r="E310">
        <v>6.1585000000000001</v>
      </c>
      <c r="F310">
        <v>2720696.86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-0.13818969828304789</v>
      </c>
      <c r="Q310">
        <f t="shared" si="965"/>
        <v>-375972.27820303576</v>
      </c>
      <c r="R310">
        <f t="shared" si="966"/>
        <v>95718625.468859255</v>
      </c>
      <c r="S310">
        <f t="shared" si="967"/>
        <v>957.1862546885925</v>
      </c>
      <c r="T310">
        <f t="shared" si="968"/>
        <v>0.95718625468859253</v>
      </c>
    </row>
    <row r="311" spans="1:20" x14ac:dyDescent="0.25">
      <c r="A311" s="5">
        <v>44282</v>
      </c>
      <c r="B311">
        <v>5.9256000000000002</v>
      </c>
      <c r="C311">
        <v>6.4279999999999999</v>
      </c>
      <c r="D311">
        <v>5.7271000000000001</v>
      </c>
      <c r="E311">
        <v>6.2298</v>
      </c>
      <c r="F311">
        <v>2926106.5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0.43444143244400063</v>
      </c>
      <c r="Q311">
        <f t="shared" si="965"/>
        <v>1271221.8993437011</v>
      </c>
      <c r="R311">
        <f t="shared" si="966"/>
        <v>96094597.747062296</v>
      </c>
      <c r="S311">
        <f t="shared" si="967"/>
        <v>960.94597747062301</v>
      </c>
      <c r="T311">
        <f t="shared" si="968"/>
        <v>0.96094597747062305</v>
      </c>
    </row>
    <row r="312" spans="1:20" x14ac:dyDescent="0.25">
      <c r="A312" s="5">
        <v>44281</v>
      </c>
      <c r="B312">
        <v>4.7602000000000002</v>
      </c>
      <c r="C312">
        <v>5.9349999999999996</v>
      </c>
      <c r="D312">
        <v>4.76</v>
      </c>
      <c r="E312">
        <v>5.9185999999999996</v>
      </c>
      <c r="F312">
        <v>2952395.6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0.97208510638297874</v>
      </c>
      <c r="Q312">
        <f t="shared" si="965"/>
        <v>2869979.7909106384</v>
      </c>
      <c r="R312">
        <f t="shared" si="966"/>
        <v>94823375.847718596</v>
      </c>
      <c r="S312">
        <f t="shared" si="967"/>
        <v>948.23375847718592</v>
      </c>
      <c r="T312">
        <f t="shared" si="968"/>
        <v>0.94823375847718594</v>
      </c>
    </row>
    <row r="313" spans="1:20" x14ac:dyDescent="0.25">
      <c r="A313" s="5">
        <v>44280</v>
      </c>
      <c r="B313">
        <v>4.6360000000000001</v>
      </c>
      <c r="C313">
        <v>4.9325000000000001</v>
      </c>
      <c r="D313">
        <v>4.5</v>
      </c>
      <c r="E313">
        <v>4.7602000000000002</v>
      </c>
      <c r="F313">
        <v>2696528.99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0.20323699421965385</v>
      </c>
      <c r="Q313">
        <f t="shared" si="965"/>
        <v>548034.44675375905</v>
      </c>
      <c r="R313">
        <f t="shared" si="966"/>
        <v>91953396.056807965</v>
      </c>
      <c r="S313">
        <f t="shared" si="967"/>
        <v>919.53396056807969</v>
      </c>
      <c r="T313">
        <f t="shared" si="968"/>
        <v>0.91953396056807968</v>
      </c>
    </row>
    <row r="314" spans="1:20" x14ac:dyDescent="0.25">
      <c r="A314" s="5">
        <v>44279</v>
      </c>
      <c r="B314">
        <v>5.1181000000000001</v>
      </c>
      <c r="C314">
        <v>5.4119000000000002</v>
      </c>
      <c r="D314">
        <v>4.5598000000000001</v>
      </c>
      <c r="E314">
        <v>4.6360000000000001</v>
      </c>
      <c r="F314">
        <v>3779946.63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-0.82114775261119577</v>
      </c>
      <c r="Q314">
        <f t="shared" si="965"/>
        <v>-3103894.6802147632</v>
      </c>
      <c r="R314">
        <f t="shared" si="966"/>
        <v>91405361.61005421</v>
      </c>
      <c r="S314">
        <f t="shared" si="967"/>
        <v>914.05361610054206</v>
      </c>
      <c r="T314">
        <f t="shared" si="968"/>
        <v>0.91405361610054203</v>
      </c>
    </row>
    <row r="315" spans="1:20" x14ac:dyDescent="0.25">
      <c r="A315" s="5">
        <v>44278</v>
      </c>
      <c r="B315">
        <v>5.2634999999999996</v>
      </c>
      <c r="C315">
        <v>5.3838999999999997</v>
      </c>
      <c r="D315">
        <v>4.9306000000000001</v>
      </c>
      <c r="E315">
        <v>5.125</v>
      </c>
      <c r="F315">
        <v>3232671.21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-0.14228987425545961</v>
      </c>
      <c r="Q315">
        <f t="shared" si="965"/>
        <v>-459976.37998014444</v>
      </c>
      <c r="R315">
        <f t="shared" si="966"/>
        <v>94509256.290268973</v>
      </c>
      <c r="S315">
        <f t="shared" si="967"/>
        <v>945.09256290268968</v>
      </c>
      <c r="T315">
        <f t="shared" si="968"/>
        <v>0.94509256290268973</v>
      </c>
    </row>
    <row r="316" spans="1:20" x14ac:dyDescent="0.25">
      <c r="A316" s="5">
        <v>44277</v>
      </c>
      <c r="B316">
        <v>5.6337999999999999</v>
      </c>
      <c r="C316">
        <v>5.6657999999999999</v>
      </c>
      <c r="D316">
        <v>4.9317000000000002</v>
      </c>
      <c r="E316">
        <v>5.2527999999999997</v>
      </c>
      <c r="F316">
        <v>2969521.8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-0.12518730418199264</v>
      </c>
      <c r="Q316">
        <f t="shared" si="965"/>
        <v>-371746.4288516583</v>
      </c>
      <c r="R316">
        <f t="shared" si="966"/>
        <v>94969232.670249119</v>
      </c>
      <c r="S316">
        <f t="shared" si="967"/>
        <v>949.69232670249119</v>
      </c>
      <c r="T316">
        <f t="shared" si="968"/>
        <v>0.94969232670249115</v>
      </c>
    </row>
    <row r="317" spans="1:20" x14ac:dyDescent="0.25">
      <c r="A317" s="5">
        <v>44276</v>
      </c>
      <c r="B317">
        <v>5.7716000000000003</v>
      </c>
      <c r="C317">
        <v>5.82</v>
      </c>
      <c r="D317">
        <v>5.3423999999999996</v>
      </c>
      <c r="E317">
        <v>5.6300999999999997</v>
      </c>
      <c r="F317">
        <v>1913866.87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0.2047738693467322</v>
      </c>
      <c r="Q317">
        <f t="shared" si="965"/>
        <v>391909.92438441934</v>
      </c>
      <c r="R317">
        <f t="shared" si="966"/>
        <v>95340979.099100783</v>
      </c>
      <c r="S317">
        <f t="shared" si="967"/>
        <v>953.40979099100787</v>
      </c>
      <c r="T317">
        <f t="shared" si="968"/>
        <v>0.95340979099100787</v>
      </c>
    </row>
    <row r="318" spans="1:20" x14ac:dyDescent="0.25">
      <c r="A318" s="5">
        <v>44275</v>
      </c>
      <c r="B318">
        <v>5.56</v>
      </c>
      <c r="C318">
        <v>6.04</v>
      </c>
      <c r="D318">
        <v>5.5374999999999996</v>
      </c>
      <c r="E318">
        <v>5.7876000000000003</v>
      </c>
      <c r="F318">
        <v>1461223.32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-4.5771144278588631E-3</v>
      </c>
      <c r="Q318">
        <f t="shared" si="965"/>
        <v>-6688.1863402958288</v>
      </c>
      <c r="R318">
        <f t="shared" si="966"/>
        <v>94949069.174716368</v>
      </c>
      <c r="S318">
        <f t="shared" si="967"/>
        <v>949.49069174716374</v>
      </c>
      <c r="T318">
        <f t="shared" si="968"/>
        <v>0.94949069174716372</v>
      </c>
    </row>
    <row r="319" spans="1:20" x14ac:dyDescent="0.25">
      <c r="A319" s="5">
        <v>44274</v>
      </c>
      <c r="B319">
        <v>5.6349999999999998</v>
      </c>
      <c r="C319">
        <v>5.7</v>
      </c>
      <c r="D319">
        <v>5.4760999999999997</v>
      </c>
      <c r="E319">
        <v>5.56</v>
      </c>
      <c r="F319">
        <v>1529201.68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-0.25055828494864046</v>
      </c>
      <c r="Q319">
        <f t="shared" si="965"/>
        <v>-383154.1502813797</v>
      </c>
      <c r="R319">
        <f t="shared" si="966"/>
        <v>94955757.361056671</v>
      </c>
      <c r="S319">
        <f t="shared" si="967"/>
        <v>949.55757361056669</v>
      </c>
      <c r="T319">
        <f t="shared" si="968"/>
        <v>0.9495575736105667</v>
      </c>
    </row>
    <row r="320" spans="1:20" x14ac:dyDescent="0.25">
      <c r="A320" s="5">
        <v>44273</v>
      </c>
      <c r="B320">
        <v>5.8419999999999996</v>
      </c>
      <c r="C320">
        <v>5.9954999999999998</v>
      </c>
      <c r="D320">
        <v>5.5881999999999996</v>
      </c>
      <c r="E320">
        <v>5.6349999999999998</v>
      </c>
      <c r="F320">
        <v>1893436.47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-0.77019396022587705</v>
      </c>
      <c r="Q320">
        <f t="shared" si="965"/>
        <v>-1458313.3332654049</v>
      </c>
      <c r="R320">
        <f t="shared" si="966"/>
        <v>95338911.511338055</v>
      </c>
      <c r="S320">
        <f t="shared" si="967"/>
        <v>953.38911511338051</v>
      </c>
      <c r="T320">
        <f t="shared" si="968"/>
        <v>0.95338911511338054</v>
      </c>
    </row>
    <row r="321" spans="1:20" x14ac:dyDescent="0.25">
      <c r="A321" s="5">
        <v>44272</v>
      </c>
      <c r="B321">
        <v>5.5922000000000001</v>
      </c>
      <c r="C321">
        <v>5.8895</v>
      </c>
      <c r="D321">
        <v>5.4</v>
      </c>
      <c r="E321">
        <v>5.8289999999999997</v>
      </c>
      <c r="F321">
        <v>2231625.4700000002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0.7528089887640439</v>
      </c>
      <c r="Q321">
        <f t="shared" si="965"/>
        <v>1679987.7133707844</v>
      </c>
      <c r="R321">
        <f t="shared" si="966"/>
        <v>96797224.844603464</v>
      </c>
      <c r="S321">
        <f t="shared" si="967"/>
        <v>967.97224844603465</v>
      </c>
      <c r="T321">
        <f t="shared" si="968"/>
        <v>0.96797224844603469</v>
      </c>
    </row>
    <row r="322" spans="1:20" x14ac:dyDescent="0.25">
      <c r="A322" s="5">
        <v>44271</v>
      </c>
      <c r="B322">
        <v>5.6680000000000001</v>
      </c>
      <c r="C322">
        <v>5.7680999999999996</v>
      </c>
      <c r="D322">
        <v>5.3289999999999997</v>
      </c>
      <c r="E322">
        <v>5.5869</v>
      </c>
      <c r="F322">
        <v>2191778.1800000002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0.17467547255750554</v>
      </c>
      <c r="Q322">
        <f t="shared" si="965"/>
        <v>382849.88933272945</v>
      </c>
      <c r="R322">
        <f t="shared" si="966"/>
        <v>95117237.131232679</v>
      </c>
      <c r="S322">
        <f t="shared" si="967"/>
        <v>951.17237131232685</v>
      </c>
      <c r="T322">
        <f t="shared" si="968"/>
        <v>0.95117237131232679</v>
      </c>
    </row>
    <row r="323" spans="1:20" x14ac:dyDescent="0.25">
      <c r="A323" s="5">
        <v>44270</v>
      </c>
      <c r="B323">
        <v>5.5534999999999997</v>
      </c>
      <c r="C323">
        <v>5.8555999999999999</v>
      </c>
      <c r="D323">
        <v>5.2157999999999998</v>
      </c>
      <c r="E323">
        <v>5.6628999999999996</v>
      </c>
      <c r="F323">
        <v>3853922.39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0.39762425758049308</v>
      </c>
      <c r="Q323">
        <f t="shared" si="965"/>
        <v>1532413.0290965897</v>
      </c>
      <c r="R323">
        <f t="shared" si="966"/>
        <v>94734387.241899952</v>
      </c>
      <c r="S323">
        <f t="shared" si="967"/>
        <v>947.34387241899947</v>
      </c>
      <c r="T323">
        <f t="shared" si="968"/>
        <v>0.94734387241899942</v>
      </c>
    </row>
    <row r="324" spans="1:20" x14ac:dyDescent="0.25">
      <c r="A324" s="5">
        <v>44269</v>
      </c>
      <c r="B324">
        <v>6.1048999999999998</v>
      </c>
      <c r="C324">
        <v>6.1524000000000001</v>
      </c>
      <c r="D324">
        <v>5.55</v>
      </c>
      <c r="E324">
        <v>5.55</v>
      </c>
      <c r="F324">
        <v>2748082.57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-1</v>
      </c>
      <c r="Q324">
        <f t="shared" si="965"/>
        <v>-2748082.57</v>
      </c>
      <c r="R324">
        <f t="shared" si="966"/>
        <v>93201974.212803364</v>
      </c>
      <c r="S324">
        <f t="shared" si="967"/>
        <v>932.01974212803361</v>
      </c>
      <c r="T324">
        <f t="shared" si="968"/>
        <v>0.93201974212803362</v>
      </c>
    </row>
    <row r="325" spans="1:20" x14ac:dyDescent="0.25">
      <c r="A325" s="5">
        <v>44268</v>
      </c>
      <c r="B325">
        <v>5.9965999999999999</v>
      </c>
      <c r="C325">
        <v>6.2994000000000003</v>
      </c>
      <c r="D325">
        <v>5.8125</v>
      </c>
      <c r="E325">
        <v>6.1109999999999998</v>
      </c>
      <c r="F325">
        <v>1845508.22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0.22612446087492119</v>
      </c>
      <c r="Q325">
        <f t="shared" si="965"/>
        <v>417314.55128773546</v>
      </c>
      <c r="R325">
        <f t="shared" si="966"/>
        <v>95950056.782803357</v>
      </c>
      <c r="S325">
        <f t="shared" si="967"/>
        <v>959.50056782803358</v>
      </c>
      <c r="T325">
        <f t="shared" si="968"/>
        <v>0.95950056782803361</v>
      </c>
    </row>
    <row r="326" spans="1:20" x14ac:dyDescent="0.25">
      <c r="A326" s="5">
        <v>44267</v>
      </c>
      <c r="B326">
        <v>6.4200999999999997</v>
      </c>
      <c r="C326">
        <v>6.48</v>
      </c>
      <c r="D326">
        <v>5.6961000000000004</v>
      </c>
      <c r="E326">
        <v>5.9924999999999997</v>
      </c>
      <c r="F326">
        <v>3653156.86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-0.24378109452736493</v>
      </c>
      <c r="Q326">
        <f t="shared" ref="Q326:Q389" si="970">F326*P326</f>
        <v>-890570.57781095162</v>
      </c>
      <c r="R326">
        <f t="shared" ref="R326:R389" si="971">R327+Q326</f>
        <v>95532742.231515616</v>
      </c>
      <c r="S326">
        <f t="shared" ref="S326:S389" si="972">R326/100000</f>
        <v>955.32742231515613</v>
      </c>
      <c r="T326">
        <f t="shared" ref="T326:T389" si="973">S326/1000</f>
        <v>0.95532742231515611</v>
      </c>
    </row>
    <row r="327" spans="1:20" x14ac:dyDescent="0.25">
      <c r="A327" s="5">
        <v>44266</v>
      </c>
      <c r="B327">
        <v>6.3166000000000002</v>
      </c>
      <c r="C327">
        <v>6.766</v>
      </c>
      <c r="D327">
        <v>6.12</v>
      </c>
      <c r="E327">
        <v>6.4194000000000004</v>
      </c>
      <c r="F327">
        <v>3302379.08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-7.3065015479874998E-2</v>
      </c>
      <c r="Q327">
        <f t="shared" si="970"/>
        <v>-241288.37860061537</v>
      </c>
      <c r="R327">
        <f t="shared" si="971"/>
        <v>96423312.809326574</v>
      </c>
      <c r="S327">
        <f t="shared" si="972"/>
        <v>964.23312809326569</v>
      </c>
      <c r="T327">
        <f t="shared" si="973"/>
        <v>0.96423312809326567</v>
      </c>
    </row>
    <row r="328" spans="1:20" x14ac:dyDescent="0.25">
      <c r="A328" s="5">
        <v>44265</v>
      </c>
      <c r="B328">
        <v>6.1425000000000001</v>
      </c>
      <c r="C328">
        <v>6.6665999999999999</v>
      </c>
      <c r="D328">
        <v>5.8</v>
      </c>
      <c r="E328">
        <v>6.3174000000000001</v>
      </c>
      <c r="F328">
        <v>4189363.32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0.19409185321947908</v>
      </c>
      <c r="Q328">
        <f t="shared" si="970"/>
        <v>813121.29058850952</v>
      </c>
      <c r="R328">
        <f t="shared" si="971"/>
        <v>96664601.187927186</v>
      </c>
      <c r="S328">
        <f t="shared" si="972"/>
        <v>966.6460118792719</v>
      </c>
      <c r="T328">
        <f t="shared" si="973"/>
        <v>0.9666460118792719</v>
      </c>
    </row>
    <row r="329" spans="1:20" x14ac:dyDescent="0.25">
      <c r="A329" s="5">
        <v>44264</v>
      </c>
      <c r="B329">
        <v>5.8250999999999999</v>
      </c>
      <c r="C329">
        <v>6.1883999999999997</v>
      </c>
      <c r="D329">
        <v>5.7461000000000002</v>
      </c>
      <c r="E329">
        <v>6.1425000000000001</v>
      </c>
      <c r="F329">
        <v>2742434.64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0.79244856432285926</v>
      </c>
      <c r="Q329">
        <f t="shared" si="970"/>
        <v>2173238.3932172777</v>
      </c>
      <c r="R329">
        <f t="shared" si="971"/>
        <v>95851479.897338673</v>
      </c>
      <c r="S329">
        <f t="shared" si="972"/>
        <v>958.51479897338675</v>
      </c>
      <c r="T329">
        <f t="shared" si="973"/>
        <v>0.95851479897338676</v>
      </c>
    </row>
    <row r="330" spans="1:20" x14ac:dyDescent="0.25">
      <c r="A330" s="5">
        <v>44263</v>
      </c>
      <c r="B330">
        <v>5.6904000000000003</v>
      </c>
      <c r="C330">
        <v>5.8608000000000002</v>
      </c>
      <c r="D330">
        <v>5.35</v>
      </c>
      <c r="E330">
        <v>5.8243</v>
      </c>
      <c r="F330">
        <v>2102060.9500000002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0.8570869224745491</v>
      </c>
      <c r="Q330">
        <f t="shared" si="970"/>
        <v>1801648.9504894272</v>
      </c>
      <c r="R330">
        <f t="shared" si="971"/>
        <v>93678241.504121393</v>
      </c>
      <c r="S330">
        <f t="shared" si="972"/>
        <v>936.78241504121388</v>
      </c>
      <c r="T330">
        <f t="shared" si="973"/>
        <v>0.93678241504121385</v>
      </c>
    </row>
    <row r="331" spans="1:20" x14ac:dyDescent="0.25">
      <c r="A331" s="5">
        <v>44262</v>
      </c>
      <c r="B331">
        <v>5.6841999999999997</v>
      </c>
      <c r="C331">
        <v>5.99</v>
      </c>
      <c r="D331">
        <v>5.5099</v>
      </c>
      <c r="E331">
        <v>5.6946000000000003</v>
      </c>
      <c r="F331">
        <v>2340302.09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-0.23057696313267972</v>
      </c>
      <c r="Q331">
        <f t="shared" si="970"/>
        <v>-539619.74872526329</v>
      </c>
      <c r="R331">
        <f t="shared" si="971"/>
        <v>91876592.553631961</v>
      </c>
      <c r="S331">
        <f t="shared" si="972"/>
        <v>918.76592553631963</v>
      </c>
      <c r="T331">
        <f t="shared" si="973"/>
        <v>0.91876592553631964</v>
      </c>
    </row>
    <row r="332" spans="1:20" x14ac:dyDescent="0.25">
      <c r="A332" s="5">
        <v>44261</v>
      </c>
      <c r="B332">
        <v>5.5133999999999999</v>
      </c>
      <c r="C332">
        <v>5.9387999999999996</v>
      </c>
      <c r="D332">
        <v>5.38</v>
      </c>
      <c r="E332">
        <v>5.6848999999999998</v>
      </c>
      <c r="F332">
        <v>2701573.3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9.1267000715819932E-2</v>
      </c>
      <c r="Q332">
        <f t="shared" si="970"/>
        <v>246564.49230494001</v>
      </c>
      <c r="R332">
        <f t="shared" si="971"/>
        <v>92416212.302357227</v>
      </c>
      <c r="S332">
        <f t="shared" si="972"/>
        <v>924.16212302357224</v>
      </c>
      <c r="T332">
        <f t="shared" si="973"/>
        <v>0.92416212302357226</v>
      </c>
    </row>
    <row r="333" spans="1:20" x14ac:dyDescent="0.25">
      <c r="A333" s="5">
        <v>44260</v>
      </c>
      <c r="B333">
        <v>5.2567000000000004</v>
      </c>
      <c r="C333">
        <v>5.6611000000000002</v>
      </c>
      <c r="D333">
        <v>4.95</v>
      </c>
      <c r="E333">
        <v>5.5042</v>
      </c>
      <c r="F333">
        <v>3738956.71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0.55871185487273167</v>
      </c>
      <c r="Q333">
        <f t="shared" si="970"/>
        <v>2088999.4387329463</v>
      </c>
      <c r="R333">
        <f t="shared" si="971"/>
        <v>92169647.810052291</v>
      </c>
      <c r="S333">
        <f t="shared" si="972"/>
        <v>921.69647810052288</v>
      </c>
      <c r="T333">
        <f t="shared" si="973"/>
        <v>0.92169647810052291</v>
      </c>
    </row>
    <row r="334" spans="1:20" x14ac:dyDescent="0.25">
      <c r="A334" s="5">
        <v>44259</v>
      </c>
      <c r="B334">
        <v>5.71</v>
      </c>
      <c r="C334">
        <v>5.8</v>
      </c>
      <c r="D334">
        <v>5.0808</v>
      </c>
      <c r="E334">
        <v>5.2686000000000002</v>
      </c>
      <c r="F334">
        <v>4438458.0199999996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-0.47775305895439313</v>
      </c>
      <c r="Q334">
        <f t="shared" si="970"/>
        <v>-2120486.8960956587</v>
      </c>
      <c r="R334">
        <f t="shared" si="971"/>
        <v>90080648.371319339</v>
      </c>
      <c r="S334">
        <f t="shared" si="972"/>
        <v>900.80648371319342</v>
      </c>
      <c r="T334">
        <f t="shared" si="973"/>
        <v>0.90080648371319338</v>
      </c>
    </row>
    <row r="335" spans="1:20" x14ac:dyDescent="0.25">
      <c r="A335" s="5">
        <v>44258</v>
      </c>
      <c r="B335">
        <v>5.1817000000000002</v>
      </c>
      <c r="C335">
        <v>6.2</v>
      </c>
      <c r="D335">
        <v>5.0848000000000004</v>
      </c>
      <c r="E335">
        <v>5.71</v>
      </c>
      <c r="F335">
        <v>5305593.12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0.12123385939741692</v>
      </c>
      <c r="Q335">
        <f t="shared" si="970"/>
        <v>643217.53032998252</v>
      </c>
      <c r="R335">
        <f t="shared" si="971"/>
        <v>92201135.267415002</v>
      </c>
      <c r="S335">
        <f t="shared" si="972"/>
        <v>922.01135267414998</v>
      </c>
      <c r="T335">
        <f t="shared" si="973"/>
        <v>0.92201135267415002</v>
      </c>
    </row>
    <row r="336" spans="1:20" x14ac:dyDescent="0.25">
      <c r="A336" s="5">
        <v>44257</v>
      </c>
      <c r="B336">
        <v>5.1982999999999997</v>
      </c>
      <c r="C336">
        <v>5.6989999999999998</v>
      </c>
      <c r="D336">
        <v>4.9119000000000002</v>
      </c>
      <c r="E336">
        <v>5.1898999999999997</v>
      </c>
      <c r="F336">
        <v>5337817.13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-0.29360945242027775</v>
      </c>
      <c r="Q336">
        <f t="shared" si="970"/>
        <v>-1567233.5646588786</v>
      </c>
      <c r="R336">
        <f t="shared" si="971"/>
        <v>91557917.737085015</v>
      </c>
      <c r="S336">
        <f t="shared" si="972"/>
        <v>915.57917737085018</v>
      </c>
      <c r="T336">
        <f t="shared" si="973"/>
        <v>0.91557917737085015</v>
      </c>
    </row>
    <row r="337" spans="1:20" x14ac:dyDescent="0.25">
      <c r="A337" s="5">
        <v>44256</v>
      </c>
      <c r="B337">
        <v>4.3579999999999997</v>
      </c>
      <c r="C337">
        <v>5.21</v>
      </c>
      <c r="D337">
        <v>4.3460999999999999</v>
      </c>
      <c r="E337">
        <v>5.1929999999999996</v>
      </c>
      <c r="F337">
        <v>3412274.35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0.96064359300844926</v>
      </c>
      <c r="Q337">
        <f t="shared" si="970"/>
        <v>3277979.4919145708</v>
      </c>
      <c r="R337">
        <f t="shared" si="971"/>
        <v>93125151.301743895</v>
      </c>
      <c r="S337">
        <f t="shared" si="972"/>
        <v>931.25151301743892</v>
      </c>
      <c r="T337">
        <f t="shared" si="973"/>
        <v>0.93125151301743891</v>
      </c>
    </row>
    <row r="338" spans="1:20" x14ac:dyDescent="0.25">
      <c r="A338" s="5">
        <v>44255</v>
      </c>
      <c r="B338">
        <v>4.5185000000000004</v>
      </c>
      <c r="C338">
        <v>4.5510999999999999</v>
      </c>
      <c r="D338">
        <v>3.8744000000000001</v>
      </c>
      <c r="E338">
        <v>4.3499999999999996</v>
      </c>
      <c r="F338">
        <v>4068256.5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0.40564504211615099</v>
      </c>
      <c r="Q338">
        <f t="shared" si="970"/>
        <v>1650268.0792818051</v>
      </c>
      <c r="R338">
        <f t="shared" si="971"/>
        <v>89847171.809829324</v>
      </c>
      <c r="S338">
        <f t="shared" si="972"/>
        <v>898.47171809829319</v>
      </c>
      <c r="T338">
        <f t="shared" si="973"/>
        <v>0.89847171809829318</v>
      </c>
    </row>
    <row r="339" spans="1:20" x14ac:dyDescent="0.25">
      <c r="A339" s="5">
        <v>44254</v>
      </c>
      <c r="B339">
        <v>4.4043000000000001</v>
      </c>
      <c r="C339">
        <v>4.8182</v>
      </c>
      <c r="D339">
        <v>4.3959999999999999</v>
      </c>
      <c r="E339">
        <v>4.5189000000000004</v>
      </c>
      <c r="F339">
        <v>3147157.84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-0.41781146376124861</v>
      </c>
      <c r="Q339">
        <f t="shared" si="970"/>
        <v>-1314918.6238180895</v>
      </c>
      <c r="R339">
        <f t="shared" si="971"/>
        <v>88196903.730547518</v>
      </c>
      <c r="S339">
        <f t="shared" si="972"/>
        <v>881.96903730547513</v>
      </c>
      <c r="T339">
        <f t="shared" si="973"/>
        <v>0.88196903730547516</v>
      </c>
    </row>
    <row r="340" spans="1:20" x14ac:dyDescent="0.25">
      <c r="A340" s="5">
        <v>44253</v>
      </c>
      <c r="B340">
        <v>4.4358000000000004</v>
      </c>
      <c r="C340">
        <v>4.9467999999999996</v>
      </c>
      <c r="D340">
        <v>4</v>
      </c>
      <c r="E340">
        <v>4.4059999999999997</v>
      </c>
      <c r="F340">
        <v>5198327.7300000004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-0.14237431347697541</v>
      </c>
      <c r="Q340">
        <f t="shared" si="970"/>
        <v>-740108.34178707399</v>
      </c>
      <c r="R340">
        <f t="shared" si="971"/>
        <v>89511822.354365602</v>
      </c>
      <c r="S340">
        <f t="shared" si="972"/>
        <v>895.11822354365597</v>
      </c>
      <c r="T340">
        <f t="shared" si="973"/>
        <v>0.895118223543656</v>
      </c>
    </row>
    <row r="341" spans="1:20" x14ac:dyDescent="0.25">
      <c r="A341" s="5">
        <v>44252</v>
      </c>
      <c r="B341">
        <v>4.9459</v>
      </c>
      <c r="C341">
        <v>5.2919999999999998</v>
      </c>
      <c r="D341">
        <v>4.41</v>
      </c>
      <c r="E341">
        <v>4.4455</v>
      </c>
      <c r="F341">
        <v>5191058.99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-0.91950113378684839</v>
      </c>
      <c r="Q341">
        <f t="shared" si="970"/>
        <v>-4773184.6268594125</v>
      </c>
      <c r="R341">
        <f t="shared" si="971"/>
        <v>90251930.696152672</v>
      </c>
      <c r="S341">
        <f t="shared" si="972"/>
        <v>902.51930696152669</v>
      </c>
      <c r="T341">
        <f t="shared" si="973"/>
        <v>0.90251930696152671</v>
      </c>
    </row>
    <row r="342" spans="1:20" x14ac:dyDescent="0.25">
      <c r="A342" s="5">
        <v>44251</v>
      </c>
      <c r="B342">
        <v>4.8967999999999998</v>
      </c>
      <c r="C342">
        <v>5.7</v>
      </c>
      <c r="D342">
        <v>4.4383999999999997</v>
      </c>
      <c r="E342">
        <v>4.9318</v>
      </c>
      <c r="F342">
        <v>11230432.08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-0.21781864299302459</v>
      </c>
      <c r="Q342">
        <f t="shared" si="970"/>
        <v>-2446197.4758909307</v>
      </c>
      <c r="R342">
        <f t="shared" si="971"/>
        <v>95025115.323012084</v>
      </c>
      <c r="S342">
        <f t="shared" si="972"/>
        <v>950.25115323012085</v>
      </c>
      <c r="T342">
        <f t="shared" si="973"/>
        <v>0.95025115323012088</v>
      </c>
    </row>
    <row r="343" spans="1:20" x14ac:dyDescent="0.25">
      <c r="A343" s="5">
        <v>44250</v>
      </c>
      <c r="B343">
        <v>4.5106999999999999</v>
      </c>
      <c r="C343">
        <v>4.95</v>
      </c>
      <c r="D343">
        <v>3.05</v>
      </c>
      <c r="E343">
        <v>4.8968999999999996</v>
      </c>
      <c r="F343">
        <v>12331473.75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0.94410526315789411</v>
      </c>
      <c r="Q343">
        <f t="shared" si="970"/>
        <v>11642209.269868413</v>
      </c>
      <c r="R343">
        <f t="shared" si="971"/>
        <v>97471312.798903018</v>
      </c>
      <c r="S343">
        <f t="shared" si="972"/>
        <v>974.71312798903023</v>
      </c>
      <c r="T343">
        <f t="shared" si="973"/>
        <v>0.9747131279890302</v>
      </c>
    </row>
    <row r="344" spans="1:20" x14ac:dyDescent="0.25">
      <c r="A344" s="5">
        <v>44249</v>
      </c>
      <c r="B344">
        <v>4.7767999999999997</v>
      </c>
      <c r="C344">
        <v>4.7859999999999996</v>
      </c>
      <c r="D344">
        <v>3.5</v>
      </c>
      <c r="E344">
        <v>4.4981999999999998</v>
      </c>
      <c r="F344">
        <v>8612523.8599999994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0.5524105754276829</v>
      </c>
      <c r="Q344">
        <f t="shared" si="970"/>
        <v>4757649.2613872485</v>
      </c>
      <c r="R344">
        <f t="shared" si="971"/>
        <v>85829103.5290346</v>
      </c>
      <c r="S344">
        <f t="shared" si="972"/>
        <v>858.29103529034603</v>
      </c>
      <c r="T344">
        <f t="shared" si="973"/>
        <v>0.858291035290346</v>
      </c>
    </row>
    <row r="345" spans="1:20" x14ac:dyDescent="0.25">
      <c r="A345" s="5">
        <v>44248</v>
      </c>
      <c r="B345">
        <v>5.1081000000000003</v>
      </c>
      <c r="C345">
        <v>5.2812999999999999</v>
      </c>
      <c r="D345">
        <v>4.5999999999999996</v>
      </c>
      <c r="E345">
        <v>4.7748999999999997</v>
      </c>
      <c r="F345">
        <v>4641129.1900000004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-0.48656979304271247</v>
      </c>
      <c r="Q345">
        <f t="shared" si="970"/>
        <v>-2258233.2694627922</v>
      </c>
      <c r="R345">
        <f t="shared" si="971"/>
        <v>81071454.267647356</v>
      </c>
      <c r="S345">
        <f t="shared" si="972"/>
        <v>810.71454267647357</v>
      </c>
      <c r="T345">
        <f t="shared" si="973"/>
        <v>0.81071454267647358</v>
      </c>
    </row>
    <row r="346" spans="1:20" x14ac:dyDescent="0.25">
      <c r="A346" s="5">
        <v>44247</v>
      </c>
      <c r="B346">
        <v>4.78</v>
      </c>
      <c r="C346">
        <v>5.77</v>
      </c>
      <c r="D346">
        <v>4.5155000000000003</v>
      </c>
      <c r="E346">
        <v>5.1144999999999996</v>
      </c>
      <c r="F346">
        <v>11865380.789999999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-4.5037863690713983E-2</v>
      </c>
      <c r="Q346">
        <f t="shared" si="970"/>
        <v>-534391.40265843621</v>
      </c>
      <c r="R346">
        <f t="shared" si="971"/>
        <v>83329687.53711015</v>
      </c>
      <c r="S346">
        <f t="shared" si="972"/>
        <v>833.29687537110146</v>
      </c>
      <c r="T346">
        <f t="shared" si="973"/>
        <v>0.83329687537110142</v>
      </c>
    </row>
    <row r="347" spans="1:20" x14ac:dyDescent="0.25">
      <c r="A347" s="5">
        <v>44246</v>
      </c>
      <c r="B347">
        <v>3.9815999999999998</v>
      </c>
      <c r="C347">
        <v>5</v>
      </c>
      <c r="D347">
        <v>3.85</v>
      </c>
      <c r="E347">
        <v>4.78</v>
      </c>
      <c r="F347">
        <v>7409050.9100000001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0.61739130434782652</v>
      </c>
      <c r="Q347">
        <f t="shared" si="970"/>
        <v>4574283.6053043511</v>
      </c>
      <c r="R347">
        <f t="shared" si="971"/>
        <v>83864078.939768583</v>
      </c>
      <c r="S347">
        <f t="shared" si="972"/>
        <v>838.64078939768581</v>
      </c>
      <c r="T347">
        <f t="shared" si="973"/>
        <v>0.83864078939768583</v>
      </c>
    </row>
    <row r="348" spans="1:20" x14ac:dyDescent="0.25">
      <c r="A348" s="5">
        <v>44245</v>
      </c>
      <c r="B348">
        <v>4.0134999999999996</v>
      </c>
      <c r="C348">
        <v>4.2869999999999999</v>
      </c>
      <c r="D348">
        <v>3.9510999999999998</v>
      </c>
      <c r="E348">
        <v>3.9780000000000002</v>
      </c>
      <c r="F348">
        <v>3851741.38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-0.83983328371538934</v>
      </c>
      <c r="Q348">
        <f t="shared" si="970"/>
        <v>-3234820.611187845</v>
      </c>
      <c r="R348">
        <f t="shared" si="971"/>
        <v>79289795.334464237</v>
      </c>
      <c r="S348">
        <f t="shared" si="972"/>
        <v>792.89795334464236</v>
      </c>
      <c r="T348">
        <f t="shared" si="973"/>
        <v>0.79289795334464241</v>
      </c>
    </row>
    <row r="349" spans="1:20" x14ac:dyDescent="0.25">
      <c r="A349" s="5">
        <v>44244</v>
      </c>
      <c r="B349">
        <v>3.9275000000000002</v>
      </c>
      <c r="C349">
        <v>4.09</v>
      </c>
      <c r="D349">
        <v>3.58</v>
      </c>
      <c r="E349">
        <v>4.0030000000000001</v>
      </c>
      <c r="F349">
        <v>3941045.63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0.65882352941176558</v>
      </c>
      <c r="Q349">
        <f t="shared" si="970"/>
        <v>2596453.591529415</v>
      </c>
      <c r="R349">
        <f t="shared" si="971"/>
        <v>82524615.945652083</v>
      </c>
      <c r="S349">
        <f t="shared" si="972"/>
        <v>825.24615945652079</v>
      </c>
      <c r="T349">
        <f t="shared" si="973"/>
        <v>0.8252461594565208</v>
      </c>
    </row>
    <row r="350" spans="1:20" x14ac:dyDescent="0.25">
      <c r="A350" s="5">
        <v>44243</v>
      </c>
      <c r="B350">
        <v>3.8891</v>
      </c>
      <c r="C350">
        <v>4.1999000000000004</v>
      </c>
      <c r="D350">
        <v>3.6320000000000001</v>
      </c>
      <c r="E350">
        <v>3.9249999999999998</v>
      </c>
      <c r="F350">
        <v>5202900.58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3.1871808416973249E-2</v>
      </c>
      <c r="Q350">
        <f t="shared" si="970"/>
        <v>165825.85049831899</v>
      </c>
      <c r="R350">
        <f t="shared" si="971"/>
        <v>79928162.354122669</v>
      </c>
      <c r="S350">
        <f t="shared" si="972"/>
        <v>799.28162354122674</v>
      </c>
      <c r="T350">
        <f t="shared" si="973"/>
        <v>0.79928162354122678</v>
      </c>
    </row>
    <row r="351" spans="1:20" x14ac:dyDescent="0.25">
      <c r="A351" s="5">
        <v>44242</v>
      </c>
      <c r="B351">
        <v>3.9676999999999998</v>
      </c>
      <c r="C351">
        <v>4.3752000000000004</v>
      </c>
      <c r="D351">
        <v>3.3388</v>
      </c>
      <c r="E351">
        <v>3.8824999999999998</v>
      </c>
      <c r="F351">
        <v>7125675.6200000001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4.9208799691238175E-2</v>
      </c>
      <c r="Q351">
        <f t="shared" si="970"/>
        <v>350645.94424931938</v>
      </c>
      <c r="R351">
        <f t="shared" si="971"/>
        <v>79762336.50362435</v>
      </c>
      <c r="S351">
        <f t="shared" si="972"/>
        <v>797.62336503624351</v>
      </c>
      <c r="T351">
        <f t="shared" si="973"/>
        <v>0.79762336503624354</v>
      </c>
    </row>
    <row r="352" spans="1:20" x14ac:dyDescent="0.25">
      <c r="A352" s="5">
        <v>44241</v>
      </c>
      <c r="B352">
        <v>4.3970000000000002</v>
      </c>
      <c r="C352">
        <v>4.5303000000000004</v>
      </c>
      <c r="D352">
        <v>3.8498000000000001</v>
      </c>
      <c r="E352">
        <v>3.9641999999999999</v>
      </c>
      <c r="F352">
        <v>5039646.91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-0.66377663482733351</v>
      </c>
      <c r="Q352">
        <f t="shared" si="970"/>
        <v>-3345199.8666377696</v>
      </c>
      <c r="R352">
        <f t="shared" si="971"/>
        <v>79411690.559375033</v>
      </c>
      <c r="S352">
        <f t="shared" si="972"/>
        <v>794.11690559375029</v>
      </c>
      <c r="T352">
        <f t="shared" si="973"/>
        <v>0.79411690559375026</v>
      </c>
    </row>
    <row r="353" spans="1:20" x14ac:dyDescent="0.25">
      <c r="A353" s="5">
        <v>44240</v>
      </c>
      <c r="B353">
        <v>4.2949999999999999</v>
      </c>
      <c r="C353">
        <v>4.45</v>
      </c>
      <c r="D353">
        <v>3.9</v>
      </c>
      <c r="E353">
        <v>4.3970000000000002</v>
      </c>
      <c r="F353">
        <v>7238112.9199999999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0.80727272727272759</v>
      </c>
      <c r="Q353">
        <f t="shared" si="970"/>
        <v>5843131.1572363656</v>
      </c>
      <c r="R353">
        <f t="shared" si="971"/>
        <v>82756890.426012799</v>
      </c>
      <c r="S353">
        <f t="shared" si="972"/>
        <v>827.56890426012797</v>
      </c>
      <c r="T353">
        <f t="shared" si="973"/>
        <v>0.82756890426012797</v>
      </c>
    </row>
    <row r="354" spans="1:20" x14ac:dyDescent="0.25">
      <c r="A354" s="5">
        <v>44239</v>
      </c>
      <c r="B354">
        <v>4.5072000000000001</v>
      </c>
      <c r="C354">
        <v>4.5453999999999999</v>
      </c>
      <c r="D354">
        <v>4.1040999999999999</v>
      </c>
      <c r="E354">
        <v>4.2949999999999999</v>
      </c>
      <c r="F354">
        <v>5297314.88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-0.13482891457058663</v>
      </c>
      <c r="Q354">
        <f t="shared" si="970"/>
        <v>-714231.21540901728</v>
      </c>
      <c r="R354">
        <f t="shared" si="971"/>
        <v>76913759.268776432</v>
      </c>
      <c r="S354">
        <f t="shared" si="972"/>
        <v>769.13759268776437</v>
      </c>
      <c r="T354">
        <f t="shared" si="973"/>
        <v>0.76913759268776438</v>
      </c>
    </row>
    <row r="355" spans="1:20" x14ac:dyDescent="0.25">
      <c r="A355" s="5">
        <v>44238</v>
      </c>
      <c r="B355">
        <v>4.4649999999999999</v>
      </c>
      <c r="C355">
        <v>4.6978</v>
      </c>
      <c r="D355">
        <v>4.3188000000000004</v>
      </c>
      <c r="E355">
        <v>4.5057999999999998</v>
      </c>
      <c r="F355">
        <v>3653906.86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-1.3192612137205243E-2</v>
      </c>
      <c r="Q355">
        <f t="shared" si="970"/>
        <v>-48204.5759894535</v>
      </c>
      <c r="R355">
        <f t="shared" si="971"/>
        <v>77627990.484185442</v>
      </c>
      <c r="S355">
        <f t="shared" si="972"/>
        <v>776.27990484185443</v>
      </c>
      <c r="T355">
        <f t="shared" si="973"/>
        <v>0.77627990484185438</v>
      </c>
    </row>
    <row r="356" spans="1:20" x14ac:dyDescent="0.25">
      <c r="A356" s="5">
        <v>44237</v>
      </c>
      <c r="B356">
        <v>4.58</v>
      </c>
      <c r="C356">
        <v>5.0144000000000002</v>
      </c>
      <c r="D356">
        <v>4.18</v>
      </c>
      <c r="E356">
        <v>4.4649999999999999</v>
      </c>
      <c r="F356">
        <v>5929641.1600000001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-0.31687440076701828</v>
      </c>
      <c r="Q356">
        <f t="shared" si="970"/>
        <v>-1878951.4893384473</v>
      </c>
      <c r="R356">
        <f t="shared" si="971"/>
        <v>77676195.060174897</v>
      </c>
      <c r="S356">
        <f t="shared" si="972"/>
        <v>776.76195060174894</v>
      </c>
      <c r="T356">
        <f t="shared" si="973"/>
        <v>0.77676195060174891</v>
      </c>
    </row>
    <row r="357" spans="1:20" x14ac:dyDescent="0.25">
      <c r="A357" s="5">
        <v>44236</v>
      </c>
      <c r="B357">
        <v>4.5979999999999999</v>
      </c>
      <c r="C357">
        <v>4.8</v>
      </c>
      <c r="D357">
        <v>4.3098999999999998</v>
      </c>
      <c r="E357">
        <v>4.58</v>
      </c>
      <c r="F357">
        <v>5236160.88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0.10222403591103954</v>
      </c>
      <c r="Q357">
        <f t="shared" si="970"/>
        <v>535261.49783310038</v>
      </c>
      <c r="R357">
        <f t="shared" si="971"/>
        <v>79555146.54951334</v>
      </c>
      <c r="S357">
        <f t="shared" si="972"/>
        <v>795.55146549513336</v>
      </c>
      <c r="T357">
        <f t="shared" si="973"/>
        <v>0.79555146549513334</v>
      </c>
    </row>
    <row r="358" spans="1:20" x14ac:dyDescent="0.25">
      <c r="A358" s="5">
        <v>44235</v>
      </c>
      <c r="B358">
        <v>3.7904</v>
      </c>
      <c r="C358">
        <v>4.62</v>
      </c>
      <c r="D358">
        <v>3.5232999999999999</v>
      </c>
      <c r="E358">
        <v>4.5945999999999998</v>
      </c>
      <c r="F358">
        <v>8778855.3300000001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0.95367921947661105</v>
      </c>
      <c r="Q358">
        <f t="shared" si="970"/>
        <v>8372211.8990124865</v>
      </c>
      <c r="R358">
        <f t="shared" si="971"/>
        <v>79019885.051680237</v>
      </c>
      <c r="S358">
        <f t="shared" si="972"/>
        <v>790.19885051680239</v>
      </c>
      <c r="T358">
        <f t="shared" si="973"/>
        <v>0.79019885051680239</v>
      </c>
    </row>
    <row r="359" spans="1:20" x14ac:dyDescent="0.25">
      <c r="A359" s="5">
        <v>44234</v>
      </c>
      <c r="B359">
        <v>3.5674999999999999</v>
      </c>
      <c r="C359">
        <v>3.9243000000000001</v>
      </c>
      <c r="D359">
        <v>3.0164</v>
      </c>
      <c r="E359">
        <v>3.79</v>
      </c>
      <c r="F359">
        <v>9914374.9900000002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0.70415243969600161</v>
      </c>
      <c r="Q359">
        <f t="shared" si="970"/>
        <v>6981231.3372695213</v>
      </c>
      <c r="R359">
        <f t="shared" si="971"/>
        <v>70647673.152667746</v>
      </c>
      <c r="S359">
        <f t="shared" si="972"/>
        <v>706.47673152667744</v>
      </c>
      <c r="T359">
        <f t="shared" si="973"/>
        <v>0.70647673152667745</v>
      </c>
    </row>
    <row r="360" spans="1:20" x14ac:dyDescent="0.25">
      <c r="A360" s="5">
        <v>44233</v>
      </c>
      <c r="B360">
        <v>3.9641000000000002</v>
      </c>
      <c r="C360">
        <v>4.0053000000000001</v>
      </c>
      <c r="D360">
        <v>3.2746</v>
      </c>
      <c r="E360">
        <v>3.5737000000000001</v>
      </c>
      <c r="F360">
        <v>6562704.75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-0.18133296838647847</v>
      </c>
      <c r="Q360">
        <f t="shared" si="970"/>
        <v>-1190034.7329615422</v>
      </c>
      <c r="R360">
        <f t="shared" si="971"/>
        <v>63666441.815398231</v>
      </c>
      <c r="S360">
        <f t="shared" si="972"/>
        <v>636.6644181539823</v>
      </c>
      <c r="T360">
        <f t="shared" si="973"/>
        <v>0.63666441815398234</v>
      </c>
    </row>
    <row r="361" spans="1:20" x14ac:dyDescent="0.25">
      <c r="A361" s="5">
        <v>44232</v>
      </c>
      <c r="B361">
        <v>3.8959000000000001</v>
      </c>
      <c r="C361">
        <v>4.3289999999999997</v>
      </c>
      <c r="D361">
        <v>3.8149999999999999</v>
      </c>
      <c r="E361">
        <v>3.9649999999999999</v>
      </c>
      <c r="F361">
        <v>5860280.5700000003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-0.416342412451362</v>
      </c>
      <c r="Q361">
        <f t="shared" si="970"/>
        <v>-2439883.3501556427</v>
      </c>
      <c r="R361">
        <f t="shared" si="971"/>
        <v>64856476.548359774</v>
      </c>
      <c r="S361">
        <f t="shared" si="972"/>
        <v>648.56476548359774</v>
      </c>
      <c r="T361">
        <f t="shared" si="973"/>
        <v>0.64856476548359776</v>
      </c>
    </row>
    <row r="362" spans="1:20" x14ac:dyDescent="0.25">
      <c r="A362" s="5">
        <v>44231</v>
      </c>
      <c r="B362">
        <v>3.7227999999999999</v>
      </c>
      <c r="C362">
        <v>4.2</v>
      </c>
      <c r="D362">
        <v>3.54</v>
      </c>
      <c r="E362">
        <v>3.8957999999999999</v>
      </c>
      <c r="F362">
        <v>5553357.8399999999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7.8181818181817631E-2</v>
      </c>
      <c r="Q362">
        <f t="shared" si="970"/>
        <v>434171.61294545146</v>
      </c>
      <c r="R362">
        <f t="shared" si="971"/>
        <v>67296359.898515418</v>
      </c>
      <c r="S362">
        <f t="shared" si="972"/>
        <v>672.96359898515414</v>
      </c>
      <c r="T362">
        <f t="shared" si="973"/>
        <v>0.67296359898515412</v>
      </c>
    </row>
    <row r="363" spans="1:20" x14ac:dyDescent="0.25">
      <c r="A363" s="5">
        <v>44230</v>
      </c>
      <c r="B363">
        <v>3.7921999999999998</v>
      </c>
      <c r="C363">
        <v>3.8997000000000002</v>
      </c>
      <c r="D363">
        <v>3.6</v>
      </c>
      <c r="E363">
        <v>3.7225000000000001</v>
      </c>
      <c r="F363">
        <v>3618206.94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-0.1825158491825157</v>
      </c>
      <c r="Q363">
        <f t="shared" si="970"/>
        <v>-660380.11217217159</v>
      </c>
      <c r="R363">
        <f t="shared" si="971"/>
        <v>66862188.285569966</v>
      </c>
      <c r="S363">
        <f t="shared" si="972"/>
        <v>668.62188285569971</v>
      </c>
      <c r="T363">
        <f t="shared" si="973"/>
        <v>0.66862188285569968</v>
      </c>
    </row>
    <row r="364" spans="1:20" x14ac:dyDescent="0.25">
      <c r="A364" s="5">
        <v>44229</v>
      </c>
      <c r="B364">
        <v>4.1704999999999997</v>
      </c>
      <c r="C364">
        <v>4.2603999999999997</v>
      </c>
      <c r="D364">
        <v>3.6291000000000002</v>
      </c>
      <c r="E364">
        <v>3.7919999999999998</v>
      </c>
      <c r="F364">
        <v>5492531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-0.48392206557896494</v>
      </c>
      <c r="Q364">
        <f t="shared" si="970"/>
        <v>-2657956.9467764981</v>
      </c>
      <c r="R364">
        <f t="shared" si="971"/>
        <v>67522568.397742137</v>
      </c>
      <c r="S364">
        <f t="shared" si="972"/>
        <v>675.22568397742134</v>
      </c>
      <c r="T364">
        <f t="shared" si="973"/>
        <v>0.67522568397742133</v>
      </c>
    </row>
    <row r="365" spans="1:20" x14ac:dyDescent="0.25">
      <c r="A365" s="5">
        <v>44228</v>
      </c>
      <c r="B365">
        <v>3.6112000000000002</v>
      </c>
      <c r="C365">
        <v>4.2990000000000004</v>
      </c>
      <c r="D365">
        <v>3.4</v>
      </c>
      <c r="E365">
        <v>4.1797000000000004</v>
      </c>
      <c r="F365">
        <v>7328968.7999999998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0.7345939933259179</v>
      </c>
      <c r="Q365">
        <f t="shared" si="970"/>
        <v>5383816.4577530604</v>
      </c>
      <c r="R365">
        <f t="shared" si="971"/>
        <v>70180525.344518632</v>
      </c>
      <c r="S365">
        <f t="shared" si="972"/>
        <v>701.80525344518628</v>
      </c>
      <c r="T365">
        <f t="shared" si="973"/>
        <v>0.70180525344518629</v>
      </c>
    </row>
    <row r="366" spans="1:20" x14ac:dyDescent="0.25">
      <c r="A366" s="5">
        <v>44227</v>
      </c>
      <c r="B366">
        <v>3.8797000000000001</v>
      </c>
      <c r="C366">
        <v>4.0385999999999997</v>
      </c>
      <c r="D366">
        <v>3.3622999999999998</v>
      </c>
      <c r="E366">
        <v>3.6110000000000002</v>
      </c>
      <c r="F366">
        <v>5948590.5899999999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-0.26452757651929498</v>
      </c>
      <c r="Q366">
        <f t="shared" si="970"/>
        <v>-1573566.252478183</v>
      </c>
      <c r="R366">
        <f t="shared" si="971"/>
        <v>64796708.886765577</v>
      </c>
      <c r="S366">
        <f t="shared" si="972"/>
        <v>647.96708886765578</v>
      </c>
      <c r="T366">
        <f t="shared" si="973"/>
        <v>0.64796708886765575</v>
      </c>
    </row>
    <row r="367" spans="1:20" x14ac:dyDescent="0.25">
      <c r="A367" s="5">
        <v>44226</v>
      </c>
      <c r="B367">
        <v>3.6358000000000001</v>
      </c>
      <c r="C367">
        <v>4.0190000000000001</v>
      </c>
      <c r="D367">
        <v>3.5110000000000001</v>
      </c>
      <c r="E367">
        <v>3.8805999999999998</v>
      </c>
      <c r="F367">
        <v>6634454.4500000002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0.45511811023621929</v>
      </c>
      <c r="Q367">
        <f t="shared" si="970"/>
        <v>3019460.3717322755</v>
      </c>
      <c r="R367">
        <f t="shared" si="971"/>
        <v>66370275.139243759</v>
      </c>
      <c r="S367">
        <f t="shared" si="972"/>
        <v>663.70275139243756</v>
      </c>
      <c r="T367">
        <f t="shared" si="973"/>
        <v>0.66370275139243762</v>
      </c>
    </row>
    <row r="368" spans="1:20" x14ac:dyDescent="0.25">
      <c r="A368" s="5">
        <v>44225</v>
      </c>
      <c r="B368">
        <v>3.1667000000000001</v>
      </c>
      <c r="C368">
        <v>3.6493000000000002</v>
      </c>
      <c r="D368">
        <v>3.036</v>
      </c>
      <c r="E368">
        <v>3.6328999999999998</v>
      </c>
      <c r="F368">
        <v>7424798.2800000003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0.94651883254524571</v>
      </c>
      <c r="Q368">
        <f t="shared" si="970"/>
        <v>7027711.3998695491</v>
      </c>
      <c r="R368">
        <f t="shared" si="971"/>
        <v>63350814.767511487</v>
      </c>
      <c r="S368">
        <f t="shared" si="972"/>
        <v>633.50814767511486</v>
      </c>
      <c r="T368">
        <f t="shared" si="973"/>
        <v>0.63350814767511487</v>
      </c>
    </row>
    <row r="369" spans="1:20" x14ac:dyDescent="0.25">
      <c r="A369" s="5">
        <v>44224</v>
      </c>
      <c r="B369">
        <v>2.5323000000000002</v>
      </c>
      <c r="C369">
        <v>3.4</v>
      </c>
      <c r="D369">
        <v>2.4847999999999999</v>
      </c>
      <c r="E369">
        <v>3.1606999999999998</v>
      </c>
      <c r="F369">
        <v>11624802.58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0.47705419580419567</v>
      </c>
      <c r="Q369">
        <f t="shared" si="970"/>
        <v>5545660.846184439</v>
      </c>
      <c r="R369">
        <f t="shared" si="971"/>
        <v>56323103.367641941</v>
      </c>
      <c r="S369">
        <f t="shared" si="972"/>
        <v>563.23103367641943</v>
      </c>
      <c r="T369">
        <f t="shared" si="973"/>
        <v>0.56323103367641947</v>
      </c>
    </row>
    <row r="370" spans="1:20" x14ac:dyDescent="0.25">
      <c r="A370" s="5">
        <v>44223</v>
      </c>
      <c r="B370">
        <v>2.4094000000000002</v>
      </c>
      <c r="C370">
        <v>2.5560999999999998</v>
      </c>
      <c r="D370">
        <v>2.1751</v>
      </c>
      <c r="E370">
        <v>2.5323000000000002</v>
      </c>
      <c r="F370">
        <v>5178911.29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0.87506561679790229</v>
      </c>
      <c r="Q370">
        <f t="shared" si="970"/>
        <v>4531887.2023254698</v>
      </c>
      <c r="R370">
        <f t="shared" si="971"/>
        <v>50777442.521457501</v>
      </c>
      <c r="S370">
        <f t="shared" si="972"/>
        <v>507.77442521457499</v>
      </c>
      <c r="T370">
        <f t="shared" si="973"/>
        <v>0.50777442521457494</v>
      </c>
    </row>
    <row r="371" spans="1:20" x14ac:dyDescent="0.25">
      <c r="A371" s="5">
        <v>44222</v>
      </c>
      <c r="B371">
        <v>2.3776999999999999</v>
      </c>
      <c r="C371">
        <v>2.4771999999999998</v>
      </c>
      <c r="D371">
        <v>2.1922000000000001</v>
      </c>
      <c r="E371">
        <v>2.4089999999999998</v>
      </c>
      <c r="F371">
        <v>4643020.63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0.52140350877192909</v>
      </c>
      <c r="Q371">
        <f t="shared" si="970"/>
        <v>2420887.2477824525</v>
      </c>
      <c r="R371">
        <f t="shared" si="971"/>
        <v>46245555.31913203</v>
      </c>
      <c r="S371">
        <f t="shared" si="972"/>
        <v>462.45555319132029</v>
      </c>
      <c r="T371">
        <f t="shared" si="973"/>
        <v>0.46245555319132031</v>
      </c>
    </row>
    <row r="372" spans="1:20" x14ac:dyDescent="0.25">
      <c r="A372" s="5">
        <v>44221</v>
      </c>
      <c r="B372">
        <v>2.5985999999999998</v>
      </c>
      <c r="C372">
        <v>2.6366999999999998</v>
      </c>
      <c r="D372">
        <v>2.23</v>
      </c>
      <c r="E372">
        <v>2.3776999999999999</v>
      </c>
      <c r="F372">
        <v>5182929.7300000004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-0.27366609294320138</v>
      </c>
      <c r="Q372">
        <f t="shared" si="970"/>
        <v>-1418392.1292082618</v>
      </c>
      <c r="R372">
        <f t="shared" si="971"/>
        <v>43824668.071349576</v>
      </c>
      <c r="S372">
        <f t="shared" si="972"/>
        <v>438.24668071349578</v>
      </c>
      <c r="T372">
        <f t="shared" si="973"/>
        <v>0.43824668071349576</v>
      </c>
    </row>
    <row r="373" spans="1:20" x14ac:dyDescent="0.25">
      <c r="A373" s="5">
        <v>44220</v>
      </c>
      <c r="B373">
        <v>2.3671000000000002</v>
      </c>
      <c r="C373">
        <v>2.64</v>
      </c>
      <c r="D373">
        <v>2.3458000000000001</v>
      </c>
      <c r="E373">
        <v>2.5962999999999998</v>
      </c>
      <c r="F373">
        <v>4532840.01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0.70292318150917543</v>
      </c>
      <c r="Q373">
        <f t="shared" si="970"/>
        <v>3186238.3211012823</v>
      </c>
      <c r="R373">
        <f t="shared" si="971"/>
        <v>45243060.200557835</v>
      </c>
      <c r="S373">
        <f t="shared" si="972"/>
        <v>452.43060200557835</v>
      </c>
      <c r="T373">
        <f t="shared" si="973"/>
        <v>0.45243060200557833</v>
      </c>
    </row>
    <row r="374" spans="1:20" x14ac:dyDescent="0.25">
      <c r="A374" s="5">
        <v>44219</v>
      </c>
      <c r="B374">
        <v>2.1282000000000001</v>
      </c>
      <c r="C374">
        <v>2.5659999999999998</v>
      </c>
      <c r="D374">
        <v>2.0882000000000001</v>
      </c>
      <c r="E374">
        <v>2.37</v>
      </c>
      <c r="F374">
        <v>8054813.0599999996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0.17957304311427449</v>
      </c>
      <c r="Q374">
        <f t="shared" si="970"/>
        <v>1446427.2929008012</v>
      </c>
      <c r="R374">
        <f t="shared" si="971"/>
        <v>42056821.87945655</v>
      </c>
      <c r="S374">
        <f t="shared" si="972"/>
        <v>420.5682187945655</v>
      </c>
      <c r="T374">
        <f t="shared" si="973"/>
        <v>0.42056821879456552</v>
      </c>
    </row>
    <row r="375" spans="1:20" x14ac:dyDescent="0.25">
      <c r="A375" s="5">
        <v>44218</v>
      </c>
      <c r="B375">
        <v>1.6476</v>
      </c>
      <c r="C375">
        <v>2.1726000000000001</v>
      </c>
      <c r="D375">
        <v>1.5539000000000001</v>
      </c>
      <c r="E375">
        <v>2.1315</v>
      </c>
      <c r="F375">
        <v>6986577.5099999998</v>
      </c>
      <c r="G375">
        <v>0</v>
      </c>
      <c r="L375" t="s">
        <v>7</v>
      </c>
      <c r="M375" t="s">
        <v>8</v>
      </c>
      <c r="N375" t="s">
        <v>8</v>
      </c>
      <c r="P375">
        <f t="shared" si="969"/>
        <v>0.86714077905285236</v>
      </c>
      <c r="Q375">
        <f t="shared" si="970"/>
        <v>6058346.264934537</v>
      </c>
      <c r="R375">
        <f t="shared" si="971"/>
        <v>40610394.586555749</v>
      </c>
      <c r="S375">
        <f t="shared" si="972"/>
        <v>406.10394586555748</v>
      </c>
      <c r="T375">
        <f t="shared" si="973"/>
        <v>0.40610394586555748</v>
      </c>
    </row>
    <row r="376" spans="1:20" x14ac:dyDescent="0.25">
      <c r="A376" s="5">
        <v>44217</v>
      </c>
      <c r="B376">
        <v>2.0177</v>
      </c>
      <c r="C376">
        <v>2.0365000000000002</v>
      </c>
      <c r="D376">
        <v>1.599</v>
      </c>
      <c r="E376">
        <v>1.6455</v>
      </c>
      <c r="F376">
        <v>5655905.9199999999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-0.78742857142857159</v>
      </c>
      <c r="Q376">
        <f t="shared" si="970"/>
        <v>-4453621.9187200004</v>
      </c>
      <c r="R376">
        <f t="shared" si="971"/>
        <v>34552048.321621209</v>
      </c>
      <c r="S376">
        <f t="shared" si="972"/>
        <v>345.52048321621209</v>
      </c>
      <c r="T376">
        <f t="shared" si="973"/>
        <v>0.34552048321621209</v>
      </c>
    </row>
    <row r="377" spans="1:20" x14ac:dyDescent="0.25">
      <c r="A377" s="5">
        <v>44216</v>
      </c>
      <c r="B377">
        <v>1.9915</v>
      </c>
      <c r="C377">
        <v>2.0535999999999999</v>
      </c>
      <c r="D377">
        <v>1.7943</v>
      </c>
      <c r="E377">
        <v>2.0156000000000001</v>
      </c>
      <c r="F377">
        <v>5586662.3099999996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0.70690320092557013</v>
      </c>
      <c r="Q377">
        <f t="shared" si="970"/>
        <v>3949229.4694292396</v>
      </c>
      <c r="R377">
        <f t="shared" si="971"/>
        <v>39005670.240341209</v>
      </c>
      <c r="S377">
        <f t="shared" si="972"/>
        <v>390.05670240341209</v>
      </c>
      <c r="T377">
        <f t="shared" si="973"/>
        <v>0.39005670240341211</v>
      </c>
    </row>
    <row r="378" spans="1:20" x14ac:dyDescent="0.25">
      <c r="A378" s="5">
        <v>44215</v>
      </c>
      <c r="B378">
        <v>2.0720999999999998</v>
      </c>
      <c r="C378">
        <v>2.2079</v>
      </c>
      <c r="D378">
        <v>1.9523999999999999</v>
      </c>
      <c r="E378">
        <v>1.9915</v>
      </c>
      <c r="F378">
        <v>5642491.1699999999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-0.69393346379647647</v>
      </c>
      <c r="Q378">
        <f t="shared" si="970"/>
        <v>-3915513.442039133</v>
      </c>
      <c r="R378">
        <f t="shared" si="971"/>
        <v>35056440.770911969</v>
      </c>
      <c r="S378">
        <f t="shared" si="972"/>
        <v>350.56440770911968</v>
      </c>
      <c r="T378">
        <f t="shared" si="973"/>
        <v>0.35056440770911967</v>
      </c>
    </row>
    <row r="379" spans="1:20" x14ac:dyDescent="0.25">
      <c r="A379" s="5">
        <v>44214</v>
      </c>
      <c r="B379">
        <v>1.9583999999999999</v>
      </c>
      <c r="C379">
        <v>2.0861999999999998</v>
      </c>
      <c r="D379">
        <v>1.8512999999999999</v>
      </c>
      <c r="E379">
        <v>2.0724999999999998</v>
      </c>
      <c r="F379">
        <v>3391213.89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0.88335461898680245</v>
      </c>
      <c r="Q379">
        <f t="shared" si="970"/>
        <v>2995644.4537037024</v>
      </c>
      <c r="R379">
        <f t="shared" si="971"/>
        <v>38971954.212951101</v>
      </c>
      <c r="S379">
        <f t="shared" si="972"/>
        <v>389.71954212951101</v>
      </c>
      <c r="T379">
        <f t="shared" si="973"/>
        <v>0.38971954212951099</v>
      </c>
    </row>
    <row r="380" spans="1:20" x14ac:dyDescent="0.25">
      <c r="A380" s="5">
        <v>44213</v>
      </c>
      <c r="B380">
        <v>1.9645999999999999</v>
      </c>
      <c r="C380">
        <v>2.0299999999999998</v>
      </c>
      <c r="D380">
        <v>1.8009999999999999</v>
      </c>
      <c r="E380">
        <v>1.9533</v>
      </c>
      <c r="F380">
        <v>4534342.53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0.33013100436681386</v>
      </c>
      <c r="Q380">
        <f t="shared" si="970"/>
        <v>1496927.0535720598</v>
      </c>
      <c r="R380">
        <f t="shared" si="971"/>
        <v>35976309.7592474</v>
      </c>
      <c r="S380">
        <f t="shared" si="972"/>
        <v>359.76309759247403</v>
      </c>
      <c r="T380">
        <f t="shared" si="973"/>
        <v>0.35976309759247405</v>
      </c>
    </row>
    <row r="381" spans="1:20" x14ac:dyDescent="0.25">
      <c r="A381" s="5">
        <v>44212</v>
      </c>
      <c r="B381">
        <v>1.8546</v>
      </c>
      <c r="C381">
        <v>2.181</v>
      </c>
      <c r="D381">
        <v>1.8522000000000001</v>
      </c>
      <c r="E381">
        <v>1.96</v>
      </c>
      <c r="F381">
        <v>5810191.1600000001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-0.34428223844282296</v>
      </c>
      <c r="Q381">
        <f t="shared" si="970"/>
        <v>-2000345.6183455023</v>
      </c>
      <c r="R381">
        <f t="shared" si="971"/>
        <v>34479382.705675341</v>
      </c>
      <c r="S381">
        <f t="shared" si="972"/>
        <v>344.7938270567534</v>
      </c>
      <c r="T381">
        <f t="shared" si="973"/>
        <v>0.34479382705675338</v>
      </c>
    </row>
    <row r="382" spans="1:20" x14ac:dyDescent="0.25">
      <c r="A382" s="5">
        <v>44211</v>
      </c>
      <c r="B382">
        <v>1.9053</v>
      </c>
      <c r="C382">
        <v>1.986</v>
      </c>
      <c r="D382">
        <v>1.6440999999999999</v>
      </c>
      <c r="E382">
        <v>1.8435999999999999</v>
      </c>
      <c r="F382">
        <v>6196530.3799999999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0.16700789704591962</v>
      </c>
      <c r="Q382">
        <f t="shared" si="970"/>
        <v>1034869.5077449532</v>
      </c>
      <c r="R382">
        <f t="shared" si="971"/>
        <v>36479728.32402084</v>
      </c>
      <c r="S382">
        <f t="shared" si="972"/>
        <v>364.7972832402084</v>
      </c>
      <c r="T382">
        <f t="shared" si="973"/>
        <v>0.36479728324020838</v>
      </c>
    </row>
    <row r="383" spans="1:20" x14ac:dyDescent="0.25">
      <c r="A383" s="5">
        <v>44210</v>
      </c>
      <c r="B383">
        <v>1.8069</v>
      </c>
      <c r="C383">
        <v>1.9602999999999999</v>
      </c>
      <c r="D383">
        <v>1.7083999999999999</v>
      </c>
      <c r="E383">
        <v>1.9053</v>
      </c>
      <c r="F383">
        <v>6882219.8700000001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0.56331877729257696</v>
      </c>
      <c r="Q383">
        <f t="shared" si="970"/>
        <v>3876883.6822270779</v>
      </c>
      <c r="R383">
        <f t="shared" si="971"/>
        <v>35444858.816275887</v>
      </c>
      <c r="S383">
        <f t="shared" si="972"/>
        <v>354.44858816275888</v>
      </c>
      <c r="T383">
        <f t="shared" si="973"/>
        <v>0.35444858816275887</v>
      </c>
    </row>
    <row r="384" spans="1:20" x14ac:dyDescent="0.25">
      <c r="A384" s="5">
        <v>44209</v>
      </c>
      <c r="B384">
        <v>1.29</v>
      </c>
      <c r="C384">
        <v>1.89</v>
      </c>
      <c r="D384">
        <v>1.2071000000000001</v>
      </c>
      <c r="E384">
        <v>1.8080000000000001</v>
      </c>
      <c r="F384">
        <v>15587155.42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0.75984770830282655</v>
      </c>
      <c r="Q384">
        <f t="shared" si="970"/>
        <v>11843864.324846981</v>
      </c>
      <c r="R384">
        <f t="shared" si="971"/>
        <v>31567975.134048812</v>
      </c>
      <c r="S384">
        <f t="shared" si="972"/>
        <v>315.67975134048811</v>
      </c>
      <c r="T384">
        <f t="shared" si="973"/>
        <v>0.31567975134048809</v>
      </c>
    </row>
    <row r="385" spans="1:20" x14ac:dyDescent="0.25">
      <c r="A385" s="5">
        <v>44208</v>
      </c>
      <c r="B385">
        <v>1.3049999999999999</v>
      </c>
      <c r="C385">
        <v>1.4294</v>
      </c>
      <c r="D385">
        <v>1.2346999999999999</v>
      </c>
      <c r="E385">
        <v>1.2912999999999999</v>
      </c>
      <c r="F385">
        <v>5491662.5499999998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-0.4185927067283004</v>
      </c>
      <c r="Q385">
        <f t="shared" si="970"/>
        <v>-2298769.8912429404</v>
      </c>
      <c r="R385">
        <f t="shared" si="971"/>
        <v>19724110.809201829</v>
      </c>
      <c r="S385">
        <f t="shared" si="972"/>
        <v>197.24110809201829</v>
      </c>
      <c r="T385">
        <f t="shared" si="973"/>
        <v>0.19724110809201828</v>
      </c>
    </row>
    <row r="386" spans="1:20" x14ac:dyDescent="0.25">
      <c r="A386" s="5">
        <v>44207</v>
      </c>
      <c r="B386">
        <v>1.4593</v>
      </c>
      <c r="C386">
        <v>1.46</v>
      </c>
      <c r="D386">
        <v>1.1200000000000001</v>
      </c>
      <c r="E386">
        <v>1.3090999999999999</v>
      </c>
      <c r="F386">
        <v>8163655.4100000001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0.11235294117647002</v>
      </c>
      <c r="Q386">
        <f t="shared" si="970"/>
        <v>917210.69606470119</v>
      </c>
      <c r="R386">
        <f t="shared" si="971"/>
        <v>22022880.700444769</v>
      </c>
      <c r="S386">
        <f t="shared" si="972"/>
        <v>220.2288070044477</v>
      </c>
      <c r="T386">
        <f t="shared" si="973"/>
        <v>0.22022880700444769</v>
      </c>
    </row>
    <row r="387" spans="1:20" x14ac:dyDescent="0.25">
      <c r="A387" s="5">
        <v>44206</v>
      </c>
      <c r="B387">
        <v>1.5672999999999999</v>
      </c>
      <c r="C387">
        <v>1.66</v>
      </c>
      <c r="D387">
        <v>1.3411</v>
      </c>
      <c r="E387">
        <v>1.4594</v>
      </c>
      <c r="F387">
        <v>5163199.49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-0.25807463154593863</v>
      </c>
      <c r="Q387">
        <f t="shared" si="970"/>
        <v>-1332490.8059799282</v>
      </c>
      <c r="R387">
        <f t="shared" si="971"/>
        <v>21105670.00438007</v>
      </c>
      <c r="S387">
        <f t="shared" si="972"/>
        <v>211.0567000438007</v>
      </c>
      <c r="T387">
        <f t="shared" si="973"/>
        <v>0.2110567000438007</v>
      </c>
    </row>
    <row r="388" spans="1:20" x14ac:dyDescent="0.25">
      <c r="A388" s="5">
        <v>44205</v>
      </c>
      <c r="B388">
        <v>1.3499000000000001</v>
      </c>
      <c r="C388">
        <v>1.6016999999999999</v>
      </c>
      <c r="D388">
        <v>1.3121</v>
      </c>
      <c r="E388">
        <v>1.5673999999999999</v>
      </c>
      <c r="F388">
        <v>4660055.38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0.76312154696132584</v>
      </c>
      <c r="Q388">
        <f t="shared" si="970"/>
        <v>3556188.6705110492</v>
      </c>
      <c r="R388">
        <f t="shared" si="971"/>
        <v>22438160.81036</v>
      </c>
      <c r="S388">
        <f t="shared" si="972"/>
        <v>224.3816081036</v>
      </c>
      <c r="T388">
        <f t="shared" si="973"/>
        <v>0.2243816081036</v>
      </c>
    </row>
    <row r="389" spans="1:20" x14ac:dyDescent="0.25">
      <c r="A389" s="5">
        <v>44204</v>
      </c>
      <c r="B389">
        <v>1.4644999999999999</v>
      </c>
      <c r="C389">
        <v>1.4691000000000001</v>
      </c>
      <c r="D389">
        <v>1.1679999999999999</v>
      </c>
      <c r="E389">
        <v>1.3460000000000001</v>
      </c>
      <c r="F389">
        <v>6842014.5700000003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0.18233145134506856</v>
      </c>
      <c r="Q389">
        <f t="shared" si="970"/>
        <v>1247514.4466722053</v>
      </c>
      <c r="R389">
        <f t="shared" si="971"/>
        <v>18881972.139848951</v>
      </c>
      <c r="S389">
        <f t="shared" si="972"/>
        <v>188.81972139848952</v>
      </c>
      <c r="T389">
        <f t="shared" si="973"/>
        <v>0.18881972139848952</v>
      </c>
    </row>
    <row r="390" spans="1:20" x14ac:dyDescent="0.25">
      <c r="A390" s="5">
        <v>44203</v>
      </c>
      <c r="B390">
        <v>1.5963000000000001</v>
      </c>
      <c r="C390">
        <v>1.6197999999999999</v>
      </c>
      <c r="D390">
        <v>1.3432999999999999</v>
      </c>
      <c r="E390">
        <v>1.4612000000000001</v>
      </c>
      <c r="F390">
        <v>7027110.9900000002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-0.14719710669077665</v>
      </c>
      <c r="Q390">
        <f t="shared" ref="Q390:Q453" si="975">F390*P390</f>
        <v>-1034370.4061229592</v>
      </c>
      <c r="R390">
        <f t="shared" ref="R390:R453" si="976">R391+Q390</f>
        <v>17634457.693176746</v>
      </c>
      <c r="S390">
        <f t="shared" ref="S390:S453" si="977">R390/100000</f>
        <v>176.34457693176748</v>
      </c>
      <c r="T390">
        <f t="shared" ref="T390:T453" si="978">S390/1000</f>
        <v>0.17634457693176747</v>
      </c>
    </row>
    <row r="391" spans="1:20" x14ac:dyDescent="0.25">
      <c r="A391" s="5">
        <v>44202</v>
      </c>
      <c r="B391">
        <v>1.5846</v>
      </c>
      <c r="C391">
        <v>1.65</v>
      </c>
      <c r="D391">
        <v>1.4634</v>
      </c>
      <c r="E391">
        <v>1.5915999999999999</v>
      </c>
      <c r="F391">
        <v>7978591.9199999999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0.37406216505894913</v>
      </c>
      <c r="Q391">
        <f t="shared" si="975"/>
        <v>2984489.3677170379</v>
      </c>
      <c r="R391">
        <f t="shared" si="976"/>
        <v>18668828.099299707</v>
      </c>
      <c r="S391">
        <f t="shared" si="977"/>
        <v>186.68828099299708</v>
      </c>
      <c r="T391">
        <f t="shared" si="978"/>
        <v>0.18668828099299709</v>
      </c>
    </row>
    <row r="392" spans="1:20" x14ac:dyDescent="0.25">
      <c r="A392" s="5">
        <v>44201</v>
      </c>
      <c r="B392">
        <v>1.5904</v>
      </c>
      <c r="C392">
        <v>1.6608000000000001</v>
      </c>
      <c r="D392">
        <v>1.5018</v>
      </c>
      <c r="E392">
        <v>1.5826</v>
      </c>
      <c r="F392">
        <v>7099880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1.6352201257861229E-2</v>
      </c>
      <c r="Q392">
        <f t="shared" si="975"/>
        <v>116098.66666666379</v>
      </c>
      <c r="R392">
        <f t="shared" si="976"/>
        <v>15684338.731582668</v>
      </c>
      <c r="S392">
        <f t="shared" si="977"/>
        <v>156.84338731582667</v>
      </c>
      <c r="T392">
        <f t="shared" si="978"/>
        <v>0.15684338731582667</v>
      </c>
    </row>
    <row r="393" spans="1:20" x14ac:dyDescent="0.25">
      <c r="A393" s="5">
        <v>44200</v>
      </c>
      <c r="B393">
        <v>1.4885999999999999</v>
      </c>
      <c r="C393">
        <v>1.5960000000000001</v>
      </c>
      <c r="D393">
        <v>1.3</v>
      </c>
      <c r="E393">
        <v>1.5929</v>
      </c>
      <c r="F393">
        <v>8245704.5300000003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0.97905405405405332</v>
      </c>
      <c r="Q393">
        <f t="shared" si="975"/>
        <v>8072990.4486283725</v>
      </c>
      <c r="R393">
        <f t="shared" si="976"/>
        <v>15568240.064916003</v>
      </c>
      <c r="S393">
        <f t="shared" si="977"/>
        <v>155.68240064916003</v>
      </c>
      <c r="T393">
        <f t="shared" si="978"/>
        <v>0.15568240064916003</v>
      </c>
    </row>
    <row r="394" spans="1:20" x14ac:dyDescent="0.25">
      <c r="A394" s="5">
        <v>44199</v>
      </c>
      <c r="B394">
        <v>1.2919</v>
      </c>
      <c r="C394">
        <v>1.52</v>
      </c>
      <c r="D394">
        <v>1.2856000000000001</v>
      </c>
      <c r="E394">
        <v>1.4839</v>
      </c>
      <c r="F394">
        <v>7398328.6699999999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0.69197952218430003</v>
      </c>
      <c r="Q394">
        <f t="shared" si="975"/>
        <v>5119491.938029008</v>
      </c>
      <c r="R394">
        <f t="shared" si="976"/>
        <v>7495249.616287631</v>
      </c>
      <c r="S394">
        <f t="shared" si="977"/>
        <v>74.952496162876315</v>
      </c>
      <c r="T394">
        <f t="shared" si="978"/>
        <v>7.4952496162876317E-2</v>
      </c>
    </row>
    <row r="395" spans="1:20" x14ac:dyDescent="0.25">
      <c r="A395" s="5">
        <v>44198</v>
      </c>
      <c r="B395">
        <v>1.2907999999999999</v>
      </c>
      <c r="C395">
        <v>1.401</v>
      </c>
      <c r="D395">
        <v>1.2181</v>
      </c>
      <c r="E395">
        <v>1.2919</v>
      </c>
      <c r="F395">
        <v>6368796.6299999999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-0.19300164024056793</v>
      </c>
      <c r="Q395">
        <f t="shared" si="975"/>
        <v>-1229188.1959486015</v>
      </c>
      <c r="R395">
        <f t="shared" si="976"/>
        <v>2375757.678258623</v>
      </c>
      <c r="S395">
        <f t="shared" si="977"/>
        <v>23.757576782586231</v>
      </c>
      <c r="T395">
        <f t="shared" si="978"/>
        <v>2.3757576782586231E-2</v>
      </c>
    </row>
    <row r="396" spans="1:20" x14ac:dyDescent="0.25">
      <c r="A396" s="5">
        <v>44197</v>
      </c>
      <c r="B396">
        <v>1.169</v>
      </c>
      <c r="C396">
        <v>1.43</v>
      </c>
      <c r="D396">
        <v>1.1504000000000001</v>
      </c>
      <c r="E396">
        <v>1.2874000000000001</v>
      </c>
      <c r="F396">
        <v>10823650.699999999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-2.0028612303289808E-2</v>
      </c>
      <c r="Q396">
        <f t="shared" si="975"/>
        <v>-216782.70357653132</v>
      </c>
      <c r="R396">
        <f t="shared" si="976"/>
        <v>3604945.8742072247</v>
      </c>
      <c r="S396">
        <f t="shared" si="977"/>
        <v>36.049458742072247</v>
      </c>
      <c r="T396">
        <f t="shared" si="978"/>
        <v>3.6049458742072243E-2</v>
      </c>
    </row>
    <row r="397" spans="1:20" x14ac:dyDescent="0.25">
      <c r="A397" s="5">
        <v>44196</v>
      </c>
      <c r="B397">
        <v>1.2134</v>
      </c>
      <c r="C397">
        <v>1.2237</v>
      </c>
      <c r="D397">
        <v>1.1299999999999999</v>
      </c>
      <c r="E397">
        <v>1.1698999999999999</v>
      </c>
      <c r="F397">
        <v>3846539.05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-0.14834578441835652</v>
      </c>
      <c r="Q397">
        <f t="shared" si="975"/>
        <v>-570617.85266808991</v>
      </c>
      <c r="R397">
        <f t="shared" si="976"/>
        <v>3821728.577783756</v>
      </c>
      <c r="S397">
        <f t="shared" si="977"/>
        <v>38.21728577783756</v>
      </c>
      <c r="T397">
        <f t="shared" si="978"/>
        <v>3.8217285777837562E-2</v>
      </c>
    </row>
    <row r="398" spans="1:20" x14ac:dyDescent="0.25">
      <c r="A398" s="5">
        <v>44195</v>
      </c>
      <c r="B398">
        <v>1.2003999999999999</v>
      </c>
      <c r="C398">
        <v>1.26</v>
      </c>
      <c r="D398">
        <v>1.1254999999999999</v>
      </c>
      <c r="E398">
        <v>1.2134</v>
      </c>
      <c r="F398">
        <v>7918700.4400000004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0.30706319702602303</v>
      </c>
      <c r="Q398">
        <f t="shared" si="975"/>
        <v>2431541.4733977756</v>
      </c>
      <c r="R398">
        <f t="shared" si="976"/>
        <v>4392346.4304518458</v>
      </c>
      <c r="S398">
        <f t="shared" si="977"/>
        <v>43.923464304518454</v>
      </c>
      <c r="T398">
        <f t="shared" si="978"/>
        <v>4.3923464304518454E-2</v>
      </c>
    </row>
    <row r="399" spans="1:20" x14ac:dyDescent="0.25">
      <c r="A399" s="5">
        <v>44194</v>
      </c>
      <c r="B399">
        <v>1.0381</v>
      </c>
      <c r="C399">
        <v>1.2336</v>
      </c>
      <c r="D399">
        <v>0.93310000000000004</v>
      </c>
      <c r="E399">
        <v>1.2009000000000001</v>
      </c>
      <c r="F399">
        <v>11221351.119999999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0.78236272878535806</v>
      </c>
      <c r="Q399">
        <f t="shared" si="975"/>
        <v>8779166.8829018325</v>
      </c>
      <c r="R399">
        <f t="shared" si="976"/>
        <v>1960804.9570540702</v>
      </c>
      <c r="S399">
        <f t="shared" si="977"/>
        <v>19.6080495705407</v>
      </c>
      <c r="T399">
        <f t="shared" si="978"/>
        <v>1.96080495705407E-2</v>
      </c>
    </row>
    <row r="400" spans="1:20" x14ac:dyDescent="0.25">
      <c r="A400" s="5">
        <v>44193</v>
      </c>
      <c r="B400">
        <v>0.89729999999999999</v>
      </c>
      <c r="C400">
        <v>1.0603</v>
      </c>
      <c r="D400">
        <v>0.88590000000000002</v>
      </c>
      <c r="E400">
        <v>1.0383</v>
      </c>
      <c r="F400">
        <v>6593251.3200000003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0.74770642201834836</v>
      </c>
      <c r="Q400">
        <f t="shared" si="975"/>
        <v>4929816.3539449526</v>
      </c>
      <c r="R400">
        <f t="shared" si="976"/>
        <v>-6818361.9258477623</v>
      </c>
      <c r="S400">
        <f t="shared" si="977"/>
        <v>-68.18361925847762</v>
      </c>
      <c r="T400">
        <f t="shared" si="978"/>
        <v>-6.8183619258477615E-2</v>
      </c>
    </row>
    <row r="401" spans="1:20" x14ac:dyDescent="0.25">
      <c r="A401" s="5">
        <v>44192</v>
      </c>
      <c r="B401">
        <v>0.87549999999999994</v>
      </c>
      <c r="C401">
        <v>0.97299999999999998</v>
      </c>
      <c r="D401">
        <v>0.83830000000000005</v>
      </c>
      <c r="E401">
        <v>0.89729999999999999</v>
      </c>
      <c r="F401">
        <v>5937492.2599999998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-0.12397921306607318</v>
      </c>
      <c r="Q401">
        <f t="shared" si="975"/>
        <v>-736125.61798070034</v>
      </c>
      <c r="R401">
        <f t="shared" si="976"/>
        <v>-11748178.279792715</v>
      </c>
      <c r="S401">
        <f t="shared" si="977"/>
        <v>-117.48178279792715</v>
      </c>
      <c r="T401">
        <f t="shared" si="978"/>
        <v>-0.11748178279792715</v>
      </c>
    </row>
    <row r="402" spans="1:20" x14ac:dyDescent="0.25">
      <c r="A402" s="5">
        <v>44191</v>
      </c>
      <c r="B402">
        <v>0.92400000000000004</v>
      </c>
      <c r="C402">
        <v>0.93510000000000004</v>
      </c>
      <c r="D402">
        <v>0.85680000000000001</v>
      </c>
      <c r="E402">
        <v>0.87560000000000004</v>
      </c>
      <c r="F402">
        <v>3995325.45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-0.51979565772669145</v>
      </c>
      <c r="Q402">
        <f t="shared" si="975"/>
        <v>-2076752.8201149397</v>
      </c>
      <c r="R402">
        <f t="shared" si="976"/>
        <v>-11012052.661812015</v>
      </c>
      <c r="S402">
        <f t="shared" si="977"/>
        <v>-110.12052661812015</v>
      </c>
      <c r="T402">
        <f t="shared" si="978"/>
        <v>-0.11012052661812015</v>
      </c>
    </row>
    <row r="403" spans="1:20" x14ac:dyDescent="0.25">
      <c r="A403" s="5">
        <v>44190</v>
      </c>
      <c r="B403">
        <v>0.92530000000000001</v>
      </c>
      <c r="C403">
        <v>0.96289999999999998</v>
      </c>
      <c r="D403">
        <v>0.89790000000000003</v>
      </c>
      <c r="E403">
        <v>0.92379999999999995</v>
      </c>
      <c r="F403">
        <v>2811004.8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-0.20307692307692479</v>
      </c>
      <c r="Q403">
        <f t="shared" si="975"/>
        <v>-570850.20553846634</v>
      </c>
      <c r="R403">
        <f t="shared" si="976"/>
        <v>-8935299.8416970745</v>
      </c>
      <c r="S403">
        <f t="shared" si="977"/>
        <v>-89.352998416970749</v>
      </c>
      <c r="T403">
        <f t="shared" si="978"/>
        <v>-8.9352998416970753E-2</v>
      </c>
    </row>
    <row r="404" spans="1:20" x14ac:dyDescent="0.25">
      <c r="A404" s="5">
        <v>44189</v>
      </c>
      <c r="B404">
        <v>0.87390000000000001</v>
      </c>
      <c r="C404">
        <v>0.96499999999999997</v>
      </c>
      <c r="D404">
        <v>0.83499999999999996</v>
      </c>
      <c r="E404">
        <v>0.92589999999999995</v>
      </c>
      <c r="F404">
        <v>5111046.25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0.39846153846153815</v>
      </c>
      <c r="Q404">
        <f t="shared" si="975"/>
        <v>2036555.3519230753</v>
      </c>
      <c r="R404">
        <f t="shared" si="976"/>
        <v>-8364449.6361586088</v>
      </c>
      <c r="S404">
        <f t="shared" si="977"/>
        <v>-83.644496361586093</v>
      </c>
      <c r="T404">
        <f t="shared" si="978"/>
        <v>-8.3644496361586093E-2</v>
      </c>
    </row>
    <row r="405" spans="1:20" x14ac:dyDescent="0.25">
      <c r="A405" s="5">
        <v>44188</v>
      </c>
      <c r="B405">
        <v>0.91649999999999998</v>
      </c>
      <c r="C405">
        <v>1.0067999999999999</v>
      </c>
      <c r="D405">
        <v>0.81040000000000001</v>
      </c>
      <c r="E405">
        <v>0.87329999999999997</v>
      </c>
      <c r="F405">
        <v>8051969.3799999999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-0.35947046843177205</v>
      </c>
      <c r="Q405">
        <f t="shared" si="975"/>
        <v>-2894445.2048268849</v>
      </c>
      <c r="R405">
        <f t="shared" si="976"/>
        <v>-10401004.988081684</v>
      </c>
      <c r="S405">
        <f t="shared" si="977"/>
        <v>-104.01004988081684</v>
      </c>
      <c r="T405">
        <f t="shared" si="978"/>
        <v>-0.10401004988081684</v>
      </c>
    </row>
    <row r="406" spans="1:20" x14ac:dyDescent="0.25">
      <c r="A406" s="5">
        <v>44187</v>
      </c>
      <c r="B406">
        <v>0.89800000000000002</v>
      </c>
      <c r="C406">
        <v>0.96120000000000005</v>
      </c>
      <c r="D406">
        <v>0.85050000000000003</v>
      </c>
      <c r="E406">
        <v>0.91649999999999998</v>
      </c>
      <c r="F406">
        <v>4474158.37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0.19241192411924002</v>
      </c>
      <c r="Q406">
        <f t="shared" si="975"/>
        <v>860881.42078590265</v>
      </c>
      <c r="R406">
        <f t="shared" si="976"/>
        <v>-7506559.7832547994</v>
      </c>
      <c r="S406">
        <f t="shared" si="977"/>
        <v>-75.065597832547994</v>
      </c>
      <c r="T406">
        <f t="shared" si="978"/>
        <v>-7.5065597832547987E-2</v>
      </c>
    </row>
    <row r="407" spans="1:20" x14ac:dyDescent="0.25">
      <c r="A407" s="5">
        <v>44186</v>
      </c>
      <c r="B407">
        <v>0.9788</v>
      </c>
      <c r="C407">
        <v>1.0172000000000001</v>
      </c>
      <c r="D407">
        <v>0.89119999999999999</v>
      </c>
      <c r="E407">
        <v>0.89629999999999999</v>
      </c>
      <c r="F407">
        <v>4151104.27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-0.91904761904761922</v>
      </c>
      <c r="Q407">
        <f t="shared" si="975"/>
        <v>-3815062.4957619053</v>
      </c>
      <c r="R407">
        <f t="shared" si="976"/>
        <v>-8367441.2040407024</v>
      </c>
      <c r="S407">
        <f t="shared" si="977"/>
        <v>-83.67441204040702</v>
      </c>
      <c r="T407">
        <f t="shared" si="978"/>
        <v>-8.3674412040407015E-2</v>
      </c>
    </row>
    <row r="408" spans="1:20" x14ac:dyDescent="0.25">
      <c r="A408" s="5">
        <v>44185</v>
      </c>
      <c r="B408">
        <v>1.0513999999999999</v>
      </c>
      <c r="C408">
        <v>1.0548999999999999</v>
      </c>
      <c r="D408">
        <v>0.96079999999999999</v>
      </c>
      <c r="E408">
        <v>0.97840000000000005</v>
      </c>
      <c r="F408">
        <v>2550932.39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-0.62592986184909527</v>
      </c>
      <c r="Q408">
        <f t="shared" si="975"/>
        <v>-1596704.7584590826</v>
      </c>
      <c r="R408">
        <f t="shared" si="976"/>
        <v>-4552378.7082787966</v>
      </c>
      <c r="S408">
        <f t="shared" si="977"/>
        <v>-45.523787082787969</v>
      </c>
      <c r="T408">
        <f t="shared" si="978"/>
        <v>-4.5523787082787967E-2</v>
      </c>
    </row>
    <row r="409" spans="1:20" x14ac:dyDescent="0.25">
      <c r="A409" s="5">
        <v>44184</v>
      </c>
      <c r="B409">
        <v>1.0217000000000001</v>
      </c>
      <c r="C409">
        <v>1.1100000000000001</v>
      </c>
      <c r="D409">
        <v>1.0184</v>
      </c>
      <c r="E409">
        <v>1.0525</v>
      </c>
      <c r="F409">
        <v>4078070.26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-0.25545851528384339</v>
      </c>
      <c r="Q409">
        <f t="shared" si="975"/>
        <v>-1041777.7738427971</v>
      </c>
      <c r="R409">
        <f t="shared" si="976"/>
        <v>-2955673.9498197143</v>
      </c>
      <c r="S409">
        <f t="shared" si="977"/>
        <v>-29.556739498197143</v>
      </c>
      <c r="T409">
        <f t="shared" si="978"/>
        <v>-2.9556739498197142E-2</v>
      </c>
    </row>
    <row r="410" spans="1:20" x14ac:dyDescent="0.25">
      <c r="A410" s="5">
        <v>44183</v>
      </c>
      <c r="B410">
        <v>0.99660000000000004</v>
      </c>
      <c r="C410">
        <v>1.0645</v>
      </c>
      <c r="D410">
        <v>0.96499999999999997</v>
      </c>
      <c r="E410">
        <v>1.0201</v>
      </c>
      <c r="F410">
        <v>3850664.62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0.10753768844221145</v>
      </c>
      <c r="Q410">
        <f t="shared" si="975"/>
        <v>414091.57220100658</v>
      </c>
      <c r="R410">
        <f t="shared" si="976"/>
        <v>-1913896.1759769171</v>
      </c>
      <c r="S410">
        <f t="shared" si="977"/>
        <v>-19.13896175976917</v>
      </c>
      <c r="T410">
        <f t="shared" si="978"/>
        <v>-1.9138961759769171E-2</v>
      </c>
    </row>
    <row r="411" spans="1:20" x14ac:dyDescent="0.25">
      <c r="A411" s="5">
        <v>44182</v>
      </c>
      <c r="B411">
        <v>1.0288999999999999</v>
      </c>
      <c r="C411">
        <v>1.1200000000000001</v>
      </c>
      <c r="D411">
        <v>0.95479999999999998</v>
      </c>
      <c r="E411">
        <v>0.99929999999999997</v>
      </c>
      <c r="F411">
        <v>10151654.35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-0.46125907990314829</v>
      </c>
      <c r="Q411">
        <f t="shared" si="975"/>
        <v>-4682542.7449757932</v>
      </c>
      <c r="R411">
        <f t="shared" si="976"/>
        <v>-2327987.7481779237</v>
      </c>
      <c r="S411">
        <f t="shared" si="977"/>
        <v>-23.279877481779238</v>
      </c>
      <c r="T411">
        <f t="shared" si="978"/>
        <v>-2.3279877481779239E-2</v>
      </c>
    </row>
    <row r="412" spans="1:20" x14ac:dyDescent="0.25">
      <c r="A412" s="5">
        <v>44181</v>
      </c>
      <c r="B412">
        <v>0.91490000000000005</v>
      </c>
      <c r="C412">
        <v>1.03</v>
      </c>
      <c r="D412">
        <v>0.86499999999999999</v>
      </c>
      <c r="E412">
        <v>1.0293000000000001</v>
      </c>
      <c r="F412">
        <v>5940993.04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0.99151515151515246</v>
      </c>
      <c r="Q412">
        <f t="shared" si="975"/>
        <v>5890584.6142060664</v>
      </c>
      <c r="R412">
        <f t="shared" si="976"/>
        <v>2354554.9967978694</v>
      </c>
      <c r="S412">
        <f t="shared" si="977"/>
        <v>23.545549967978694</v>
      </c>
      <c r="T412">
        <f t="shared" si="978"/>
        <v>2.3545549967978693E-2</v>
      </c>
    </row>
    <row r="413" spans="1:20" x14ac:dyDescent="0.25">
      <c r="A413" s="5">
        <v>44180</v>
      </c>
      <c r="B413">
        <v>0.93089999999999995</v>
      </c>
      <c r="C413">
        <v>0.96350000000000002</v>
      </c>
      <c r="D413">
        <v>0.88300000000000001</v>
      </c>
      <c r="E413">
        <v>0.91500000000000004</v>
      </c>
      <c r="F413">
        <v>3430721.03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-0.20496894409937833</v>
      </c>
      <c r="Q413">
        <f t="shared" si="975"/>
        <v>-703191.26701863157</v>
      </c>
      <c r="R413">
        <f t="shared" si="976"/>
        <v>-3536029.6174081969</v>
      </c>
      <c r="S413">
        <f t="shared" si="977"/>
        <v>-35.360296174081967</v>
      </c>
      <c r="T413">
        <f t="shared" si="978"/>
        <v>-3.5360296174081964E-2</v>
      </c>
    </row>
    <row r="414" spans="1:20" x14ac:dyDescent="0.25">
      <c r="A414" s="5">
        <v>44179</v>
      </c>
      <c r="B414">
        <v>0.89970000000000006</v>
      </c>
      <c r="C414">
        <v>0.93640000000000001</v>
      </c>
      <c r="D414">
        <v>0.86499999999999999</v>
      </c>
      <c r="E414">
        <v>0.92920000000000003</v>
      </c>
      <c r="F414">
        <v>2406607.15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0.79831932773109293</v>
      </c>
      <c r="Q414">
        <f t="shared" si="975"/>
        <v>1921241.0021008414</v>
      </c>
      <c r="R414">
        <f t="shared" si="976"/>
        <v>-2832838.3503895653</v>
      </c>
      <c r="S414">
        <f t="shared" si="977"/>
        <v>-28.328383503895655</v>
      </c>
      <c r="T414">
        <f t="shared" si="978"/>
        <v>-2.8328383503895653E-2</v>
      </c>
    </row>
    <row r="415" spans="1:20" x14ac:dyDescent="0.25">
      <c r="A415" s="5">
        <v>44178</v>
      </c>
      <c r="B415">
        <v>0.85209999999999997</v>
      </c>
      <c r="C415">
        <v>0.91959999999999997</v>
      </c>
      <c r="D415">
        <v>0.83340000000000003</v>
      </c>
      <c r="E415">
        <v>0.89890000000000003</v>
      </c>
      <c r="F415">
        <v>3902891.01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0.51972157772621919</v>
      </c>
      <c r="Q415">
        <f t="shared" si="975"/>
        <v>2028416.6734106769</v>
      </c>
      <c r="R415">
        <f t="shared" si="976"/>
        <v>-4754079.3524904065</v>
      </c>
      <c r="S415">
        <f t="shared" si="977"/>
        <v>-47.540793524904068</v>
      </c>
      <c r="T415">
        <f t="shared" si="978"/>
        <v>-4.7540793524904069E-2</v>
      </c>
    </row>
    <row r="416" spans="1:20" x14ac:dyDescent="0.25">
      <c r="A416" s="5">
        <v>44177</v>
      </c>
      <c r="B416">
        <v>0.80510000000000004</v>
      </c>
      <c r="C416">
        <v>0.88719999999999999</v>
      </c>
      <c r="D416">
        <v>0.80410000000000004</v>
      </c>
      <c r="E416">
        <v>0.85199999999999998</v>
      </c>
      <c r="F416">
        <v>3198330.03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0.15282791817087774</v>
      </c>
      <c r="Q416">
        <f t="shared" si="975"/>
        <v>488794.12010830088</v>
      </c>
      <c r="R416">
        <f t="shared" si="976"/>
        <v>-6782496.0259010838</v>
      </c>
      <c r="S416">
        <f t="shared" si="977"/>
        <v>-67.824960259010837</v>
      </c>
      <c r="T416">
        <f t="shared" si="978"/>
        <v>-6.782496025901083E-2</v>
      </c>
    </row>
    <row r="417" spans="1:20" x14ac:dyDescent="0.25">
      <c r="A417" s="5">
        <v>44176</v>
      </c>
      <c r="B417">
        <v>0.87690000000000001</v>
      </c>
      <c r="C417">
        <v>0.87939999999999996</v>
      </c>
      <c r="D417">
        <v>0.76100000000000001</v>
      </c>
      <c r="E417">
        <v>0.80400000000000005</v>
      </c>
      <c r="F417">
        <v>8838772.7100000009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-0.27364864864864769</v>
      </c>
      <c r="Q417">
        <f t="shared" si="975"/>
        <v>-2418718.2078040456</v>
      </c>
      <c r="R417">
        <f t="shared" si="976"/>
        <v>-7271290.1460093847</v>
      </c>
      <c r="S417">
        <f t="shared" si="977"/>
        <v>-72.712901460093846</v>
      </c>
      <c r="T417">
        <f t="shared" si="978"/>
        <v>-7.2712901460093848E-2</v>
      </c>
    </row>
    <row r="418" spans="1:20" x14ac:dyDescent="0.25">
      <c r="A418" s="5">
        <v>44175</v>
      </c>
      <c r="B418">
        <v>0.89410000000000001</v>
      </c>
      <c r="C418">
        <v>0.90749999999999997</v>
      </c>
      <c r="D418">
        <v>0.83650000000000002</v>
      </c>
      <c r="E418">
        <v>0.87680000000000002</v>
      </c>
      <c r="F418">
        <v>3704999.45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0.13521126760563465</v>
      </c>
      <c r="Q418">
        <f t="shared" si="975"/>
        <v>500957.67211267923</v>
      </c>
      <c r="R418">
        <f t="shared" si="976"/>
        <v>-4852571.938205339</v>
      </c>
      <c r="S418">
        <f t="shared" si="977"/>
        <v>-48.525719382053389</v>
      </c>
      <c r="T418">
        <f t="shared" si="978"/>
        <v>-4.8525719382053391E-2</v>
      </c>
    </row>
    <row r="419" spans="1:20" x14ac:dyDescent="0.25">
      <c r="A419" s="5">
        <v>44174</v>
      </c>
      <c r="B419">
        <v>0.84040000000000004</v>
      </c>
      <c r="C419">
        <v>0.93200000000000005</v>
      </c>
      <c r="D419">
        <v>0.80689999999999995</v>
      </c>
      <c r="E419">
        <v>0.89500000000000002</v>
      </c>
      <c r="F419">
        <v>5749671.3799999999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0.40847322142286163</v>
      </c>
      <c r="Q419">
        <f t="shared" si="975"/>
        <v>2348586.7907114304</v>
      </c>
      <c r="R419">
        <f t="shared" si="976"/>
        <v>-5353529.6103180181</v>
      </c>
      <c r="S419">
        <f t="shared" si="977"/>
        <v>-53.53529610318018</v>
      </c>
      <c r="T419">
        <f t="shared" si="978"/>
        <v>-5.3535296103180183E-2</v>
      </c>
    </row>
    <row r="420" spans="1:20" x14ac:dyDescent="0.25">
      <c r="A420" s="5">
        <v>44173</v>
      </c>
      <c r="B420">
        <v>0.96560000000000001</v>
      </c>
      <c r="C420">
        <v>0.96940000000000004</v>
      </c>
      <c r="D420">
        <v>0.82789999999999997</v>
      </c>
      <c r="E420">
        <v>0.84040000000000004</v>
      </c>
      <c r="F420">
        <v>7094413.4500000002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-0.82332155477031721</v>
      </c>
      <c r="Q420">
        <f t="shared" si="975"/>
        <v>-5840983.5118374499</v>
      </c>
      <c r="R420">
        <f t="shared" si="976"/>
        <v>-7702116.401029448</v>
      </c>
      <c r="S420">
        <f t="shared" si="977"/>
        <v>-77.021164010294484</v>
      </c>
      <c r="T420">
        <f t="shared" si="978"/>
        <v>-7.7021164010294491E-2</v>
      </c>
    </row>
    <row r="421" spans="1:20" x14ac:dyDescent="0.25">
      <c r="A421" s="5">
        <v>44172</v>
      </c>
      <c r="B421">
        <v>0.98570000000000002</v>
      </c>
      <c r="C421">
        <v>1.0166999999999999</v>
      </c>
      <c r="D421">
        <v>0.94810000000000005</v>
      </c>
      <c r="E421">
        <v>0.96679999999999999</v>
      </c>
      <c r="F421">
        <v>2541873.56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-0.45481049562682302</v>
      </c>
      <c r="Q421">
        <f t="shared" si="975"/>
        <v>-1156070.7736443172</v>
      </c>
      <c r="R421">
        <f t="shared" si="976"/>
        <v>-1861132.8891919984</v>
      </c>
      <c r="S421">
        <f t="shared" si="977"/>
        <v>-18.611328891919985</v>
      </c>
      <c r="T421">
        <f t="shared" si="978"/>
        <v>-1.8611328891919986E-2</v>
      </c>
    </row>
    <row r="422" spans="1:20" x14ac:dyDescent="0.25">
      <c r="A422" s="5">
        <v>44171</v>
      </c>
      <c r="B422">
        <v>1.0085999999999999</v>
      </c>
      <c r="C422">
        <v>1.06</v>
      </c>
      <c r="D422">
        <v>0.94510000000000005</v>
      </c>
      <c r="E422">
        <v>0.98150000000000004</v>
      </c>
      <c r="F422">
        <v>4138816.5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-0.36640557006092278</v>
      </c>
      <c r="Q422">
        <f t="shared" si="975"/>
        <v>-1516485.4190600533</v>
      </c>
      <c r="R422">
        <f t="shared" si="976"/>
        <v>-705062.11554768123</v>
      </c>
      <c r="S422">
        <f t="shared" si="977"/>
        <v>-7.0506211554768123</v>
      </c>
      <c r="T422">
        <f t="shared" si="978"/>
        <v>-7.050621155476812E-3</v>
      </c>
    </row>
    <row r="423" spans="1:20" x14ac:dyDescent="0.25">
      <c r="A423" s="5">
        <v>44170</v>
      </c>
      <c r="B423">
        <v>0.93379999999999996</v>
      </c>
      <c r="C423">
        <v>1.04</v>
      </c>
      <c r="D423">
        <v>0.91379999999999995</v>
      </c>
      <c r="E423">
        <v>1.0085999999999999</v>
      </c>
      <c r="F423">
        <v>5833912.8899999997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0.50237717908082291</v>
      </c>
      <c r="Q423">
        <f t="shared" si="975"/>
        <v>2930824.7006814508</v>
      </c>
      <c r="R423">
        <f t="shared" si="976"/>
        <v>811423.30351237208</v>
      </c>
      <c r="S423">
        <f t="shared" si="977"/>
        <v>8.1142330351237213</v>
      </c>
      <c r="T423">
        <f t="shared" si="978"/>
        <v>8.1142330351237218E-3</v>
      </c>
    </row>
    <row r="424" spans="1:20" x14ac:dyDescent="0.25">
      <c r="A424" s="5">
        <v>44169</v>
      </c>
      <c r="B424">
        <v>1.0162</v>
      </c>
      <c r="C424">
        <v>1.139</v>
      </c>
      <c r="D424">
        <v>0.92</v>
      </c>
      <c r="E424">
        <v>0.93799999999999994</v>
      </c>
      <c r="F424">
        <v>9963138.2699999996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-0.83561643835616528</v>
      </c>
      <c r="Q424">
        <f t="shared" si="975"/>
        <v>-8325362.1160274055</v>
      </c>
      <c r="R424">
        <f t="shared" si="976"/>
        <v>-2119401.3971690787</v>
      </c>
      <c r="S424">
        <f t="shared" si="977"/>
        <v>-21.194013971690786</v>
      </c>
      <c r="T424">
        <f t="shared" si="978"/>
        <v>-2.1194013971690788E-2</v>
      </c>
    </row>
    <row r="425" spans="1:20" x14ac:dyDescent="0.25">
      <c r="A425" s="5">
        <v>44168</v>
      </c>
      <c r="B425">
        <v>0.98699999999999999</v>
      </c>
      <c r="C425">
        <v>1.0857000000000001</v>
      </c>
      <c r="D425">
        <v>0.98440000000000005</v>
      </c>
      <c r="E425">
        <v>1.0186999999999999</v>
      </c>
      <c r="F425">
        <v>6616333.8899999997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-0.32280355380059494</v>
      </c>
      <c r="Q425">
        <f t="shared" si="975"/>
        <v>-2135776.0928233145</v>
      </c>
      <c r="R425">
        <f t="shared" si="976"/>
        <v>6205960.7188583268</v>
      </c>
      <c r="S425">
        <f t="shared" si="977"/>
        <v>62.059607188583264</v>
      </c>
      <c r="T425">
        <f t="shared" si="978"/>
        <v>6.2059607188583263E-2</v>
      </c>
    </row>
    <row r="426" spans="1:20" x14ac:dyDescent="0.25">
      <c r="A426" s="5">
        <v>44167</v>
      </c>
      <c r="B426">
        <v>0.89429999999999998</v>
      </c>
      <c r="C426">
        <v>1.0142</v>
      </c>
      <c r="D426">
        <v>0.86329999999999996</v>
      </c>
      <c r="E426">
        <v>0.98540000000000005</v>
      </c>
      <c r="F426">
        <v>6726213.7999999998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0.61829025844930507</v>
      </c>
      <c r="Q426">
        <f t="shared" si="975"/>
        <v>4158752.4687872822</v>
      </c>
      <c r="R426">
        <f t="shared" si="976"/>
        <v>8341736.8116816413</v>
      </c>
      <c r="S426">
        <f t="shared" si="977"/>
        <v>83.417368116816419</v>
      </c>
      <c r="T426">
        <f t="shared" si="978"/>
        <v>8.3417368116816423E-2</v>
      </c>
    </row>
    <row r="427" spans="1:20" x14ac:dyDescent="0.25">
      <c r="A427" s="5">
        <v>44166</v>
      </c>
      <c r="B427">
        <v>0.85799999999999998</v>
      </c>
      <c r="C427">
        <v>0.93769999999999998</v>
      </c>
      <c r="D427">
        <v>0.81259999999999999</v>
      </c>
      <c r="E427">
        <v>0.8952</v>
      </c>
      <c r="F427">
        <v>4971662.87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0.3205435651478819</v>
      </c>
      <c r="Q427">
        <f t="shared" si="975"/>
        <v>1593634.5410631506</v>
      </c>
      <c r="R427">
        <f t="shared" si="976"/>
        <v>4182984.3428943595</v>
      </c>
      <c r="S427">
        <f t="shared" si="977"/>
        <v>41.829843428943597</v>
      </c>
      <c r="T427">
        <f t="shared" si="978"/>
        <v>4.1829843428943594E-2</v>
      </c>
    </row>
    <row r="428" spans="1:20" x14ac:dyDescent="0.25">
      <c r="A428" s="5">
        <v>44165</v>
      </c>
      <c r="B428">
        <v>0.83069999999999999</v>
      </c>
      <c r="C428">
        <v>0.86929999999999996</v>
      </c>
      <c r="D428">
        <v>0.81179999999999997</v>
      </c>
      <c r="E428">
        <v>0.8579</v>
      </c>
      <c r="F428">
        <v>3724502.15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0.60347826086956635</v>
      </c>
      <c r="Q428">
        <f t="shared" si="975"/>
        <v>2247656.0800869609</v>
      </c>
      <c r="R428">
        <f t="shared" si="976"/>
        <v>2589349.8018312091</v>
      </c>
      <c r="S428">
        <f t="shared" si="977"/>
        <v>25.893498018312091</v>
      </c>
      <c r="T428">
        <f t="shared" si="978"/>
        <v>2.5893498018312092E-2</v>
      </c>
    </row>
    <row r="429" spans="1:20" x14ac:dyDescent="0.25">
      <c r="A429" s="5">
        <v>44164</v>
      </c>
      <c r="B429">
        <v>0.79610000000000003</v>
      </c>
      <c r="C429">
        <v>0.83799999999999997</v>
      </c>
      <c r="D429">
        <v>0.78300000000000003</v>
      </c>
      <c r="E429">
        <v>0.83</v>
      </c>
      <c r="F429">
        <v>3226739.22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0.70909090909090855</v>
      </c>
      <c r="Q429">
        <f t="shared" si="975"/>
        <v>2288051.4469090891</v>
      </c>
      <c r="R429">
        <f t="shared" si="976"/>
        <v>341693.72174424841</v>
      </c>
      <c r="S429">
        <f t="shared" si="977"/>
        <v>3.4169372174424839</v>
      </c>
      <c r="T429">
        <f t="shared" si="978"/>
        <v>3.4169372174424838E-3</v>
      </c>
    </row>
    <row r="430" spans="1:20" x14ac:dyDescent="0.25">
      <c r="A430" s="5">
        <v>44163</v>
      </c>
      <c r="B430">
        <v>0.7722</v>
      </c>
      <c r="C430">
        <v>0.81979999999999997</v>
      </c>
      <c r="D430">
        <v>0.74119999999999997</v>
      </c>
      <c r="E430">
        <v>0.79449999999999998</v>
      </c>
      <c r="F430">
        <v>3523035.19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0.35623409669211226</v>
      </c>
      <c r="Q430">
        <f t="shared" si="975"/>
        <v>1255025.2585241741</v>
      </c>
      <c r="R430">
        <f t="shared" si="976"/>
        <v>-1946357.7251648407</v>
      </c>
      <c r="S430">
        <f t="shared" si="977"/>
        <v>-19.463577251648406</v>
      </c>
      <c r="T430">
        <f t="shared" si="978"/>
        <v>-1.9463577251648406E-2</v>
      </c>
    </row>
    <row r="431" spans="1:20" x14ac:dyDescent="0.25">
      <c r="A431" s="5">
        <v>44162</v>
      </c>
      <c r="B431">
        <v>0.79710000000000003</v>
      </c>
      <c r="C431">
        <v>0.83</v>
      </c>
      <c r="D431">
        <v>0.7</v>
      </c>
      <c r="E431">
        <v>0.7722</v>
      </c>
      <c r="F431">
        <v>6244445.1799999997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0.11076923076923137</v>
      </c>
      <c r="Q431">
        <f t="shared" si="975"/>
        <v>691692.38916923443</v>
      </c>
      <c r="R431">
        <f t="shared" si="976"/>
        <v>-3201382.9836890148</v>
      </c>
      <c r="S431">
        <f t="shared" si="977"/>
        <v>-32.013829836890146</v>
      </c>
      <c r="T431">
        <f t="shared" si="978"/>
        <v>-3.2013829836890148E-2</v>
      </c>
    </row>
    <row r="432" spans="1:20" x14ac:dyDescent="0.25">
      <c r="A432" s="5">
        <v>44161</v>
      </c>
      <c r="B432">
        <v>0.89439999999999997</v>
      </c>
      <c r="C432">
        <v>0.9325</v>
      </c>
      <c r="D432">
        <v>0.63200000000000001</v>
      </c>
      <c r="E432">
        <v>0.79549999999999998</v>
      </c>
      <c r="F432">
        <v>11852637.039999999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8.8186356073211208E-2</v>
      </c>
      <c r="Q432">
        <f t="shared" si="975"/>
        <v>1045240.8704159721</v>
      </c>
      <c r="R432">
        <f t="shared" si="976"/>
        <v>-3893075.3728582491</v>
      </c>
      <c r="S432">
        <f t="shared" si="977"/>
        <v>-38.930753728582488</v>
      </c>
      <c r="T432">
        <f t="shared" si="978"/>
        <v>-3.8930753728582485E-2</v>
      </c>
    </row>
    <row r="433" spans="1:20" x14ac:dyDescent="0.25">
      <c r="A433" s="5">
        <v>44160</v>
      </c>
      <c r="B433">
        <v>0.91969999999999996</v>
      </c>
      <c r="C433">
        <v>1</v>
      </c>
      <c r="D433">
        <v>0.87050000000000005</v>
      </c>
      <c r="E433">
        <v>0.89500000000000002</v>
      </c>
      <c r="F433">
        <v>5189868.4400000004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-0.62162162162162204</v>
      </c>
      <c r="Q433">
        <f t="shared" si="975"/>
        <v>-3226134.4356756783</v>
      </c>
      <c r="R433">
        <f t="shared" si="976"/>
        <v>-4938316.2432742212</v>
      </c>
      <c r="S433">
        <f t="shared" si="977"/>
        <v>-49.383162432742211</v>
      </c>
      <c r="T433">
        <f t="shared" si="978"/>
        <v>-4.9383162432742211E-2</v>
      </c>
    </row>
    <row r="434" spans="1:20" x14ac:dyDescent="0.25">
      <c r="A434" s="5">
        <v>44159</v>
      </c>
      <c r="B434">
        <v>0.91720000000000002</v>
      </c>
      <c r="C434">
        <v>1.0181</v>
      </c>
      <c r="D434">
        <v>0.83199999999999996</v>
      </c>
      <c r="E434">
        <v>0.91920000000000002</v>
      </c>
      <c r="F434">
        <v>7699576.71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-6.2869425040300533E-2</v>
      </c>
      <c r="Q434">
        <f t="shared" si="975"/>
        <v>-484067.9608113888</v>
      </c>
      <c r="R434">
        <f t="shared" si="976"/>
        <v>-1712181.8075985434</v>
      </c>
      <c r="S434">
        <f t="shared" si="977"/>
        <v>-17.121818075985434</v>
      </c>
      <c r="T434">
        <f t="shared" si="978"/>
        <v>-1.7121818075985434E-2</v>
      </c>
    </row>
    <row r="435" spans="1:20" x14ac:dyDescent="0.25">
      <c r="A435" s="5">
        <v>44158</v>
      </c>
      <c r="B435">
        <v>0.84989999999999999</v>
      </c>
      <c r="C435">
        <v>0.93469999999999998</v>
      </c>
      <c r="D435">
        <v>0.82899999999999996</v>
      </c>
      <c r="E435">
        <v>0.91549999999999998</v>
      </c>
      <c r="F435">
        <v>5712445.29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0.63670766319772953</v>
      </c>
      <c r="Q435">
        <f t="shared" si="975"/>
        <v>3637157.6917407764</v>
      </c>
      <c r="R435">
        <f t="shared" si="976"/>
        <v>-1228113.8467871547</v>
      </c>
      <c r="S435">
        <f t="shared" si="977"/>
        <v>-12.281138467871546</v>
      </c>
      <c r="T435">
        <f t="shared" si="978"/>
        <v>-1.2281138467871546E-2</v>
      </c>
    </row>
    <row r="436" spans="1:20" x14ac:dyDescent="0.25">
      <c r="A436" s="5">
        <v>44157</v>
      </c>
      <c r="B436">
        <v>0.92290000000000005</v>
      </c>
      <c r="C436">
        <v>0.96</v>
      </c>
      <c r="D436">
        <v>0.82</v>
      </c>
      <c r="E436">
        <v>0.84850000000000003</v>
      </c>
      <c r="F436">
        <v>6402619.46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-0.59285714285714175</v>
      </c>
      <c r="Q436">
        <f t="shared" si="975"/>
        <v>-3795838.6798571358</v>
      </c>
      <c r="R436">
        <f t="shared" si="976"/>
        <v>-4865271.5385279311</v>
      </c>
      <c r="S436">
        <f t="shared" si="977"/>
        <v>-48.652715385279308</v>
      </c>
      <c r="T436">
        <f t="shared" si="978"/>
        <v>-4.8652715385279308E-2</v>
      </c>
    </row>
    <row r="437" spans="1:20" x14ac:dyDescent="0.25">
      <c r="A437" s="5">
        <v>44156</v>
      </c>
      <c r="B437">
        <v>0.93049999999999999</v>
      </c>
      <c r="C437">
        <v>0.98319999999999996</v>
      </c>
      <c r="D437">
        <v>0.88080000000000003</v>
      </c>
      <c r="E437">
        <v>0.92169999999999996</v>
      </c>
      <c r="F437">
        <v>5301642.04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-0.20117187500000075</v>
      </c>
      <c r="Q437">
        <f t="shared" si="975"/>
        <v>-1066541.269765629</v>
      </c>
      <c r="R437">
        <f t="shared" si="976"/>
        <v>-1069432.8586707953</v>
      </c>
      <c r="S437">
        <f t="shared" si="977"/>
        <v>-10.694328586707954</v>
      </c>
      <c r="T437">
        <f t="shared" si="978"/>
        <v>-1.0694328586707954E-2</v>
      </c>
    </row>
    <row r="438" spans="1:20" x14ac:dyDescent="0.25">
      <c r="A438" s="5">
        <v>44155</v>
      </c>
      <c r="B438">
        <v>0.9012</v>
      </c>
      <c r="C438">
        <v>1.012</v>
      </c>
      <c r="D438">
        <v>0.8992</v>
      </c>
      <c r="E438">
        <v>0.93089999999999995</v>
      </c>
      <c r="F438">
        <v>7299100.2599999998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-0.43794326241134846</v>
      </c>
      <c r="Q438">
        <f t="shared" si="975"/>
        <v>-3196591.7805319214</v>
      </c>
      <c r="R438">
        <f t="shared" si="976"/>
        <v>-2891.5889051663689</v>
      </c>
      <c r="S438">
        <f t="shared" si="977"/>
        <v>-2.8915889051663691E-2</v>
      </c>
      <c r="T438">
        <f t="shared" si="978"/>
        <v>-2.8915889051663692E-5</v>
      </c>
    </row>
    <row r="439" spans="1:20" x14ac:dyDescent="0.25">
      <c r="A439" s="5">
        <v>44154</v>
      </c>
      <c r="B439">
        <v>0.89349999999999996</v>
      </c>
      <c r="C439">
        <v>0.95760000000000001</v>
      </c>
      <c r="D439">
        <v>0.80520000000000003</v>
      </c>
      <c r="E439">
        <v>0.90010000000000001</v>
      </c>
      <c r="F439">
        <v>8538491.5700000003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0.24540682414698159</v>
      </c>
      <c r="Q439">
        <f t="shared" si="975"/>
        <v>2095404.0991994748</v>
      </c>
      <c r="R439">
        <f t="shared" si="976"/>
        <v>3193700.1916267551</v>
      </c>
      <c r="S439">
        <f t="shared" si="977"/>
        <v>31.937001916267551</v>
      </c>
      <c r="T439">
        <f t="shared" si="978"/>
        <v>3.1937001916267554E-2</v>
      </c>
    </row>
    <row r="440" spans="1:20" x14ac:dyDescent="0.25">
      <c r="A440" s="5">
        <v>44153</v>
      </c>
      <c r="B440">
        <v>1.0075000000000001</v>
      </c>
      <c r="C440">
        <v>1.02</v>
      </c>
      <c r="D440">
        <v>0.75739999999999996</v>
      </c>
      <c r="E440">
        <v>0.89349999999999996</v>
      </c>
      <c r="F440">
        <v>15407020.189999999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3.6557501904036331E-2</v>
      </c>
      <c r="Q440">
        <f t="shared" si="975"/>
        <v>563242.16993145121</v>
      </c>
      <c r="R440">
        <f t="shared" si="976"/>
        <v>1098296.0924272803</v>
      </c>
      <c r="S440">
        <f t="shared" si="977"/>
        <v>10.982960924272803</v>
      </c>
      <c r="T440">
        <f t="shared" si="978"/>
        <v>1.0982960924272802E-2</v>
      </c>
    </row>
    <row r="441" spans="1:20" x14ac:dyDescent="0.25">
      <c r="A441" s="5">
        <v>44152</v>
      </c>
      <c r="B441">
        <v>0.90680000000000005</v>
      </c>
      <c r="C441">
        <v>1.05</v>
      </c>
      <c r="D441">
        <v>0.86519999999999997</v>
      </c>
      <c r="E441">
        <v>1.0065999999999999</v>
      </c>
      <c r="F441">
        <v>13221666.109999999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0.53030303030302939</v>
      </c>
      <c r="Q441">
        <f t="shared" si="975"/>
        <v>7011489.6037878664</v>
      </c>
      <c r="R441">
        <f t="shared" si="976"/>
        <v>535053.92249582894</v>
      </c>
      <c r="S441">
        <f t="shared" si="977"/>
        <v>5.3505392249582897</v>
      </c>
      <c r="T441">
        <f t="shared" si="978"/>
        <v>5.3505392249582895E-3</v>
      </c>
    </row>
    <row r="442" spans="1:20" x14ac:dyDescent="0.25">
      <c r="A442" s="5">
        <v>44151</v>
      </c>
      <c r="B442">
        <v>0.8831</v>
      </c>
      <c r="C442">
        <v>0.97760000000000002</v>
      </c>
      <c r="D442">
        <v>0.86399999999999999</v>
      </c>
      <c r="E442">
        <v>0.90700000000000003</v>
      </c>
      <c r="F442">
        <v>9680045.1099999994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-0.2429577464788728</v>
      </c>
      <c r="Q442">
        <f t="shared" si="975"/>
        <v>-2351841.9457394322</v>
      </c>
      <c r="R442">
        <f t="shared" si="976"/>
        <v>-6476435.6812920375</v>
      </c>
      <c r="S442">
        <f t="shared" si="977"/>
        <v>-64.764356812920369</v>
      </c>
      <c r="T442">
        <f t="shared" si="978"/>
        <v>-6.4764356812920365E-2</v>
      </c>
    </row>
    <row r="443" spans="1:20" x14ac:dyDescent="0.25">
      <c r="A443" s="5">
        <v>44150</v>
      </c>
      <c r="B443">
        <v>0.83089999999999997</v>
      </c>
      <c r="C443">
        <v>0.98670000000000002</v>
      </c>
      <c r="D443">
        <v>0.80720000000000003</v>
      </c>
      <c r="E443">
        <v>0.88349999999999995</v>
      </c>
      <c r="F443">
        <v>16568796.41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-0.14986072423398411</v>
      </c>
      <c r="Q443">
        <f t="shared" si="975"/>
        <v>-2483011.8296880359</v>
      </c>
      <c r="R443">
        <f t="shared" si="976"/>
        <v>-4124593.7355526052</v>
      </c>
      <c r="S443">
        <f t="shared" si="977"/>
        <v>-41.245937355526053</v>
      </c>
      <c r="T443">
        <f t="shared" si="978"/>
        <v>-4.1245937355526049E-2</v>
      </c>
    </row>
    <row r="444" spans="1:20" x14ac:dyDescent="0.25">
      <c r="A444" s="5">
        <v>44149</v>
      </c>
      <c r="B444">
        <v>0.71630000000000005</v>
      </c>
      <c r="C444">
        <v>0.85799999999999998</v>
      </c>
      <c r="D444">
        <v>0.65949999999999998</v>
      </c>
      <c r="E444">
        <v>0.83089999999999997</v>
      </c>
      <c r="F444">
        <v>10339278.210000001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0.72695214105793438</v>
      </c>
      <c r="Q444">
        <f t="shared" si="975"/>
        <v>7516160.4317531483</v>
      </c>
      <c r="R444">
        <f t="shared" si="976"/>
        <v>-1641581.9058645694</v>
      </c>
      <c r="S444">
        <f t="shared" si="977"/>
        <v>-16.415819058645695</v>
      </c>
      <c r="T444">
        <f t="shared" si="978"/>
        <v>-1.6415819058645694E-2</v>
      </c>
    </row>
    <row r="445" spans="1:20" x14ac:dyDescent="0.25">
      <c r="A445" s="5">
        <v>44148</v>
      </c>
      <c r="B445">
        <v>0.57599999999999996</v>
      </c>
      <c r="C445">
        <v>0.74539999999999995</v>
      </c>
      <c r="D445">
        <v>0.56999999999999995</v>
      </c>
      <c r="E445">
        <v>0.71409999999999996</v>
      </c>
      <c r="F445">
        <v>7146491.0499999998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0.64310148232611186</v>
      </c>
      <c r="Q445">
        <f t="shared" si="975"/>
        <v>4595918.9876852911</v>
      </c>
      <c r="R445">
        <f t="shared" si="976"/>
        <v>-9157742.3376177177</v>
      </c>
      <c r="S445">
        <f t="shared" si="977"/>
        <v>-91.57742337617718</v>
      </c>
      <c r="T445">
        <f t="shared" si="978"/>
        <v>-9.1577423376177178E-2</v>
      </c>
    </row>
    <row r="446" spans="1:20" x14ac:dyDescent="0.25">
      <c r="A446" s="5">
        <v>44147</v>
      </c>
      <c r="B446">
        <v>0.62619999999999998</v>
      </c>
      <c r="C446">
        <v>0.64480000000000004</v>
      </c>
      <c r="D446">
        <v>0.55959999999999999</v>
      </c>
      <c r="E446">
        <v>0.57420000000000004</v>
      </c>
      <c r="F446">
        <v>4494432.42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-0.65727699530516315</v>
      </c>
      <c r="Q446">
        <f t="shared" si="975"/>
        <v>-2954087.0366197131</v>
      </c>
      <c r="R446">
        <f t="shared" si="976"/>
        <v>-13753661.325303009</v>
      </c>
      <c r="S446">
        <f t="shared" si="977"/>
        <v>-137.53661325303008</v>
      </c>
      <c r="T446">
        <f t="shared" si="978"/>
        <v>-0.13753661325303007</v>
      </c>
    </row>
    <row r="447" spans="1:20" x14ac:dyDescent="0.25">
      <c r="A447" s="5">
        <v>44146</v>
      </c>
      <c r="B447">
        <v>0.68600000000000005</v>
      </c>
      <c r="C447">
        <v>0.70189999999999997</v>
      </c>
      <c r="D447">
        <v>0.62060000000000004</v>
      </c>
      <c r="E447">
        <v>0.62570000000000003</v>
      </c>
      <c r="F447">
        <v>4885861.17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-0.87453874538745391</v>
      </c>
      <c r="Q447">
        <f t="shared" si="975"/>
        <v>-4272874.8977490775</v>
      </c>
      <c r="R447">
        <f t="shared" si="976"/>
        <v>-10799574.288683295</v>
      </c>
      <c r="S447">
        <f t="shared" si="977"/>
        <v>-107.99574288683296</v>
      </c>
      <c r="T447">
        <f t="shared" si="978"/>
        <v>-0.10799574288683296</v>
      </c>
    </row>
    <row r="448" spans="1:20" x14ac:dyDescent="0.25">
      <c r="A448" s="5">
        <v>44145</v>
      </c>
      <c r="B448">
        <v>0.59279999999999999</v>
      </c>
      <c r="C448">
        <v>0.71</v>
      </c>
      <c r="D448">
        <v>0.57889999999999997</v>
      </c>
      <c r="E448">
        <v>0.68140000000000001</v>
      </c>
      <c r="F448">
        <v>6607236.1399999997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0.56369183829138125</v>
      </c>
      <c r="Q448">
        <f t="shared" si="975"/>
        <v>3724445.0857818499</v>
      </c>
      <c r="R448">
        <f t="shared" si="976"/>
        <v>-6526699.3909342177</v>
      </c>
      <c r="S448">
        <f t="shared" si="977"/>
        <v>-65.266993909342176</v>
      </c>
      <c r="T448">
        <f t="shared" si="978"/>
        <v>-6.526699390934218E-2</v>
      </c>
    </row>
    <row r="449" spans="1:20" x14ac:dyDescent="0.25">
      <c r="A449" s="5">
        <v>44144</v>
      </c>
      <c r="B449">
        <v>0.58030000000000004</v>
      </c>
      <c r="C449">
        <v>0.64749999999999996</v>
      </c>
      <c r="D449">
        <v>0.54700000000000004</v>
      </c>
      <c r="E449">
        <v>0.59189999999999998</v>
      </c>
      <c r="F449">
        <v>10861091.689999999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-0.1064676616915428</v>
      </c>
      <c r="Q449">
        <f t="shared" si="975"/>
        <v>-1156355.0356517469</v>
      </c>
      <c r="R449">
        <f t="shared" si="976"/>
        <v>-10251144.476716068</v>
      </c>
      <c r="S449">
        <f t="shared" si="977"/>
        <v>-102.51144476716068</v>
      </c>
      <c r="T449">
        <f t="shared" si="978"/>
        <v>-0.10251144476716069</v>
      </c>
    </row>
    <row r="450" spans="1:20" x14ac:dyDescent="0.25">
      <c r="A450" s="5">
        <v>44143</v>
      </c>
      <c r="B450">
        <v>0.48899999999999999</v>
      </c>
      <c r="C450">
        <v>0.58840000000000003</v>
      </c>
      <c r="D450">
        <v>0.48349999999999999</v>
      </c>
      <c r="E450">
        <v>0.58050000000000002</v>
      </c>
      <c r="F450">
        <v>4895901.87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0.84938036224976143</v>
      </c>
      <c r="Q450">
        <f t="shared" si="975"/>
        <v>4158482.9038798846</v>
      </c>
      <c r="R450">
        <f t="shared" si="976"/>
        <v>-9094789.4410643205</v>
      </c>
      <c r="S450">
        <f t="shared" si="977"/>
        <v>-90.947894410643201</v>
      </c>
      <c r="T450">
        <f t="shared" si="978"/>
        <v>-9.0947894410643201E-2</v>
      </c>
    </row>
    <row r="451" spans="1:20" x14ac:dyDescent="0.25">
      <c r="A451" s="5">
        <v>44142</v>
      </c>
      <c r="B451">
        <v>0.52170000000000005</v>
      </c>
      <c r="C451">
        <v>0.56000000000000005</v>
      </c>
      <c r="D451">
        <v>0.43880000000000002</v>
      </c>
      <c r="E451">
        <v>0.49199999999999999</v>
      </c>
      <c r="F451">
        <v>9025527.25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-0.12211221122112283</v>
      </c>
      <c r="Q451">
        <f t="shared" si="975"/>
        <v>-1102127.0899339998</v>
      </c>
      <c r="R451">
        <f t="shared" si="976"/>
        <v>-13253272.344944205</v>
      </c>
      <c r="S451">
        <f t="shared" si="977"/>
        <v>-132.53272344944205</v>
      </c>
      <c r="T451">
        <f t="shared" si="978"/>
        <v>-0.13253272344944206</v>
      </c>
    </row>
    <row r="452" spans="1:20" x14ac:dyDescent="0.25">
      <c r="A452" s="5">
        <v>44141</v>
      </c>
      <c r="B452">
        <v>0.4244</v>
      </c>
      <c r="C452">
        <v>0.52549999999999997</v>
      </c>
      <c r="D452">
        <v>0.4214</v>
      </c>
      <c r="E452">
        <v>0.52290000000000003</v>
      </c>
      <c r="F452">
        <v>3995087.56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0.95004803073967459</v>
      </c>
      <c r="Q452">
        <f t="shared" si="975"/>
        <v>3795525.0690105716</v>
      </c>
      <c r="R452">
        <f t="shared" si="976"/>
        <v>-12151145.255010206</v>
      </c>
      <c r="S452">
        <f t="shared" si="977"/>
        <v>-121.51145255010206</v>
      </c>
      <c r="T452">
        <f t="shared" si="978"/>
        <v>-0.12151145255010207</v>
      </c>
    </row>
    <row r="453" spans="1:20" x14ac:dyDescent="0.25">
      <c r="A453" s="5">
        <v>44140</v>
      </c>
      <c r="B453">
        <v>0.3775</v>
      </c>
      <c r="C453">
        <v>0.45600000000000002</v>
      </c>
      <c r="D453">
        <v>0.377</v>
      </c>
      <c r="E453">
        <v>0.4234</v>
      </c>
      <c r="F453">
        <v>6050133.1100000003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0.17468354430379718</v>
      </c>
      <c r="Q453">
        <f t="shared" si="975"/>
        <v>1056858.6951645552</v>
      </c>
      <c r="R453">
        <f t="shared" si="976"/>
        <v>-15946670.324020779</v>
      </c>
      <c r="S453">
        <f t="shared" si="977"/>
        <v>-159.46670324020778</v>
      </c>
      <c r="T453">
        <f t="shared" si="978"/>
        <v>-0.15946670324020779</v>
      </c>
    </row>
    <row r="454" spans="1:20" x14ac:dyDescent="0.25">
      <c r="A454" s="5">
        <v>44139</v>
      </c>
      <c r="B454">
        <v>0.36909999999999998</v>
      </c>
      <c r="C454">
        <v>0.38090000000000002</v>
      </c>
      <c r="D454">
        <v>0.34749999999999998</v>
      </c>
      <c r="E454">
        <v>0.37719999999999998</v>
      </c>
      <c r="F454">
        <v>2820127.55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0.77844311377245312</v>
      </c>
      <c r="Q454">
        <f t="shared" ref="Q454:Q517" si="980">F454*P454</f>
        <v>2195308.8712574793</v>
      </c>
      <c r="R454">
        <f t="shared" ref="R454:R517" si="981">R455+Q454</f>
        <v>-17003529.019185334</v>
      </c>
      <c r="S454">
        <f t="shared" ref="S454:S517" si="982">R454/100000</f>
        <v>-170.03529019185333</v>
      </c>
      <c r="T454">
        <f t="shared" ref="T454:T517" si="983">S454/1000</f>
        <v>-0.17003529019185334</v>
      </c>
    </row>
    <row r="455" spans="1:20" x14ac:dyDescent="0.25">
      <c r="A455" s="5">
        <v>44138</v>
      </c>
      <c r="B455">
        <v>0.38030000000000003</v>
      </c>
      <c r="C455">
        <v>0.38109999999999999</v>
      </c>
      <c r="D455">
        <v>0.35799999999999998</v>
      </c>
      <c r="E455">
        <v>0.36770000000000003</v>
      </c>
      <c r="F455">
        <v>2010577.46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-0.16017316017315689</v>
      </c>
      <c r="Q455">
        <f t="shared" si="980"/>
        <v>-322040.54554111895</v>
      </c>
      <c r="R455">
        <f t="shared" si="981"/>
        <v>-19198837.890442815</v>
      </c>
      <c r="S455">
        <f t="shared" si="982"/>
        <v>-191.98837890442815</v>
      </c>
      <c r="T455">
        <f t="shared" si="983"/>
        <v>-0.19198837890442816</v>
      </c>
    </row>
    <row r="456" spans="1:20" x14ac:dyDescent="0.25">
      <c r="A456" s="5">
        <v>44137</v>
      </c>
      <c r="B456">
        <v>0.39539999999999997</v>
      </c>
      <c r="C456">
        <v>0.41289999999999999</v>
      </c>
      <c r="D456">
        <v>0.38030000000000003</v>
      </c>
      <c r="E456">
        <v>0.38140000000000002</v>
      </c>
      <c r="F456">
        <v>2476387.3199999998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-0.93251533742331338</v>
      </c>
      <c r="Q456">
        <f t="shared" si="980"/>
        <v>-2309269.1573006148</v>
      </c>
      <c r="R456">
        <f t="shared" si="981"/>
        <v>-18876797.344901696</v>
      </c>
      <c r="S456">
        <f t="shared" si="982"/>
        <v>-188.76797344901695</v>
      </c>
      <c r="T456">
        <f t="shared" si="983"/>
        <v>-0.18876797344901694</v>
      </c>
    </row>
    <row r="457" spans="1:20" x14ac:dyDescent="0.25">
      <c r="A457" s="5">
        <v>44136</v>
      </c>
      <c r="B457">
        <v>0.40460000000000002</v>
      </c>
      <c r="C457">
        <v>0.40899999999999997</v>
      </c>
      <c r="D457">
        <v>0.38669999999999999</v>
      </c>
      <c r="E457">
        <v>0.39529999999999998</v>
      </c>
      <c r="F457">
        <v>1312816.7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-0.22869955156950658</v>
      </c>
      <c r="Q457">
        <f t="shared" si="980"/>
        <v>-300240.59058295941</v>
      </c>
      <c r="R457">
        <f t="shared" si="981"/>
        <v>-16567528.18760108</v>
      </c>
      <c r="S457">
        <f t="shared" si="982"/>
        <v>-165.67528187601081</v>
      </c>
      <c r="T457">
        <f t="shared" si="983"/>
        <v>-0.16567528187601083</v>
      </c>
    </row>
    <row r="458" spans="1:20" x14ac:dyDescent="0.25">
      <c r="A458" s="5">
        <v>44135</v>
      </c>
      <c r="B458">
        <v>0.39350000000000002</v>
      </c>
      <c r="C458">
        <v>0.45</v>
      </c>
      <c r="D458">
        <v>0.39019999999999999</v>
      </c>
      <c r="E458">
        <v>0.40560000000000002</v>
      </c>
      <c r="F458">
        <v>3115138.94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-0.48494983277591908</v>
      </c>
      <c r="Q458">
        <f t="shared" si="980"/>
        <v>-1510686.1080267539</v>
      </c>
      <c r="R458">
        <f t="shared" si="981"/>
        <v>-16267287.597018121</v>
      </c>
      <c r="S458">
        <f t="shared" si="982"/>
        <v>-162.6728759701812</v>
      </c>
      <c r="T458">
        <f t="shared" si="983"/>
        <v>-0.16267287597018121</v>
      </c>
    </row>
    <row r="459" spans="1:20" x14ac:dyDescent="0.25">
      <c r="A459" s="5">
        <v>44134</v>
      </c>
      <c r="B459">
        <v>0.39650000000000002</v>
      </c>
      <c r="C459">
        <v>0.40100000000000002</v>
      </c>
      <c r="D459">
        <v>0.3664</v>
      </c>
      <c r="E459">
        <v>0.39379999999999998</v>
      </c>
      <c r="F459">
        <v>2619347.17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0.58381502890173209</v>
      </c>
      <c r="Q459">
        <f t="shared" si="980"/>
        <v>1529214.2437572202</v>
      </c>
      <c r="R459">
        <f t="shared" si="981"/>
        <v>-14756601.488991367</v>
      </c>
      <c r="S459">
        <f t="shared" si="982"/>
        <v>-147.56601488991367</v>
      </c>
      <c r="T459">
        <f t="shared" si="983"/>
        <v>-0.14756601488991367</v>
      </c>
    </row>
    <row r="460" spans="1:20" x14ac:dyDescent="0.25">
      <c r="A460" s="5">
        <v>44133</v>
      </c>
      <c r="B460">
        <v>0.40300000000000002</v>
      </c>
      <c r="C460">
        <v>0.4153</v>
      </c>
      <c r="D460">
        <v>0.3846</v>
      </c>
      <c r="E460">
        <v>0.39650000000000002</v>
      </c>
      <c r="F460">
        <v>2820012.82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-0.22475570032573161</v>
      </c>
      <c r="Q460">
        <f t="shared" si="980"/>
        <v>-633813.9562866413</v>
      </c>
      <c r="R460">
        <f t="shared" si="981"/>
        <v>-16285815.732748587</v>
      </c>
      <c r="S460">
        <f t="shared" si="982"/>
        <v>-162.85815732748586</v>
      </c>
      <c r="T460">
        <f t="shared" si="983"/>
        <v>-0.16285815732748585</v>
      </c>
    </row>
    <row r="461" spans="1:20" x14ac:dyDescent="0.25">
      <c r="A461" s="5">
        <v>44132</v>
      </c>
      <c r="B461">
        <v>0.43780000000000002</v>
      </c>
      <c r="C461">
        <v>0.4582</v>
      </c>
      <c r="D461">
        <v>0.39040000000000002</v>
      </c>
      <c r="E461">
        <v>0.40329999999999999</v>
      </c>
      <c r="F461">
        <v>3633688.87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-0.61946902654867342</v>
      </c>
      <c r="Q461">
        <f t="shared" si="980"/>
        <v>-2250957.707079649</v>
      </c>
      <c r="R461">
        <f t="shared" si="981"/>
        <v>-15652001.776461946</v>
      </c>
      <c r="S461">
        <f t="shared" si="982"/>
        <v>-156.52001776461947</v>
      </c>
      <c r="T461">
        <f t="shared" si="983"/>
        <v>-0.15652001776461946</v>
      </c>
    </row>
    <row r="462" spans="1:20" x14ac:dyDescent="0.25">
      <c r="A462" s="5">
        <v>44131</v>
      </c>
      <c r="B462">
        <v>0.44309999999999999</v>
      </c>
      <c r="C462">
        <v>0.45989999999999998</v>
      </c>
      <c r="D462">
        <v>0.41320000000000001</v>
      </c>
      <c r="E462">
        <v>0.43769999999999998</v>
      </c>
      <c r="F462">
        <v>5513712.0300000003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4.9250535331905147E-2</v>
      </c>
      <c r="Q462">
        <f t="shared" si="980"/>
        <v>271553.26914346544</v>
      </c>
      <c r="R462">
        <f t="shared" si="981"/>
        <v>-13401044.069382297</v>
      </c>
      <c r="S462">
        <f t="shared" si="982"/>
        <v>-134.01044069382297</v>
      </c>
      <c r="T462">
        <f t="shared" si="983"/>
        <v>-0.13401044069382298</v>
      </c>
    </row>
    <row r="463" spans="1:20" x14ac:dyDescent="0.25">
      <c r="A463" s="5">
        <v>44130</v>
      </c>
      <c r="B463">
        <v>0.4662</v>
      </c>
      <c r="C463">
        <v>0.505</v>
      </c>
      <c r="D463">
        <v>0.43730000000000002</v>
      </c>
      <c r="E463">
        <v>0.4425</v>
      </c>
      <c r="F463">
        <v>3094084.35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-0.84638109305760756</v>
      </c>
      <c r="Q463">
        <f t="shared" si="980"/>
        <v>-2618774.4941654373</v>
      </c>
      <c r="R463">
        <f t="shared" si="981"/>
        <v>-13672597.338525763</v>
      </c>
      <c r="S463">
        <f t="shared" si="982"/>
        <v>-136.72597338525762</v>
      </c>
      <c r="T463">
        <f t="shared" si="983"/>
        <v>-0.1367259733852576</v>
      </c>
    </row>
    <row r="464" spans="1:20" x14ac:dyDescent="0.25">
      <c r="A464" s="5">
        <v>44129</v>
      </c>
      <c r="B464">
        <v>0.49690000000000001</v>
      </c>
      <c r="C464">
        <v>0.49859999999999999</v>
      </c>
      <c r="D464">
        <v>0.45889999999999997</v>
      </c>
      <c r="E464">
        <v>0.46589999999999998</v>
      </c>
      <c r="F464">
        <v>1692889.61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-0.64735516372795954</v>
      </c>
      <c r="Q464">
        <f t="shared" si="980"/>
        <v>-1095900.8306549117</v>
      </c>
      <c r="R464">
        <f t="shared" si="981"/>
        <v>-11053822.844360325</v>
      </c>
      <c r="S464">
        <f t="shared" si="982"/>
        <v>-110.53822844360326</v>
      </c>
      <c r="T464">
        <f t="shared" si="983"/>
        <v>-0.11053822844360325</v>
      </c>
    </row>
    <row r="465" spans="1:20" x14ac:dyDescent="0.25">
      <c r="A465" s="5">
        <v>44128</v>
      </c>
      <c r="B465">
        <v>0.49840000000000001</v>
      </c>
      <c r="C465">
        <v>0.51549999999999996</v>
      </c>
      <c r="D465">
        <v>0.48799999999999999</v>
      </c>
      <c r="E465">
        <v>0.4975</v>
      </c>
      <c r="F465">
        <v>925431.71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-0.3090909090909077</v>
      </c>
      <c r="Q465">
        <f t="shared" si="980"/>
        <v>-286042.52854545321</v>
      </c>
      <c r="R465">
        <f t="shared" si="981"/>
        <v>-9957922.0137054138</v>
      </c>
      <c r="S465">
        <f t="shared" si="982"/>
        <v>-99.579220137054136</v>
      </c>
      <c r="T465">
        <f t="shared" si="983"/>
        <v>-9.9579220137054142E-2</v>
      </c>
    </row>
    <row r="466" spans="1:20" x14ac:dyDescent="0.25">
      <c r="A466" s="5">
        <v>44127</v>
      </c>
      <c r="B466">
        <v>0.51570000000000005</v>
      </c>
      <c r="C466">
        <v>0.52080000000000004</v>
      </c>
      <c r="D466">
        <v>0.48380000000000001</v>
      </c>
      <c r="E466">
        <v>0.49880000000000002</v>
      </c>
      <c r="F466">
        <v>1238153.67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-0.1891891891891892</v>
      </c>
      <c r="Q466">
        <f t="shared" si="980"/>
        <v>-234245.28891891893</v>
      </c>
      <c r="R466">
        <f t="shared" si="981"/>
        <v>-9671879.4851599596</v>
      </c>
      <c r="S466">
        <f t="shared" si="982"/>
        <v>-96.718794851599597</v>
      </c>
      <c r="T466">
        <f t="shared" si="983"/>
        <v>-9.6718794851599593E-2</v>
      </c>
    </row>
    <row r="467" spans="1:20" x14ac:dyDescent="0.25">
      <c r="A467" s="5">
        <v>44126</v>
      </c>
      <c r="B467">
        <v>0.48970000000000002</v>
      </c>
      <c r="C467">
        <v>0.53910000000000002</v>
      </c>
      <c r="D467">
        <v>0.48849999999999999</v>
      </c>
      <c r="E467">
        <v>0.51549999999999996</v>
      </c>
      <c r="F467">
        <v>2110080.02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6.7193675889326107E-2</v>
      </c>
      <c r="Q467">
        <f t="shared" si="980"/>
        <v>141784.03296442275</v>
      </c>
      <c r="R467">
        <f t="shared" si="981"/>
        <v>-9437634.1962410398</v>
      </c>
      <c r="S467">
        <f t="shared" si="982"/>
        <v>-94.376341962410393</v>
      </c>
      <c r="T467">
        <f t="shared" si="983"/>
        <v>-9.437634196241039E-2</v>
      </c>
    </row>
    <row r="468" spans="1:20" x14ac:dyDescent="0.25">
      <c r="A468" s="5">
        <v>44125</v>
      </c>
      <c r="B468">
        <v>0.47099999999999997</v>
      </c>
      <c r="C468">
        <v>0.52600000000000002</v>
      </c>
      <c r="D468">
        <v>0.46860000000000002</v>
      </c>
      <c r="E468">
        <v>0.4899</v>
      </c>
      <c r="F468">
        <v>2653515.09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-0.257839721254356</v>
      </c>
      <c r="Q468">
        <f t="shared" si="980"/>
        <v>-684181.59114982735</v>
      </c>
      <c r="R468">
        <f t="shared" si="981"/>
        <v>-9579418.2292054631</v>
      </c>
      <c r="S468">
        <f t="shared" si="982"/>
        <v>-95.794182292054629</v>
      </c>
      <c r="T468">
        <f t="shared" si="983"/>
        <v>-9.5794182292054622E-2</v>
      </c>
    </row>
    <row r="469" spans="1:20" x14ac:dyDescent="0.25">
      <c r="A469" s="5">
        <v>44124</v>
      </c>
      <c r="B469">
        <v>0.55800000000000005</v>
      </c>
      <c r="C469">
        <v>0.55830000000000002</v>
      </c>
      <c r="D469">
        <v>0.46350000000000002</v>
      </c>
      <c r="E469">
        <v>0.47070000000000001</v>
      </c>
      <c r="F469">
        <v>5315437.09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-0.84810126582278511</v>
      </c>
      <c r="Q469">
        <f t="shared" si="980"/>
        <v>-4508028.9244303815</v>
      </c>
      <c r="R469">
        <f t="shared" si="981"/>
        <v>-8895236.6380556356</v>
      </c>
      <c r="S469">
        <f t="shared" si="982"/>
        <v>-88.952366380556356</v>
      </c>
      <c r="T469">
        <f t="shared" si="983"/>
        <v>-8.8952366380556355E-2</v>
      </c>
    </row>
    <row r="470" spans="1:20" x14ac:dyDescent="0.25">
      <c r="A470" s="5">
        <v>44123</v>
      </c>
      <c r="B470">
        <v>0.57079999999999997</v>
      </c>
      <c r="C470">
        <v>0.58909999999999996</v>
      </c>
      <c r="D470">
        <v>0.53949999999999998</v>
      </c>
      <c r="E470">
        <v>0.55989999999999995</v>
      </c>
      <c r="F470">
        <v>2401061.91</v>
      </c>
      <c r="G470">
        <v>0</v>
      </c>
      <c r="L470" t="s">
        <v>7</v>
      </c>
      <c r="M470" t="s">
        <v>8</v>
      </c>
      <c r="N470" t="s">
        <v>8</v>
      </c>
      <c r="P470">
        <f t="shared" si="979"/>
        <v>-0.17741935483871035</v>
      </c>
      <c r="Q470">
        <f t="shared" si="980"/>
        <v>-425994.85500000167</v>
      </c>
      <c r="R470">
        <f t="shared" si="981"/>
        <v>-4387207.7136252541</v>
      </c>
      <c r="S470">
        <f t="shared" si="982"/>
        <v>-43.872077136252543</v>
      </c>
      <c r="T470">
        <f t="shared" si="983"/>
        <v>-4.3872077136252539E-2</v>
      </c>
    </row>
    <row r="471" spans="1:20" x14ac:dyDescent="0.25">
      <c r="A471" s="5">
        <v>44122</v>
      </c>
      <c r="B471">
        <v>0.50509999999999999</v>
      </c>
      <c r="C471">
        <v>0.59799999999999998</v>
      </c>
      <c r="D471">
        <v>0.50170000000000003</v>
      </c>
      <c r="E471">
        <v>0.57010000000000005</v>
      </c>
      <c r="F471">
        <v>3154021.86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0.42056074766355261</v>
      </c>
      <c r="Q471">
        <f t="shared" si="980"/>
        <v>1326457.7915887889</v>
      </c>
      <c r="R471">
        <f t="shared" si="981"/>
        <v>-3961212.8586252527</v>
      </c>
      <c r="S471">
        <f t="shared" si="982"/>
        <v>-39.612128586252524</v>
      </c>
      <c r="T471">
        <f t="shared" si="983"/>
        <v>-3.9612128586252522E-2</v>
      </c>
    </row>
    <row r="472" spans="1:20" x14ac:dyDescent="0.25">
      <c r="A472" s="5">
        <v>44121</v>
      </c>
      <c r="B472">
        <v>0.49959999999999999</v>
      </c>
      <c r="C472">
        <v>0.52810000000000001</v>
      </c>
      <c r="D472">
        <v>0.48909999999999998</v>
      </c>
      <c r="E472">
        <v>0.50490000000000002</v>
      </c>
      <c r="F472">
        <v>1891617.67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-0.1897435897435886</v>
      </c>
      <c r="Q472">
        <f t="shared" si="980"/>
        <v>-358922.32712820295</v>
      </c>
      <c r="R472">
        <f t="shared" si="981"/>
        <v>-5287670.6502140416</v>
      </c>
      <c r="S472">
        <f t="shared" si="982"/>
        <v>-52.876706502140415</v>
      </c>
      <c r="T472">
        <f t="shared" si="983"/>
        <v>-5.2876706502140415E-2</v>
      </c>
    </row>
    <row r="473" spans="1:20" x14ac:dyDescent="0.25">
      <c r="A473" s="5">
        <v>44120</v>
      </c>
      <c r="B473">
        <v>0.53090000000000004</v>
      </c>
      <c r="C473">
        <v>0.54139999999999999</v>
      </c>
      <c r="D473">
        <v>0.49540000000000001</v>
      </c>
      <c r="E473">
        <v>0.49930000000000002</v>
      </c>
      <c r="F473">
        <v>1862544.3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-0.83043478260869497</v>
      </c>
      <c r="Q473">
        <f t="shared" si="980"/>
        <v>-1546721.5708695641</v>
      </c>
      <c r="R473">
        <f t="shared" si="981"/>
        <v>-4928748.3230858389</v>
      </c>
      <c r="S473">
        <f t="shared" si="982"/>
        <v>-49.287483230858392</v>
      </c>
      <c r="T473">
        <f t="shared" si="983"/>
        <v>-4.9287483230858395E-2</v>
      </c>
    </row>
    <row r="474" spans="1:20" x14ac:dyDescent="0.25">
      <c r="A474" s="5">
        <v>44119</v>
      </c>
      <c r="B474">
        <v>0.55800000000000005</v>
      </c>
      <c r="C474">
        <v>0.55800000000000005</v>
      </c>
      <c r="D474">
        <v>0.5081</v>
      </c>
      <c r="E474">
        <v>0.53210000000000002</v>
      </c>
      <c r="F474">
        <v>3632128.98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-3.807615230460943E-2</v>
      </c>
      <c r="Q474">
        <f t="shared" si="980"/>
        <v>-138297.4962324657</v>
      </c>
      <c r="R474">
        <f t="shared" si="981"/>
        <v>-3382026.7522162744</v>
      </c>
      <c r="S474">
        <f t="shared" si="982"/>
        <v>-33.820267522162744</v>
      </c>
      <c r="T474">
        <f t="shared" si="983"/>
        <v>-3.3820267522162745E-2</v>
      </c>
    </row>
    <row r="475" spans="1:20" x14ac:dyDescent="0.25">
      <c r="A475" s="5">
        <v>44118</v>
      </c>
      <c r="B475">
        <v>0.57750000000000001</v>
      </c>
      <c r="C475">
        <v>0.63</v>
      </c>
      <c r="D475">
        <v>0.53800000000000003</v>
      </c>
      <c r="E475">
        <v>0.55800000000000005</v>
      </c>
      <c r="F475">
        <v>5938169.0199999996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-0.56521739130434734</v>
      </c>
      <c r="Q475">
        <f t="shared" si="980"/>
        <v>-3356356.4026086926</v>
      </c>
      <c r="R475">
        <f t="shared" si="981"/>
        <v>-3243729.2559838085</v>
      </c>
      <c r="S475">
        <f t="shared" si="982"/>
        <v>-32.437292559838085</v>
      </c>
      <c r="T475">
        <f t="shared" si="983"/>
        <v>-3.2437292559838085E-2</v>
      </c>
    </row>
    <row r="476" spans="1:20" x14ac:dyDescent="0.25">
      <c r="A476" s="5">
        <v>44117</v>
      </c>
      <c r="B476">
        <v>0.58299999999999996</v>
      </c>
      <c r="C476">
        <v>0.62</v>
      </c>
      <c r="D476">
        <v>0.53600000000000003</v>
      </c>
      <c r="E476">
        <v>0.57730000000000004</v>
      </c>
      <c r="F476">
        <v>9489702.6400000006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-1.666666666666616E-2</v>
      </c>
      <c r="Q476">
        <f t="shared" si="980"/>
        <v>-158161.71066666188</v>
      </c>
      <c r="R476">
        <f t="shared" si="981"/>
        <v>112627.14662488431</v>
      </c>
      <c r="S476">
        <f t="shared" si="982"/>
        <v>1.1262714662488431</v>
      </c>
      <c r="T476">
        <f t="shared" si="983"/>
        <v>1.126271466248843E-3</v>
      </c>
    </row>
    <row r="477" spans="1:20" x14ac:dyDescent="0.25">
      <c r="A477" s="5">
        <v>44116</v>
      </c>
      <c r="B477">
        <v>0.53869999999999996</v>
      </c>
      <c r="C477">
        <v>0.60399999999999998</v>
      </c>
      <c r="D477">
        <v>0.53459999999999996</v>
      </c>
      <c r="E477">
        <v>0.58199999999999996</v>
      </c>
      <c r="F477">
        <v>10474538.119999999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0.36599423631123879</v>
      </c>
      <c r="Q477">
        <f t="shared" si="980"/>
        <v>3833620.5799423587</v>
      </c>
      <c r="R477">
        <f t="shared" si="981"/>
        <v>270788.85729154618</v>
      </c>
      <c r="S477">
        <f t="shared" si="982"/>
        <v>2.7078885729154618</v>
      </c>
      <c r="T477">
        <f t="shared" si="983"/>
        <v>2.7078885729154619E-3</v>
      </c>
    </row>
    <row r="478" spans="1:20" x14ac:dyDescent="0.25">
      <c r="A478" s="5">
        <v>44115</v>
      </c>
      <c r="B478">
        <v>0.53510000000000002</v>
      </c>
      <c r="C478">
        <v>0.57699999999999996</v>
      </c>
      <c r="D478">
        <v>0.49980000000000002</v>
      </c>
      <c r="E478">
        <v>0.53839999999999999</v>
      </c>
      <c r="F478">
        <v>4875297.79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</v>
      </c>
      <c r="Q478">
        <f t="shared" si="980"/>
        <v>0</v>
      </c>
      <c r="R478">
        <f t="shared" si="981"/>
        <v>-3562831.7226508125</v>
      </c>
      <c r="S478">
        <f t="shared" si="982"/>
        <v>-35.628317226508123</v>
      </c>
      <c r="T478">
        <f t="shared" si="983"/>
        <v>-3.5628317226508124E-2</v>
      </c>
    </row>
    <row r="479" spans="1:20" x14ac:dyDescent="0.25">
      <c r="A479" s="5">
        <v>44114</v>
      </c>
      <c r="B479">
        <v>0.4834</v>
      </c>
      <c r="C479">
        <v>0.58120000000000005</v>
      </c>
      <c r="D479">
        <v>0.48</v>
      </c>
      <c r="E479">
        <v>0.53610000000000002</v>
      </c>
      <c r="F479">
        <v>5217447.2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0.10869565217391307</v>
      </c>
      <c r="Q479">
        <f t="shared" si="980"/>
        <v>567113.82608695666</v>
      </c>
      <c r="R479">
        <f t="shared" si="981"/>
        <v>-3562831.7226508125</v>
      </c>
      <c r="S479">
        <f t="shared" si="982"/>
        <v>-35.628317226508123</v>
      </c>
      <c r="T479">
        <f t="shared" si="983"/>
        <v>-3.5628317226508124E-2</v>
      </c>
    </row>
    <row r="480" spans="1:20" x14ac:dyDescent="0.25">
      <c r="A480" s="5">
        <v>44113</v>
      </c>
      <c r="B480">
        <v>0.47789999999999999</v>
      </c>
      <c r="C480">
        <v>0.57099999999999995</v>
      </c>
      <c r="D480">
        <v>0.47</v>
      </c>
      <c r="E480">
        <v>0.48499999999999999</v>
      </c>
      <c r="F480">
        <v>8353536.0800000001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-0.7029702970297026</v>
      </c>
      <c r="Q480">
        <f t="shared" si="980"/>
        <v>-5872287.7394059375</v>
      </c>
      <c r="R480">
        <f t="shared" si="981"/>
        <v>-4129945.548737769</v>
      </c>
      <c r="S480">
        <f t="shared" si="982"/>
        <v>-41.299455487377692</v>
      </c>
      <c r="T480">
        <f t="shared" si="983"/>
        <v>-4.1299455487377693E-2</v>
      </c>
    </row>
    <row r="481" spans="1:20" x14ac:dyDescent="0.25">
      <c r="A481" s="5">
        <v>44112</v>
      </c>
      <c r="B481">
        <v>0.43680000000000002</v>
      </c>
      <c r="C481">
        <v>0.48</v>
      </c>
      <c r="D481">
        <v>0.40239999999999998</v>
      </c>
      <c r="E481">
        <v>0.47789999999999999</v>
      </c>
      <c r="F481">
        <v>3877124.4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0.94587628865979401</v>
      </c>
      <c r="Q481">
        <f t="shared" si="980"/>
        <v>3667280.0381443305</v>
      </c>
      <c r="R481">
        <f t="shared" si="981"/>
        <v>1742342.1906681685</v>
      </c>
      <c r="S481">
        <f t="shared" si="982"/>
        <v>17.423421906681686</v>
      </c>
      <c r="T481">
        <f t="shared" si="983"/>
        <v>1.7423421906681686E-2</v>
      </c>
    </row>
    <row r="482" spans="1:20" x14ac:dyDescent="0.25">
      <c r="A482" s="5">
        <v>44111</v>
      </c>
      <c r="B482">
        <v>0.38119999999999998</v>
      </c>
      <c r="C482">
        <v>0.44469999999999998</v>
      </c>
      <c r="D482">
        <v>0.37340000000000001</v>
      </c>
      <c r="E482">
        <v>0.435</v>
      </c>
      <c r="F482">
        <v>5601375.4100000001</v>
      </c>
      <c r="G482">
        <v>0</v>
      </c>
      <c r="L482" t="s">
        <v>8</v>
      </c>
      <c r="M482" t="s">
        <v>8</v>
      </c>
      <c r="N482" t="s">
        <v>7</v>
      </c>
      <c r="P482">
        <f t="shared" si="979"/>
        <v>0.7279102384291728</v>
      </c>
      <c r="Q482">
        <f t="shared" si="980"/>
        <v>4077298.5102244057</v>
      </c>
      <c r="R482">
        <f t="shared" si="981"/>
        <v>-1924937.847476162</v>
      </c>
      <c r="S482">
        <f t="shared" si="982"/>
        <v>-19.24937847476162</v>
      </c>
      <c r="T482">
        <f t="shared" si="983"/>
        <v>-1.924937847476162E-2</v>
      </c>
    </row>
    <row r="483" spans="1:20" x14ac:dyDescent="0.25">
      <c r="A483" s="5">
        <v>44110</v>
      </c>
      <c r="B483">
        <v>0.41160000000000002</v>
      </c>
      <c r="C483">
        <v>0.4138</v>
      </c>
      <c r="D483">
        <v>0.35</v>
      </c>
      <c r="E483">
        <v>0.38350000000000001</v>
      </c>
      <c r="F483">
        <v>6146283.1399999997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5.0156739811912772E-2</v>
      </c>
      <c r="Q483">
        <f t="shared" si="980"/>
        <v>308277.52426332625</v>
      </c>
      <c r="R483">
        <f t="shared" si="981"/>
        <v>-6002236.3577005677</v>
      </c>
      <c r="S483">
        <f t="shared" si="982"/>
        <v>-60.022363577005677</v>
      </c>
      <c r="T483">
        <f t="shared" si="983"/>
        <v>-6.0022363577005675E-2</v>
      </c>
    </row>
    <row r="484" spans="1:20" x14ac:dyDescent="0.25">
      <c r="A484" s="5">
        <v>44109</v>
      </c>
      <c r="B484">
        <v>0.45429999999999998</v>
      </c>
      <c r="C484">
        <v>0.47</v>
      </c>
      <c r="D484">
        <v>0.4083</v>
      </c>
      <c r="E484">
        <v>0.4113</v>
      </c>
      <c r="F484">
        <v>2612288.79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-0.90275526742301448</v>
      </c>
      <c r="Q484">
        <f t="shared" si="980"/>
        <v>-2358257.4652025928</v>
      </c>
      <c r="R484">
        <f t="shared" si="981"/>
        <v>-6310513.8819638938</v>
      </c>
      <c r="S484">
        <f t="shared" si="982"/>
        <v>-63.105138819638938</v>
      </c>
      <c r="T484">
        <f t="shared" si="983"/>
        <v>-6.3105138819638945E-2</v>
      </c>
    </row>
    <row r="485" spans="1:20" x14ac:dyDescent="0.25">
      <c r="A485" s="5">
        <v>44108</v>
      </c>
      <c r="B485">
        <v>0.45660000000000001</v>
      </c>
      <c r="C485">
        <v>0.46229999999999999</v>
      </c>
      <c r="D485">
        <v>0.43099999999999999</v>
      </c>
      <c r="E485">
        <v>0.45429999999999998</v>
      </c>
      <c r="F485">
        <v>2216882.39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0.48881789137380138</v>
      </c>
      <c r="Q485">
        <f t="shared" si="980"/>
        <v>1083651.7753035133</v>
      </c>
      <c r="R485">
        <f t="shared" si="981"/>
        <v>-3952256.416761301</v>
      </c>
      <c r="S485">
        <f t="shared" si="982"/>
        <v>-39.522564167613012</v>
      </c>
      <c r="T485">
        <f t="shared" si="983"/>
        <v>-3.952256416761301E-2</v>
      </c>
    </row>
    <row r="486" spans="1:20" x14ac:dyDescent="0.25">
      <c r="A486" s="5">
        <v>44107</v>
      </c>
      <c r="B486">
        <v>0.45900000000000002</v>
      </c>
      <c r="C486">
        <v>0.49990000000000001</v>
      </c>
      <c r="D486">
        <v>0.4536</v>
      </c>
      <c r="E486">
        <v>0.4592</v>
      </c>
      <c r="F486">
        <v>3736864.7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-0.75809935205183621</v>
      </c>
      <c r="Q486">
        <f t="shared" si="980"/>
        <v>-2832914.7077753795</v>
      </c>
      <c r="R486">
        <f t="shared" si="981"/>
        <v>-5035908.1920648143</v>
      </c>
      <c r="S486">
        <f t="shared" si="982"/>
        <v>-50.359081920648144</v>
      </c>
      <c r="T486">
        <f t="shared" si="983"/>
        <v>-5.0359081920648141E-2</v>
      </c>
    </row>
    <row r="487" spans="1:20" x14ac:dyDescent="0.25">
      <c r="A487" s="5">
        <v>44106</v>
      </c>
      <c r="B487">
        <v>0.48359999999999997</v>
      </c>
      <c r="C487">
        <v>0.48709999999999998</v>
      </c>
      <c r="D487">
        <v>0.40400000000000003</v>
      </c>
      <c r="E487">
        <v>0.45729999999999998</v>
      </c>
      <c r="F487">
        <v>5288633.24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0.28279181708784573</v>
      </c>
      <c r="Q487">
        <f t="shared" si="980"/>
        <v>1495582.2038507811</v>
      </c>
      <c r="R487">
        <f t="shared" si="981"/>
        <v>-2202993.4842894352</v>
      </c>
      <c r="S487">
        <f t="shared" si="982"/>
        <v>-22.029934842894352</v>
      </c>
      <c r="T487">
        <f t="shared" si="983"/>
        <v>-2.2029934842894353E-2</v>
      </c>
    </row>
    <row r="488" spans="1:20" x14ac:dyDescent="0.25">
      <c r="A488" s="5">
        <v>44105</v>
      </c>
      <c r="B488">
        <v>0.48699999999999999</v>
      </c>
      <c r="C488">
        <v>0.54669999999999996</v>
      </c>
      <c r="D488">
        <v>0.45660000000000001</v>
      </c>
      <c r="E488">
        <v>0.48270000000000002</v>
      </c>
      <c r="F488">
        <v>5587497.0099999998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-0.4206437291897886</v>
      </c>
      <c r="Q488">
        <f t="shared" si="980"/>
        <v>-2350345.5791231934</v>
      </c>
      <c r="R488">
        <f t="shared" si="981"/>
        <v>-3698575.6881402163</v>
      </c>
      <c r="S488">
        <f t="shared" si="982"/>
        <v>-36.98575688140216</v>
      </c>
      <c r="T488">
        <f t="shared" si="983"/>
        <v>-3.6985756881402161E-2</v>
      </c>
    </row>
    <row r="489" spans="1:20" x14ac:dyDescent="0.25">
      <c r="A489" s="5">
        <v>44104</v>
      </c>
      <c r="B489">
        <v>0.53080000000000005</v>
      </c>
      <c r="C489">
        <v>0.53149999999999997</v>
      </c>
      <c r="D489">
        <v>0.46250000000000002</v>
      </c>
      <c r="E489">
        <v>0.48480000000000001</v>
      </c>
      <c r="F489">
        <v>5230001.54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-0.35362318840579704</v>
      </c>
      <c r="Q489">
        <f t="shared" si="980"/>
        <v>-1849449.8199420287</v>
      </c>
      <c r="R489">
        <f t="shared" si="981"/>
        <v>-1348230.1090170227</v>
      </c>
      <c r="S489">
        <f t="shared" si="982"/>
        <v>-13.482301090170226</v>
      </c>
      <c r="T489">
        <f t="shared" si="983"/>
        <v>-1.3482301090170226E-2</v>
      </c>
    </row>
    <row r="490" spans="1:20" x14ac:dyDescent="0.25">
      <c r="A490" s="5">
        <v>44103</v>
      </c>
      <c r="B490">
        <v>0.55389999999999995</v>
      </c>
      <c r="C490">
        <v>0.58089999999999997</v>
      </c>
      <c r="D490">
        <v>0.50419999999999998</v>
      </c>
      <c r="E490">
        <v>0.53100000000000003</v>
      </c>
      <c r="F490">
        <v>4187982.55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-0.30117340286831684</v>
      </c>
      <c r="Q490">
        <f t="shared" si="980"/>
        <v>-1261308.9557366308</v>
      </c>
      <c r="R490">
        <f t="shared" si="981"/>
        <v>501219.71092500607</v>
      </c>
      <c r="S490">
        <f t="shared" si="982"/>
        <v>5.012197109250061</v>
      </c>
      <c r="T490">
        <f t="shared" si="983"/>
        <v>5.0121971092500607E-3</v>
      </c>
    </row>
    <row r="491" spans="1:20" x14ac:dyDescent="0.25">
      <c r="A491" s="5">
        <v>44102</v>
      </c>
      <c r="B491">
        <v>0.63139999999999996</v>
      </c>
      <c r="C491">
        <v>0.63629999999999998</v>
      </c>
      <c r="D491">
        <v>0.54039999999999999</v>
      </c>
      <c r="E491">
        <v>0.55369999999999997</v>
      </c>
      <c r="F491">
        <v>5145080.99</v>
      </c>
      <c r="G491">
        <v>0</v>
      </c>
      <c r="L491" t="s">
        <v>7</v>
      </c>
      <c r="M491" t="s">
        <v>8</v>
      </c>
      <c r="N491" t="s">
        <v>8</v>
      </c>
      <c r="P491">
        <f t="shared" si="979"/>
        <v>-0.72262773722627782</v>
      </c>
      <c r="Q491">
        <f t="shared" si="980"/>
        <v>-3717978.2336496376</v>
      </c>
      <c r="R491">
        <f t="shared" si="981"/>
        <v>1762528.6666616369</v>
      </c>
      <c r="S491">
        <f t="shared" si="982"/>
        <v>17.625286666616368</v>
      </c>
      <c r="T491">
        <f t="shared" si="983"/>
        <v>1.7625286666616367E-2</v>
      </c>
    </row>
    <row r="492" spans="1:20" x14ac:dyDescent="0.25">
      <c r="A492" s="5">
        <v>44101</v>
      </c>
      <c r="B492">
        <v>0.53039999999999998</v>
      </c>
      <c r="C492">
        <v>0.63649999999999995</v>
      </c>
      <c r="D492">
        <v>0.5</v>
      </c>
      <c r="E492">
        <v>0.63160000000000005</v>
      </c>
      <c r="F492">
        <v>6462399.2300000004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0.92820512820512957</v>
      </c>
      <c r="Q492">
        <f t="shared" si="980"/>
        <v>5998432.1057948815</v>
      </c>
      <c r="R492">
        <f t="shared" si="981"/>
        <v>5480506.9003112745</v>
      </c>
      <c r="S492">
        <f t="shared" si="982"/>
        <v>54.805069003112742</v>
      </c>
      <c r="T492">
        <f t="shared" si="983"/>
        <v>5.4805069003112744E-2</v>
      </c>
    </row>
    <row r="493" spans="1:20" x14ac:dyDescent="0.25">
      <c r="A493" s="5">
        <v>44100</v>
      </c>
      <c r="B493">
        <v>0.48449999999999999</v>
      </c>
      <c r="C493">
        <v>0.53480000000000005</v>
      </c>
      <c r="D493">
        <v>0.44700000000000001</v>
      </c>
      <c r="E493">
        <v>0.52880000000000005</v>
      </c>
      <c r="F493">
        <v>2958461.81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0.86332574031890652</v>
      </c>
      <c r="Q493">
        <f t="shared" si="980"/>
        <v>2554116.2323234621</v>
      </c>
      <c r="R493">
        <f t="shared" si="981"/>
        <v>-517925.20548360655</v>
      </c>
      <c r="S493">
        <f t="shared" si="982"/>
        <v>-5.1792520548360654</v>
      </c>
      <c r="T493">
        <f t="shared" si="983"/>
        <v>-5.179252054836065E-3</v>
      </c>
    </row>
    <row r="494" spans="1:20" x14ac:dyDescent="0.25">
      <c r="A494" s="5">
        <v>44099</v>
      </c>
      <c r="B494">
        <v>0.39800000000000002</v>
      </c>
      <c r="C494">
        <v>0.49330000000000002</v>
      </c>
      <c r="D494">
        <v>0.38240000000000002</v>
      </c>
      <c r="E494">
        <v>0.4844</v>
      </c>
      <c r="F494">
        <v>4558872.25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0.83949504057709612</v>
      </c>
      <c r="Q494">
        <f t="shared" si="980"/>
        <v>3827150.6444995473</v>
      </c>
      <c r="R494">
        <f t="shared" si="981"/>
        <v>-3072041.4378070687</v>
      </c>
      <c r="S494">
        <f t="shared" si="982"/>
        <v>-30.720414378070686</v>
      </c>
      <c r="T494">
        <f t="shared" si="983"/>
        <v>-3.0720414378070687E-2</v>
      </c>
    </row>
    <row r="495" spans="1:20" x14ac:dyDescent="0.25">
      <c r="A495" s="5">
        <v>44098</v>
      </c>
      <c r="B495">
        <v>0.33989999999999998</v>
      </c>
      <c r="C495">
        <v>0.40529999999999999</v>
      </c>
      <c r="D495">
        <v>0.3296</v>
      </c>
      <c r="E495">
        <v>0.39739999999999998</v>
      </c>
      <c r="F495">
        <v>5716485.21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0.79128137384412101</v>
      </c>
      <c r="Q495">
        <f t="shared" si="980"/>
        <v>4523348.2705283985</v>
      </c>
      <c r="R495">
        <f t="shared" si="981"/>
        <v>-6899192.082306616</v>
      </c>
      <c r="S495">
        <f t="shared" si="982"/>
        <v>-68.991920823066167</v>
      </c>
      <c r="T495">
        <f t="shared" si="983"/>
        <v>-6.8991920823066169E-2</v>
      </c>
    </row>
    <row r="496" spans="1:20" x14ac:dyDescent="0.25">
      <c r="A496" s="5">
        <v>44097</v>
      </c>
      <c r="B496">
        <v>0.38919999999999999</v>
      </c>
      <c r="C496">
        <v>0.39240000000000003</v>
      </c>
      <c r="D496">
        <v>0.3301</v>
      </c>
      <c r="E496">
        <v>0.33889999999999998</v>
      </c>
      <c r="F496">
        <v>4213742.7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-0.71749598715890939</v>
      </c>
      <c r="Q496">
        <f t="shared" si="980"/>
        <v>-3023343.4781701481</v>
      </c>
      <c r="R496">
        <f t="shared" si="981"/>
        <v>-11422540.352835014</v>
      </c>
      <c r="S496">
        <f t="shared" si="982"/>
        <v>-114.22540352835014</v>
      </c>
      <c r="T496">
        <f t="shared" si="983"/>
        <v>-0.11422540352835014</v>
      </c>
    </row>
    <row r="497" spans="1:20" x14ac:dyDescent="0.25">
      <c r="A497" s="5">
        <v>44096</v>
      </c>
      <c r="B497">
        <v>0.38440000000000002</v>
      </c>
      <c r="C497">
        <v>0.42</v>
      </c>
      <c r="D497">
        <v>0.36</v>
      </c>
      <c r="E497">
        <v>0.38919999999999999</v>
      </c>
      <c r="F497">
        <v>4880955.09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-2.6666666666666505E-2</v>
      </c>
      <c r="Q497">
        <f t="shared" si="980"/>
        <v>-130158.80239999921</v>
      </c>
      <c r="R497">
        <f t="shared" si="981"/>
        <v>-8399196.8746648654</v>
      </c>
      <c r="S497">
        <f t="shared" si="982"/>
        <v>-83.991968746648652</v>
      </c>
      <c r="T497">
        <f t="shared" si="983"/>
        <v>-8.3991968746648646E-2</v>
      </c>
    </row>
    <row r="498" spans="1:20" x14ac:dyDescent="0.25">
      <c r="A498" s="5">
        <v>44095</v>
      </c>
      <c r="B498">
        <v>0.45300000000000001</v>
      </c>
      <c r="C498">
        <v>0.46</v>
      </c>
      <c r="D498">
        <v>0.32240000000000002</v>
      </c>
      <c r="E498">
        <v>0.38440000000000002</v>
      </c>
      <c r="F498">
        <v>11905956.9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-9.883720930232559E-2</v>
      </c>
      <c r="Q498">
        <f t="shared" si="980"/>
        <v>-1176751.5540697675</v>
      </c>
      <c r="R498">
        <f t="shared" si="981"/>
        <v>-8269038.072264866</v>
      </c>
      <c r="S498">
        <f t="shared" si="982"/>
        <v>-82.690380722648655</v>
      </c>
      <c r="T498">
        <f t="shared" si="983"/>
        <v>-8.2690380722648657E-2</v>
      </c>
    </row>
    <row r="499" spans="1:20" x14ac:dyDescent="0.25">
      <c r="A499" s="5">
        <v>44094</v>
      </c>
      <c r="B499">
        <v>0.49330000000000002</v>
      </c>
      <c r="C499">
        <v>0.52500000000000002</v>
      </c>
      <c r="D499">
        <v>0.435</v>
      </c>
      <c r="E499">
        <v>0.45150000000000001</v>
      </c>
      <c r="F499">
        <v>3044102.47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-0.63333333333333308</v>
      </c>
      <c r="Q499">
        <f t="shared" si="980"/>
        <v>-1927931.5643333327</v>
      </c>
      <c r="R499">
        <f t="shared" si="981"/>
        <v>-7092286.5181950983</v>
      </c>
      <c r="S499">
        <f t="shared" si="982"/>
        <v>-70.922865181950982</v>
      </c>
      <c r="T499">
        <f t="shared" si="983"/>
        <v>-7.0922865181950984E-2</v>
      </c>
    </row>
    <row r="500" spans="1:20" x14ac:dyDescent="0.25">
      <c r="A500" s="5">
        <v>44093</v>
      </c>
      <c r="B500">
        <v>0.52390000000000003</v>
      </c>
      <c r="C500">
        <v>0.53100000000000003</v>
      </c>
      <c r="D500">
        <v>0.47599999999999998</v>
      </c>
      <c r="E500">
        <v>0.49159999999999998</v>
      </c>
      <c r="F500">
        <v>2436864.87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-0.43272727272727313</v>
      </c>
      <c r="Q500">
        <f t="shared" si="980"/>
        <v>-1054497.889200001</v>
      </c>
      <c r="R500">
        <f t="shared" si="981"/>
        <v>-5164354.9538617656</v>
      </c>
      <c r="S500">
        <f t="shared" si="982"/>
        <v>-51.643549538617656</v>
      </c>
      <c r="T500">
        <f t="shared" si="983"/>
        <v>-5.1643549538617654E-2</v>
      </c>
    </row>
    <row r="501" spans="1:20" x14ac:dyDescent="0.25">
      <c r="A501" s="5">
        <v>44092</v>
      </c>
      <c r="B501">
        <v>0.51449999999999996</v>
      </c>
      <c r="C501">
        <v>0.55100000000000005</v>
      </c>
      <c r="D501">
        <v>0.49809999999999999</v>
      </c>
      <c r="E501">
        <v>0.52410000000000001</v>
      </c>
      <c r="F501">
        <v>3339362.72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-1.7013232514177901E-2</v>
      </c>
      <c r="Q501">
        <f t="shared" si="980"/>
        <v>-56813.35440453756</v>
      </c>
      <c r="R501">
        <f t="shared" si="981"/>
        <v>-4109857.064661765</v>
      </c>
      <c r="S501">
        <f t="shared" si="982"/>
        <v>-41.098570646617652</v>
      </c>
      <c r="T501">
        <f t="shared" si="983"/>
        <v>-4.1098570646617649E-2</v>
      </c>
    </row>
    <row r="502" spans="1:20" x14ac:dyDescent="0.25">
      <c r="A502" s="5">
        <v>44091</v>
      </c>
      <c r="B502">
        <v>0.59140000000000004</v>
      </c>
      <c r="C502">
        <v>0.61</v>
      </c>
      <c r="D502">
        <v>0.46089999999999998</v>
      </c>
      <c r="E502">
        <v>0.5171</v>
      </c>
      <c r="F502">
        <v>7198135.7199999997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-0.24614352783366836</v>
      </c>
      <c r="Q502">
        <f t="shared" si="980"/>
        <v>-1771774.5199463423</v>
      </c>
      <c r="R502">
        <f t="shared" si="981"/>
        <v>-4053043.7102572275</v>
      </c>
      <c r="S502">
        <f t="shared" si="982"/>
        <v>-40.530437102572279</v>
      </c>
      <c r="T502">
        <f t="shared" si="983"/>
        <v>-4.053043710257228E-2</v>
      </c>
    </row>
    <row r="503" spans="1:20" x14ac:dyDescent="0.25">
      <c r="A503" s="5">
        <v>44090</v>
      </c>
      <c r="B503">
        <v>0.58140000000000003</v>
      </c>
      <c r="C503">
        <v>0.64290000000000003</v>
      </c>
      <c r="D503">
        <v>0.54</v>
      </c>
      <c r="E503">
        <v>0.59199999999999997</v>
      </c>
      <c r="F503">
        <v>5647333.79</v>
      </c>
      <c r="G503">
        <v>0</v>
      </c>
      <c r="L503" t="s">
        <v>8</v>
      </c>
      <c r="M503" t="s">
        <v>8</v>
      </c>
      <c r="N503" t="s">
        <v>7</v>
      </c>
      <c r="P503">
        <f t="shared" si="979"/>
        <v>1.068999028182584E-2</v>
      </c>
      <c r="Q503">
        <f t="shared" si="980"/>
        <v>60369.943333326693</v>
      </c>
      <c r="R503">
        <f t="shared" si="981"/>
        <v>-2281269.1903108852</v>
      </c>
      <c r="S503">
        <f t="shared" si="982"/>
        <v>-22.812691903108853</v>
      </c>
      <c r="T503">
        <f t="shared" si="983"/>
        <v>-2.2812691903108851E-2</v>
      </c>
    </row>
    <row r="504" spans="1:20" x14ac:dyDescent="0.25">
      <c r="A504" s="5">
        <v>44089</v>
      </c>
      <c r="B504">
        <v>0.64290000000000003</v>
      </c>
      <c r="C504">
        <v>0.65</v>
      </c>
      <c r="D504">
        <v>0.52649999999999997</v>
      </c>
      <c r="E504">
        <v>0.58230000000000004</v>
      </c>
      <c r="F504">
        <v>4808512.58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-9.6356275303642963E-2</v>
      </c>
      <c r="Q504">
        <f t="shared" si="980"/>
        <v>-463330.36195951054</v>
      </c>
      <c r="R504">
        <f t="shared" si="981"/>
        <v>-2341639.133644212</v>
      </c>
      <c r="S504">
        <f t="shared" si="982"/>
        <v>-23.416391336442121</v>
      </c>
      <c r="T504">
        <f t="shared" si="983"/>
        <v>-2.3416391336442122E-2</v>
      </c>
    </row>
    <row r="505" spans="1:20" x14ac:dyDescent="0.25">
      <c r="A505" s="5">
        <v>44088</v>
      </c>
      <c r="B505">
        <v>0.70820000000000005</v>
      </c>
      <c r="C505">
        <v>0.71379999999999999</v>
      </c>
      <c r="D505">
        <v>0.629</v>
      </c>
      <c r="E505">
        <v>0.64290000000000003</v>
      </c>
      <c r="F505">
        <v>4410993.24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-0.67216981132075415</v>
      </c>
      <c r="Q505">
        <f t="shared" si="980"/>
        <v>-2964936.4938679221</v>
      </c>
      <c r="R505">
        <f t="shared" si="981"/>
        <v>-1878308.7716847016</v>
      </c>
      <c r="S505">
        <f t="shared" si="982"/>
        <v>-18.783087716847014</v>
      </c>
      <c r="T505">
        <f t="shared" si="983"/>
        <v>-1.8783087716847013E-2</v>
      </c>
    </row>
    <row r="506" spans="1:20" x14ac:dyDescent="0.25">
      <c r="A506" s="5">
        <v>44087</v>
      </c>
      <c r="B506">
        <v>0.79859999999999998</v>
      </c>
      <c r="C506">
        <v>0.80230000000000001</v>
      </c>
      <c r="D506">
        <v>0.65339999999999998</v>
      </c>
      <c r="E506">
        <v>0.70640000000000003</v>
      </c>
      <c r="F506">
        <v>3832413.85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-0.28811282740093974</v>
      </c>
      <c r="Q506">
        <f t="shared" si="980"/>
        <v>-1104167.5900940211</v>
      </c>
      <c r="R506">
        <f t="shared" si="981"/>
        <v>1086627.7221832206</v>
      </c>
      <c r="S506">
        <f t="shared" si="982"/>
        <v>10.866277221832206</v>
      </c>
      <c r="T506">
        <f t="shared" si="983"/>
        <v>1.0866277221832206E-2</v>
      </c>
    </row>
    <row r="507" spans="1:20" x14ac:dyDescent="0.25">
      <c r="A507" s="5">
        <v>44086</v>
      </c>
      <c r="B507">
        <v>0.74760000000000004</v>
      </c>
      <c r="C507">
        <v>0.80869999999999997</v>
      </c>
      <c r="D507">
        <v>0.69499999999999995</v>
      </c>
      <c r="E507">
        <v>0.79979999999999996</v>
      </c>
      <c r="F507">
        <v>3840095.06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0.84344766930518877</v>
      </c>
      <c r="Q507">
        <f t="shared" si="980"/>
        <v>3238919.2282673689</v>
      </c>
      <c r="R507">
        <f t="shared" si="981"/>
        <v>2190795.3122772416</v>
      </c>
      <c r="S507">
        <f t="shared" si="982"/>
        <v>21.907953122772415</v>
      </c>
      <c r="T507">
        <f t="shared" si="983"/>
        <v>2.1907953122772415E-2</v>
      </c>
    </row>
    <row r="508" spans="1:20" x14ac:dyDescent="0.25">
      <c r="A508" s="5">
        <v>44085</v>
      </c>
      <c r="B508">
        <v>0.72870000000000001</v>
      </c>
      <c r="C508">
        <v>0.76280000000000003</v>
      </c>
      <c r="D508">
        <v>0.66239999999999999</v>
      </c>
      <c r="E508">
        <v>0.74860000000000004</v>
      </c>
      <c r="F508">
        <v>2615911.7400000002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0.71713147410358602</v>
      </c>
      <c r="Q508">
        <f t="shared" si="980"/>
        <v>1875952.6422310767</v>
      </c>
      <c r="R508">
        <f t="shared" si="981"/>
        <v>-1048123.9159901275</v>
      </c>
      <c r="S508">
        <f t="shared" si="982"/>
        <v>-10.481239159901275</v>
      </c>
      <c r="T508">
        <f t="shared" si="983"/>
        <v>-1.0481239159901274E-2</v>
      </c>
    </row>
    <row r="509" spans="1:20" x14ac:dyDescent="0.25">
      <c r="A509" s="5">
        <v>44084</v>
      </c>
      <c r="B509">
        <v>0.73019999999999996</v>
      </c>
      <c r="C509">
        <v>0.82520000000000004</v>
      </c>
      <c r="D509">
        <v>0.70220000000000005</v>
      </c>
      <c r="E509">
        <v>0.72289999999999999</v>
      </c>
      <c r="F509">
        <v>2328015.8199999998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-0.66341463414634239</v>
      </c>
      <c r="Q509">
        <f t="shared" si="980"/>
        <v>-1544439.7635121972</v>
      </c>
      <c r="R509">
        <f t="shared" si="981"/>
        <v>-2924076.5582212042</v>
      </c>
      <c r="S509">
        <f t="shared" si="982"/>
        <v>-29.240765582212042</v>
      </c>
      <c r="T509">
        <f t="shared" si="983"/>
        <v>-2.9240765582212041E-2</v>
      </c>
    </row>
    <row r="510" spans="1:20" x14ac:dyDescent="0.25">
      <c r="A510" s="5">
        <v>44083</v>
      </c>
      <c r="B510">
        <v>0.69530000000000003</v>
      </c>
      <c r="C510">
        <v>0.76359999999999995</v>
      </c>
      <c r="D510">
        <v>0.65410000000000001</v>
      </c>
      <c r="E510">
        <v>0.72740000000000005</v>
      </c>
      <c r="F510">
        <v>2395211.17</v>
      </c>
      <c r="G510">
        <v>0</v>
      </c>
      <c r="L510" t="s">
        <v>7</v>
      </c>
      <c r="M510" t="s">
        <v>8</v>
      </c>
      <c r="N510" t="s">
        <v>8</v>
      </c>
      <c r="P510">
        <f t="shared" si="979"/>
        <v>0.33881278538812926</v>
      </c>
      <c r="Q510">
        <f t="shared" si="980"/>
        <v>811528.16810045997</v>
      </c>
      <c r="R510">
        <f t="shared" si="981"/>
        <v>-1379636.7947090073</v>
      </c>
      <c r="S510">
        <f t="shared" si="982"/>
        <v>-13.796367947090072</v>
      </c>
      <c r="T510">
        <f t="shared" si="983"/>
        <v>-1.3796367947090072E-2</v>
      </c>
    </row>
    <row r="511" spans="1:20" x14ac:dyDescent="0.25">
      <c r="A511" s="5">
        <v>44082</v>
      </c>
      <c r="B511">
        <v>0.71779999999999999</v>
      </c>
      <c r="C511">
        <v>0.76249999999999996</v>
      </c>
      <c r="D511">
        <v>0.65029999999999999</v>
      </c>
      <c r="E511">
        <v>0.69689999999999996</v>
      </c>
      <c r="F511">
        <v>2507920.2999999998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-0.16934046345811071</v>
      </c>
      <c r="Q511">
        <f t="shared" si="980"/>
        <v>-424692.38591800403</v>
      </c>
      <c r="R511">
        <f t="shared" si="981"/>
        <v>-2191164.9628094672</v>
      </c>
      <c r="S511">
        <f t="shared" si="982"/>
        <v>-21.911649628094672</v>
      </c>
      <c r="T511">
        <f t="shared" si="983"/>
        <v>-2.1911649628094672E-2</v>
      </c>
    </row>
    <row r="512" spans="1:20" x14ac:dyDescent="0.25">
      <c r="A512" s="5">
        <v>44081</v>
      </c>
      <c r="B512">
        <v>0.77769999999999995</v>
      </c>
      <c r="C512">
        <v>0.81179999999999997</v>
      </c>
      <c r="D512">
        <v>0.62219999999999998</v>
      </c>
      <c r="E512">
        <v>0.72209999999999996</v>
      </c>
      <c r="F512">
        <v>2623376.5699999998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5.3797468354430313E-2</v>
      </c>
      <c r="Q512">
        <f t="shared" si="980"/>
        <v>141131.01800632893</v>
      </c>
      <c r="R512">
        <f t="shared" si="981"/>
        <v>-1766472.5768914632</v>
      </c>
      <c r="S512">
        <f t="shared" si="982"/>
        <v>-17.664725768914632</v>
      </c>
      <c r="T512">
        <f t="shared" si="983"/>
        <v>-1.7664725768914633E-2</v>
      </c>
    </row>
    <row r="513" spans="1:20" x14ac:dyDescent="0.25">
      <c r="A513" s="5">
        <v>44080</v>
      </c>
      <c r="B513">
        <v>0.63900000000000001</v>
      </c>
      <c r="C513">
        <v>0.80920000000000003</v>
      </c>
      <c r="D513">
        <v>0.61499999999999999</v>
      </c>
      <c r="E513">
        <v>0.78100000000000003</v>
      </c>
      <c r="F513">
        <v>2731454.97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0.70957775489186403</v>
      </c>
      <c r="Q513">
        <f t="shared" si="980"/>
        <v>1938179.6852008239</v>
      </c>
      <c r="R513">
        <f t="shared" si="981"/>
        <v>-1907603.5948977922</v>
      </c>
      <c r="S513">
        <f t="shared" si="982"/>
        <v>-19.076035948977921</v>
      </c>
      <c r="T513">
        <f t="shared" si="983"/>
        <v>-1.9076035948977922E-2</v>
      </c>
    </row>
    <row r="514" spans="1:20" x14ac:dyDescent="0.25">
      <c r="A514" s="5">
        <v>44079</v>
      </c>
      <c r="B514">
        <v>0.81140000000000001</v>
      </c>
      <c r="C514">
        <v>0.85499999999999998</v>
      </c>
      <c r="D514">
        <v>0.55020000000000002</v>
      </c>
      <c r="E514">
        <v>0.6371</v>
      </c>
      <c r="F514">
        <v>3914855.7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-0.42979002624671925</v>
      </c>
      <c r="Q514">
        <f t="shared" si="980"/>
        <v>-1682565.9340551186</v>
      </c>
      <c r="R514">
        <f t="shared" si="981"/>
        <v>-3845783.2800986161</v>
      </c>
      <c r="S514">
        <f t="shared" si="982"/>
        <v>-38.457832800986161</v>
      </c>
      <c r="T514">
        <f t="shared" si="983"/>
        <v>-3.8457832800986164E-2</v>
      </c>
    </row>
    <row r="515" spans="1:20" x14ac:dyDescent="0.25">
      <c r="A515" s="5">
        <v>44078</v>
      </c>
      <c r="B515">
        <v>0.70630000000000004</v>
      </c>
      <c r="C515">
        <v>1.3</v>
      </c>
      <c r="D515">
        <v>0.65169999999999995</v>
      </c>
      <c r="E515">
        <v>0.81830000000000003</v>
      </c>
      <c r="F515">
        <v>4450694.4000000004</v>
      </c>
      <c r="G515">
        <v>0</v>
      </c>
      <c r="P515">
        <f t="shared" si="979"/>
        <v>-0.486040413388863</v>
      </c>
      <c r="Q515">
        <f t="shared" si="980"/>
        <v>-2163217.3460434978</v>
      </c>
      <c r="R515">
        <f t="shared" si="981"/>
        <v>-2163217.3460434978</v>
      </c>
      <c r="S515">
        <f t="shared" si="982"/>
        <v>-21.632173460434977</v>
      </c>
      <c r="T515">
        <f t="shared" si="983"/>
        <v>-2.1632173460434976E-2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517" sqref="IR51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$A$516</v>
      </c>
      <c r="D111" s="1" t="str">
        <f>ADDRESS(C121-1,D121,1,1)</f>
        <v>$IR$516</v>
      </c>
      <c r="E111"/>
    </row>
    <row r="112" spans="1:5" x14ac:dyDescent="0.25">
      <c r="A112" s="7">
        <v>12164.144957890772</v>
      </c>
      <c r="C112" s="1" t="str">
        <f>ADDRESS(C121,1,1,1)</f>
        <v>$A$517</v>
      </c>
      <c r="D112" s="1" t="str">
        <f>ADDRESS(C121,D121-1,1,1)</f>
        <v>$IQ$517</v>
      </c>
      <c r="E112"/>
    </row>
    <row r="113" spans="1:5" x14ac:dyDescent="0.25">
      <c r="A113" s="7">
        <v>11925.63231165762</v>
      </c>
      <c r="C113" s="1" t="str">
        <f>ADDRESS(C121+1,1,1,1)</f>
        <v>$A$518</v>
      </c>
      <c r="D113" s="1" t="str">
        <f>ADDRESS(C121-1,D121+1,1,1)</f>
        <v>$IS$516</v>
      </c>
    </row>
    <row r="114" spans="1:5" x14ac:dyDescent="0.25">
      <c r="A114" s="7">
        <v>11691.796383978059</v>
      </c>
      <c r="C114" s="1" t="str">
        <f>ADDRESS(C121,D121,1,1)</f>
        <v>$IR$517</v>
      </c>
      <c r="D114" s="1" t="str">
        <f>ADDRESS(C121+1,D121+1,1,1)</f>
        <v>$IS$518</v>
      </c>
    </row>
    <row r="115" spans="1:5" x14ac:dyDescent="0.25">
      <c r="A115" s="7">
        <v>11462.545474488292</v>
      </c>
      <c r="C115" s="1" t="str">
        <f>ADDRESS(C121+1,D121,1,1)</f>
        <v>$IR$518</v>
      </c>
    </row>
    <row r="116" spans="1:5" x14ac:dyDescent="0.25">
      <c r="A116" s="7">
        <v>11237.789680870874</v>
      </c>
      <c r="C116" s="1">
        <f>C117-1</f>
        <v>516</v>
      </c>
    </row>
    <row r="117" spans="1:5" x14ac:dyDescent="0.25">
      <c r="A117" s="7">
        <v>11017.440863598895</v>
      </c>
      <c r="C117" s="1">
        <f>C121</f>
        <v>517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518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517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R517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3.9995582228484383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212" x14ac:dyDescent="0.25">
      <c r="A433" s="7">
        <v>21.106997141968804</v>
      </c>
      <c r="B433"/>
      <c r="C433"/>
      <c r="D433"/>
      <c r="E433"/>
      <c r="EA433" s="27" t="s">
        <v>8</v>
      </c>
    </row>
    <row r="434" spans="1:212" x14ac:dyDescent="0.25">
      <c r="A434" s="7">
        <v>20.693134452910591</v>
      </c>
      <c r="B434"/>
      <c r="C434"/>
      <c r="D434"/>
      <c r="E434"/>
      <c r="DY434" s="27" t="s">
        <v>8</v>
      </c>
      <c r="EA434" s="27" t="s">
        <v>8</v>
      </c>
      <c r="EB434" s="27" t="s">
        <v>7</v>
      </c>
    </row>
    <row r="435" spans="1:212" x14ac:dyDescent="0.25">
      <c r="A435" s="7">
        <v>20.287386718539796</v>
      </c>
      <c r="B435"/>
      <c r="C435"/>
      <c r="D435"/>
      <c r="E435"/>
      <c r="DY435" s="27" t="s">
        <v>8</v>
      </c>
      <c r="DZ435" s="27" t="s">
        <v>7</v>
      </c>
      <c r="EA435" s="27" t="s">
        <v>8</v>
      </c>
      <c r="EB435" s="27" t="s">
        <v>7</v>
      </c>
    </row>
    <row r="436" spans="1:212" x14ac:dyDescent="0.25">
      <c r="A436" s="7">
        <v>19.889594822097838</v>
      </c>
      <c r="B436"/>
      <c r="C436"/>
      <c r="D436"/>
      <c r="E436"/>
      <c r="DY436" s="27" t="s">
        <v>8</v>
      </c>
      <c r="DZ436" s="27" t="s">
        <v>7</v>
      </c>
      <c r="EA436" s="27" t="s">
        <v>8</v>
      </c>
      <c r="EB436" s="27" t="s">
        <v>7</v>
      </c>
    </row>
    <row r="437" spans="1:212" x14ac:dyDescent="0.25">
      <c r="A437" s="7">
        <v>19.499602766762585</v>
      </c>
      <c r="B437"/>
      <c r="C437"/>
      <c r="D437"/>
      <c r="E437"/>
      <c r="DU437" s="27" t="s">
        <v>8</v>
      </c>
      <c r="DY437" s="27" t="s">
        <v>8</v>
      </c>
      <c r="DZ437" s="27" t="s">
        <v>7</v>
      </c>
      <c r="EA437" s="27" t="s">
        <v>8</v>
      </c>
      <c r="EB437" s="27" t="s">
        <v>7</v>
      </c>
    </row>
    <row r="438" spans="1:212" x14ac:dyDescent="0.25">
      <c r="A438" s="7">
        <v>19.117257614473122</v>
      </c>
      <c r="B438"/>
      <c r="C438"/>
      <c r="D438"/>
      <c r="E438"/>
      <c r="DS438" s="27" t="s">
        <v>8</v>
      </c>
      <c r="DU438" s="27" t="s">
        <v>8</v>
      </c>
      <c r="DV438" s="27" t="s">
        <v>7</v>
      </c>
      <c r="DW438" s="27" t="s">
        <v>8</v>
      </c>
      <c r="DY438" s="27" t="s">
        <v>8</v>
      </c>
      <c r="DZ438" s="27" t="s">
        <v>7</v>
      </c>
      <c r="EA438" s="27" t="s">
        <v>8</v>
      </c>
      <c r="EB438" s="27" t="s">
        <v>7</v>
      </c>
    </row>
    <row r="439" spans="1:212" x14ac:dyDescent="0.25">
      <c r="A439" s="7">
        <v>18.74240942595404</v>
      </c>
      <c r="B439"/>
      <c r="C439"/>
      <c r="D439"/>
      <c r="E439"/>
      <c r="DQ439" s="27" t="s">
        <v>8</v>
      </c>
      <c r="DS439" s="27" t="s">
        <v>8</v>
      </c>
      <c r="DT439" s="27" t="s">
        <v>7</v>
      </c>
      <c r="DU439" s="27" t="s">
        <v>8</v>
      </c>
      <c r="DV439" s="27" t="s">
        <v>7</v>
      </c>
      <c r="DW439" s="27" t="s">
        <v>8</v>
      </c>
      <c r="DX439" s="27" t="s">
        <v>7</v>
      </c>
      <c r="DY439" s="27" t="s">
        <v>8</v>
      </c>
      <c r="DZ439" s="27" t="s">
        <v>7</v>
      </c>
      <c r="EA439" s="27" t="s">
        <v>8</v>
      </c>
      <c r="EB439" s="27" t="s">
        <v>7</v>
      </c>
    </row>
    <row r="440" spans="1:212" x14ac:dyDescent="0.25">
      <c r="A440" s="7">
        <v>18.374911201915726</v>
      </c>
      <c r="B440"/>
      <c r="C440"/>
      <c r="D440"/>
      <c r="E440"/>
      <c r="DQ440" s="27" t="s">
        <v>8</v>
      </c>
      <c r="DR440" s="27" t="s">
        <v>7</v>
      </c>
      <c r="DS440" s="27" t="s">
        <v>8</v>
      </c>
      <c r="DT440" s="27" t="s">
        <v>7</v>
      </c>
      <c r="DU440" s="27" t="s">
        <v>8</v>
      </c>
      <c r="DV440" s="27" t="s">
        <v>7</v>
      </c>
      <c r="DW440" s="27" t="s">
        <v>8</v>
      </c>
      <c r="DX440" s="27" t="s">
        <v>7</v>
      </c>
      <c r="DY440" s="27" t="s">
        <v>8</v>
      </c>
      <c r="DZ440" s="27" t="s">
        <v>7</v>
      </c>
      <c r="EA440" s="27" t="s">
        <v>8</v>
      </c>
      <c r="EB440" s="27" t="s">
        <v>7</v>
      </c>
    </row>
    <row r="441" spans="1:212" x14ac:dyDescent="0.25">
      <c r="A441" s="7">
        <v>18.014618825407574</v>
      </c>
      <c r="B441"/>
      <c r="C441"/>
      <c r="D441"/>
      <c r="E441"/>
      <c r="DQ441" s="27" t="s">
        <v>8</v>
      </c>
      <c r="DR441" s="27" t="s">
        <v>7</v>
      </c>
      <c r="DS441" s="27" t="s">
        <v>8</v>
      </c>
      <c r="DT441" s="27" t="s">
        <v>7</v>
      </c>
      <c r="DU441" s="27" t="s">
        <v>8</v>
      </c>
      <c r="DV441" s="27" t="s">
        <v>7</v>
      </c>
      <c r="DW441" s="27" t="s">
        <v>8</v>
      </c>
      <c r="DX441" s="27" t="s">
        <v>7</v>
      </c>
      <c r="DY441" s="27" t="s">
        <v>8</v>
      </c>
      <c r="DZ441" s="27" t="s">
        <v>7</v>
      </c>
      <c r="EA441" s="27" t="s">
        <v>8</v>
      </c>
      <c r="EB441" s="27" t="s">
        <v>7</v>
      </c>
    </row>
    <row r="442" spans="1:212" x14ac:dyDescent="0.25">
      <c r="A442" s="7">
        <v>17.661391005301542</v>
      </c>
      <c r="B442"/>
      <c r="C442"/>
      <c r="D442"/>
      <c r="E442"/>
      <c r="DQ442" s="27" t="s">
        <v>8</v>
      </c>
      <c r="DR442" s="27" t="s">
        <v>7</v>
      </c>
      <c r="DS442" s="27" t="s">
        <v>8</v>
      </c>
      <c r="DT442" s="27" t="s">
        <v>7</v>
      </c>
      <c r="DU442" s="27" t="s">
        <v>8</v>
      </c>
      <c r="DV442" s="27" t="s">
        <v>7</v>
      </c>
      <c r="DW442" s="27" t="s">
        <v>8</v>
      </c>
      <c r="DX442" s="27" t="s">
        <v>7</v>
      </c>
      <c r="DZ442" s="27" t="s">
        <v>7</v>
      </c>
      <c r="EA442" s="27" t="s">
        <v>8</v>
      </c>
      <c r="EB442" s="27" t="s">
        <v>7</v>
      </c>
    </row>
    <row r="443" spans="1:212" x14ac:dyDescent="0.25">
      <c r="A443" s="7">
        <v>17.315089220883866</v>
      </c>
      <c r="B443"/>
      <c r="C443"/>
      <c r="D443"/>
      <c r="E443"/>
      <c r="DQ443" s="27" t="s">
        <v>8</v>
      </c>
      <c r="DR443" s="27" t="s">
        <v>7</v>
      </c>
      <c r="DS443" s="27" t="s">
        <v>8</v>
      </c>
      <c r="DT443" s="27" t="s">
        <v>7</v>
      </c>
      <c r="DU443" s="27" t="s">
        <v>8</v>
      </c>
      <c r="DV443" s="27" t="s">
        <v>7</v>
      </c>
      <c r="DW443" s="27" t="s">
        <v>8</v>
      </c>
      <c r="DZ443" s="27" t="s">
        <v>7</v>
      </c>
      <c r="EA443" s="27" t="s">
        <v>8</v>
      </c>
      <c r="EB443" s="27" t="s">
        <v>7</v>
      </c>
    </row>
    <row r="444" spans="1:212" x14ac:dyDescent="0.25">
      <c r="A444" s="7">
        <v>16.975577667533202</v>
      </c>
      <c r="B444"/>
      <c r="C444"/>
      <c r="D444"/>
      <c r="E444"/>
      <c r="DG444" s="27" t="s">
        <v>8</v>
      </c>
      <c r="DQ444" s="27" t="s">
        <v>8</v>
      </c>
      <c r="DR444" s="27" t="s">
        <v>7</v>
      </c>
      <c r="DT444" s="27" t="s">
        <v>7</v>
      </c>
      <c r="DU444" s="27" t="s">
        <v>8</v>
      </c>
      <c r="DV444" s="27" t="s">
        <v>7</v>
      </c>
      <c r="DW444" s="27" t="s">
        <v>8</v>
      </c>
      <c r="DZ444" s="27" t="s">
        <v>7</v>
      </c>
      <c r="EB444" s="27" t="s">
        <v>7</v>
      </c>
      <c r="HC444" s="27" t="s">
        <v>8</v>
      </c>
    </row>
    <row r="445" spans="1:212" x14ac:dyDescent="0.25">
      <c r="A445" s="7">
        <v>16.642723203463923</v>
      </c>
      <c r="B445"/>
      <c r="C445"/>
      <c r="D445"/>
      <c r="E445"/>
      <c r="DG445" s="27" t="s">
        <v>8</v>
      </c>
      <c r="DH445" s="27" t="s">
        <v>7</v>
      </c>
      <c r="DI445" s="27" t="s">
        <v>8</v>
      </c>
      <c r="DQ445" s="27" t="s">
        <v>8</v>
      </c>
      <c r="DT445" s="27" t="s">
        <v>7</v>
      </c>
      <c r="DU445" s="27" t="s">
        <v>8</v>
      </c>
      <c r="DV445" s="27" t="s">
        <v>7</v>
      </c>
      <c r="DW445" s="27" t="s">
        <v>8</v>
      </c>
      <c r="EB445" s="27" t="s">
        <v>7</v>
      </c>
      <c r="HC445" s="27" t="s">
        <v>8</v>
      </c>
      <c r="HD445" s="27" t="s">
        <v>7</v>
      </c>
    </row>
    <row r="446" spans="1:212" x14ac:dyDescent="0.25">
      <c r="A446" s="7">
        <v>16.316395297513651</v>
      </c>
      <c r="B446"/>
      <c r="C446"/>
      <c r="D446"/>
      <c r="E446"/>
      <c r="DG446" s="27" t="s">
        <v>8</v>
      </c>
      <c r="DH446" s="27" t="s">
        <v>7</v>
      </c>
      <c r="DI446" s="27" t="s">
        <v>8</v>
      </c>
      <c r="DJ446" s="27" t="s">
        <v>7</v>
      </c>
      <c r="DQ446" s="27" t="s">
        <v>8</v>
      </c>
      <c r="DT446" s="27" t="s">
        <v>7</v>
      </c>
      <c r="DU446" s="27" t="s">
        <v>8</v>
      </c>
      <c r="DV446" s="27" t="s">
        <v>7</v>
      </c>
      <c r="EB446" s="27" t="s">
        <v>7</v>
      </c>
      <c r="HC446" s="27" t="s">
        <v>8</v>
      </c>
      <c r="HD446" s="27" t="s">
        <v>7</v>
      </c>
    </row>
    <row r="447" spans="1:212" x14ac:dyDescent="0.25">
      <c r="A447" s="7">
        <v>15.996465977954561</v>
      </c>
      <c r="B447"/>
      <c r="C447"/>
      <c r="D447"/>
      <c r="E447"/>
      <c r="DG447" s="27" t="s">
        <v>8</v>
      </c>
      <c r="DH447" s="27" t="s">
        <v>7</v>
      </c>
      <c r="DI447" s="27" t="s">
        <v>8</v>
      </c>
      <c r="DJ447" s="27" t="s">
        <v>7</v>
      </c>
      <c r="DO447" s="27" t="s">
        <v>8</v>
      </c>
      <c r="DQ447" s="27" t="s">
        <v>8</v>
      </c>
      <c r="DT447" s="27" t="s">
        <v>7</v>
      </c>
      <c r="EB447" s="27" t="s">
        <v>7</v>
      </c>
      <c r="HC447" s="27" t="s">
        <v>8</v>
      </c>
      <c r="HD447" s="27" t="s">
        <v>7</v>
      </c>
    </row>
    <row r="448" spans="1:212" x14ac:dyDescent="0.25">
      <c r="A448" s="7">
        <v>15.682809782308393</v>
      </c>
      <c r="B448"/>
      <c r="C448"/>
      <c r="D448"/>
      <c r="E448"/>
      <c r="DG448" s="27" t="s">
        <v>8</v>
      </c>
      <c r="DH448" s="27" t="s">
        <v>7</v>
      </c>
      <c r="DI448" s="27" t="s">
        <v>8</v>
      </c>
      <c r="DJ448" s="27" t="s">
        <v>7</v>
      </c>
      <c r="DO448" s="27" t="s">
        <v>8</v>
      </c>
      <c r="DP448" s="27" t="s">
        <v>7</v>
      </c>
      <c r="DQ448" s="27" t="s">
        <v>8</v>
      </c>
      <c r="EB448" s="27" t="s">
        <v>7</v>
      </c>
      <c r="HC448" s="27" t="s">
        <v>8</v>
      </c>
      <c r="HD448" s="27" t="s">
        <v>7</v>
      </c>
    </row>
    <row r="449" spans="1:225" x14ac:dyDescent="0.25">
      <c r="A449" s="7">
        <v>15.375303708145482</v>
      </c>
      <c r="B449"/>
      <c r="C449"/>
      <c r="D449"/>
      <c r="E449"/>
      <c r="DG449" s="27" t="s">
        <v>8</v>
      </c>
      <c r="DH449" s="27" t="s">
        <v>7</v>
      </c>
      <c r="DI449" s="27" t="s">
        <v>8</v>
      </c>
      <c r="DJ449" s="27" t="s">
        <v>7</v>
      </c>
      <c r="DM449" s="27" t="s">
        <v>8</v>
      </c>
      <c r="DO449" s="27" t="s">
        <v>8</v>
      </c>
      <c r="DP449" s="27" t="s">
        <v>7</v>
      </c>
      <c r="DQ449" s="27" t="s">
        <v>8</v>
      </c>
      <c r="EB449" s="27" t="s">
        <v>7</v>
      </c>
      <c r="HC449" s="27" t="s">
        <v>8</v>
      </c>
      <c r="HD449" s="27" t="s">
        <v>7</v>
      </c>
    </row>
    <row r="450" spans="1:225" x14ac:dyDescent="0.25">
      <c r="A450" s="7">
        <v>15.073827164848511</v>
      </c>
      <c r="B450"/>
      <c r="C450"/>
      <c r="D450"/>
      <c r="E450"/>
      <c r="DG450" s="27" t="s">
        <v>8</v>
      </c>
      <c r="DH450" s="27" t="s">
        <v>7</v>
      </c>
      <c r="DI450" s="27" t="s">
        <v>8</v>
      </c>
      <c r="DJ450" s="27" t="s">
        <v>7</v>
      </c>
      <c r="DM450" s="27" t="s">
        <v>8</v>
      </c>
      <c r="DN450" s="27" t="s">
        <v>7</v>
      </c>
      <c r="DO450" s="27" t="s">
        <v>8</v>
      </c>
      <c r="DP450" s="27" t="s">
        <v>7</v>
      </c>
      <c r="DQ450" s="27" t="s">
        <v>8</v>
      </c>
      <c r="EB450" s="27" t="s">
        <v>7</v>
      </c>
      <c r="HC450" s="27" t="s">
        <v>8</v>
      </c>
      <c r="HD450" s="27" t="s">
        <v>7</v>
      </c>
    </row>
    <row r="451" spans="1:225" x14ac:dyDescent="0.25">
      <c r="A451" s="7">
        <v>14.77826192632207</v>
      </c>
      <c r="B451"/>
      <c r="C451"/>
      <c r="D451"/>
      <c r="E451"/>
      <c r="DG451" s="27" t="s">
        <v>8</v>
      </c>
      <c r="DH451" s="27" t="s">
        <v>7</v>
      </c>
      <c r="DI451" s="27" t="s">
        <v>8</v>
      </c>
      <c r="DJ451" s="27" t="s">
        <v>7</v>
      </c>
      <c r="DK451" s="27" t="s">
        <v>8</v>
      </c>
      <c r="DM451" s="27" t="s">
        <v>8</v>
      </c>
      <c r="DN451" s="27" t="s">
        <v>7</v>
      </c>
      <c r="DO451" s="27" t="s">
        <v>8</v>
      </c>
      <c r="DP451" s="27" t="s">
        <v>7</v>
      </c>
      <c r="DQ451" s="27" t="s">
        <v>8</v>
      </c>
      <c r="EB451" s="27" t="s">
        <v>7</v>
      </c>
      <c r="EE451" s="27" t="s">
        <v>8</v>
      </c>
      <c r="HA451" s="27" t="s">
        <v>8</v>
      </c>
      <c r="HC451" s="27" t="s">
        <v>8</v>
      </c>
      <c r="HD451" s="27" t="s">
        <v>7</v>
      </c>
    </row>
    <row r="452" spans="1:225" x14ac:dyDescent="0.25">
      <c r="A452" s="7">
        <v>14.488492084629481</v>
      </c>
      <c r="B452"/>
      <c r="C452"/>
      <c r="D452"/>
      <c r="E452"/>
      <c r="DG452" s="27" t="s">
        <v>8</v>
      </c>
      <c r="DH452" s="27" t="s">
        <v>7</v>
      </c>
      <c r="DI452" s="27" t="s">
        <v>8</v>
      </c>
      <c r="DJ452" s="27" t="s">
        <v>7</v>
      </c>
      <c r="DK452" s="27" t="s">
        <v>8</v>
      </c>
      <c r="DL452" s="27" t="s">
        <v>7</v>
      </c>
      <c r="DM452" s="27" t="s">
        <v>8</v>
      </c>
      <c r="DN452" s="27" t="s">
        <v>7</v>
      </c>
      <c r="DO452" s="27" t="s">
        <v>8</v>
      </c>
      <c r="DP452" s="27" t="s">
        <v>7</v>
      </c>
      <c r="EB452" s="27" t="s">
        <v>7</v>
      </c>
      <c r="EE452" s="27" t="s">
        <v>8</v>
      </c>
      <c r="EF452" s="27" t="s">
        <v>7</v>
      </c>
      <c r="HA452" s="27" t="s">
        <v>8</v>
      </c>
      <c r="HB452" s="27" t="s">
        <v>7</v>
      </c>
      <c r="HC452" s="27" t="s">
        <v>8</v>
      </c>
      <c r="HD452" s="27" t="s">
        <v>7</v>
      </c>
      <c r="HE452" s="27" t="s">
        <v>8</v>
      </c>
    </row>
    <row r="453" spans="1:225" x14ac:dyDescent="0.25">
      <c r="A453" s="7">
        <v>14.204404004538707</v>
      </c>
      <c r="B453"/>
      <c r="C453"/>
      <c r="D453"/>
      <c r="E453"/>
      <c r="DG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M453" s="27" t="s">
        <v>8</v>
      </c>
      <c r="DN453" s="27" t="s">
        <v>7</v>
      </c>
      <c r="DO453" s="27" t="s">
        <v>8</v>
      </c>
      <c r="EB453" s="27" t="s">
        <v>7</v>
      </c>
      <c r="EE453" s="27" t="s">
        <v>8</v>
      </c>
      <c r="EF453" s="27" t="s">
        <v>7</v>
      </c>
      <c r="HA453" s="27" t="s">
        <v>8</v>
      </c>
      <c r="HB453" s="27" t="s">
        <v>7</v>
      </c>
      <c r="HC453" s="27" t="s">
        <v>8</v>
      </c>
      <c r="HD453" s="27" t="s">
        <v>7</v>
      </c>
      <c r="HE453" s="27" t="s">
        <v>8</v>
      </c>
      <c r="HF453" s="27" t="s">
        <v>7</v>
      </c>
    </row>
    <row r="454" spans="1:225" x14ac:dyDescent="0.25">
      <c r="A454" s="7">
        <v>13.925886278959517</v>
      </c>
      <c r="B454"/>
      <c r="C454"/>
      <c r="D454"/>
      <c r="E454"/>
      <c r="DG454" s="27" t="s">
        <v>8</v>
      </c>
      <c r="DH454" s="27" t="s">
        <v>7</v>
      </c>
      <c r="DI454" s="27" t="s">
        <v>8</v>
      </c>
      <c r="DJ454" s="27" t="s">
        <v>7</v>
      </c>
      <c r="DK454" s="27" t="s">
        <v>8</v>
      </c>
      <c r="DL454" s="27" t="s">
        <v>7</v>
      </c>
      <c r="DM454" s="27" t="s">
        <v>8</v>
      </c>
      <c r="DN454" s="27" t="s">
        <v>7</v>
      </c>
      <c r="DO454" s="27" t="s">
        <v>8</v>
      </c>
      <c r="EB454" s="27" t="s">
        <v>7</v>
      </c>
      <c r="EE454" s="27" t="s">
        <v>8</v>
      </c>
      <c r="EF454" s="27" t="s">
        <v>7</v>
      </c>
      <c r="GY454" s="27" t="s">
        <v>8</v>
      </c>
      <c r="HA454" s="27" t="s">
        <v>8</v>
      </c>
      <c r="HB454" s="27" t="s">
        <v>7</v>
      </c>
      <c r="HC454" s="27" t="s">
        <v>8</v>
      </c>
      <c r="HD454" s="27" t="s">
        <v>7</v>
      </c>
      <c r="HE454" s="27" t="s">
        <v>8</v>
      </c>
      <c r="HF454" s="27" t="s">
        <v>7</v>
      </c>
    </row>
    <row r="455" spans="1:225" x14ac:dyDescent="0.25">
      <c r="A455" s="7">
        <v>13.652829685254428</v>
      </c>
      <c r="B455"/>
      <c r="C455"/>
      <c r="D455"/>
      <c r="E455"/>
      <c r="DG455" s="27" t="s">
        <v>8</v>
      </c>
      <c r="DH455" s="27" t="s">
        <v>7</v>
      </c>
      <c r="DI455" s="27" t="s">
        <v>8</v>
      </c>
      <c r="DJ455" s="27" t="s">
        <v>7</v>
      </c>
      <c r="DK455" s="27" t="s">
        <v>8</v>
      </c>
      <c r="DL455" s="27" t="s">
        <v>7</v>
      </c>
      <c r="DM455" s="27" t="s">
        <v>8</v>
      </c>
      <c r="DN455" s="27" t="s">
        <v>7</v>
      </c>
      <c r="EB455" s="27" t="s">
        <v>7</v>
      </c>
      <c r="EE455" s="27" t="s">
        <v>8</v>
      </c>
      <c r="EF455" s="27" t="s">
        <v>7</v>
      </c>
      <c r="EI455" s="27" t="s">
        <v>8</v>
      </c>
      <c r="GY455" s="27" t="s">
        <v>8</v>
      </c>
      <c r="GZ455" s="27" t="s">
        <v>7</v>
      </c>
      <c r="HA455" s="27" t="s">
        <v>8</v>
      </c>
      <c r="HB455" s="27" t="s">
        <v>7</v>
      </c>
      <c r="HC455" s="27" t="s">
        <v>8</v>
      </c>
      <c r="HD455" s="27" t="s">
        <v>7</v>
      </c>
      <c r="HE455" s="27" t="s">
        <v>8</v>
      </c>
      <c r="HF455" s="27" t="s">
        <v>7</v>
      </c>
      <c r="HI455" s="27" t="s">
        <v>8</v>
      </c>
    </row>
    <row r="456" spans="1:225" x14ac:dyDescent="0.25">
      <c r="A456" s="7">
        <v>13.385127142406303</v>
      </c>
      <c r="B456"/>
      <c r="C456"/>
      <c r="D456"/>
      <c r="E456"/>
      <c r="DG456" s="27" t="s">
        <v>8</v>
      </c>
      <c r="DH456" s="27" t="s">
        <v>7</v>
      </c>
      <c r="DI456" s="27" t="s">
        <v>8</v>
      </c>
      <c r="DJ456" s="27" t="s">
        <v>7</v>
      </c>
      <c r="DK456" s="27" t="s">
        <v>8</v>
      </c>
      <c r="DL456" s="27" t="s">
        <v>7</v>
      </c>
      <c r="DM456" s="27" t="s">
        <v>8</v>
      </c>
      <c r="EB456" s="27" t="s">
        <v>7</v>
      </c>
      <c r="EE456" s="27" t="s">
        <v>8</v>
      </c>
      <c r="EF456" s="27" t="s">
        <v>7</v>
      </c>
      <c r="EI456" s="27" t="s">
        <v>8</v>
      </c>
      <c r="EJ456" s="27" t="s">
        <v>7</v>
      </c>
      <c r="GY456" s="27" t="s">
        <v>8</v>
      </c>
      <c r="GZ456" s="27" t="s">
        <v>7</v>
      </c>
      <c r="HA456" s="27" t="s">
        <v>8</v>
      </c>
      <c r="HB456" s="27" t="s">
        <v>7</v>
      </c>
      <c r="HC456" s="27" t="s">
        <v>8</v>
      </c>
      <c r="HD456" s="27" t="s">
        <v>7</v>
      </c>
      <c r="HF456" s="27" t="s">
        <v>7</v>
      </c>
      <c r="HG456" s="27" t="s">
        <v>8</v>
      </c>
      <c r="HI456" s="27" t="s">
        <v>8</v>
      </c>
      <c r="HJ456" s="27" t="s">
        <v>7</v>
      </c>
      <c r="HO456" s="27" t="s">
        <v>8</v>
      </c>
    </row>
    <row r="457" spans="1:225" x14ac:dyDescent="0.25">
      <c r="A457" s="7">
        <v>13.122673669025787</v>
      </c>
      <c r="B457"/>
      <c r="C457"/>
      <c r="D457"/>
      <c r="E457"/>
      <c r="DG457" s="27" t="s">
        <v>8</v>
      </c>
      <c r="DH457" s="27" t="s">
        <v>7</v>
      </c>
      <c r="DJ457" s="27" t="s">
        <v>7</v>
      </c>
      <c r="DK457" s="27" t="s">
        <v>8</v>
      </c>
      <c r="DL457" s="27" t="s">
        <v>7</v>
      </c>
      <c r="DM457" s="27" t="s">
        <v>8</v>
      </c>
      <c r="EB457" s="27" t="s">
        <v>7</v>
      </c>
      <c r="EE457" s="27" t="s">
        <v>8</v>
      </c>
      <c r="EF457" s="27" t="s">
        <v>7</v>
      </c>
      <c r="EI457" s="27" t="s">
        <v>8</v>
      </c>
      <c r="EJ457" s="27" t="s">
        <v>7</v>
      </c>
      <c r="GY457" s="27" t="s">
        <v>8</v>
      </c>
      <c r="GZ457" s="27" t="s">
        <v>7</v>
      </c>
      <c r="HA457" s="27" t="s">
        <v>8</v>
      </c>
      <c r="HB457" s="27" t="s">
        <v>7</v>
      </c>
      <c r="HF457" s="27" t="s">
        <v>7</v>
      </c>
      <c r="HG457" s="27" t="s">
        <v>8</v>
      </c>
      <c r="HH457" s="27" t="s">
        <v>7</v>
      </c>
      <c r="HI457" s="27" t="s">
        <v>8</v>
      </c>
      <c r="HJ457" s="27" t="s">
        <v>7</v>
      </c>
      <c r="HO457" s="27" t="s">
        <v>8</v>
      </c>
      <c r="HP457" s="27" t="s">
        <v>7</v>
      </c>
    </row>
    <row r="458" spans="1:225" x14ac:dyDescent="0.25">
      <c r="A458" s="7">
        <v>12.865366342182144</v>
      </c>
      <c r="B458"/>
      <c r="C458"/>
      <c r="D458"/>
      <c r="E458"/>
      <c r="DE458" s="27" t="s">
        <v>8</v>
      </c>
      <c r="DG458" s="27" t="s">
        <v>8</v>
      </c>
      <c r="DJ458" s="27" t="s">
        <v>7</v>
      </c>
      <c r="DK458" s="27" t="s">
        <v>8</v>
      </c>
      <c r="DL458" s="27" t="s">
        <v>7</v>
      </c>
      <c r="DM458" s="27" t="s">
        <v>8</v>
      </c>
      <c r="EB458" s="27" t="s">
        <v>7</v>
      </c>
      <c r="EE458" s="27" t="s">
        <v>8</v>
      </c>
      <c r="EF458" s="27" t="s">
        <v>7</v>
      </c>
      <c r="EG458" s="27" t="s">
        <v>8</v>
      </c>
      <c r="EI458" s="27" t="s">
        <v>8</v>
      </c>
      <c r="EJ458" s="27" t="s">
        <v>7</v>
      </c>
      <c r="GY458" s="27" t="s">
        <v>8</v>
      </c>
      <c r="GZ458" s="27" t="s">
        <v>7</v>
      </c>
      <c r="HA458" s="27" t="s">
        <v>8</v>
      </c>
      <c r="HF458" s="27" t="s">
        <v>7</v>
      </c>
      <c r="HG458" s="27" t="s">
        <v>8</v>
      </c>
      <c r="HH458" s="27" t="s">
        <v>7</v>
      </c>
      <c r="HI458" s="27" t="s">
        <v>8</v>
      </c>
      <c r="HJ458" s="27" t="s">
        <v>7</v>
      </c>
      <c r="HO458" s="27" t="s">
        <v>8</v>
      </c>
      <c r="HP458" s="27" t="s">
        <v>7</v>
      </c>
    </row>
    <row r="459" spans="1:225" x14ac:dyDescent="0.25">
      <c r="A459" s="7">
        <v>12.613104257041318</v>
      </c>
      <c r="B459"/>
      <c r="C459"/>
      <c r="D459"/>
      <c r="E459"/>
      <c r="DE459" s="27" t="s">
        <v>8</v>
      </c>
      <c r="DF459" s="27" t="s">
        <v>7</v>
      </c>
      <c r="DG459" s="27" t="s">
        <v>8</v>
      </c>
      <c r="DJ459" s="27" t="s">
        <v>7</v>
      </c>
      <c r="DK459" s="27" t="s">
        <v>8</v>
      </c>
      <c r="DL459" s="27" t="s">
        <v>7</v>
      </c>
      <c r="DM459" s="27" t="s">
        <v>8</v>
      </c>
      <c r="EB459" s="27" t="s">
        <v>7</v>
      </c>
      <c r="EE459" s="27" t="s">
        <v>8</v>
      </c>
      <c r="EF459" s="27" t="s">
        <v>7</v>
      </c>
      <c r="EG459" s="27" t="s">
        <v>8</v>
      </c>
      <c r="EH459" s="27" t="s">
        <v>7</v>
      </c>
      <c r="EI459" s="27" t="s">
        <v>8</v>
      </c>
      <c r="EJ459" s="27" t="s">
        <v>7</v>
      </c>
      <c r="GY459" s="27" t="s">
        <v>8</v>
      </c>
      <c r="GZ459" s="27" t="s">
        <v>7</v>
      </c>
      <c r="HA459" s="27" t="s">
        <v>8</v>
      </c>
      <c r="HF459" s="27" t="s">
        <v>7</v>
      </c>
      <c r="HG459" s="27" t="s">
        <v>8</v>
      </c>
      <c r="HH459" s="27" t="s">
        <v>7</v>
      </c>
      <c r="HI459" s="27" t="s">
        <v>8</v>
      </c>
      <c r="HJ459" s="27" t="s">
        <v>7</v>
      </c>
      <c r="HO459" s="27" t="s">
        <v>8</v>
      </c>
      <c r="HP459" s="27" t="s">
        <v>7</v>
      </c>
    </row>
    <row r="460" spans="1:225" x14ac:dyDescent="0.25">
      <c r="A460" s="7">
        <v>12.36578848729541</v>
      </c>
      <c r="B460"/>
      <c r="C460"/>
      <c r="D460"/>
      <c r="E460"/>
      <c r="DE460" s="27" t="s">
        <v>8</v>
      </c>
      <c r="DF460" s="27" t="s">
        <v>7</v>
      </c>
      <c r="DG460" s="27" t="s">
        <v>8</v>
      </c>
      <c r="DJ460" s="27" t="s">
        <v>7</v>
      </c>
      <c r="DL460" s="27" t="s">
        <v>7</v>
      </c>
      <c r="DM460" s="27" t="s">
        <v>8</v>
      </c>
      <c r="EB460" s="27" t="s">
        <v>7</v>
      </c>
      <c r="EE460" s="27" t="s">
        <v>8</v>
      </c>
      <c r="EF460" s="27" t="s">
        <v>7</v>
      </c>
      <c r="EG460" s="27" t="s">
        <v>8</v>
      </c>
      <c r="EH460" s="27" t="s">
        <v>7</v>
      </c>
      <c r="EI460" s="27" t="s">
        <v>8</v>
      </c>
      <c r="EJ460" s="27" t="s">
        <v>7</v>
      </c>
      <c r="FW460" s="27" t="s">
        <v>8</v>
      </c>
      <c r="GY460" s="27" t="s">
        <v>8</v>
      </c>
      <c r="GZ460" s="27" t="s">
        <v>7</v>
      </c>
      <c r="HA460" s="27" t="s">
        <v>8</v>
      </c>
      <c r="HF460" s="27" t="s">
        <v>7</v>
      </c>
      <c r="HG460" s="27" t="s">
        <v>8</v>
      </c>
      <c r="HH460" s="27" t="s">
        <v>7</v>
      </c>
      <c r="HI460" s="27" t="s">
        <v>8</v>
      </c>
      <c r="HJ460" s="27" t="s">
        <v>7</v>
      </c>
      <c r="HO460" s="27" t="s">
        <v>8</v>
      </c>
      <c r="HP460" s="27" t="s">
        <v>7</v>
      </c>
    </row>
    <row r="461" spans="1:225" x14ac:dyDescent="0.25">
      <c r="A461" s="7">
        <v>12.123322046368049</v>
      </c>
      <c r="B461"/>
      <c r="C461"/>
      <c r="D461"/>
      <c r="E461"/>
      <c r="DE461" s="27" t="s">
        <v>8</v>
      </c>
      <c r="DF461" s="27" t="s">
        <v>7</v>
      </c>
      <c r="DG461" s="27" t="s">
        <v>8</v>
      </c>
      <c r="DL461" s="27" t="s">
        <v>7</v>
      </c>
      <c r="DM461" s="27" t="s">
        <v>8</v>
      </c>
      <c r="EB461" s="27" t="s">
        <v>7</v>
      </c>
      <c r="EE461" s="27" t="s">
        <v>8</v>
      </c>
      <c r="EF461" s="27" t="s">
        <v>7</v>
      </c>
      <c r="EG461" s="27" t="s">
        <v>8</v>
      </c>
      <c r="EH461" s="27" t="s">
        <v>7</v>
      </c>
      <c r="EI461" s="27" t="s">
        <v>8</v>
      </c>
      <c r="EJ461" s="27" t="s">
        <v>7</v>
      </c>
      <c r="FW461" s="27" t="s">
        <v>8</v>
      </c>
      <c r="FX461" s="27" t="s">
        <v>7</v>
      </c>
      <c r="GY461" s="27" t="s">
        <v>8</v>
      </c>
      <c r="GZ461" s="27" t="s">
        <v>7</v>
      </c>
      <c r="HA461" s="27" t="s">
        <v>8</v>
      </c>
      <c r="HF461" s="27" t="s">
        <v>7</v>
      </c>
      <c r="HG461" s="27" t="s">
        <v>8</v>
      </c>
      <c r="HH461" s="27" t="s">
        <v>7</v>
      </c>
      <c r="HI461" s="27" t="s">
        <v>8</v>
      </c>
      <c r="HJ461" s="27" t="s">
        <v>7</v>
      </c>
      <c r="HO461" s="27" t="s">
        <v>8</v>
      </c>
      <c r="HP461" s="27" t="s">
        <v>7</v>
      </c>
    </row>
    <row r="462" spans="1:225" x14ac:dyDescent="0.25">
      <c r="A462" s="7">
        <v>11.88560984938044</v>
      </c>
      <c r="B462"/>
      <c r="C462"/>
      <c r="D462"/>
      <c r="E462"/>
      <c r="DE462" s="27" t="s">
        <v>8</v>
      </c>
      <c r="DF462" s="27" t="s">
        <v>7</v>
      </c>
      <c r="DG462" s="27" t="s">
        <v>8</v>
      </c>
      <c r="DL462" s="27" t="s">
        <v>7</v>
      </c>
      <c r="DM462" s="27" t="s">
        <v>8</v>
      </c>
      <c r="EB462" s="27" t="s">
        <v>7</v>
      </c>
      <c r="EE462" s="27" t="s">
        <v>8</v>
      </c>
      <c r="EF462" s="27" t="s">
        <v>7</v>
      </c>
      <c r="EG462" s="27" t="s">
        <v>8</v>
      </c>
      <c r="EH462" s="27" t="s">
        <v>7</v>
      </c>
      <c r="EI462" s="27" t="s">
        <v>8</v>
      </c>
      <c r="EJ462" s="27" t="s">
        <v>7</v>
      </c>
      <c r="FW462" s="27" t="s">
        <v>8</v>
      </c>
      <c r="FX462" s="27" t="s">
        <v>7</v>
      </c>
      <c r="GC462" s="27" t="s">
        <v>8</v>
      </c>
      <c r="GY462" s="27" t="s">
        <v>8</v>
      </c>
      <c r="GZ462" s="27" t="s">
        <v>7</v>
      </c>
      <c r="HA462" s="27" t="s">
        <v>8</v>
      </c>
      <c r="HF462" s="27" t="s">
        <v>7</v>
      </c>
      <c r="HH462" s="27" t="s">
        <v>7</v>
      </c>
      <c r="HJ462" s="27" t="s">
        <v>7</v>
      </c>
      <c r="HO462" s="27" t="s">
        <v>8</v>
      </c>
      <c r="HP462" s="27" t="s">
        <v>7</v>
      </c>
    </row>
    <row r="463" spans="1:225" x14ac:dyDescent="0.25">
      <c r="A463" s="7">
        <v>11.652558675863176</v>
      </c>
      <c r="B463"/>
      <c r="C463"/>
      <c r="D463"/>
      <c r="E463"/>
      <c r="DE463" s="27" t="s">
        <v>8</v>
      </c>
      <c r="DF463" s="27" t="s">
        <v>7</v>
      </c>
      <c r="DG463" s="27" t="s">
        <v>8</v>
      </c>
      <c r="DL463" s="27" t="s">
        <v>7</v>
      </c>
      <c r="DM463" s="27" t="s">
        <v>8</v>
      </c>
      <c r="EB463" s="27" t="s">
        <v>7</v>
      </c>
      <c r="EE463" s="27" t="s">
        <v>8</v>
      </c>
      <c r="EF463" s="27" t="s">
        <v>7</v>
      </c>
      <c r="EG463" s="27" t="s">
        <v>8</v>
      </c>
      <c r="EH463" s="27" t="s">
        <v>7</v>
      </c>
      <c r="EI463" s="27" t="s">
        <v>8</v>
      </c>
      <c r="EJ463" s="27" t="s">
        <v>7</v>
      </c>
      <c r="FU463" s="27" t="s">
        <v>8</v>
      </c>
      <c r="FW463" s="27" t="s">
        <v>8</v>
      </c>
      <c r="FX463" s="27" t="s">
        <v>7</v>
      </c>
      <c r="GC463" s="27" t="s">
        <v>8</v>
      </c>
      <c r="GD463" s="27" t="s">
        <v>7</v>
      </c>
      <c r="GY463" s="27" t="s">
        <v>8</v>
      </c>
      <c r="GZ463" s="27" t="s">
        <v>7</v>
      </c>
      <c r="HA463" s="27" t="s">
        <v>8</v>
      </c>
      <c r="HJ463" s="27" t="s">
        <v>7</v>
      </c>
      <c r="HM463" s="27" t="s">
        <v>8</v>
      </c>
      <c r="HO463" s="27" t="s">
        <v>8</v>
      </c>
      <c r="HP463" s="27" t="s">
        <v>7</v>
      </c>
    </row>
    <row r="464" spans="1:225" x14ac:dyDescent="0.25">
      <c r="A464" s="7">
        <v>11.424077133199193</v>
      </c>
      <c r="B464"/>
      <c r="C464"/>
      <c r="D464"/>
      <c r="E464"/>
      <c r="DE464" s="27" t="s">
        <v>8</v>
      </c>
      <c r="DF464" s="27" t="s">
        <v>7</v>
      </c>
      <c r="DG464" s="27" t="s">
        <v>8</v>
      </c>
      <c r="DL464" s="27" t="s">
        <v>7</v>
      </c>
      <c r="DM464" s="27" t="s">
        <v>8</v>
      </c>
      <c r="EB464" s="27" t="s">
        <v>7</v>
      </c>
      <c r="EE464" s="27" t="s">
        <v>8</v>
      </c>
      <c r="EF464" s="27" t="s">
        <v>7</v>
      </c>
      <c r="EG464" s="27" t="s">
        <v>8</v>
      </c>
      <c r="EH464" s="27" t="s">
        <v>7</v>
      </c>
      <c r="EJ464" s="27" t="s">
        <v>7</v>
      </c>
      <c r="FU464" s="27" t="s">
        <v>8</v>
      </c>
      <c r="FV464" s="27" t="s">
        <v>7</v>
      </c>
      <c r="FW464" s="27" t="s">
        <v>8</v>
      </c>
      <c r="FX464" s="27" t="s">
        <v>7</v>
      </c>
      <c r="GC464" s="27" t="s">
        <v>8</v>
      </c>
      <c r="GD464" s="27" t="s">
        <v>7</v>
      </c>
      <c r="GY464" s="27" t="s">
        <v>8</v>
      </c>
      <c r="GZ464" s="27" t="s">
        <v>7</v>
      </c>
      <c r="HA464" s="27" t="s">
        <v>8</v>
      </c>
      <c r="HJ464" s="27" t="s">
        <v>7</v>
      </c>
      <c r="HM464" s="27" t="s">
        <v>8</v>
      </c>
      <c r="HN464" s="27" t="s">
        <v>7</v>
      </c>
      <c r="HO464" s="27" t="s">
        <v>8</v>
      </c>
      <c r="HP464" s="27" t="s">
        <v>7</v>
      </c>
      <c r="HQ464" s="27" t="s">
        <v>8</v>
      </c>
    </row>
    <row r="465" spans="1:238" x14ac:dyDescent="0.25">
      <c r="A465" s="7">
        <v>11.200075620783522</v>
      </c>
      <c r="B465"/>
      <c r="C465"/>
      <c r="D465"/>
      <c r="E465"/>
      <c r="DE465" s="27" t="s">
        <v>8</v>
      </c>
      <c r="DF465" s="27" t="s">
        <v>7</v>
      </c>
      <c r="DG465" s="27" t="s">
        <v>8</v>
      </c>
      <c r="DL465" s="27" t="s">
        <v>7</v>
      </c>
      <c r="DM465" s="27" t="s">
        <v>8</v>
      </c>
      <c r="EB465" s="27" t="s">
        <v>7</v>
      </c>
      <c r="EE465" s="27" t="s">
        <v>8</v>
      </c>
      <c r="EF465" s="27" t="s">
        <v>7</v>
      </c>
      <c r="EG465" s="27" t="s">
        <v>8</v>
      </c>
      <c r="EJ465" s="27" t="s">
        <v>7</v>
      </c>
      <c r="EK465" s="27" t="s">
        <v>8</v>
      </c>
      <c r="FU465" s="27" t="s">
        <v>8</v>
      </c>
      <c r="FV465" s="27" t="s">
        <v>7</v>
      </c>
      <c r="FW465" s="27" t="s">
        <v>8</v>
      </c>
      <c r="FX465" s="27" t="s">
        <v>7</v>
      </c>
      <c r="GC465" s="27" t="s">
        <v>8</v>
      </c>
      <c r="GD465" s="27" t="s">
        <v>7</v>
      </c>
      <c r="GI465" s="27" t="s">
        <v>8</v>
      </c>
      <c r="GY465" s="27" t="s">
        <v>8</v>
      </c>
      <c r="GZ465" s="27" t="s">
        <v>7</v>
      </c>
      <c r="HJ465" s="27" t="s">
        <v>7</v>
      </c>
      <c r="HK465" s="27" t="s">
        <v>8</v>
      </c>
      <c r="HM465" s="27" t="s">
        <v>8</v>
      </c>
      <c r="HN465" s="27" t="s">
        <v>7</v>
      </c>
      <c r="HO465" s="27" t="s">
        <v>8</v>
      </c>
      <c r="HP465" s="27" t="s">
        <v>7</v>
      </c>
      <c r="HQ465" s="27" t="s">
        <v>8</v>
      </c>
      <c r="HR465" s="27" t="s">
        <v>7</v>
      </c>
    </row>
    <row r="466" spans="1:238" x14ac:dyDescent="0.25">
      <c r="A466" s="7">
        <v>10.980466294885806</v>
      </c>
      <c r="B466"/>
      <c r="C466"/>
      <c r="D466"/>
      <c r="E466"/>
      <c r="DE466" s="27" t="s">
        <v>8</v>
      </c>
      <c r="DF466" s="27" t="s">
        <v>7</v>
      </c>
      <c r="DG466" s="27" t="s">
        <v>8</v>
      </c>
      <c r="DL466" s="27" t="s">
        <v>7</v>
      </c>
      <c r="DM466" s="27" t="s">
        <v>8</v>
      </c>
      <c r="EB466" s="27" t="s">
        <v>7</v>
      </c>
      <c r="EE466" s="27" t="s">
        <v>8</v>
      </c>
      <c r="EF466" s="27" t="s">
        <v>7</v>
      </c>
      <c r="EG466" s="27" t="s">
        <v>8</v>
      </c>
      <c r="EJ466" s="27" t="s">
        <v>7</v>
      </c>
      <c r="EK466" s="27" t="s">
        <v>8</v>
      </c>
      <c r="EL466" s="27" t="s">
        <v>7</v>
      </c>
      <c r="FU466" s="27" t="s">
        <v>8</v>
      </c>
      <c r="FV466" s="27" t="s">
        <v>7</v>
      </c>
      <c r="FW466" s="27" t="s">
        <v>8</v>
      </c>
      <c r="FX466" s="27" t="s">
        <v>7</v>
      </c>
      <c r="GC466" s="27" t="s">
        <v>8</v>
      </c>
      <c r="GD466" s="27" t="s">
        <v>7</v>
      </c>
      <c r="GI466" s="27" t="s">
        <v>8</v>
      </c>
      <c r="GJ466" s="27" t="s">
        <v>7</v>
      </c>
      <c r="GY466" s="27" t="s">
        <v>8</v>
      </c>
      <c r="HJ466" s="27" t="s">
        <v>7</v>
      </c>
      <c r="HK466" s="27" t="s">
        <v>8</v>
      </c>
      <c r="HL466" s="27" t="s">
        <v>7</v>
      </c>
      <c r="HM466" s="27" t="s">
        <v>8</v>
      </c>
      <c r="HN466" s="27" t="s">
        <v>7</v>
      </c>
      <c r="HO466" s="27" t="s">
        <v>8</v>
      </c>
      <c r="HP466" s="27" t="s">
        <v>7</v>
      </c>
      <c r="HQ466" s="27" t="s">
        <v>8</v>
      </c>
      <c r="HR466" s="27" t="s">
        <v>7</v>
      </c>
    </row>
    <row r="467" spans="1:238" x14ac:dyDescent="0.25">
      <c r="A467" s="7">
        <v>10.765163034201771</v>
      </c>
      <c r="B467"/>
      <c r="C467"/>
      <c r="D467"/>
      <c r="E467"/>
      <c r="DC467" s="27" t="s">
        <v>8</v>
      </c>
      <c r="DE467" s="27" t="s">
        <v>8</v>
      </c>
      <c r="DF467" s="27" t="s">
        <v>7</v>
      </c>
      <c r="DG467" s="27" t="s">
        <v>8</v>
      </c>
      <c r="DL467" s="27" t="s">
        <v>7</v>
      </c>
      <c r="EB467" s="27" t="s">
        <v>7</v>
      </c>
      <c r="EC467" s="27" t="s">
        <v>8</v>
      </c>
      <c r="EE467" s="27" t="s">
        <v>8</v>
      </c>
      <c r="EF467" s="27" t="s">
        <v>7</v>
      </c>
      <c r="EG467" s="27" t="s">
        <v>8</v>
      </c>
      <c r="EJ467" s="27" t="s">
        <v>7</v>
      </c>
      <c r="EK467" s="27" t="s">
        <v>8</v>
      </c>
      <c r="EL467" s="27" t="s">
        <v>7</v>
      </c>
      <c r="FU467" s="27" t="s">
        <v>8</v>
      </c>
      <c r="FV467" s="27" t="s">
        <v>7</v>
      </c>
      <c r="FX467" s="27" t="s">
        <v>7</v>
      </c>
      <c r="GA467" s="27" t="s">
        <v>8</v>
      </c>
      <c r="GC467" s="27" t="s">
        <v>8</v>
      </c>
      <c r="GD467" s="27" t="s">
        <v>7</v>
      </c>
      <c r="GI467" s="27" t="s">
        <v>8</v>
      </c>
      <c r="GJ467" s="27" t="s">
        <v>7</v>
      </c>
      <c r="GY467" s="27" t="s">
        <v>8</v>
      </c>
      <c r="HJ467" s="27" t="s">
        <v>7</v>
      </c>
      <c r="HK467" s="27" t="s">
        <v>8</v>
      </c>
      <c r="HL467" s="27" t="s">
        <v>7</v>
      </c>
      <c r="HM467" s="27" t="s">
        <v>8</v>
      </c>
      <c r="HN467" s="27" t="s">
        <v>7</v>
      </c>
      <c r="HO467" s="27" t="s">
        <v>8</v>
      </c>
      <c r="HP467" s="27" t="s">
        <v>7</v>
      </c>
      <c r="HQ467" s="27" t="s">
        <v>8</v>
      </c>
      <c r="HR467" s="27" t="s">
        <v>7</v>
      </c>
    </row>
    <row r="468" spans="1:238" x14ac:dyDescent="0.25">
      <c r="A468" s="7">
        <v>10.554081406080169</v>
      </c>
      <c r="B468"/>
      <c r="C468"/>
      <c r="D468"/>
      <c r="E468"/>
      <c r="DC468" s="27" t="s">
        <v>8</v>
      </c>
      <c r="DD468" s="27" t="s">
        <v>7</v>
      </c>
      <c r="DE468" s="27" t="s">
        <v>8</v>
      </c>
      <c r="DF468" s="27" t="s">
        <v>7</v>
      </c>
      <c r="EB468" s="27" t="s">
        <v>7</v>
      </c>
      <c r="EC468" s="27" t="s">
        <v>8</v>
      </c>
      <c r="ED468" s="27" t="s">
        <v>7</v>
      </c>
      <c r="EE468" s="27" t="s">
        <v>8</v>
      </c>
      <c r="EF468" s="27" t="s">
        <v>7</v>
      </c>
      <c r="EG468" s="27" t="s">
        <v>8</v>
      </c>
      <c r="EJ468" s="27" t="s">
        <v>7</v>
      </c>
      <c r="EK468" s="27" t="s">
        <v>8</v>
      </c>
      <c r="EL468" s="27" t="s">
        <v>7</v>
      </c>
      <c r="FU468" s="27" t="s">
        <v>8</v>
      </c>
      <c r="FX468" s="27" t="s">
        <v>7</v>
      </c>
      <c r="FY468" s="27" t="s">
        <v>8</v>
      </c>
      <c r="GA468" s="27" t="s">
        <v>8</v>
      </c>
      <c r="GB468" s="27" t="s">
        <v>7</v>
      </c>
      <c r="GC468" s="27" t="s">
        <v>8</v>
      </c>
      <c r="GD468" s="27" t="s">
        <v>7</v>
      </c>
      <c r="GI468" s="27" t="s">
        <v>8</v>
      </c>
      <c r="GJ468" s="27" t="s">
        <v>7</v>
      </c>
      <c r="GK468" s="27" t="s">
        <v>8</v>
      </c>
      <c r="GY468" s="27" t="s">
        <v>8</v>
      </c>
      <c r="HJ468" s="27" t="s">
        <v>7</v>
      </c>
      <c r="HK468" s="27" t="s">
        <v>8</v>
      </c>
      <c r="HL468" s="27" t="s">
        <v>7</v>
      </c>
      <c r="HM468" s="27" t="s">
        <v>8</v>
      </c>
      <c r="HN468" s="27" t="s">
        <v>7</v>
      </c>
      <c r="HO468" s="27" t="s">
        <v>8</v>
      </c>
      <c r="HP468" s="27" t="s">
        <v>7</v>
      </c>
      <c r="HQ468" s="27" t="s">
        <v>8</v>
      </c>
      <c r="HR468" s="27" t="s">
        <v>7</v>
      </c>
    </row>
    <row r="469" spans="1:238" x14ac:dyDescent="0.25">
      <c r="A469" s="7">
        <v>10.34713863341193</v>
      </c>
      <c r="B469"/>
      <c r="C469"/>
      <c r="D469"/>
      <c r="E469"/>
      <c r="DC469" s="27" t="s">
        <v>8</v>
      </c>
      <c r="DD469" s="27" t="s">
        <v>7</v>
      </c>
      <c r="DE469" s="27" t="s">
        <v>8</v>
      </c>
      <c r="EB469" s="27" t="s">
        <v>7</v>
      </c>
      <c r="EC469" s="27" t="s">
        <v>8</v>
      </c>
      <c r="ED469" s="27" t="s">
        <v>7</v>
      </c>
      <c r="EE469" s="27" t="s">
        <v>8</v>
      </c>
      <c r="EF469" s="27" t="s">
        <v>7</v>
      </c>
      <c r="EG469" s="27" t="s">
        <v>8</v>
      </c>
      <c r="EJ469" s="27" t="s">
        <v>7</v>
      </c>
      <c r="EL469" s="27" t="s">
        <v>7</v>
      </c>
      <c r="EO469" s="27" t="s">
        <v>8</v>
      </c>
      <c r="FU469" s="27" t="s">
        <v>8</v>
      </c>
      <c r="FX469" s="27" t="s">
        <v>7</v>
      </c>
      <c r="FY469" s="27" t="s">
        <v>8</v>
      </c>
      <c r="FZ469" s="27" t="s">
        <v>7</v>
      </c>
      <c r="GA469" s="27" t="s">
        <v>8</v>
      </c>
      <c r="GB469" s="27" t="s">
        <v>7</v>
      </c>
      <c r="GC469" s="27" t="s">
        <v>8</v>
      </c>
      <c r="GD469" s="27" t="s">
        <v>7</v>
      </c>
      <c r="GI469" s="27" t="s">
        <v>8</v>
      </c>
      <c r="GJ469" s="27" t="s">
        <v>7</v>
      </c>
      <c r="GK469" s="27" t="s">
        <v>8</v>
      </c>
      <c r="GL469" s="27" t="s">
        <v>7</v>
      </c>
      <c r="GY469" s="27" t="s">
        <v>8</v>
      </c>
      <c r="HJ469" s="27" t="s">
        <v>7</v>
      </c>
      <c r="HL469" s="27" t="s">
        <v>7</v>
      </c>
      <c r="HM469" s="27" t="s">
        <v>8</v>
      </c>
      <c r="HN469" s="27" t="s">
        <v>7</v>
      </c>
      <c r="HO469" s="27" t="s">
        <v>8</v>
      </c>
      <c r="HP469" s="27" t="s">
        <v>7</v>
      </c>
      <c r="HQ469" s="27" t="s">
        <v>8</v>
      </c>
      <c r="HR469" s="27" t="s">
        <v>7</v>
      </c>
    </row>
    <row r="470" spans="1:238" x14ac:dyDescent="0.25">
      <c r="A470" s="7">
        <v>10.14425356216856</v>
      </c>
      <c r="B470"/>
      <c r="C470"/>
      <c r="D470"/>
      <c r="E470"/>
      <c r="DC470" s="27" t="s">
        <v>8</v>
      </c>
      <c r="DD470" s="27" t="s">
        <v>7</v>
      </c>
      <c r="DE470" s="27" t="s">
        <v>8</v>
      </c>
      <c r="EB470" s="27" t="s">
        <v>7</v>
      </c>
      <c r="EC470" s="27" t="s">
        <v>8</v>
      </c>
      <c r="ED470" s="27" t="s">
        <v>7</v>
      </c>
      <c r="EE470" s="27" t="s">
        <v>8</v>
      </c>
      <c r="EF470" s="27" t="s">
        <v>7</v>
      </c>
      <c r="EG470" s="27" t="s">
        <v>8</v>
      </c>
      <c r="EL470" s="27" t="s">
        <v>7</v>
      </c>
      <c r="EM470" s="27" t="s">
        <v>8</v>
      </c>
      <c r="EO470" s="27" t="s">
        <v>8</v>
      </c>
      <c r="EP470" s="27" t="s">
        <v>7</v>
      </c>
      <c r="FU470" s="27" t="s">
        <v>8</v>
      </c>
      <c r="FX470" s="27" t="s">
        <v>7</v>
      </c>
      <c r="FY470" s="27" t="s">
        <v>8</v>
      </c>
      <c r="FZ470" s="27" t="s">
        <v>7</v>
      </c>
      <c r="GA470" s="27" t="s">
        <v>8</v>
      </c>
      <c r="GB470" s="27" t="s">
        <v>7</v>
      </c>
      <c r="GD470" s="27" t="s">
        <v>7</v>
      </c>
      <c r="GI470" s="27" t="s">
        <v>8</v>
      </c>
      <c r="GJ470" s="27" t="s">
        <v>7</v>
      </c>
      <c r="GK470" s="27" t="s">
        <v>8</v>
      </c>
      <c r="GL470" s="27" t="s">
        <v>7</v>
      </c>
      <c r="GY470" s="27" t="s">
        <v>8</v>
      </c>
      <c r="HL470" s="27" t="s">
        <v>7</v>
      </c>
      <c r="HM470" s="27" t="s">
        <v>8</v>
      </c>
      <c r="HN470" s="27" t="s">
        <v>7</v>
      </c>
      <c r="HO470" s="27" t="s">
        <v>8</v>
      </c>
      <c r="HP470" s="27" t="s">
        <v>7</v>
      </c>
      <c r="HR470" s="27" t="s">
        <v>7</v>
      </c>
    </row>
    <row r="471" spans="1:238" x14ac:dyDescent="0.25">
      <c r="A471" s="7">
        <v>9.9453466295770188</v>
      </c>
      <c r="B471"/>
      <c r="C471"/>
      <c r="D471"/>
      <c r="E471"/>
      <c r="DC471" s="27" t="s">
        <v>8</v>
      </c>
      <c r="DD471" s="27" t="s">
        <v>7</v>
      </c>
      <c r="DE471" s="27" t="s">
        <v>8</v>
      </c>
      <c r="EB471" s="27" t="s">
        <v>7</v>
      </c>
      <c r="EC471" s="27" t="s">
        <v>8</v>
      </c>
      <c r="ED471" s="27" t="s">
        <v>7</v>
      </c>
      <c r="EE471" s="27" t="s">
        <v>8</v>
      </c>
      <c r="EF471" s="27" t="s">
        <v>7</v>
      </c>
      <c r="EG471" s="27" t="s">
        <v>8</v>
      </c>
      <c r="EL471" s="27" t="s">
        <v>7</v>
      </c>
      <c r="EM471" s="27" t="s">
        <v>8</v>
      </c>
      <c r="EN471" s="27" t="s">
        <v>7</v>
      </c>
      <c r="EO471" s="27" t="s">
        <v>8</v>
      </c>
      <c r="EP471" s="27" t="s">
        <v>7</v>
      </c>
      <c r="FU471" s="27" t="s">
        <v>8</v>
      </c>
      <c r="FX471" s="27" t="s">
        <v>7</v>
      </c>
      <c r="FY471" s="27" t="s">
        <v>8</v>
      </c>
      <c r="FZ471" s="27" t="s">
        <v>7</v>
      </c>
      <c r="GA471" s="27" t="s">
        <v>8</v>
      </c>
      <c r="GD471" s="27" t="s">
        <v>7</v>
      </c>
      <c r="GI471" s="27" t="s">
        <v>8</v>
      </c>
      <c r="GJ471" s="27" t="s">
        <v>7</v>
      </c>
      <c r="GK471" s="27" t="s">
        <v>8</v>
      </c>
      <c r="GL471" s="27" t="s">
        <v>7</v>
      </c>
      <c r="GY471" s="27" t="s">
        <v>8</v>
      </c>
      <c r="HL471" s="27" t="s">
        <v>7</v>
      </c>
      <c r="HM471" s="27" t="s">
        <v>8</v>
      </c>
      <c r="HN471" s="27" t="s">
        <v>7</v>
      </c>
      <c r="HR471" s="27" t="s">
        <v>7</v>
      </c>
    </row>
    <row r="472" spans="1:238" x14ac:dyDescent="0.25">
      <c r="A472" s="7">
        <v>9.7503398329186464</v>
      </c>
      <c r="B472"/>
      <c r="C472"/>
      <c r="D472"/>
      <c r="E472"/>
      <c r="DC472" s="27" t="s">
        <v>8</v>
      </c>
      <c r="DD472" s="27" t="s">
        <v>7</v>
      </c>
      <c r="DE472" s="27" t="s">
        <v>8</v>
      </c>
      <c r="EB472" s="27" t="s">
        <v>7</v>
      </c>
      <c r="EC472" s="27" t="s">
        <v>8</v>
      </c>
      <c r="ED472" s="27" t="s">
        <v>7</v>
      </c>
      <c r="EE472" s="27" t="s">
        <v>8</v>
      </c>
      <c r="EF472" s="27" t="s">
        <v>7</v>
      </c>
      <c r="EG472" s="27" t="s">
        <v>8</v>
      </c>
      <c r="EL472" s="27" t="s">
        <v>7</v>
      </c>
      <c r="EM472" s="27" t="s">
        <v>8</v>
      </c>
      <c r="EN472" s="27" t="s">
        <v>7</v>
      </c>
      <c r="EO472" s="27" t="s">
        <v>8</v>
      </c>
      <c r="EP472" s="27" t="s">
        <v>7</v>
      </c>
      <c r="FU472" s="27" t="s">
        <v>8</v>
      </c>
      <c r="FX472" s="27" t="s">
        <v>7</v>
      </c>
      <c r="FY472" s="27" t="s">
        <v>8</v>
      </c>
      <c r="FZ472" s="27" t="s">
        <v>7</v>
      </c>
      <c r="GA472" s="27" t="s">
        <v>8</v>
      </c>
      <c r="GD472" s="27" t="s">
        <v>7</v>
      </c>
      <c r="GE472" s="27" t="s">
        <v>8</v>
      </c>
      <c r="GI472" s="27" t="s">
        <v>8</v>
      </c>
      <c r="GJ472" s="27" t="s">
        <v>7</v>
      </c>
      <c r="GK472" s="27" t="s">
        <v>8</v>
      </c>
      <c r="GL472" s="27" t="s">
        <v>7</v>
      </c>
      <c r="GY472" s="27" t="s">
        <v>8</v>
      </c>
      <c r="HL472" s="27" t="s">
        <v>7</v>
      </c>
      <c r="HR472" s="27" t="s">
        <v>7</v>
      </c>
    </row>
    <row r="473" spans="1:238" x14ac:dyDescent="0.25">
      <c r="A473" s="7">
        <v>9.5591566989398498</v>
      </c>
      <c r="B473"/>
      <c r="C473"/>
      <c r="D473"/>
      <c r="E473"/>
      <c r="DC473" s="27" t="s">
        <v>8</v>
      </c>
      <c r="DD473" s="27" t="s">
        <v>7</v>
      </c>
      <c r="DE473" s="27" t="s">
        <v>8</v>
      </c>
      <c r="EB473" s="27" t="s">
        <v>7</v>
      </c>
      <c r="EC473" s="27" t="s">
        <v>8</v>
      </c>
      <c r="ED473" s="27" t="s">
        <v>7</v>
      </c>
      <c r="EE473" s="27" t="s">
        <v>8</v>
      </c>
      <c r="EF473" s="27" t="s">
        <v>7</v>
      </c>
      <c r="EG473" s="27" t="s">
        <v>8</v>
      </c>
      <c r="EL473" s="27" t="s">
        <v>7</v>
      </c>
      <c r="EM473" s="27" t="s">
        <v>8</v>
      </c>
      <c r="EN473" s="27" t="s">
        <v>7</v>
      </c>
      <c r="EO473" s="27" t="s">
        <v>8</v>
      </c>
      <c r="EP473" s="27" t="s">
        <v>7</v>
      </c>
      <c r="FS473" s="27" t="s">
        <v>8</v>
      </c>
      <c r="FU473" s="27" t="s">
        <v>8</v>
      </c>
      <c r="FX473" s="27" t="s">
        <v>7</v>
      </c>
      <c r="FY473" s="27" t="s">
        <v>8</v>
      </c>
      <c r="FZ473" s="27" t="s">
        <v>7</v>
      </c>
      <c r="GA473" s="27" t="s">
        <v>8</v>
      </c>
      <c r="GD473" s="27" t="s">
        <v>7</v>
      </c>
      <c r="GE473" s="27" t="s">
        <v>8</v>
      </c>
      <c r="GF473" s="27" t="s">
        <v>7</v>
      </c>
      <c r="GI473" s="27" t="s">
        <v>8</v>
      </c>
      <c r="GJ473" s="27" t="s">
        <v>7</v>
      </c>
      <c r="GK473" s="27" t="s">
        <v>8</v>
      </c>
      <c r="GL473" s="27" t="s">
        <v>7</v>
      </c>
      <c r="GY473" s="27" t="s">
        <v>8</v>
      </c>
      <c r="HR473" s="27" t="s">
        <v>7</v>
      </c>
    </row>
    <row r="474" spans="1:238" x14ac:dyDescent="0.25">
      <c r="A474" s="7">
        <v>9.3717222538625968</v>
      </c>
      <c r="B474"/>
      <c r="C474"/>
      <c r="D474"/>
      <c r="E474"/>
      <c r="DC474" s="27" t="s">
        <v>8</v>
      </c>
      <c r="DD474" s="27" t="s">
        <v>7</v>
      </c>
      <c r="DE474" s="27" t="s">
        <v>8</v>
      </c>
      <c r="EB474" s="27" t="s">
        <v>7</v>
      </c>
      <c r="EC474" s="27" t="s">
        <v>8</v>
      </c>
      <c r="ED474" s="27" t="s">
        <v>7</v>
      </c>
      <c r="EE474" s="27" t="s">
        <v>8</v>
      </c>
      <c r="EF474" s="27" t="s">
        <v>7</v>
      </c>
      <c r="EL474" s="27" t="s">
        <v>7</v>
      </c>
      <c r="EM474" s="27" t="s">
        <v>8</v>
      </c>
      <c r="EN474" s="27" t="s">
        <v>7</v>
      </c>
      <c r="EO474" s="27" t="s">
        <v>8</v>
      </c>
      <c r="EP474" s="27" t="s">
        <v>7</v>
      </c>
      <c r="FS474" s="27" t="s">
        <v>8</v>
      </c>
      <c r="FT474" s="27" t="s">
        <v>7</v>
      </c>
      <c r="FU474" s="27" t="s">
        <v>8</v>
      </c>
      <c r="FX474" s="27" t="s">
        <v>7</v>
      </c>
      <c r="FZ474" s="27" t="s">
        <v>7</v>
      </c>
      <c r="GD474" s="27" t="s">
        <v>7</v>
      </c>
      <c r="GE474" s="27" t="s">
        <v>8</v>
      </c>
      <c r="GF474" s="27" t="s">
        <v>7</v>
      </c>
      <c r="GG474" s="27" t="s">
        <v>8</v>
      </c>
      <c r="GI474" s="27" t="s">
        <v>8</v>
      </c>
      <c r="GJ474" s="27" t="s">
        <v>7</v>
      </c>
      <c r="GL474" s="27" t="s">
        <v>7</v>
      </c>
      <c r="GY474" s="27" t="s">
        <v>8</v>
      </c>
      <c r="HR474" s="27" t="s">
        <v>7</v>
      </c>
    </row>
    <row r="475" spans="1:238" x14ac:dyDescent="0.25">
      <c r="A475" s="7">
        <v>9.1879629939829375</v>
      </c>
      <c r="B475"/>
      <c r="C475"/>
      <c r="D475"/>
      <c r="E475"/>
      <c r="DC475" s="27" t="s">
        <v>8</v>
      </c>
      <c r="DD475" s="27" t="s">
        <v>7</v>
      </c>
      <c r="DE475" s="27" t="s">
        <v>8</v>
      </c>
      <c r="EB475" s="27" t="s">
        <v>7</v>
      </c>
      <c r="EC475" s="27" t="s">
        <v>8</v>
      </c>
      <c r="ED475" s="27" t="s">
        <v>7</v>
      </c>
      <c r="EE475" s="27" t="s">
        <v>8</v>
      </c>
      <c r="EL475" s="27" t="s">
        <v>7</v>
      </c>
      <c r="EM475" s="27" t="s">
        <v>8</v>
      </c>
      <c r="EN475" s="27" t="s">
        <v>7</v>
      </c>
      <c r="EO475" s="27" t="s">
        <v>8</v>
      </c>
      <c r="EP475" s="27" t="s">
        <v>7</v>
      </c>
      <c r="FS475" s="27" t="s">
        <v>8</v>
      </c>
      <c r="FT475" s="27" t="s">
        <v>7</v>
      </c>
      <c r="FU475" s="27" t="s">
        <v>8</v>
      </c>
      <c r="GD475" s="27" t="s">
        <v>7</v>
      </c>
      <c r="GE475" s="27" t="s">
        <v>8</v>
      </c>
      <c r="GF475" s="27" t="s">
        <v>7</v>
      </c>
      <c r="GG475" s="27" t="s">
        <v>8</v>
      </c>
      <c r="GH475" s="27" t="s">
        <v>7</v>
      </c>
      <c r="GI475" s="27" t="s">
        <v>8</v>
      </c>
      <c r="GL475" s="27" t="s">
        <v>7</v>
      </c>
      <c r="GM475" s="27" t="s">
        <v>8</v>
      </c>
      <c r="GQ475" s="27" t="s">
        <v>8</v>
      </c>
      <c r="GY475" s="27" t="s">
        <v>8</v>
      </c>
      <c r="HR475" s="27" t="s">
        <v>7</v>
      </c>
    </row>
    <row r="476" spans="1:238" x14ac:dyDescent="0.25">
      <c r="A476" s="7">
        <v>9.0078068568460168</v>
      </c>
      <c r="B476"/>
      <c r="C476"/>
      <c r="D476"/>
      <c r="E476"/>
      <c r="DC476" s="27" t="s">
        <v>8</v>
      </c>
      <c r="DD476" s="27" t="s">
        <v>7</v>
      </c>
      <c r="EB476" s="27" t="s">
        <v>7</v>
      </c>
      <c r="EC476" s="27" t="s">
        <v>8</v>
      </c>
      <c r="ED476" s="27" t="s">
        <v>7</v>
      </c>
      <c r="EE476" s="27" t="s">
        <v>8</v>
      </c>
      <c r="EL476" s="27" t="s">
        <v>7</v>
      </c>
      <c r="EM476" s="27" t="s">
        <v>8</v>
      </c>
      <c r="EN476" s="27" t="s">
        <v>7</v>
      </c>
      <c r="EO476" s="27" t="s">
        <v>8</v>
      </c>
      <c r="EP476" s="27" t="s">
        <v>7</v>
      </c>
      <c r="FS476" s="27" t="s">
        <v>8</v>
      </c>
      <c r="FT476" s="27" t="s">
        <v>7</v>
      </c>
      <c r="FU476" s="27" t="s">
        <v>8</v>
      </c>
      <c r="GD476" s="27" t="s">
        <v>7</v>
      </c>
      <c r="GE476" s="27" t="s">
        <v>8</v>
      </c>
      <c r="GF476" s="27" t="s">
        <v>7</v>
      </c>
      <c r="GG476" s="27" t="s">
        <v>8</v>
      </c>
      <c r="GH476" s="27" t="s">
        <v>7</v>
      </c>
      <c r="GI476" s="27" t="s">
        <v>8</v>
      </c>
      <c r="GL476" s="27" t="s">
        <v>7</v>
      </c>
      <c r="GM476" s="27" t="s">
        <v>8</v>
      </c>
      <c r="GN476" s="27" t="s">
        <v>7</v>
      </c>
      <c r="GQ476" s="27" t="s">
        <v>8</v>
      </c>
      <c r="GR476" s="27" t="s">
        <v>7</v>
      </c>
      <c r="GY476" s="27" t="s">
        <v>8</v>
      </c>
      <c r="HR476" s="27" t="s">
        <v>7</v>
      </c>
    </row>
    <row r="477" spans="1:238" x14ac:dyDescent="0.25">
      <c r="A477" s="7">
        <v>8.8311831929862912</v>
      </c>
      <c r="B477"/>
      <c r="C477"/>
      <c r="D477"/>
      <c r="E477"/>
      <c r="DA477" s="27" t="s">
        <v>8</v>
      </c>
      <c r="DC477" s="27" t="s">
        <v>8</v>
      </c>
      <c r="EB477" s="27" t="s">
        <v>7</v>
      </c>
      <c r="EC477" s="27" t="s">
        <v>8</v>
      </c>
      <c r="ED477" s="27" t="s">
        <v>7</v>
      </c>
      <c r="EE477" s="27" t="s">
        <v>8</v>
      </c>
      <c r="EL477" s="27" t="s">
        <v>7</v>
      </c>
      <c r="EM477" s="27" t="s">
        <v>8</v>
      </c>
      <c r="EN477" s="27" t="s">
        <v>7</v>
      </c>
      <c r="EO477" s="27" t="s">
        <v>8</v>
      </c>
      <c r="EP477" s="27" t="s">
        <v>7</v>
      </c>
      <c r="FS477" s="27" t="s">
        <v>8</v>
      </c>
      <c r="FT477" s="27" t="s">
        <v>7</v>
      </c>
      <c r="FU477" s="27" t="s">
        <v>8</v>
      </c>
      <c r="GD477" s="27" t="s">
        <v>7</v>
      </c>
      <c r="GE477" s="27" t="s">
        <v>8</v>
      </c>
      <c r="GF477" s="27" t="s">
        <v>7</v>
      </c>
      <c r="GG477" s="27" t="s">
        <v>8</v>
      </c>
      <c r="GH477" s="27" t="s">
        <v>7</v>
      </c>
      <c r="GI477" s="27" t="s">
        <v>8</v>
      </c>
      <c r="GL477" s="27" t="s">
        <v>7</v>
      </c>
      <c r="GM477" s="27" t="s">
        <v>8</v>
      </c>
      <c r="GN477" s="27" t="s">
        <v>7</v>
      </c>
      <c r="GQ477" s="27" t="s">
        <v>8</v>
      </c>
      <c r="GR477" s="27" t="s">
        <v>7</v>
      </c>
      <c r="GS477" s="27" t="s">
        <v>8</v>
      </c>
      <c r="GY477" s="27" t="s">
        <v>8</v>
      </c>
      <c r="HR477" s="27" t="s">
        <v>7</v>
      </c>
      <c r="HS477" s="27" t="s">
        <v>8</v>
      </c>
      <c r="IC477" s="27" t="s">
        <v>8</v>
      </c>
    </row>
    <row r="478" spans="1:238" x14ac:dyDescent="0.25">
      <c r="A478" s="7">
        <v>8.6580227382218542</v>
      </c>
      <c r="B478"/>
      <c r="C478"/>
      <c r="D478"/>
      <c r="E478"/>
      <c r="DA478" s="27" t="s">
        <v>8</v>
      </c>
      <c r="DB478" s="27" t="s">
        <v>7</v>
      </c>
      <c r="DC478" s="27" t="s">
        <v>8</v>
      </c>
      <c r="EB478" s="27" t="s">
        <v>7</v>
      </c>
      <c r="EC478" s="27" t="s">
        <v>8</v>
      </c>
      <c r="ED478" s="27" t="s">
        <v>7</v>
      </c>
      <c r="EE478" s="27" t="s">
        <v>8</v>
      </c>
      <c r="EL478" s="27" t="s">
        <v>7</v>
      </c>
      <c r="EM478" s="27" t="s">
        <v>8</v>
      </c>
      <c r="EN478" s="27" t="s">
        <v>7</v>
      </c>
      <c r="EO478" s="27" t="s">
        <v>8</v>
      </c>
      <c r="EP478" s="27" t="s">
        <v>7</v>
      </c>
      <c r="FS478" s="27" t="s">
        <v>8</v>
      </c>
      <c r="FT478" s="27" t="s">
        <v>7</v>
      </c>
      <c r="FU478" s="27" t="s">
        <v>8</v>
      </c>
      <c r="GD478" s="27" t="s">
        <v>7</v>
      </c>
      <c r="GE478" s="27" t="s">
        <v>8</v>
      </c>
      <c r="GF478" s="27" t="s">
        <v>7</v>
      </c>
      <c r="GG478" s="27" t="s">
        <v>8</v>
      </c>
      <c r="GH478" s="27" t="s">
        <v>7</v>
      </c>
      <c r="GI478" s="27" t="s">
        <v>8</v>
      </c>
      <c r="GL478" s="27" t="s">
        <v>7</v>
      </c>
      <c r="GM478" s="27" t="s">
        <v>8</v>
      </c>
      <c r="GN478" s="27" t="s">
        <v>7</v>
      </c>
      <c r="GQ478" s="27" t="s">
        <v>8</v>
      </c>
      <c r="GR478" s="27" t="s">
        <v>7</v>
      </c>
      <c r="GS478" s="27" t="s">
        <v>8</v>
      </c>
      <c r="GT478" s="27" t="s">
        <v>7</v>
      </c>
      <c r="GY478" s="27" t="s">
        <v>8</v>
      </c>
      <c r="HR478" s="27" t="s">
        <v>7</v>
      </c>
      <c r="HS478" s="27" t="s">
        <v>8</v>
      </c>
      <c r="HT478" s="27" t="s">
        <v>7</v>
      </c>
      <c r="IC478" s="27" t="s">
        <v>8</v>
      </c>
      <c r="ID478" s="27" t="s">
        <v>7</v>
      </c>
    </row>
    <row r="479" spans="1:238" x14ac:dyDescent="0.25">
      <c r="A479" s="7">
        <v>8.4882575864920131</v>
      </c>
      <c r="B479"/>
      <c r="C479"/>
      <c r="D479"/>
      <c r="E479"/>
      <c r="DA479" s="27" t="s">
        <v>8</v>
      </c>
      <c r="DB479" s="27" t="s">
        <v>7</v>
      </c>
      <c r="DC479" s="27" t="s">
        <v>8</v>
      </c>
      <c r="EB479" s="27" t="s">
        <v>7</v>
      </c>
      <c r="EC479" s="27" t="s">
        <v>8</v>
      </c>
      <c r="ED479" s="27" t="s">
        <v>7</v>
      </c>
      <c r="EE479" s="27" t="s">
        <v>8</v>
      </c>
      <c r="EL479" s="27" t="s">
        <v>7</v>
      </c>
      <c r="EM479" s="27" t="s">
        <v>8</v>
      </c>
      <c r="EN479" s="27" t="s">
        <v>7</v>
      </c>
      <c r="EO479" s="27" t="s">
        <v>8</v>
      </c>
      <c r="EP479" s="27" t="s">
        <v>7</v>
      </c>
      <c r="FS479" s="27" t="s">
        <v>8</v>
      </c>
      <c r="FT479" s="27" t="s">
        <v>7</v>
      </c>
      <c r="FU479" s="27" t="s">
        <v>8</v>
      </c>
      <c r="GD479" s="27" t="s">
        <v>7</v>
      </c>
      <c r="GE479" s="27" t="s">
        <v>8</v>
      </c>
      <c r="GF479" s="27" t="s">
        <v>7</v>
      </c>
      <c r="GG479" s="27" t="s">
        <v>8</v>
      </c>
      <c r="GH479" s="27" t="s">
        <v>7</v>
      </c>
      <c r="GI479" s="27" t="s">
        <v>8</v>
      </c>
      <c r="GL479" s="27" t="s">
        <v>7</v>
      </c>
      <c r="GM479" s="27" t="s">
        <v>8</v>
      </c>
      <c r="GN479" s="27" t="s">
        <v>7</v>
      </c>
      <c r="GQ479" s="27" t="s">
        <v>8</v>
      </c>
      <c r="GR479" s="27" t="s">
        <v>7</v>
      </c>
      <c r="GS479" s="27" t="s">
        <v>8</v>
      </c>
      <c r="GT479" s="27" t="s">
        <v>7</v>
      </c>
      <c r="GU479" s="27" t="s">
        <v>8</v>
      </c>
      <c r="GY479" s="27" t="s">
        <v>8</v>
      </c>
      <c r="HR479" s="27" t="s">
        <v>7</v>
      </c>
      <c r="HS479" s="27" t="s">
        <v>8</v>
      </c>
      <c r="HT479" s="27" t="s">
        <v>7</v>
      </c>
      <c r="IC479" s="27" t="s">
        <v>8</v>
      </c>
      <c r="ID479" s="27" t="s">
        <v>7</v>
      </c>
    </row>
    <row r="480" spans="1:238" x14ac:dyDescent="0.25">
      <c r="A480" s="7">
        <v>8.3218211632274635</v>
      </c>
      <c r="B480"/>
      <c r="C480"/>
      <c r="D480"/>
      <c r="E480"/>
      <c r="DA480" s="27" t="s">
        <v>8</v>
      </c>
      <c r="DB480" s="27" t="s">
        <v>7</v>
      </c>
      <c r="DC480" s="27" t="s">
        <v>8</v>
      </c>
      <c r="EB480" s="27" t="s">
        <v>7</v>
      </c>
      <c r="EC480" s="27" t="s">
        <v>8</v>
      </c>
      <c r="ED480" s="27" t="s">
        <v>7</v>
      </c>
      <c r="EE480" s="27" t="s">
        <v>8</v>
      </c>
      <c r="EL480" s="27" t="s">
        <v>7</v>
      </c>
      <c r="EM480" s="27" t="s">
        <v>8</v>
      </c>
      <c r="EN480" s="27" t="s">
        <v>7</v>
      </c>
      <c r="EO480" s="27" t="s">
        <v>8</v>
      </c>
      <c r="EP480" s="27" t="s">
        <v>7</v>
      </c>
      <c r="FO480" s="27" t="s">
        <v>8</v>
      </c>
      <c r="FS480" s="27" t="s">
        <v>8</v>
      </c>
      <c r="FT480" s="27" t="s">
        <v>7</v>
      </c>
      <c r="FU480" s="27" t="s">
        <v>8</v>
      </c>
      <c r="GD480" s="27" t="s">
        <v>7</v>
      </c>
      <c r="GE480" s="27" t="s">
        <v>8</v>
      </c>
      <c r="GF480" s="27" t="s">
        <v>7</v>
      </c>
      <c r="GG480" s="27" t="s">
        <v>8</v>
      </c>
      <c r="GH480" s="27" t="s">
        <v>7</v>
      </c>
      <c r="GI480" s="27" t="s">
        <v>8</v>
      </c>
      <c r="GL480" s="27" t="s">
        <v>7</v>
      </c>
      <c r="GM480" s="27" t="s">
        <v>8</v>
      </c>
      <c r="GN480" s="27" t="s">
        <v>7</v>
      </c>
      <c r="GQ480" s="27" t="s">
        <v>8</v>
      </c>
      <c r="GR480" s="27" t="s">
        <v>7</v>
      </c>
      <c r="GS480" s="27" t="s">
        <v>8</v>
      </c>
      <c r="GT480" s="27" t="s">
        <v>7</v>
      </c>
      <c r="GU480" s="27" t="s">
        <v>8</v>
      </c>
      <c r="GV480" s="27" t="s">
        <v>7</v>
      </c>
      <c r="GY480" s="27" t="s">
        <v>8</v>
      </c>
      <c r="HR480" s="27" t="s">
        <v>7</v>
      </c>
      <c r="HS480" s="27" t="s">
        <v>8</v>
      </c>
      <c r="HT480" s="27" t="s">
        <v>7</v>
      </c>
      <c r="HU480" s="27" t="s">
        <v>8</v>
      </c>
      <c r="IC480" s="27" t="s">
        <v>8</v>
      </c>
      <c r="ID480" s="27" t="s">
        <v>7</v>
      </c>
    </row>
    <row r="481" spans="1:248" x14ac:dyDescent="0.25">
      <c r="A481" s="7">
        <v>8.1586481992426112</v>
      </c>
      <c r="B481"/>
      <c r="C481"/>
      <c r="D481"/>
      <c r="E481"/>
      <c r="DA481" s="27" t="s">
        <v>8</v>
      </c>
      <c r="DB481" s="27" t="s">
        <v>7</v>
      </c>
      <c r="DC481" s="27" t="s">
        <v>8</v>
      </c>
      <c r="EB481" s="27" t="s">
        <v>7</v>
      </c>
      <c r="ED481" s="27" t="s">
        <v>7</v>
      </c>
      <c r="EE481" s="27" t="s">
        <v>8</v>
      </c>
      <c r="EL481" s="27" t="s">
        <v>7</v>
      </c>
      <c r="EM481" s="27" t="s">
        <v>8</v>
      </c>
      <c r="EN481" s="27" t="s">
        <v>7</v>
      </c>
      <c r="EO481" s="27" t="s">
        <v>8</v>
      </c>
      <c r="EP481" s="27" t="s">
        <v>7</v>
      </c>
      <c r="FO481" s="27" t="s">
        <v>8</v>
      </c>
      <c r="FP481" s="27" t="s">
        <v>7</v>
      </c>
      <c r="FS481" s="27" t="s">
        <v>8</v>
      </c>
      <c r="FT481" s="27" t="s">
        <v>7</v>
      </c>
      <c r="FU481" s="27" t="s">
        <v>8</v>
      </c>
      <c r="GD481" s="27" t="s">
        <v>7</v>
      </c>
      <c r="GE481" s="27" t="s">
        <v>8</v>
      </c>
      <c r="GF481" s="27" t="s">
        <v>7</v>
      </c>
      <c r="GH481" s="27" t="s">
        <v>7</v>
      </c>
      <c r="GI481" s="27" t="s">
        <v>8</v>
      </c>
      <c r="GL481" s="27" t="s">
        <v>7</v>
      </c>
      <c r="GM481" s="27" t="s">
        <v>8</v>
      </c>
      <c r="GN481" s="27" t="s">
        <v>7</v>
      </c>
      <c r="GQ481" s="27" t="s">
        <v>8</v>
      </c>
      <c r="GR481" s="27" t="s">
        <v>7</v>
      </c>
      <c r="GT481" s="27" t="s">
        <v>7</v>
      </c>
      <c r="GU481" s="27" t="s">
        <v>8</v>
      </c>
      <c r="GV481" s="27" t="s">
        <v>7</v>
      </c>
      <c r="GY481" s="27" t="s">
        <v>8</v>
      </c>
      <c r="HR481" s="27" t="s">
        <v>7</v>
      </c>
      <c r="HS481" s="27" t="s">
        <v>8</v>
      </c>
      <c r="HT481" s="27" t="s">
        <v>7</v>
      </c>
      <c r="HU481" s="27" t="s">
        <v>8</v>
      </c>
      <c r="HV481" s="27" t="s">
        <v>7</v>
      </c>
      <c r="IA481" s="27" t="s">
        <v>8</v>
      </c>
      <c r="IC481" s="27" t="s">
        <v>8</v>
      </c>
      <c r="ID481" s="27" t="s">
        <v>7</v>
      </c>
      <c r="IG481" s="27" t="s">
        <v>8</v>
      </c>
    </row>
    <row r="482" spans="1:248" x14ac:dyDescent="0.25">
      <c r="A482" s="7">
        <v>7.9986747051398144</v>
      </c>
      <c r="B482"/>
      <c r="C482"/>
      <c r="D482"/>
      <c r="E482"/>
      <c r="DA482" s="27" t="s">
        <v>8</v>
      </c>
      <c r="DB482" s="27" t="s">
        <v>7</v>
      </c>
      <c r="ED482" s="27" t="s">
        <v>7</v>
      </c>
      <c r="EE482" s="27" t="s">
        <v>8</v>
      </c>
      <c r="EL482" s="27" t="s">
        <v>7</v>
      </c>
      <c r="EN482" s="27" t="s">
        <v>7</v>
      </c>
      <c r="EO482" s="27" t="s">
        <v>8</v>
      </c>
      <c r="EP482" s="27" t="s">
        <v>7</v>
      </c>
      <c r="FO482" s="27" t="s">
        <v>8</v>
      </c>
      <c r="FP482" s="27" t="s">
        <v>7</v>
      </c>
      <c r="FS482" s="27" t="s">
        <v>8</v>
      </c>
      <c r="FT482" s="27" t="s">
        <v>7</v>
      </c>
      <c r="FU482" s="27" t="s">
        <v>8</v>
      </c>
      <c r="GD482" s="27" t="s">
        <v>7</v>
      </c>
      <c r="GE482" s="27" t="s">
        <v>8</v>
      </c>
      <c r="GH482" s="27" t="s">
        <v>7</v>
      </c>
      <c r="GI482" s="27" t="s">
        <v>8</v>
      </c>
      <c r="GL482" s="27" t="s">
        <v>7</v>
      </c>
      <c r="GM482" s="27" t="s">
        <v>8</v>
      </c>
      <c r="GN482" s="27" t="s">
        <v>7</v>
      </c>
      <c r="GQ482" s="27" t="s">
        <v>8</v>
      </c>
      <c r="GT482" s="27" t="s">
        <v>7</v>
      </c>
      <c r="GU482" s="27" t="s">
        <v>8</v>
      </c>
      <c r="GV482" s="27" t="s">
        <v>7</v>
      </c>
      <c r="GY482" s="27" t="s">
        <v>8</v>
      </c>
      <c r="HR482" s="27" t="s">
        <v>7</v>
      </c>
      <c r="HS482" s="27" t="s">
        <v>8</v>
      </c>
      <c r="HT482" s="27" t="s">
        <v>7</v>
      </c>
      <c r="HU482" s="27" t="s">
        <v>8</v>
      </c>
      <c r="HV482" s="27" t="s">
        <v>7</v>
      </c>
      <c r="IA482" s="27" t="s">
        <v>8</v>
      </c>
      <c r="IB482" s="27" t="s">
        <v>7</v>
      </c>
      <c r="IC482" s="27" t="s">
        <v>8</v>
      </c>
      <c r="ID482" s="27" t="s">
        <v>7</v>
      </c>
      <c r="IG482" s="27" t="s">
        <v>8</v>
      </c>
      <c r="IH482" s="27" t="s">
        <v>7</v>
      </c>
    </row>
    <row r="483" spans="1:248" x14ac:dyDescent="0.25">
      <c r="A483" s="7">
        <v>7.8418379462155041</v>
      </c>
      <c r="B483"/>
      <c r="C483"/>
      <c r="D483"/>
      <c r="E483"/>
      <c r="DA483" s="27" t="s">
        <v>8</v>
      </c>
      <c r="ED483" s="27" t="s">
        <v>7</v>
      </c>
      <c r="EE483" s="27" t="s">
        <v>8</v>
      </c>
      <c r="EN483" s="27" t="s">
        <v>7</v>
      </c>
      <c r="EO483" s="27" t="s">
        <v>8</v>
      </c>
      <c r="EP483" s="27" t="s">
        <v>7</v>
      </c>
      <c r="FO483" s="27" t="s">
        <v>8</v>
      </c>
      <c r="FP483" s="27" t="s">
        <v>7</v>
      </c>
      <c r="FS483" s="27" t="s">
        <v>8</v>
      </c>
      <c r="FT483" s="27" t="s">
        <v>7</v>
      </c>
      <c r="GD483" s="27" t="s">
        <v>7</v>
      </c>
      <c r="GE483" s="27" t="s">
        <v>8</v>
      </c>
      <c r="GH483" s="27" t="s">
        <v>7</v>
      </c>
      <c r="GL483" s="27" t="s">
        <v>7</v>
      </c>
      <c r="GM483" s="27" t="s">
        <v>8</v>
      </c>
      <c r="GN483" s="27" t="s">
        <v>7</v>
      </c>
      <c r="GQ483" s="27" t="s">
        <v>8</v>
      </c>
      <c r="GT483" s="27" t="s">
        <v>7</v>
      </c>
      <c r="GU483" s="27" t="s">
        <v>8</v>
      </c>
      <c r="GV483" s="27" t="s">
        <v>7</v>
      </c>
      <c r="GW483" s="27" t="s">
        <v>8</v>
      </c>
      <c r="GY483" s="27" t="s">
        <v>8</v>
      </c>
      <c r="HR483" s="27" t="s">
        <v>7</v>
      </c>
      <c r="HS483" s="27" t="s">
        <v>8</v>
      </c>
      <c r="HT483" s="27" t="s">
        <v>7</v>
      </c>
      <c r="HU483" s="27" t="s">
        <v>8</v>
      </c>
      <c r="HV483" s="27" t="s">
        <v>7</v>
      </c>
      <c r="IA483" s="27" t="s">
        <v>8</v>
      </c>
      <c r="IB483" s="27" t="s">
        <v>7</v>
      </c>
      <c r="IC483" s="27" t="s">
        <v>8</v>
      </c>
      <c r="ID483" s="27" t="s">
        <v>7</v>
      </c>
      <c r="IG483" s="27" t="s">
        <v>8</v>
      </c>
      <c r="IH483" s="27" t="s">
        <v>7</v>
      </c>
    </row>
    <row r="484" spans="1:248" x14ac:dyDescent="0.25">
      <c r="A484" s="7">
        <v>7.688076417858337</v>
      </c>
      <c r="B484"/>
      <c r="C484"/>
      <c r="D484"/>
      <c r="E484"/>
      <c r="DA484" s="27" t="s">
        <v>8</v>
      </c>
      <c r="ED484" s="27" t="s">
        <v>7</v>
      </c>
      <c r="EE484" s="27" t="s">
        <v>8</v>
      </c>
      <c r="EN484" s="27" t="s">
        <v>7</v>
      </c>
      <c r="EO484" s="27" t="s">
        <v>8</v>
      </c>
      <c r="EP484" s="27" t="s">
        <v>7</v>
      </c>
      <c r="FA484" s="27" t="s">
        <v>8</v>
      </c>
      <c r="FO484" s="27" t="s">
        <v>8</v>
      </c>
      <c r="FP484" s="27" t="s">
        <v>7</v>
      </c>
      <c r="FS484" s="27" t="s">
        <v>8</v>
      </c>
      <c r="GD484" s="27" t="s">
        <v>7</v>
      </c>
      <c r="GE484" s="27" t="s">
        <v>8</v>
      </c>
      <c r="GL484" s="27" t="s">
        <v>7</v>
      </c>
      <c r="GM484" s="27" t="s">
        <v>8</v>
      </c>
      <c r="GN484" s="27" t="s">
        <v>7</v>
      </c>
      <c r="GO484" s="27" t="s">
        <v>8</v>
      </c>
      <c r="GQ484" s="27" t="s">
        <v>8</v>
      </c>
      <c r="GT484" s="27" t="s">
        <v>7</v>
      </c>
      <c r="GU484" s="27" t="s">
        <v>8</v>
      </c>
      <c r="GV484" s="27" t="s">
        <v>7</v>
      </c>
      <c r="GW484" s="27" t="s">
        <v>8</v>
      </c>
      <c r="GX484" s="27" t="s">
        <v>7</v>
      </c>
      <c r="GY484" s="27" t="s">
        <v>8</v>
      </c>
      <c r="HR484" s="27" t="s">
        <v>7</v>
      </c>
      <c r="HS484" s="27" t="s">
        <v>8</v>
      </c>
      <c r="HT484" s="27" t="s">
        <v>7</v>
      </c>
      <c r="HU484" s="27" t="s">
        <v>8</v>
      </c>
      <c r="HV484" s="27" t="s">
        <v>7</v>
      </c>
      <c r="IA484" s="27" t="s">
        <v>8</v>
      </c>
      <c r="IB484" s="27" t="s">
        <v>7</v>
      </c>
      <c r="IC484" s="27" t="s">
        <v>8</v>
      </c>
      <c r="ID484" s="27" t="s">
        <v>7</v>
      </c>
      <c r="IE484" s="27" t="s">
        <v>8</v>
      </c>
      <c r="IG484" s="27" t="s">
        <v>8</v>
      </c>
      <c r="IH484" s="27" t="s">
        <v>7</v>
      </c>
    </row>
    <row r="485" spans="1:248" x14ac:dyDescent="0.25">
      <c r="A485" s="7">
        <v>7.5373298214297417</v>
      </c>
      <c r="B485"/>
      <c r="C485"/>
      <c r="D485"/>
      <c r="E485"/>
      <c r="DA485" s="27" t="s">
        <v>8</v>
      </c>
      <c r="ED485" s="27" t="s">
        <v>7</v>
      </c>
      <c r="EE485" s="27" t="s">
        <v>8</v>
      </c>
      <c r="EN485" s="27" t="s">
        <v>7</v>
      </c>
      <c r="EO485" s="27" t="s">
        <v>8</v>
      </c>
      <c r="EP485" s="27" t="s">
        <v>7</v>
      </c>
      <c r="FA485" s="27" t="s">
        <v>8</v>
      </c>
      <c r="FB485" s="27" t="s">
        <v>7</v>
      </c>
      <c r="FO485" s="27" t="s">
        <v>8</v>
      </c>
      <c r="FP485" s="27" t="s">
        <v>7</v>
      </c>
      <c r="FQ485" s="27" t="s">
        <v>8</v>
      </c>
      <c r="FS485" s="27" t="s">
        <v>8</v>
      </c>
      <c r="GD485" s="27" t="s">
        <v>7</v>
      </c>
      <c r="GL485" s="27" t="s">
        <v>7</v>
      </c>
      <c r="GM485" s="27" t="s">
        <v>8</v>
      </c>
      <c r="GN485" s="27" t="s">
        <v>7</v>
      </c>
      <c r="GO485" s="27" t="s">
        <v>8</v>
      </c>
      <c r="GP485" s="27" t="s">
        <v>7</v>
      </c>
      <c r="GQ485" s="27" t="s">
        <v>8</v>
      </c>
      <c r="GT485" s="27" t="s">
        <v>7</v>
      </c>
      <c r="GU485" s="27" t="s">
        <v>8</v>
      </c>
      <c r="GV485" s="27" t="s">
        <v>7</v>
      </c>
      <c r="GW485" s="27" t="s">
        <v>8</v>
      </c>
      <c r="GX485" s="27" t="s">
        <v>7</v>
      </c>
      <c r="GY485" s="27" t="s">
        <v>8</v>
      </c>
      <c r="HR485" s="27" t="s">
        <v>7</v>
      </c>
      <c r="HS485" s="27" t="s">
        <v>8</v>
      </c>
      <c r="HT485" s="27" t="s">
        <v>7</v>
      </c>
      <c r="HU485" s="27" t="s">
        <v>8</v>
      </c>
      <c r="HV485" s="27" t="s">
        <v>7</v>
      </c>
      <c r="IA485" s="27" t="s">
        <v>8</v>
      </c>
      <c r="IB485" s="27" t="s">
        <v>7</v>
      </c>
      <c r="ID485" s="27" t="s">
        <v>7</v>
      </c>
      <c r="IE485" s="27" t="s">
        <v>8</v>
      </c>
      <c r="IF485" s="27" t="s">
        <v>7</v>
      </c>
      <c r="IG485" s="27" t="s">
        <v>8</v>
      </c>
      <c r="IH485" s="27" t="s">
        <v>7</v>
      </c>
    </row>
    <row r="486" spans="1:248" x14ac:dyDescent="0.25">
      <c r="A486" s="7">
        <v>7.389539040617394</v>
      </c>
      <c r="B486"/>
      <c r="C486"/>
      <c r="D486"/>
      <c r="E486"/>
      <c r="DA486" s="27" t="s">
        <v>8</v>
      </c>
      <c r="ED486" s="27" t="s">
        <v>7</v>
      </c>
      <c r="EE486" s="27" t="s">
        <v>8</v>
      </c>
      <c r="EN486" s="27" t="s">
        <v>7</v>
      </c>
      <c r="EO486" s="27" t="s">
        <v>8</v>
      </c>
      <c r="EP486" s="27" t="s">
        <v>7</v>
      </c>
      <c r="FA486" s="27" t="s">
        <v>8</v>
      </c>
      <c r="FB486" s="27" t="s">
        <v>7</v>
      </c>
      <c r="FO486" s="27" t="s">
        <v>8</v>
      </c>
      <c r="FP486" s="27" t="s">
        <v>7</v>
      </c>
      <c r="FQ486" s="27" t="s">
        <v>8</v>
      </c>
      <c r="FR486" s="27" t="s">
        <v>7</v>
      </c>
      <c r="FS486" s="27" t="s">
        <v>8</v>
      </c>
      <c r="GL486" s="27" t="s">
        <v>7</v>
      </c>
      <c r="GM486" s="27" t="s">
        <v>8</v>
      </c>
      <c r="GN486" s="27" t="s">
        <v>7</v>
      </c>
      <c r="GO486" s="27" t="s">
        <v>8</v>
      </c>
      <c r="GP486" s="27" t="s">
        <v>7</v>
      </c>
      <c r="GQ486" s="27" t="s">
        <v>8</v>
      </c>
      <c r="GT486" s="27" t="s">
        <v>7</v>
      </c>
      <c r="GU486" s="27" t="s">
        <v>8</v>
      </c>
      <c r="GV486" s="27" t="s">
        <v>7</v>
      </c>
      <c r="GX486" s="27" t="s">
        <v>7</v>
      </c>
      <c r="GY486" s="27" t="s">
        <v>8</v>
      </c>
      <c r="HR486" s="27" t="s">
        <v>7</v>
      </c>
      <c r="HS486" s="27" t="s">
        <v>8</v>
      </c>
      <c r="HT486" s="27" t="s">
        <v>7</v>
      </c>
      <c r="HU486" s="27" t="s">
        <v>8</v>
      </c>
      <c r="HV486" s="27" t="s">
        <v>7</v>
      </c>
      <c r="IA486" s="27" t="s">
        <v>8</v>
      </c>
      <c r="ID486" s="27" t="s">
        <v>7</v>
      </c>
      <c r="IE486" s="27" t="s">
        <v>8</v>
      </c>
      <c r="IF486" s="27" t="s">
        <v>7</v>
      </c>
      <c r="IG486" s="27" t="s">
        <v>8</v>
      </c>
      <c r="IH486" s="27" t="s">
        <v>7</v>
      </c>
    </row>
    <row r="487" spans="1:248" x14ac:dyDescent="0.25">
      <c r="A487" s="7">
        <v>7.2446461182523469</v>
      </c>
      <c r="B487"/>
      <c r="C487"/>
      <c r="D487"/>
      <c r="E487"/>
      <c r="DA487" s="27" t="s">
        <v>8</v>
      </c>
      <c r="ED487" s="27" t="s">
        <v>7</v>
      </c>
      <c r="EE487" s="27" t="s">
        <v>8</v>
      </c>
      <c r="EN487" s="27" t="s">
        <v>7</v>
      </c>
      <c r="EO487" s="27" t="s">
        <v>8</v>
      </c>
      <c r="EP487" s="27" t="s">
        <v>7</v>
      </c>
      <c r="FA487" s="27" t="s">
        <v>8</v>
      </c>
      <c r="FB487" s="27" t="s">
        <v>7</v>
      </c>
      <c r="FO487" s="27" t="s">
        <v>8</v>
      </c>
      <c r="FP487" s="27" t="s">
        <v>7</v>
      </c>
      <c r="FQ487" s="27" t="s">
        <v>8</v>
      </c>
      <c r="FR487" s="27" t="s">
        <v>7</v>
      </c>
      <c r="FS487" s="27" t="s">
        <v>8</v>
      </c>
      <c r="GL487" s="27" t="s">
        <v>7</v>
      </c>
      <c r="GM487" s="27" t="s">
        <v>8</v>
      </c>
      <c r="GN487" s="27" t="s">
        <v>7</v>
      </c>
      <c r="GO487" s="27" t="s">
        <v>8</v>
      </c>
      <c r="GP487" s="27" t="s">
        <v>7</v>
      </c>
      <c r="GQ487" s="27" t="s">
        <v>8</v>
      </c>
      <c r="GT487" s="27" t="s">
        <v>7</v>
      </c>
      <c r="GU487" s="27" t="s">
        <v>8</v>
      </c>
      <c r="GX487" s="27" t="s">
        <v>7</v>
      </c>
      <c r="GY487" s="27" t="s">
        <v>8</v>
      </c>
      <c r="HR487" s="27" t="s">
        <v>7</v>
      </c>
      <c r="HS487" s="27" t="s">
        <v>8</v>
      </c>
      <c r="HT487" s="27" t="s">
        <v>7</v>
      </c>
      <c r="HU487" s="27" t="s">
        <v>8</v>
      </c>
      <c r="HV487" s="27" t="s">
        <v>7</v>
      </c>
      <c r="IA487" s="27" t="s">
        <v>8</v>
      </c>
      <c r="ID487" s="27" t="s">
        <v>7</v>
      </c>
      <c r="IE487" s="27" t="s">
        <v>8</v>
      </c>
      <c r="IF487" s="27" t="s">
        <v>7</v>
      </c>
      <c r="IG487" s="27" t="s">
        <v>8</v>
      </c>
      <c r="IH487" s="27" t="s">
        <v>7</v>
      </c>
    </row>
    <row r="488" spans="1:248" x14ac:dyDescent="0.25">
      <c r="A488" s="7">
        <v>7.1025942335807324</v>
      </c>
      <c r="B488"/>
      <c r="C488"/>
      <c r="D488"/>
      <c r="E488"/>
      <c r="DA488" s="27" t="s">
        <v>8</v>
      </c>
      <c r="ED488" s="27" t="s">
        <v>7</v>
      </c>
      <c r="EE488" s="27" t="s">
        <v>8</v>
      </c>
      <c r="EN488" s="27" t="s">
        <v>7</v>
      </c>
      <c r="EO488" s="27" t="s">
        <v>8</v>
      </c>
      <c r="EP488" s="27" t="s">
        <v>7</v>
      </c>
      <c r="EU488" s="27" t="s">
        <v>8</v>
      </c>
      <c r="FA488" s="27" t="s">
        <v>8</v>
      </c>
      <c r="FB488" s="27" t="s">
        <v>7</v>
      </c>
      <c r="FO488" s="27" t="s">
        <v>8</v>
      </c>
      <c r="FP488" s="27" t="s">
        <v>7</v>
      </c>
      <c r="FQ488" s="27" t="s">
        <v>8</v>
      </c>
      <c r="FR488" s="27" t="s">
        <v>7</v>
      </c>
      <c r="FS488" s="27" t="s">
        <v>8</v>
      </c>
      <c r="GL488" s="27" t="s">
        <v>7</v>
      </c>
      <c r="GM488" s="27" t="s">
        <v>8</v>
      </c>
      <c r="GN488" s="27" t="s">
        <v>7</v>
      </c>
      <c r="GO488" s="27" t="s">
        <v>8</v>
      </c>
      <c r="GP488" s="27" t="s">
        <v>7</v>
      </c>
      <c r="GQ488" s="27" t="s">
        <v>8</v>
      </c>
      <c r="GT488" s="27" t="s">
        <v>7</v>
      </c>
      <c r="GU488" s="27" t="s">
        <v>8</v>
      </c>
      <c r="GX488" s="27" t="s">
        <v>7</v>
      </c>
      <c r="HR488" s="27" t="s">
        <v>7</v>
      </c>
      <c r="HS488" s="27" t="s">
        <v>8</v>
      </c>
      <c r="HT488" s="27" t="s">
        <v>7</v>
      </c>
      <c r="HU488" s="27" t="s">
        <v>8</v>
      </c>
      <c r="HV488" s="27" t="s">
        <v>7</v>
      </c>
      <c r="HW488" s="27" t="s">
        <v>8</v>
      </c>
      <c r="HY488" s="27" t="s">
        <v>8</v>
      </c>
      <c r="IA488" s="27" t="s">
        <v>8</v>
      </c>
      <c r="ID488" s="27" t="s">
        <v>7</v>
      </c>
      <c r="IE488" s="27" t="s">
        <v>8</v>
      </c>
      <c r="IF488" s="27" t="s">
        <v>7</v>
      </c>
      <c r="IH488" s="27" t="s">
        <v>7</v>
      </c>
      <c r="IK488" s="27" t="s">
        <v>8</v>
      </c>
    </row>
    <row r="489" spans="1:248" x14ac:dyDescent="0.25">
      <c r="A489" s="7">
        <v>6.9633276799811101</v>
      </c>
      <c r="B489"/>
      <c r="C489"/>
      <c r="D489"/>
      <c r="E489"/>
      <c r="DA489" s="27" t="s">
        <v>8</v>
      </c>
      <c r="ED489" s="27" t="s">
        <v>7</v>
      </c>
      <c r="EE489" s="27" t="s">
        <v>8</v>
      </c>
      <c r="EN489" s="27" t="s">
        <v>7</v>
      </c>
      <c r="EO489" s="27" t="s">
        <v>8</v>
      </c>
      <c r="EP489" s="27" t="s">
        <v>7</v>
      </c>
      <c r="EU489" s="27" t="s">
        <v>8</v>
      </c>
      <c r="EV489" s="27" t="s">
        <v>7</v>
      </c>
      <c r="FA489" s="27" t="s">
        <v>8</v>
      </c>
      <c r="FB489" s="27" t="s">
        <v>7</v>
      </c>
      <c r="FO489" s="27" t="s">
        <v>8</v>
      </c>
      <c r="FP489" s="27" t="s">
        <v>7</v>
      </c>
      <c r="FQ489" s="27" t="s">
        <v>8</v>
      </c>
      <c r="FR489" s="27" t="s">
        <v>7</v>
      </c>
      <c r="FS489" s="27" t="s">
        <v>8</v>
      </c>
      <c r="GL489" s="27" t="s">
        <v>7</v>
      </c>
      <c r="GM489" s="27" t="s">
        <v>8</v>
      </c>
      <c r="GN489" s="27" t="s">
        <v>7</v>
      </c>
      <c r="GO489" s="27" t="s">
        <v>8</v>
      </c>
      <c r="GP489" s="27" t="s">
        <v>7</v>
      </c>
      <c r="GQ489" s="27" t="s">
        <v>8</v>
      </c>
      <c r="GT489" s="27" t="s">
        <v>7</v>
      </c>
      <c r="HR489" s="27" t="s">
        <v>7</v>
      </c>
      <c r="HS489" s="27" t="s">
        <v>8</v>
      </c>
      <c r="HT489" s="27" t="s">
        <v>7</v>
      </c>
      <c r="HU489" s="27" t="s">
        <v>8</v>
      </c>
      <c r="HV489" s="27" t="s">
        <v>7</v>
      </c>
      <c r="HW489" s="27" t="s">
        <v>8</v>
      </c>
      <c r="HX489" s="27" t="s">
        <v>7</v>
      </c>
      <c r="HY489" s="27" t="s">
        <v>8</v>
      </c>
      <c r="HZ489" s="27" t="s">
        <v>7</v>
      </c>
      <c r="IA489" s="27" t="s">
        <v>8</v>
      </c>
      <c r="ID489" s="27" t="s">
        <v>7</v>
      </c>
      <c r="IE489" s="27" t="s">
        <v>8</v>
      </c>
      <c r="IH489" s="27" t="s">
        <v>7</v>
      </c>
      <c r="IK489" s="27" t="s">
        <v>8</v>
      </c>
      <c r="IL489" s="27" t="s">
        <v>7</v>
      </c>
    </row>
    <row r="490" spans="1:248" x14ac:dyDescent="0.25">
      <c r="A490" s="7">
        <v>6.8267918431187349</v>
      </c>
      <c r="B490"/>
      <c r="C490"/>
      <c r="D490"/>
      <c r="E490"/>
      <c r="DA490" s="27" t="s">
        <v>8</v>
      </c>
      <c r="ED490" s="27" t="s">
        <v>7</v>
      </c>
      <c r="EE490" s="27" t="s">
        <v>8</v>
      </c>
      <c r="EN490" s="27" t="s">
        <v>7</v>
      </c>
      <c r="EO490" s="27" t="s">
        <v>8</v>
      </c>
      <c r="EP490" s="27" t="s">
        <v>7</v>
      </c>
      <c r="ES490" s="27" t="s">
        <v>8</v>
      </c>
      <c r="EU490" s="27" t="s">
        <v>8</v>
      </c>
      <c r="EV490" s="27" t="s">
        <v>7</v>
      </c>
      <c r="FA490" s="27" t="s">
        <v>8</v>
      </c>
      <c r="FB490" s="27" t="s">
        <v>7</v>
      </c>
      <c r="FO490" s="27" t="s">
        <v>8</v>
      </c>
      <c r="FP490" s="27" t="s">
        <v>7</v>
      </c>
      <c r="FQ490" s="27" t="s">
        <v>8</v>
      </c>
      <c r="FR490" s="27" t="s">
        <v>7</v>
      </c>
      <c r="FS490" s="27" t="s">
        <v>8</v>
      </c>
      <c r="GL490" s="27" t="s">
        <v>7</v>
      </c>
      <c r="GM490" s="27" t="s">
        <v>8</v>
      </c>
      <c r="GN490" s="27" t="s">
        <v>7</v>
      </c>
      <c r="GP490" s="27" t="s">
        <v>7</v>
      </c>
      <c r="GQ490" s="27" t="s">
        <v>8</v>
      </c>
      <c r="HR490" s="27" t="s">
        <v>7</v>
      </c>
      <c r="HS490" s="27" t="s">
        <v>8</v>
      </c>
      <c r="HT490" s="27" t="s">
        <v>7</v>
      </c>
      <c r="HU490" s="27" t="s">
        <v>8</v>
      </c>
      <c r="HV490" s="27" t="s">
        <v>7</v>
      </c>
      <c r="HW490" s="27" t="s">
        <v>8</v>
      </c>
      <c r="HX490" s="27" t="s">
        <v>7</v>
      </c>
      <c r="HY490" s="27" t="s">
        <v>8</v>
      </c>
      <c r="HZ490" s="27" t="s">
        <v>7</v>
      </c>
      <c r="IA490" s="27" t="s">
        <v>8</v>
      </c>
      <c r="ID490" s="27" t="s">
        <v>7</v>
      </c>
      <c r="IE490" s="27" t="s">
        <v>8</v>
      </c>
      <c r="IH490" s="27" t="s">
        <v>7</v>
      </c>
      <c r="IK490" s="27" t="s">
        <v>8</v>
      </c>
      <c r="IL490" s="27" t="s">
        <v>7</v>
      </c>
    </row>
    <row r="491" spans="1:248" x14ac:dyDescent="0.25">
      <c r="A491" s="7">
        <v>6.692933179528171</v>
      </c>
      <c r="B491"/>
      <c r="C491"/>
      <c r="D491"/>
      <c r="E491"/>
      <c r="CQ491" s="27" t="s">
        <v>8</v>
      </c>
      <c r="DA491" s="27" t="s">
        <v>8</v>
      </c>
      <c r="ED491" s="27" t="s">
        <v>7</v>
      </c>
      <c r="EE491" s="27" t="s">
        <v>8</v>
      </c>
      <c r="EN491" s="27" t="s">
        <v>7</v>
      </c>
      <c r="EP491" s="27" t="s">
        <v>7</v>
      </c>
      <c r="ES491" s="27" t="s">
        <v>8</v>
      </c>
      <c r="ET491" s="27" t="s">
        <v>7</v>
      </c>
      <c r="EU491" s="27" t="s">
        <v>8</v>
      </c>
      <c r="EV491" s="27" t="s">
        <v>7</v>
      </c>
      <c r="EW491" s="27" t="s">
        <v>8</v>
      </c>
      <c r="FA491" s="27" t="s">
        <v>8</v>
      </c>
      <c r="FB491" s="27" t="s">
        <v>7</v>
      </c>
      <c r="FM491" s="27" t="s">
        <v>8</v>
      </c>
      <c r="FO491" s="27" t="s">
        <v>8</v>
      </c>
      <c r="FP491" s="27" t="s">
        <v>7</v>
      </c>
      <c r="FQ491" s="27" t="s">
        <v>8</v>
      </c>
      <c r="FR491" s="27" t="s">
        <v>7</v>
      </c>
      <c r="FS491" s="27" t="s">
        <v>8</v>
      </c>
      <c r="GL491" s="27" t="s">
        <v>7</v>
      </c>
      <c r="GM491" s="27" t="s">
        <v>8</v>
      </c>
      <c r="GP491" s="27" t="s">
        <v>7</v>
      </c>
      <c r="GQ491" s="27" t="s">
        <v>8</v>
      </c>
      <c r="HR491" s="27" t="s">
        <v>7</v>
      </c>
      <c r="HS491" s="27" t="s">
        <v>8</v>
      </c>
      <c r="HT491" s="27" t="s">
        <v>7</v>
      </c>
      <c r="HU491" s="27" t="s">
        <v>8</v>
      </c>
      <c r="HV491" s="27" t="s">
        <v>7</v>
      </c>
      <c r="HW491" s="27" t="s">
        <v>8</v>
      </c>
      <c r="HX491" s="27" t="s">
        <v>7</v>
      </c>
      <c r="HY491" s="27" t="s">
        <v>8</v>
      </c>
      <c r="HZ491" s="27" t="s">
        <v>7</v>
      </c>
      <c r="IA491" s="27" t="s">
        <v>8</v>
      </c>
      <c r="ID491" s="27" t="s">
        <v>7</v>
      </c>
      <c r="IH491" s="27" t="s">
        <v>7</v>
      </c>
      <c r="IK491" s="27" t="s">
        <v>8</v>
      </c>
      <c r="IL491" s="27" t="s">
        <v>7</v>
      </c>
    </row>
    <row r="492" spans="1:248" x14ac:dyDescent="0.25">
      <c r="A492" s="7">
        <v>6.5616991956158541</v>
      </c>
      <c r="B492"/>
      <c r="C492"/>
      <c r="D492"/>
      <c r="E492"/>
      <c r="CQ492" s="27" t="s">
        <v>8</v>
      </c>
      <c r="CR492" s="27" t="s">
        <v>7</v>
      </c>
      <c r="DA492" s="27" t="s">
        <v>8</v>
      </c>
      <c r="ED492" s="27" t="s">
        <v>7</v>
      </c>
      <c r="EE492" s="27" t="s">
        <v>8</v>
      </c>
      <c r="EP492" s="27" t="s">
        <v>7</v>
      </c>
      <c r="EQ492" s="27" t="s">
        <v>8</v>
      </c>
      <c r="ES492" s="27" t="s">
        <v>8</v>
      </c>
      <c r="ET492" s="27" t="s">
        <v>7</v>
      </c>
      <c r="EU492" s="27" t="s">
        <v>8</v>
      </c>
      <c r="EV492" s="27" t="s">
        <v>7</v>
      </c>
      <c r="EW492" s="27" t="s">
        <v>8</v>
      </c>
      <c r="EX492" s="27" t="s">
        <v>7</v>
      </c>
      <c r="FA492" s="27" t="s">
        <v>8</v>
      </c>
      <c r="FB492" s="27" t="s">
        <v>7</v>
      </c>
      <c r="FC492" s="27" t="s">
        <v>8</v>
      </c>
      <c r="FM492" s="27" t="s">
        <v>8</v>
      </c>
      <c r="FN492" s="27" t="s">
        <v>7</v>
      </c>
      <c r="FO492" s="27" t="s">
        <v>8</v>
      </c>
      <c r="FP492" s="27" t="s">
        <v>7</v>
      </c>
      <c r="FQ492" s="27" t="s">
        <v>8</v>
      </c>
      <c r="FR492" s="27" t="s">
        <v>7</v>
      </c>
      <c r="GL492" s="27" t="s">
        <v>7</v>
      </c>
      <c r="GP492" s="27" t="s">
        <v>7</v>
      </c>
      <c r="GQ492" s="27" t="s">
        <v>8</v>
      </c>
      <c r="HR492" s="27" t="s">
        <v>7</v>
      </c>
      <c r="HS492" s="27" t="s">
        <v>8</v>
      </c>
      <c r="HT492" s="27" t="s">
        <v>7</v>
      </c>
      <c r="HV492" s="27" t="s">
        <v>7</v>
      </c>
      <c r="HW492" s="27" t="s">
        <v>8</v>
      </c>
      <c r="HX492" s="27" t="s">
        <v>7</v>
      </c>
      <c r="HY492" s="27" t="s">
        <v>8</v>
      </c>
      <c r="HZ492" s="27" t="s">
        <v>7</v>
      </c>
      <c r="IA492" s="27" t="s">
        <v>8</v>
      </c>
      <c r="IH492" s="27" t="s">
        <v>7</v>
      </c>
      <c r="IK492" s="27" t="s">
        <v>8</v>
      </c>
      <c r="IL492" s="27" t="s">
        <v>7</v>
      </c>
      <c r="IM492" s="27" t="s">
        <v>8</v>
      </c>
    </row>
    <row r="493" spans="1:248" x14ac:dyDescent="0.25">
      <c r="A493" s="7">
        <v>6.4330384270743668</v>
      </c>
      <c r="B493"/>
      <c r="C493"/>
      <c r="D493"/>
      <c r="E493"/>
      <c r="CQ493" s="27" t="s">
        <v>8</v>
      </c>
      <c r="CR493" s="27" t="s">
        <v>7</v>
      </c>
      <c r="DA493" s="27" t="s">
        <v>8</v>
      </c>
      <c r="ED493" s="27" t="s">
        <v>7</v>
      </c>
      <c r="EE493" s="27" t="s">
        <v>8</v>
      </c>
      <c r="EP493" s="27" t="s">
        <v>7</v>
      </c>
      <c r="EQ493" s="27" t="s">
        <v>8</v>
      </c>
      <c r="ER493" s="27" t="s">
        <v>7</v>
      </c>
      <c r="ES493" s="27" t="s">
        <v>8</v>
      </c>
      <c r="ET493" s="27" t="s">
        <v>7</v>
      </c>
      <c r="EU493" s="27" t="s">
        <v>8</v>
      </c>
      <c r="EV493" s="27" t="s">
        <v>7</v>
      </c>
      <c r="EW493" s="27" t="s">
        <v>8</v>
      </c>
      <c r="EX493" s="27" t="s">
        <v>7</v>
      </c>
      <c r="EY493" s="27" t="s">
        <v>8</v>
      </c>
      <c r="FA493" s="27" t="s">
        <v>8</v>
      </c>
      <c r="FB493" s="27" t="s">
        <v>7</v>
      </c>
      <c r="FC493" s="27" t="s">
        <v>8</v>
      </c>
      <c r="FD493" s="27" t="s">
        <v>7</v>
      </c>
      <c r="FM493" s="27" t="s">
        <v>8</v>
      </c>
      <c r="FN493" s="27" t="s">
        <v>7</v>
      </c>
      <c r="FO493" s="27" t="s">
        <v>8</v>
      </c>
      <c r="FP493" s="27" t="s">
        <v>7</v>
      </c>
      <c r="GP493" s="27" t="s">
        <v>7</v>
      </c>
      <c r="HR493" s="27" t="s">
        <v>7</v>
      </c>
      <c r="HS493" s="27" t="s">
        <v>8</v>
      </c>
      <c r="HV493" s="27" t="s">
        <v>7</v>
      </c>
      <c r="HX493" s="27" t="s">
        <v>7</v>
      </c>
      <c r="HY493" s="27" t="s">
        <v>8</v>
      </c>
      <c r="HZ493" s="27" t="s">
        <v>7</v>
      </c>
      <c r="IA493" s="27" t="s">
        <v>8</v>
      </c>
      <c r="IH493" s="27" t="s">
        <v>7</v>
      </c>
      <c r="IK493" s="27" t="s">
        <v>8</v>
      </c>
      <c r="IL493" s="27" t="s">
        <v>7</v>
      </c>
      <c r="IM493" s="27" t="s">
        <v>8</v>
      </c>
      <c r="IN493" s="27" t="s">
        <v>7</v>
      </c>
    </row>
    <row r="494" spans="1:248" x14ac:dyDescent="0.25">
      <c r="A494" s="7">
        <v>6.3069004187003594</v>
      </c>
      <c r="B494"/>
      <c r="C494"/>
      <c r="D494"/>
      <c r="E494"/>
      <c r="CQ494" s="27" t="s">
        <v>8</v>
      </c>
      <c r="CR494" s="27" t="s">
        <v>7</v>
      </c>
      <c r="DA494" s="27" t="s">
        <v>8</v>
      </c>
      <c r="ED494" s="27" t="s">
        <v>7</v>
      </c>
      <c r="EE494" s="27" t="s">
        <v>8</v>
      </c>
      <c r="EP494" s="27" t="s">
        <v>7</v>
      </c>
      <c r="EQ494" s="27" t="s">
        <v>8</v>
      </c>
      <c r="ER494" s="27" t="s">
        <v>7</v>
      </c>
      <c r="ES494" s="27" t="s">
        <v>8</v>
      </c>
      <c r="ET494" s="27" t="s">
        <v>7</v>
      </c>
      <c r="EU494" s="27" t="s">
        <v>8</v>
      </c>
      <c r="EV494" s="27" t="s">
        <v>7</v>
      </c>
      <c r="EW494" s="27" t="s">
        <v>8</v>
      </c>
      <c r="EX494" s="27" t="s">
        <v>7</v>
      </c>
      <c r="EY494" s="27" t="s">
        <v>8</v>
      </c>
      <c r="EZ494" s="27" t="s">
        <v>7</v>
      </c>
      <c r="FA494" s="27" t="s">
        <v>8</v>
      </c>
      <c r="FB494" s="27" t="s">
        <v>7</v>
      </c>
      <c r="FC494" s="27" t="s">
        <v>8</v>
      </c>
      <c r="FD494" s="27" t="s">
        <v>7</v>
      </c>
      <c r="FM494" s="27" t="s">
        <v>8</v>
      </c>
      <c r="FN494" s="27" t="s">
        <v>7</v>
      </c>
      <c r="FO494" s="27" t="s">
        <v>8</v>
      </c>
      <c r="HR494" s="27" t="s">
        <v>7</v>
      </c>
      <c r="HS494" s="27" t="s">
        <v>8</v>
      </c>
      <c r="HX494" s="27" t="s">
        <v>7</v>
      </c>
      <c r="HY494" s="27" t="s">
        <v>8</v>
      </c>
      <c r="HZ494" s="27" t="s">
        <v>7</v>
      </c>
      <c r="IA494" s="27" t="s">
        <v>8</v>
      </c>
      <c r="IH494" s="27" t="s">
        <v>7</v>
      </c>
      <c r="II494" s="27" t="s">
        <v>8</v>
      </c>
      <c r="IK494" s="27" t="s">
        <v>8</v>
      </c>
      <c r="IL494" s="27" t="s">
        <v>7</v>
      </c>
      <c r="IM494" s="27" t="s">
        <v>8</v>
      </c>
      <c r="IN494" s="27" t="s">
        <v>7</v>
      </c>
    </row>
    <row r="495" spans="1:248" x14ac:dyDescent="0.25">
      <c r="A495" s="7">
        <v>6.1832357046081956</v>
      </c>
      <c r="B495"/>
      <c r="C495"/>
      <c r="D495"/>
      <c r="E495"/>
      <c r="CM495" s="27" t="s">
        <v>8</v>
      </c>
      <c r="CQ495" s="27" t="s">
        <v>8</v>
      </c>
      <c r="CR495" s="27" t="s">
        <v>7</v>
      </c>
      <c r="CS495" s="27" t="s">
        <v>8</v>
      </c>
      <c r="DA495" s="27" t="s">
        <v>8</v>
      </c>
      <c r="ED495" s="27" t="s">
        <v>7</v>
      </c>
      <c r="EE495" s="27" t="s">
        <v>8</v>
      </c>
      <c r="EP495" s="27" t="s">
        <v>7</v>
      </c>
      <c r="EQ495" s="27" t="s">
        <v>8</v>
      </c>
      <c r="ER495" s="27" t="s">
        <v>7</v>
      </c>
      <c r="ES495" s="27" t="s">
        <v>8</v>
      </c>
      <c r="ET495" s="27" t="s">
        <v>7</v>
      </c>
      <c r="EU495" s="27" t="s">
        <v>8</v>
      </c>
      <c r="EV495" s="27" t="s">
        <v>7</v>
      </c>
      <c r="EX495" s="27" t="s">
        <v>7</v>
      </c>
      <c r="EY495" s="27" t="s">
        <v>8</v>
      </c>
      <c r="EZ495" s="27" t="s">
        <v>7</v>
      </c>
      <c r="FA495" s="27" t="s">
        <v>8</v>
      </c>
      <c r="FB495" s="27" t="s">
        <v>7</v>
      </c>
      <c r="FC495" s="27" t="s">
        <v>8</v>
      </c>
      <c r="FD495" s="27" t="s">
        <v>7</v>
      </c>
      <c r="FM495" s="27" t="s">
        <v>8</v>
      </c>
      <c r="FN495" s="27" t="s">
        <v>7</v>
      </c>
      <c r="FO495" s="27" t="s">
        <v>8</v>
      </c>
      <c r="HR495" s="27" t="s">
        <v>7</v>
      </c>
      <c r="HX495" s="27" t="s">
        <v>7</v>
      </c>
      <c r="HY495" s="27" t="s">
        <v>8</v>
      </c>
      <c r="HZ495" s="27" t="s">
        <v>7</v>
      </c>
      <c r="IA495" s="27" t="s">
        <v>8</v>
      </c>
      <c r="IH495" s="27" t="s">
        <v>7</v>
      </c>
      <c r="II495" s="27" t="s">
        <v>8</v>
      </c>
      <c r="IJ495" s="27" t="s">
        <v>7</v>
      </c>
      <c r="IK495" s="27" t="s">
        <v>8</v>
      </c>
      <c r="IL495" s="27" t="s">
        <v>7</v>
      </c>
      <c r="IN495" s="27" t="s">
        <v>7</v>
      </c>
    </row>
    <row r="496" spans="1:248" x14ac:dyDescent="0.25">
      <c r="A496" s="7">
        <v>6.0619957888315641</v>
      </c>
      <c r="B496"/>
      <c r="C496"/>
      <c r="D496"/>
      <c r="E496"/>
      <c r="CM496" s="27" t="s">
        <v>8</v>
      </c>
      <c r="CN496" s="27" t="s">
        <v>7</v>
      </c>
      <c r="CQ496" s="27" t="s">
        <v>8</v>
      </c>
      <c r="CR496" s="27" t="s">
        <v>7</v>
      </c>
      <c r="CS496" s="27" t="s">
        <v>8</v>
      </c>
      <c r="CT496" s="27" t="s">
        <v>7</v>
      </c>
      <c r="DA496" s="27" t="s">
        <v>8</v>
      </c>
      <c r="ED496" s="27" t="s">
        <v>7</v>
      </c>
      <c r="EP496" s="27" t="s">
        <v>7</v>
      </c>
      <c r="EQ496" s="27" t="s">
        <v>8</v>
      </c>
      <c r="ER496" s="27" t="s">
        <v>7</v>
      </c>
      <c r="ES496" s="27" t="s">
        <v>8</v>
      </c>
      <c r="ET496" s="27" t="s">
        <v>7</v>
      </c>
      <c r="EU496" s="27" t="s">
        <v>8</v>
      </c>
      <c r="EX496" s="27" t="s">
        <v>7</v>
      </c>
      <c r="EY496" s="27" t="s">
        <v>8</v>
      </c>
      <c r="EZ496" s="27" t="s">
        <v>7</v>
      </c>
      <c r="FA496" s="27" t="s">
        <v>8</v>
      </c>
      <c r="FB496" s="27" t="s">
        <v>7</v>
      </c>
      <c r="FC496" s="27" t="s">
        <v>8</v>
      </c>
      <c r="FD496" s="27" t="s">
        <v>7</v>
      </c>
      <c r="FM496" s="27" t="s">
        <v>8</v>
      </c>
      <c r="FN496" s="27" t="s">
        <v>7</v>
      </c>
      <c r="FO496" s="27" t="s">
        <v>8</v>
      </c>
      <c r="HX496" s="27" t="s">
        <v>7</v>
      </c>
      <c r="HZ496" s="27" t="s">
        <v>7</v>
      </c>
      <c r="IH496" s="27" t="s">
        <v>7</v>
      </c>
      <c r="II496" s="27" t="s">
        <v>8</v>
      </c>
      <c r="IJ496" s="27" t="s">
        <v>7</v>
      </c>
      <c r="IK496" s="27" t="s">
        <v>8</v>
      </c>
      <c r="IN496" s="27" t="s">
        <v>7</v>
      </c>
    </row>
    <row r="497" spans="1:252" x14ac:dyDescent="0.25">
      <c r="A497" s="7">
        <v>5.9431331263054545</v>
      </c>
      <c r="B497"/>
      <c r="C497"/>
      <c r="D497"/>
      <c r="E497"/>
      <c r="CM497" s="27" t="s">
        <v>8</v>
      </c>
      <c r="CN497" s="27" t="s">
        <v>7</v>
      </c>
      <c r="CO497" s="27" t="s">
        <v>8</v>
      </c>
      <c r="CQ497" s="27" t="s">
        <v>8</v>
      </c>
      <c r="CR497" s="27" t="s">
        <v>7</v>
      </c>
      <c r="CS497" s="27" t="s">
        <v>8</v>
      </c>
      <c r="CT497" s="27" t="s">
        <v>7</v>
      </c>
      <c r="CU497" s="27" t="s">
        <v>8</v>
      </c>
      <c r="CW497" s="27" t="s">
        <v>8</v>
      </c>
      <c r="DA497" s="27" t="s">
        <v>8</v>
      </c>
      <c r="EP497" s="27" t="s">
        <v>7</v>
      </c>
      <c r="EQ497" s="27" t="s">
        <v>8</v>
      </c>
      <c r="ER497" s="27" t="s">
        <v>7</v>
      </c>
      <c r="ES497" s="27" t="s">
        <v>8</v>
      </c>
      <c r="ET497" s="27" t="s">
        <v>7</v>
      </c>
      <c r="EU497" s="27" t="s">
        <v>8</v>
      </c>
      <c r="EX497" s="27" t="s">
        <v>7</v>
      </c>
      <c r="EY497" s="27" t="s">
        <v>8</v>
      </c>
      <c r="EZ497" s="27" t="s">
        <v>7</v>
      </c>
      <c r="FA497" s="27" t="s">
        <v>8</v>
      </c>
      <c r="FB497" s="27" t="s">
        <v>7</v>
      </c>
      <c r="FD497" s="27" t="s">
        <v>7</v>
      </c>
      <c r="FM497" s="27" t="s">
        <v>8</v>
      </c>
      <c r="FN497" s="27" t="s">
        <v>7</v>
      </c>
      <c r="FO497" s="27" t="s">
        <v>8</v>
      </c>
      <c r="IH497" s="27" t="s">
        <v>7</v>
      </c>
      <c r="II497" s="27" t="s">
        <v>8</v>
      </c>
      <c r="IJ497" s="27" t="s">
        <v>7</v>
      </c>
      <c r="IK497" s="27" t="s">
        <v>8</v>
      </c>
      <c r="IN497" s="27" t="s">
        <v>7</v>
      </c>
    </row>
    <row r="498" spans="1:252" x14ac:dyDescent="0.25">
      <c r="A498" s="7">
        <v>5.8266011042210337</v>
      </c>
      <c r="B498"/>
      <c r="C498"/>
      <c r="D498"/>
      <c r="E498"/>
      <c r="CM498" s="27" t="s">
        <v>8</v>
      </c>
      <c r="CN498" s="27" t="s">
        <v>7</v>
      </c>
      <c r="CO498" s="27" t="s">
        <v>8</v>
      </c>
      <c r="CP498" s="27" t="s">
        <v>7</v>
      </c>
      <c r="CQ498" s="27" t="s">
        <v>8</v>
      </c>
      <c r="CR498" s="27" t="s">
        <v>7</v>
      </c>
      <c r="CS498" s="27" t="s">
        <v>8</v>
      </c>
      <c r="CT498" s="27" t="s">
        <v>7</v>
      </c>
      <c r="CU498" s="27" t="s">
        <v>8</v>
      </c>
      <c r="CV498" s="27" t="s">
        <v>7</v>
      </c>
      <c r="CW498" s="27" t="s">
        <v>8</v>
      </c>
      <c r="CX498" s="27" t="s">
        <v>7</v>
      </c>
      <c r="DA498" s="27" t="s">
        <v>8</v>
      </c>
      <c r="EP498" s="27" t="s">
        <v>7</v>
      </c>
      <c r="EQ498" s="27" t="s">
        <v>8</v>
      </c>
      <c r="ER498" s="27" t="s">
        <v>7</v>
      </c>
      <c r="ES498" s="27" t="s">
        <v>8</v>
      </c>
      <c r="ET498" s="27" t="s">
        <v>7</v>
      </c>
      <c r="EU498" s="27" t="s">
        <v>8</v>
      </c>
      <c r="EX498" s="27" t="s">
        <v>7</v>
      </c>
      <c r="EY498" s="27" t="s">
        <v>8</v>
      </c>
      <c r="EZ498" s="27" t="s">
        <v>7</v>
      </c>
      <c r="FD498" s="27" t="s">
        <v>7</v>
      </c>
      <c r="FM498" s="27" t="s">
        <v>8</v>
      </c>
      <c r="FN498" s="27" t="s">
        <v>7</v>
      </c>
      <c r="IH498" s="27" t="s">
        <v>7</v>
      </c>
      <c r="IJ498" s="27" t="s">
        <v>7</v>
      </c>
      <c r="IK498" s="27" t="s">
        <v>8</v>
      </c>
      <c r="IN498" s="27" t="s">
        <v>7</v>
      </c>
    </row>
    <row r="499" spans="1:252" x14ac:dyDescent="0.25">
      <c r="A499" s="7">
        <v>5.7123540237461112</v>
      </c>
      <c r="B499"/>
      <c r="C499"/>
      <c r="D499"/>
      <c r="E499"/>
      <c r="CG499" s="27" t="s">
        <v>8</v>
      </c>
      <c r="CM499" s="27" t="s">
        <v>8</v>
      </c>
      <c r="CN499" s="27" t="s">
        <v>7</v>
      </c>
      <c r="CO499" s="27" t="s">
        <v>8</v>
      </c>
      <c r="CP499" s="27" t="s">
        <v>7</v>
      </c>
      <c r="CQ499" s="27" t="s">
        <v>8</v>
      </c>
      <c r="CR499" s="27" t="s">
        <v>7</v>
      </c>
      <c r="CT499" s="27" t="s">
        <v>7</v>
      </c>
      <c r="CU499" s="27" t="s">
        <v>8</v>
      </c>
      <c r="CV499" s="27" t="s">
        <v>7</v>
      </c>
      <c r="CW499" s="27" t="s">
        <v>8</v>
      </c>
      <c r="CX499" s="27" t="s">
        <v>7</v>
      </c>
      <c r="DA499" s="27" t="s">
        <v>8</v>
      </c>
      <c r="EP499" s="27" t="s">
        <v>7</v>
      </c>
      <c r="EQ499" s="27" t="s">
        <v>8</v>
      </c>
      <c r="ER499" s="27" t="s">
        <v>7</v>
      </c>
      <c r="ES499" s="27" t="s">
        <v>8</v>
      </c>
      <c r="ET499" s="27" t="s">
        <v>7</v>
      </c>
      <c r="EU499" s="27" t="s">
        <v>8</v>
      </c>
      <c r="EX499" s="27" t="s">
        <v>7</v>
      </c>
      <c r="EY499" s="27" t="s">
        <v>8</v>
      </c>
      <c r="FD499" s="27" t="s">
        <v>7</v>
      </c>
      <c r="FM499" s="27" t="s">
        <v>8</v>
      </c>
      <c r="IJ499" s="27" t="s">
        <v>7</v>
      </c>
      <c r="IK499" s="27" t="s">
        <v>8</v>
      </c>
      <c r="IN499" s="27" t="s">
        <v>7</v>
      </c>
    </row>
    <row r="500" spans="1:252" x14ac:dyDescent="0.25">
      <c r="A500" s="7">
        <v>5.6003470821040304</v>
      </c>
      <c r="B500"/>
      <c r="C500"/>
      <c r="D500"/>
      <c r="E500"/>
      <c r="CG500" s="27" t="s">
        <v>8</v>
      </c>
      <c r="CH500" s="27" t="s">
        <v>7</v>
      </c>
      <c r="CI500" s="27" t="s">
        <v>8</v>
      </c>
      <c r="CM500" s="27" t="s">
        <v>8</v>
      </c>
      <c r="CN500" s="27" t="s">
        <v>7</v>
      </c>
      <c r="CO500" s="27" t="s">
        <v>8</v>
      </c>
      <c r="CP500" s="27" t="s">
        <v>7</v>
      </c>
      <c r="CQ500" s="27" t="s">
        <v>8</v>
      </c>
      <c r="CT500" s="27" t="s">
        <v>7</v>
      </c>
      <c r="CU500" s="27" t="s">
        <v>8</v>
      </c>
      <c r="CV500" s="27" t="s">
        <v>7</v>
      </c>
      <c r="CW500" s="27" t="s">
        <v>8</v>
      </c>
      <c r="CX500" s="27" t="s">
        <v>7</v>
      </c>
      <c r="DA500" s="27" t="s">
        <v>8</v>
      </c>
      <c r="EP500" s="27" t="s">
        <v>7</v>
      </c>
      <c r="EQ500" s="27" t="s">
        <v>8</v>
      </c>
      <c r="ER500" s="27" t="s">
        <v>7</v>
      </c>
      <c r="ES500" s="27" t="s">
        <v>8</v>
      </c>
      <c r="ET500" s="27" t="s">
        <v>7</v>
      </c>
      <c r="EU500" s="27" t="s">
        <v>8</v>
      </c>
      <c r="EX500" s="27" t="s">
        <v>7</v>
      </c>
      <c r="FD500" s="27" t="s">
        <v>7</v>
      </c>
      <c r="FM500" s="27" t="s">
        <v>8</v>
      </c>
      <c r="IJ500" s="27" t="s">
        <v>7</v>
      </c>
      <c r="IK500" s="27" t="s">
        <v>8</v>
      </c>
      <c r="IN500" s="27" t="s">
        <v>7</v>
      </c>
    </row>
    <row r="501" spans="1:252" x14ac:dyDescent="0.25">
      <c r="A501" s="7">
        <v>5.4905363550039512</v>
      </c>
      <c r="B501"/>
      <c r="C501"/>
      <c r="D501"/>
      <c r="E501"/>
      <c r="CG501" s="27" t="s">
        <v>8</v>
      </c>
      <c r="CH501" s="27" t="s">
        <v>7</v>
      </c>
      <c r="CI501" s="27" t="s">
        <v>8</v>
      </c>
      <c r="CJ501" s="27" t="s">
        <v>7</v>
      </c>
      <c r="CM501" s="27" t="s">
        <v>8</v>
      </c>
      <c r="CN501" s="27" t="s">
        <v>7</v>
      </c>
      <c r="CO501" s="27" t="s">
        <v>8</v>
      </c>
      <c r="CP501" s="27" t="s">
        <v>7</v>
      </c>
      <c r="CQ501" s="27" t="s">
        <v>8</v>
      </c>
      <c r="CT501" s="27" t="s">
        <v>7</v>
      </c>
      <c r="CU501" s="27" t="s">
        <v>8</v>
      </c>
      <c r="CV501" s="27" t="s">
        <v>7</v>
      </c>
      <c r="CX501" s="27" t="s">
        <v>7</v>
      </c>
      <c r="DA501" s="27" t="s">
        <v>8</v>
      </c>
      <c r="EP501" s="27" t="s">
        <v>7</v>
      </c>
      <c r="EQ501" s="27" t="s">
        <v>8</v>
      </c>
      <c r="ER501" s="27" t="s">
        <v>7</v>
      </c>
      <c r="ES501" s="27" t="s">
        <v>8</v>
      </c>
      <c r="ET501" s="27" t="s">
        <v>7</v>
      </c>
      <c r="EU501" s="27" t="s">
        <v>8</v>
      </c>
      <c r="FD501" s="27" t="s">
        <v>7</v>
      </c>
      <c r="FM501" s="27" t="s">
        <v>8</v>
      </c>
      <c r="IJ501" s="27" t="s">
        <v>7</v>
      </c>
      <c r="IN501" s="27" t="s">
        <v>7</v>
      </c>
    </row>
    <row r="502" spans="1:252" x14ac:dyDescent="0.25">
      <c r="A502" s="7">
        <v>5.3828787794156385</v>
      </c>
      <c r="B502"/>
      <c r="C502"/>
      <c r="D502"/>
      <c r="E502"/>
      <c r="CG502" s="27" t="s">
        <v>8</v>
      </c>
      <c r="CH502" s="27" t="s">
        <v>7</v>
      </c>
      <c r="CI502" s="27" t="s">
        <v>8</v>
      </c>
      <c r="CJ502" s="27" t="s">
        <v>7</v>
      </c>
      <c r="CM502" s="27" t="s">
        <v>8</v>
      </c>
      <c r="CN502" s="27" t="s">
        <v>7</v>
      </c>
      <c r="CO502" s="27" t="s">
        <v>8</v>
      </c>
      <c r="CP502" s="27" t="s">
        <v>7</v>
      </c>
      <c r="CT502" s="27" t="s">
        <v>7</v>
      </c>
      <c r="CU502" s="27" t="s">
        <v>8</v>
      </c>
      <c r="CX502" s="27" t="s">
        <v>7</v>
      </c>
      <c r="CY502" s="27" t="s">
        <v>8</v>
      </c>
      <c r="DA502" s="27" t="s">
        <v>8</v>
      </c>
      <c r="EP502" s="27" t="s">
        <v>7</v>
      </c>
      <c r="EQ502" s="27" t="s">
        <v>8</v>
      </c>
      <c r="ER502" s="27" t="s">
        <v>7</v>
      </c>
      <c r="ES502" s="27" t="s">
        <v>8</v>
      </c>
      <c r="ET502" s="27" t="s">
        <v>7</v>
      </c>
      <c r="EU502" s="27" t="s">
        <v>8</v>
      </c>
      <c r="FD502" s="27" t="s">
        <v>7</v>
      </c>
      <c r="FM502" s="27" t="s">
        <v>8</v>
      </c>
      <c r="IN502" s="27" t="s">
        <v>7</v>
      </c>
    </row>
    <row r="503" spans="1:252" x14ac:dyDescent="0.25">
      <c r="A503" s="7">
        <v>5.2773321366819985</v>
      </c>
      <c r="B503"/>
      <c r="C503"/>
      <c r="D503"/>
      <c r="E503"/>
      <c r="CG503" s="27" t="s">
        <v>8</v>
      </c>
      <c r="CH503" s="27" t="s">
        <v>7</v>
      </c>
      <c r="CI503" s="27" t="s">
        <v>8</v>
      </c>
      <c r="CJ503" s="27" t="s">
        <v>7</v>
      </c>
      <c r="CM503" s="27" t="s">
        <v>8</v>
      </c>
      <c r="CN503" s="27" t="s">
        <v>7</v>
      </c>
      <c r="CO503" s="27" t="s">
        <v>8</v>
      </c>
      <c r="CT503" s="27" t="s">
        <v>7</v>
      </c>
      <c r="CX503" s="27" t="s">
        <v>7</v>
      </c>
      <c r="CY503" s="27" t="s">
        <v>8</v>
      </c>
      <c r="CZ503" s="27" t="s">
        <v>7</v>
      </c>
      <c r="DA503" s="27" t="s">
        <v>8</v>
      </c>
      <c r="EP503" s="27" t="s">
        <v>7</v>
      </c>
      <c r="EQ503" s="27" t="s">
        <v>8</v>
      </c>
      <c r="ER503" s="27" t="s">
        <v>7</v>
      </c>
      <c r="ET503" s="27" t="s">
        <v>7</v>
      </c>
      <c r="EU503" s="27" t="s">
        <v>8</v>
      </c>
      <c r="FD503" s="27" t="s">
        <v>7</v>
      </c>
      <c r="FM503" s="27" t="s">
        <v>8</v>
      </c>
      <c r="IN503" s="27" t="s">
        <v>7</v>
      </c>
    </row>
    <row r="504" spans="1:252" x14ac:dyDescent="0.25">
      <c r="A504" s="7">
        <v>5.1738550359627435</v>
      </c>
      <c r="B504"/>
      <c r="C504"/>
      <c r="D504"/>
      <c r="E504"/>
      <c r="CG504" s="27" t="s">
        <v>8</v>
      </c>
      <c r="CH504" s="27" t="s">
        <v>7</v>
      </c>
      <c r="CI504" s="27" t="s">
        <v>8</v>
      </c>
      <c r="CJ504" s="27" t="s">
        <v>7</v>
      </c>
      <c r="CM504" s="27" t="s">
        <v>8</v>
      </c>
      <c r="CN504" s="27" t="s">
        <v>7</v>
      </c>
      <c r="CO504" s="27" t="s">
        <v>8</v>
      </c>
      <c r="CX504" s="27" t="s">
        <v>7</v>
      </c>
      <c r="CY504" s="27" t="s">
        <v>8</v>
      </c>
      <c r="CZ504" s="27" t="s">
        <v>7</v>
      </c>
      <c r="DA504" s="27" t="s">
        <v>8</v>
      </c>
      <c r="EP504" s="27" t="s">
        <v>7</v>
      </c>
      <c r="EQ504" s="27" t="s">
        <v>8</v>
      </c>
      <c r="ET504" s="27" t="s">
        <v>7</v>
      </c>
      <c r="EU504" s="27" t="s">
        <v>8</v>
      </c>
      <c r="FD504" s="27" t="s">
        <v>7</v>
      </c>
      <c r="FM504" s="27" t="s">
        <v>8</v>
      </c>
      <c r="IN504" s="27" t="s">
        <v>7</v>
      </c>
    </row>
    <row r="505" spans="1:252" x14ac:dyDescent="0.25">
      <c r="A505" s="7">
        <v>5.07240689800269</v>
      </c>
      <c r="B505"/>
      <c r="C505"/>
      <c r="D505"/>
      <c r="E505"/>
      <c r="CG505" s="27" t="s">
        <v>8</v>
      </c>
      <c r="CH505" s="27" t="s">
        <v>7</v>
      </c>
      <c r="CI505" s="27" t="s">
        <v>8</v>
      </c>
      <c r="CJ505" s="27" t="s">
        <v>7</v>
      </c>
      <c r="CM505" s="27" t="s">
        <v>8</v>
      </c>
      <c r="CN505" s="27" t="s">
        <v>7</v>
      </c>
      <c r="CO505" s="27" t="s">
        <v>8</v>
      </c>
      <c r="CX505" s="27" t="s">
        <v>7</v>
      </c>
      <c r="CY505" s="27" t="s">
        <v>8</v>
      </c>
      <c r="CZ505" s="27" t="s">
        <v>7</v>
      </c>
      <c r="DA505" s="27" t="s">
        <v>8</v>
      </c>
      <c r="EP505" s="27" t="s">
        <v>7</v>
      </c>
      <c r="EQ505" s="27" t="s">
        <v>8</v>
      </c>
      <c r="ET505" s="27" t="s">
        <v>7</v>
      </c>
      <c r="FD505" s="27" t="s">
        <v>7</v>
      </c>
      <c r="FM505" s="27" t="s">
        <v>8</v>
      </c>
      <c r="IN505" s="27" t="s">
        <v>7</v>
      </c>
    </row>
    <row r="506" spans="1:252" x14ac:dyDescent="0.25">
      <c r="A506" s="7">
        <v>4.9729479392183231</v>
      </c>
      <c r="B506"/>
      <c r="C506"/>
      <c r="D506"/>
      <c r="E506"/>
      <c r="CA506" s="27" t="s">
        <v>8</v>
      </c>
      <c r="CG506" s="27" t="s">
        <v>8</v>
      </c>
      <c r="CH506" s="27" t="s">
        <v>7</v>
      </c>
      <c r="CI506" s="27" t="s">
        <v>8</v>
      </c>
      <c r="CJ506" s="27" t="s">
        <v>7</v>
      </c>
      <c r="CM506" s="27" t="s">
        <v>8</v>
      </c>
      <c r="CN506" s="27" t="s">
        <v>7</v>
      </c>
      <c r="CX506" s="27" t="s">
        <v>7</v>
      </c>
      <c r="CZ506" s="27" t="s">
        <v>7</v>
      </c>
      <c r="DA506" s="27" t="s">
        <v>8</v>
      </c>
      <c r="EP506" s="27" t="s">
        <v>7</v>
      </c>
      <c r="EQ506" s="27" t="s">
        <v>8</v>
      </c>
      <c r="FD506" s="27" t="s">
        <v>7</v>
      </c>
      <c r="FM506" s="27" t="s">
        <v>8</v>
      </c>
      <c r="IN506" s="27" t="s">
        <v>7</v>
      </c>
    </row>
    <row r="507" spans="1:252" x14ac:dyDescent="0.25">
      <c r="A507" s="7">
        <v>4.8754391560963954</v>
      </c>
      <c r="B507"/>
      <c r="C507"/>
      <c r="D507"/>
      <c r="E507"/>
      <c r="CA507" s="27" t="s">
        <v>8</v>
      </c>
      <c r="CB507" s="27" t="s">
        <v>7</v>
      </c>
      <c r="CG507" s="27" t="s">
        <v>8</v>
      </c>
      <c r="CH507" s="27" t="s">
        <v>7</v>
      </c>
      <c r="CI507" s="27" t="s">
        <v>8</v>
      </c>
      <c r="CJ507" s="27" t="s">
        <v>7</v>
      </c>
      <c r="CM507" s="27" t="s">
        <v>8</v>
      </c>
      <c r="CZ507" s="27" t="s">
        <v>7</v>
      </c>
      <c r="DA507" s="27" t="s">
        <v>8</v>
      </c>
      <c r="EP507" s="27" t="s">
        <v>7</v>
      </c>
      <c r="EQ507" s="27" t="s">
        <v>8</v>
      </c>
      <c r="FD507" s="27" t="s">
        <v>7</v>
      </c>
      <c r="FM507" s="27" t="s">
        <v>8</v>
      </c>
      <c r="IN507" s="27" t="s">
        <v>7</v>
      </c>
    </row>
    <row r="508" spans="1:252" x14ac:dyDescent="0.25">
      <c r="A508" s="7">
        <v>4.7798423098984264</v>
      </c>
      <c r="B508"/>
      <c r="C508"/>
      <c r="D508"/>
      <c r="E508"/>
      <c r="CA508" s="27" t="s">
        <v>8</v>
      </c>
      <c r="CB508" s="27" t="s">
        <v>7</v>
      </c>
      <c r="CG508" s="27" t="s">
        <v>8</v>
      </c>
      <c r="CH508" s="27" t="s">
        <v>7</v>
      </c>
      <c r="CI508" s="27" t="s">
        <v>8</v>
      </c>
      <c r="CJ508" s="27" t="s">
        <v>7</v>
      </c>
      <c r="CK508" s="27" t="s">
        <v>8</v>
      </c>
      <c r="CM508" s="27" t="s">
        <v>8</v>
      </c>
      <c r="CZ508" s="27" t="s">
        <v>7</v>
      </c>
      <c r="DA508" s="27" t="s">
        <v>8</v>
      </c>
      <c r="EP508" s="27" t="s">
        <v>7</v>
      </c>
      <c r="EQ508" s="27" t="s">
        <v>8</v>
      </c>
      <c r="FD508" s="27" t="s">
        <v>7</v>
      </c>
      <c r="FG508" s="27" t="s">
        <v>8</v>
      </c>
      <c r="FM508" s="27" t="s">
        <v>8</v>
      </c>
      <c r="IN508" s="27" t="s">
        <v>7</v>
      </c>
    </row>
    <row r="509" spans="1:252" x14ac:dyDescent="0.25">
      <c r="A509" s="7">
        <v>4.6861199116651235</v>
      </c>
      <c r="B509"/>
      <c r="C509"/>
      <c r="D509"/>
      <c r="E509"/>
      <c r="CA509" s="27" t="s">
        <v>8</v>
      </c>
      <c r="CB509" s="27" t="s">
        <v>7</v>
      </c>
      <c r="CG509" s="27" t="s">
        <v>8</v>
      </c>
      <c r="CH509" s="27" t="s">
        <v>7</v>
      </c>
      <c r="CI509" s="27" t="s">
        <v>8</v>
      </c>
      <c r="CJ509" s="27" t="s">
        <v>7</v>
      </c>
      <c r="CK509" s="27" t="s">
        <v>8</v>
      </c>
      <c r="CL509" s="27" t="s">
        <v>7</v>
      </c>
      <c r="CM509" s="27" t="s">
        <v>8</v>
      </c>
      <c r="CZ509" s="27" t="s">
        <v>7</v>
      </c>
      <c r="DA509" s="27" t="s">
        <v>8</v>
      </c>
      <c r="EP509" s="27" t="s">
        <v>7</v>
      </c>
      <c r="EQ509" s="27" t="s">
        <v>8</v>
      </c>
      <c r="FD509" s="27" t="s">
        <v>7</v>
      </c>
      <c r="FG509" s="27" t="s">
        <v>8</v>
      </c>
      <c r="FH509" s="27" t="s">
        <v>7</v>
      </c>
      <c r="FM509" s="27" t="s">
        <v>8</v>
      </c>
      <c r="IN509" s="27" t="s">
        <v>7</v>
      </c>
    </row>
    <row r="510" spans="1:252" x14ac:dyDescent="0.25">
      <c r="A510" s="7">
        <v>4.5942352075148269</v>
      </c>
      <c r="B510"/>
      <c r="C510"/>
      <c r="D510"/>
      <c r="E510"/>
      <c r="CA510" s="27" t="s">
        <v>8</v>
      </c>
      <c r="CB510" s="27" t="s">
        <v>7</v>
      </c>
      <c r="CG510" s="27" t="s">
        <v>8</v>
      </c>
      <c r="CH510" s="27" t="s">
        <v>7</v>
      </c>
      <c r="CI510" s="27" t="s">
        <v>8</v>
      </c>
      <c r="CJ510" s="27" t="s">
        <v>7</v>
      </c>
      <c r="CK510" s="27" t="s">
        <v>8</v>
      </c>
      <c r="CL510" s="27" t="s">
        <v>7</v>
      </c>
      <c r="CM510" s="27" t="s">
        <v>8</v>
      </c>
      <c r="CZ510" s="27" t="s">
        <v>7</v>
      </c>
      <c r="DA510" s="27" t="s">
        <v>8</v>
      </c>
      <c r="EP510" s="27" t="s">
        <v>7</v>
      </c>
      <c r="EQ510" s="27" t="s">
        <v>8</v>
      </c>
      <c r="FD510" s="27" t="s">
        <v>7</v>
      </c>
      <c r="FE510" s="27" t="s">
        <v>8</v>
      </c>
      <c r="FG510" s="27" t="s">
        <v>8</v>
      </c>
      <c r="FH510" s="27" t="s">
        <v>7</v>
      </c>
      <c r="FM510" s="27" t="s">
        <v>8</v>
      </c>
      <c r="IN510" s="27" t="s">
        <v>7</v>
      </c>
      <c r="IQ510" s="27" t="s">
        <v>8</v>
      </c>
    </row>
    <row r="511" spans="1:252" x14ac:dyDescent="0.25">
      <c r="A511" s="7">
        <v>4.5041521642302227</v>
      </c>
      <c r="B511"/>
      <c r="C511"/>
      <c r="D511"/>
      <c r="E511"/>
      <c r="CA511" s="27" t="s">
        <v>8</v>
      </c>
      <c r="CB511" s="27" t="s">
        <v>7</v>
      </c>
      <c r="CC511" s="27" t="s">
        <v>8</v>
      </c>
      <c r="CG511" s="27" t="s">
        <v>8</v>
      </c>
      <c r="CH511" s="27" t="s">
        <v>7</v>
      </c>
      <c r="CI511" s="27" t="s">
        <v>8</v>
      </c>
      <c r="CJ511" s="27" t="s">
        <v>7</v>
      </c>
      <c r="CK511" s="27" t="s">
        <v>8</v>
      </c>
      <c r="CL511" s="27" t="s">
        <v>7</v>
      </c>
      <c r="CM511" s="27" t="s">
        <v>8</v>
      </c>
      <c r="CZ511" s="27" t="s">
        <v>7</v>
      </c>
      <c r="EP511" s="27" t="s">
        <v>7</v>
      </c>
      <c r="FD511" s="27" t="s">
        <v>7</v>
      </c>
      <c r="FE511" s="27" t="s">
        <v>8</v>
      </c>
      <c r="FF511" s="27" t="s">
        <v>7</v>
      </c>
      <c r="FG511" s="27" t="s">
        <v>8</v>
      </c>
      <c r="FH511" s="27" t="s">
        <v>7</v>
      </c>
      <c r="FM511" s="27" t="s">
        <v>8</v>
      </c>
      <c r="IN511" s="27" t="s">
        <v>7</v>
      </c>
      <c r="IQ511" s="27" t="s">
        <v>8</v>
      </c>
      <c r="IR511" s="27" t="s">
        <v>7</v>
      </c>
    </row>
    <row r="512" spans="1:252" x14ac:dyDescent="0.25">
      <c r="A512" s="7">
        <v>4.4158354551276693</v>
      </c>
      <c r="B512"/>
      <c r="C512"/>
      <c r="D512"/>
      <c r="E512"/>
      <c r="CA512" s="27" t="s">
        <v>8</v>
      </c>
      <c r="CB512" s="27" t="s">
        <v>7</v>
      </c>
      <c r="CC512" s="27" t="s">
        <v>8</v>
      </c>
      <c r="CD512" s="27" t="s">
        <v>7</v>
      </c>
      <c r="CG512" s="27" t="s">
        <v>8</v>
      </c>
      <c r="CH512" s="27" t="s">
        <v>7</v>
      </c>
      <c r="CI512" s="27" t="s">
        <v>8</v>
      </c>
      <c r="CJ512" s="27" t="s">
        <v>7</v>
      </c>
      <c r="CK512" s="27" t="s">
        <v>8</v>
      </c>
      <c r="CL512" s="27" t="s">
        <v>7</v>
      </c>
      <c r="CM512" s="27" t="s">
        <v>8</v>
      </c>
      <c r="FD512" s="27" t="s">
        <v>7</v>
      </c>
      <c r="FE512" s="27" t="s">
        <v>8</v>
      </c>
      <c r="FF512" s="27" t="s">
        <v>7</v>
      </c>
      <c r="FG512" s="27" t="s">
        <v>8</v>
      </c>
      <c r="FH512" s="27" t="s">
        <v>7</v>
      </c>
      <c r="FK512" s="27" t="s">
        <v>8</v>
      </c>
      <c r="FM512" s="27" t="s">
        <v>8</v>
      </c>
      <c r="IN512" s="27" t="s">
        <v>7</v>
      </c>
      <c r="IQ512" s="27" t="s">
        <v>8</v>
      </c>
      <c r="IR512" s="27" t="s">
        <v>7</v>
      </c>
    </row>
    <row r="513" spans="1:252" x14ac:dyDescent="0.25">
      <c r="A513" s="7">
        <v>4.3292504462035977</v>
      </c>
      <c r="B513"/>
      <c r="C513"/>
      <c r="D513"/>
      <c r="E513"/>
      <c r="CA513" s="27" t="s">
        <v>8</v>
      </c>
      <c r="CB513" s="27" t="s">
        <v>7</v>
      </c>
      <c r="CC513" s="27" t="s">
        <v>8</v>
      </c>
      <c r="CD513" s="27" t="s">
        <v>7</v>
      </c>
      <c r="CG513" s="27" t="s">
        <v>8</v>
      </c>
      <c r="CH513" s="27" t="s">
        <v>7</v>
      </c>
      <c r="CI513" s="27" t="s">
        <v>8</v>
      </c>
      <c r="CJ513" s="27" t="s">
        <v>7</v>
      </c>
      <c r="CK513" s="27" t="s">
        <v>8</v>
      </c>
      <c r="CL513" s="27" t="s">
        <v>7</v>
      </c>
      <c r="CM513" s="27" t="s">
        <v>8</v>
      </c>
      <c r="FD513" s="27" t="s">
        <v>7</v>
      </c>
      <c r="FE513" s="27" t="s">
        <v>8</v>
      </c>
      <c r="FF513" s="27" t="s">
        <v>7</v>
      </c>
      <c r="FG513" s="27" t="s">
        <v>8</v>
      </c>
      <c r="FH513" s="27" t="s">
        <v>7</v>
      </c>
      <c r="FK513" s="27" t="s">
        <v>8</v>
      </c>
      <c r="FL513" s="27" t="s">
        <v>7</v>
      </c>
      <c r="FM513" s="27" t="s">
        <v>8</v>
      </c>
      <c r="IN513" s="27" t="s">
        <v>7</v>
      </c>
      <c r="IQ513" s="27" t="s">
        <v>8</v>
      </c>
      <c r="IR513" s="27" t="s">
        <v>7</v>
      </c>
    </row>
    <row r="514" spans="1:252" x14ac:dyDescent="0.25">
      <c r="A514" s="7">
        <v>4.2443631825525463</v>
      </c>
      <c r="B514"/>
      <c r="C514"/>
      <c r="D514"/>
      <c r="E514"/>
      <c r="BW514" s="27" t="s">
        <v>8</v>
      </c>
      <c r="BY514" s="27" t="s">
        <v>8</v>
      </c>
      <c r="CA514" s="27" t="s">
        <v>8</v>
      </c>
      <c r="CB514" s="27" t="s">
        <v>7</v>
      </c>
      <c r="CC514" s="27" t="s">
        <v>8</v>
      </c>
      <c r="CD514" s="27" t="s">
        <v>7</v>
      </c>
      <c r="CG514" s="27" t="s">
        <v>8</v>
      </c>
      <c r="CH514" s="27" t="s">
        <v>7</v>
      </c>
      <c r="CI514" s="27" t="s">
        <v>8</v>
      </c>
      <c r="CJ514" s="27" t="s">
        <v>7</v>
      </c>
      <c r="CK514" s="27" t="s">
        <v>8</v>
      </c>
      <c r="CL514" s="27" t="s">
        <v>7</v>
      </c>
      <c r="CM514" s="27" t="s">
        <v>8</v>
      </c>
      <c r="FD514" s="27" t="s">
        <v>7</v>
      </c>
      <c r="FE514" s="27" t="s">
        <v>8</v>
      </c>
      <c r="FF514" s="27" t="s">
        <v>7</v>
      </c>
      <c r="FG514" s="27" t="s">
        <v>8</v>
      </c>
      <c r="FH514" s="27" t="s">
        <v>7</v>
      </c>
      <c r="FK514" s="27" t="s">
        <v>8</v>
      </c>
      <c r="FL514" s="27" t="s">
        <v>7</v>
      </c>
      <c r="FM514" s="27" t="s">
        <v>8</v>
      </c>
      <c r="IN514" s="27" t="s">
        <v>7</v>
      </c>
      <c r="IQ514" s="27" t="s">
        <v>8</v>
      </c>
      <c r="IR514" s="27" t="s">
        <v>7</v>
      </c>
    </row>
    <row r="515" spans="1:252" x14ac:dyDescent="0.25">
      <c r="A515" s="7">
        <v>4.1611403750515157</v>
      </c>
      <c r="B515"/>
      <c r="C515"/>
      <c r="D515"/>
      <c r="E515"/>
      <c r="BW515" s="27" t="s">
        <v>8</v>
      </c>
      <c r="BX515" s="27" t="s">
        <v>7</v>
      </c>
      <c r="BY515" s="27" t="s">
        <v>8</v>
      </c>
      <c r="BZ515" s="27" t="s">
        <v>7</v>
      </c>
      <c r="CA515" s="27" t="s">
        <v>8</v>
      </c>
      <c r="CB515" s="27" t="s">
        <v>7</v>
      </c>
      <c r="CC515" s="27" t="s">
        <v>8</v>
      </c>
      <c r="CD515" s="27" t="s">
        <v>7</v>
      </c>
      <c r="CE515" s="27" t="s">
        <v>8</v>
      </c>
      <c r="CG515" s="27" t="s">
        <v>8</v>
      </c>
      <c r="CH515" s="27" t="s">
        <v>7</v>
      </c>
      <c r="CI515" s="27" t="s">
        <v>8</v>
      </c>
      <c r="CJ515" s="27" t="s">
        <v>7</v>
      </c>
      <c r="CK515" s="27" t="s">
        <v>8</v>
      </c>
      <c r="CL515" s="27" t="s">
        <v>7</v>
      </c>
      <c r="CM515" s="27" t="s">
        <v>8</v>
      </c>
      <c r="FD515" s="27" t="s">
        <v>7</v>
      </c>
      <c r="FE515" s="27" t="s">
        <v>8</v>
      </c>
      <c r="FF515" s="27" t="s">
        <v>7</v>
      </c>
      <c r="FG515" s="27" t="s">
        <v>8</v>
      </c>
      <c r="FH515" s="27" t="s">
        <v>7</v>
      </c>
      <c r="FK515" s="27" t="s">
        <v>8</v>
      </c>
      <c r="FL515" s="27" t="s">
        <v>7</v>
      </c>
      <c r="FM515" s="27" t="s">
        <v>8</v>
      </c>
      <c r="IN515" s="27" t="s">
        <v>7</v>
      </c>
      <c r="IO515" s="27" t="s">
        <v>8</v>
      </c>
      <c r="IQ515" s="27" t="s">
        <v>8</v>
      </c>
      <c r="IR515" s="27" t="s">
        <v>7</v>
      </c>
    </row>
    <row r="516" spans="1:252" x14ac:dyDescent="0.25">
      <c r="A516" s="7">
        <v>4.0795493873054074</v>
      </c>
      <c r="B516"/>
      <c r="C516"/>
      <c r="D516"/>
      <c r="E516"/>
      <c r="BW516" s="27" t="s">
        <v>8</v>
      </c>
      <c r="BX516" s="27" t="s">
        <v>7</v>
      </c>
      <c r="BY516" s="27" t="s">
        <v>8</v>
      </c>
      <c r="BZ516" s="27" t="s">
        <v>7</v>
      </c>
      <c r="CA516" s="27" t="s">
        <v>8</v>
      </c>
      <c r="CB516" s="27" t="s">
        <v>7</v>
      </c>
      <c r="CC516" s="27" t="s">
        <v>8</v>
      </c>
      <c r="CD516" s="27" t="s">
        <v>7</v>
      </c>
      <c r="CE516" s="27" t="s">
        <v>8</v>
      </c>
      <c r="CF516" s="27" t="s">
        <v>7</v>
      </c>
      <c r="CG516" s="27" t="s">
        <v>8</v>
      </c>
      <c r="CH516" s="27" t="s">
        <v>7</v>
      </c>
      <c r="CI516" s="27" t="s">
        <v>8</v>
      </c>
      <c r="CJ516" s="27" t="s">
        <v>7</v>
      </c>
      <c r="CL516" s="27" t="s">
        <v>7</v>
      </c>
      <c r="CM516" s="27" t="s">
        <v>8</v>
      </c>
      <c r="FD516" s="27" t="s">
        <v>7</v>
      </c>
      <c r="FE516" s="27" t="s">
        <v>8</v>
      </c>
      <c r="FF516" s="27" t="s">
        <v>7</v>
      </c>
      <c r="FG516" s="27" t="s">
        <v>8</v>
      </c>
      <c r="FH516" s="27" t="s">
        <v>7</v>
      </c>
      <c r="FK516" s="27" t="s">
        <v>8</v>
      </c>
      <c r="FL516" s="27" t="s">
        <v>7</v>
      </c>
      <c r="FM516" s="27" t="s">
        <v>8</v>
      </c>
      <c r="IN516" s="27" t="s">
        <v>7</v>
      </c>
      <c r="IO516" s="27" t="s">
        <v>8</v>
      </c>
      <c r="IP516" s="27" t="s">
        <v>7</v>
      </c>
      <c r="IQ516" s="27" t="s">
        <v>8</v>
      </c>
      <c r="IR516" s="27" t="s">
        <v>7</v>
      </c>
    </row>
    <row r="517" spans="1:252" x14ac:dyDescent="0.25">
      <c r="A517" s="7">
        <v>3.9995582228484383</v>
      </c>
      <c r="B517"/>
      <c r="C517"/>
      <c r="D517"/>
      <c r="E517"/>
      <c r="BU517" s="27" t="s">
        <v>8</v>
      </c>
      <c r="BW517" s="27" t="s">
        <v>8</v>
      </c>
      <c r="BX517" s="27" t="s">
        <v>7</v>
      </c>
      <c r="BY517" s="27" t="s">
        <v>8</v>
      </c>
      <c r="BZ517" s="27" t="s">
        <v>7</v>
      </c>
      <c r="CA517" s="27" t="s">
        <v>8</v>
      </c>
      <c r="CB517" s="27" t="s">
        <v>7</v>
      </c>
      <c r="CC517" s="27" t="s">
        <v>8</v>
      </c>
      <c r="CD517" s="27" t="s">
        <v>7</v>
      </c>
      <c r="CE517" s="27" t="s">
        <v>8</v>
      </c>
      <c r="CF517" s="27" t="s">
        <v>7</v>
      </c>
      <c r="CG517" s="27" t="s">
        <v>8</v>
      </c>
      <c r="CH517" s="27" t="s">
        <v>7</v>
      </c>
      <c r="CI517" s="27" t="s">
        <v>8</v>
      </c>
      <c r="CL517" s="27" t="s">
        <v>7</v>
      </c>
      <c r="CM517" s="27" t="s">
        <v>8</v>
      </c>
      <c r="FD517" s="27" t="s">
        <v>7</v>
      </c>
      <c r="FF517" s="27" t="s">
        <v>7</v>
      </c>
      <c r="FG517" s="27" t="s">
        <v>8</v>
      </c>
      <c r="FH517" s="27" t="s">
        <v>7</v>
      </c>
      <c r="FK517" s="27" t="s">
        <v>8</v>
      </c>
      <c r="FL517" s="27" t="s">
        <v>7</v>
      </c>
      <c r="FM517" s="27" t="s">
        <v>8</v>
      </c>
      <c r="IN517" s="27" t="s">
        <v>7</v>
      </c>
      <c r="IO517" s="27" t="s">
        <v>8</v>
      </c>
      <c r="IP517" s="27" t="s">
        <v>7</v>
      </c>
      <c r="IQ517" s="27" t="s">
        <v>8</v>
      </c>
      <c r="IR517" s="27" t="s">
        <v>7</v>
      </c>
    </row>
    <row r="518" spans="1:252" x14ac:dyDescent="0.25">
      <c r="A518" s="7">
        <v>3.9211355125965079</v>
      </c>
      <c r="B518"/>
      <c r="C518"/>
      <c r="D518"/>
      <c r="E518"/>
      <c r="BU518" s="27" t="s">
        <v>8</v>
      </c>
      <c r="BV518" s="27" t="s">
        <v>7</v>
      </c>
      <c r="BW518" s="27" t="s">
        <v>8</v>
      </c>
      <c r="BX518" s="27" t="s">
        <v>7</v>
      </c>
      <c r="BY518" s="27" t="s">
        <v>8</v>
      </c>
      <c r="BZ518" s="27" t="s">
        <v>7</v>
      </c>
      <c r="CA518" s="27" t="s">
        <v>8</v>
      </c>
      <c r="CB518" s="27" t="s">
        <v>7</v>
      </c>
      <c r="CD518" s="27" t="s">
        <v>7</v>
      </c>
      <c r="CE518" s="27" t="s">
        <v>8</v>
      </c>
      <c r="CF518" s="27" t="s">
        <v>7</v>
      </c>
      <c r="CG518" s="27" t="s">
        <v>8</v>
      </c>
      <c r="CH518" s="27" t="s">
        <v>7</v>
      </c>
      <c r="CI518" s="27" t="s">
        <v>8</v>
      </c>
      <c r="CL518" s="27" t="s">
        <v>7</v>
      </c>
      <c r="FF518" s="27" t="s">
        <v>7</v>
      </c>
      <c r="FG518" s="27" t="s">
        <v>8</v>
      </c>
      <c r="FH518" s="27" t="s">
        <v>7</v>
      </c>
      <c r="FK518" s="27" t="s">
        <v>8</v>
      </c>
      <c r="FL518" s="27" t="s">
        <v>7</v>
      </c>
      <c r="FM518" s="27" t="s">
        <v>8</v>
      </c>
      <c r="IN518" s="27" t="s">
        <v>7</v>
      </c>
      <c r="IO518" s="27" t="s">
        <v>8</v>
      </c>
      <c r="IP518" s="27" t="s">
        <v>7</v>
      </c>
      <c r="IQ518" s="27" t="s">
        <v>8</v>
      </c>
    </row>
    <row r="519" spans="1:252" x14ac:dyDescent="0.25">
      <c r="A519" s="7">
        <v>3.844250502545596</v>
      </c>
      <c r="B519"/>
      <c r="C519"/>
      <c r="D519"/>
      <c r="E519"/>
      <c r="BU519" s="27" t="s">
        <v>8</v>
      </c>
      <c r="BV519" s="27" t="s">
        <v>7</v>
      </c>
      <c r="BW519" s="27" t="s">
        <v>8</v>
      </c>
      <c r="BX519" s="27" t="s">
        <v>7</v>
      </c>
      <c r="BY519" s="27" t="s">
        <v>8</v>
      </c>
      <c r="BZ519" s="27" t="s">
        <v>7</v>
      </c>
      <c r="CA519" s="27" t="s">
        <v>8</v>
      </c>
      <c r="CD519" s="27" t="s">
        <v>7</v>
      </c>
      <c r="CE519" s="27" t="s">
        <v>8</v>
      </c>
      <c r="CF519" s="27" t="s">
        <v>7</v>
      </c>
      <c r="CG519" s="27" t="s">
        <v>8</v>
      </c>
      <c r="CH519" s="27" t="s">
        <v>7</v>
      </c>
      <c r="CI519" s="27" t="s">
        <v>8</v>
      </c>
      <c r="FF519" s="27" t="s">
        <v>7</v>
      </c>
      <c r="FG519" s="27" t="s">
        <v>8</v>
      </c>
      <c r="FH519" s="27" t="s">
        <v>7</v>
      </c>
      <c r="FI519" s="27" t="s">
        <v>8</v>
      </c>
      <c r="FK519" s="27" t="s">
        <v>8</v>
      </c>
      <c r="FL519" s="27" t="s">
        <v>7</v>
      </c>
      <c r="FM519" s="27" t="s">
        <v>8</v>
      </c>
      <c r="IN519" s="27" t="s">
        <v>7</v>
      </c>
      <c r="IO519" s="27" t="s">
        <v>8</v>
      </c>
      <c r="IP519" s="27" t="s">
        <v>7</v>
      </c>
      <c r="IQ519" s="27" t="s">
        <v>8</v>
      </c>
    </row>
    <row r="520" spans="1:252" x14ac:dyDescent="0.25">
      <c r="A520" s="7">
        <v>3.7688730417113687</v>
      </c>
      <c r="B520"/>
      <c r="C520"/>
      <c r="D520"/>
      <c r="E520"/>
      <c r="BU520" s="27" t="s">
        <v>8</v>
      </c>
      <c r="BV520" s="27" t="s">
        <v>7</v>
      </c>
      <c r="BW520" s="27" t="s">
        <v>8</v>
      </c>
      <c r="BX520" s="27" t="s">
        <v>7</v>
      </c>
      <c r="BY520" s="27" t="s">
        <v>8</v>
      </c>
      <c r="BZ520" s="27" t="s">
        <v>7</v>
      </c>
      <c r="CA520" s="27" t="s">
        <v>8</v>
      </c>
      <c r="CD520" s="27" t="s">
        <v>7</v>
      </c>
      <c r="CE520" s="27" t="s">
        <v>8</v>
      </c>
      <c r="CF520" s="27" t="s">
        <v>7</v>
      </c>
      <c r="CG520" s="27" t="s">
        <v>8</v>
      </c>
      <c r="CH520" s="27" t="s">
        <v>7</v>
      </c>
      <c r="CI520" s="27" t="s">
        <v>8</v>
      </c>
      <c r="FF520" s="27" t="s">
        <v>7</v>
      </c>
      <c r="FG520" s="27" t="s">
        <v>8</v>
      </c>
      <c r="FH520" s="27" t="s">
        <v>7</v>
      </c>
      <c r="FI520" s="27" t="s">
        <v>8</v>
      </c>
      <c r="FJ520" s="27" t="s">
        <v>7</v>
      </c>
      <c r="FK520" s="27" t="s">
        <v>8</v>
      </c>
      <c r="FL520" s="27" t="s">
        <v>7</v>
      </c>
      <c r="FM520" s="27" t="s">
        <v>8</v>
      </c>
      <c r="IN520" s="27" t="s">
        <v>7</v>
      </c>
      <c r="IO520" s="27" t="s">
        <v>8</v>
      </c>
      <c r="IP520" s="27" t="s">
        <v>7</v>
      </c>
      <c r="IQ520" s="27" t="s">
        <v>8</v>
      </c>
    </row>
    <row r="521" spans="1:252" x14ac:dyDescent="0.25">
      <c r="A521" s="7">
        <v>3.6949735703052635</v>
      </c>
      <c r="B521"/>
      <c r="C521"/>
      <c r="D521"/>
      <c r="E521"/>
      <c r="BU521" s="27" t="s">
        <v>8</v>
      </c>
      <c r="BV521" s="27" t="s">
        <v>7</v>
      </c>
      <c r="BW521" s="27" t="s">
        <v>8</v>
      </c>
      <c r="BX521" s="27" t="s">
        <v>7</v>
      </c>
      <c r="BY521" s="27" t="s">
        <v>8</v>
      </c>
      <c r="BZ521" s="27" t="s">
        <v>7</v>
      </c>
      <c r="CA521" s="27" t="s">
        <v>8</v>
      </c>
      <c r="CD521" s="27" t="s">
        <v>7</v>
      </c>
      <c r="CE521" s="27" t="s">
        <v>8</v>
      </c>
      <c r="CF521" s="27" t="s">
        <v>7</v>
      </c>
      <c r="CG521" s="27" t="s">
        <v>8</v>
      </c>
      <c r="CH521" s="27" t="s">
        <v>7</v>
      </c>
      <c r="CI521" s="27" t="s">
        <v>8</v>
      </c>
      <c r="FF521" s="27" t="s">
        <v>7</v>
      </c>
      <c r="FG521" s="27" t="s">
        <v>8</v>
      </c>
      <c r="FH521" s="27" t="s">
        <v>7</v>
      </c>
      <c r="FI521" s="27" t="s">
        <v>8</v>
      </c>
      <c r="FJ521" s="27" t="s">
        <v>7</v>
      </c>
      <c r="FK521" s="27" t="s">
        <v>8</v>
      </c>
      <c r="FL521" s="27" t="s">
        <v>7</v>
      </c>
      <c r="FM521" s="27" t="s">
        <v>8</v>
      </c>
      <c r="IN521" s="27" t="s">
        <v>7</v>
      </c>
      <c r="IO521" s="27" t="s">
        <v>8</v>
      </c>
      <c r="IP521" s="27" t="s">
        <v>7</v>
      </c>
      <c r="IQ521" s="27" t="s">
        <v>8</v>
      </c>
    </row>
    <row r="522" spans="1:252" x14ac:dyDescent="0.25">
      <c r="A522" s="7">
        <v>3.6225231081424152</v>
      </c>
      <c r="B522"/>
      <c r="C522"/>
      <c r="D522"/>
      <c r="E522"/>
      <c r="BU522" s="27" t="s">
        <v>8</v>
      </c>
      <c r="BV522" s="27" t="s">
        <v>7</v>
      </c>
      <c r="BW522" s="27" t="s">
        <v>8</v>
      </c>
      <c r="BX522" s="27" t="s">
        <v>7</v>
      </c>
      <c r="BY522" s="27" t="s">
        <v>8</v>
      </c>
      <c r="BZ522" s="27" t="s">
        <v>7</v>
      </c>
      <c r="CA522" s="27" t="s">
        <v>8</v>
      </c>
      <c r="CD522" s="27" t="s">
        <v>7</v>
      </c>
      <c r="CE522" s="27" t="s">
        <v>8</v>
      </c>
      <c r="CF522" s="27" t="s">
        <v>7</v>
      </c>
      <c r="CH522" s="27" t="s">
        <v>7</v>
      </c>
      <c r="CI522" s="27" t="s">
        <v>8</v>
      </c>
      <c r="FF522" s="27" t="s">
        <v>7</v>
      </c>
      <c r="FG522" s="27" t="s">
        <v>8</v>
      </c>
      <c r="FH522" s="27" t="s">
        <v>7</v>
      </c>
      <c r="FI522" s="27" t="s">
        <v>8</v>
      </c>
      <c r="FJ522" s="27" t="s">
        <v>7</v>
      </c>
      <c r="FK522" s="27" t="s">
        <v>8</v>
      </c>
      <c r="FL522" s="27" t="s">
        <v>7</v>
      </c>
      <c r="IN522" s="27" t="s">
        <v>7</v>
      </c>
      <c r="IO522" s="27" t="s">
        <v>8</v>
      </c>
      <c r="IP522" s="27" t="s">
        <v>7</v>
      </c>
      <c r="IQ522" s="27" t="s">
        <v>8</v>
      </c>
    </row>
    <row r="523" spans="1:252" x14ac:dyDescent="0.25">
      <c r="A523" s="7">
        <v>3.5514932432768775</v>
      </c>
      <c r="B523"/>
      <c r="C523"/>
      <c r="D523"/>
      <c r="E523"/>
      <c r="BU523" s="27" t="s">
        <v>8</v>
      </c>
      <c r="BV523" s="27" t="s">
        <v>7</v>
      </c>
      <c r="BW523" s="27" t="s">
        <v>8</v>
      </c>
      <c r="BX523" s="27" t="s">
        <v>7</v>
      </c>
      <c r="BZ523" s="27" t="s">
        <v>7</v>
      </c>
      <c r="CA523" s="27" t="s">
        <v>8</v>
      </c>
      <c r="CD523" s="27" t="s">
        <v>7</v>
      </c>
      <c r="CE523" s="27" t="s">
        <v>8</v>
      </c>
      <c r="CH523" s="27" t="s">
        <v>7</v>
      </c>
      <c r="CI523" s="27" t="s">
        <v>8</v>
      </c>
      <c r="FF523" s="18" t="s">
        <v>7</v>
      </c>
      <c r="FG523" s="27" t="s">
        <v>8</v>
      </c>
      <c r="FH523" s="27" t="s">
        <v>7</v>
      </c>
      <c r="FI523" s="27" t="s">
        <v>8</v>
      </c>
      <c r="FJ523" s="27" t="s">
        <v>7</v>
      </c>
      <c r="FK523" s="27" t="s">
        <v>8</v>
      </c>
      <c r="IN523" s="27" t="s">
        <v>7</v>
      </c>
      <c r="IP523" s="27" t="s">
        <v>7</v>
      </c>
      <c r="IQ523" s="27" t="s">
        <v>8</v>
      </c>
    </row>
    <row r="524" spans="1:252" x14ac:dyDescent="0.25">
      <c r="A524" s="7">
        <v>3.4818561208596837</v>
      </c>
      <c r="B524"/>
      <c r="C524"/>
      <c r="D524"/>
      <c r="E524"/>
      <c r="BU524" s="27" t="s">
        <v>8</v>
      </c>
      <c r="BV524" s="27" t="s">
        <v>7</v>
      </c>
      <c r="BW524" s="27" t="s">
        <v>8</v>
      </c>
      <c r="BZ524" s="27" t="s">
        <v>7</v>
      </c>
      <c r="CA524" s="27" t="s">
        <v>8</v>
      </c>
      <c r="CD524" s="27" t="s">
        <v>7</v>
      </c>
      <c r="CE524" s="27" t="s">
        <v>8</v>
      </c>
      <c r="CH524" s="27" t="s">
        <v>7</v>
      </c>
      <c r="CI524" s="27" t="s">
        <v>8</v>
      </c>
      <c r="FF524" s="27" t="s">
        <v>7</v>
      </c>
      <c r="FG524" s="27" t="s">
        <v>8</v>
      </c>
      <c r="FH524" s="27" t="s">
        <v>7</v>
      </c>
      <c r="FJ524" s="27" t="s">
        <v>7</v>
      </c>
      <c r="FK524" s="27" t="s">
        <v>8</v>
      </c>
      <c r="IP524" s="27" t="s">
        <v>7</v>
      </c>
      <c r="IQ524" s="27" t="s">
        <v>8</v>
      </c>
    </row>
    <row r="525" spans="1:252" x14ac:dyDescent="0.25">
      <c r="A525" s="7">
        <v>3.4135844322153761</v>
      </c>
      <c r="B525"/>
      <c r="C525"/>
      <c r="D525"/>
      <c r="E525"/>
      <c r="BU525" s="27" t="s">
        <v>8</v>
      </c>
      <c r="BV525" s="27" t="s">
        <v>7</v>
      </c>
      <c r="BZ525" s="27" t="s">
        <v>7</v>
      </c>
      <c r="CA525" s="27" t="s">
        <v>8</v>
      </c>
      <c r="CD525" s="27" t="s">
        <v>7</v>
      </c>
      <c r="CE525" s="27" t="s">
        <v>8</v>
      </c>
      <c r="CH525" s="27" t="s">
        <v>7</v>
      </c>
      <c r="CI525" s="27" t="s">
        <v>8</v>
      </c>
      <c r="FF525" s="27" t="s">
        <v>7</v>
      </c>
      <c r="FG525" s="27" t="s">
        <v>8</v>
      </c>
      <c r="FJ525" s="27" t="s">
        <v>7</v>
      </c>
      <c r="FK525" s="27" t="s">
        <v>8</v>
      </c>
      <c r="IP525" s="27" t="s">
        <v>7</v>
      </c>
      <c r="IQ525" s="27" t="s">
        <v>8</v>
      </c>
    </row>
    <row r="526" spans="1:252" x14ac:dyDescent="0.25">
      <c r="A526" s="7">
        <v>3.3466514041327216</v>
      </c>
      <c r="B526"/>
      <c r="C526"/>
      <c r="D526"/>
      <c r="E526"/>
      <c r="BU526" s="27" t="s">
        <v>8</v>
      </c>
      <c r="BZ526" s="27" t="s">
        <v>7</v>
      </c>
      <c r="CA526" s="27" t="s">
        <v>8</v>
      </c>
      <c r="CD526" s="27" t="s">
        <v>7</v>
      </c>
      <c r="CH526" s="27" t="s">
        <v>7</v>
      </c>
      <c r="CI526" s="27" t="s">
        <v>8</v>
      </c>
      <c r="FF526" s="27" t="s">
        <v>7</v>
      </c>
      <c r="FG526" s="27" t="s">
        <v>8</v>
      </c>
      <c r="FJ526" s="27" t="s">
        <v>7</v>
      </c>
      <c r="IP526" s="27" t="s">
        <v>7</v>
      </c>
      <c r="IQ526" s="27" t="s">
        <v>8</v>
      </c>
    </row>
    <row r="527" spans="1:252" x14ac:dyDescent="0.25">
      <c r="A527" s="7">
        <v>3.2810307883654133</v>
      </c>
      <c r="B527"/>
      <c r="C527"/>
      <c r="D527"/>
      <c r="E527"/>
      <c r="BU527" s="27" t="s">
        <v>8</v>
      </c>
      <c r="BZ527" s="27" t="s">
        <v>7</v>
      </c>
      <c r="CA527" s="27" t="s">
        <v>8</v>
      </c>
      <c r="CH527" s="27" t="s">
        <v>7</v>
      </c>
      <c r="CI527" s="27" t="s">
        <v>8</v>
      </c>
      <c r="FF527" s="27" t="s">
        <v>7</v>
      </c>
      <c r="FG527" s="27" t="s">
        <v>8</v>
      </c>
      <c r="IP527" s="27" t="s">
        <v>7</v>
      </c>
    </row>
    <row r="528" spans="1:252" x14ac:dyDescent="0.25">
      <c r="A528" s="7">
        <v>3.2166968513386403</v>
      </c>
      <c r="B528"/>
      <c r="C528"/>
      <c r="D528"/>
      <c r="E528"/>
      <c r="BU528" s="27" t="s">
        <v>8</v>
      </c>
      <c r="BZ528" s="27" t="s">
        <v>7</v>
      </c>
      <c r="CA528" s="27" t="s">
        <v>8</v>
      </c>
      <c r="CH528" s="27" t="s">
        <v>7</v>
      </c>
      <c r="CI528" s="27" t="s">
        <v>8</v>
      </c>
      <c r="FF528" s="27" t="s">
        <v>7</v>
      </c>
      <c r="FG528" s="27" t="s">
        <v>8</v>
      </c>
    </row>
    <row r="529" spans="1:163" x14ac:dyDescent="0.25">
      <c r="A529" s="7">
        <v>3.1536243640574906</v>
      </c>
      <c r="B529"/>
      <c r="C529"/>
      <c r="D529"/>
      <c r="E529"/>
      <c r="BU529" s="27" t="s">
        <v>8</v>
      </c>
      <c r="BZ529" s="27" t="s">
        <v>7</v>
      </c>
      <c r="CA529" s="27" t="s">
        <v>8</v>
      </c>
      <c r="CH529" s="27" t="s">
        <v>7</v>
      </c>
      <c r="CI529" s="27" t="s">
        <v>8</v>
      </c>
      <c r="FF529" s="27" t="s">
        <v>7</v>
      </c>
      <c r="FG529" s="27" t="s">
        <v>8</v>
      </c>
    </row>
    <row r="530" spans="1:163" x14ac:dyDescent="0.25">
      <c r="A530" s="7">
        <v>3.0917885922132262</v>
      </c>
      <c r="B530"/>
      <c r="C530"/>
      <c r="D530"/>
      <c r="E530"/>
      <c r="BU530" s="27" t="s">
        <v>8</v>
      </c>
      <c r="BZ530" s="27" t="s">
        <v>7</v>
      </c>
      <c r="CA530" s="27" t="s">
        <v>8</v>
      </c>
      <c r="CH530" s="27" t="s">
        <v>7</v>
      </c>
      <c r="FF530" s="27" t="s">
        <v>7</v>
      </c>
      <c r="FG530" s="27" t="s">
        <v>8</v>
      </c>
    </row>
    <row r="531" spans="1:163" x14ac:dyDescent="0.25">
      <c r="A531" s="7">
        <v>3.0311652864835552</v>
      </c>
      <c r="B531"/>
      <c r="C531"/>
      <c r="D531"/>
      <c r="E531"/>
      <c r="BU531" s="27" t="s">
        <v>8</v>
      </c>
      <c r="BZ531" s="27" t="s">
        <v>7</v>
      </c>
      <c r="FF531" s="27" t="s">
        <v>7</v>
      </c>
    </row>
    <row r="532" spans="1:163" x14ac:dyDescent="0.25">
      <c r="A532" s="7">
        <v>2.9717306730230932</v>
      </c>
      <c r="B532"/>
      <c r="C532"/>
      <c r="D532"/>
      <c r="E532"/>
      <c r="BU532" s="27" t="s">
        <v>8</v>
      </c>
    </row>
    <row r="533" spans="1:163" x14ac:dyDescent="0.25">
      <c r="A533" s="7">
        <v>2.9134614441402875</v>
      </c>
      <c r="B533"/>
      <c r="C533"/>
      <c r="D533"/>
      <c r="E533"/>
      <c r="BU533" s="27" t="s">
        <v>8</v>
      </c>
    </row>
    <row r="534" spans="1:163" x14ac:dyDescent="0.25">
      <c r="A534" s="7">
        <v>2.8563347491571447</v>
      </c>
      <c r="B534"/>
      <c r="C534"/>
      <c r="D534"/>
      <c r="E534"/>
      <c r="BU534" s="27" t="s">
        <v>8</v>
      </c>
    </row>
    <row r="535" spans="1:163" x14ac:dyDescent="0.25">
      <c r="A535" s="7">
        <v>2.8003281854481812</v>
      </c>
      <c r="B535"/>
      <c r="C535"/>
      <c r="D535"/>
      <c r="E535"/>
      <c r="BU535" s="27" t="s">
        <v>8</v>
      </c>
    </row>
    <row r="536" spans="1:163" x14ac:dyDescent="0.25">
      <c r="A536" s="7">
        <v>2.7454197896550796</v>
      </c>
      <c r="B536"/>
      <c r="C536"/>
      <c r="D536"/>
      <c r="E536"/>
      <c r="BU536" s="27" t="s">
        <v>8</v>
      </c>
    </row>
    <row r="537" spans="1:163" x14ac:dyDescent="0.25">
      <c r="A537" s="7">
        <v>2.6915880290736074</v>
      </c>
      <c r="B537"/>
      <c r="C537"/>
      <c r="D537"/>
      <c r="E537"/>
      <c r="BU537" s="27" t="s">
        <v>8</v>
      </c>
    </row>
    <row r="538" spans="1:163" x14ac:dyDescent="0.25">
      <c r="A538" s="7">
        <v>2.6388117932094191</v>
      </c>
      <c r="B538"/>
      <c r="C538"/>
      <c r="D538"/>
      <c r="E538"/>
      <c r="BS538" s="27" t="s">
        <v>8</v>
      </c>
      <c r="BU538" s="27" t="s">
        <v>8</v>
      </c>
    </row>
    <row r="539" spans="1:163" x14ac:dyDescent="0.25">
      <c r="A539" s="7">
        <v>2.5870703854994304</v>
      </c>
      <c r="B539"/>
      <c r="C539"/>
      <c r="D539"/>
      <c r="E539"/>
      <c r="BS539" s="27" t="s">
        <v>8</v>
      </c>
      <c r="BT539" s="27" t="s">
        <v>7</v>
      </c>
      <c r="BU539" s="27" t="s">
        <v>8</v>
      </c>
    </row>
    <row r="540" spans="1:163" x14ac:dyDescent="0.25">
      <c r="A540" s="7">
        <v>2.53634351519552</v>
      </c>
      <c r="B540"/>
      <c r="C540"/>
      <c r="D540"/>
      <c r="E540"/>
      <c r="BS540" s="27" t="s">
        <v>8</v>
      </c>
      <c r="BT540" s="27" t="s">
        <v>7</v>
      </c>
      <c r="BU540" s="27" t="s">
        <v>8</v>
      </c>
    </row>
    <row r="541" spans="1:163" x14ac:dyDescent="0.25">
      <c r="A541" s="7">
        <v>2.4866112894073726</v>
      </c>
      <c r="B541"/>
      <c r="C541"/>
      <c r="D541"/>
      <c r="E541"/>
      <c r="BS541" s="27" t="s">
        <v>8</v>
      </c>
      <c r="BT541" s="27" t="s">
        <v>7</v>
      </c>
      <c r="BU541" s="27" t="s">
        <v>8</v>
      </c>
    </row>
    <row r="542" spans="1:163" x14ac:dyDescent="0.25">
      <c r="A542" s="7">
        <v>2.4378542053013459</v>
      </c>
      <c r="B542"/>
      <c r="C542"/>
      <c r="D542"/>
      <c r="E542"/>
      <c r="BS542" s="27" t="s">
        <v>8</v>
      </c>
      <c r="BT542" s="27" t="s">
        <v>7</v>
      </c>
      <c r="BU542" s="27" t="s">
        <v>8</v>
      </c>
    </row>
    <row r="543" spans="1:163" x14ac:dyDescent="0.25">
      <c r="A543" s="7">
        <v>2.3900531424522997</v>
      </c>
      <c r="B543"/>
      <c r="C543"/>
      <c r="D543"/>
      <c r="E543"/>
      <c r="BS543" s="27" t="s">
        <v>8</v>
      </c>
      <c r="BT543" s="27" t="s">
        <v>7</v>
      </c>
      <c r="BU543" s="27" t="s">
        <v>8</v>
      </c>
    </row>
    <row r="544" spans="1:163" x14ac:dyDescent="0.25">
      <c r="A544" s="7">
        <v>2.343189355345392</v>
      </c>
      <c r="B544"/>
      <c r="C544"/>
      <c r="D544"/>
      <c r="E544"/>
      <c r="BS544" s="27" t="s">
        <v>8</v>
      </c>
      <c r="BT544" s="27" t="s">
        <v>7</v>
      </c>
      <c r="BU544" s="27" t="s">
        <v>8</v>
      </c>
    </row>
    <row r="545" spans="1:73" x14ac:dyDescent="0.25">
      <c r="A545" s="7">
        <v>2.2972444660248938</v>
      </c>
      <c r="B545"/>
      <c r="C545"/>
      <c r="D545"/>
      <c r="E545"/>
      <c r="BS545" s="27" t="s">
        <v>8</v>
      </c>
      <c r="BT545" s="27" t="s">
        <v>7</v>
      </c>
      <c r="BU545" s="27" t="s">
        <v>8</v>
      </c>
    </row>
    <row r="546" spans="1:73" x14ac:dyDescent="0.25">
      <c r="A546" s="7">
        <v>2.252200456887151</v>
      </c>
      <c r="B546"/>
      <c r="C546"/>
      <c r="D546"/>
      <c r="E546"/>
      <c r="BS546" s="27" t="s">
        <v>8</v>
      </c>
      <c r="BT546" s="27" t="s">
        <v>7</v>
      </c>
      <c r="BU546" s="27" t="s">
        <v>8</v>
      </c>
    </row>
    <row r="547" spans="1:73" x14ac:dyDescent="0.25">
      <c r="A547" s="7">
        <v>2.208039663614854</v>
      </c>
      <c r="B547"/>
      <c r="C547"/>
      <c r="D547"/>
      <c r="E547"/>
      <c r="BS547" s="27" t="s">
        <v>8</v>
      </c>
      <c r="BT547" s="27" t="s">
        <v>7</v>
      </c>
    </row>
    <row r="548" spans="1:73" x14ac:dyDescent="0.25">
      <c r="A548" s="7">
        <v>2.1647447682498568</v>
      </c>
      <c r="B548"/>
      <c r="C548"/>
      <c r="D548"/>
      <c r="E548"/>
      <c r="BO548" s="27" t="s">
        <v>8</v>
      </c>
      <c r="BQ548" s="27" t="s">
        <v>8</v>
      </c>
      <c r="BS548" s="27" t="s">
        <v>8</v>
      </c>
    </row>
    <row r="549" spans="1:73" x14ac:dyDescent="0.25">
      <c r="A549" s="7">
        <v>2.1222987924018204</v>
      </c>
      <c r="B549"/>
      <c r="C549"/>
      <c r="D549"/>
      <c r="E549"/>
      <c r="BO549" s="27" t="s">
        <v>8</v>
      </c>
      <c r="BP549" s="27" t="s">
        <v>7</v>
      </c>
      <c r="BQ549" s="27" t="s">
        <v>8</v>
      </c>
      <c r="BR549" s="27" t="s">
        <v>7</v>
      </c>
      <c r="BS549" s="27" t="s">
        <v>8</v>
      </c>
    </row>
    <row r="550" spans="1:73" x14ac:dyDescent="0.25">
      <c r="A550" s="7">
        <v>2.0806850905900198</v>
      </c>
      <c r="B550"/>
      <c r="C550"/>
      <c r="D550"/>
      <c r="E550"/>
      <c r="BO550" s="27" t="s">
        <v>8</v>
      </c>
      <c r="BP550" s="27" t="s">
        <v>7</v>
      </c>
      <c r="BQ550" s="27" t="s">
        <v>8</v>
      </c>
      <c r="BR550" s="27" t="s">
        <v>7</v>
      </c>
      <c r="BS550" s="27" t="s">
        <v>8</v>
      </c>
    </row>
    <row r="551" spans="1:73" x14ac:dyDescent="0.25">
      <c r="A551" s="7">
        <v>2.0398873437157055</v>
      </c>
      <c r="B551"/>
      <c r="C551"/>
      <c r="D551"/>
      <c r="E551"/>
      <c r="BO551" s="27" t="s">
        <v>8</v>
      </c>
      <c r="BP551" s="27" t="s">
        <v>7</v>
      </c>
      <c r="BQ551" s="27" t="s">
        <v>8</v>
      </c>
      <c r="BR551" s="27" t="s">
        <v>7</v>
      </c>
      <c r="BS551" s="27" t="s">
        <v>8</v>
      </c>
    </row>
    <row r="552" spans="1:73" x14ac:dyDescent="0.25">
      <c r="A552" s="7">
        <v>1.9998895526624565</v>
      </c>
      <c r="B552"/>
      <c r="C552"/>
      <c r="D552"/>
      <c r="E552"/>
      <c r="BO552" s="27" t="s">
        <v>8</v>
      </c>
      <c r="BP552" s="27" t="s">
        <v>7</v>
      </c>
      <c r="BQ552" s="27" t="s">
        <v>8</v>
      </c>
      <c r="BR552" s="27" t="s">
        <v>7</v>
      </c>
      <c r="BS552" s="27" t="s">
        <v>8</v>
      </c>
    </row>
    <row r="553" spans="1:73" x14ac:dyDescent="0.25">
      <c r="A553" s="7">
        <v>1.9606760320220162</v>
      </c>
      <c r="B553"/>
      <c r="C553"/>
      <c r="D553"/>
      <c r="E553"/>
      <c r="BO553" s="27" t="s">
        <v>8</v>
      </c>
      <c r="BP553" s="27" t="s">
        <v>7</v>
      </c>
      <c r="BQ553" s="27" t="s">
        <v>8</v>
      </c>
      <c r="BR553" s="27" t="s">
        <v>7</v>
      </c>
      <c r="BS553" s="27" t="s">
        <v>8</v>
      </c>
    </row>
    <row r="554" spans="1:73" x14ac:dyDescent="0.25">
      <c r="A554" s="7">
        <v>1.9222314039431532</v>
      </c>
      <c r="B554"/>
      <c r="C554"/>
      <c r="D554"/>
      <c r="E554"/>
      <c r="BO554" s="27" t="s">
        <v>8</v>
      </c>
      <c r="BP554" s="27" t="s">
        <v>7</v>
      </c>
      <c r="BQ554" s="27" t="s">
        <v>8</v>
      </c>
      <c r="BR554" s="27" t="s">
        <v>7</v>
      </c>
      <c r="BS554" s="27" t="s">
        <v>8</v>
      </c>
    </row>
    <row r="555" spans="1:73" x14ac:dyDescent="0.25">
      <c r="A555" s="7">
        <v>1.8845405921011305</v>
      </c>
      <c r="B555"/>
      <c r="C555"/>
      <c r="D555"/>
      <c r="E555"/>
      <c r="BO555" s="27" t="s">
        <v>8</v>
      </c>
      <c r="BP555" s="27" t="s">
        <v>7</v>
      </c>
      <c r="BQ555" s="27" t="s">
        <v>8</v>
      </c>
      <c r="BR555" s="27" t="s">
        <v>7</v>
      </c>
      <c r="BS555" s="27" t="s">
        <v>8</v>
      </c>
    </row>
    <row r="556" spans="1:73" x14ac:dyDescent="0.25">
      <c r="A556" s="7">
        <v>1.8475888157854219</v>
      </c>
      <c r="B556"/>
      <c r="C556"/>
      <c r="D556"/>
      <c r="E556"/>
      <c r="BO556" s="27" t="s">
        <v>8</v>
      </c>
      <c r="BP556" s="27" t="s">
        <v>7</v>
      </c>
      <c r="BQ556" s="27" t="s">
        <v>8</v>
      </c>
      <c r="BR556" s="27" t="s">
        <v>7</v>
      </c>
      <c r="BS556" s="27" t="s">
        <v>8</v>
      </c>
    </row>
    <row r="557" spans="1:73" x14ac:dyDescent="0.25">
      <c r="A557" s="7">
        <v>1.8113615841033548</v>
      </c>
      <c r="B557"/>
      <c r="C557"/>
      <c r="D557"/>
      <c r="E557"/>
      <c r="BO557" s="27" t="s">
        <v>8</v>
      </c>
      <c r="BP557" s="27" t="s">
        <v>7</v>
      </c>
      <c r="BR557" s="27" t="s">
        <v>7</v>
      </c>
      <c r="BS557" s="27" t="s">
        <v>8</v>
      </c>
    </row>
    <row r="558" spans="1:73" x14ac:dyDescent="0.25">
      <c r="A558" s="7">
        <v>1.7758446902974065</v>
      </c>
      <c r="B558"/>
      <c r="C558"/>
      <c r="D558"/>
      <c r="E558"/>
      <c r="BO558" s="27" t="s">
        <v>8</v>
      </c>
      <c r="BR558" s="27" t="s">
        <v>7</v>
      </c>
      <c r="BS558" s="27" t="s">
        <v>8</v>
      </c>
    </row>
    <row r="559" spans="1:73" x14ac:dyDescent="0.25">
      <c r="A559" s="7">
        <v>1.7410242061739281</v>
      </c>
      <c r="B559"/>
      <c r="C559"/>
      <c r="D559"/>
      <c r="E559"/>
      <c r="BO559" s="27" t="s">
        <v>8</v>
      </c>
      <c r="BR559" s="27" t="s">
        <v>7</v>
      </c>
      <c r="BS559" s="27" t="s">
        <v>8</v>
      </c>
    </row>
    <row r="560" spans="1:73" x14ac:dyDescent="0.25">
      <c r="A560" s="7">
        <v>1.7068864766411058</v>
      </c>
      <c r="B560"/>
      <c r="C560"/>
      <c r="D560"/>
      <c r="E560"/>
      <c r="BO560" s="27" t="s">
        <v>8</v>
      </c>
      <c r="BR560" s="27" t="s">
        <v>7</v>
      </c>
      <c r="BS560" s="27" t="s">
        <v>8</v>
      </c>
    </row>
    <row r="561" spans="1:71" x14ac:dyDescent="0.25">
      <c r="A561" s="7">
        <v>1.6734181143540252</v>
      </c>
      <c r="B561"/>
      <c r="C561"/>
      <c r="D561"/>
      <c r="E561"/>
      <c r="BO561" s="27" t="s">
        <v>8</v>
      </c>
      <c r="BR561" s="27" t="s">
        <v>7</v>
      </c>
      <c r="BS561" s="27" t="s">
        <v>8</v>
      </c>
    </row>
    <row r="562" spans="1:71" x14ac:dyDescent="0.25">
      <c r="A562" s="7">
        <v>1.6406059944647307</v>
      </c>
      <c r="B562"/>
      <c r="C562"/>
      <c r="D562"/>
      <c r="E562"/>
      <c r="BK562" s="27" t="s">
        <v>8</v>
      </c>
      <c r="BM562" s="27" t="s">
        <v>8</v>
      </c>
      <c r="BO562" s="27" t="s">
        <v>8</v>
      </c>
      <c r="BR562" s="27" t="s">
        <v>7</v>
      </c>
      <c r="BS562" s="27" t="s">
        <v>8</v>
      </c>
    </row>
    <row r="563" spans="1:71" x14ac:dyDescent="0.25">
      <c r="A563" s="7">
        <v>1.6084372494752261</v>
      </c>
      <c r="B563"/>
      <c r="C563"/>
      <c r="D563"/>
      <c r="E563"/>
      <c r="BK563" s="27" t="s">
        <v>8</v>
      </c>
      <c r="BL563" s="27" t="s">
        <v>7</v>
      </c>
      <c r="BM563" s="27" t="s">
        <v>8</v>
      </c>
      <c r="BN563" s="27" t="s">
        <v>7</v>
      </c>
      <c r="BO563" s="27" t="s">
        <v>8</v>
      </c>
      <c r="BR563" s="27" t="s">
        <v>7</v>
      </c>
      <c r="BS563" s="27" t="s">
        <v>8</v>
      </c>
    </row>
    <row r="564" spans="1:71" x14ac:dyDescent="0.25">
      <c r="A564" s="7">
        <v>1.5768992641913981</v>
      </c>
      <c r="B564"/>
      <c r="C564"/>
      <c r="D564"/>
      <c r="E564"/>
      <c r="BK564" s="27" t="s">
        <v>8</v>
      </c>
      <c r="BL564" s="27" t="s">
        <v>7</v>
      </c>
      <c r="BM564" s="27" t="s">
        <v>8</v>
      </c>
      <c r="BN564" s="27" t="s">
        <v>7</v>
      </c>
      <c r="BO564" s="27" t="s">
        <v>8</v>
      </c>
      <c r="BR564" s="27" t="s">
        <v>7</v>
      </c>
    </row>
    <row r="565" spans="1:71" x14ac:dyDescent="0.25">
      <c r="A565" s="7">
        <v>1.5459796707758806</v>
      </c>
      <c r="B565"/>
      <c r="C565"/>
      <c r="D565"/>
      <c r="E565"/>
      <c r="BK565" s="27" t="s">
        <v>8</v>
      </c>
      <c r="BL565" s="27" t="s">
        <v>7</v>
      </c>
      <c r="BM565" s="27" t="s">
        <v>8</v>
      </c>
      <c r="BN565" s="27" t="s">
        <v>7</v>
      </c>
      <c r="BO565" s="27" t="s">
        <v>8</v>
      </c>
    </row>
    <row r="566" spans="1:71" x14ac:dyDescent="0.25">
      <c r="A566" s="7">
        <v>1.5156663438979221</v>
      </c>
      <c r="B566"/>
      <c r="C566"/>
      <c r="D566"/>
      <c r="E566"/>
      <c r="BK566" s="27" t="s">
        <v>8</v>
      </c>
      <c r="BL566" s="27" t="s">
        <v>7</v>
      </c>
      <c r="BM566" s="27" t="s">
        <v>8</v>
      </c>
      <c r="BN566" s="27" t="s">
        <v>7</v>
      </c>
      <c r="BO566" s="27" t="s">
        <v>8</v>
      </c>
    </row>
    <row r="567" spans="1:71" x14ac:dyDescent="0.25">
      <c r="A567" s="7">
        <v>1.4859473959783549</v>
      </c>
      <c r="B567"/>
      <c r="C567"/>
      <c r="D567"/>
      <c r="E567"/>
      <c r="BK567" s="27" t="s">
        <v>8</v>
      </c>
      <c r="BL567" s="27" t="s">
        <v>7</v>
      </c>
      <c r="BM567" s="27" t="s">
        <v>8</v>
      </c>
      <c r="BN567" s="27" t="s">
        <v>7</v>
      </c>
      <c r="BO567" s="27" t="s">
        <v>8</v>
      </c>
    </row>
    <row r="568" spans="1:71" x14ac:dyDescent="0.25">
      <c r="A568" s="7">
        <v>1.4568111725277988</v>
      </c>
      <c r="B568"/>
      <c r="C568"/>
      <c r="D568"/>
      <c r="E568"/>
      <c r="BK568" s="27" t="s">
        <v>8</v>
      </c>
      <c r="BL568" s="27" t="s">
        <v>7</v>
      </c>
      <c r="BM568" s="27" t="s">
        <v>8</v>
      </c>
      <c r="BN568" s="27" t="s">
        <v>7</v>
      </c>
      <c r="BO568" s="27" t="s">
        <v>8</v>
      </c>
    </row>
    <row r="569" spans="1:71" x14ac:dyDescent="0.25">
      <c r="A569" s="7">
        <v>1.4282462475762734</v>
      </c>
      <c r="B569"/>
      <c r="C569"/>
      <c r="D569"/>
      <c r="E569"/>
      <c r="BI569" s="27" t="s">
        <v>8</v>
      </c>
      <c r="BK569" s="27" t="s">
        <v>8</v>
      </c>
      <c r="BL569" s="27" t="s">
        <v>7</v>
      </c>
      <c r="BM569" s="27" t="s">
        <v>8</v>
      </c>
      <c r="BN569" s="27" t="s">
        <v>7</v>
      </c>
      <c r="BO569" s="27" t="s">
        <v>8</v>
      </c>
    </row>
    <row r="570" spans="1:71" x14ac:dyDescent="0.25">
      <c r="A570" s="7">
        <v>1.4002414191924248</v>
      </c>
      <c r="B570"/>
      <c r="C570"/>
      <c r="D570"/>
      <c r="E570"/>
      <c r="BI570" s="27" t="s">
        <v>8</v>
      </c>
      <c r="BJ570" s="27" t="s">
        <v>7</v>
      </c>
      <c r="BK570" s="27" t="s">
        <v>8</v>
      </c>
      <c r="BL570" s="27" t="s">
        <v>7</v>
      </c>
      <c r="BM570" s="27" t="s">
        <v>8</v>
      </c>
      <c r="BN570" s="27" t="s">
        <v>7</v>
      </c>
      <c r="BO570" s="27" t="s">
        <v>8</v>
      </c>
    </row>
    <row r="571" spans="1:71" x14ac:dyDescent="0.25">
      <c r="A571" s="7">
        <v>1.3727857050906125</v>
      </c>
      <c r="B571"/>
      <c r="C571"/>
      <c r="D571"/>
      <c r="E571"/>
      <c r="BI571" s="27" t="s">
        <v>8</v>
      </c>
      <c r="BJ571" s="27" t="s">
        <v>7</v>
      </c>
      <c r="BK571" s="27" t="s">
        <v>8</v>
      </c>
      <c r="BL571" s="27" t="s">
        <v>7</v>
      </c>
      <c r="BM571" s="27" t="s">
        <v>8</v>
      </c>
      <c r="BN571" s="27" t="s">
        <v>7</v>
      </c>
      <c r="BO571" s="27" t="s">
        <v>8</v>
      </c>
    </row>
    <row r="572" spans="1:71" x14ac:dyDescent="0.25">
      <c r="A572" s="7">
        <v>1.3458683383241299</v>
      </c>
      <c r="B572"/>
      <c r="C572"/>
      <c r="D572"/>
      <c r="E572"/>
      <c r="BI572" s="27" t="s">
        <v>8</v>
      </c>
      <c r="BJ572" s="27" t="s">
        <v>7</v>
      </c>
      <c r="BK572" s="27" t="s">
        <v>8</v>
      </c>
      <c r="BL572" s="27" t="s">
        <v>7</v>
      </c>
      <c r="BM572" s="27" t="s">
        <v>8</v>
      </c>
      <c r="BN572" s="27" t="s">
        <v>7</v>
      </c>
      <c r="BO572" s="27" t="s">
        <v>8</v>
      </c>
    </row>
    <row r="573" spans="1:71" x14ac:dyDescent="0.25">
      <c r="A573" s="7">
        <v>1.3194787630628724</v>
      </c>
      <c r="B573"/>
      <c r="C573"/>
      <c r="D573"/>
      <c r="E573"/>
      <c r="BI573" s="27" t="s">
        <v>8</v>
      </c>
      <c r="BJ573" s="27" t="s">
        <v>7</v>
      </c>
      <c r="BK573" s="27" t="s">
        <v>8</v>
      </c>
      <c r="BL573" s="27" t="s">
        <v>7</v>
      </c>
      <c r="BM573" s="27" t="s">
        <v>8</v>
      </c>
      <c r="BN573" s="27" t="s">
        <v>7</v>
      </c>
      <c r="BO573" s="27" t="s">
        <v>8</v>
      </c>
    </row>
    <row r="574" spans="1:71" x14ac:dyDescent="0.25">
      <c r="A574" s="7">
        <v>1.2936066304537963</v>
      </c>
      <c r="B574"/>
      <c r="C574"/>
      <c r="D574"/>
      <c r="E574"/>
      <c r="BI574" s="27" t="s">
        <v>8</v>
      </c>
      <c r="BJ574" s="27" t="s">
        <v>7</v>
      </c>
      <c r="BK574" s="27" t="s">
        <v>8</v>
      </c>
      <c r="BL574" s="27" t="s">
        <v>7</v>
      </c>
      <c r="BM574" s="27" t="s">
        <v>8</v>
      </c>
      <c r="BN574" s="27" t="s">
        <v>7</v>
      </c>
      <c r="BO574" s="27" t="s">
        <v>8</v>
      </c>
    </row>
    <row r="575" spans="1:71" x14ac:dyDescent="0.25">
      <c r="A575" s="7">
        <v>1.2682417945625455</v>
      </c>
      <c r="B575"/>
      <c r="C575"/>
      <c r="D575"/>
      <c r="E575"/>
      <c r="BI575" s="27" t="s">
        <v>8</v>
      </c>
      <c r="BJ575" s="27" t="s">
        <v>7</v>
      </c>
      <c r="BK575" s="27" t="s">
        <v>8</v>
      </c>
      <c r="BL575" s="27" t="s">
        <v>7</v>
      </c>
      <c r="BM575" s="27" t="s">
        <v>8</v>
      </c>
      <c r="BN575" s="27" t="s">
        <v>7</v>
      </c>
      <c r="BO575" s="27" t="s">
        <v>8</v>
      </c>
    </row>
    <row r="576" spans="1:71" x14ac:dyDescent="0.25">
      <c r="A576" s="7">
        <v>1.2433743083946525</v>
      </c>
      <c r="B576"/>
      <c r="C576"/>
      <c r="D576"/>
      <c r="E576"/>
      <c r="BG576" s="27" t="s">
        <v>8</v>
      </c>
      <c r="BI576" s="27" t="s">
        <v>8</v>
      </c>
      <c r="BJ576" s="27" t="s">
        <v>7</v>
      </c>
      <c r="BK576" s="27" t="s">
        <v>8</v>
      </c>
      <c r="BL576" s="27" t="s">
        <v>7</v>
      </c>
      <c r="BM576" s="27" t="s">
        <v>8</v>
      </c>
      <c r="BN576" s="27" t="s">
        <v>7</v>
      </c>
      <c r="BO576" s="27" t="s">
        <v>8</v>
      </c>
    </row>
    <row r="577" spans="1:67" x14ac:dyDescent="0.25">
      <c r="A577" s="7">
        <v>1.2189944199947573</v>
      </c>
      <c r="B577"/>
      <c r="C577"/>
      <c r="D577"/>
      <c r="E577"/>
      <c r="BG577" s="27" t="s">
        <v>8</v>
      </c>
      <c r="BH577" s="27" t="s">
        <v>7</v>
      </c>
      <c r="BI577" s="27" t="s">
        <v>8</v>
      </c>
      <c r="BJ577" s="27" t="s">
        <v>7</v>
      </c>
      <c r="BL577" s="27" t="s">
        <v>7</v>
      </c>
      <c r="BM577" s="27" t="s">
        <v>8</v>
      </c>
      <c r="BN577" s="27" t="s">
        <v>7</v>
      </c>
      <c r="BO577" s="27" t="s">
        <v>8</v>
      </c>
    </row>
    <row r="578" spans="1:67" x14ac:dyDescent="0.25">
      <c r="A578" s="7">
        <v>1.1950925686223111</v>
      </c>
      <c r="B578"/>
      <c r="C578"/>
      <c r="D578"/>
      <c r="E578"/>
      <c r="BG578" s="27" t="s">
        <v>8</v>
      </c>
      <c r="BH578" s="27" t="s">
        <v>7</v>
      </c>
      <c r="BI578" s="27" t="s">
        <v>8</v>
      </c>
      <c r="BL578" s="27" t="s">
        <v>7</v>
      </c>
      <c r="BM578" s="27" t="s">
        <v>8</v>
      </c>
      <c r="BN578" s="27" t="s">
        <v>7</v>
      </c>
      <c r="BO578" s="27" t="s">
        <v>8</v>
      </c>
    </row>
    <row r="579" spans="1:67" x14ac:dyDescent="0.25">
      <c r="A579" s="7">
        <v>1.1716593810022657</v>
      </c>
      <c r="B579"/>
      <c r="C579"/>
      <c r="D579"/>
      <c r="E579"/>
      <c r="BG579" s="27" t="s">
        <v>8</v>
      </c>
      <c r="BH579" s="27" t="s">
        <v>7</v>
      </c>
      <c r="BI579" s="27" t="s">
        <v>8</v>
      </c>
      <c r="BL579" s="27" t="s">
        <v>7</v>
      </c>
      <c r="BN579" s="27" t="s">
        <v>7</v>
      </c>
      <c r="BO579" s="27" t="s">
        <v>8</v>
      </c>
    </row>
    <row r="580" spans="1:67" x14ac:dyDescent="0.25">
      <c r="A580" s="7">
        <v>1.14868566764928</v>
      </c>
      <c r="B580"/>
      <c r="C580"/>
      <c r="D580"/>
      <c r="E580"/>
      <c r="BG580" s="27" t="s">
        <v>8</v>
      </c>
      <c r="BH580" s="27" t="s">
        <v>7</v>
      </c>
      <c r="BN580" s="27" t="s">
        <v>7</v>
      </c>
      <c r="BO580" s="27" t="s">
        <v>8</v>
      </c>
    </row>
    <row r="581" spans="1:67" x14ac:dyDescent="0.25">
      <c r="A581" s="7">
        <v>1.1261624192640001</v>
      </c>
      <c r="B581"/>
      <c r="C581"/>
      <c r="D581"/>
      <c r="E581"/>
      <c r="AU581" s="27" t="s">
        <v>8</v>
      </c>
      <c r="BG581" s="27" t="s">
        <v>8</v>
      </c>
      <c r="BN581" s="27" t="s">
        <v>7</v>
      </c>
    </row>
    <row r="582" spans="1:67" x14ac:dyDescent="0.25">
      <c r="A582" s="7">
        <v>1.1040808032</v>
      </c>
      <c r="B582"/>
      <c r="C582"/>
      <c r="D582"/>
      <c r="E582"/>
      <c r="AU582" s="27" t="s">
        <v>8</v>
      </c>
      <c r="AV582" s="27" t="s">
        <v>7</v>
      </c>
      <c r="BA582" s="27" t="s">
        <v>8</v>
      </c>
      <c r="BC582" s="27" t="s">
        <v>8</v>
      </c>
      <c r="BG582" s="27" t="s">
        <v>8</v>
      </c>
    </row>
    <row r="583" spans="1:67" x14ac:dyDescent="0.25">
      <c r="A583" s="7">
        <v>1.08243216</v>
      </c>
      <c r="B583"/>
      <c r="C583"/>
      <c r="D583"/>
      <c r="E583"/>
      <c r="AU583" s="27" t="s">
        <v>8</v>
      </c>
      <c r="AV583" s="27" t="s">
        <v>7</v>
      </c>
      <c r="BA583" s="27" t="s">
        <v>8</v>
      </c>
      <c r="BB583" s="27" t="s">
        <v>7</v>
      </c>
      <c r="BC583" s="27" t="s">
        <v>8</v>
      </c>
      <c r="BD583" s="27" t="s">
        <v>7</v>
      </c>
      <c r="BG583" s="27" t="s">
        <v>8</v>
      </c>
    </row>
    <row r="584" spans="1:67" x14ac:dyDescent="0.25">
      <c r="A584" s="7">
        <v>1.0612079999999999</v>
      </c>
      <c r="B584"/>
      <c r="C584"/>
      <c r="D584"/>
      <c r="E584"/>
      <c r="AU584" s="27" t="s">
        <v>8</v>
      </c>
      <c r="AV584" s="27" t="s">
        <v>7</v>
      </c>
      <c r="BA584" s="27" t="s">
        <v>8</v>
      </c>
      <c r="BB584" s="27" t="s">
        <v>7</v>
      </c>
      <c r="BC584" s="27" t="s">
        <v>8</v>
      </c>
      <c r="BD584" s="27" t="s">
        <v>7</v>
      </c>
      <c r="BG584" s="27" t="s">
        <v>8</v>
      </c>
    </row>
    <row r="585" spans="1:67" x14ac:dyDescent="0.25">
      <c r="A585" s="7">
        <v>1.0404</v>
      </c>
      <c r="B585"/>
      <c r="C585"/>
      <c r="D585"/>
      <c r="E585"/>
      <c r="AM585" s="27" t="s">
        <v>8</v>
      </c>
      <c r="AU585" s="27" t="s">
        <v>8</v>
      </c>
      <c r="AV585" s="27" t="s">
        <v>7</v>
      </c>
      <c r="AW585" s="27" t="s">
        <v>8</v>
      </c>
      <c r="BA585" s="27" t="s">
        <v>8</v>
      </c>
      <c r="BB585" s="27" t="s">
        <v>7</v>
      </c>
      <c r="BC585" s="27" t="s">
        <v>8</v>
      </c>
      <c r="BD585" s="27" t="s">
        <v>7</v>
      </c>
      <c r="BG585" s="27" t="s">
        <v>8</v>
      </c>
    </row>
    <row r="586" spans="1:67" x14ac:dyDescent="0.25">
      <c r="A586" s="7">
        <v>1.02</v>
      </c>
      <c r="B586"/>
      <c r="C586"/>
      <c r="D586"/>
      <c r="E586"/>
      <c r="AM586" s="27" t="s">
        <v>8</v>
      </c>
      <c r="AN586" s="27" t="s">
        <v>7</v>
      </c>
      <c r="AU586" s="27" t="s">
        <v>8</v>
      </c>
      <c r="AV586" s="27" t="s">
        <v>7</v>
      </c>
      <c r="AW586" s="27" t="s">
        <v>8</v>
      </c>
      <c r="AX586" s="27" t="s">
        <v>7</v>
      </c>
      <c r="BA586" s="27" t="s">
        <v>8</v>
      </c>
      <c r="BB586" s="27" t="s">
        <v>7</v>
      </c>
      <c r="BC586" s="27" t="s">
        <v>8</v>
      </c>
      <c r="BD586" s="27" t="s">
        <v>7</v>
      </c>
      <c r="BG586" s="27" t="s">
        <v>8</v>
      </c>
    </row>
    <row r="587" spans="1:67" x14ac:dyDescent="0.25">
      <c r="A587" s="7">
        <v>1</v>
      </c>
      <c r="B587"/>
      <c r="C587"/>
      <c r="D587"/>
      <c r="E587" s="29" t="s">
        <v>8</v>
      </c>
      <c r="AM587" s="27" t="s">
        <v>8</v>
      </c>
      <c r="AN587" s="27" t="s">
        <v>7</v>
      </c>
      <c r="AO587" s="27" t="s">
        <v>8</v>
      </c>
      <c r="AQ587" s="27" t="s">
        <v>8</v>
      </c>
      <c r="AU587" s="27" t="s">
        <v>8</v>
      </c>
      <c r="AV587" s="27" t="s">
        <v>7</v>
      </c>
      <c r="AW587" s="27" t="s">
        <v>8</v>
      </c>
      <c r="AX587" s="27" t="s">
        <v>7</v>
      </c>
      <c r="BA587" s="27" t="s">
        <v>8</v>
      </c>
      <c r="BB587" s="27" t="s">
        <v>7</v>
      </c>
      <c r="BC587" s="27" t="s">
        <v>8</v>
      </c>
      <c r="BD587" s="27" t="s">
        <v>7</v>
      </c>
      <c r="BG587" s="27" t="s">
        <v>8</v>
      </c>
    </row>
    <row r="588" spans="1:67" x14ac:dyDescent="0.25">
      <c r="A588" s="7">
        <v>0.98039215686274506</v>
      </c>
      <c r="B588"/>
      <c r="C588"/>
      <c r="D588"/>
      <c r="E588"/>
      <c r="F588" s="27" t="s">
        <v>7</v>
      </c>
      <c r="AK588" s="27" t="s">
        <v>8</v>
      </c>
      <c r="AM588" s="27" t="s">
        <v>8</v>
      </c>
      <c r="AN588" s="27" t="s">
        <v>7</v>
      </c>
      <c r="AO588" s="27" t="s">
        <v>8</v>
      </c>
      <c r="AP588" s="27" t="s">
        <v>7</v>
      </c>
      <c r="AQ588" s="27" t="s">
        <v>8</v>
      </c>
      <c r="AR588" s="27" t="s">
        <v>7</v>
      </c>
      <c r="AU588" s="27" t="s">
        <v>8</v>
      </c>
      <c r="AV588" s="27" t="s">
        <v>7</v>
      </c>
      <c r="AW588" s="27" t="s">
        <v>8</v>
      </c>
      <c r="AX588" s="27" t="s">
        <v>7</v>
      </c>
      <c r="BA588" s="27" t="s">
        <v>8</v>
      </c>
      <c r="BB588" s="27" t="s">
        <v>7</v>
      </c>
      <c r="BD588" s="27" t="s">
        <v>7</v>
      </c>
      <c r="BG588" s="27" t="s">
        <v>8</v>
      </c>
    </row>
    <row r="589" spans="1:67" x14ac:dyDescent="0.25">
      <c r="A589" s="7">
        <v>0.96116878123798544</v>
      </c>
      <c r="B589"/>
      <c r="C589"/>
      <c r="D589"/>
      <c r="E589"/>
      <c r="F589" s="27" t="s">
        <v>7</v>
      </c>
      <c r="AK589" s="27" t="s">
        <v>8</v>
      </c>
      <c r="AL589" s="27" t="s">
        <v>7</v>
      </c>
      <c r="AM589" s="27" t="s">
        <v>8</v>
      </c>
      <c r="AN589" s="27" t="s">
        <v>7</v>
      </c>
      <c r="AO589" s="27" t="s">
        <v>8</v>
      </c>
      <c r="AP589" s="27" t="s">
        <v>7</v>
      </c>
      <c r="AQ589" s="27" t="s">
        <v>8</v>
      </c>
      <c r="AR589" s="27" t="s">
        <v>7</v>
      </c>
      <c r="AU589" s="27" t="s">
        <v>8</v>
      </c>
      <c r="AV589" s="27" t="s">
        <v>7</v>
      </c>
      <c r="AW589" s="27" t="s">
        <v>8</v>
      </c>
      <c r="AX589" s="27" t="s">
        <v>7</v>
      </c>
      <c r="BA589" s="27" t="s">
        <v>8</v>
      </c>
      <c r="BD589" s="27" t="s">
        <v>7</v>
      </c>
      <c r="BE589" s="27" t="s">
        <v>8</v>
      </c>
      <c r="BG589" s="27" t="s">
        <v>8</v>
      </c>
    </row>
    <row r="590" spans="1:67" x14ac:dyDescent="0.25">
      <c r="A590" s="7">
        <v>0.94232233454704462</v>
      </c>
      <c r="B590"/>
      <c r="C590"/>
      <c r="D590"/>
      <c r="E590"/>
      <c r="F590" s="27" t="s">
        <v>7</v>
      </c>
      <c r="AK590" s="27" t="s">
        <v>8</v>
      </c>
      <c r="AL590" s="27" t="s">
        <v>7</v>
      </c>
      <c r="AM590" s="27" t="s">
        <v>8</v>
      </c>
      <c r="AN590" s="27" t="s">
        <v>7</v>
      </c>
      <c r="AO590" s="27" t="s">
        <v>8</v>
      </c>
      <c r="AP590" s="27" t="s">
        <v>7</v>
      </c>
      <c r="AQ590" s="27" t="s">
        <v>8</v>
      </c>
      <c r="AR590" s="27" t="s">
        <v>7</v>
      </c>
      <c r="AU590" s="27" t="s">
        <v>8</v>
      </c>
      <c r="AV590" s="27" t="s">
        <v>7</v>
      </c>
      <c r="AW590" s="27" t="s">
        <v>8</v>
      </c>
      <c r="AX590" s="27" t="s">
        <v>7</v>
      </c>
      <c r="BA590" s="27" t="s">
        <v>8</v>
      </c>
      <c r="BD590" s="27" t="s">
        <v>7</v>
      </c>
      <c r="BE590" s="27" t="s">
        <v>8</v>
      </c>
      <c r="BF590" s="27" t="s">
        <v>7</v>
      </c>
      <c r="BG590" s="27" t="s">
        <v>8</v>
      </c>
    </row>
    <row r="591" spans="1:67" x14ac:dyDescent="0.25">
      <c r="A591" s="7">
        <v>0.92384542602651432</v>
      </c>
      <c r="B591"/>
      <c r="C591"/>
      <c r="D591"/>
      <c r="E591"/>
      <c r="F591" s="27" t="s">
        <v>7</v>
      </c>
      <c r="AK591" s="27" t="s">
        <v>8</v>
      </c>
      <c r="AL591" s="27" t="s">
        <v>7</v>
      </c>
      <c r="AM591" s="27" t="s">
        <v>8</v>
      </c>
      <c r="AN591" s="27" t="s">
        <v>7</v>
      </c>
      <c r="AO591" s="27" t="s">
        <v>8</v>
      </c>
      <c r="AP591" s="27" t="s">
        <v>7</v>
      </c>
      <c r="AQ591" s="27" t="s">
        <v>8</v>
      </c>
      <c r="AR591" s="27" t="s">
        <v>7</v>
      </c>
      <c r="AU591" s="27" t="s">
        <v>8</v>
      </c>
      <c r="AV591" s="27" t="s">
        <v>7</v>
      </c>
      <c r="AX591" s="27" t="s">
        <v>7</v>
      </c>
      <c r="BA591" s="27" t="s">
        <v>8</v>
      </c>
      <c r="BD591" s="27" t="s">
        <v>7</v>
      </c>
      <c r="BE591" s="27" t="s">
        <v>8</v>
      </c>
      <c r="BF591" s="27" t="s">
        <v>7</v>
      </c>
      <c r="BG591" s="27" t="s">
        <v>8</v>
      </c>
    </row>
    <row r="592" spans="1:67" x14ac:dyDescent="0.25">
      <c r="A592" s="7">
        <v>0.90573080982991594</v>
      </c>
      <c r="B592"/>
      <c r="C592"/>
      <c r="D592"/>
      <c r="E592"/>
      <c r="F592" s="27" t="s">
        <v>7</v>
      </c>
      <c r="AK592" s="27" t="s">
        <v>8</v>
      </c>
      <c r="AL592" s="27" t="s">
        <v>7</v>
      </c>
      <c r="AM592" s="27" t="s">
        <v>8</v>
      </c>
      <c r="AN592" s="27" t="s">
        <v>7</v>
      </c>
      <c r="AO592" s="27" t="s">
        <v>8</v>
      </c>
      <c r="AP592" s="27" t="s">
        <v>7</v>
      </c>
      <c r="AQ592" s="27" t="s">
        <v>8</v>
      </c>
      <c r="AR592" s="27" t="s">
        <v>7</v>
      </c>
      <c r="AU592" s="27" t="s">
        <v>8</v>
      </c>
      <c r="AX592" s="27" t="s">
        <v>7</v>
      </c>
      <c r="AY592" s="27" t="s">
        <v>8</v>
      </c>
      <c r="BA592" s="27" t="s">
        <v>8</v>
      </c>
      <c r="BD592" s="27" t="s">
        <v>7</v>
      </c>
      <c r="BE592" s="27" t="s">
        <v>8</v>
      </c>
      <c r="BF592" s="27" t="s">
        <v>7</v>
      </c>
      <c r="BG592" s="27" t="s">
        <v>8</v>
      </c>
    </row>
    <row r="593" spans="1:59" x14ac:dyDescent="0.25">
      <c r="A593" s="7">
        <v>0.8879713821861922</v>
      </c>
      <c r="B593"/>
      <c r="C593"/>
      <c r="D593"/>
      <c r="E593"/>
      <c r="F593" s="27" t="s">
        <v>7</v>
      </c>
      <c r="AK593" s="27" t="s">
        <v>8</v>
      </c>
      <c r="AL593" s="27" t="s">
        <v>7</v>
      </c>
      <c r="AM593" s="27" t="s">
        <v>8</v>
      </c>
      <c r="AN593" s="27" t="s">
        <v>7</v>
      </c>
      <c r="AO593" s="27" t="s">
        <v>8</v>
      </c>
      <c r="AP593" s="27" t="s">
        <v>7</v>
      </c>
      <c r="AQ593" s="27" t="s">
        <v>8</v>
      </c>
      <c r="AR593" s="27" t="s">
        <v>7</v>
      </c>
      <c r="AU593" s="27" t="s">
        <v>8</v>
      </c>
      <c r="AX593" s="27" t="s">
        <v>7</v>
      </c>
      <c r="AY593" s="27" t="s">
        <v>8</v>
      </c>
      <c r="AZ593" s="27" t="s">
        <v>7</v>
      </c>
      <c r="BA593" s="27" t="s">
        <v>8</v>
      </c>
      <c r="BD593" s="27" t="s">
        <v>7</v>
      </c>
      <c r="BE593" s="27" t="s">
        <v>8</v>
      </c>
      <c r="BF593" s="27" t="s">
        <v>7</v>
      </c>
      <c r="BG593" s="27" t="s">
        <v>8</v>
      </c>
    </row>
    <row r="594" spans="1:59" x14ac:dyDescent="0.25">
      <c r="A594" s="7">
        <v>0.87056017861391399</v>
      </c>
      <c r="B594"/>
      <c r="C594"/>
      <c r="D594"/>
      <c r="E594"/>
      <c r="F594" s="27" t="s">
        <v>7</v>
      </c>
      <c r="AK594" s="27" t="s">
        <v>8</v>
      </c>
      <c r="AL594" s="27" t="s">
        <v>7</v>
      </c>
      <c r="AN594" s="27" t="s">
        <v>7</v>
      </c>
      <c r="AO594" s="27" t="s">
        <v>8</v>
      </c>
      <c r="AP594" s="27" t="s">
        <v>7</v>
      </c>
      <c r="AQ594" s="27" t="s">
        <v>8</v>
      </c>
      <c r="AR594" s="27" t="s">
        <v>7</v>
      </c>
      <c r="AU594" s="27" t="s">
        <v>8</v>
      </c>
      <c r="AX594" s="27" t="s">
        <v>7</v>
      </c>
      <c r="AY594" s="27" t="s">
        <v>8</v>
      </c>
      <c r="AZ594" s="27" t="s">
        <v>7</v>
      </c>
      <c r="BA594" s="27" t="s">
        <v>8</v>
      </c>
      <c r="BD594" s="27" t="s">
        <v>7</v>
      </c>
      <c r="BE594" s="27" t="s">
        <v>8</v>
      </c>
      <c r="BF594" s="27" t="s">
        <v>7</v>
      </c>
      <c r="BG594" s="27" t="s">
        <v>8</v>
      </c>
    </row>
    <row r="595" spans="1:59" x14ac:dyDescent="0.25">
      <c r="A595" s="7">
        <v>0.85349037119011173</v>
      </c>
      <c r="B595"/>
      <c r="C595"/>
      <c r="D595"/>
      <c r="E595"/>
      <c r="F595" s="27" t="s">
        <v>7</v>
      </c>
      <c r="AK595" s="27" t="s">
        <v>8</v>
      </c>
      <c r="AN595" s="27" t="s">
        <v>7</v>
      </c>
      <c r="AO595" s="27" t="s">
        <v>8</v>
      </c>
      <c r="AP595" s="27" t="s">
        <v>7</v>
      </c>
      <c r="AQ595" s="27" t="s">
        <v>8</v>
      </c>
      <c r="AR595" s="27" t="s">
        <v>7</v>
      </c>
      <c r="AU595" s="27" t="s">
        <v>8</v>
      </c>
      <c r="AX595" s="27" t="s">
        <v>7</v>
      </c>
      <c r="AY595" s="27" t="s">
        <v>8</v>
      </c>
      <c r="AZ595" s="27" t="s">
        <v>7</v>
      </c>
      <c r="BA595" s="27" t="s">
        <v>8</v>
      </c>
      <c r="BD595" s="27" t="s">
        <v>7</v>
      </c>
      <c r="BE595" s="27" t="s">
        <v>8</v>
      </c>
      <c r="BF595" s="27" t="s">
        <v>7</v>
      </c>
    </row>
    <row r="596" spans="1:59" x14ac:dyDescent="0.25">
      <c r="A596" s="7">
        <v>0.83675526587265858</v>
      </c>
      <c r="B596"/>
      <c r="C596"/>
      <c r="D596"/>
      <c r="E596"/>
      <c r="F596" s="27" t="s">
        <v>7</v>
      </c>
      <c r="AK596" s="27" t="s">
        <v>8</v>
      </c>
      <c r="AN596" s="27" t="s">
        <v>7</v>
      </c>
      <c r="AO596" s="27" t="s">
        <v>8</v>
      </c>
      <c r="AP596" s="27" t="s">
        <v>7</v>
      </c>
      <c r="AQ596" s="27" t="s">
        <v>8</v>
      </c>
      <c r="AR596" s="27" t="s">
        <v>7</v>
      </c>
      <c r="AU596" s="27" t="s">
        <v>8</v>
      </c>
      <c r="AX596" s="27" t="s">
        <v>7</v>
      </c>
      <c r="AY596" s="27" t="s">
        <v>8</v>
      </c>
      <c r="AZ596" s="27" t="s">
        <v>7</v>
      </c>
      <c r="BA596" s="27" t="s">
        <v>8</v>
      </c>
      <c r="BD596" s="27" t="s">
        <v>7</v>
      </c>
      <c r="BE596" s="27" t="s">
        <v>8</v>
      </c>
    </row>
    <row r="597" spans="1:59" x14ac:dyDescent="0.25">
      <c r="A597" s="7">
        <v>0.82034829987515545</v>
      </c>
      <c r="B597"/>
      <c r="C597"/>
      <c r="D597"/>
      <c r="E597"/>
      <c r="F597" s="27" t="s">
        <v>7</v>
      </c>
      <c r="K597" s="27" t="s">
        <v>8</v>
      </c>
      <c r="AK597" s="27" t="s">
        <v>8</v>
      </c>
      <c r="AN597" s="27" t="s">
        <v>7</v>
      </c>
      <c r="AO597" s="27" t="s">
        <v>8</v>
      </c>
      <c r="AP597" s="27" t="s">
        <v>7</v>
      </c>
      <c r="AR597" s="27" t="s">
        <v>7</v>
      </c>
      <c r="AS597" s="27" t="s">
        <v>8</v>
      </c>
      <c r="AU597" s="27" t="s">
        <v>8</v>
      </c>
      <c r="AX597" s="27" t="s">
        <v>7</v>
      </c>
      <c r="AZ597" s="27" t="s">
        <v>7</v>
      </c>
      <c r="BA597" s="27" t="s">
        <v>8</v>
      </c>
      <c r="BD597" s="27" t="s">
        <v>7</v>
      </c>
    </row>
    <row r="598" spans="1:59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K598" s="27" t="s">
        <v>8</v>
      </c>
      <c r="L598" s="27" t="s">
        <v>7</v>
      </c>
      <c r="M598" s="27" t="s">
        <v>8</v>
      </c>
      <c r="AK598" s="27" t="s">
        <v>8</v>
      </c>
      <c r="AN598" s="27" t="s">
        <v>7</v>
      </c>
      <c r="AO598" s="27" t="s">
        <v>8</v>
      </c>
      <c r="AR598" s="27" t="s">
        <v>7</v>
      </c>
      <c r="AS598" s="27" t="s">
        <v>8</v>
      </c>
      <c r="AT598" s="27" t="s">
        <v>7</v>
      </c>
      <c r="AU598" s="27" t="s">
        <v>8</v>
      </c>
      <c r="AZ598" s="27" t="s">
        <v>7</v>
      </c>
      <c r="BA598" s="27" t="s">
        <v>8</v>
      </c>
    </row>
    <row r="599" spans="1:59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K599" s="27" t="s">
        <v>8</v>
      </c>
      <c r="L599" s="27" t="s">
        <v>7</v>
      </c>
      <c r="M599" s="27" t="s">
        <v>8</v>
      </c>
      <c r="N599" s="27" t="s">
        <v>7</v>
      </c>
      <c r="AK599" s="27" t="s">
        <v>8</v>
      </c>
      <c r="AN599" s="27" t="s">
        <v>7</v>
      </c>
      <c r="AO599" s="27" t="s">
        <v>8</v>
      </c>
      <c r="AR599" s="27" t="s">
        <v>7</v>
      </c>
      <c r="AS599" s="27" t="s">
        <v>8</v>
      </c>
      <c r="AT599" s="27" t="s">
        <v>7</v>
      </c>
      <c r="AU599" s="27" t="s">
        <v>8</v>
      </c>
      <c r="AZ599" s="27" t="s">
        <v>7</v>
      </c>
      <c r="BA599" s="27" t="s">
        <v>8</v>
      </c>
    </row>
    <row r="600" spans="1:59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K600" s="27" t="s">
        <v>8</v>
      </c>
      <c r="L600" s="27" t="s">
        <v>7</v>
      </c>
      <c r="M600" s="27" t="s">
        <v>8</v>
      </c>
      <c r="N600" s="27" t="s">
        <v>7</v>
      </c>
      <c r="AK600" s="27" t="s">
        <v>8</v>
      </c>
      <c r="AN600" s="27" t="s">
        <v>7</v>
      </c>
      <c r="AO600" s="27" t="s">
        <v>8</v>
      </c>
      <c r="AR600" s="27" t="s">
        <v>7</v>
      </c>
      <c r="AS600" s="27" t="s">
        <v>8</v>
      </c>
      <c r="AT600" s="27" t="s">
        <v>7</v>
      </c>
      <c r="AU600" s="27" t="s">
        <v>8</v>
      </c>
      <c r="AZ600" s="27" t="s">
        <v>7</v>
      </c>
    </row>
    <row r="601" spans="1:59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K601" s="27" t="s">
        <v>8</v>
      </c>
      <c r="L601" s="27" t="s">
        <v>7</v>
      </c>
      <c r="M601" s="27" t="s">
        <v>8</v>
      </c>
      <c r="N601" s="27" t="s">
        <v>7</v>
      </c>
      <c r="AK601" s="27" t="s">
        <v>8</v>
      </c>
      <c r="AN601" s="27" t="s">
        <v>7</v>
      </c>
      <c r="AR601" s="27" t="s">
        <v>7</v>
      </c>
      <c r="AS601" s="27" t="s">
        <v>8</v>
      </c>
      <c r="AT601" s="27" t="s">
        <v>7</v>
      </c>
      <c r="AU601" s="27" t="s">
        <v>8</v>
      </c>
    </row>
    <row r="602" spans="1:59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K602" s="27" t="s">
        <v>8</v>
      </c>
      <c r="L602" s="27" t="s">
        <v>7</v>
      </c>
      <c r="M602" s="27" t="s">
        <v>8</v>
      </c>
      <c r="N602" s="27" t="s">
        <v>7</v>
      </c>
      <c r="AK602" s="27" t="s">
        <v>8</v>
      </c>
      <c r="AR602" s="27" t="s">
        <v>7</v>
      </c>
      <c r="AS602" s="27" t="s">
        <v>8</v>
      </c>
      <c r="AT602" s="27" t="s">
        <v>7</v>
      </c>
    </row>
    <row r="603" spans="1:59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I603" s="27" t="s">
        <v>8</v>
      </c>
      <c r="J603" s="27" t="s">
        <v>7</v>
      </c>
      <c r="K603" s="27" t="s">
        <v>8</v>
      </c>
      <c r="L603" s="27" t="s">
        <v>7</v>
      </c>
      <c r="M603" s="27" t="s">
        <v>8</v>
      </c>
      <c r="N603" s="27" t="s">
        <v>7</v>
      </c>
      <c r="AK603" s="27" t="s">
        <v>8</v>
      </c>
      <c r="AR603" s="27" t="s">
        <v>7</v>
      </c>
      <c r="AS603" s="27" t="s">
        <v>8</v>
      </c>
    </row>
    <row r="604" spans="1:59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I604" s="27" t="s">
        <v>8</v>
      </c>
      <c r="J604" s="27" t="s">
        <v>7</v>
      </c>
      <c r="K604" s="27" t="s">
        <v>8</v>
      </c>
      <c r="L604" s="27" t="s">
        <v>7</v>
      </c>
      <c r="M604" s="27" t="s">
        <v>8</v>
      </c>
      <c r="N604" s="27" t="s">
        <v>7</v>
      </c>
      <c r="AK604" s="27" t="s">
        <v>8</v>
      </c>
      <c r="AR604" s="27" t="s">
        <v>7</v>
      </c>
      <c r="AS604" s="27" t="s">
        <v>8</v>
      </c>
    </row>
    <row r="605" spans="1:59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I605" s="27" t="s">
        <v>8</v>
      </c>
      <c r="J605" s="27" t="s">
        <v>7</v>
      </c>
      <c r="K605" s="27" t="s">
        <v>8</v>
      </c>
      <c r="L605" s="27" t="s">
        <v>7</v>
      </c>
      <c r="M605" s="27" t="s">
        <v>8</v>
      </c>
      <c r="N605" s="27" t="s">
        <v>7</v>
      </c>
      <c r="AI605" s="27" t="s">
        <v>8</v>
      </c>
      <c r="AK605" s="27" t="s">
        <v>8</v>
      </c>
      <c r="AR605" s="27" t="s">
        <v>7</v>
      </c>
      <c r="AS605" s="27" t="s">
        <v>8</v>
      </c>
    </row>
    <row r="606" spans="1:59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I606" s="27" t="s">
        <v>8</v>
      </c>
      <c r="J606" s="27" t="s">
        <v>7</v>
      </c>
      <c r="K606" s="27" t="s">
        <v>8</v>
      </c>
      <c r="L606" s="27" t="s">
        <v>7</v>
      </c>
      <c r="M606" s="27" t="s">
        <v>8</v>
      </c>
      <c r="N606" s="27" t="s">
        <v>7</v>
      </c>
      <c r="AI606" s="27" t="s">
        <v>8</v>
      </c>
      <c r="AJ606" s="27" t="s">
        <v>7</v>
      </c>
      <c r="AK606" s="27" t="s">
        <v>8</v>
      </c>
      <c r="AR606" s="27" t="s">
        <v>7</v>
      </c>
      <c r="AS606" s="27" t="s">
        <v>8</v>
      </c>
    </row>
    <row r="607" spans="1:59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  <c r="N607" s="27" t="s">
        <v>7</v>
      </c>
      <c r="AI607" s="27" t="s">
        <v>8</v>
      </c>
      <c r="AJ607" s="27" t="s">
        <v>7</v>
      </c>
      <c r="AK607" s="27" t="s">
        <v>8</v>
      </c>
      <c r="AR607" s="27" t="s">
        <v>7</v>
      </c>
      <c r="AS607" s="27" t="s">
        <v>8</v>
      </c>
    </row>
    <row r="608" spans="1:59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I608" s="27" t="s">
        <v>8</v>
      </c>
      <c r="J608" s="27" t="s">
        <v>7</v>
      </c>
      <c r="N608" s="27" t="s">
        <v>7</v>
      </c>
      <c r="AI608" s="27" t="s">
        <v>8</v>
      </c>
      <c r="AJ608" s="27" t="s">
        <v>7</v>
      </c>
      <c r="AK608" s="27" t="s">
        <v>8</v>
      </c>
      <c r="AR608" s="27" t="s">
        <v>7</v>
      </c>
      <c r="AS608" s="27" t="s">
        <v>8</v>
      </c>
    </row>
    <row r="609" spans="1:45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I609" s="27" t="s">
        <v>8</v>
      </c>
      <c r="N609" s="27" t="s">
        <v>7</v>
      </c>
      <c r="AI609" s="27" t="s">
        <v>8</v>
      </c>
      <c r="AJ609" s="27" t="s">
        <v>7</v>
      </c>
      <c r="AK609" s="27" t="s">
        <v>8</v>
      </c>
      <c r="AR609" s="27" t="s">
        <v>7</v>
      </c>
      <c r="AS609" s="27" t="s">
        <v>8</v>
      </c>
    </row>
    <row r="610" spans="1:45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N610" s="27" t="s">
        <v>7</v>
      </c>
      <c r="O610" s="27" t="s">
        <v>8</v>
      </c>
      <c r="U610" s="27" t="s">
        <v>8</v>
      </c>
      <c r="AI610" s="27" t="s">
        <v>8</v>
      </c>
      <c r="AJ610" s="27" t="s">
        <v>7</v>
      </c>
      <c r="AK610" s="27" t="s">
        <v>8</v>
      </c>
      <c r="AR610" s="27" t="s">
        <v>7</v>
      </c>
    </row>
    <row r="611" spans="1:45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N611" s="27" t="s">
        <v>7</v>
      </c>
      <c r="O611" s="27" t="s">
        <v>8</v>
      </c>
      <c r="P611" s="27" t="s">
        <v>7</v>
      </c>
      <c r="U611" s="27" t="s">
        <v>8</v>
      </c>
      <c r="V611" s="27" t="s">
        <v>7</v>
      </c>
      <c r="AA611" s="27" t="s">
        <v>8</v>
      </c>
      <c r="AI611" s="27" t="s">
        <v>8</v>
      </c>
      <c r="AJ611" s="27" t="s">
        <v>7</v>
      </c>
      <c r="AK611" s="27" t="s">
        <v>8</v>
      </c>
    </row>
    <row r="612" spans="1:45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N612" s="27" t="s">
        <v>7</v>
      </c>
      <c r="O612" s="27" t="s">
        <v>8</v>
      </c>
      <c r="P612" s="27" t="s">
        <v>7</v>
      </c>
      <c r="U612" s="27" t="s">
        <v>8</v>
      </c>
      <c r="V612" s="27" t="s">
        <v>7</v>
      </c>
      <c r="AA612" s="27" t="s">
        <v>8</v>
      </c>
      <c r="AB612" s="27" t="s">
        <v>7</v>
      </c>
      <c r="AI612" s="27" t="s">
        <v>8</v>
      </c>
      <c r="AJ612" s="27" t="s">
        <v>7</v>
      </c>
      <c r="AK612" s="27" t="s">
        <v>8</v>
      </c>
    </row>
    <row r="613" spans="1:45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N613" s="27" t="s">
        <v>7</v>
      </c>
      <c r="O613" s="27" t="s">
        <v>8</v>
      </c>
      <c r="P613" s="27" t="s">
        <v>7</v>
      </c>
      <c r="U613" s="27" t="s">
        <v>8</v>
      </c>
      <c r="V613" s="27" t="s">
        <v>7</v>
      </c>
      <c r="AA613" s="27" t="s">
        <v>8</v>
      </c>
      <c r="AB613" s="27" t="s">
        <v>7</v>
      </c>
      <c r="AC613" s="27" t="s">
        <v>8</v>
      </c>
      <c r="AI613" s="27" t="s">
        <v>8</v>
      </c>
      <c r="AJ613" s="27" t="s">
        <v>7</v>
      </c>
      <c r="AK613" s="27" t="s">
        <v>8</v>
      </c>
    </row>
    <row r="614" spans="1:45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N614" s="27" t="s">
        <v>7</v>
      </c>
      <c r="O614" s="27" t="s">
        <v>8</v>
      </c>
      <c r="P614" s="27" t="s">
        <v>7</v>
      </c>
      <c r="U614" s="27" t="s">
        <v>8</v>
      </c>
      <c r="V614" s="27" t="s">
        <v>7</v>
      </c>
      <c r="AA614" s="27" t="s">
        <v>8</v>
      </c>
      <c r="AB614" s="27" t="s">
        <v>7</v>
      </c>
      <c r="AC614" s="27" t="s">
        <v>8</v>
      </c>
      <c r="AD614" s="27" t="s">
        <v>7</v>
      </c>
      <c r="AI614" s="27" t="s">
        <v>8</v>
      </c>
      <c r="AJ614" s="27" t="s">
        <v>7</v>
      </c>
      <c r="AK614" s="27" t="s">
        <v>8</v>
      </c>
    </row>
    <row r="615" spans="1:45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N615" s="27" t="s">
        <v>7</v>
      </c>
      <c r="O615" s="27" t="s">
        <v>8</v>
      </c>
      <c r="P615" s="27" t="s">
        <v>7</v>
      </c>
      <c r="U615" s="27" t="s">
        <v>8</v>
      </c>
      <c r="V615" s="27" t="s">
        <v>7</v>
      </c>
      <c r="Y615" s="27" t="s">
        <v>8</v>
      </c>
      <c r="AA615" s="27" t="s">
        <v>8</v>
      </c>
      <c r="AB615" s="27" t="s">
        <v>7</v>
      </c>
      <c r="AC615" s="27" t="s">
        <v>8</v>
      </c>
      <c r="AD615" s="27" t="s">
        <v>7</v>
      </c>
      <c r="AI615" s="27" t="s">
        <v>8</v>
      </c>
      <c r="AJ615" s="27" t="s">
        <v>7</v>
      </c>
      <c r="AK615" s="27" t="s">
        <v>8</v>
      </c>
    </row>
    <row r="616" spans="1:45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N616" s="27" t="s">
        <v>7</v>
      </c>
      <c r="O616" s="27" t="s">
        <v>8</v>
      </c>
      <c r="P616" s="27" t="s">
        <v>7</v>
      </c>
      <c r="U616" s="27" t="s">
        <v>8</v>
      </c>
      <c r="V616" s="27" t="s">
        <v>7</v>
      </c>
      <c r="Y616" s="27" t="s">
        <v>8</v>
      </c>
      <c r="Z616" s="27" t="s">
        <v>7</v>
      </c>
      <c r="AA616" s="27" t="s">
        <v>8</v>
      </c>
      <c r="AB616" s="27" t="s">
        <v>7</v>
      </c>
      <c r="AC616" s="27" t="s">
        <v>8</v>
      </c>
      <c r="AD616" s="27" t="s">
        <v>7</v>
      </c>
      <c r="AI616" s="27" t="s">
        <v>8</v>
      </c>
      <c r="AJ616" s="27" t="s">
        <v>7</v>
      </c>
    </row>
    <row r="617" spans="1:45" x14ac:dyDescent="0.25">
      <c r="A617" s="7">
        <v>0.55207088897991208</v>
      </c>
      <c r="B617"/>
      <c r="C617"/>
      <c r="D617"/>
      <c r="E617"/>
      <c r="F617" s="27" t="s">
        <v>7</v>
      </c>
      <c r="N617" s="27" t="s">
        <v>7</v>
      </c>
      <c r="O617" s="27" t="s">
        <v>8</v>
      </c>
      <c r="P617" s="27" t="s">
        <v>7</v>
      </c>
      <c r="U617" s="27" t="s">
        <v>8</v>
      </c>
      <c r="V617" s="27" t="s">
        <v>7</v>
      </c>
      <c r="Y617" s="27" t="s">
        <v>8</v>
      </c>
      <c r="Z617" s="27" t="s">
        <v>7</v>
      </c>
      <c r="AA617" s="27" t="s">
        <v>8</v>
      </c>
      <c r="AB617" s="27" t="s">
        <v>7</v>
      </c>
      <c r="AC617" s="27" t="s">
        <v>8</v>
      </c>
      <c r="AD617" s="27" t="s">
        <v>7</v>
      </c>
      <c r="AI617" s="27" t="s">
        <v>8</v>
      </c>
    </row>
    <row r="618" spans="1:45" x14ac:dyDescent="0.25">
      <c r="A618" s="7">
        <v>0.54124596958814908</v>
      </c>
      <c r="B618"/>
      <c r="C618"/>
      <c r="D618"/>
      <c r="E618"/>
      <c r="N618" s="27" t="s">
        <v>7</v>
      </c>
      <c r="O618" s="27" t="s">
        <v>8</v>
      </c>
      <c r="P618" s="27" t="s">
        <v>7</v>
      </c>
      <c r="Q618" s="27" t="s">
        <v>8</v>
      </c>
      <c r="U618" s="27" t="s">
        <v>8</v>
      </c>
      <c r="V618" s="27" t="s">
        <v>7</v>
      </c>
      <c r="Y618" s="27" t="s">
        <v>8</v>
      </c>
      <c r="Z618" s="27" t="s">
        <v>7</v>
      </c>
      <c r="AA618" s="27" t="s">
        <v>8</v>
      </c>
      <c r="AB618" s="27" t="s">
        <v>7</v>
      </c>
      <c r="AC618" s="27" t="s">
        <v>8</v>
      </c>
      <c r="AD618" s="27" t="s">
        <v>7</v>
      </c>
      <c r="AI618" s="27" t="s">
        <v>8</v>
      </c>
    </row>
    <row r="619" spans="1:45" x14ac:dyDescent="0.25">
      <c r="A619" s="7">
        <v>0.53063330351779314</v>
      </c>
      <c r="B619"/>
      <c r="C619"/>
      <c r="D619"/>
      <c r="E619"/>
      <c r="N619" s="27" t="s">
        <v>7</v>
      </c>
      <c r="P619" s="27" t="s">
        <v>7</v>
      </c>
      <c r="Q619" s="27" t="s">
        <v>8</v>
      </c>
      <c r="R619" s="27" t="s">
        <v>7</v>
      </c>
      <c r="U619" s="27" t="s">
        <v>8</v>
      </c>
      <c r="V619" s="27" t="s">
        <v>7</v>
      </c>
      <c r="Y619" s="27" t="s">
        <v>8</v>
      </c>
      <c r="Z619" s="27" t="s">
        <v>7</v>
      </c>
      <c r="AA619" s="27" t="s">
        <v>8</v>
      </c>
      <c r="AB619" s="27" t="s">
        <v>7</v>
      </c>
      <c r="AC619" s="27" t="s">
        <v>8</v>
      </c>
      <c r="AD619" s="27" t="s">
        <v>7</v>
      </c>
      <c r="AE619" s="27" t="s">
        <v>8</v>
      </c>
      <c r="AI619" s="27" t="s">
        <v>8</v>
      </c>
    </row>
    <row r="620" spans="1:45" x14ac:dyDescent="0.25">
      <c r="A620" s="7">
        <v>0.52022872893901284</v>
      </c>
      <c r="B620"/>
      <c r="C620"/>
      <c r="D620"/>
      <c r="E620"/>
      <c r="P620" s="27" t="s">
        <v>7</v>
      </c>
      <c r="Q620" s="27" t="s">
        <v>8</v>
      </c>
      <c r="R620" s="27" t="s">
        <v>7</v>
      </c>
      <c r="U620" s="27" t="s">
        <v>8</v>
      </c>
      <c r="V620" s="27" t="s">
        <v>7</v>
      </c>
      <c r="Y620" s="27" t="s">
        <v>8</v>
      </c>
      <c r="Z620" s="27" t="s">
        <v>7</v>
      </c>
      <c r="AA620" s="27" t="s">
        <v>8</v>
      </c>
      <c r="AB620" s="27" t="s">
        <v>7</v>
      </c>
      <c r="AC620" s="27" t="s">
        <v>8</v>
      </c>
      <c r="AD620" s="27" t="s">
        <v>7</v>
      </c>
      <c r="AE620" s="27" t="s">
        <v>8</v>
      </c>
      <c r="AF620" s="27" t="s">
        <v>7</v>
      </c>
      <c r="AI620" s="27" t="s">
        <v>8</v>
      </c>
    </row>
    <row r="621" spans="1:45" x14ac:dyDescent="0.25">
      <c r="A621" s="7">
        <v>0.51002816562648323</v>
      </c>
      <c r="B621"/>
      <c r="C621"/>
      <c r="D621"/>
      <c r="E621"/>
      <c r="P621" s="27" t="s">
        <v>7</v>
      </c>
      <c r="Q621" s="27" t="s">
        <v>8</v>
      </c>
      <c r="R621" s="27" t="s">
        <v>7</v>
      </c>
      <c r="U621" s="27" t="s">
        <v>8</v>
      </c>
      <c r="V621" s="27" t="s">
        <v>7</v>
      </c>
      <c r="Y621" s="27" t="s">
        <v>8</v>
      </c>
      <c r="Z621" s="27" t="s">
        <v>7</v>
      </c>
      <c r="AA621" s="27" t="s">
        <v>8</v>
      </c>
      <c r="AB621" s="27" t="s">
        <v>7</v>
      </c>
      <c r="AC621" s="27" t="s">
        <v>8</v>
      </c>
      <c r="AD621" s="27" t="s">
        <v>7</v>
      </c>
      <c r="AE621" s="27" t="s">
        <v>8</v>
      </c>
      <c r="AF621" s="27" t="s">
        <v>7</v>
      </c>
      <c r="AI621" s="27" t="s">
        <v>8</v>
      </c>
    </row>
    <row r="622" spans="1:45" x14ac:dyDescent="0.25">
      <c r="A622" s="7">
        <v>0.50002761335929735</v>
      </c>
      <c r="B622"/>
      <c r="C622"/>
      <c r="D622"/>
      <c r="E622"/>
      <c r="P622" s="27" t="s">
        <v>7</v>
      </c>
      <c r="Q622" s="27" t="s">
        <v>8</v>
      </c>
      <c r="R622" s="27" t="s">
        <v>7</v>
      </c>
      <c r="U622" s="27" t="s">
        <v>8</v>
      </c>
      <c r="V622" s="27" t="s">
        <v>7</v>
      </c>
      <c r="Y622" s="27" t="s">
        <v>8</v>
      </c>
      <c r="Z622" s="27" t="s">
        <v>7</v>
      </c>
      <c r="AB622" s="27" t="s">
        <v>7</v>
      </c>
      <c r="AC622" s="27" t="s">
        <v>8</v>
      </c>
      <c r="AD622" s="27" t="s">
        <v>7</v>
      </c>
      <c r="AE622" s="27" t="s">
        <v>8</v>
      </c>
      <c r="AF622" s="27" t="s">
        <v>7</v>
      </c>
      <c r="AI622" s="27" t="s">
        <v>8</v>
      </c>
    </row>
    <row r="623" spans="1:45" x14ac:dyDescent="0.25">
      <c r="A623" s="7">
        <v>0.49022315035225228</v>
      </c>
      <c r="B623"/>
      <c r="C623"/>
      <c r="D623"/>
      <c r="E623"/>
      <c r="P623" s="27" t="s">
        <v>7</v>
      </c>
      <c r="Q623" s="27" t="s">
        <v>8</v>
      </c>
      <c r="R623" s="27" t="s">
        <v>7</v>
      </c>
      <c r="U623" s="27" t="s">
        <v>8</v>
      </c>
      <c r="V623" s="27" t="s">
        <v>7</v>
      </c>
      <c r="W623" s="27" t="s">
        <v>8</v>
      </c>
      <c r="Y623" s="27" t="s">
        <v>8</v>
      </c>
      <c r="AB623" s="27" t="s">
        <v>7</v>
      </c>
      <c r="AD623" s="27" t="s">
        <v>7</v>
      </c>
      <c r="AE623" s="27" t="s">
        <v>8</v>
      </c>
      <c r="AF623" s="27" t="s">
        <v>7</v>
      </c>
      <c r="AI623" s="27" t="s">
        <v>8</v>
      </c>
    </row>
    <row r="624" spans="1:45" x14ac:dyDescent="0.25">
      <c r="A624" s="7">
        <v>0.48061093171789437</v>
      </c>
      <c r="B624"/>
      <c r="C624"/>
      <c r="D624"/>
      <c r="E624"/>
      <c r="P624" s="27" t="s">
        <v>7</v>
      </c>
      <c r="Q624" s="27" t="s">
        <v>8</v>
      </c>
      <c r="R624" s="27" t="s">
        <v>7</v>
      </c>
      <c r="U624" s="27" t="s">
        <v>8</v>
      </c>
      <c r="V624" s="27" t="s">
        <v>7</v>
      </c>
      <c r="W624" s="27" t="s">
        <v>8</v>
      </c>
      <c r="X624" s="27" t="s">
        <v>7</v>
      </c>
      <c r="Y624" s="27" t="s">
        <v>8</v>
      </c>
      <c r="AD624" s="27" t="s">
        <v>7</v>
      </c>
      <c r="AE624" s="27" t="s">
        <v>8</v>
      </c>
      <c r="AF624" s="27" t="s">
        <v>7</v>
      </c>
      <c r="AI624" s="27" t="s">
        <v>8</v>
      </c>
    </row>
    <row r="625" spans="1:35" x14ac:dyDescent="0.25">
      <c r="A625" s="7">
        <v>0.47118718795871994</v>
      </c>
      <c r="B625"/>
      <c r="C625"/>
      <c r="D625"/>
      <c r="E625"/>
      <c r="P625" s="27" t="s">
        <v>7</v>
      </c>
      <c r="Q625" s="27" t="s">
        <v>8</v>
      </c>
      <c r="R625" s="27" t="s">
        <v>7</v>
      </c>
      <c r="U625" s="27" t="s">
        <v>8</v>
      </c>
      <c r="V625" s="27" t="s">
        <v>7</v>
      </c>
      <c r="W625" s="27" t="s">
        <v>8</v>
      </c>
      <c r="X625" s="27" t="s">
        <v>7</v>
      </c>
      <c r="Y625" s="27" t="s">
        <v>8</v>
      </c>
      <c r="AD625" s="27" t="s">
        <v>7</v>
      </c>
      <c r="AF625" s="27" t="s">
        <v>7</v>
      </c>
      <c r="AI625" s="27" t="s">
        <v>8</v>
      </c>
    </row>
    <row r="626" spans="1:35" x14ac:dyDescent="0.25">
      <c r="A626" s="7">
        <v>0.46194822348894116</v>
      </c>
      <c r="B626"/>
      <c r="C626"/>
      <c r="D626"/>
      <c r="E626"/>
      <c r="P626" s="27" t="s">
        <v>7</v>
      </c>
      <c r="R626" s="27" t="s">
        <v>7</v>
      </c>
      <c r="U626" s="27" t="s">
        <v>8</v>
      </c>
      <c r="V626" s="27" t="s">
        <v>7</v>
      </c>
      <c r="W626" s="27" t="s">
        <v>8</v>
      </c>
      <c r="X626" s="27" t="s">
        <v>7</v>
      </c>
      <c r="Y626" s="27" t="s">
        <v>8</v>
      </c>
      <c r="AF626" s="27" t="s">
        <v>7</v>
      </c>
      <c r="AI626" s="27" t="s">
        <v>8</v>
      </c>
    </row>
    <row r="627" spans="1:35" x14ac:dyDescent="0.25">
      <c r="A627" s="7">
        <v>0.45289041518523643</v>
      </c>
      <c r="B627"/>
      <c r="C627"/>
      <c r="D627"/>
      <c r="E627"/>
      <c r="R627" s="27" t="s">
        <v>7</v>
      </c>
      <c r="U627" s="27" t="s">
        <v>8</v>
      </c>
      <c r="V627" s="27" t="s">
        <v>7</v>
      </c>
      <c r="W627" s="27" t="s">
        <v>8</v>
      </c>
      <c r="X627" s="27" t="s">
        <v>7</v>
      </c>
      <c r="Y627" s="27" t="s">
        <v>8</v>
      </c>
      <c r="AF627" s="27" t="s">
        <v>7</v>
      </c>
      <c r="AI627" s="27" t="s">
        <v>8</v>
      </c>
    </row>
    <row r="628" spans="1:35" x14ac:dyDescent="0.25">
      <c r="A628" s="7">
        <v>0.44401021096591808</v>
      </c>
      <c r="B628"/>
      <c r="C628"/>
      <c r="D628"/>
      <c r="E628"/>
      <c r="R628" s="27" t="s">
        <v>7</v>
      </c>
      <c r="U628" s="27" t="s">
        <v>8</v>
      </c>
      <c r="V628" s="27" t="s">
        <v>7</v>
      </c>
      <c r="W628" s="27" t="s">
        <v>8</v>
      </c>
      <c r="X628" s="27" t="s">
        <v>7</v>
      </c>
      <c r="Y628" s="27" t="s">
        <v>8</v>
      </c>
      <c r="AF628" s="27" t="s">
        <v>7</v>
      </c>
      <c r="AG628" s="27" t="s">
        <v>8</v>
      </c>
      <c r="AI628" s="27" t="s">
        <v>8</v>
      </c>
    </row>
    <row r="629" spans="1:35" x14ac:dyDescent="0.25">
      <c r="A629" s="7">
        <v>0.4353041283979589</v>
      </c>
      <c r="B629"/>
      <c r="C629"/>
      <c r="D629"/>
      <c r="E629"/>
      <c r="R629" s="27" t="s">
        <v>7</v>
      </c>
      <c r="U629" s="27" t="s">
        <v>8</v>
      </c>
      <c r="V629" s="27" t="s">
        <v>7</v>
      </c>
      <c r="W629" s="27" t="s">
        <v>8</v>
      </c>
      <c r="X629" s="27" t="s">
        <v>7</v>
      </c>
      <c r="Y629" s="27" t="s">
        <v>8</v>
      </c>
      <c r="AF629" s="27" t="s">
        <v>7</v>
      </c>
      <c r="AG629" s="27" t="s">
        <v>8</v>
      </c>
      <c r="AH629" s="27" t="s">
        <v>7</v>
      </c>
      <c r="AI629" s="27" t="s">
        <v>8</v>
      </c>
    </row>
    <row r="630" spans="1:35" x14ac:dyDescent="0.25">
      <c r="A630" s="7">
        <v>0.4267687533313323</v>
      </c>
      <c r="B630"/>
      <c r="C630"/>
      <c r="D630"/>
      <c r="E630"/>
      <c r="R630" s="27" t="s">
        <v>7</v>
      </c>
      <c r="U630" s="27" t="s">
        <v>8</v>
      </c>
      <c r="V630" s="27" t="s">
        <v>7</v>
      </c>
      <c r="W630" s="27" t="s">
        <v>8</v>
      </c>
      <c r="X630" s="27" t="s">
        <v>7</v>
      </c>
      <c r="Y630" s="27" t="s">
        <v>8</v>
      </c>
      <c r="AF630" s="27" t="s">
        <v>7</v>
      </c>
      <c r="AG630" s="27" t="s">
        <v>8</v>
      </c>
      <c r="AH630" s="27" t="s">
        <v>7</v>
      </c>
      <c r="AI630" s="27" t="s">
        <v>8</v>
      </c>
    </row>
    <row r="631" spans="1:35" x14ac:dyDescent="0.25">
      <c r="A631" s="7">
        <v>0.41840073856012971</v>
      </c>
      <c r="B631"/>
      <c r="C631"/>
      <c r="D631"/>
      <c r="E631"/>
      <c r="R631" s="27" t="s">
        <v>7</v>
      </c>
      <c r="S631" s="27" t="s">
        <v>8</v>
      </c>
      <c r="U631" s="27" t="s">
        <v>8</v>
      </c>
      <c r="V631" s="27" t="s">
        <v>7</v>
      </c>
      <c r="W631" s="27" t="s">
        <v>8</v>
      </c>
      <c r="X631" s="27" t="s">
        <v>7</v>
      </c>
      <c r="Y631" s="27" t="s">
        <v>8</v>
      </c>
      <c r="AF631" s="27" t="s">
        <v>7</v>
      </c>
      <c r="AG631" s="27" t="s">
        <v>8</v>
      </c>
      <c r="AH631" s="27" t="s">
        <v>7</v>
      </c>
      <c r="AI631" s="27" t="s">
        <v>8</v>
      </c>
    </row>
    <row r="632" spans="1:35" x14ac:dyDescent="0.25">
      <c r="A632" s="7">
        <v>0.41019680250993112</v>
      </c>
      <c r="B632"/>
      <c r="C632"/>
      <c r="D632"/>
      <c r="E632"/>
      <c r="R632" s="27" t="s">
        <v>7</v>
      </c>
      <c r="S632" s="27" t="s">
        <v>8</v>
      </c>
      <c r="T632" s="27" t="s">
        <v>7</v>
      </c>
      <c r="U632" s="27" t="s">
        <v>8</v>
      </c>
      <c r="V632" s="27" t="s">
        <v>7</v>
      </c>
      <c r="X632" s="27" t="s">
        <v>7</v>
      </c>
      <c r="Y632" s="27" t="s">
        <v>8</v>
      </c>
      <c r="AF632" s="27" t="s">
        <v>7</v>
      </c>
      <c r="AG632" s="27" t="s">
        <v>8</v>
      </c>
      <c r="AH632" s="27" t="s">
        <v>7</v>
      </c>
      <c r="AI632" s="27" t="s">
        <v>8</v>
      </c>
    </row>
    <row r="633" spans="1:35" x14ac:dyDescent="0.25">
      <c r="A633" s="7">
        <v>0.40215372795091286</v>
      </c>
      <c r="B633"/>
      <c r="C633"/>
      <c r="D633"/>
      <c r="E633"/>
      <c r="R633" s="27" t="s">
        <v>7</v>
      </c>
      <c r="S633" s="27" t="s">
        <v>8</v>
      </c>
      <c r="T633" s="27" t="s">
        <v>7</v>
      </c>
      <c r="U633" s="27" t="s">
        <v>8</v>
      </c>
      <c r="X633" s="27" t="s">
        <v>7</v>
      </c>
      <c r="Y633" s="27" t="s">
        <v>8</v>
      </c>
      <c r="AF633" s="27" t="s">
        <v>7</v>
      </c>
      <c r="AG633" s="27" t="s">
        <v>8</v>
      </c>
      <c r="AH633" s="27" t="s">
        <v>7</v>
      </c>
      <c r="AI633" s="27" t="s">
        <v>8</v>
      </c>
    </row>
    <row r="634" spans="1:35" x14ac:dyDescent="0.25">
      <c r="A634" s="7">
        <v>0.39426836073618904</v>
      </c>
      <c r="B634"/>
      <c r="C634"/>
      <c r="D634"/>
      <c r="E634"/>
      <c r="R634" s="27" t="s">
        <v>7</v>
      </c>
      <c r="S634" s="27" t="s">
        <v>8</v>
      </c>
      <c r="T634" s="27" t="s">
        <v>7</v>
      </c>
      <c r="U634" s="27" t="s">
        <v>8</v>
      </c>
      <c r="X634" s="27" t="s">
        <v>7</v>
      </c>
      <c r="Y634" s="27" t="s">
        <v>8</v>
      </c>
      <c r="AF634" s="27" t="s">
        <v>7</v>
      </c>
      <c r="AG634" s="27" t="s">
        <v>8</v>
      </c>
      <c r="AH634" s="27" t="s">
        <v>7</v>
      </c>
      <c r="AI634" s="27" t="s">
        <v>8</v>
      </c>
    </row>
    <row r="635" spans="1:35" x14ac:dyDescent="0.25">
      <c r="A635" s="7">
        <v>0.38653760856489122</v>
      </c>
      <c r="B635"/>
      <c r="C635"/>
      <c r="D635"/>
      <c r="E635"/>
      <c r="R635" s="27" t="s">
        <v>7</v>
      </c>
      <c r="S635" s="27" t="s">
        <v>8</v>
      </c>
      <c r="T635" s="27" t="s">
        <v>7</v>
      </c>
      <c r="U635" s="27" t="s">
        <v>8</v>
      </c>
      <c r="X635" s="27" t="s">
        <v>7</v>
      </c>
      <c r="Y635" s="27" t="s">
        <v>8</v>
      </c>
      <c r="AF635" s="27" t="s">
        <v>7</v>
      </c>
      <c r="AG635" s="27" t="s">
        <v>8</v>
      </c>
      <c r="AH635" s="27" t="s">
        <v>7</v>
      </c>
      <c r="AI635" s="27" t="s">
        <v>8</v>
      </c>
    </row>
    <row r="636" spans="1:35" x14ac:dyDescent="0.25">
      <c r="A636" s="7">
        <v>0.37895843976950117</v>
      </c>
      <c r="B636"/>
      <c r="C636"/>
      <c r="D636"/>
      <c r="E636"/>
      <c r="R636" s="27" t="s">
        <v>7</v>
      </c>
      <c r="S636" s="27" t="s">
        <v>8</v>
      </c>
      <c r="T636" s="27" t="s">
        <v>7</v>
      </c>
      <c r="U636" s="27" t="s">
        <v>8</v>
      </c>
      <c r="X636" s="27" t="s">
        <v>7</v>
      </c>
      <c r="Y636" s="27" t="s">
        <v>8</v>
      </c>
      <c r="AF636" s="27" t="s">
        <v>7</v>
      </c>
      <c r="AG636" s="27" t="s">
        <v>8</v>
      </c>
      <c r="AH636" s="27" t="s">
        <v>7</v>
      </c>
      <c r="AI636" s="27" t="s">
        <v>8</v>
      </c>
    </row>
    <row r="637" spans="1:35" x14ac:dyDescent="0.25">
      <c r="A637" s="7">
        <v>0.37152788212696197</v>
      </c>
      <c r="B637"/>
      <c r="C637"/>
      <c r="D637"/>
      <c r="E637"/>
      <c r="R637" s="27" t="s">
        <v>7</v>
      </c>
      <c r="S637" s="27" t="s">
        <v>8</v>
      </c>
      <c r="T637" s="27" t="s">
        <v>7</v>
      </c>
      <c r="U637" s="27" t="s">
        <v>8</v>
      </c>
      <c r="X637" s="27" t="s">
        <v>7</v>
      </c>
      <c r="Y637" s="27" t="s">
        <v>8</v>
      </c>
      <c r="AF637" s="27" t="s">
        <v>7</v>
      </c>
      <c r="AH637" s="27" t="s">
        <v>7</v>
      </c>
      <c r="AI637" s="27" t="s">
        <v>8</v>
      </c>
    </row>
    <row r="638" spans="1:35" x14ac:dyDescent="0.25">
      <c r="A638" s="7">
        <v>0.36424302169310002</v>
      </c>
      <c r="B638"/>
      <c r="C638"/>
      <c r="D638"/>
      <c r="E638"/>
      <c r="R638" s="27" t="s">
        <v>7</v>
      </c>
      <c r="S638" s="27" t="s">
        <v>8</v>
      </c>
      <c r="T638" s="27" t="s">
        <v>7</v>
      </c>
      <c r="U638" s="27" t="s">
        <v>8</v>
      </c>
      <c r="X638" s="27" t="s">
        <v>7</v>
      </c>
      <c r="Y638" s="27" t="s">
        <v>8</v>
      </c>
      <c r="AH638" s="27" t="s">
        <v>7</v>
      </c>
      <c r="AI638" s="27" t="s">
        <v>8</v>
      </c>
    </row>
    <row r="639" spans="1:35" x14ac:dyDescent="0.25">
      <c r="A639" s="7">
        <v>0.35710100165990194</v>
      </c>
      <c r="B639"/>
      <c r="C639"/>
      <c r="D639"/>
      <c r="E639"/>
      <c r="R639" s="27" t="s">
        <v>7</v>
      </c>
      <c r="S639" s="27" t="s">
        <v>8</v>
      </c>
      <c r="T639" s="27" t="s">
        <v>7</v>
      </c>
      <c r="U639" s="27" t="s">
        <v>8</v>
      </c>
      <c r="X639" s="27" t="s">
        <v>7</v>
      </c>
      <c r="Y639" s="27" t="s">
        <v>8</v>
      </c>
      <c r="AH639" s="27" t="s">
        <v>7</v>
      </c>
      <c r="AI639" s="27" t="s">
        <v>8</v>
      </c>
    </row>
    <row r="640" spans="1:35" x14ac:dyDescent="0.25">
      <c r="A640" s="7">
        <v>0.35009902123519804</v>
      </c>
      <c r="B640"/>
      <c r="C640"/>
      <c r="D640"/>
      <c r="E640"/>
      <c r="R640" s="27" t="s">
        <v>7</v>
      </c>
      <c r="S640" s="27" t="s">
        <v>8</v>
      </c>
      <c r="T640" s="27" t="s">
        <v>7</v>
      </c>
      <c r="U640" s="27" t="s">
        <v>8</v>
      </c>
      <c r="X640" s="27" t="s">
        <v>7</v>
      </c>
      <c r="AH640" s="27" t="s">
        <v>7</v>
      </c>
    </row>
    <row r="641" spans="1:21" x14ac:dyDescent="0.25">
      <c r="A641" s="7">
        <v>0.34323433454431179</v>
      </c>
      <c r="B641"/>
      <c r="C641"/>
      <c r="D641"/>
      <c r="E641"/>
      <c r="R641" s="27" t="s">
        <v>7</v>
      </c>
      <c r="S641" s="27" t="s">
        <v>8</v>
      </c>
      <c r="T641" s="27" t="s">
        <v>7</v>
      </c>
      <c r="U641" s="27" t="s">
        <v>8</v>
      </c>
    </row>
    <row r="642" spans="1:21" x14ac:dyDescent="0.25">
      <c r="A642" s="7">
        <v>0.33650424955324681</v>
      </c>
      <c r="B642"/>
      <c r="C642"/>
      <c r="D642"/>
      <c r="E642"/>
      <c r="R642" s="27" t="s">
        <v>7</v>
      </c>
      <c r="S642" s="27" t="s">
        <v>8</v>
      </c>
      <c r="T642" s="27" t="s">
        <v>7</v>
      </c>
      <c r="U642" s="27" t="s">
        <v>8</v>
      </c>
    </row>
    <row r="643" spans="1:21" x14ac:dyDescent="0.25">
      <c r="A643" s="7">
        <v>0.3299061270129871</v>
      </c>
      <c r="B643"/>
      <c r="C643"/>
      <c r="D643"/>
      <c r="E643"/>
      <c r="R643" s="27" t="s">
        <v>7</v>
      </c>
      <c r="S643" s="27" t="s">
        <v>8</v>
      </c>
      <c r="T643" s="27" t="s">
        <v>7</v>
      </c>
    </row>
    <row r="644" spans="1:21" x14ac:dyDescent="0.25">
      <c r="A644" s="7">
        <v>0.32343737942449713</v>
      </c>
      <c r="B644"/>
      <c r="C644"/>
      <c r="D644"/>
      <c r="E644"/>
      <c r="R644" s="27" t="s">
        <v>7</v>
      </c>
    </row>
    <row r="645" spans="1:21" x14ac:dyDescent="0.25">
      <c r="A645" s="7">
        <v>0.31709547002401678</v>
      </c>
      <c r="B645"/>
      <c r="C645"/>
      <c r="D645"/>
      <c r="E645"/>
    </row>
    <row r="646" spans="1:21" x14ac:dyDescent="0.25">
      <c r="A646" s="7">
        <v>0.31087791178825175</v>
      </c>
      <c r="B646"/>
      <c r="C646"/>
      <c r="D646"/>
      <c r="E646"/>
    </row>
    <row r="647" spans="1:21" x14ac:dyDescent="0.25">
      <c r="A647" s="7">
        <v>0.30478226645907036</v>
      </c>
      <c r="B647"/>
      <c r="C647"/>
      <c r="D647"/>
      <c r="E647"/>
    </row>
    <row r="648" spans="1:21" x14ac:dyDescent="0.25">
      <c r="A648" s="7">
        <v>0.29880614358732388</v>
      </c>
      <c r="B648"/>
      <c r="C648"/>
      <c r="D648"/>
      <c r="E648"/>
    </row>
    <row r="649" spans="1:21" x14ac:dyDescent="0.25">
      <c r="A649" s="7">
        <v>0.2929471995954156</v>
      </c>
      <c r="B649"/>
      <c r="C649"/>
      <c r="D649"/>
      <c r="E649"/>
    </row>
    <row r="650" spans="1:21" x14ac:dyDescent="0.25">
      <c r="A650" s="7">
        <v>0.28720313685825055</v>
      </c>
      <c r="B650"/>
      <c r="C650"/>
      <c r="D650"/>
      <c r="E650"/>
    </row>
    <row r="651" spans="1:21" x14ac:dyDescent="0.25">
      <c r="A651" s="7">
        <v>0.28157170280220645</v>
      </c>
      <c r="B651"/>
      <c r="C651"/>
      <c r="D651"/>
      <c r="E651"/>
    </row>
    <row r="652" spans="1:21" x14ac:dyDescent="0.25">
      <c r="A652" s="7">
        <v>0.27605068902177105</v>
      </c>
      <c r="B652"/>
      <c r="C652"/>
      <c r="D652"/>
      <c r="E652"/>
    </row>
    <row r="653" spans="1:21" x14ac:dyDescent="0.25">
      <c r="A653" s="7">
        <v>0.27063793041350104</v>
      </c>
      <c r="B653"/>
      <c r="C653"/>
      <c r="D653"/>
      <c r="E653"/>
    </row>
    <row r="654" spans="1:21" x14ac:dyDescent="0.25">
      <c r="A654" s="7">
        <v>0.26533130432696184</v>
      </c>
      <c r="B654"/>
      <c r="C654"/>
      <c r="D654"/>
      <c r="E654"/>
    </row>
    <row r="655" spans="1:21" x14ac:dyDescent="0.25">
      <c r="A655" s="7">
        <v>0.26012872973231554</v>
      </c>
      <c r="B655"/>
      <c r="C655"/>
      <c r="D655"/>
      <c r="E655"/>
    </row>
    <row r="656" spans="1:2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6" operator="equal">
      <formula>$U$1</formula>
    </cfRule>
    <cfRule type="cellIs" dxfId="89" priority="917" operator="equal">
      <formula>$S$1</formula>
    </cfRule>
  </conditionalFormatting>
  <conditionalFormatting sqref="D27">
    <cfRule type="cellIs" dxfId="88" priority="914" operator="equal">
      <formula>$S$1</formula>
    </cfRule>
    <cfRule type="cellIs" dxfId="87" priority="915" operator="equal">
      <formula>$U$1</formula>
    </cfRule>
  </conditionalFormatting>
  <conditionalFormatting sqref="C164">
    <cfRule type="cellIs" dxfId="86" priority="912" operator="equal">
      <formula>$U$1</formula>
    </cfRule>
    <cfRule type="cellIs" dxfId="85" priority="913" operator="equal">
      <formula>$S$1</formula>
    </cfRule>
  </conditionalFormatting>
  <conditionalFormatting sqref="D164">
    <cfRule type="cellIs" dxfId="84" priority="910" operator="equal">
      <formula>$S$1</formula>
    </cfRule>
    <cfRule type="cellIs" dxfId="83" priority="911" operator="equal">
      <formula>$U$1</formula>
    </cfRule>
  </conditionalFormatting>
  <conditionalFormatting sqref="C55">
    <cfRule type="cellIs" dxfId="82" priority="908" operator="equal">
      <formula>$U$1</formula>
    </cfRule>
    <cfRule type="cellIs" dxfId="81" priority="909" operator="equal">
      <formula>$S$1</formula>
    </cfRule>
  </conditionalFormatting>
  <conditionalFormatting sqref="D55">
    <cfRule type="cellIs" dxfId="80" priority="906" operator="equal">
      <formula>$S$1</formula>
    </cfRule>
    <cfRule type="cellIs" dxfId="79" priority="907" operator="equal">
      <formula>$U$1</formula>
    </cfRule>
  </conditionalFormatting>
  <conditionalFormatting sqref="C89">
    <cfRule type="cellIs" dxfId="78" priority="904" operator="equal">
      <formula>$U$1</formula>
    </cfRule>
    <cfRule type="cellIs" dxfId="77" priority="905" operator="equal">
      <formula>$S$1</formula>
    </cfRule>
  </conditionalFormatting>
  <conditionalFormatting sqref="D89">
    <cfRule type="cellIs" dxfId="76" priority="902" operator="equal">
      <formula>$S$1</formula>
    </cfRule>
    <cfRule type="cellIs" dxfId="75" priority="903" operator="equal">
      <formula>$U$1</formula>
    </cfRule>
  </conditionalFormatting>
  <conditionalFormatting sqref="C136">
    <cfRule type="cellIs" dxfId="74" priority="900" operator="equal">
      <formula>$U$1</formula>
    </cfRule>
    <cfRule type="cellIs" dxfId="73" priority="901" operator="equal">
      <formula>$S$1</formula>
    </cfRule>
  </conditionalFormatting>
  <conditionalFormatting sqref="D136">
    <cfRule type="cellIs" dxfId="72" priority="898" operator="equal">
      <formula>$S$1</formula>
    </cfRule>
    <cfRule type="cellIs" dxfId="71" priority="899" operator="equal">
      <formula>$U$1</formula>
    </cfRule>
  </conditionalFormatting>
  <conditionalFormatting sqref="C1">
    <cfRule type="cellIs" dxfId="70" priority="89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8" zoomScale="90" zoomScaleNormal="90" workbookViewId="0">
      <pane xSplit="4" topLeftCell="CK1" activePane="topRight" state="frozen"/>
      <selection activeCell="A109" sqref="A109"/>
      <selection pane="topRight" activeCell="EQ209" sqref="EQ20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$A$208</v>
      </c>
      <c r="D111" s="1" t="str">
        <f>ADDRESS(C121-1,D121,1,1)</f>
        <v>$EQ$208</v>
      </c>
      <c r="E111"/>
    </row>
    <row r="112" spans="1:5" x14ac:dyDescent="0.25">
      <c r="A112" s="30">
        <v>515.50191262726139</v>
      </c>
      <c r="C112" s="1" t="str">
        <f>ADDRESS(C121,1,1,1)</f>
        <v>$A$209</v>
      </c>
      <c r="D112" s="1" t="str">
        <f>ADDRESS(C121,D121-1,1,1)</f>
        <v>$EP$209</v>
      </c>
      <c r="E112"/>
    </row>
    <row r="113" spans="1:5" x14ac:dyDescent="0.25">
      <c r="A113" s="30">
        <v>490.95420250215363</v>
      </c>
      <c r="C113" s="1" t="str">
        <f>ADDRESS(C121+1,1,1,1)</f>
        <v>$A$210</v>
      </c>
      <c r="D113" s="1" t="str">
        <f>ADDRESS(C121-1,D121+1,1,1)</f>
        <v>$ER$208</v>
      </c>
    </row>
    <row r="114" spans="1:5" x14ac:dyDescent="0.25">
      <c r="A114" s="30">
        <v>467.57543095443202</v>
      </c>
      <c r="C114" s="1" t="str">
        <f>ADDRESS(C121,D121,1,1)</f>
        <v>$EQ$209</v>
      </c>
      <c r="D114" s="1" t="str">
        <f>ADDRESS(C121+1,D121+1,1,1)</f>
        <v>$ER$210</v>
      </c>
    </row>
    <row r="115" spans="1:5" x14ac:dyDescent="0.25">
      <c r="A115" s="30">
        <v>445.30993424231622</v>
      </c>
      <c r="C115" s="1" t="str">
        <f>ADDRESS(C121+1,D121,1,1)</f>
        <v>$EQ$210</v>
      </c>
    </row>
    <row r="116" spans="1:5" x14ac:dyDescent="0.25">
      <c r="A116" s="30">
        <v>424.10469927839637</v>
      </c>
      <c r="C116" s="1">
        <f>C117-1</f>
        <v>208</v>
      </c>
    </row>
    <row r="117" spans="1:5" x14ac:dyDescent="0.25">
      <c r="A117" s="30">
        <v>403.9092374079965</v>
      </c>
      <c r="C117" s="1">
        <f>C121</f>
        <v>209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210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209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R209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4.5380394939082018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37" x14ac:dyDescent="0.25">
      <c r="A177" s="30">
        <v>21.623492570684135</v>
      </c>
      <c r="E177"/>
    </row>
    <row r="178" spans="1:137" x14ac:dyDescent="0.25">
      <c r="A178" s="30">
        <v>20.593802448270605</v>
      </c>
      <c r="C178" s="7"/>
      <c r="D178"/>
      <c r="E178"/>
      <c r="CC178" s="34" t="s">
        <v>8</v>
      </c>
      <c r="CE178" s="34" t="s">
        <v>8</v>
      </c>
    </row>
    <row r="179" spans="1:137" x14ac:dyDescent="0.25">
      <c r="A179" s="30">
        <v>19.613145188829147</v>
      </c>
      <c r="E179"/>
      <c r="CA179" s="27" t="s">
        <v>8</v>
      </c>
      <c r="CC179" s="27" t="s">
        <v>8</v>
      </c>
      <c r="CD179" s="27" t="s">
        <v>7</v>
      </c>
      <c r="CE179" s="27" t="s">
        <v>8</v>
      </c>
      <c r="CF179" s="31" t="s">
        <v>7</v>
      </c>
    </row>
    <row r="180" spans="1:137" x14ac:dyDescent="0.25">
      <c r="A180" s="30">
        <v>18.679185894122998</v>
      </c>
      <c r="E180"/>
      <c r="BY180" s="27" t="s">
        <v>8</v>
      </c>
      <c r="CA180" s="27" t="s">
        <v>8</v>
      </c>
      <c r="CB180" s="27" t="s">
        <v>7</v>
      </c>
      <c r="CC180" s="27" t="s">
        <v>8</v>
      </c>
      <c r="CD180" s="27" t="s">
        <v>7</v>
      </c>
      <c r="CE180" s="27" t="s">
        <v>8</v>
      </c>
      <c r="CF180" s="27" t="s">
        <v>7</v>
      </c>
      <c r="CG180" s="31"/>
    </row>
    <row r="181" spans="1:137" x14ac:dyDescent="0.25">
      <c r="A181" s="30">
        <v>17.78970085154571</v>
      </c>
      <c r="C181"/>
      <c r="D181"/>
      <c r="E181"/>
      <c r="BY181" s="27" t="s">
        <v>8</v>
      </c>
      <c r="BZ181" s="27" t="s">
        <v>7</v>
      </c>
      <c r="CA181" s="27" t="s">
        <v>8</v>
      </c>
      <c r="CB181" s="27" t="s">
        <v>7</v>
      </c>
      <c r="CC181" s="27" t="s">
        <v>8</v>
      </c>
      <c r="CD181" s="27" t="s">
        <v>7</v>
      </c>
      <c r="CE181" s="27" t="s">
        <v>8</v>
      </c>
      <c r="CF181" s="27" t="s">
        <v>7</v>
      </c>
      <c r="CH181" s="31"/>
    </row>
    <row r="182" spans="1:137" x14ac:dyDescent="0.25">
      <c r="A182" s="30">
        <v>16.942572239567344</v>
      </c>
      <c r="E182"/>
      <c r="BS182" s="27" t="s">
        <v>8</v>
      </c>
      <c r="BY182" s="27" t="s">
        <v>8</v>
      </c>
      <c r="BZ182" s="27" t="s">
        <v>7</v>
      </c>
      <c r="CA182" s="27" t="s">
        <v>8</v>
      </c>
      <c r="CB182" s="34" t="s">
        <v>7</v>
      </c>
      <c r="CD182" s="34" t="s">
        <v>7</v>
      </c>
      <c r="CF182" s="27" t="s">
        <v>7</v>
      </c>
      <c r="CI182" s="31"/>
      <c r="DW182" s="31" t="s">
        <v>8</v>
      </c>
    </row>
    <row r="183" spans="1:137" x14ac:dyDescent="0.25">
      <c r="A183" s="30">
        <v>16.135783085302233</v>
      </c>
      <c r="E183"/>
      <c r="BS183" s="27" t="s">
        <v>8</v>
      </c>
      <c r="BT183" s="27" t="s">
        <v>7</v>
      </c>
      <c r="BU183" s="27" t="s">
        <v>8</v>
      </c>
      <c r="BY183" s="27" t="s">
        <v>8</v>
      </c>
      <c r="BZ183" s="27" t="s">
        <v>7</v>
      </c>
      <c r="CF183" s="33" t="s">
        <v>7</v>
      </c>
      <c r="CJ183" s="31"/>
      <c r="DW183" s="27" t="s">
        <v>8</v>
      </c>
      <c r="DX183" s="31" t="s">
        <v>7</v>
      </c>
    </row>
    <row r="184" spans="1:137" x14ac:dyDescent="0.25">
      <c r="A184" s="30">
        <v>15.367412462192602</v>
      </c>
      <c r="E184"/>
      <c r="BS184" s="27" t="s">
        <v>8</v>
      </c>
      <c r="BT184" s="27" t="s">
        <v>7</v>
      </c>
      <c r="BU184" s="27" t="s">
        <v>8</v>
      </c>
      <c r="BV184" s="27" t="s">
        <v>7</v>
      </c>
      <c r="BY184" s="32" t="s">
        <v>8</v>
      </c>
      <c r="CF184" s="27" t="s">
        <v>7</v>
      </c>
      <c r="CK184" s="31"/>
      <c r="DW184" s="27" t="s">
        <v>8</v>
      </c>
      <c r="DX184" s="27" t="s">
        <v>7</v>
      </c>
      <c r="DY184" s="31"/>
    </row>
    <row r="185" spans="1:137" x14ac:dyDescent="0.25">
      <c r="A185" s="30">
        <v>14.635630916373906</v>
      </c>
      <c r="C185"/>
      <c r="E185"/>
      <c r="BS185" s="27" t="s">
        <v>8</v>
      </c>
      <c r="BT185" s="27" t="s">
        <v>7</v>
      </c>
      <c r="BU185" s="27" t="s">
        <v>8</v>
      </c>
      <c r="BV185" s="27" t="s">
        <v>7</v>
      </c>
      <c r="BW185" s="27" t="s">
        <v>8</v>
      </c>
      <c r="BY185" s="27" t="s">
        <v>8</v>
      </c>
      <c r="CF185" s="27" t="s">
        <v>7</v>
      </c>
      <c r="CG185" s="27" t="s">
        <v>8</v>
      </c>
      <c r="CK185" s="27" t="s">
        <v>8</v>
      </c>
      <c r="CL185" s="31"/>
      <c r="DW185" s="27" t="s">
        <v>8</v>
      </c>
      <c r="DX185" s="27" t="s">
        <v>7</v>
      </c>
      <c r="DZ185" s="31"/>
    </row>
    <row r="186" spans="1:137" x14ac:dyDescent="0.25">
      <c r="A186" s="30">
        <v>13.938696110832291</v>
      </c>
      <c r="E186"/>
      <c r="BS186" s="27" t="s">
        <v>8</v>
      </c>
      <c r="BT186" s="27" t="s">
        <v>7</v>
      </c>
      <c r="BU186" s="27" t="s">
        <v>8</v>
      </c>
      <c r="BV186" s="27" t="s">
        <v>7</v>
      </c>
      <c r="BW186" s="27" t="s">
        <v>8</v>
      </c>
      <c r="BX186" s="27" t="s">
        <v>7</v>
      </c>
      <c r="BY186" s="27" t="s">
        <v>8</v>
      </c>
      <c r="CF186" s="27" t="s">
        <v>7</v>
      </c>
      <c r="CG186" s="27" t="s">
        <v>8</v>
      </c>
      <c r="CH186" s="27" t="s">
        <v>7</v>
      </c>
      <c r="CK186" s="27" t="s">
        <v>8</v>
      </c>
      <c r="CL186" s="27" t="s">
        <v>7</v>
      </c>
      <c r="CM186" s="31"/>
      <c r="DU186" s="27" t="s">
        <v>8</v>
      </c>
      <c r="DW186" s="27" t="s">
        <v>8</v>
      </c>
      <c r="DX186" s="27" t="s">
        <v>7</v>
      </c>
      <c r="EA186" s="31"/>
    </row>
    <row r="187" spans="1:13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S187" s="27" t="s">
        <v>8</v>
      </c>
      <c r="BT187" s="27" t="s">
        <v>7</v>
      </c>
      <c r="BV187" s="27" t="s">
        <v>7</v>
      </c>
      <c r="BW187" s="27" t="s">
        <v>8</v>
      </c>
      <c r="BX187" s="27" t="s">
        <v>7</v>
      </c>
      <c r="BY187" s="27" t="s">
        <v>8</v>
      </c>
      <c r="CF187" s="27" t="s">
        <v>7</v>
      </c>
      <c r="CG187" s="27" t="s">
        <v>8</v>
      </c>
      <c r="CH187" s="27" t="s">
        <v>7</v>
      </c>
      <c r="CK187" s="27" t="s">
        <v>8</v>
      </c>
      <c r="CL187" s="27" t="s">
        <v>7</v>
      </c>
      <c r="CM187" s="27" t="s">
        <v>8</v>
      </c>
      <c r="CN187" s="31"/>
      <c r="DU187" s="27" t="s">
        <v>8</v>
      </c>
      <c r="DV187" s="27" t="s">
        <v>7</v>
      </c>
      <c r="DW187" s="27" t="s">
        <v>8</v>
      </c>
      <c r="DX187" s="27" t="s">
        <v>7</v>
      </c>
      <c r="EA187" s="27" t="s">
        <v>8</v>
      </c>
      <c r="EB187" s="31"/>
    </row>
    <row r="188" spans="1:137" x14ac:dyDescent="0.25">
      <c r="A188" s="30">
        <v>12.64280826379346</v>
      </c>
      <c r="E188"/>
      <c r="BQ188" s="27" t="s">
        <v>8</v>
      </c>
      <c r="BS188" s="27" t="s">
        <v>8</v>
      </c>
      <c r="BV188" s="33" t="s">
        <v>7</v>
      </c>
      <c r="BX188" s="27" t="s">
        <v>7</v>
      </c>
      <c r="BY188" s="27" t="s">
        <v>8</v>
      </c>
      <c r="CF188" s="27" t="s">
        <v>7</v>
      </c>
      <c r="CG188" s="27" t="s">
        <v>8</v>
      </c>
      <c r="CH188" s="27" t="s">
        <v>7</v>
      </c>
      <c r="CK188" s="27" t="s">
        <v>8</v>
      </c>
      <c r="CL188" s="27" t="s">
        <v>7</v>
      </c>
      <c r="CM188" s="27" t="s">
        <v>8</v>
      </c>
      <c r="CN188" s="27" t="s">
        <v>7</v>
      </c>
      <c r="CO188" s="31"/>
      <c r="DU188" s="27" t="s">
        <v>8</v>
      </c>
      <c r="DV188" s="27" t="s">
        <v>7</v>
      </c>
      <c r="DW188" s="27" t="s">
        <v>8</v>
      </c>
      <c r="DX188" s="27" t="s">
        <v>7</v>
      </c>
      <c r="EA188" s="27" t="s">
        <v>8</v>
      </c>
      <c r="EB188" s="27" t="s">
        <v>7</v>
      </c>
      <c r="EC188" s="31"/>
    </row>
    <row r="189" spans="1:137" x14ac:dyDescent="0.25">
      <c r="A189" s="30">
        <v>12.04076977504139</v>
      </c>
      <c r="E189"/>
      <c r="BQ189" s="27" t="s">
        <v>8</v>
      </c>
      <c r="BR189" s="27" t="s">
        <v>7</v>
      </c>
      <c r="BS189" s="27" t="s">
        <v>8</v>
      </c>
      <c r="BX189" s="27" t="s">
        <v>7</v>
      </c>
      <c r="BY189" s="27" t="s">
        <v>8</v>
      </c>
      <c r="CF189" s="27" t="s">
        <v>7</v>
      </c>
      <c r="CG189" s="27" t="s">
        <v>8</v>
      </c>
      <c r="CH189" s="27" t="s">
        <v>7</v>
      </c>
      <c r="CK189" s="27" t="s">
        <v>8</v>
      </c>
      <c r="CL189" s="27" t="s">
        <v>7</v>
      </c>
      <c r="CM189" s="27" t="s">
        <v>8</v>
      </c>
      <c r="CN189" s="27" t="s">
        <v>7</v>
      </c>
      <c r="CP189" s="31"/>
      <c r="DI189" s="34" t="s">
        <v>8</v>
      </c>
      <c r="DK189" s="34" t="s">
        <v>8</v>
      </c>
      <c r="DU189" s="27" t="s">
        <v>8</v>
      </c>
      <c r="DV189" s="27" t="s">
        <v>7</v>
      </c>
      <c r="DW189" s="27" t="s">
        <v>8</v>
      </c>
      <c r="DX189" s="27" t="s">
        <v>7</v>
      </c>
      <c r="EA189" s="27" t="s">
        <v>8</v>
      </c>
      <c r="EB189" s="27" t="s">
        <v>7</v>
      </c>
      <c r="ED189" s="31"/>
    </row>
    <row r="190" spans="1:137" x14ac:dyDescent="0.25">
      <c r="A190" s="30">
        <v>11.467399785753704</v>
      </c>
      <c r="E190"/>
      <c r="BQ190" s="27" t="s">
        <v>8</v>
      </c>
      <c r="BR190" s="27" t="s">
        <v>7</v>
      </c>
      <c r="BS190" s="27" t="s">
        <v>8</v>
      </c>
      <c r="BX190" s="27" t="s">
        <v>7</v>
      </c>
      <c r="BY190" s="27" t="s">
        <v>8</v>
      </c>
      <c r="CF190" s="27" t="s">
        <v>7</v>
      </c>
      <c r="CG190" s="27" t="s">
        <v>8</v>
      </c>
      <c r="CH190" s="27" t="s">
        <v>7</v>
      </c>
      <c r="CK190" s="32" t="s">
        <v>8</v>
      </c>
      <c r="CL190" s="27" t="s">
        <v>7</v>
      </c>
      <c r="CM190" s="27" t="s">
        <v>8</v>
      </c>
      <c r="CN190" s="27" t="s">
        <v>7</v>
      </c>
      <c r="CQ190" s="31"/>
      <c r="DI190" s="27" t="s">
        <v>8</v>
      </c>
      <c r="DJ190" s="27" t="s">
        <v>7</v>
      </c>
      <c r="DK190" s="27" t="s">
        <v>8</v>
      </c>
      <c r="DL190" s="27" t="s">
        <v>7</v>
      </c>
      <c r="DU190" s="27" t="s">
        <v>8</v>
      </c>
      <c r="DV190" s="27" t="s">
        <v>7</v>
      </c>
      <c r="DX190" s="27" t="s">
        <v>7</v>
      </c>
      <c r="DY190" s="27" t="s">
        <v>8</v>
      </c>
      <c r="EA190" s="27" t="s">
        <v>8</v>
      </c>
      <c r="EB190" s="27" t="s">
        <v>7</v>
      </c>
      <c r="EE190" s="31"/>
    </row>
    <row r="191" spans="1:137" x14ac:dyDescent="0.25">
      <c r="A191" s="30">
        <v>10.921333129289241</v>
      </c>
      <c r="E191"/>
      <c r="BO191" s="27" t="s">
        <v>8</v>
      </c>
      <c r="BQ191" s="27" t="s">
        <v>8</v>
      </c>
      <c r="BR191" s="27" t="s">
        <v>7</v>
      </c>
      <c r="BX191" s="27" t="s">
        <v>7</v>
      </c>
      <c r="CF191" s="27" t="s">
        <v>7</v>
      </c>
      <c r="CG191" s="27" t="s">
        <v>8</v>
      </c>
      <c r="CH191" s="27" t="s">
        <v>7</v>
      </c>
      <c r="CI191" s="27" t="s">
        <v>8</v>
      </c>
      <c r="CK191" s="27" t="s">
        <v>8</v>
      </c>
      <c r="CL191" s="27" t="s">
        <v>7</v>
      </c>
      <c r="CM191" s="27" t="s">
        <v>8</v>
      </c>
      <c r="CN191" s="27" t="s">
        <v>7</v>
      </c>
      <c r="CR191" s="31"/>
      <c r="DI191" s="27" t="s">
        <v>8</v>
      </c>
      <c r="DJ191" s="27" t="s">
        <v>7</v>
      </c>
      <c r="DK191" s="27" t="s">
        <v>8</v>
      </c>
      <c r="DL191" s="27" t="s">
        <v>7</v>
      </c>
      <c r="DO191" s="27" t="s">
        <v>8</v>
      </c>
      <c r="DU191" s="27" t="s">
        <v>8</v>
      </c>
      <c r="DX191" s="27" t="s">
        <v>7</v>
      </c>
      <c r="DY191" s="27" t="s">
        <v>8</v>
      </c>
      <c r="DZ191" s="27" t="s">
        <v>7</v>
      </c>
      <c r="EA191" s="27" t="s">
        <v>8</v>
      </c>
      <c r="EB191" s="27" t="s">
        <v>7</v>
      </c>
      <c r="EF191" s="31"/>
    </row>
    <row r="192" spans="1:137" x14ac:dyDescent="0.25">
      <c r="A192" s="30">
        <v>10.401269646942135</v>
      </c>
      <c r="E192"/>
      <c r="BO192" s="27" t="s">
        <v>8</v>
      </c>
      <c r="BP192" s="27" t="s">
        <v>7</v>
      </c>
      <c r="BQ192" s="27" t="s">
        <v>8</v>
      </c>
      <c r="CF192" s="27" t="s">
        <v>7</v>
      </c>
      <c r="CH192" s="27" t="s">
        <v>7</v>
      </c>
      <c r="CI192" s="27" t="s">
        <v>8</v>
      </c>
      <c r="CJ192" s="27" t="s">
        <v>7</v>
      </c>
      <c r="CK192" s="27" t="s">
        <v>8</v>
      </c>
      <c r="CL192" s="27" t="s">
        <v>7</v>
      </c>
      <c r="CM192" s="27" t="s">
        <v>8</v>
      </c>
      <c r="CN192" s="27" t="s">
        <v>7</v>
      </c>
      <c r="CQ192" s="32" t="s">
        <v>8</v>
      </c>
      <c r="CS192" s="31"/>
      <c r="DI192" s="27" t="s">
        <v>8</v>
      </c>
      <c r="DJ192" s="27" t="s">
        <v>7</v>
      </c>
      <c r="DK192" s="27" t="s">
        <v>8</v>
      </c>
      <c r="DL192" s="27" t="s">
        <v>7</v>
      </c>
      <c r="DO192" s="27" t="s">
        <v>8</v>
      </c>
      <c r="DP192" s="27" t="s">
        <v>7</v>
      </c>
      <c r="DU192" s="27" t="s">
        <v>8</v>
      </c>
      <c r="DX192" s="27" t="s">
        <v>7</v>
      </c>
      <c r="DY192" s="27" t="s">
        <v>8</v>
      </c>
      <c r="DZ192" s="27" t="s">
        <v>7</v>
      </c>
      <c r="EA192" s="27" t="s">
        <v>8</v>
      </c>
      <c r="EB192" s="27" t="s">
        <v>7</v>
      </c>
      <c r="EG192" s="31"/>
    </row>
    <row r="193" spans="1:144" x14ac:dyDescent="0.25">
      <c r="A193" s="30">
        <v>9.9059710923258422</v>
      </c>
      <c r="E193"/>
      <c r="BO193" s="27" t="s">
        <v>8</v>
      </c>
      <c r="BP193" s="27" t="s">
        <v>7</v>
      </c>
      <c r="BQ193" s="27" t="s">
        <v>8</v>
      </c>
      <c r="CH193" s="27" t="s">
        <v>7</v>
      </c>
      <c r="CI193" s="27" t="s">
        <v>8</v>
      </c>
      <c r="CJ193" s="27" t="s">
        <v>7</v>
      </c>
      <c r="CK193" s="27" t="s">
        <v>8</v>
      </c>
      <c r="CL193" s="27" t="s">
        <v>7</v>
      </c>
      <c r="CM193" s="27" t="s">
        <v>8</v>
      </c>
      <c r="CN193" s="27" t="s">
        <v>7</v>
      </c>
      <c r="CO193" s="27" t="s">
        <v>8</v>
      </c>
      <c r="CQ193" s="27" t="s">
        <v>8</v>
      </c>
      <c r="CR193" s="27" t="s">
        <v>7</v>
      </c>
      <c r="CT193" s="31"/>
      <c r="DI193" s="27" t="s">
        <v>8</v>
      </c>
      <c r="DJ193" s="27" t="s">
        <v>7</v>
      </c>
      <c r="DK193" s="27" t="s">
        <v>8</v>
      </c>
      <c r="DL193" s="27" t="s">
        <v>7</v>
      </c>
      <c r="DO193" s="27" t="s">
        <v>8</v>
      </c>
      <c r="DP193" s="27" t="s">
        <v>7</v>
      </c>
      <c r="DU193" s="27" t="s">
        <v>8</v>
      </c>
      <c r="DX193" s="27" t="s">
        <v>7</v>
      </c>
      <c r="DY193" s="27" t="s">
        <v>8</v>
      </c>
      <c r="DZ193" s="27" t="s">
        <v>7</v>
      </c>
      <c r="EB193" s="27" t="s">
        <v>7</v>
      </c>
      <c r="EH193" s="31"/>
    </row>
    <row r="194" spans="1:144" x14ac:dyDescent="0.25">
      <c r="A194" s="30">
        <v>9.4342581831674686</v>
      </c>
      <c r="E194"/>
      <c r="BO194" s="27" t="s">
        <v>8</v>
      </c>
      <c r="BP194" s="27" t="s">
        <v>7</v>
      </c>
      <c r="BQ194" s="27" t="s">
        <v>8</v>
      </c>
      <c r="CH194" s="27" t="s">
        <v>7</v>
      </c>
      <c r="CI194" s="27" t="s">
        <v>8</v>
      </c>
      <c r="CJ194" s="27" t="s">
        <v>7</v>
      </c>
      <c r="CK194" s="27" t="s">
        <v>8</v>
      </c>
      <c r="CL194" s="27" t="s">
        <v>7</v>
      </c>
      <c r="CN194" s="27" t="s">
        <v>7</v>
      </c>
      <c r="CO194" s="27" t="s">
        <v>8</v>
      </c>
      <c r="CP194" s="27" t="s">
        <v>7</v>
      </c>
      <c r="CQ194" s="27" t="s">
        <v>8</v>
      </c>
      <c r="CR194" s="27" t="s">
        <v>7</v>
      </c>
      <c r="CU194" s="31"/>
      <c r="DG194" s="27" t="s">
        <v>8</v>
      </c>
      <c r="DI194" s="27" t="s">
        <v>8</v>
      </c>
      <c r="DJ194" s="27" t="s">
        <v>7</v>
      </c>
      <c r="DL194" s="27" t="s">
        <v>7</v>
      </c>
      <c r="DM194" s="27" t="s">
        <v>8</v>
      </c>
      <c r="DO194" s="27" t="s">
        <v>8</v>
      </c>
      <c r="DP194" s="27" t="s">
        <v>7</v>
      </c>
      <c r="DU194" s="27" t="s">
        <v>8</v>
      </c>
      <c r="DX194" s="27" t="s">
        <v>7</v>
      </c>
      <c r="EB194" s="27" t="s">
        <v>7</v>
      </c>
      <c r="EI194" s="31"/>
    </row>
    <row r="195" spans="1:144" x14ac:dyDescent="0.25">
      <c r="A195" s="30">
        <v>8.9850077934928265</v>
      </c>
      <c r="E195"/>
      <c r="BO195" s="27" t="s">
        <v>8</v>
      </c>
      <c r="BP195" s="27" t="s">
        <v>7</v>
      </c>
      <c r="CH195" s="27" t="s">
        <v>7</v>
      </c>
      <c r="CI195" s="27" t="s">
        <v>8</v>
      </c>
      <c r="CJ195" s="27" t="s">
        <v>7</v>
      </c>
      <c r="CK195" s="27" t="s">
        <v>8</v>
      </c>
      <c r="CN195" s="33" t="s">
        <v>7</v>
      </c>
      <c r="CO195" s="27" t="s">
        <v>8</v>
      </c>
      <c r="CP195" s="27" t="s">
        <v>7</v>
      </c>
      <c r="CQ195" s="27" t="s">
        <v>8</v>
      </c>
      <c r="CR195" s="27" t="s">
        <v>7</v>
      </c>
      <c r="CV195" s="31"/>
      <c r="DG195" s="27" t="s">
        <v>8</v>
      </c>
      <c r="DH195" s="27" t="s">
        <v>7</v>
      </c>
      <c r="DI195" s="27" t="s">
        <v>8</v>
      </c>
      <c r="DL195" s="27" t="s">
        <v>7</v>
      </c>
      <c r="DM195" s="27" t="s">
        <v>8</v>
      </c>
      <c r="DN195" s="27" t="s">
        <v>7</v>
      </c>
      <c r="DO195" s="27" t="s">
        <v>8</v>
      </c>
      <c r="DP195" s="27" t="s">
        <v>7</v>
      </c>
      <c r="DQ195" s="34" t="s">
        <v>8</v>
      </c>
      <c r="DS195" s="34" t="s">
        <v>8</v>
      </c>
      <c r="DU195" s="27" t="s">
        <v>8</v>
      </c>
      <c r="DY195" s="31"/>
      <c r="EB195" s="27" t="s">
        <v>7</v>
      </c>
      <c r="EJ195" s="31"/>
    </row>
    <row r="196" spans="1:144" x14ac:dyDescent="0.25">
      <c r="A196" s="30">
        <v>8.5571502795169767</v>
      </c>
      <c r="E196"/>
      <c r="BO196" s="27" t="s">
        <v>8</v>
      </c>
      <c r="CH196" s="27" t="s">
        <v>7</v>
      </c>
      <c r="CI196" s="27" t="s">
        <v>8</v>
      </c>
      <c r="CJ196" s="27" t="s">
        <v>7</v>
      </c>
      <c r="CK196" s="27" t="s">
        <v>8</v>
      </c>
      <c r="CN196" s="27" t="s">
        <v>7</v>
      </c>
      <c r="CO196" s="27" t="s">
        <v>8</v>
      </c>
      <c r="CP196" s="27" t="s">
        <v>7</v>
      </c>
      <c r="CQ196" s="27" t="s">
        <v>8</v>
      </c>
      <c r="CR196" s="27" t="s">
        <v>7</v>
      </c>
      <c r="CW196" s="31"/>
      <c r="DG196" s="27" t="s">
        <v>8</v>
      </c>
      <c r="DH196" s="27" t="s">
        <v>7</v>
      </c>
      <c r="DI196" s="27" t="s">
        <v>8</v>
      </c>
      <c r="DL196" s="27" t="s">
        <v>7</v>
      </c>
      <c r="DM196" s="27" t="s">
        <v>8</v>
      </c>
      <c r="DN196" s="27" t="s">
        <v>7</v>
      </c>
      <c r="DO196" s="27" t="s">
        <v>8</v>
      </c>
      <c r="DP196" s="27" t="s">
        <v>7</v>
      </c>
      <c r="DQ196" s="27" t="s">
        <v>8</v>
      </c>
      <c r="DR196" s="27" t="s">
        <v>7</v>
      </c>
      <c r="DS196" s="27" t="s">
        <v>8</v>
      </c>
      <c r="DT196" s="27" t="s">
        <v>7</v>
      </c>
      <c r="DU196" s="27" t="s">
        <v>8</v>
      </c>
      <c r="DX196" s="31"/>
      <c r="EB196" s="27" t="s">
        <v>7</v>
      </c>
      <c r="EC196" s="27" t="s">
        <v>8</v>
      </c>
      <c r="EI196" s="27" t="s">
        <v>8</v>
      </c>
      <c r="EK196" s="31"/>
    </row>
    <row r="197" spans="1:144" x14ac:dyDescent="0.25">
      <c r="A197" s="30">
        <v>8.1496669328733109</v>
      </c>
      <c r="E197"/>
      <c r="BO197" s="27" t="s">
        <v>8</v>
      </c>
      <c r="CH197" s="27" t="s">
        <v>7</v>
      </c>
      <c r="CJ197" s="27" t="s">
        <v>7</v>
      </c>
      <c r="CK197" s="27" t="s">
        <v>8</v>
      </c>
      <c r="CN197" s="27" t="s">
        <v>7</v>
      </c>
      <c r="CP197" s="27" t="s">
        <v>7</v>
      </c>
      <c r="CQ197" s="27" t="s">
        <v>8</v>
      </c>
      <c r="CR197" s="27" t="s">
        <v>7</v>
      </c>
      <c r="CX197" s="31"/>
      <c r="DE197" s="27" t="s">
        <v>8</v>
      </c>
      <c r="DG197" s="27" t="s">
        <v>8</v>
      </c>
      <c r="DH197" s="27" t="s">
        <v>7</v>
      </c>
      <c r="DL197" s="34" t="s">
        <v>7</v>
      </c>
      <c r="DN197" s="34" t="s">
        <v>7</v>
      </c>
      <c r="DP197" s="27" t="s">
        <v>7</v>
      </c>
      <c r="DQ197" s="27" t="s">
        <v>8</v>
      </c>
      <c r="DR197" s="27" t="s">
        <v>7</v>
      </c>
      <c r="DS197" s="27" t="s">
        <v>8</v>
      </c>
      <c r="DT197" s="27" t="s">
        <v>7</v>
      </c>
      <c r="DU197" s="27" t="s">
        <v>8</v>
      </c>
      <c r="DW197" s="31"/>
      <c r="EB197" s="27" t="s">
        <v>7</v>
      </c>
      <c r="EC197" s="27" t="s">
        <v>8</v>
      </c>
      <c r="ED197" s="27" t="s">
        <v>7</v>
      </c>
      <c r="EE197" s="27" t="s">
        <v>8</v>
      </c>
      <c r="EI197" s="27" t="s">
        <v>8</v>
      </c>
      <c r="EJ197" s="27" t="s">
        <v>7</v>
      </c>
      <c r="EK197" s="27" t="s">
        <v>8</v>
      </c>
      <c r="EL197" s="31"/>
    </row>
    <row r="198" spans="1:144" x14ac:dyDescent="0.25">
      <c r="A198" s="30">
        <v>7.7615875551174378</v>
      </c>
      <c r="E198"/>
      <c r="BO198" s="27" t="s">
        <v>8</v>
      </c>
      <c r="CJ198" s="27" t="s">
        <v>7</v>
      </c>
      <c r="CK198" s="27" t="s">
        <v>8</v>
      </c>
      <c r="CP198" s="27" t="s">
        <v>7</v>
      </c>
      <c r="CQ198" s="27" t="s">
        <v>8</v>
      </c>
      <c r="CR198" s="27" t="s">
        <v>7</v>
      </c>
      <c r="CY198" s="31"/>
      <c r="DE198" s="27" t="s">
        <v>8</v>
      </c>
      <c r="DF198" s="27" t="s">
        <v>7</v>
      </c>
      <c r="DG198" s="27" t="s">
        <v>8</v>
      </c>
      <c r="DP198" s="27" t="s">
        <v>7</v>
      </c>
      <c r="DQ198" s="27" t="s">
        <v>8</v>
      </c>
      <c r="DR198" s="27" t="s">
        <v>7</v>
      </c>
      <c r="DS198" s="27" t="s">
        <v>8</v>
      </c>
      <c r="DT198" s="27" t="s">
        <v>7</v>
      </c>
      <c r="DU198" s="27" t="s">
        <v>8</v>
      </c>
      <c r="DV198" s="31"/>
      <c r="EB198" s="27" t="s">
        <v>7</v>
      </c>
      <c r="EC198" s="27" t="s">
        <v>8</v>
      </c>
      <c r="ED198" s="27" t="s">
        <v>7</v>
      </c>
      <c r="EE198" s="27" t="s">
        <v>8</v>
      </c>
      <c r="EF198" s="27" t="s">
        <v>7</v>
      </c>
      <c r="EI198" s="27" t="s">
        <v>8</v>
      </c>
      <c r="EJ198" s="27" t="s">
        <v>7</v>
      </c>
      <c r="EK198" s="27" t="s">
        <v>8</v>
      </c>
      <c r="EL198" s="27" t="s">
        <v>7</v>
      </c>
    </row>
    <row r="199" spans="1:144" x14ac:dyDescent="0.25">
      <c r="A199" s="30">
        <v>7.3919881477308929</v>
      </c>
      <c r="E199"/>
      <c r="BO199" s="27" t="s">
        <v>8</v>
      </c>
      <c r="CJ199" s="27" t="s">
        <v>7</v>
      </c>
      <c r="CK199" s="27" t="s">
        <v>8</v>
      </c>
      <c r="CP199" s="27" t="s">
        <v>7</v>
      </c>
      <c r="CQ199" s="27" t="s">
        <v>8</v>
      </c>
      <c r="CR199" s="27" t="s">
        <v>7</v>
      </c>
      <c r="CY199" s="27" t="s">
        <v>8</v>
      </c>
      <c r="CZ199" s="31"/>
      <c r="DE199" s="27" t="s">
        <v>8</v>
      </c>
      <c r="DF199" s="27" t="s">
        <v>7</v>
      </c>
      <c r="DG199" s="27" t="s">
        <v>8</v>
      </c>
      <c r="DP199" s="27" t="s">
        <v>7</v>
      </c>
      <c r="DQ199" s="27" t="s">
        <v>8</v>
      </c>
      <c r="DR199" s="27" t="s">
        <v>7</v>
      </c>
      <c r="DS199" s="27" t="s">
        <v>8</v>
      </c>
      <c r="DT199" s="27" t="s">
        <v>7</v>
      </c>
      <c r="DU199" s="31" t="s">
        <v>8</v>
      </c>
      <c r="EB199" s="27" t="s">
        <v>7</v>
      </c>
      <c r="EC199" s="27" t="s">
        <v>8</v>
      </c>
      <c r="ED199" s="27" t="s">
        <v>7</v>
      </c>
      <c r="EE199" s="27" t="s">
        <v>8</v>
      </c>
      <c r="EF199" s="27" t="s">
        <v>7</v>
      </c>
      <c r="EI199" s="27" t="s">
        <v>8</v>
      </c>
      <c r="EJ199" s="27" t="s">
        <v>7</v>
      </c>
      <c r="EK199" s="27" t="s">
        <v>8</v>
      </c>
      <c r="EL199" s="27" t="s">
        <v>7</v>
      </c>
    </row>
    <row r="200" spans="1:144" x14ac:dyDescent="0.25">
      <c r="A200" s="30">
        <v>7.0399887121246598</v>
      </c>
      <c r="E200"/>
      <c r="BO200" s="32" t="s">
        <v>8</v>
      </c>
      <c r="CJ200" s="27" t="s">
        <v>7</v>
      </c>
      <c r="CK200" s="27" t="s">
        <v>8</v>
      </c>
      <c r="CP200" s="27" t="s">
        <v>7</v>
      </c>
      <c r="CQ200" s="27" t="s">
        <v>8</v>
      </c>
      <c r="CR200" s="27" t="s">
        <v>7</v>
      </c>
      <c r="CW200" s="27" t="s">
        <v>8</v>
      </c>
      <c r="CY200" s="27" t="s">
        <v>8</v>
      </c>
      <c r="CZ200" s="27" t="s">
        <v>7</v>
      </c>
      <c r="DA200" s="31"/>
      <c r="DE200" s="27" t="s">
        <v>8</v>
      </c>
      <c r="DF200" s="27" t="s">
        <v>7</v>
      </c>
      <c r="DG200" s="27" t="s">
        <v>8</v>
      </c>
      <c r="DP200" s="27" t="s">
        <v>7</v>
      </c>
      <c r="DQ200" s="31" t="s">
        <v>8</v>
      </c>
      <c r="DR200" s="27" t="s">
        <v>7</v>
      </c>
      <c r="DS200" s="27" t="s">
        <v>8</v>
      </c>
      <c r="DT200" s="31" t="s">
        <v>7</v>
      </c>
      <c r="EB200" s="27" t="s">
        <v>7</v>
      </c>
      <c r="EC200" s="27" t="s">
        <v>8</v>
      </c>
      <c r="ED200" s="27" t="s">
        <v>7</v>
      </c>
      <c r="EE200" s="27" t="s">
        <v>8</v>
      </c>
      <c r="EF200" s="27" t="s">
        <v>7</v>
      </c>
      <c r="EG200" s="27" t="s">
        <v>8</v>
      </c>
      <c r="EI200" s="27" t="s">
        <v>8</v>
      </c>
      <c r="EJ200" s="27" t="s">
        <v>7</v>
      </c>
      <c r="EK200" s="31" t="s">
        <v>8</v>
      </c>
      <c r="EL200" s="27" t="s">
        <v>7</v>
      </c>
      <c r="EM200" s="27" t="s">
        <v>8</v>
      </c>
    </row>
    <row r="201" spans="1:144" x14ac:dyDescent="0.25">
      <c r="A201" s="30">
        <v>6.7047511544044376</v>
      </c>
      <c r="E201"/>
      <c r="BM201" s="27" t="s">
        <v>8</v>
      </c>
      <c r="BO201" s="27" t="s">
        <v>8</v>
      </c>
      <c r="CJ201" s="27" t="s">
        <v>7</v>
      </c>
      <c r="CK201" s="27" t="s">
        <v>8</v>
      </c>
      <c r="CP201" s="27" t="s">
        <v>7</v>
      </c>
      <c r="CR201" s="27" t="s">
        <v>7</v>
      </c>
      <c r="CU201" s="32" t="s">
        <v>8</v>
      </c>
      <c r="CW201" s="27" t="s">
        <v>8</v>
      </c>
      <c r="CX201" s="27" t="s">
        <v>7</v>
      </c>
      <c r="CY201" s="27" t="s">
        <v>8</v>
      </c>
      <c r="CZ201" s="27" t="s">
        <v>7</v>
      </c>
      <c r="DB201" s="31"/>
      <c r="DE201" s="27" t="s">
        <v>8</v>
      </c>
      <c r="DF201" s="27" t="s">
        <v>7</v>
      </c>
      <c r="DP201" s="31" t="s">
        <v>7</v>
      </c>
      <c r="DR201" s="27" t="s">
        <v>7</v>
      </c>
      <c r="DS201" s="31" t="s">
        <v>8</v>
      </c>
      <c r="EB201" s="27" t="s">
        <v>7</v>
      </c>
      <c r="EC201" s="27" t="s">
        <v>8</v>
      </c>
      <c r="ED201" s="27" t="s">
        <v>7</v>
      </c>
      <c r="EF201" s="27" t="s">
        <v>7</v>
      </c>
      <c r="EG201" s="27" t="s">
        <v>8</v>
      </c>
      <c r="EH201" s="27" t="s">
        <v>7</v>
      </c>
      <c r="EI201" s="27" t="s">
        <v>8</v>
      </c>
      <c r="EJ201" s="31" t="s">
        <v>7</v>
      </c>
      <c r="EL201" s="27" t="s">
        <v>7</v>
      </c>
      <c r="EM201" s="27" t="s">
        <v>8</v>
      </c>
      <c r="EN201" s="27" t="s">
        <v>7</v>
      </c>
    </row>
    <row r="202" spans="1:144" x14ac:dyDescent="0.25">
      <c r="A202" s="30">
        <v>6.3854772899089882</v>
      </c>
      <c r="E202"/>
      <c r="BM202" s="27" t="s">
        <v>8</v>
      </c>
      <c r="BN202" s="27" t="s">
        <v>7</v>
      </c>
      <c r="BO202" s="27" t="s">
        <v>8</v>
      </c>
      <c r="CJ202" s="27" t="s">
        <v>7</v>
      </c>
      <c r="CK202" s="27" t="s">
        <v>8</v>
      </c>
      <c r="CR202" s="33" t="s">
        <v>7</v>
      </c>
      <c r="CS202" s="27" t="s">
        <v>8</v>
      </c>
      <c r="CU202" s="27" t="s">
        <v>8</v>
      </c>
      <c r="CV202" s="27" t="s">
        <v>7</v>
      </c>
      <c r="CW202" s="27" t="s">
        <v>8</v>
      </c>
      <c r="CX202" s="27" t="s">
        <v>7</v>
      </c>
      <c r="CY202" s="27" t="s">
        <v>8</v>
      </c>
      <c r="CZ202" s="27" t="s">
        <v>7</v>
      </c>
      <c r="DC202" s="31"/>
      <c r="DE202" s="27" t="s">
        <v>8</v>
      </c>
      <c r="DO202" s="31"/>
      <c r="DR202" s="31" t="s">
        <v>7</v>
      </c>
      <c r="EB202" s="27" t="s">
        <v>7</v>
      </c>
      <c r="EF202" s="27" t="s">
        <v>7</v>
      </c>
      <c r="EG202" s="27" t="s">
        <v>8</v>
      </c>
      <c r="EH202" s="27" t="s">
        <v>7</v>
      </c>
      <c r="EI202" s="31" t="s">
        <v>8</v>
      </c>
      <c r="EL202" s="27" t="s">
        <v>7</v>
      </c>
      <c r="EM202" s="27" t="s">
        <v>8</v>
      </c>
      <c r="EN202" s="27" t="s">
        <v>7</v>
      </c>
    </row>
    <row r="203" spans="1:144" x14ac:dyDescent="0.25">
      <c r="A203" s="30">
        <v>6.0814069427704647</v>
      </c>
      <c r="C203" s="7"/>
      <c r="D203"/>
      <c r="E203"/>
      <c r="BK203" s="27" t="s">
        <v>8</v>
      </c>
      <c r="BM203" s="27" t="s">
        <v>8</v>
      </c>
      <c r="BN203" s="27" t="s">
        <v>7</v>
      </c>
      <c r="BO203" s="27" t="s">
        <v>8</v>
      </c>
      <c r="CJ203" s="27" t="s">
        <v>7</v>
      </c>
      <c r="CR203" s="27" t="s">
        <v>7</v>
      </c>
      <c r="CS203" s="27" t="s">
        <v>8</v>
      </c>
      <c r="CT203" s="27" t="s">
        <v>7</v>
      </c>
      <c r="CU203" s="27" t="s">
        <v>8</v>
      </c>
      <c r="CV203" s="27" t="s">
        <v>7</v>
      </c>
      <c r="CW203" s="27" t="s">
        <v>8</v>
      </c>
      <c r="CX203" s="27" t="s">
        <v>7</v>
      </c>
      <c r="CY203" s="27" t="s">
        <v>8</v>
      </c>
      <c r="CZ203" s="27" t="s">
        <v>7</v>
      </c>
      <c r="DD203" s="31"/>
      <c r="DE203" s="27" t="s">
        <v>8</v>
      </c>
      <c r="DN203" s="31"/>
      <c r="EF203" s="27" t="s">
        <v>7</v>
      </c>
      <c r="EG203" s="27" t="s">
        <v>8</v>
      </c>
      <c r="EH203" s="31" t="s">
        <v>7</v>
      </c>
      <c r="EL203" s="27" t="s">
        <v>7</v>
      </c>
      <c r="EM203" s="27" t="s">
        <v>8</v>
      </c>
      <c r="EN203" s="27" t="s">
        <v>7</v>
      </c>
    </row>
    <row r="204" spans="1:144" x14ac:dyDescent="0.25">
      <c r="A204" s="30">
        <v>5.7918161359718709</v>
      </c>
      <c r="E204"/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CR204" s="27" t="s">
        <v>7</v>
      </c>
      <c r="CS204" s="27" t="s">
        <v>8</v>
      </c>
      <c r="CT204" s="27" t="s">
        <v>7</v>
      </c>
      <c r="CU204" s="27" t="s">
        <v>8</v>
      </c>
      <c r="CV204" s="27" t="s">
        <v>7</v>
      </c>
      <c r="CW204" s="27" t="s">
        <v>8</v>
      </c>
      <c r="CX204" s="27" t="s">
        <v>7</v>
      </c>
      <c r="CZ204" s="27" t="s">
        <v>7</v>
      </c>
      <c r="DE204" s="31" t="s">
        <v>8</v>
      </c>
      <c r="DM204" s="31"/>
      <c r="EF204" s="27" t="s">
        <v>7</v>
      </c>
      <c r="EL204" s="27" t="s">
        <v>7</v>
      </c>
      <c r="EM204" s="27" t="s">
        <v>8</v>
      </c>
      <c r="EN204" s="27" t="s">
        <v>7</v>
      </c>
    </row>
    <row r="205" spans="1:144" x14ac:dyDescent="0.25">
      <c r="A205" s="30">
        <v>5.5160153675922574</v>
      </c>
      <c r="E205"/>
      <c r="BE205" s="34" t="s">
        <v>8</v>
      </c>
      <c r="BG205" s="34" t="s">
        <v>8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CR205" s="27" t="s">
        <v>7</v>
      </c>
      <c r="CS205" s="27" t="s">
        <v>8</v>
      </c>
      <c r="CT205" s="27" t="s">
        <v>7</v>
      </c>
      <c r="CU205" s="27" t="s">
        <v>8</v>
      </c>
      <c r="CV205" s="27" t="s">
        <v>7</v>
      </c>
      <c r="CW205" s="27" t="s">
        <v>8</v>
      </c>
      <c r="CZ205" s="33" t="s">
        <v>7</v>
      </c>
      <c r="DE205" s="27" t="s">
        <v>8</v>
      </c>
      <c r="DF205" s="31"/>
      <c r="DL205" s="31"/>
      <c r="EL205" s="27" t="s">
        <v>7</v>
      </c>
      <c r="EN205" s="27" t="s">
        <v>7</v>
      </c>
    </row>
    <row r="206" spans="1:144" x14ac:dyDescent="0.25">
      <c r="A206" s="30">
        <v>5.2533479691354827</v>
      </c>
      <c r="C206"/>
      <c r="D206"/>
      <c r="E206"/>
      <c r="BE206" s="27" t="s">
        <v>8</v>
      </c>
      <c r="BF206" s="27" t="s">
        <v>7</v>
      </c>
      <c r="BG206" s="27" t="s">
        <v>8</v>
      </c>
      <c r="BH206" s="27" t="s">
        <v>7</v>
      </c>
      <c r="BK206" s="27" t="s">
        <v>8</v>
      </c>
      <c r="BL206" s="27" t="s">
        <v>7</v>
      </c>
      <c r="BM206" s="27" t="s">
        <v>8</v>
      </c>
      <c r="BN206" s="27" t="s">
        <v>7</v>
      </c>
      <c r="BO206" s="27" t="s">
        <v>8</v>
      </c>
      <c r="CR206" s="27" t="s">
        <v>7</v>
      </c>
      <c r="CS206" s="27" t="s">
        <v>8</v>
      </c>
      <c r="CT206" s="34" t="s">
        <v>7</v>
      </c>
      <c r="CV206" s="34" t="s">
        <v>7</v>
      </c>
      <c r="CZ206" s="27" t="s">
        <v>7</v>
      </c>
      <c r="DE206" s="27" t="s">
        <v>8</v>
      </c>
      <c r="DG206" s="31"/>
      <c r="DK206" s="31"/>
      <c r="EN206" s="27" t="s">
        <v>7</v>
      </c>
    </row>
    <row r="207" spans="1:144" x14ac:dyDescent="0.25">
      <c r="A207" s="30">
        <v>5.0031885420337927</v>
      </c>
      <c r="E207"/>
      <c r="BC207" s="27" t="s">
        <v>8</v>
      </c>
      <c r="BE207" s="27" t="s">
        <v>8</v>
      </c>
      <c r="BF207" s="27" t="s">
        <v>7</v>
      </c>
      <c r="BG207" s="27" t="s">
        <v>8</v>
      </c>
      <c r="BH207" s="27" t="s">
        <v>7</v>
      </c>
      <c r="BK207" s="27" t="s">
        <v>8</v>
      </c>
      <c r="BL207" s="27" t="s">
        <v>7</v>
      </c>
      <c r="BN207" s="27" t="s">
        <v>7</v>
      </c>
      <c r="BO207" s="27" t="s">
        <v>8</v>
      </c>
      <c r="CR207" s="27" t="s">
        <v>7</v>
      </c>
      <c r="CS207" s="27" t="s">
        <v>8</v>
      </c>
      <c r="CZ207" s="27" t="s">
        <v>7</v>
      </c>
      <c r="DE207" s="27" t="s">
        <v>8</v>
      </c>
      <c r="DJ207" s="31"/>
      <c r="EN207" s="27" t="s">
        <v>7</v>
      </c>
    </row>
    <row r="208" spans="1:144" x14ac:dyDescent="0.25">
      <c r="A208" s="30">
        <v>4.7649414686036122</v>
      </c>
      <c r="E208"/>
      <c r="BC208" s="27" t="s">
        <v>8</v>
      </c>
      <c r="BD208" s="27" t="s">
        <v>7</v>
      </c>
      <c r="BE208" s="27" t="s">
        <v>8</v>
      </c>
      <c r="BF208" s="27" t="s">
        <v>7</v>
      </c>
      <c r="BG208" s="27" t="s">
        <v>8</v>
      </c>
      <c r="BH208" s="27" t="s">
        <v>7</v>
      </c>
      <c r="BI208" s="27" t="s">
        <v>8</v>
      </c>
      <c r="BK208" s="27" t="s">
        <v>8</v>
      </c>
      <c r="BN208" s="27" t="s">
        <v>7</v>
      </c>
      <c r="BO208" s="27" t="s">
        <v>8</v>
      </c>
      <c r="CR208" s="27" t="s">
        <v>7</v>
      </c>
      <c r="CS208" s="27" t="s">
        <v>8</v>
      </c>
      <c r="CZ208" s="27" t="s">
        <v>7</v>
      </c>
      <c r="DA208" s="27" t="s">
        <v>8</v>
      </c>
      <c r="DE208" s="27" t="s">
        <v>8</v>
      </c>
      <c r="DI208" s="31"/>
      <c r="EN208" s="27" t="s">
        <v>7</v>
      </c>
    </row>
    <row r="209" spans="1:147" x14ac:dyDescent="0.25">
      <c r="A209" s="30">
        <v>4.5380394939082018</v>
      </c>
      <c r="E209"/>
      <c r="BC209" s="27" t="s">
        <v>8</v>
      </c>
      <c r="BD209" s="27" t="s">
        <v>7</v>
      </c>
      <c r="BE209" s="27" t="s">
        <v>8</v>
      </c>
      <c r="BF209" s="27" t="s">
        <v>7</v>
      </c>
      <c r="BG209" s="27" t="s">
        <v>8</v>
      </c>
      <c r="BH209" s="27" t="s">
        <v>7</v>
      </c>
      <c r="BI209" s="27" t="s">
        <v>8</v>
      </c>
      <c r="BJ209" s="27" t="s">
        <v>7</v>
      </c>
      <c r="BK209" s="27" t="s">
        <v>8</v>
      </c>
      <c r="BN209" s="27" t="s">
        <v>7</v>
      </c>
      <c r="CR209" s="27" t="s">
        <v>7</v>
      </c>
      <c r="CZ209" s="27" t="s">
        <v>7</v>
      </c>
      <c r="DA209" s="27" t="s">
        <v>8</v>
      </c>
      <c r="DB209" s="27" t="s">
        <v>7</v>
      </c>
      <c r="DE209" s="32" t="s">
        <v>8</v>
      </c>
      <c r="DH209" s="31"/>
      <c r="EN209" s="27" t="s">
        <v>7</v>
      </c>
      <c r="EQ209" s="27" t="s">
        <v>8</v>
      </c>
    </row>
    <row r="210" spans="1:147" x14ac:dyDescent="0.25">
      <c r="A210" s="30">
        <v>4.3219423751506678</v>
      </c>
      <c r="C210"/>
      <c r="E210"/>
      <c r="BA210" s="27" t="s">
        <v>8</v>
      </c>
      <c r="BC210" s="27" t="s">
        <v>8</v>
      </c>
      <c r="BD210" s="27" t="s">
        <v>7</v>
      </c>
      <c r="BE210" s="27" t="s">
        <v>8</v>
      </c>
      <c r="BF210" s="27" t="s">
        <v>7</v>
      </c>
      <c r="BG210" s="27" t="s">
        <v>8</v>
      </c>
      <c r="BH210" s="27" t="s">
        <v>7</v>
      </c>
      <c r="BI210" s="27" t="s">
        <v>8</v>
      </c>
      <c r="BJ210" s="27" t="s">
        <v>7</v>
      </c>
      <c r="BK210" s="27" t="s">
        <v>8</v>
      </c>
      <c r="CZ210" s="27" t="s">
        <v>7</v>
      </c>
      <c r="DA210" s="27" t="s">
        <v>8</v>
      </c>
      <c r="DB210" s="27" t="s">
        <v>7</v>
      </c>
      <c r="DC210" s="27" t="s">
        <v>8</v>
      </c>
      <c r="DE210" s="27" t="s">
        <v>8</v>
      </c>
      <c r="DG210" s="31"/>
      <c r="EN210" s="27" t="s">
        <v>7</v>
      </c>
      <c r="EQ210" s="27" t="s">
        <v>8</v>
      </c>
    </row>
    <row r="211" spans="1:147" x14ac:dyDescent="0.25">
      <c r="A211" s="30">
        <v>4.1161355953815884</v>
      </c>
      <c r="E211"/>
      <c r="AY211" s="27" t="s">
        <v>8</v>
      </c>
      <c r="BA211" s="27" t="s">
        <v>8</v>
      </c>
      <c r="BB211" s="27" t="s">
        <v>7</v>
      </c>
      <c r="BC211" s="27" t="s">
        <v>8</v>
      </c>
      <c r="BD211" s="27" t="s">
        <v>7</v>
      </c>
      <c r="BE211" s="27" t="s">
        <v>8</v>
      </c>
      <c r="BF211" s="27" t="s">
        <v>7</v>
      </c>
      <c r="BG211" s="27" t="s">
        <v>8</v>
      </c>
      <c r="BH211" s="27" t="s">
        <v>7</v>
      </c>
      <c r="BJ211" s="27" t="s">
        <v>7</v>
      </c>
      <c r="BK211" s="27" t="s">
        <v>8</v>
      </c>
      <c r="CZ211" s="27" t="s">
        <v>7</v>
      </c>
      <c r="DA211" s="27" t="s">
        <v>8</v>
      </c>
      <c r="DB211" s="27" t="s">
        <v>7</v>
      </c>
      <c r="DC211" s="27" t="s">
        <v>8</v>
      </c>
      <c r="DD211" s="27" t="s">
        <v>7</v>
      </c>
      <c r="DE211" s="27" t="s">
        <v>8</v>
      </c>
      <c r="DF211" s="31"/>
      <c r="EN211" s="27" t="s">
        <v>7</v>
      </c>
      <c r="EO211" s="27" t="s">
        <v>8</v>
      </c>
      <c r="EQ211" s="27" t="s">
        <v>8</v>
      </c>
    </row>
    <row r="212" spans="1:147" x14ac:dyDescent="0.25">
      <c r="A212" s="30">
        <v>3.9201291384586554</v>
      </c>
      <c r="E212"/>
      <c r="AW212" s="27" t="s">
        <v>8</v>
      </c>
      <c r="AY212" s="27" t="s">
        <v>8</v>
      </c>
      <c r="AZ212" s="27" t="s">
        <v>7</v>
      </c>
      <c r="BA212" s="27" t="s">
        <v>8</v>
      </c>
      <c r="BB212" s="27" t="s">
        <v>7</v>
      </c>
      <c r="BC212" s="27" t="s">
        <v>8</v>
      </c>
      <c r="BD212" s="27" t="s">
        <v>7</v>
      </c>
      <c r="BE212" s="27" t="s">
        <v>8</v>
      </c>
      <c r="BF212" s="27" t="s">
        <v>7</v>
      </c>
      <c r="BG212" s="27" t="s">
        <v>8</v>
      </c>
      <c r="BJ212" s="27" t="s">
        <v>7</v>
      </c>
      <c r="CZ212" s="27" t="s">
        <v>7</v>
      </c>
      <c r="DA212" s="27" t="s">
        <v>8</v>
      </c>
      <c r="DB212" s="27" t="s">
        <v>7</v>
      </c>
      <c r="DC212" s="27" t="s">
        <v>8</v>
      </c>
      <c r="DD212" s="27" t="s">
        <v>7</v>
      </c>
      <c r="DE212" s="31" t="s">
        <v>8</v>
      </c>
      <c r="EN212" s="27" t="s">
        <v>7</v>
      </c>
      <c r="EO212" s="27" t="s">
        <v>8</v>
      </c>
      <c r="EP212" s="27" t="s">
        <v>7</v>
      </c>
      <c r="EQ212" s="27" t="s">
        <v>8</v>
      </c>
    </row>
    <row r="213" spans="1:147" x14ac:dyDescent="0.25">
      <c r="A213" s="30">
        <v>3.7334563223415764</v>
      </c>
      <c r="E213"/>
      <c r="AW213" s="27" t="s">
        <v>8</v>
      </c>
      <c r="AX213" s="27" t="s">
        <v>7</v>
      </c>
      <c r="AY213" s="27" t="s">
        <v>8</v>
      </c>
      <c r="AZ213" s="27" t="s">
        <v>7</v>
      </c>
      <c r="BA213" s="27" t="s">
        <v>8</v>
      </c>
      <c r="BB213" s="27" t="s">
        <v>7</v>
      </c>
      <c r="BC213" s="27" t="s">
        <v>8</v>
      </c>
      <c r="BD213" s="27" t="s">
        <v>7</v>
      </c>
      <c r="BE213" s="27" t="s">
        <v>8</v>
      </c>
      <c r="BF213" s="27" t="s">
        <v>7</v>
      </c>
      <c r="BG213" s="27" t="s">
        <v>8</v>
      </c>
      <c r="CZ213" s="27" t="s">
        <v>7</v>
      </c>
      <c r="DA213" s="27" t="s">
        <v>8</v>
      </c>
      <c r="DB213" s="27" t="s">
        <v>7</v>
      </c>
      <c r="DC213" s="27" t="s">
        <v>8</v>
      </c>
      <c r="DD213" s="31" t="s">
        <v>7</v>
      </c>
      <c r="EN213" s="27" t="s">
        <v>7</v>
      </c>
      <c r="EO213" s="27" t="s">
        <v>8</v>
      </c>
      <c r="EP213" s="27" t="s">
        <v>7</v>
      </c>
      <c r="EQ213" s="27" t="s">
        <v>8</v>
      </c>
    </row>
    <row r="214" spans="1:147" x14ac:dyDescent="0.25">
      <c r="A214" s="30">
        <v>3.5556726879443583</v>
      </c>
      <c r="E214"/>
      <c r="AW214" s="27" t="s">
        <v>8</v>
      </c>
      <c r="AX214" s="27" t="s">
        <v>7</v>
      </c>
      <c r="AY214" s="27" t="s">
        <v>8</v>
      </c>
      <c r="AZ214" s="27" t="s">
        <v>7</v>
      </c>
      <c r="BB214" s="27" t="s">
        <v>7</v>
      </c>
      <c r="BC214" s="27" t="s">
        <v>8</v>
      </c>
      <c r="BD214" s="27" t="s">
        <v>7</v>
      </c>
      <c r="BE214" s="27" t="s">
        <v>8</v>
      </c>
      <c r="BF214" s="27" t="s">
        <v>7</v>
      </c>
      <c r="BG214" s="27" t="s">
        <v>8</v>
      </c>
      <c r="CZ214" s="18" t="s">
        <v>7</v>
      </c>
      <c r="DA214" s="27" t="s">
        <v>8</v>
      </c>
      <c r="DB214" s="27" t="s">
        <v>7</v>
      </c>
      <c r="DC214" s="31" t="s">
        <v>8</v>
      </c>
      <c r="EN214" s="27" t="s">
        <v>7</v>
      </c>
      <c r="EP214" s="27" t="s">
        <v>7</v>
      </c>
      <c r="EQ214" s="27" t="s">
        <v>8</v>
      </c>
    </row>
    <row r="215" spans="1:147" x14ac:dyDescent="0.25">
      <c r="A215" s="30">
        <v>3.3863549408993889</v>
      </c>
      <c r="E215"/>
      <c r="AW215" s="27" t="s">
        <v>8</v>
      </c>
      <c r="AX215" s="27" t="s">
        <v>7</v>
      </c>
      <c r="BB215" s="27" t="s">
        <v>7</v>
      </c>
      <c r="BC215" s="27" t="s">
        <v>8</v>
      </c>
      <c r="BD215" s="27" t="s">
        <v>7</v>
      </c>
      <c r="BF215" s="27" t="s">
        <v>7</v>
      </c>
      <c r="BG215" s="27" t="s">
        <v>8</v>
      </c>
      <c r="CZ215" s="27" t="s">
        <v>7</v>
      </c>
      <c r="DA215" s="27" t="s">
        <v>8</v>
      </c>
      <c r="DB215" s="31" t="s">
        <v>7</v>
      </c>
      <c r="EP215" s="27" t="s">
        <v>7</v>
      </c>
    </row>
    <row r="216" spans="1:147" x14ac:dyDescent="0.25">
      <c r="A216" s="30">
        <v>3.2250999437137038</v>
      </c>
      <c r="E216"/>
      <c r="AW216" s="27" t="s">
        <v>8</v>
      </c>
      <c r="BB216" s="27" t="s">
        <v>7</v>
      </c>
      <c r="BC216" s="27" t="s">
        <v>8</v>
      </c>
      <c r="BF216" s="27" t="s">
        <v>7</v>
      </c>
      <c r="BG216" s="27" t="s">
        <v>8</v>
      </c>
      <c r="CZ216" s="27" t="s">
        <v>7</v>
      </c>
      <c r="DA216" s="31" t="s">
        <v>8</v>
      </c>
    </row>
    <row r="217" spans="1:147" x14ac:dyDescent="0.25">
      <c r="A217" s="30">
        <v>3.0715237559178128</v>
      </c>
      <c r="E217"/>
      <c r="AW217" s="27" t="s">
        <v>8</v>
      </c>
      <c r="BB217" s="27" t="s">
        <v>7</v>
      </c>
      <c r="BF217" s="27" t="s">
        <v>7</v>
      </c>
      <c r="CZ217" s="31" t="s">
        <v>7</v>
      </c>
    </row>
    <row r="218" spans="1:147" x14ac:dyDescent="0.25">
      <c r="A218" s="30">
        <v>2.9252607199217264</v>
      </c>
      <c r="E218"/>
      <c r="AW218" s="27" t="s">
        <v>8</v>
      </c>
    </row>
    <row r="219" spans="1:147" x14ac:dyDescent="0.25">
      <c r="A219" s="30">
        <v>2.7859625904016441</v>
      </c>
      <c r="E219"/>
      <c r="AW219" s="27" t="s">
        <v>8</v>
      </c>
    </row>
    <row r="220" spans="1:147" x14ac:dyDescent="0.25">
      <c r="A220" s="30">
        <v>2.6532977051444226</v>
      </c>
      <c r="E220"/>
      <c r="AW220" s="27" t="s">
        <v>8</v>
      </c>
    </row>
    <row r="221" spans="1:147" x14ac:dyDescent="0.25">
      <c r="A221" s="30">
        <v>2.5269501953756404</v>
      </c>
      <c r="E221"/>
      <c r="AU221" s="27" t="s">
        <v>8</v>
      </c>
      <c r="AW221" s="27" t="s">
        <v>8</v>
      </c>
    </row>
    <row r="222" spans="1:147" x14ac:dyDescent="0.25">
      <c r="A222" s="30">
        <v>2.4066192336910861</v>
      </c>
      <c r="E222"/>
      <c r="AU222" s="27" t="s">
        <v>8</v>
      </c>
      <c r="AV222" s="27" t="s">
        <v>7</v>
      </c>
      <c r="AW222" s="27" t="s">
        <v>8</v>
      </c>
    </row>
    <row r="223" spans="1:147" x14ac:dyDescent="0.25">
      <c r="A223" s="30">
        <v>2.2920183178010345</v>
      </c>
      <c r="E223"/>
      <c r="AU223" s="27" t="s">
        <v>8</v>
      </c>
      <c r="AV223" s="27" t="s">
        <v>7</v>
      </c>
      <c r="AW223" s="27" t="s">
        <v>8</v>
      </c>
    </row>
    <row r="224" spans="1:147" x14ac:dyDescent="0.25">
      <c r="A224" s="30">
        <v>2.1828745883819374</v>
      </c>
      <c r="E224"/>
      <c r="AS224" s="27" t="s">
        <v>8</v>
      </c>
      <c r="AU224" s="27" t="s">
        <v>8</v>
      </c>
      <c r="AV224" s="27" t="s">
        <v>7</v>
      </c>
    </row>
    <row r="225" spans="1:47" x14ac:dyDescent="0.25">
      <c r="A225" s="30">
        <v>2.0789281794113688</v>
      </c>
      <c r="E225"/>
      <c r="AS225" s="27" t="s">
        <v>8</v>
      </c>
      <c r="AT225" s="27" t="s">
        <v>7</v>
      </c>
      <c r="AU225" s="27" t="s">
        <v>8</v>
      </c>
    </row>
    <row r="226" spans="1:47" x14ac:dyDescent="0.25">
      <c r="A226" s="30">
        <v>1.9799315994393987</v>
      </c>
      <c r="E226"/>
      <c r="AS226" s="27" t="s">
        <v>8</v>
      </c>
      <c r="AT226" s="27" t="s">
        <v>7</v>
      </c>
      <c r="AU226" s="27" t="s">
        <v>8</v>
      </c>
    </row>
    <row r="227" spans="1:47" x14ac:dyDescent="0.25">
      <c r="A227" s="30">
        <v>1.8856491423232367</v>
      </c>
      <c r="E227"/>
      <c r="AS227" s="27" t="s">
        <v>8</v>
      </c>
      <c r="AT227" s="27" t="s">
        <v>7</v>
      </c>
      <c r="AU227" s="27" t="s">
        <v>8</v>
      </c>
    </row>
    <row r="228" spans="1:47" x14ac:dyDescent="0.25">
      <c r="A228" s="30">
        <v>1.7958563260221301</v>
      </c>
      <c r="C228" s="7"/>
      <c r="D228"/>
      <c r="E228"/>
      <c r="AS228" s="27" t="s">
        <v>8</v>
      </c>
      <c r="AT228" s="27" t="s">
        <v>7</v>
      </c>
      <c r="AU228" s="27" t="s">
        <v>8</v>
      </c>
    </row>
    <row r="229" spans="1:47" x14ac:dyDescent="0.25">
      <c r="A229" s="30">
        <v>1.7103393581163142</v>
      </c>
      <c r="E229"/>
      <c r="AS229" s="27" t="s">
        <v>8</v>
      </c>
      <c r="AT229" s="27" t="s">
        <v>7</v>
      </c>
      <c r="AU229" s="27" t="s">
        <v>8</v>
      </c>
    </row>
    <row r="230" spans="1:47" x14ac:dyDescent="0.25">
      <c r="A230" s="30">
        <v>1.628894626777442</v>
      </c>
      <c r="E230"/>
      <c r="AO230" s="27" t="s">
        <v>8</v>
      </c>
      <c r="AQ230" s="27" t="s">
        <v>8</v>
      </c>
      <c r="AS230" s="27" t="s">
        <v>8</v>
      </c>
      <c r="AT230" s="27" t="s">
        <v>7</v>
      </c>
    </row>
    <row r="231" spans="1:47" x14ac:dyDescent="0.25">
      <c r="A231" s="30">
        <v>1.5513282159785162</v>
      </c>
      <c r="C231"/>
      <c r="D231"/>
      <c r="E231"/>
      <c r="AO231" s="27" t="s">
        <v>8</v>
      </c>
      <c r="AP231" s="27" t="s">
        <v>7</v>
      </c>
      <c r="AQ231" s="27" t="s">
        <v>8</v>
      </c>
      <c r="AR231" s="27" t="s">
        <v>7</v>
      </c>
      <c r="AS231" s="27" t="s">
        <v>8</v>
      </c>
    </row>
    <row r="232" spans="1:47" x14ac:dyDescent="0.25">
      <c r="A232" s="30">
        <v>1.477455443789063</v>
      </c>
      <c r="E232"/>
      <c r="AO232" s="27" t="s">
        <v>8</v>
      </c>
      <c r="AP232" s="27" t="s">
        <v>7</v>
      </c>
      <c r="AQ232" s="27" t="s">
        <v>8</v>
      </c>
      <c r="AR232" s="27" t="s">
        <v>7</v>
      </c>
      <c r="AS232" s="27" t="s">
        <v>8</v>
      </c>
    </row>
    <row r="233" spans="1:47" x14ac:dyDescent="0.25">
      <c r="A233" s="30">
        <v>1.4071004226562505</v>
      </c>
      <c r="E233"/>
      <c r="AO233" s="27" t="s">
        <v>8</v>
      </c>
      <c r="AP233" s="27" t="s">
        <v>7</v>
      </c>
      <c r="AQ233" s="27" t="s">
        <v>8</v>
      </c>
      <c r="AR233" s="27" t="s">
        <v>7</v>
      </c>
      <c r="AS233" s="27" t="s">
        <v>8</v>
      </c>
    </row>
    <row r="234" spans="1:47" x14ac:dyDescent="0.25">
      <c r="A234" s="30">
        <v>1.3400956406250004</v>
      </c>
      <c r="E234"/>
      <c r="AO234" s="27" t="s">
        <v>8</v>
      </c>
      <c r="AP234" s="27" t="s">
        <v>7</v>
      </c>
      <c r="AQ234" s="27" t="s">
        <v>8</v>
      </c>
      <c r="AR234" s="27" t="s">
        <v>7</v>
      </c>
      <c r="AS234" s="27" t="s">
        <v>8</v>
      </c>
    </row>
    <row r="235" spans="1:47" x14ac:dyDescent="0.25">
      <c r="A235" s="30">
        <v>1.2762815625000004</v>
      </c>
      <c r="C235"/>
      <c r="E235"/>
      <c r="AO235" s="27" t="s">
        <v>8</v>
      </c>
      <c r="AP235" s="27" t="s">
        <v>7</v>
      </c>
      <c r="AQ235" s="27" t="s">
        <v>8</v>
      </c>
      <c r="AR235" s="27" t="s">
        <v>7</v>
      </c>
      <c r="AS235" s="27" t="s">
        <v>8</v>
      </c>
    </row>
    <row r="236" spans="1:47" x14ac:dyDescent="0.25">
      <c r="A236" s="30">
        <v>1.2155062500000002</v>
      </c>
      <c r="E236"/>
      <c r="AO236" s="27" t="s">
        <v>8</v>
      </c>
      <c r="AP236" s="27" t="s">
        <v>7</v>
      </c>
      <c r="AR236" s="27" t="s">
        <v>7</v>
      </c>
      <c r="AS236" s="27" t="s">
        <v>8</v>
      </c>
    </row>
    <row r="237" spans="1:4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O237" s="27" t="s">
        <v>8</v>
      </c>
      <c r="AR237" s="27" t="s">
        <v>7</v>
      </c>
    </row>
    <row r="238" spans="1:47" x14ac:dyDescent="0.25">
      <c r="A238" s="30">
        <v>1.1025</v>
      </c>
      <c r="E238"/>
      <c r="AK238" s="27" t="s">
        <v>8</v>
      </c>
      <c r="AM238" s="27" t="s">
        <v>8</v>
      </c>
      <c r="AO238" s="27" t="s">
        <v>8</v>
      </c>
    </row>
    <row r="239" spans="1:47" x14ac:dyDescent="0.25">
      <c r="A239" s="30">
        <v>1.05</v>
      </c>
      <c r="E239"/>
      <c r="AK239" s="27" t="s">
        <v>8</v>
      </c>
      <c r="AL239" s="27" t="s">
        <v>7</v>
      </c>
      <c r="AM239" s="27" t="s">
        <v>8</v>
      </c>
      <c r="AN239" s="27" t="s">
        <v>7</v>
      </c>
      <c r="AO239" s="27" t="s">
        <v>8</v>
      </c>
    </row>
    <row r="240" spans="1:47" x14ac:dyDescent="0.25">
      <c r="A240" s="30">
        <v>1</v>
      </c>
      <c r="E240" s="29" t="s">
        <v>8</v>
      </c>
      <c r="AE240" s="27" t="s">
        <v>8</v>
      </c>
      <c r="AG240" s="27" t="s">
        <v>8</v>
      </c>
      <c r="AI240" s="27" t="s">
        <v>8</v>
      </c>
      <c r="AK240" s="27" t="s">
        <v>8</v>
      </c>
      <c r="AL240" s="27" t="s">
        <v>7</v>
      </c>
      <c r="AM240" s="27" t="s">
        <v>8</v>
      </c>
      <c r="AN240" s="27" t="s">
        <v>7</v>
      </c>
      <c r="AO240" s="27" t="s">
        <v>8</v>
      </c>
    </row>
    <row r="241" spans="1:41" x14ac:dyDescent="0.25">
      <c r="A241" s="30">
        <v>0.952380952380952</v>
      </c>
      <c r="B241"/>
      <c r="C241"/>
      <c r="D241"/>
      <c r="E241"/>
      <c r="F241" s="27" t="s">
        <v>7</v>
      </c>
      <c r="AE241" s="27" t="s">
        <v>8</v>
      </c>
      <c r="AF241" s="27" t="s">
        <v>7</v>
      </c>
      <c r="AG241" s="27" t="s">
        <v>8</v>
      </c>
      <c r="AH241" s="27" t="s">
        <v>7</v>
      </c>
      <c r="AI241" s="27" t="s">
        <v>8</v>
      </c>
      <c r="AJ241" s="27" t="s">
        <v>7</v>
      </c>
      <c r="AK241" s="27" t="s">
        <v>8</v>
      </c>
      <c r="AL241" s="27" t="s">
        <v>7</v>
      </c>
      <c r="AM241" s="27" t="s">
        <v>8</v>
      </c>
      <c r="AN241" s="27" t="s">
        <v>7</v>
      </c>
      <c r="AO241" s="27" t="s">
        <v>8</v>
      </c>
    </row>
    <row r="242" spans="1:41" x14ac:dyDescent="0.25">
      <c r="A242" s="30">
        <v>0.90702947845804915</v>
      </c>
      <c r="B242"/>
      <c r="C242"/>
      <c r="D242"/>
      <c r="E242"/>
      <c r="F242" s="27" t="s">
        <v>7</v>
      </c>
      <c r="AE242" s="27" t="s">
        <v>8</v>
      </c>
      <c r="AF242" s="27" t="s">
        <v>7</v>
      </c>
      <c r="AG242" s="27" t="s">
        <v>8</v>
      </c>
      <c r="AH242" s="27" t="s">
        <v>7</v>
      </c>
      <c r="AI242" s="27" t="s">
        <v>8</v>
      </c>
      <c r="AJ242" s="27" t="s">
        <v>7</v>
      </c>
      <c r="AK242" s="27" t="s">
        <v>8</v>
      </c>
      <c r="AL242" s="27" t="s">
        <v>7</v>
      </c>
      <c r="AM242" s="27" t="s">
        <v>8</v>
      </c>
      <c r="AN242" s="27" t="s">
        <v>7</v>
      </c>
      <c r="AO242" s="27" t="s">
        <v>8</v>
      </c>
    </row>
    <row r="243" spans="1:41" x14ac:dyDescent="0.25">
      <c r="A243" s="30">
        <v>0.86383759853147501</v>
      </c>
      <c r="B243"/>
      <c r="C243"/>
      <c r="D243"/>
      <c r="E243"/>
      <c r="F243" s="27" t="s">
        <v>7</v>
      </c>
      <c r="AE243" s="27" t="s">
        <v>8</v>
      </c>
      <c r="AF243" s="27" t="s">
        <v>7</v>
      </c>
      <c r="AG243" s="27" t="s">
        <v>8</v>
      </c>
      <c r="AH243" s="27" t="s">
        <v>7</v>
      </c>
      <c r="AI243" s="27" t="s">
        <v>8</v>
      </c>
      <c r="AJ243" s="27" t="s">
        <v>7</v>
      </c>
      <c r="AK243" s="27" t="s">
        <v>8</v>
      </c>
      <c r="AL243" s="27" t="s">
        <v>7</v>
      </c>
      <c r="AM243" s="27" t="s">
        <v>8</v>
      </c>
      <c r="AN243" s="27" t="s">
        <v>7</v>
      </c>
      <c r="AO243" s="27" t="s">
        <v>8</v>
      </c>
    </row>
    <row r="244" spans="1:41" x14ac:dyDescent="0.25">
      <c r="A244" s="30">
        <v>0.82270247479188063</v>
      </c>
      <c r="B244"/>
      <c r="C244"/>
      <c r="D244"/>
      <c r="E244"/>
      <c r="F244" s="27" t="s">
        <v>7</v>
      </c>
      <c r="I244" s="27" t="s">
        <v>8</v>
      </c>
      <c r="AE244" s="27" t="s">
        <v>8</v>
      </c>
      <c r="AF244" s="27" t="s">
        <v>7</v>
      </c>
      <c r="AG244" s="27" t="s">
        <v>8</v>
      </c>
      <c r="AH244" s="27" t="s">
        <v>7</v>
      </c>
      <c r="AJ244" s="27" t="s">
        <v>7</v>
      </c>
      <c r="AK244" s="27" t="s">
        <v>8</v>
      </c>
      <c r="AL244" s="27" t="s">
        <v>7</v>
      </c>
      <c r="AM244" s="27" t="s">
        <v>8</v>
      </c>
      <c r="AN244" s="27" t="s">
        <v>7</v>
      </c>
    </row>
    <row r="245" spans="1:41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I245" s="27" t="s">
        <v>8</v>
      </c>
      <c r="J245" s="27" t="s">
        <v>7</v>
      </c>
      <c r="K245" s="27" t="s">
        <v>8</v>
      </c>
      <c r="AE245" s="27" t="s">
        <v>8</v>
      </c>
      <c r="AF245" s="27" t="s">
        <v>7</v>
      </c>
      <c r="AJ245" s="27" t="s">
        <v>7</v>
      </c>
      <c r="AK245" s="27" t="s">
        <v>8</v>
      </c>
      <c r="AL245" s="27" t="s">
        <v>7</v>
      </c>
    </row>
    <row r="246" spans="1:41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J246" s="27" t="s">
        <v>7</v>
      </c>
      <c r="K246" s="27" t="s">
        <v>8</v>
      </c>
      <c r="L246" s="27" t="s">
        <v>7</v>
      </c>
      <c r="AE246" s="27" t="s">
        <v>8</v>
      </c>
      <c r="AJ246" s="27" t="s">
        <v>7</v>
      </c>
      <c r="AK246" s="27" t="s">
        <v>8</v>
      </c>
    </row>
    <row r="247" spans="1:41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I247" s="27" t="s">
        <v>8</v>
      </c>
      <c r="J247" s="27" t="s">
        <v>7</v>
      </c>
      <c r="K247" s="27" t="s">
        <v>8</v>
      </c>
      <c r="L247" s="27" t="s">
        <v>7</v>
      </c>
      <c r="AE247" s="27" t="s">
        <v>8</v>
      </c>
      <c r="AJ247" s="27" t="s">
        <v>7</v>
      </c>
      <c r="AK247" s="27" t="s">
        <v>8</v>
      </c>
    </row>
    <row r="248" spans="1:41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I248" s="27" t="s">
        <v>8</v>
      </c>
      <c r="J248" s="27" t="s">
        <v>7</v>
      </c>
      <c r="L248" s="27" t="s">
        <v>7</v>
      </c>
      <c r="AC248" s="27" t="s">
        <v>8</v>
      </c>
      <c r="AE248" s="27" t="s">
        <v>8</v>
      </c>
      <c r="AJ248" s="27" t="s">
        <v>7</v>
      </c>
      <c r="AK248" s="27" t="s">
        <v>8</v>
      </c>
    </row>
    <row r="249" spans="1:41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L249" s="27" t="s">
        <v>7</v>
      </c>
      <c r="AC249" s="27" t="s">
        <v>8</v>
      </c>
      <c r="AD249" s="27" t="s">
        <v>7</v>
      </c>
      <c r="AE249" s="27" t="s">
        <v>8</v>
      </c>
      <c r="AJ249" s="27" t="s">
        <v>7</v>
      </c>
    </row>
    <row r="250" spans="1:41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L250" s="27" t="s">
        <v>7</v>
      </c>
      <c r="M250" s="27" t="s">
        <v>8</v>
      </c>
      <c r="Q250" s="27" t="s">
        <v>8</v>
      </c>
      <c r="W250" s="27" t="s">
        <v>8</v>
      </c>
      <c r="AC250" s="27" t="s">
        <v>8</v>
      </c>
      <c r="AD250" s="27" t="s">
        <v>7</v>
      </c>
      <c r="AE250" s="27" t="s">
        <v>8</v>
      </c>
    </row>
    <row r="251" spans="1:41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L251" s="27" t="s">
        <v>7</v>
      </c>
      <c r="M251" s="27" t="s">
        <v>8</v>
      </c>
      <c r="N251" s="27" t="s">
        <v>7</v>
      </c>
      <c r="Q251" s="27" t="s">
        <v>8</v>
      </c>
      <c r="R251" s="27" t="s">
        <v>7</v>
      </c>
      <c r="W251" s="27" t="s">
        <v>8</v>
      </c>
      <c r="X251" s="27" t="s">
        <v>7</v>
      </c>
      <c r="Y251" s="27" t="s">
        <v>8</v>
      </c>
      <c r="AC251" s="27" t="s">
        <v>8</v>
      </c>
      <c r="AD251" s="27" t="s">
        <v>7</v>
      </c>
    </row>
    <row r="252" spans="1:41" x14ac:dyDescent="0.25">
      <c r="A252" s="30">
        <v>0.55683741817755672</v>
      </c>
      <c r="B252"/>
      <c r="C252"/>
      <c r="D252"/>
      <c r="E252"/>
      <c r="F252" s="27" t="s">
        <v>7</v>
      </c>
      <c r="L252" s="27" t="s">
        <v>7</v>
      </c>
      <c r="M252" s="27" t="s">
        <v>8</v>
      </c>
      <c r="N252" s="27" t="s">
        <v>7</v>
      </c>
      <c r="Q252" s="27" t="s">
        <v>8</v>
      </c>
      <c r="R252" s="27" t="s">
        <v>7</v>
      </c>
      <c r="U252" s="27" t="s">
        <v>8</v>
      </c>
      <c r="W252" s="27" t="s">
        <v>8</v>
      </c>
      <c r="X252" s="27" t="s">
        <v>7</v>
      </c>
      <c r="Y252" s="27" t="s">
        <v>8</v>
      </c>
      <c r="Z252" s="27" t="s">
        <v>7</v>
      </c>
      <c r="AC252" s="27" t="s">
        <v>8</v>
      </c>
    </row>
    <row r="253" spans="1:41" x14ac:dyDescent="0.25">
      <c r="A253" s="30">
        <v>0.53032135064529184</v>
      </c>
      <c r="B253"/>
      <c r="C253"/>
      <c r="D253"/>
      <c r="E253"/>
      <c r="L253" s="27" t="s">
        <v>7</v>
      </c>
      <c r="N253" s="27" t="s">
        <v>7</v>
      </c>
      <c r="Q253" s="27" t="s">
        <v>8</v>
      </c>
      <c r="R253" s="27" t="s">
        <v>7</v>
      </c>
      <c r="U253" s="27" t="s">
        <v>8</v>
      </c>
      <c r="V253" s="27" t="s">
        <v>7</v>
      </c>
      <c r="W253" s="27" t="s">
        <v>8</v>
      </c>
      <c r="X253" s="27" t="s">
        <v>7</v>
      </c>
      <c r="Y253" s="27" t="s">
        <v>8</v>
      </c>
      <c r="Z253" s="27" t="s">
        <v>7</v>
      </c>
      <c r="AC253" s="27" t="s">
        <v>8</v>
      </c>
    </row>
    <row r="254" spans="1:41" x14ac:dyDescent="0.25">
      <c r="A254" s="30">
        <v>0.50506795299551588</v>
      </c>
      <c r="B254"/>
      <c r="C254"/>
      <c r="D254"/>
      <c r="E254"/>
      <c r="N254" s="27" t="s">
        <v>7</v>
      </c>
      <c r="Q254" s="27" t="s">
        <v>8</v>
      </c>
      <c r="R254" s="27" t="s">
        <v>7</v>
      </c>
      <c r="U254" s="27" t="s">
        <v>8</v>
      </c>
      <c r="V254" s="27" t="s">
        <v>7</v>
      </c>
      <c r="W254" s="27" t="s">
        <v>8</v>
      </c>
      <c r="X254" s="27" t="s">
        <v>7</v>
      </c>
      <c r="Z254" s="27" t="s">
        <v>7</v>
      </c>
      <c r="AC254" s="27" t="s">
        <v>8</v>
      </c>
    </row>
    <row r="255" spans="1:41" x14ac:dyDescent="0.25">
      <c r="A255" s="30">
        <v>0.48101709809096732</v>
      </c>
      <c r="E255"/>
      <c r="N255" s="27" t="s">
        <v>7</v>
      </c>
      <c r="Q255" s="27" t="s">
        <v>8</v>
      </c>
      <c r="R255" s="27" t="s">
        <v>7</v>
      </c>
      <c r="S255" s="27" t="s">
        <v>8</v>
      </c>
      <c r="U255" s="27" t="s">
        <v>8</v>
      </c>
      <c r="V255" s="27" t="s">
        <v>7</v>
      </c>
      <c r="Z255" s="27" t="s">
        <v>7</v>
      </c>
      <c r="AC255" s="27" t="s">
        <v>8</v>
      </c>
    </row>
    <row r="256" spans="1:41" x14ac:dyDescent="0.25">
      <c r="A256" s="30">
        <v>0.45811152199139726</v>
      </c>
      <c r="E256"/>
      <c r="N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U256" s="27" t="s">
        <v>8</v>
      </c>
      <c r="Z256" s="27" t="s">
        <v>7</v>
      </c>
      <c r="AC256" s="27" t="s">
        <v>8</v>
      </c>
    </row>
    <row r="257" spans="1:29" x14ac:dyDescent="0.25">
      <c r="A257" s="30">
        <v>0.43629668761085438</v>
      </c>
      <c r="B257"/>
      <c r="C257"/>
      <c r="D257"/>
      <c r="E257"/>
      <c r="N257" s="27" t="s">
        <v>7</v>
      </c>
      <c r="Q257" s="27" t="s">
        <v>8</v>
      </c>
      <c r="R257" s="27" t="s">
        <v>7</v>
      </c>
      <c r="S257" s="27" t="s">
        <v>8</v>
      </c>
      <c r="T257" s="27" t="s">
        <v>7</v>
      </c>
      <c r="U257" s="27" t="s">
        <v>8</v>
      </c>
      <c r="Z257" s="27" t="s">
        <v>7</v>
      </c>
      <c r="AA257" s="27" t="s">
        <v>8</v>
      </c>
      <c r="AC257" s="27" t="s">
        <v>8</v>
      </c>
    </row>
    <row r="258" spans="1:29" x14ac:dyDescent="0.25">
      <c r="A258" s="30">
        <v>0.41552065486748019</v>
      </c>
      <c r="B258"/>
      <c r="C258"/>
      <c r="D258"/>
      <c r="E258"/>
      <c r="N258" s="27" t="s">
        <v>7</v>
      </c>
      <c r="O258" s="27" t="s">
        <v>8</v>
      </c>
      <c r="Q258" s="27" t="s">
        <v>8</v>
      </c>
      <c r="R258" s="27" t="s">
        <v>7</v>
      </c>
      <c r="T258" s="27" t="s">
        <v>7</v>
      </c>
      <c r="U258" s="27" t="s">
        <v>8</v>
      </c>
      <c r="Z258" s="27" t="s">
        <v>7</v>
      </c>
      <c r="AA258" s="27" t="s">
        <v>8</v>
      </c>
      <c r="AB258" s="27" t="s">
        <v>7</v>
      </c>
      <c r="AC258" s="27" t="s">
        <v>8</v>
      </c>
    </row>
    <row r="259" spans="1:29" x14ac:dyDescent="0.25">
      <c r="A259" s="30">
        <v>0.39573395701664765</v>
      </c>
      <c r="B259"/>
      <c r="C259"/>
      <c r="D259"/>
      <c r="E259"/>
      <c r="N259" s="27" t="s">
        <v>7</v>
      </c>
      <c r="O259" s="27" t="s">
        <v>8</v>
      </c>
      <c r="P259" s="27" t="s">
        <v>7</v>
      </c>
      <c r="Q259" s="27" t="s">
        <v>8</v>
      </c>
      <c r="T259" s="27" t="s">
        <v>7</v>
      </c>
      <c r="U259" s="27" t="s">
        <v>8</v>
      </c>
      <c r="Z259" s="27" t="s">
        <v>7</v>
      </c>
      <c r="AA259" s="27" t="s">
        <v>8</v>
      </c>
      <c r="AB259" s="27" t="s">
        <v>7</v>
      </c>
      <c r="AC259" s="27" t="s">
        <v>8</v>
      </c>
    </row>
    <row r="260" spans="1:29" x14ac:dyDescent="0.25">
      <c r="A260" s="30">
        <v>0.37688948287299762</v>
      </c>
      <c r="B260"/>
      <c r="C260"/>
      <c r="D260"/>
      <c r="E260"/>
      <c r="N260" s="27" t="s">
        <v>7</v>
      </c>
      <c r="O260" s="27" t="s">
        <v>8</v>
      </c>
      <c r="P260" s="27" t="s">
        <v>7</v>
      </c>
      <c r="Q260" s="27" t="s">
        <v>8</v>
      </c>
      <c r="T260" s="27" t="s">
        <v>7</v>
      </c>
      <c r="U260" s="27" t="s">
        <v>8</v>
      </c>
      <c r="Z260" s="27" t="s">
        <v>7</v>
      </c>
      <c r="AB260" s="27" t="s">
        <v>7</v>
      </c>
      <c r="AC260" s="27" t="s">
        <v>8</v>
      </c>
    </row>
    <row r="261" spans="1:29" x14ac:dyDescent="0.25">
      <c r="A261" s="30">
        <v>0.35894236464094997</v>
      </c>
      <c r="B261"/>
      <c r="C261"/>
      <c r="D261"/>
      <c r="E261"/>
      <c r="N261" s="27" t="s">
        <v>7</v>
      </c>
      <c r="O261" s="27" t="s">
        <v>8</v>
      </c>
      <c r="P261" s="27" t="s">
        <v>7</v>
      </c>
      <c r="Q261" s="27" t="s">
        <v>8</v>
      </c>
      <c r="T261" s="27" t="s">
        <v>7</v>
      </c>
      <c r="AB261" s="27" t="s">
        <v>7</v>
      </c>
    </row>
    <row r="262" spans="1:29" x14ac:dyDescent="0.25">
      <c r="A262" s="30">
        <v>0.34184987108661891</v>
      </c>
      <c r="B262"/>
      <c r="C262"/>
      <c r="D262"/>
      <c r="E262"/>
      <c r="N262" s="27" t="s">
        <v>7</v>
      </c>
      <c r="O262" s="27" t="s">
        <v>8</v>
      </c>
      <c r="P262" s="27" t="s">
        <v>7</v>
      </c>
    </row>
    <row r="263" spans="1:29" x14ac:dyDescent="0.25">
      <c r="A263" s="30">
        <v>0.32557130579677979</v>
      </c>
      <c r="B263"/>
      <c r="C263"/>
      <c r="D263"/>
      <c r="E263"/>
      <c r="N263" s="27" t="s">
        <v>7</v>
      </c>
    </row>
    <row r="264" spans="1:29" x14ac:dyDescent="0.25">
      <c r="A264" s="30">
        <v>0.3100679102826473</v>
      </c>
      <c r="B264"/>
      <c r="C264"/>
      <c r="D264"/>
      <c r="E264"/>
    </row>
    <row r="265" spans="1:29" x14ac:dyDescent="0.25">
      <c r="A265" s="30">
        <v>0.2953027716977592</v>
      </c>
      <c r="B265"/>
      <c r="C265"/>
      <c r="D265"/>
      <c r="E265"/>
    </row>
    <row r="266" spans="1:29" x14ac:dyDescent="0.25">
      <c r="A266" s="30">
        <v>0.28124073495024676</v>
      </c>
      <c r="B266"/>
      <c r="C266"/>
      <c r="D266"/>
      <c r="E266"/>
    </row>
    <row r="267" spans="1:29" x14ac:dyDescent="0.25">
      <c r="A267" s="30">
        <v>0.26784831900023492</v>
      </c>
      <c r="B267"/>
      <c r="C267"/>
      <c r="D267"/>
      <c r="E267"/>
    </row>
    <row r="268" spans="1:29" x14ac:dyDescent="0.25">
      <c r="A268" s="30">
        <v>0.25509363714308075</v>
      </c>
      <c r="B268"/>
      <c r="C268"/>
      <c r="D268"/>
      <c r="E268"/>
    </row>
    <row r="269" spans="1:29" x14ac:dyDescent="0.25">
      <c r="A269" s="30">
        <v>0.24294632108864825</v>
      </c>
      <c r="B269"/>
      <c r="C269"/>
      <c r="D269"/>
      <c r="E269"/>
    </row>
    <row r="270" spans="1:29" x14ac:dyDescent="0.25">
      <c r="A270" s="30">
        <v>0.23137744865585538</v>
      </c>
      <c r="B270"/>
      <c r="C270"/>
      <c r="D270"/>
      <c r="E270"/>
    </row>
    <row r="271" spans="1:29" x14ac:dyDescent="0.25">
      <c r="A271" s="30">
        <v>0.22035947491033836</v>
      </c>
      <c r="B271"/>
      <c r="C271"/>
      <c r="D271"/>
      <c r="E271"/>
    </row>
    <row r="272" spans="1:29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1" operator="equal">
      <formula>$U$1</formula>
    </cfRule>
    <cfRule type="cellIs" dxfId="67" priority="932" operator="equal">
      <formula>$S$1</formula>
    </cfRule>
  </conditionalFormatting>
  <conditionalFormatting sqref="D136">
    <cfRule type="cellIs" dxfId="66" priority="929" operator="equal">
      <formula>$S$1</formula>
    </cfRule>
    <cfRule type="cellIs" dxfId="65" priority="930" operator="equal">
      <formula>$U$1</formula>
    </cfRule>
  </conditionalFormatting>
  <conditionalFormatting sqref="C162">
    <cfRule type="cellIs" dxfId="64" priority="927" operator="equal">
      <formula>$U$1</formula>
    </cfRule>
    <cfRule type="cellIs" dxfId="63" priority="928" operator="equal">
      <formula>$S$1</formula>
    </cfRule>
  </conditionalFormatting>
  <conditionalFormatting sqref="D162">
    <cfRule type="cellIs" dxfId="62" priority="925" operator="equal">
      <formula>$S$1</formula>
    </cfRule>
    <cfRule type="cellIs" dxfId="61" priority="926" operator="equal">
      <formula>$U$1</formula>
    </cfRule>
  </conditionalFormatting>
  <conditionalFormatting sqref="C187">
    <cfRule type="cellIs" dxfId="60" priority="923" operator="equal">
      <formula>$U$1</formula>
    </cfRule>
    <cfRule type="cellIs" dxfId="59" priority="924" operator="equal">
      <formula>$S$1</formula>
    </cfRule>
  </conditionalFormatting>
  <conditionalFormatting sqref="D187">
    <cfRule type="cellIs" dxfId="58" priority="921" operator="equal">
      <formula>$S$1</formula>
    </cfRule>
    <cfRule type="cellIs" dxfId="57" priority="922" operator="equal">
      <formula>$U$1</formula>
    </cfRule>
  </conditionalFormatting>
  <conditionalFormatting sqref="C212">
    <cfRule type="cellIs" dxfId="56" priority="919" operator="equal">
      <formula>$U$1</formula>
    </cfRule>
    <cfRule type="cellIs" dxfId="55" priority="920" operator="equal">
      <formula>$S$1</formula>
    </cfRule>
  </conditionalFormatting>
  <conditionalFormatting sqref="D212">
    <cfRule type="cellIs" dxfId="54" priority="917" operator="equal">
      <formula>$S$1</formula>
    </cfRule>
    <cfRule type="cellIs" dxfId="53" priority="918" operator="equal">
      <formula>$U$1</formula>
    </cfRule>
  </conditionalFormatting>
  <conditionalFormatting sqref="C237">
    <cfRule type="cellIs" dxfId="52" priority="915" operator="equal">
      <formula>$U$1</formula>
    </cfRule>
    <cfRule type="cellIs" dxfId="51" priority="916" operator="equal">
      <formula>$S$1</formula>
    </cfRule>
  </conditionalFormatting>
  <conditionalFormatting sqref="D237">
    <cfRule type="cellIs" dxfId="50" priority="913" operator="equal">
      <formula>$S$1</formula>
    </cfRule>
    <cfRule type="cellIs" dxfId="49" priority="914" operator="equal">
      <formula>$U$1</formula>
    </cfRule>
  </conditionalFormatting>
  <conditionalFormatting sqref="C106">
    <cfRule type="cellIs" dxfId="48" priority="911" operator="equal">
      <formula>$U$1</formula>
    </cfRule>
    <cfRule type="cellIs" dxfId="47" priority="912" operator="equal">
      <formula>$S$1</formula>
    </cfRule>
  </conditionalFormatting>
  <conditionalFormatting sqref="D106">
    <cfRule type="cellIs" dxfId="46" priority="909" operator="equal">
      <formula>$S$1</formula>
    </cfRule>
    <cfRule type="cellIs" dxfId="45" priority="910" operator="equal">
      <formula>$U$1</formula>
    </cfRule>
  </conditionalFormatting>
  <conditionalFormatting sqref="C81">
    <cfRule type="cellIs" dxfId="44" priority="907" operator="equal">
      <formula>$U$1</formula>
    </cfRule>
    <cfRule type="cellIs" dxfId="43" priority="908" operator="equal">
      <formula>$S$1</formula>
    </cfRule>
  </conditionalFormatting>
  <conditionalFormatting sqref="D81">
    <cfRule type="cellIs" dxfId="42" priority="905" operator="equal">
      <formula>$S$1</formula>
    </cfRule>
    <cfRule type="cellIs" dxfId="41" priority="906" operator="equal">
      <formula>$U$1</formula>
    </cfRule>
  </conditionalFormatting>
  <conditionalFormatting sqref="C56">
    <cfRule type="cellIs" dxfId="40" priority="903" operator="equal">
      <formula>$U$1</formula>
    </cfRule>
    <cfRule type="cellIs" dxfId="39" priority="904" operator="equal">
      <formula>$S$1</formula>
    </cfRule>
  </conditionalFormatting>
  <conditionalFormatting sqref="D56">
    <cfRule type="cellIs" dxfId="38" priority="901" operator="equal">
      <formula>$S$1</formula>
    </cfRule>
    <cfRule type="cellIs" dxfId="37" priority="902" operator="equal">
      <formula>$U$1</formula>
    </cfRule>
  </conditionalFormatting>
  <conditionalFormatting sqref="C31">
    <cfRule type="cellIs" dxfId="36" priority="899" operator="equal">
      <formula>$U$1</formula>
    </cfRule>
    <cfRule type="cellIs" dxfId="35" priority="900" operator="equal">
      <formula>$S$1</formula>
    </cfRule>
  </conditionalFormatting>
  <conditionalFormatting sqref="D31">
    <cfRule type="cellIs" dxfId="34" priority="897" operator="equal">
      <formula>$S$1</formula>
    </cfRule>
    <cfRule type="cellIs" dxfId="33" priority="89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7" zoomScale="90" zoomScaleNormal="90" workbookViewId="0">
      <pane xSplit="4" topLeftCell="X1" activePane="topRight" state="frozen"/>
      <selection activeCell="A109" sqref="A109"/>
      <selection pane="topRight" activeCell="BO105" sqref="BO10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64" x14ac:dyDescent="0.25">
      <c r="A81" s="30">
        <v>45.259255568176073</v>
      </c>
      <c r="E81"/>
    </row>
    <row r="82" spans="1:64" x14ac:dyDescent="0.25">
      <c r="A82" s="30">
        <v>41.144777789250973</v>
      </c>
      <c r="E82"/>
    </row>
    <row r="83" spans="1:64" x14ac:dyDescent="0.25">
      <c r="A83" s="30">
        <v>37.404343444773609</v>
      </c>
      <c r="E83"/>
    </row>
    <row r="84" spans="1:64" x14ac:dyDescent="0.25">
      <c r="A84" s="30">
        <v>34.003948586157826</v>
      </c>
      <c r="E84"/>
    </row>
    <row r="85" spans="1:64" x14ac:dyDescent="0.25">
      <c r="A85" s="30">
        <v>30.912680532870748</v>
      </c>
      <c r="E85"/>
    </row>
    <row r="86" spans="1:64" x14ac:dyDescent="0.25">
      <c r="A86" s="30">
        <v>28.102436848064315</v>
      </c>
      <c r="E86"/>
    </row>
    <row r="87" spans="1:64" x14ac:dyDescent="0.25">
      <c r="A87" s="30">
        <v>25.547669861876649</v>
      </c>
      <c r="E87"/>
    </row>
    <row r="88" spans="1:64" x14ac:dyDescent="0.25">
      <c r="A88" s="30">
        <v>23.225154419887861</v>
      </c>
      <c r="E88"/>
    </row>
    <row r="89" spans="1:64" x14ac:dyDescent="0.25">
      <c r="A89" s="30">
        <v>21.113776745352599</v>
      </c>
      <c r="E89"/>
      <c r="AM89" s="31" t="s">
        <v>8</v>
      </c>
    </row>
    <row r="90" spans="1:64" x14ac:dyDescent="0.25">
      <c r="A90" s="30">
        <v>19.194342495775089</v>
      </c>
      <c r="E90"/>
      <c r="AM90" s="27" t="s">
        <v>8</v>
      </c>
      <c r="AN90" s="31" t="s">
        <v>7</v>
      </c>
    </row>
    <row r="91" spans="1:64" x14ac:dyDescent="0.25">
      <c r="A91" s="30">
        <v>17.449402268886445</v>
      </c>
      <c r="E91"/>
      <c r="AM91" s="32" t="s">
        <v>8</v>
      </c>
      <c r="AN91" s="27" t="s">
        <v>7</v>
      </c>
      <c r="AO91" s="31"/>
    </row>
    <row r="92" spans="1:64" x14ac:dyDescent="0.25">
      <c r="A92" s="30">
        <v>15.863092971714948</v>
      </c>
      <c r="C92" s="1" t="s">
        <v>15</v>
      </c>
      <c r="E92"/>
      <c r="AI92" s="27" t="s">
        <v>8</v>
      </c>
      <c r="AK92" s="27" t="s">
        <v>8</v>
      </c>
      <c r="AM92" s="27" t="s">
        <v>8</v>
      </c>
      <c r="AN92" s="27" t="s">
        <v>7</v>
      </c>
      <c r="AP92" s="31"/>
      <c r="BI92" s="27" t="s">
        <v>8</v>
      </c>
    </row>
    <row r="93" spans="1:64" x14ac:dyDescent="0.25">
      <c r="A93" s="30">
        <v>14.420993610649951</v>
      </c>
      <c r="C93" s="7">
        <v>0.11167815779424731</v>
      </c>
      <c r="D93"/>
      <c r="E93"/>
      <c r="AI93" s="27" t="s">
        <v>8</v>
      </c>
      <c r="AJ93" s="27" t="s">
        <v>7</v>
      </c>
      <c r="AK93" s="27" t="s">
        <v>8</v>
      </c>
      <c r="AL93" s="27" t="s">
        <v>7</v>
      </c>
      <c r="AM93" s="27" t="s">
        <v>8</v>
      </c>
      <c r="AN93" s="27" t="s">
        <v>7</v>
      </c>
      <c r="AQ93" s="31" t="s">
        <v>8</v>
      </c>
      <c r="BI93" s="27" t="s">
        <v>8</v>
      </c>
      <c r="BJ93" s="27" t="s">
        <v>7</v>
      </c>
    </row>
    <row r="94" spans="1:64" x14ac:dyDescent="0.25">
      <c r="A94" s="30">
        <v>13.109994191499954</v>
      </c>
      <c r="E94"/>
      <c r="AI94" s="27" t="s">
        <v>8</v>
      </c>
      <c r="AJ94" s="27" t="s">
        <v>7</v>
      </c>
      <c r="AK94" s="27" t="s">
        <v>8</v>
      </c>
      <c r="AL94" s="27" t="s">
        <v>7</v>
      </c>
      <c r="AM94" s="27" t="s">
        <v>8</v>
      </c>
      <c r="AN94" s="27" t="s">
        <v>7</v>
      </c>
      <c r="AQ94" s="27" t="s">
        <v>8</v>
      </c>
      <c r="AR94" s="31" t="s">
        <v>7</v>
      </c>
      <c r="AS94" s="31" t="s">
        <v>8</v>
      </c>
      <c r="BI94" s="27" t="s">
        <v>8</v>
      </c>
      <c r="BJ94" s="27" t="s">
        <v>7</v>
      </c>
      <c r="BK94" s="27" t="s">
        <v>8</v>
      </c>
    </row>
    <row r="95" spans="1:64" x14ac:dyDescent="0.25">
      <c r="A95" s="30">
        <v>11.918176537727231</v>
      </c>
      <c r="C95" s="1" t="s">
        <v>11</v>
      </c>
      <c r="D95" s="1" t="s">
        <v>12</v>
      </c>
      <c r="E95"/>
      <c r="AI95" s="27" t="s">
        <v>8</v>
      </c>
      <c r="AJ95" s="27" t="s">
        <v>7</v>
      </c>
      <c r="AL95" s="27" t="s">
        <v>7</v>
      </c>
      <c r="AM95" s="27" t="s">
        <v>8</v>
      </c>
      <c r="AN95" s="27" t="s">
        <v>7</v>
      </c>
      <c r="AQ95" s="32" t="s">
        <v>8</v>
      </c>
      <c r="AR95" s="27" t="s">
        <v>7</v>
      </c>
      <c r="AS95" s="27" t="s">
        <v>8</v>
      </c>
      <c r="AT95" s="31" t="s">
        <v>7</v>
      </c>
      <c r="BC95" s="27" t="s">
        <v>8</v>
      </c>
      <c r="BI95" s="27" t="s">
        <v>8</v>
      </c>
      <c r="BJ95" s="27" t="s">
        <v>7</v>
      </c>
      <c r="BK95" s="27" t="s">
        <v>8</v>
      </c>
      <c r="BL95" s="27" t="s">
        <v>7</v>
      </c>
    </row>
    <row r="96" spans="1:64" x14ac:dyDescent="0.25">
      <c r="A96" s="30">
        <v>10.834705943388391</v>
      </c>
      <c r="C96"/>
      <c r="D96"/>
      <c r="E96"/>
      <c r="AI96" s="27" t="s">
        <v>8</v>
      </c>
      <c r="AL96" s="33" t="s">
        <v>7</v>
      </c>
      <c r="AN96" s="27" t="s">
        <v>7</v>
      </c>
      <c r="AO96" s="27" t="s">
        <v>8</v>
      </c>
      <c r="AQ96" s="27" t="s">
        <v>8</v>
      </c>
      <c r="AR96" s="27" t="s">
        <v>7</v>
      </c>
      <c r="AS96" s="27" t="s">
        <v>8</v>
      </c>
      <c r="AT96" s="27" t="s">
        <v>7</v>
      </c>
      <c r="AU96" s="31"/>
      <c r="BC96" s="27" t="s">
        <v>8</v>
      </c>
      <c r="BD96" s="27" t="s">
        <v>7</v>
      </c>
      <c r="BE96" s="27" t="s">
        <v>8</v>
      </c>
      <c r="BI96" s="27" t="s">
        <v>8</v>
      </c>
      <c r="BJ96" s="27" t="s">
        <v>7</v>
      </c>
      <c r="BK96" s="27" t="s">
        <v>8</v>
      </c>
      <c r="BL96" s="27" t="s">
        <v>7</v>
      </c>
    </row>
    <row r="97" spans="1:67" x14ac:dyDescent="0.25">
      <c r="A97" s="30">
        <v>9.849732675807628</v>
      </c>
      <c r="E97"/>
      <c r="AI97" s="27" t="s">
        <v>8</v>
      </c>
      <c r="AN97" s="33" t="s">
        <v>7</v>
      </c>
      <c r="AO97" s="27" t="s">
        <v>8</v>
      </c>
      <c r="AP97" s="27" t="s">
        <v>7</v>
      </c>
      <c r="AQ97" s="27" t="s">
        <v>8</v>
      </c>
      <c r="AR97" s="27" t="s">
        <v>7</v>
      </c>
      <c r="AT97" s="27" t="s">
        <v>7</v>
      </c>
      <c r="AU97" s="27" t="s">
        <v>8</v>
      </c>
      <c r="AV97" s="31"/>
      <c r="BC97" s="27" t="s">
        <v>8</v>
      </c>
      <c r="BD97" s="27" t="s">
        <v>7</v>
      </c>
      <c r="BE97" s="27" t="s">
        <v>8</v>
      </c>
      <c r="BF97" s="27" t="s">
        <v>7</v>
      </c>
      <c r="BI97" s="32" t="s">
        <v>8</v>
      </c>
      <c r="BJ97" s="27" t="s">
        <v>7</v>
      </c>
      <c r="BL97" s="27" t="s">
        <v>7</v>
      </c>
    </row>
    <row r="98" spans="1:67" x14ac:dyDescent="0.25">
      <c r="A98" s="30">
        <v>8.9543024325523888</v>
      </c>
      <c r="C98" s="1" t="s">
        <v>13</v>
      </c>
      <c r="E98"/>
      <c r="AI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  <c r="AT98" s="33" t="s">
        <v>7</v>
      </c>
      <c r="AU98" s="27" t="s">
        <v>8</v>
      </c>
      <c r="AV98" s="27" t="s">
        <v>7</v>
      </c>
      <c r="AW98" s="31"/>
      <c r="BC98" s="27" t="s">
        <v>8</v>
      </c>
      <c r="BD98" s="27" t="s">
        <v>7</v>
      </c>
      <c r="BE98" s="27" t="s">
        <v>8</v>
      </c>
      <c r="BF98" s="27" t="s">
        <v>7</v>
      </c>
      <c r="BG98" s="27" t="s">
        <v>8</v>
      </c>
      <c r="BI98" s="27" t="s">
        <v>8</v>
      </c>
      <c r="BL98" s="33" t="s">
        <v>7</v>
      </c>
    </row>
    <row r="99" spans="1:67" x14ac:dyDescent="0.25">
      <c r="A99" s="30">
        <v>8.140274938683989</v>
      </c>
      <c r="C99" s="1">
        <f>C88</f>
        <v>0</v>
      </c>
      <c r="E99"/>
      <c r="AI99" s="27" t="s">
        <v>8</v>
      </c>
      <c r="AN99" s="27" t="s">
        <v>7</v>
      </c>
      <c r="AP99" s="27" t="s">
        <v>7</v>
      </c>
      <c r="AQ99" s="27" t="s">
        <v>8</v>
      </c>
      <c r="AS99" s="31"/>
      <c r="AT99" s="27" t="s">
        <v>7</v>
      </c>
      <c r="AU99" s="27" t="s">
        <v>8</v>
      </c>
      <c r="AV99" s="27" t="s">
        <v>7</v>
      </c>
      <c r="AX99" s="31"/>
      <c r="BC99" s="27" t="s">
        <v>8</v>
      </c>
      <c r="BD99" s="27" t="s">
        <v>7</v>
      </c>
      <c r="BF99" s="27" t="s">
        <v>7</v>
      </c>
      <c r="BG99" s="27" t="s">
        <v>8</v>
      </c>
      <c r="BH99" s="27" t="s">
        <v>7</v>
      </c>
      <c r="BI99" s="27" t="s">
        <v>8</v>
      </c>
      <c r="BK99" s="31"/>
      <c r="BL99" s="27" t="s">
        <v>7</v>
      </c>
      <c r="BM99" s="27" t="s">
        <v>8</v>
      </c>
    </row>
    <row r="100" spans="1:67" x14ac:dyDescent="0.25">
      <c r="A100" s="30">
        <v>7.4002499442581717</v>
      </c>
      <c r="C100"/>
      <c r="D100"/>
      <c r="E100"/>
      <c r="AI100" s="27" t="s">
        <v>8</v>
      </c>
      <c r="AP100" s="27" t="s">
        <v>7</v>
      </c>
      <c r="AQ100" s="27" t="s">
        <v>8</v>
      </c>
      <c r="AR100" s="31"/>
      <c r="AT100" s="27" t="s">
        <v>7</v>
      </c>
      <c r="AU100" s="27" t="s">
        <v>8</v>
      </c>
      <c r="AV100" s="27" t="s">
        <v>7</v>
      </c>
      <c r="AY100" s="32" t="s">
        <v>8</v>
      </c>
      <c r="BC100" s="27" t="s">
        <v>8</v>
      </c>
      <c r="BF100" s="33" t="s">
        <v>7</v>
      </c>
      <c r="BG100" s="27" t="s">
        <v>8</v>
      </c>
      <c r="BH100" s="27" t="s">
        <v>7</v>
      </c>
      <c r="BI100" s="27" t="s">
        <v>8</v>
      </c>
      <c r="BJ100" s="31"/>
      <c r="BL100" s="27" t="s">
        <v>7</v>
      </c>
      <c r="BM100" s="27" t="s">
        <v>8</v>
      </c>
      <c r="BN100" s="27" t="s">
        <v>7</v>
      </c>
    </row>
    <row r="101" spans="1:67" x14ac:dyDescent="0.25">
      <c r="A101" s="30">
        <v>6.72749994932561</v>
      </c>
      <c r="C101" s="1" t="s">
        <v>14</v>
      </c>
      <c r="E101"/>
      <c r="AG101" s="27" t="s">
        <v>8</v>
      </c>
      <c r="AI101" s="27" t="s">
        <v>8</v>
      </c>
      <c r="AP101" s="27" t="s">
        <v>7</v>
      </c>
      <c r="AQ101" s="31" t="s">
        <v>8</v>
      </c>
      <c r="AT101" s="27" t="s">
        <v>7</v>
      </c>
      <c r="AV101" s="27" t="s">
        <v>7</v>
      </c>
      <c r="AW101" s="27" t="s">
        <v>8</v>
      </c>
      <c r="AY101" s="27" t="s">
        <v>8</v>
      </c>
      <c r="AZ101" s="31" t="s">
        <v>7</v>
      </c>
      <c r="BC101" s="27" t="s">
        <v>8</v>
      </c>
      <c r="BF101" s="34" t="s">
        <v>7</v>
      </c>
      <c r="BH101" s="34" t="s">
        <v>7</v>
      </c>
      <c r="BI101" s="31"/>
      <c r="BL101" s="27" t="s">
        <v>7</v>
      </c>
      <c r="BM101" s="27" t="s">
        <v>8</v>
      </c>
      <c r="BN101" s="27" t="s">
        <v>7</v>
      </c>
    </row>
    <row r="102" spans="1:6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G102" s="32" t="s">
        <v>8</v>
      </c>
      <c r="AH102" s="27" t="s">
        <v>7</v>
      </c>
      <c r="AI102" s="27" t="s">
        <v>8</v>
      </c>
      <c r="AP102" s="31" t="s">
        <v>7</v>
      </c>
      <c r="AV102" s="27" t="s">
        <v>7</v>
      </c>
      <c r="AW102" s="27" t="s">
        <v>8</v>
      </c>
      <c r="AX102" s="27" t="s">
        <v>7</v>
      </c>
      <c r="AY102" s="27" t="s">
        <v>8</v>
      </c>
      <c r="AZ102" s="27" t="s">
        <v>7</v>
      </c>
      <c r="BA102" s="31"/>
      <c r="BC102" s="27" t="s">
        <v>8</v>
      </c>
      <c r="BH102" s="31"/>
      <c r="BL102" s="27" t="s">
        <v>7</v>
      </c>
      <c r="BN102" s="27" t="s">
        <v>7</v>
      </c>
    </row>
    <row r="103" spans="1:67" x14ac:dyDescent="0.25">
      <c r="A103" s="30">
        <v>5.5599173134922388</v>
      </c>
      <c r="E103"/>
      <c r="AC103" s="27" t="s">
        <v>8</v>
      </c>
      <c r="AE103" s="27" t="s">
        <v>8</v>
      </c>
      <c r="AG103" s="27" t="s">
        <v>8</v>
      </c>
      <c r="AH103" s="27" t="s">
        <v>7</v>
      </c>
      <c r="AI103" s="27" t="s">
        <v>8</v>
      </c>
      <c r="AO103" s="31"/>
      <c r="AV103" s="27" t="s">
        <v>7</v>
      </c>
      <c r="AW103" s="27" t="s">
        <v>8</v>
      </c>
      <c r="AX103" s="27" t="s">
        <v>7</v>
      </c>
      <c r="AY103" s="27" t="s">
        <v>8</v>
      </c>
      <c r="AZ103" s="27" t="s">
        <v>7</v>
      </c>
      <c r="BB103" s="31"/>
      <c r="BC103" s="27" t="s">
        <v>8</v>
      </c>
      <c r="BG103" s="31"/>
      <c r="BN103" s="27" t="s">
        <v>7</v>
      </c>
    </row>
    <row r="104" spans="1:67" x14ac:dyDescent="0.25">
      <c r="A104" s="30">
        <v>5.0544702849929442</v>
      </c>
      <c r="E104"/>
      <c r="AC104" s="27" t="s">
        <v>8</v>
      </c>
      <c r="AD104" s="27" t="s">
        <v>7</v>
      </c>
      <c r="AE104" s="27" t="s">
        <v>8</v>
      </c>
      <c r="AF104" s="27" t="s">
        <v>7</v>
      </c>
      <c r="AG104" s="27" t="s">
        <v>8</v>
      </c>
      <c r="AH104" s="27" t="s">
        <v>7</v>
      </c>
      <c r="AI104" s="27" t="s">
        <v>8</v>
      </c>
      <c r="AN104" s="31"/>
      <c r="AV104" s="27" t="s">
        <v>7</v>
      </c>
      <c r="AW104" s="27" t="s">
        <v>8</v>
      </c>
      <c r="AX104" s="27" t="s">
        <v>7</v>
      </c>
      <c r="AZ104" s="27" t="s">
        <v>7</v>
      </c>
      <c r="BC104" s="32" t="s">
        <v>8</v>
      </c>
      <c r="BF104" s="31"/>
      <c r="BN104" s="27" t="s">
        <v>7</v>
      </c>
    </row>
    <row r="105" spans="1:67" x14ac:dyDescent="0.25">
      <c r="A105" s="30">
        <v>4.594972986357222</v>
      </c>
      <c r="E105"/>
      <c r="AA105" s="27" t="s">
        <v>8</v>
      </c>
      <c r="AC105" s="27" t="s">
        <v>8</v>
      </c>
      <c r="AD105" s="27" t="s">
        <v>7</v>
      </c>
      <c r="AE105" s="27" t="s">
        <v>8</v>
      </c>
      <c r="AF105" s="27" t="s">
        <v>7</v>
      </c>
      <c r="AG105" s="27" t="s">
        <v>8</v>
      </c>
      <c r="AH105" s="27" t="s">
        <v>7</v>
      </c>
      <c r="AM105" s="31"/>
      <c r="AV105" s="27" t="s">
        <v>7</v>
      </c>
      <c r="AZ105" s="33" t="s">
        <v>7</v>
      </c>
      <c r="BA105" s="27" t="s">
        <v>8</v>
      </c>
      <c r="BC105" s="27" t="s">
        <v>8</v>
      </c>
      <c r="BD105" s="31"/>
      <c r="BE105" s="31"/>
      <c r="BN105" s="27" t="s">
        <v>7</v>
      </c>
      <c r="BO105" s="27" t="s">
        <v>8</v>
      </c>
    </row>
    <row r="106" spans="1:67" x14ac:dyDescent="0.25">
      <c r="A106" s="30">
        <v>4.1772481694156562</v>
      </c>
      <c r="E106"/>
      <c r="Y106" s="27" t="s">
        <v>8</v>
      </c>
      <c r="AA106" s="27" t="s">
        <v>8</v>
      </c>
      <c r="AB106" s="27" t="s">
        <v>7</v>
      </c>
      <c r="AC106" s="27" t="s">
        <v>8</v>
      </c>
      <c r="AD106" s="27" t="s">
        <v>7</v>
      </c>
      <c r="AE106" s="27" t="s">
        <v>8</v>
      </c>
      <c r="AF106" s="27" t="s">
        <v>7</v>
      </c>
      <c r="AL106" s="31"/>
      <c r="AZ106" s="27" t="s">
        <v>7</v>
      </c>
      <c r="BA106" s="27" t="s">
        <v>8</v>
      </c>
      <c r="BB106" s="27" t="s">
        <v>7</v>
      </c>
      <c r="BC106" s="27" t="s">
        <v>8</v>
      </c>
      <c r="BD106" s="31"/>
      <c r="BN106" s="27" t="s">
        <v>7</v>
      </c>
      <c r="BO106" s="27" t="s">
        <v>8</v>
      </c>
    </row>
    <row r="107" spans="1:67" x14ac:dyDescent="0.25">
      <c r="A107" s="30">
        <v>3.7974983358324148</v>
      </c>
      <c r="E107"/>
      <c r="Y107" s="27" t="s">
        <v>8</v>
      </c>
      <c r="Z107" s="27" t="s">
        <v>7</v>
      </c>
      <c r="AA107" s="27" t="s">
        <v>8</v>
      </c>
      <c r="AB107" s="27" t="s">
        <v>7</v>
      </c>
      <c r="AC107" s="27" t="s">
        <v>8</v>
      </c>
      <c r="AD107" s="27" t="s">
        <v>7</v>
      </c>
      <c r="AE107" s="27" t="s">
        <v>8</v>
      </c>
      <c r="AK107" s="31"/>
      <c r="AZ107" s="18" t="s">
        <v>7</v>
      </c>
      <c r="BA107" s="27" t="s">
        <v>8</v>
      </c>
      <c r="BB107" s="27" t="s">
        <v>7</v>
      </c>
      <c r="BC107" s="31" t="s">
        <v>8</v>
      </c>
      <c r="BN107" s="27" t="s">
        <v>7</v>
      </c>
      <c r="BO107" s="27" t="s">
        <v>8</v>
      </c>
    </row>
    <row r="108" spans="1:67" x14ac:dyDescent="0.25">
      <c r="A108" s="30">
        <v>3.4522712143931042</v>
      </c>
      <c r="E108"/>
      <c r="Y108" s="27" t="s">
        <v>8</v>
      </c>
      <c r="Z108" s="27" t="s">
        <v>7</v>
      </c>
      <c r="AA108" s="27" t="s">
        <v>8</v>
      </c>
      <c r="AB108" s="27" t="s">
        <v>7</v>
      </c>
      <c r="AD108" s="27" t="s">
        <v>7</v>
      </c>
      <c r="AE108" s="27" t="s">
        <v>8</v>
      </c>
      <c r="AJ108" s="31"/>
      <c r="AZ108" s="27" t="s">
        <v>7</v>
      </c>
      <c r="BA108" s="27" t="s">
        <v>8</v>
      </c>
      <c r="BB108" s="27" t="s">
        <v>7</v>
      </c>
      <c r="BN108" s="27" t="s">
        <v>7</v>
      </c>
    </row>
    <row r="109" spans="1:67" x14ac:dyDescent="0.25">
      <c r="A109" s="30">
        <v>3.1384283767210035</v>
      </c>
      <c r="E109"/>
      <c r="Y109" s="27" t="s">
        <v>8</v>
      </c>
      <c r="Z109" s="27" t="s">
        <v>7</v>
      </c>
      <c r="AD109" s="33" t="s">
        <v>7</v>
      </c>
      <c r="AI109" s="31"/>
      <c r="AZ109" s="27" t="s">
        <v>7</v>
      </c>
    </row>
    <row r="110" spans="1:67" x14ac:dyDescent="0.25">
      <c r="A110" s="30">
        <v>2.8531167061100029</v>
      </c>
      <c r="E110"/>
      <c r="Y110" s="27" t="s">
        <v>8</v>
      </c>
      <c r="AH110" s="31"/>
    </row>
    <row r="111" spans="1:67" x14ac:dyDescent="0.25">
      <c r="A111" s="30">
        <v>2.5937424601000023</v>
      </c>
      <c r="C111" s="1" t="str">
        <f>ADDRESS(C121-1,1,1,1)</f>
        <v>$A$104</v>
      </c>
      <c r="D111" s="1" t="str">
        <f>ADDRESS(C121-1,D121,1,1)</f>
        <v>$BO$104</v>
      </c>
      <c r="E111"/>
      <c r="Y111" s="27" t="s">
        <v>8</v>
      </c>
      <c r="AG111" s="31"/>
    </row>
    <row r="112" spans="1:67" x14ac:dyDescent="0.25">
      <c r="A112" s="30">
        <v>2.3579476910000019</v>
      </c>
      <c r="C112" s="1" t="str">
        <f>ADDRESS(C121,1,1,1)</f>
        <v>$A$105</v>
      </c>
      <c r="D112" s="1" t="str">
        <f>ADDRESS(C121,D121-1,1,1)</f>
        <v>$BN$105</v>
      </c>
      <c r="E112"/>
      <c r="Y112" s="27" t="s">
        <v>8</v>
      </c>
      <c r="AF112" s="31"/>
    </row>
    <row r="113" spans="1:31" x14ac:dyDescent="0.25">
      <c r="A113" s="30">
        <v>2.1435888100000016</v>
      </c>
      <c r="C113" s="1" t="str">
        <f>ADDRESS(C121+1,1,1,1)</f>
        <v>$A$106</v>
      </c>
      <c r="D113" s="1" t="str">
        <f>ADDRESS(C121-1,D121+1,1,1)</f>
        <v>$BP$104</v>
      </c>
      <c r="W113" s="27" t="s">
        <v>8</v>
      </c>
      <c r="Y113" s="27" t="s">
        <v>8</v>
      </c>
      <c r="AE113" s="31"/>
    </row>
    <row r="114" spans="1:31" x14ac:dyDescent="0.25">
      <c r="A114" s="30">
        <v>1.9487171000000014</v>
      </c>
      <c r="C114" s="1" t="str">
        <f>ADDRESS(C121,D121,1,1)</f>
        <v>$BO$105</v>
      </c>
      <c r="D114" s="1" t="str">
        <f>ADDRESS(C121+1,D121+1,1,1)</f>
        <v>$BP$106</v>
      </c>
      <c r="W114" s="27" t="s">
        <v>8</v>
      </c>
      <c r="X114" s="27" t="s">
        <v>7</v>
      </c>
      <c r="Y114" s="27" t="s">
        <v>8</v>
      </c>
      <c r="AD114" s="31"/>
    </row>
    <row r="115" spans="1:31" x14ac:dyDescent="0.25">
      <c r="A115" s="30">
        <v>1.7715610000000011</v>
      </c>
      <c r="C115" s="1" t="str">
        <f>ADDRESS(C121+1,D121,1,1)</f>
        <v>$BO$106</v>
      </c>
      <c r="W115" s="27" t="s">
        <v>8</v>
      </c>
      <c r="X115" s="27" t="s">
        <v>7</v>
      </c>
      <c r="Y115" s="27" t="s">
        <v>8</v>
      </c>
      <c r="AC115" s="31"/>
    </row>
    <row r="116" spans="1:31" x14ac:dyDescent="0.25">
      <c r="A116" s="30">
        <v>1.6105100000000008</v>
      </c>
      <c r="C116" s="1">
        <f>C117-1</f>
        <v>104</v>
      </c>
      <c r="S116" s="27" t="s">
        <v>8</v>
      </c>
      <c r="U116" s="27" t="s">
        <v>8</v>
      </c>
      <c r="W116" s="27" t="s">
        <v>8</v>
      </c>
      <c r="X116" s="27" t="s">
        <v>7</v>
      </c>
      <c r="AB116" s="31"/>
    </row>
    <row r="117" spans="1:31" x14ac:dyDescent="0.25">
      <c r="A117" s="30">
        <v>1.4641000000000006</v>
      </c>
      <c r="C117" s="1">
        <f>C121</f>
        <v>105</v>
      </c>
      <c r="D117" s="1">
        <f>D121</f>
        <v>67</v>
      </c>
      <c r="S117" s="27" t="s">
        <v>8</v>
      </c>
      <c r="T117" s="27" t="s">
        <v>7</v>
      </c>
      <c r="U117" s="27" t="s">
        <v>8</v>
      </c>
      <c r="V117" s="27" t="s">
        <v>7</v>
      </c>
      <c r="W117" s="27" t="s">
        <v>8</v>
      </c>
      <c r="AA117" s="31"/>
    </row>
    <row r="118" spans="1:31" x14ac:dyDescent="0.25">
      <c r="A118" s="30">
        <v>1.3310000000000004</v>
      </c>
      <c r="C118" s="1">
        <f>C117+1</f>
        <v>106</v>
      </c>
      <c r="D118" s="1">
        <f>D117+1</f>
        <v>68</v>
      </c>
      <c r="S118" s="27" t="s">
        <v>8</v>
      </c>
      <c r="T118" s="27" t="s">
        <v>7</v>
      </c>
      <c r="U118" s="27" t="s">
        <v>8</v>
      </c>
      <c r="V118" s="27" t="s">
        <v>7</v>
      </c>
      <c r="W118" s="27" t="s">
        <v>8</v>
      </c>
      <c r="Z118" s="31"/>
    </row>
    <row r="119" spans="1:31" x14ac:dyDescent="0.25">
      <c r="A119" s="30">
        <v>1.2100000000000002</v>
      </c>
      <c r="S119" s="27" t="s">
        <v>8</v>
      </c>
      <c r="T119" s="27" t="s">
        <v>7</v>
      </c>
      <c r="V119" s="27" t="s">
        <v>7</v>
      </c>
      <c r="Y119" s="31"/>
    </row>
    <row r="120" spans="1:31" x14ac:dyDescent="0.25">
      <c r="A120" s="30">
        <v>1.1000000000000001</v>
      </c>
      <c r="C120" s="1" t="s">
        <v>9</v>
      </c>
      <c r="O120" s="27" t="s">
        <v>8</v>
      </c>
      <c r="Q120" s="27" t="s">
        <v>8</v>
      </c>
      <c r="S120" s="27" t="s">
        <v>8</v>
      </c>
      <c r="X120" s="31"/>
    </row>
    <row r="121" spans="1:31" x14ac:dyDescent="0.25">
      <c r="A121" s="30">
        <v>1</v>
      </c>
      <c r="C121" s="18">
        <v>105</v>
      </c>
      <c r="D121" s="19">
        <v>67</v>
      </c>
      <c r="E121" s="18" t="s">
        <v>8</v>
      </c>
      <c r="M121" s="27" t="s">
        <v>8</v>
      </c>
      <c r="O121" s="27" t="s">
        <v>8</v>
      </c>
      <c r="P121" s="27" t="s">
        <v>7</v>
      </c>
      <c r="Q121" s="27" t="s">
        <v>8</v>
      </c>
      <c r="R121" s="27" t="s">
        <v>7</v>
      </c>
      <c r="S121" s="27" t="s">
        <v>8</v>
      </c>
      <c r="W121" s="31"/>
    </row>
    <row r="122" spans="1:31" x14ac:dyDescent="0.25">
      <c r="A122" s="30">
        <v>0.90909090909090895</v>
      </c>
      <c r="C122" s="1" t="str">
        <f>INDEX(1:1048576,C117,D117)</f>
        <v>X</v>
      </c>
      <c r="F122" s="27" t="s">
        <v>7</v>
      </c>
      <c r="M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R122" s="27" t="s">
        <v>7</v>
      </c>
      <c r="S122" s="27" t="s">
        <v>8</v>
      </c>
      <c r="V122" s="31"/>
    </row>
    <row r="123" spans="1:31" x14ac:dyDescent="0.25">
      <c r="A123" s="30">
        <v>0.82644628099173523</v>
      </c>
      <c r="C123" s="1" t="str">
        <f>"R"&amp;C121</f>
        <v>R105</v>
      </c>
      <c r="D123" s="1" t="str">
        <f>"C"&amp;D121</f>
        <v>C67</v>
      </c>
      <c r="F123" s="27" t="s">
        <v>7</v>
      </c>
      <c r="M123" s="27" t="s">
        <v>8</v>
      </c>
      <c r="N123" s="27" t="s">
        <v>7</v>
      </c>
      <c r="O123" s="27" t="s">
        <v>8</v>
      </c>
      <c r="P123" s="27" t="s">
        <v>7</v>
      </c>
      <c r="R123" s="27" t="s">
        <v>7</v>
      </c>
      <c r="U123" s="31"/>
    </row>
    <row r="124" spans="1:3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M124" s="27" t="s">
        <v>8</v>
      </c>
      <c r="N124" s="27" t="s">
        <v>7</v>
      </c>
      <c r="O124" s="27" t="s">
        <v>8</v>
      </c>
      <c r="T124" s="31"/>
    </row>
    <row r="125" spans="1:31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M125" s="27" t="s">
        <v>8</v>
      </c>
      <c r="N125" s="27" t="s">
        <v>7</v>
      </c>
      <c r="S125" s="31"/>
    </row>
    <row r="126" spans="1:31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K126" s="27" t="s">
        <v>8</v>
      </c>
      <c r="M126" s="27" t="s">
        <v>8</v>
      </c>
      <c r="R126" s="31"/>
    </row>
    <row r="127" spans="1:31" x14ac:dyDescent="0.25">
      <c r="A127" s="30">
        <v>0.56447393005377677</v>
      </c>
      <c r="C127" s="30">
        <v>4.594972986357222</v>
      </c>
      <c r="D127"/>
      <c r="F127" s="27" t="s">
        <v>7</v>
      </c>
      <c r="H127" s="27" t="s">
        <v>7</v>
      </c>
      <c r="I127" s="27" t="s">
        <v>8</v>
      </c>
      <c r="J127" s="27" t="s">
        <v>7</v>
      </c>
      <c r="K127" s="27" t="s">
        <v>8</v>
      </c>
      <c r="L127" s="27" t="s">
        <v>7</v>
      </c>
      <c r="M127" s="27" t="s">
        <v>8</v>
      </c>
      <c r="Q127" s="31"/>
    </row>
    <row r="128" spans="1:31" x14ac:dyDescent="0.25">
      <c r="A128" s="30">
        <v>0.51315811823070612</v>
      </c>
      <c r="H128" s="27" t="s">
        <v>7</v>
      </c>
      <c r="I128" s="27" t="s">
        <v>8</v>
      </c>
      <c r="J128" s="27" t="s">
        <v>7</v>
      </c>
      <c r="K128" s="27" t="s">
        <v>8</v>
      </c>
      <c r="L128" s="27" t="s">
        <v>7</v>
      </c>
      <c r="M128" s="27" t="s">
        <v>8</v>
      </c>
      <c r="P128" s="31"/>
    </row>
    <row r="129" spans="1:15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J129" s="27" t="s">
        <v>7</v>
      </c>
      <c r="K129" s="27" t="s">
        <v>8</v>
      </c>
      <c r="L129" s="27" t="s">
        <v>7</v>
      </c>
      <c r="M129" s="27" t="s">
        <v>8</v>
      </c>
      <c r="O129" s="31"/>
    </row>
    <row r="130" spans="1:15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M130" s="27" t="s">
        <v>8</v>
      </c>
      <c r="N130" s="31"/>
    </row>
    <row r="131" spans="1:15" x14ac:dyDescent="0.25">
      <c r="A131" s="30">
        <v>0.38554328942953109</v>
      </c>
      <c r="E131"/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31" t="s">
        <v>8</v>
      </c>
    </row>
    <row r="132" spans="1:15" x14ac:dyDescent="0.25">
      <c r="A132" s="30">
        <v>0.35049389948139187</v>
      </c>
      <c r="C132" s="1" t="s">
        <v>13</v>
      </c>
      <c r="E132"/>
      <c r="H132" s="27" t="s">
        <v>7</v>
      </c>
      <c r="J132" s="27" t="s">
        <v>7</v>
      </c>
      <c r="L132" s="31" t="s">
        <v>7</v>
      </c>
    </row>
    <row r="133" spans="1:15" x14ac:dyDescent="0.25">
      <c r="A133" s="30">
        <v>0.31863081771035617</v>
      </c>
      <c r="C133" s="1" t="str">
        <f>C122</f>
        <v>X</v>
      </c>
      <c r="E133"/>
    </row>
    <row r="134" spans="1:15" x14ac:dyDescent="0.25">
      <c r="A134" s="30">
        <v>0.28966437973668741</v>
      </c>
      <c r="C134"/>
      <c r="D134"/>
      <c r="E134"/>
    </row>
    <row r="135" spans="1:15" x14ac:dyDescent="0.25">
      <c r="A135" s="30">
        <v>0.2633312543060794</v>
      </c>
      <c r="C135" s="1" t="s">
        <v>14</v>
      </c>
      <c r="E135"/>
    </row>
    <row r="136" spans="1:1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15" x14ac:dyDescent="0.25">
      <c r="A137" s="30">
        <v>0.2176291357901482</v>
      </c>
      <c r="E137"/>
    </row>
    <row r="138" spans="1:1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15" x14ac:dyDescent="0.25">
      <c r="A139" s="30">
        <v>0.17985878990921333</v>
      </c>
      <c r="E139"/>
    </row>
    <row r="140" spans="1:15" x14ac:dyDescent="0.25">
      <c r="A140" s="30">
        <v>0.16350799082655756</v>
      </c>
      <c r="C140" s="1">
        <v>0</v>
      </c>
      <c r="E140"/>
    </row>
    <row r="141" spans="1:15" x14ac:dyDescent="0.25">
      <c r="A141" s="30">
        <v>0.14864362802414322</v>
      </c>
      <c r="C141" s="1">
        <v>1</v>
      </c>
      <c r="E141"/>
    </row>
    <row r="142" spans="1:15" x14ac:dyDescent="0.25">
      <c r="A142" s="30">
        <v>0.13513057093103928</v>
      </c>
      <c r="C142" s="1">
        <v>2</v>
      </c>
      <c r="E142"/>
    </row>
    <row r="143" spans="1:15" x14ac:dyDescent="0.25">
      <c r="A143" s="30">
        <v>0.12284597357367205</v>
      </c>
      <c r="C143" s="1">
        <v>3</v>
      </c>
      <c r="E143"/>
    </row>
    <row r="144" spans="1:1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5" operator="equal">
      <formula>$U$1</formula>
    </cfRule>
    <cfRule type="cellIs" dxfId="30" priority="916" operator="equal">
      <formula>$S$1</formula>
    </cfRule>
  </conditionalFormatting>
  <conditionalFormatting sqref="D136">
    <cfRule type="cellIs" dxfId="29" priority="913" operator="equal">
      <formula>$S$1</formula>
    </cfRule>
    <cfRule type="cellIs" dxfId="28" priority="914" operator="equal">
      <formula>$U$1</formula>
    </cfRule>
  </conditionalFormatting>
  <conditionalFormatting sqref="C102">
    <cfRule type="cellIs" dxfId="27" priority="911" operator="equal">
      <formula>$U$1</formula>
    </cfRule>
    <cfRule type="cellIs" dxfId="26" priority="912" operator="equal">
      <formula>$S$1</formula>
    </cfRule>
  </conditionalFormatting>
  <conditionalFormatting sqref="D102">
    <cfRule type="cellIs" dxfId="25" priority="909" operator="equal">
      <formula>$S$1</formula>
    </cfRule>
    <cfRule type="cellIs" dxfId="24" priority="910" operator="equal">
      <formula>$U$1</formula>
    </cfRule>
  </conditionalFormatting>
  <conditionalFormatting sqref="C77">
    <cfRule type="cellIs" dxfId="23" priority="907" operator="equal">
      <formula>$U$1</formula>
    </cfRule>
    <cfRule type="cellIs" dxfId="22" priority="908" operator="equal">
      <formula>$S$1</formula>
    </cfRule>
  </conditionalFormatting>
  <conditionalFormatting sqref="D77">
    <cfRule type="cellIs" dxfId="21" priority="905" operator="equal">
      <formula>$S$1</formula>
    </cfRule>
    <cfRule type="cellIs" dxfId="20" priority="906" operator="equal">
      <formula>$U$1</formula>
    </cfRule>
  </conditionalFormatting>
  <conditionalFormatting sqref="C52">
    <cfRule type="cellIs" dxfId="19" priority="903" operator="equal">
      <formula>$U$1</formula>
    </cfRule>
    <cfRule type="cellIs" dxfId="18" priority="904" operator="equal">
      <formula>$S$1</formula>
    </cfRule>
  </conditionalFormatting>
  <conditionalFormatting sqref="D52">
    <cfRule type="cellIs" dxfId="17" priority="901" operator="equal">
      <formula>$S$1</formula>
    </cfRule>
    <cfRule type="cellIs" dxfId="16" priority="902" operator="equal">
      <formula>$U$1</formula>
    </cfRule>
  </conditionalFormatting>
  <conditionalFormatting sqref="C26">
    <cfRule type="cellIs" dxfId="15" priority="899" operator="equal">
      <formula>$U$1</formula>
    </cfRule>
    <cfRule type="cellIs" dxfId="14" priority="900" operator="equal">
      <formula>$S$1</formula>
    </cfRule>
  </conditionalFormatting>
  <conditionalFormatting sqref="D26">
    <cfRule type="cellIs" dxfId="13" priority="897" operator="equal">
      <formula>$S$1</formula>
    </cfRule>
    <cfRule type="cellIs" dxfId="12" priority="89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3.0715237559178128</v>
      </c>
      <c r="F3" s="30">
        <v>3.9201291384586554</v>
      </c>
      <c r="G3" s="30">
        <v>8.1496669328733109</v>
      </c>
      <c r="H3" s="25">
        <f>IF(G3="","",(3*(G3-F3))+E3)</f>
        <v>15.760137139161779</v>
      </c>
      <c r="I3" s="7"/>
      <c r="J3" s="7">
        <f>(E3+G3)/2</f>
        <v>5.6105953443955618</v>
      </c>
      <c r="K3" s="7">
        <f>H3/2</f>
        <v>7.8800685695808896</v>
      </c>
      <c r="M3" s="26">
        <f>IF(OR(J3="",H3=""),"",H3/J3)</f>
        <v>2.8089955114842886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2022-01-28T01:21:00Z</dcterms:modified>
</cp:coreProperties>
</file>