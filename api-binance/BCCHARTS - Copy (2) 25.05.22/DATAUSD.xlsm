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C7937AA2-E999-4866-BC1D-F5C25CD59FD4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16" i="4"/>
  <c r="C122" i="4"/>
  <c r="C133" i="4" s="1"/>
  <c r="D136" i="4" s="1"/>
  <c r="R765" i="1"/>
  <c r="C122" i="3"/>
  <c r="C133" i="3" s="1"/>
  <c r="D136" i="3" s="1"/>
  <c r="C118" i="3"/>
  <c r="C136" i="5" l="1"/>
  <c r="C138" i="5" s="1"/>
  <c r="C136" i="4"/>
  <c r="C138" i="4" s="1"/>
  <c r="R764" i="1"/>
  <c r="S765" i="1"/>
  <c r="T765" i="1" s="1"/>
  <c r="C136" i="3"/>
  <c r="C138" i="3" s="1"/>
  <c r="S764" i="1" l="1"/>
  <c r="T764" i="1" s="1"/>
  <c r="R763" i="1"/>
  <c r="S763" i="1" l="1"/>
  <c r="T763" i="1" s="1"/>
  <c r="R762" i="1"/>
  <c r="S762" i="1" l="1"/>
  <c r="T762" i="1" s="1"/>
  <c r="R761" i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S757" i="1" l="1"/>
  <c r="T757" i="1" s="1"/>
  <c r="R756" i="1"/>
  <c r="S756" i="1" l="1"/>
  <c r="T756" i="1" s="1"/>
  <c r="R755" i="1"/>
  <c r="R754" i="1" l="1"/>
  <c r="S755" i="1"/>
  <c r="T755" i="1" s="1"/>
  <c r="S754" i="1" l="1"/>
  <c r="T754" i="1" s="1"/>
  <c r="R753" i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S749" i="1" l="1"/>
  <c r="T749" i="1" s="1"/>
  <c r="R748" i="1"/>
  <c r="S748" i="1" l="1"/>
  <c r="T748" i="1" s="1"/>
  <c r="R747" i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S743" i="1" l="1"/>
  <c r="T743" i="1" s="1"/>
  <c r="R742" i="1"/>
  <c r="S742" i="1" l="1"/>
  <c r="T742" i="1" s="1"/>
  <c r="R741" i="1"/>
  <c r="S741" i="1" l="1"/>
  <c r="T741" i="1" s="1"/>
  <c r="R740" i="1"/>
  <c r="R739" i="1" l="1"/>
  <c r="S740" i="1"/>
  <c r="T740" i="1" s="1"/>
  <c r="S739" i="1" l="1"/>
  <c r="T739" i="1" s="1"/>
  <c r="R738" i="1"/>
  <c r="R737" i="1" l="1"/>
  <c r="S738" i="1"/>
  <c r="T738" i="1" s="1"/>
  <c r="R736" i="1" l="1"/>
  <c r="S737" i="1"/>
  <c r="T737" i="1" s="1"/>
  <c r="S736" i="1" l="1"/>
  <c r="T736" i="1" s="1"/>
  <c r="R735" i="1"/>
  <c r="R734" i="1" l="1"/>
  <c r="S735" i="1"/>
  <c r="T735" i="1" s="1"/>
  <c r="S734" i="1" l="1"/>
  <c r="T734" i="1" s="1"/>
  <c r="R733" i="1"/>
  <c r="S733" i="1" l="1"/>
  <c r="T733" i="1" s="1"/>
  <c r="R732" i="1"/>
  <c r="S732" i="1" l="1"/>
  <c r="T732" i="1" s="1"/>
  <c r="R731" i="1"/>
  <c r="R730" i="1" l="1"/>
  <c r="S731" i="1"/>
  <c r="T731" i="1" s="1"/>
  <c r="S730" i="1" l="1"/>
  <c r="T730" i="1" s="1"/>
  <c r="R729" i="1"/>
  <c r="R728" i="1" l="1"/>
  <c r="S729" i="1"/>
  <c r="T729" i="1" s="1"/>
  <c r="S728" i="1" l="1"/>
  <c r="T728" i="1" s="1"/>
  <c r="R727" i="1"/>
  <c r="S727" i="1" l="1"/>
  <c r="T727" i="1" s="1"/>
  <c r="R726" i="1"/>
  <c r="R725" i="1" l="1"/>
  <c r="S726" i="1"/>
  <c r="T726" i="1" s="1"/>
  <c r="S725" i="1" l="1"/>
  <c r="T725" i="1" s="1"/>
  <c r="R724" i="1"/>
  <c r="R723" i="1" l="1"/>
  <c r="S724" i="1"/>
  <c r="T724" i="1" s="1"/>
  <c r="S723" i="1" l="1"/>
  <c r="T723" i="1" s="1"/>
  <c r="R722" i="1"/>
  <c r="S722" i="1" l="1"/>
  <c r="T722" i="1" s="1"/>
  <c r="R721" i="1"/>
  <c r="R720" i="1" l="1"/>
  <c r="S721" i="1"/>
  <c r="T721" i="1" s="1"/>
  <c r="S720" i="1" l="1"/>
  <c r="T720" i="1" s="1"/>
  <c r="R719" i="1"/>
  <c r="R718" i="1" l="1"/>
  <c r="S719" i="1"/>
  <c r="T719" i="1" s="1"/>
  <c r="R717" i="1" l="1"/>
  <c r="S718" i="1"/>
  <c r="T718" i="1" s="1"/>
  <c r="S717" i="1" l="1"/>
  <c r="T717" i="1" s="1"/>
  <c r="R716" i="1"/>
  <c r="R715" i="1" l="1"/>
  <c r="S716" i="1"/>
  <c r="T716" i="1" s="1"/>
  <c r="R714" i="1" l="1"/>
  <c r="S715" i="1"/>
  <c r="T715" i="1" s="1"/>
  <c r="S714" i="1" l="1"/>
  <c r="T714" i="1" s="1"/>
  <c r="R713" i="1"/>
  <c r="R712" i="1" l="1"/>
  <c r="S713" i="1"/>
  <c r="T713" i="1" s="1"/>
  <c r="S712" i="1" l="1"/>
  <c r="T712" i="1" s="1"/>
  <c r="R711" i="1"/>
  <c r="S711" i="1" l="1"/>
  <c r="T711" i="1" s="1"/>
  <c r="R710" i="1"/>
  <c r="R709" i="1" l="1"/>
  <c r="S710" i="1"/>
  <c r="T710" i="1" s="1"/>
  <c r="S709" i="1" l="1"/>
  <c r="T709" i="1" s="1"/>
  <c r="R708" i="1"/>
  <c r="R707" i="1" l="1"/>
  <c r="S708" i="1"/>
  <c r="T708" i="1" s="1"/>
  <c r="S707" i="1" l="1"/>
  <c r="T707" i="1" s="1"/>
  <c r="R706" i="1"/>
  <c r="S706" i="1" l="1"/>
  <c r="T706" i="1" s="1"/>
  <c r="R705" i="1"/>
  <c r="R704" i="1" l="1"/>
  <c r="S705" i="1"/>
  <c r="T705" i="1" s="1"/>
  <c r="S704" i="1" l="1"/>
  <c r="T704" i="1" s="1"/>
  <c r="R703" i="1"/>
  <c r="S703" i="1" l="1"/>
  <c r="T703" i="1" s="1"/>
  <c r="R702" i="1"/>
  <c r="R701" i="1" l="1"/>
  <c r="S702" i="1"/>
  <c r="T702" i="1" s="1"/>
  <c r="S701" i="1" l="1"/>
  <c r="T701" i="1" s="1"/>
  <c r="R700" i="1"/>
  <c r="R699" i="1" l="1"/>
  <c r="S700" i="1"/>
  <c r="T700" i="1" s="1"/>
  <c r="S699" i="1" l="1"/>
  <c r="T699" i="1" s="1"/>
  <c r="R698" i="1"/>
  <c r="S698" i="1" l="1"/>
  <c r="T698" i="1" s="1"/>
  <c r="R697" i="1"/>
  <c r="R696" i="1" l="1"/>
  <c r="S697" i="1"/>
  <c r="T697" i="1" s="1"/>
  <c r="S696" i="1" l="1"/>
  <c r="T696" i="1" s="1"/>
  <c r="R695" i="1"/>
  <c r="R694" i="1" l="1"/>
  <c r="S695" i="1"/>
  <c r="T695" i="1" s="1"/>
  <c r="S694" i="1" l="1"/>
  <c r="T694" i="1" s="1"/>
  <c r="R693" i="1"/>
  <c r="S693" i="1" l="1"/>
  <c r="T693" i="1" s="1"/>
  <c r="R692" i="1"/>
  <c r="S692" i="1" l="1"/>
  <c r="T692" i="1" s="1"/>
  <c r="R691" i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S687" i="1" l="1"/>
  <c r="T687" i="1" s="1"/>
  <c r="R686" i="1"/>
  <c r="S686" i="1" l="1"/>
  <c r="T686" i="1" s="1"/>
  <c r="R685" i="1"/>
  <c r="S685" i="1" l="1"/>
  <c r="T685" i="1" s="1"/>
  <c r="R684" i="1"/>
  <c r="S684" i="1" l="1"/>
  <c r="T684" i="1" s="1"/>
  <c r="R683" i="1"/>
  <c r="S683" i="1" l="1"/>
  <c r="T683" i="1" s="1"/>
  <c r="R682" i="1"/>
  <c r="R681" i="1" l="1"/>
  <c r="S682" i="1"/>
  <c r="T682" i="1" s="1"/>
  <c r="R680" i="1" l="1"/>
  <c r="S681" i="1"/>
  <c r="T681" i="1" s="1"/>
  <c r="R679" i="1" l="1"/>
  <c r="S680" i="1"/>
  <c r="T680" i="1" s="1"/>
  <c r="S679" i="1" l="1"/>
  <c r="T679" i="1" s="1"/>
  <c r="R678" i="1"/>
  <c r="S678" i="1" l="1"/>
  <c r="T678" i="1" s="1"/>
  <c r="R677" i="1"/>
  <c r="S677" i="1" l="1"/>
  <c r="T677" i="1" s="1"/>
  <c r="R676" i="1"/>
  <c r="S676" i="1" l="1"/>
  <c r="T676" i="1" s="1"/>
  <c r="R675" i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S671" i="1" l="1"/>
  <c r="T671" i="1" s="1"/>
  <c r="R670" i="1"/>
  <c r="S670" i="1" l="1"/>
  <c r="T670" i="1" s="1"/>
  <c r="R669" i="1"/>
  <c r="S669" i="1" l="1"/>
  <c r="T669" i="1" s="1"/>
  <c r="R668" i="1"/>
  <c r="S668" i="1" l="1"/>
  <c r="T668" i="1" s="1"/>
  <c r="R667" i="1"/>
  <c r="S667" i="1" l="1"/>
  <c r="T667" i="1" s="1"/>
  <c r="R666" i="1"/>
  <c r="S666" i="1" l="1"/>
  <c r="T666" i="1" s="1"/>
  <c r="R665" i="1"/>
  <c r="S665" i="1" l="1"/>
  <c r="T665" i="1" s="1"/>
  <c r="R664" i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S659" i="1" l="1"/>
  <c r="T659" i="1" s="1"/>
  <c r="R658" i="1"/>
  <c r="S658" i="1" l="1"/>
  <c r="T658" i="1" s="1"/>
  <c r="R657" i="1"/>
  <c r="S657" i="1" l="1"/>
  <c r="T657" i="1" s="1"/>
  <c r="R656" i="1"/>
  <c r="S656" i="1" l="1"/>
  <c r="T656" i="1" s="1"/>
  <c r="R655" i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S651" i="1" l="1"/>
  <c r="T651" i="1" s="1"/>
  <c r="R650" i="1"/>
  <c r="S650" i="1" l="1"/>
  <c r="T650" i="1" s="1"/>
  <c r="R649" i="1"/>
  <c r="S649" i="1" l="1"/>
  <c r="T649" i="1" s="1"/>
  <c r="R648" i="1"/>
  <c r="S648" i="1" l="1"/>
  <c r="T648" i="1" s="1"/>
  <c r="R647" i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S643" i="1" l="1"/>
  <c r="T643" i="1" s="1"/>
  <c r="R642" i="1"/>
  <c r="R641" i="1" l="1"/>
  <c r="S642" i="1"/>
  <c r="T642" i="1" s="1"/>
  <c r="S641" i="1" l="1"/>
  <c r="T641" i="1" s="1"/>
  <c r="R640" i="1"/>
  <c r="S640" i="1" l="1"/>
  <c r="T640" i="1" s="1"/>
  <c r="R639" i="1"/>
  <c r="R638" i="1" l="1"/>
  <c r="S639" i="1"/>
  <c r="T639" i="1" s="1"/>
  <c r="S638" i="1" l="1"/>
  <c r="T638" i="1" s="1"/>
  <c r="R637" i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S633" i="1" l="1"/>
  <c r="T633" i="1" s="1"/>
  <c r="R632" i="1"/>
  <c r="S632" i="1" l="1"/>
  <c r="T632" i="1" s="1"/>
  <c r="R631" i="1"/>
  <c r="R630" i="1" l="1"/>
  <c r="S631" i="1"/>
  <c r="T631" i="1" s="1"/>
  <c r="S630" i="1" l="1"/>
  <c r="T630" i="1" s="1"/>
  <c r="R629" i="1"/>
  <c r="R628" i="1" l="1"/>
  <c r="S629" i="1"/>
  <c r="T629" i="1" s="1"/>
  <c r="R627" i="1" l="1"/>
  <c r="S628" i="1"/>
  <c r="T628" i="1" s="1"/>
  <c r="S627" i="1" l="1"/>
  <c r="T627" i="1" s="1"/>
  <c r="R626" i="1"/>
  <c r="R625" i="1" l="1"/>
  <c r="S626" i="1"/>
  <c r="T626" i="1" s="1"/>
  <c r="S625" i="1" l="1"/>
  <c r="T625" i="1" s="1"/>
  <c r="R624" i="1"/>
  <c r="S624" i="1" l="1"/>
  <c r="T624" i="1" s="1"/>
  <c r="R623" i="1"/>
  <c r="R622" i="1" l="1"/>
  <c r="S623" i="1"/>
  <c r="T623" i="1" s="1"/>
  <c r="S622" i="1" l="1"/>
  <c r="T622" i="1" s="1"/>
  <c r="R621" i="1"/>
  <c r="R620" i="1" l="1"/>
  <c r="S621" i="1"/>
  <c r="T621" i="1" s="1"/>
  <c r="S620" i="1" l="1"/>
  <c r="T620" i="1" s="1"/>
  <c r="R619" i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S615" i="1" l="1"/>
  <c r="T615" i="1" s="1"/>
  <c r="R614" i="1"/>
  <c r="S614" i="1" l="1"/>
  <c r="T614" i="1" s="1"/>
  <c r="R613" i="1"/>
  <c r="S613" i="1" l="1"/>
  <c r="T613" i="1" s="1"/>
  <c r="R612" i="1"/>
  <c r="S612" i="1" l="1"/>
  <c r="T612" i="1" s="1"/>
  <c r="R611" i="1"/>
  <c r="S611" i="1" l="1"/>
  <c r="T611" i="1" s="1"/>
  <c r="R610" i="1"/>
  <c r="S610" i="1" l="1"/>
  <c r="T610" i="1" s="1"/>
  <c r="R609" i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S605" i="1" l="1"/>
  <c r="T605" i="1" s="1"/>
  <c r="R604" i="1"/>
  <c r="S604" i="1" l="1"/>
  <c r="T604" i="1" s="1"/>
  <c r="R603" i="1"/>
  <c r="S603" i="1" l="1"/>
  <c r="T603" i="1" s="1"/>
  <c r="R602" i="1"/>
  <c r="S602" i="1" l="1"/>
  <c r="T602" i="1" s="1"/>
  <c r="R601" i="1"/>
  <c r="R600" i="1" l="1"/>
  <c r="S601" i="1"/>
  <c r="T601" i="1" s="1"/>
  <c r="R599" i="1" l="1"/>
  <c r="S600" i="1"/>
  <c r="T600" i="1" s="1"/>
  <c r="R598" i="1" l="1"/>
  <c r="S599" i="1"/>
  <c r="T599" i="1" s="1"/>
  <c r="S598" i="1" l="1"/>
  <c r="T598" i="1" s="1"/>
  <c r="R597" i="1"/>
  <c r="S597" i="1" l="1"/>
  <c r="T597" i="1" s="1"/>
  <c r="R596" i="1"/>
  <c r="S596" i="1" l="1"/>
  <c r="T596" i="1" s="1"/>
  <c r="R595" i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S591" i="1" l="1"/>
  <c r="T591" i="1" s="1"/>
  <c r="R590" i="1"/>
  <c r="S590" i="1" l="1"/>
  <c r="T590" i="1" s="1"/>
  <c r="R589" i="1"/>
  <c r="S589" i="1" l="1"/>
  <c r="T589" i="1" s="1"/>
  <c r="R588" i="1"/>
  <c r="R587" i="1" l="1"/>
  <c r="S588" i="1"/>
  <c r="T588" i="1" s="1"/>
  <c r="S587" i="1" l="1"/>
  <c r="T587" i="1" s="1"/>
  <c r="R586" i="1"/>
  <c r="S586" i="1" l="1"/>
  <c r="T586" i="1" s="1"/>
  <c r="R585" i="1"/>
  <c r="R584" i="1" l="1"/>
  <c r="S585" i="1"/>
  <c r="T585" i="1" s="1"/>
  <c r="S584" i="1" l="1"/>
  <c r="T584" i="1" s="1"/>
  <c r="R583" i="1"/>
  <c r="R582" i="1" l="1"/>
  <c r="S583" i="1"/>
  <c r="T583" i="1" s="1"/>
  <c r="S582" i="1" l="1"/>
  <c r="T582" i="1" s="1"/>
  <c r="R581" i="1"/>
  <c r="S581" i="1" l="1"/>
  <c r="T581" i="1" s="1"/>
  <c r="R580" i="1"/>
  <c r="R579" i="1" l="1"/>
  <c r="S580" i="1"/>
  <c r="T580" i="1" s="1"/>
  <c r="S579" i="1" l="1"/>
  <c r="T579" i="1" s="1"/>
  <c r="R578" i="1"/>
  <c r="S578" i="1" l="1"/>
  <c r="T578" i="1" s="1"/>
  <c r="R577" i="1"/>
  <c r="S577" i="1" l="1"/>
  <c r="T577" i="1" s="1"/>
  <c r="R576" i="1"/>
  <c r="S576" i="1" l="1"/>
  <c r="T576" i="1" s="1"/>
  <c r="R575" i="1"/>
  <c r="S575" i="1" l="1"/>
  <c r="T575" i="1" s="1"/>
  <c r="R574" i="1"/>
  <c r="R573" i="1" l="1"/>
  <c r="S574" i="1"/>
  <c r="T574" i="1" s="1"/>
  <c r="R572" i="1" l="1"/>
  <c r="S573" i="1"/>
  <c r="T573" i="1" s="1"/>
  <c r="S572" i="1" l="1"/>
  <c r="T572" i="1" s="1"/>
  <c r="R571" i="1"/>
  <c r="S571" i="1" l="1"/>
  <c r="T571" i="1" s="1"/>
  <c r="R570" i="1"/>
  <c r="S570" i="1" l="1"/>
  <c r="T570" i="1" s="1"/>
  <c r="R569" i="1"/>
  <c r="S569" i="1" l="1"/>
  <c r="T569" i="1" s="1"/>
  <c r="R568" i="1"/>
  <c r="R567" i="1" l="1"/>
  <c r="S568" i="1"/>
  <c r="T568" i="1" s="1"/>
  <c r="S567" i="1" l="1"/>
  <c r="T567" i="1" s="1"/>
  <c r="R566" i="1"/>
  <c r="R565" i="1" l="1"/>
  <c r="S566" i="1"/>
  <c r="T566" i="1" s="1"/>
  <c r="R564" i="1" l="1"/>
  <c r="S565" i="1"/>
  <c r="T565" i="1" s="1"/>
  <c r="R563" i="1" l="1"/>
  <c r="S564" i="1"/>
  <c r="T564" i="1" s="1"/>
  <c r="S563" i="1" l="1"/>
  <c r="T563" i="1" s="1"/>
  <c r="R562" i="1"/>
  <c r="R561" i="1" l="1"/>
  <c r="S562" i="1"/>
  <c r="T562" i="1" s="1"/>
  <c r="R560" i="1" l="1"/>
  <c r="S561" i="1"/>
  <c r="T561" i="1" s="1"/>
  <c r="R559" i="1" l="1"/>
  <c r="S560" i="1"/>
  <c r="T560" i="1" s="1"/>
  <c r="S559" i="1" l="1"/>
  <c r="T559" i="1" s="1"/>
  <c r="R558" i="1"/>
  <c r="S558" i="1" l="1"/>
  <c r="T558" i="1" s="1"/>
  <c r="R557" i="1"/>
  <c r="S557" i="1" l="1"/>
  <c r="T557" i="1" s="1"/>
  <c r="R556" i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S552" i="1" l="1"/>
  <c r="T552" i="1" s="1"/>
  <c r="R551" i="1"/>
  <c r="S551" i="1" l="1"/>
  <c r="T551" i="1" s="1"/>
  <c r="R550" i="1"/>
  <c r="S550" i="1" l="1"/>
  <c r="T550" i="1" s="1"/>
  <c r="R549" i="1"/>
  <c r="S549" i="1" l="1"/>
  <c r="T549" i="1" s="1"/>
  <c r="R548" i="1"/>
  <c r="R547" i="1" l="1"/>
  <c r="S548" i="1"/>
  <c r="T548" i="1" s="1"/>
  <c r="S547" i="1" l="1"/>
  <c r="T547" i="1" s="1"/>
  <c r="R546" i="1"/>
  <c r="R545" i="1" l="1"/>
  <c r="S546" i="1"/>
  <c r="T546" i="1" s="1"/>
  <c r="S545" i="1" l="1"/>
  <c r="T545" i="1" s="1"/>
  <c r="R544" i="1"/>
  <c r="S544" i="1" l="1"/>
  <c r="T544" i="1" s="1"/>
  <c r="R543" i="1"/>
  <c r="S543" i="1" l="1"/>
  <c r="T543" i="1" s="1"/>
  <c r="R542" i="1"/>
  <c r="R541" i="1" l="1"/>
  <c r="S542" i="1"/>
  <c r="T542" i="1" s="1"/>
  <c r="R540" i="1" l="1"/>
  <c r="S541" i="1"/>
  <c r="T541" i="1" s="1"/>
  <c r="S540" i="1" l="1"/>
  <c r="T540" i="1" s="1"/>
  <c r="R539" i="1"/>
  <c r="R538" i="1" l="1"/>
  <c r="S539" i="1"/>
  <c r="T539" i="1" s="1"/>
  <c r="S538" i="1" l="1"/>
  <c r="T538" i="1" s="1"/>
  <c r="R537" i="1"/>
  <c r="S537" i="1" l="1"/>
  <c r="T537" i="1" s="1"/>
  <c r="R536" i="1"/>
  <c r="R535" i="1" l="1"/>
  <c r="S536" i="1"/>
  <c r="T536" i="1" s="1"/>
  <c r="S535" i="1" l="1"/>
  <c r="T535" i="1" s="1"/>
  <c r="R534" i="1"/>
  <c r="S534" i="1" l="1"/>
  <c r="T534" i="1" s="1"/>
  <c r="R533" i="1"/>
  <c r="R532" i="1" l="1"/>
  <c r="S533" i="1"/>
  <c r="T533" i="1" s="1"/>
  <c r="S532" i="1" l="1"/>
  <c r="T532" i="1" s="1"/>
  <c r="R531" i="1"/>
  <c r="S531" i="1" l="1"/>
  <c r="T531" i="1" s="1"/>
  <c r="R530" i="1"/>
  <c r="S530" i="1" l="1"/>
  <c r="T530" i="1" s="1"/>
  <c r="R529" i="1"/>
  <c r="S529" i="1" l="1"/>
  <c r="T529" i="1" s="1"/>
  <c r="R528" i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S522" i="1" l="1"/>
  <c r="T522" i="1" s="1"/>
  <c r="R521" i="1"/>
  <c r="S521" i="1" l="1"/>
  <c r="T521" i="1" s="1"/>
  <c r="R520" i="1"/>
  <c r="S520" i="1" l="1"/>
  <c r="T520" i="1" s="1"/>
  <c r="R519" i="1"/>
  <c r="S519" i="1" l="1"/>
  <c r="T519" i="1" s="1"/>
  <c r="R518" i="1"/>
  <c r="S518" i="1" l="1"/>
  <c r="T518" i="1" s="1"/>
  <c r="R517" i="1"/>
  <c r="R516" i="1" l="1"/>
  <c r="S517" i="1"/>
  <c r="T517" i="1" s="1"/>
  <c r="S516" i="1" l="1"/>
  <c r="T516" i="1" s="1"/>
  <c r="R515" i="1"/>
  <c r="S515" i="1" l="1"/>
  <c r="T515" i="1" s="1"/>
  <c r="R514" i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S510" i="1" l="1"/>
  <c r="T510" i="1" s="1"/>
  <c r="R509" i="1"/>
  <c r="R508" i="1" l="1"/>
  <c r="S509" i="1"/>
  <c r="T509" i="1" s="1"/>
  <c r="R507" i="1" l="1"/>
  <c r="S508" i="1"/>
  <c r="T508" i="1" s="1"/>
  <c r="S507" i="1" l="1"/>
  <c r="T507" i="1" s="1"/>
  <c r="R506" i="1"/>
  <c r="R505" i="1" l="1"/>
  <c r="S506" i="1"/>
  <c r="T506" i="1" s="1"/>
  <c r="S505" i="1" l="1"/>
  <c r="T505" i="1" s="1"/>
  <c r="R504" i="1"/>
  <c r="S504" i="1" l="1"/>
  <c r="T504" i="1" s="1"/>
  <c r="R503" i="1"/>
  <c r="R502" i="1" l="1"/>
  <c r="S503" i="1"/>
  <c r="T503" i="1" s="1"/>
  <c r="S502" i="1" l="1"/>
  <c r="T502" i="1" s="1"/>
  <c r="R501" i="1"/>
  <c r="R500" i="1" l="1"/>
  <c r="S501" i="1"/>
  <c r="T501" i="1" s="1"/>
  <c r="R499" i="1" l="1"/>
  <c r="S500" i="1"/>
  <c r="T500" i="1" s="1"/>
  <c r="S499" i="1" l="1"/>
  <c r="T499" i="1" s="1"/>
  <c r="R498" i="1"/>
  <c r="R497" i="1" l="1"/>
  <c r="S498" i="1"/>
  <c r="T498" i="1" s="1"/>
  <c r="S497" i="1" l="1"/>
  <c r="T497" i="1" s="1"/>
  <c r="R496" i="1"/>
  <c r="S496" i="1" l="1"/>
  <c r="T496" i="1" s="1"/>
  <c r="R495" i="1"/>
  <c r="S495" i="1" l="1"/>
  <c r="T495" i="1" s="1"/>
  <c r="R494" i="1"/>
  <c r="R493" i="1" l="1"/>
  <c r="S494" i="1"/>
  <c r="T494" i="1" s="1"/>
  <c r="R492" i="1" l="1"/>
  <c r="S493" i="1"/>
  <c r="T493" i="1" s="1"/>
  <c r="S492" i="1" l="1"/>
  <c r="T492" i="1" s="1"/>
  <c r="R491" i="1"/>
  <c r="S491" i="1" l="1"/>
  <c r="T491" i="1" s="1"/>
  <c r="R490" i="1"/>
  <c r="S490" i="1" l="1"/>
  <c r="T490" i="1" s="1"/>
  <c r="R489" i="1"/>
  <c r="R488" i="1" l="1"/>
  <c r="S489" i="1"/>
  <c r="T489" i="1" s="1"/>
  <c r="R487" i="1" l="1"/>
  <c r="S488" i="1"/>
  <c r="T488" i="1" s="1"/>
  <c r="R486" i="1" l="1"/>
  <c r="S487" i="1"/>
  <c r="T487" i="1" s="1"/>
  <c r="S486" i="1" l="1"/>
  <c r="T486" i="1" s="1"/>
  <c r="R485" i="1"/>
  <c r="S485" i="1" l="1"/>
  <c r="T485" i="1" s="1"/>
  <c r="R484" i="1"/>
  <c r="S484" i="1" l="1"/>
  <c r="T484" i="1" s="1"/>
  <c r="R483" i="1"/>
  <c r="S483" i="1" l="1"/>
  <c r="T483" i="1" s="1"/>
  <c r="R482" i="1"/>
  <c r="R481" i="1" l="1"/>
  <c r="S482" i="1"/>
  <c r="T482" i="1" s="1"/>
  <c r="S481" i="1" l="1"/>
  <c r="T481" i="1" s="1"/>
  <c r="R480" i="1"/>
  <c r="R479" i="1" l="1"/>
  <c r="S480" i="1"/>
  <c r="T480" i="1" s="1"/>
  <c r="R478" i="1" l="1"/>
  <c r="S479" i="1"/>
  <c r="T479" i="1" s="1"/>
  <c r="S478" i="1" l="1"/>
  <c r="T478" i="1" s="1"/>
  <c r="R477" i="1"/>
  <c r="R476" i="1" l="1"/>
  <c r="S477" i="1"/>
  <c r="T477" i="1" s="1"/>
  <c r="R475" i="1" l="1"/>
  <c r="S476" i="1"/>
  <c r="T476" i="1" s="1"/>
  <c r="R474" i="1" l="1"/>
  <c r="S475" i="1"/>
  <c r="T475" i="1" s="1"/>
  <c r="S474" i="1" l="1"/>
  <c r="T474" i="1" s="1"/>
  <c r="R473" i="1"/>
  <c r="S473" i="1" l="1"/>
  <c r="T473" i="1" s="1"/>
  <c r="R472" i="1"/>
  <c r="S472" i="1" l="1"/>
  <c r="T472" i="1" s="1"/>
  <c r="R471" i="1"/>
  <c r="S471" i="1" l="1"/>
  <c r="T471" i="1" s="1"/>
  <c r="R470" i="1"/>
  <c r="S470" i="1" l="1"/>
  <c r="T470" i="1" s="1"/>
  <c r="R469" i="1"/>
  <c r="R468" i="1" l="1"/>
  <c r="S469" i="1"/>
  <c r="T469" i="1" s="1"/>
  <c r="S468" i="1" l="1"/>
  <c r="T468" i="1" s="1"/>
  <c r="R467" i="1"/>
  <c r="S467" i="1" l="1"/>
  <c r="T467" i="1" s="1"/>
  <c r="R466" i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S462" i="1" l="1"/>
  <c r="T462" i="1" s="1"/>
  <c r="R461" i="1"/>
  <c r="R460" i="1" l="1"/>
  <c r="S461" i="1"/>
  <c r="T461" i="1" s="1"/>
  <c r="S460" i="1" l="1"/>
  <c r="T460" i="1" s="1"/>
  <c r="R459" i="1"/>
  <c r="R458" i="1" l="1"/>
  <c r="S459" i="1"/>
  <c r="T459" i="1" s="1"/>
  <c r="R457" i="1" l="1"/>
  <c r="S458" i="1"/>
  <c r="T458" i="1" s="1"/>
  <c r="S457" i="1" l="1"/>
  <c r="T457" i="1" s="1"/>
  <c r="R456" i="1"/>
  <c r="R455" i="1" l="1"/>
  <c r="S456" i="1"/>
  <c r="T456" i="1" s="1"/>
  <c r="R454" i="1" l="1"/>
  <c r="S455" i="1"/>
  <c r="T455" i="1" s="1"/>
  <c r="S454" i="1" l="1"/>
  <c r="T454" i="1" s="1"/>
  <c r="R453" i="1"/>
  <c r="R452" i="1" l="1"/>
  <c r="S453" i="1"/>
  <c r="T453" i="1" s="1"/>
  <c r="S452" i="1" l="1"/>
  <c r="T452" i="1" s="1"/>
  <c r="R451" i="1"/>
  <c r="R450" i="1" l="1"/>
  <c r="S451" i="1"/>
  <c r="T451" i="1" s="1"/>
  <c r="R449" i="1" l="1"/>
  <c r="S450" i="1"/>
  <c r="T450" i="1" s="1"/>
  <c r="S449" i="1" l="1"/>
  <c r="T449" i="1" s="1"/>
  <c r="R448" i="1"/>
  <c r="R447" i="1" l="1"/>
  <c r="S448" i="1"/>
  <c r="T448" i="1" s="1"/>
  <c r="S447" i="1" l="1"/>
  <c r="T447" i="1" s="1"/>
  <c r="R446" i="1"/>
  <c r="R445" i="1" l="1"/>
  <c r="S446" i="1"/>
  <c r="T446" i="1" s="1"/>
  <c r="S445" i="1" l="1"/>
  <c r="T445" i="1" s="1"/>
  <c r="R444" i="1"/>
  <c r="R443" i="1" l="1"/>
  <c r="S444" i="1"/>
  <c r="T444" i="1" s="1"/>
  <c r="S443" i="1" l="1"/>
  <c r="T443" i="1" s="1"/>
  <c r="R442" i="1"/>
  <c r="R441" i="1" l="1"/>
  <c r="S442" i="1"/>
  <c r="T442" i="1" s="1"/>
  <c r="R440" i="1" l="1"/>
  <c r="S441" i="1"/>
  <c r="T441" i="1" s="1"/>
  <c r="S440" i="1" l="1"/>
  <c r="T440" i="1" s="1"/>
  <c r="R439" i="1"/>
  <c r="R438" i="1" l="1"/>
  <c r="S439" i="1"/>
  <c r="T439" i="1" s="1"/>
  <c r="R437" i="1" l="1"/>
  <c r="S438" i="1"/>
  <c r="T438" i="1" s="1"/>
  <c r="S437" i="1" l="1"/>
  <c r="T437" i="1" s="1"/>
  <c r="R436" i="1"/>
  <c r="R435" i="1" l="1"/>
  <c r="S436" i="1"/>
  <c r="T436" i="1" s="1"/>
  <c r="S435" i="1" l="1"/>
  <c r="T435" i="1" s="1"/>
  <c r="R434" i="1"/>
  <c r="S434" i="1" l="1"/>
  <c r="T434" i="1" s="1"/>
  <c r="R433" i="1"/>
  <c r="R432" i="1" l="1"/>
  <c r="S433" i="1"/>
  <c r="T433" i="1" s="1"/>
  <c r="S432" i="1" l="1"/>
  <c r="T432" i="1" s="1"/>
  <c r="R431" i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S425" i="1" l="1"/>
  <c r="T425" i="1" s="1"/>
  <c r="R424" i="1"/>
  <c r="S424" i="1" l="1"/>
  <c r="T424" i="1" s="1"/>
  <c r="R423" i="1"/>
  <c r="S423" i="1" l="1"/>
  <c r="T423" i="1" s="1"/>
  <c r="R422" i="1"/>
  <c r="S422" i="1" l="1"/>
  <c r="T422" i="1" s="1"/>
  <c r="R421" i="1"/>
  <c r="R420" i="1" l="1"/>
  <c r="S421" i="1"/>
  <c r="T421" i="1" s="1"/>
  <c r="R419" i="1" l="1"/>
  <c r="S420" i="1"/>
  <c r="T420" i="1" s="1"/>
  <c r="S419" i="1" l="1"/>
  <c r="T419" i="1" s="1"/>
  <c r="R418" i="1"/>
  <c r="R417" i="1" l="1"/>
  <c r="S418" i="1"/>
  <c r="T418" i="1" s="1"/>
  <c r="S417" i="1" l="1"/>
  <c r="T417" i="1" s="1"/>
  <c r="R416" i="1"/>
  <c r="S416" i="1" l="1"/>
  <c r="T416" i="1" s="1"/>
  <c r="R415" i="1"/>
  <c r="R414" i="1" l="1"/>
  <c r="S415" i="1"/>
  <c r="T415" i="1" s="1"/>
  <c r="S414" i="1" l="1"/>
  <c r="T414" i="1" s="1"/>
  <c r="R413" i="1"/>
  <c r="S413" i="1" l="1"/>
  <c r="T413" i="1" s="1"/>
  <c r="R412" i="1"/>
  <c r="R411" i="1" l="1"/>
  <c r="S412" i="1"/>
  <c r="T412" i="1" s="1"/>
  <c r="S411" i="1" l="1"/>
  <c r="T411" i="1" s="1"/>
  <c r="R410" i="1"/>
  <c r="R409" i="1" l="1"/>
  <c r="S410" i="1"/>
  <c r="T410" i="1" s="1"/>
  <c r="S409" i="1" l="1"/>
  <c r="T409" i="1" s="1"/>
  <c r="R408" i="1"/>
  <c r="S408" i="1" l="1"/>
  <c r="T408" i="1" s="1"/>
  <c r="R407" i="1"/>
  <c r="S407" i="1" l="1"/>
  <c r="T407" i="1" s="1"/>
  <c r="R406" i="1"/>
  <c r="S406" i="1" l="1"/>
  <c r="T406" i="1" s="1"/>
  <c r="R405" i="1"/>
  <c r="S405" i="1" l="1"/>
  <c r="T405" i="1" s="1"/>
  <c r="R404" i="1"/>
  <c r="S404" i="1" l="1"/>
  <c r="T404" i="1" s="1"/>
  <c r="R403" i="1"/>
  <c r="S403" i="1" l="1"/>
  <c r="T403" i="1" s="1"/>
  <c r="R402" i="1"/>
  <c r="R401" i="1" l="1"/>
  <c r="S402" i="1"/>
  <c r="T402" i="1" s="1"/>
  <c r="S401" i="1" l="1"/>
  <c r="T401" i="1" s="1"/>
  <c r="R400" i="1"/>
  <c r="R399" i="1" l="1"/>
  <c r="S400" i="1"/>
  <c r="T400" i="1" s="1"/>
  <c r="S399" i="1" l="1"/>
  <c r="T399" i="1" s="1"/>
  <c r="R398" i="1"/>
  <c r="S398" i="1" l="1"/>
  <c r="T398" i="1" s="1"/>
  <c r="R397" i="1"/>
  <c r="R396" i="1" l="1"/>
  <c r="S397" i="1"/>
  <c r="T397" i="1" s="1"/>
  <c r="S396" i="1" l="1"/>
  <c r="T396" i="1" s="1"/>
  <c r="R395" i="1"/>
  <c r="S395" i="1" l="1"/>
  <c r="T395" i="1" s="1"/>
  <c r="R394" i="1"/>
  <c r="S394" i="1" l="1"/>
  <c r="T394" i="1" s="1"/>
  <c r="R393" i="1"/>
  <c r="S393" i="1" l="1"/>
  <c r="T393" i="1" s="1"/>
  <c r="R392" i="1"/>
  <c r="R391" i="1" l="1"/>
  <c r="S392" i="1"/>
  <c r="T392" i="1" s="1"/>
  <c r="R390" i="1" l="1"/>
  <c r="S391" i="1"/>
  <c r="T391" i="1" s="1"/>
  <c r="S390" i="1" l="1"/>
  <c r="T390" i="1" s="1"/>
  <c r="R389" i="1"/>
  <c r="S389" i="1" l="1"/>
  <c r="T389" i="1" s="1"/>
  <c r="R388" i="1"/>
  <c r="R387" i="1" l="1"/>
  <c r="S388" i="1"/>
  <c r="T388" i="1" s="1"/>
  <c r="S387" i="1" l="1"/>
  <c r="T387" i="1" s="1"/>
  <c r="R386" i="1"/>
  <c r="R385" i="1" l="1"/>
  <c r="S386" i="1"/>
  <c r="T386" i="1" s="1"/>
  <c r="S385" i="1" l="1"/>
  <c r="T385" i="1" s="1"/>
  <c r="R384" i="1"/>
  <c r="S384" i="1" l="1"/>
  <c r="T384" i="1" s="1"/>
  <c r="R383" i="1"/>
  <c r="S383" i="1" l="1"/>
  <c r="T383" i="1" s="1"/>
  <c r="R382" i="1"/>
  <c r="S382" i="1" l="1"/>
  <c r="T382" i="1" s="1"/>
  <c r="R381" i="1"/>
  <c r="S381" i="1" l="1"/>
  <c r="T381" i="1" s="1"/>
  <c r="R380" i="1"/>
  <c r="S380" i="1" l="1"/>
  <c r="T380" i="1" s="1"/>
  <c r="R379" i="1"/>
  <c r="S379" i="1" l="1"/>
  <c r="T379" i="1" s="1"/>
  <c r="R378" i="1"/>
  <c r="R377" i="1" l="1"/>
  <c r="S378" i="1"/>
  <c r="T378" i="1" s="1"/>
  <c r="R376" i="1" l="1"/>
  <c r="S377" i="1"/>
  <c r="T377" i="1" s="1"/>
  <c r="S376" i="1" l="1"/>
  <c r="T376" i="1" s="1"/>
  <c r="R375" i="1"/>
  <c r="R374" i="1" l="1"/>
  <c r="S375" i="1"/>
  <c r="T375" i="1" s="1"/>
  <c r="S374" i="1" l="1"/>
  <c r="T374" i="1" s="1"/>
  <c r="R373" i="1"/>
  <c r="S373" i="1" l="1"/>
  <c r="T373" i="1" s="1"/>
  <c r="R372" i="1"/>
  <c r="R371" i="1" l="1"/>
  <c r="S372" i="1"/>
  <c r="T372" i="1" s="1"/>
  <c r="S371" i="1" l="1"/>
  <c r="T371" i="1" s="1"/>
  <c r="R370" i="1"/>
  <c r="S370" i="1" l="1"/>
  <c r="T370" i="1" s="1"/>
  <c r="R369" i="1"/>
  <c r="R368" i="1" l="1"/>
  <c r="S369" i="1"/>
  <c r="T369" i="1" s="1"/>
  <c r="S368" i="1" l="1"/>
  <c r="T368" i="1" s="1"/>
  <c r="R367" i="1"/>
  <c r="S367" i="1" l="1"/>
  <c r="T367" i="1" s="1"/>
  <c r="R366" i="1"/>
  <c r="S366" i="1" l="1"/>
  <c r="T366" i="1" s="1"/>
  <c r="R365" i="1"/>
  <c r="S365" i="1" l="1"/>
  <c r="T365" i="1" s="1"/>
  <c r="R364" i="1"/>
  <c r="S364" i="1" l="1"/>
  <c r="T364" i="1" s="1"/>
  <c r="R363" i="1"/>
  <c r="S363" i="1" l="1"/>
  <c r="T363" i="1" s="1"/>
  <c r="R362" i="1"/>
  <c r="R361" i="1" l="1"/>
  <c r="S362" i="1"/>
  <c r="T362" i="1" s="1"/>
  <c r="R360" i="1" l="1"/>
  <c r="S361" i="1"/>
  <c r="T361" i="1" s="1"/>
  <c r="R359" i="1" l="1"/>
  <c r="S360" i="1"/>
  <c r="T360" i="1" s="1"/>
  <c r="S359" i="1" l="1"/>
  <c r="T359" i="1" s="1"/>
  <c r="R358" i="1"/>
  <c r="S358" i="1" l="1"/>
  <c r="T358" i="1" s="1"/>
  <c r="R357" i="1"/>
  <c r="S357" i="1" l="1"/>
  <c r="T357" i="1" s="1"/>
  <c r="R356" i="1"/>
  <c r="R355" i="1" l="1"/>
  <c r="S356" i="1"/>
  <c r="T356" i="1" s="1"/>
  <c r="S355" i="1" l="1"/>
  <c r="T355" i="1" s="1"/>
  <c r="R354" i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S349" i="1" l="1"/>
  <c r="T349" i="1" s="1"/>
  <c r="R348" i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S343" i="1" l="1"/>
  <c r="T343" i="1" s="1"/>
  <c r="R342" i="1"/>
  <c r="S342" i="1" l="1"/>
  <c r="T342" i="1" s="1"/>
  <c r="R341" i="1"/>
  <c r="S341" i="1" l="1"/>
  <c r="T341" i="1" s="1"/>
  <c r="R340" i="1"/>
  <c r="S340" i="1" l="1"/>
  <c r="T340" i="1" s="1"/>
  <c r="R339" i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S335" i="1" l="1"/>
  <c r="T335" i="1" s="1"/>
  <c r="R334" i="1"/>
  <c r="S334" i="1" l="1"/>
  <c r="T334" i="1" s="1"/>
  <c r="R333" i="1"/>
  <c r="S333" i="1" l="1"/>
  <c r="T333" i="1" s="1"/>
  <c r="R332" i="1"/>
  <c r="S332" i="1" l="1"/>
  <c r="T332" i="1" s="1"/>
  <c r="R331" i="1"/>
  <c r="S331" i="1" l="1"/>
  <c r="T331" i="1" s="1"/>
  <c r="R330" i="1"/>
  <c r="S330" i="1" l="1"/>
  <c r="T330" i="1" s="1"/>
  <c r="R329" i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S325" i="1" l="1"/>
  <c r="T325" i="1" s="1"/>
  <c r="R324" i="1"/>
  <c r="S324" i="1" l="1"/>
  <c r="T324" i="1" s="1"/>
  <c r="R323" i="1"/>
  <c r="S323" i="1" l="1"/>
  <c r="T323" i="1" s="1"/>
  <c r="R322" i="1"/>
  <c r="S322" i="1" l="1"/>
  <c r="T322" i="1" s="1"/>
  <c r="R321" i="1"/>
  <c r="R320" i="1" l="1"/>
  <c r="S321" i="1"/>
  <c r="T321" i="1" s="1"/>
  <c r="R319" i="1" l="1"/>
  <c r="S320" i="1"/>
  <c r="T320" i="1" s="1"/>
  <c r="S319" i="1" l="1"/>
  <c r="T319" i="1" s="1"/>
  <c r="R318" i="1"/>
  <c r="R317" i="1" l="1"/>
  <c r="S318" i="1"/>
  <c r="T318" i="1" s="1"/>
  <c r="S317" i="1" l="1"/>
  <c r="T317" i="1" s="1"/>
  <c r="R316" i="1"/>
  <c r="R315" i="1" l="1"/>
  <c r="S316" i="1"/>
  <c r="T316" i="1" s="1"/>
  <c r="R314" i="1" l="1"/>
  <c r="S315" i="1"/>
  <c r="T315" i="1" s="1"/>
  <c r="S314" i="1" l="1"/>
  <c r="T314" i="1" s="1"/>
  <c r="R313" i="1"/>
  <c r="S313" i="1" l="1"/>
  <c r="T313" i="1" s="1"/>
  <c r="R312" i="1"/>
  <c r="S312" i="1" l="1"/>
  <c r="T312" i="1" s="1"/>
  <c r="R311" i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S307" i="1" l="1"/>
  <c r="T307" i="1" s="1"/>
  <c r="R306" i="1"/>
  <c r="S306" i="1" l="1"/>
  <c r="T306" i="1" s="1"/>
  <c r="R305" i="1"/>
  <c r="S305" i="1" l="1"/>
  <c r="T305" i="1" s="1"/>
  <c r="R304" i="1"/>
  <c r="S304" i="1" l="1"/>
  <c r="T304" i="1" s="1"/>
  <c r="R303" i="1"/>
  <c r="R302" i="1" l="1"/>
  <c r="S303" i="1"/>
  <c r="T303" i="1" s="1"/>
  <c r="R301" i="1" l="1"/>
  <c r="S302" i="1"/>
  <c r="T302" i="1" s="1"/>
  <c r="S301" i="1" l="1"/>
  <c r="T301" i="1" s="1"/>
  <c r="R300" i="1"/>
  <c r="S300" i="1" l="1"/>
  <c r="T300" i="1" s="1"/>
  <c r="R299" i="1"/>
  <c r="R298" i="1" l="1"/>
  <c r="S299" i="1"/>
  <c r="T299" i="1" s="1"/>
  <c r="S298" i="1" l="1"/>
  <c r="T298" i="1" s="1"/>
  <c r="R297" i="1"/>
  <c r="S297" i="1" l="1"/>
  <c r="T297" i="1" s="1"/>
  <c r="R296" i="1"/>
  <c r="R295" i="1" l="1"/>
  <c r="S296" i="1"/>
  <c r="T296" i="1" s="1"/>
  <c r="S295" i="1" l="1"/>
  <c r="T295" i="1" s="1"/>
  <c r="R294" i="1"/>
  <c r="R293" i="1" l="1"/>
  <c r="S294" i="1"/>
  <c r="T294" i="1" s="1"/>
  <c r="R292" i="1" l="1"/>
  <c r="S293" i="1"/>
  <c r="T293" i="1" s="1"/>
  <c r="S292" i="1" l="1"/>
  <c r="T292" i="1" s="1"/>
  <c r="R291" i="1"/>
  <c r="R290" i="1" l="1"/>
  <c r="S291" i="1"/>
  <c r="T291" i="1" s="1"/>
  <c r="S290" i="1" l="1"/>
  <c r="T290" i="1" s="1"/>
  <c r="R289" i="1"/>
  <c r="R288" i="1" l="1"/>
  <c r="S289" i="1"/>
  <c r="T289" i="1" s="1"/>
  <c r="R287" i="1" l="1"/>
  <c r="S288" i="1"/>
  <c r="T288" i="1" s="1"/>
  <c r="S287" i="1" l="1"/>
  <c r="T287" i="1" s="1"/>
  <c r="R286" i="1"/>
  <c r="S286" i="1" l="1"/>
  <c r="T286" i="1" s="1"/>
  <c r="R285" i="1"/>
  <c r="S285" i="1" l="1"/>
  <c r="T285" i="1" s="1"/>
  <c r="R284" i="1"/>
  <c r="R283" i="1" l="1"/>
  <c r="S284" i="1"/>
  <c r="T284" i="1" s="1"/>
  <c r="R282" i="1" l="1"/>
  <c r="S283" i="1"/>
  <c r="T283" i="1" s="1"/>
  <c r="R281" i="1" l="1"/>
  <c r="S282" i="1"/>
  <c r="T282" i="1" s="1"/>
  <c r="S281" i="1" l="1"/>
  <c r="T281" i="1" s="1"/>
  <c r="R280" i="1"/>
  <c r="R279" i="1" l="1"/>
  <c r="S280" i="1"/>
  <c r="T280" i="1" s="1"/>
  <c r="S279" i="1" l="1"/>
  <c r="T279" i="1" s="1"/>
  <c r="R278" i="1"/>
  <c r="S278" i="1" l="1"/>
  <c r="T278" i="1" s="1"/>
  <c r="R277" i="1"/>
  <c r="R276" i="1" l="1"/>
  <c r="S277" i="1"/>
  <c r="T277" i="1" s="1"/>
  <c r="S276" i="1" l="1"/>
  <c r="T276" i="1" s="1"/>
  <c r="R275" i="1"/>
  <c r="S275" i="1" l="1"/>
  <c r="T275" i="1" s="1"/>
  <c r="R274" i="1"/>
  <c r="S274" i="1" l="1"/>
  <c r="T274" i="1" s="1"/>
  <c r="R273" i="1"/>
  <c r="S273" i="1" l="1"/>
  <c r="T273" i="1" s="1"/>
  <c r="R272" i="1"/>
  <c r="S272" i="1" l="1"/>
  <c r="T272" i="1" s="1"/>
  <c r="R271" i="1"/>
  <c r="R270" i="1" l="1"/>
  <c r="S271" i="1"/>
  <c r="T271" i="1" s="1"/>
  <c r="S270" i="1" l="1"/>
  <c r="T270" i="1" s="1"/>
  <c r="R269" i="1"/>
  <c r="R268" i="1" l="1"/>
  <c r="S269" i="1"/>
  <c r="T269" i="1" s="1"/>
  <c r="R267" i="1" l="1"/>
  <c r="S268" i="1"/>
  <c r="T268" i="1" s="1"/>
  <c r="S267" i="1" l="1"/>
  <c r="T267" i="1" s="1"/>
  <c r="R266" i="1"/>
  <c r="R265" i="1" l="1"/>
  <c r="S266" i="1"/>
  <c r="T266" i="1" s="1"/>
  <c r="R264" i="1" l="1"/>
  <c r="S265" i="1"/>
  <c r="T265" i="1" s="1"/>
  <c r="S264" i="1" l="1"/>
  <c r="T264" i="1" s="1"/>
  <c r="R263" i="1"/>
  <c r="R262" i="1" l="1"/>
  <c r="S263" i="1"/>
  <c r="T263" i="1" s="1"/>
  <c r="S262" i="1" l="1"/>
  <c r="T262" i="1" s="1"/>
  <c r="R261" i="1"/>
  <c r="R260" i="1" l="1"/>
  <c r="S261" i="1"/>
  <c r="T261" i="1" s="1"/>
  <c r="R259" i="1" l="1"/>
  <c r="S260" i="1"/>
  <c r="T260" i="1" s="1"/>
  <c r="S259" i="1" l="1"/>
  <c r="T259" i="1" s="1"/>
  <c r="R258" i="1"/>
  <c r="S258" i="1" l="1"/>
  <c r="T258" i="1" s="1"/>
  <c r="R257" i="1"/>
  <c r="S257" i="1" l="1"/>
  <c r="T257" i="1" s="1"/>
  <c r="R256" i="1"/>
  <c r="R255" i="1" l="1"/>
  <c r="S256" i="1"/>
  <c r="T256" i="1" s="1"/>
  <c r="S255" i="1" l="1"/>
  <c r="T255" i="1" s="1"/>
  <c r="R254" i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S250" i="1" l="1"/>
  <c r="T250" i="1" s="1"/>
  <c r="R249" i="1"/>
  <c r="S249" i="1" l="1"/>
  <c r="T249" i="1" s="1"/>
  <c r="R248" i="1"/>
  <c r="R247" i="1" l="1"/>
  <c r="S248" i="1"/>
  <c r="T248" i="1" s="1"/>
  <c r="R246" i="1" l="1"/>
  <c r="S247" i="1"/>
  <c r="T247" i="1" s="1"/>
  <c r="S246" i="1" l="1"/>
  <c r="T246" i="1" s="1"/>
  <c r="R245" i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S241" i="1" l="1"/>
  <c r="T241" i="1" s="1"/>
  <c r="R240" i="1"/>
  <c r="R239" i="1" l="1"/>
  <c r="S240" i="1"/>
  <c r="T240" i="1" s="1"/>
  <c r="R238" i="1" l="1"/>
  <c r="S239" i="1"/>
  <c r="T239" i="1" s="1"/>
  <c r="S238" i="1" l="1"/>
  <c r="T238" i="1" s="1"/>
  <c r="R237" i="1"/>
  <c r="R236" i="1" l="1"/>
  <c r="S237" i="1"/>
  <c r="T237" i="1" s="1"/>
  <c r="S236" i="1" l="1"/>
  <c r="T236" i="1" s="1"/>
  <c r="R235" i="1"/>
  <c r="S235" i="1" l="1"/>
  <c r="T235" i="1" s="1"/>
  <c r="R234" i="1"/>
  <c r="R233" i="1" l="1"/>
  <c r="S234" i="1"/>
  <c r="T234" i="1" s="1"/>
  <c r="S233" i="1" l="1"/>
  <c r="T233" i="1" s="1"/>
  <c r="R232" i="1"/>
  <c r="R231" i="1" l="1"/>
  <c r="S232" i="1"/>
  <c r="T232" i="1" s="1"/>
  <c r="R230" i="1" l="1"/>
  <c r="S231" i="1"/>
  <c r="T231" i="1" s="1"/>
  <c r="S230" i="1" l="1"/>
  <c r="T230" i="1" s="1"/>
  <c r="R229" i="1"/>
  <c r="R228" i="1" l="1"/>
  <c r="S229" i="1"/>
  <c r="T229" i="1" s="1"/>
  <c r="R227" i="1" l="1"/>
  <c r="S228" i="1"/>
  <c r="T228" i="1" s="1"/>
  <c r="S227" i="1" l="1"/>
  <c r="T227" i="1" s="1"/>
  <c r="R226" i="1"/>
  <c r="R225" i="1" l="1"/>
  <c r="S226" i="1"/>
  <c r="T226" i="1" s="1"/>
  <c r="S225" i="1" l="1"/>
  <c r="T225" i="1" s="1"/>
  <c r="R224" i="1"/>
  <c r="S224" i="1" l="1"/>
  <c r="T224" i="1" s="1"/>
  <c r="R223" i="1"/>
  <c r="S223" i="1" l="1"/>
  <c r="T223" i="1" s="1"/>
  <c r="R222" i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S218" i="1" l="1"/>
  <c r="T218" i="1" s="1"/>
  <c r="R217" i="1"/>
  <c r="S217" i="1" l="1"/>
  <c r="T217" i="1" s="1"/>
  <c r="R216" i="1"/>
  <c r="S216" i="1" l="1"/>
  <c r="T216" i="1" s="1"/>
  <c r="R215" i="1"/>
  <c r="S215" i="1" l="1"/>
  <c r="T215" i="1" s="1"/>
  <c r="R214" i="1"/>
  <c r="R213" i="1" l="1"/>
  <c r="S214" i="1"/>
  <c r="T214" i="1" s="1"/>
  <c r="R212" i="1" l="1"/>
  <c r="S213" i="1"/>
  <c r="T213" i="1" s="1"/>
  <c r="S212" i="1" l="1"/>
  <c r="T212" i="1" s="1"/>
  <c r="R211" i="1"/>
  <c r="R210" i="1" l="1"/>
  <c r="S211" i="1"/>
  <c r="T211" i="1" s="1"/>
  <c r="S210" i="1" l="1"/>
  <c r="T210" i="1" s="1"/>
  <c r="R209" i="1"/>
  <c r="S209" i="1" l="1"/>
  <c r="T209" i="1" s="1"/>
  <c r="R208" i="1"/>
  <c r="S208" i="1" l="1"/>
  <c r="T208" i="1" s="1"/>
  <c r="R207" i="1"/>
  <c r="S207" i="1" l="1"/>
  <c r="T207" i="1" s="1"/>
  <c r="R206" i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S202" i="1" l="1"/>
  <c r="T202" i="1" s="1"/>
  <c r="R201" i="1"/>
  <c r="S201" i="1" l="1"/>
  <c r="T201" i="1" s="1"/>
  <c r="R200" i="1"/>
  <c r="R199" i="1" l="1"/>
  <c r="S200" i="1"/>
  <c r="T200" i="1" s="1"/>
  <c r="S199" i="1" l="1"/>
  <c r="T199" i="1" s="1"/>
  <c r="R198" i="1"/>
  <c r="S198" i="1" l="1"/>
  <c r="T198" i="1" s="1"/>
  <c r="R197" i="1"/>
  <c r="R196" i="1" l="1"/>
  <c r="S197" i="1"/>
  <c r="T197" i="1" s="1"/>
  <c r="S196" i="1" l="1"/>
  <c r="T196" i="1" s="1"/>
  <c r="R195" i="1"/>
  <c r="R194" i="1" l="1"/>
  <c r="S195" i="1"/>
  <c r="T195" i="1" s="1"/>
  <c r="R193" i="1" l="1"/>
  <c r="S194" i="1"/>
  <c r="T194" i="1" s="1"/>
  <c r="S193" i="1" l="1"/>
  <c r="T193" i="1" s="1"/>
  <c r="R192" i="1"/>
  <c r="R191" i="1" l="1"/>
  <c r="S192" i="1"/>
  <c r="T192" i="1" s="1"/>
  <c r="S191" i="1" l="1"/>
  <c r="T191" i="1" s="1"/>
  <c r="R190" i="1"/>
  <c r="S190" i="1" l="1"/>
  <c r="T190" i="1" s="1"/>
  <c r="R189" i="1"/>
  <c r="S189" i="1" l="1"/>
  <c r="T189" i="1" s="1"/>
  <c r="R188" i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S184" i="1" l="1"/>
  <c r="T184" i="1" s="1"/>
  <c r="R183" i="1"/>
  <c r="S183" i="1" l="1"/>
  <c r="T183" i="1" s="1"/>
  <c r="R182" i="1"/>
  <c r="S182" i="1" l="1"/>
  <c r="T182" i="1" s="1"/>
  <c r="R181" i="1"/>
  <c r="S181" i="1" l="1"/>
  <c r="T181" i="1" s="1"/>
  <c r="R180" i="1"/>
  <c r="R179" i="1" l="1"/>
  <c r="S180" i="1"/>
  <c r="T180" i="1" s="1"/>
  <c r="R178" i="1" l="1"/>
  <c r="S179" i="1"/>
  <c r="T179" i="1" s="1"/>
  <c r="S178" i="1" l="1"/>
  <c r="T178" i="1" s="1"/>
  <c r="R177" i="1"/>
  <c r="S177" i="1" l="1"/>
  <c r="T177" i="1" s="1"/>
  <c r="R176" i="1"/>
  <c r="S176" i="1" l="1"/>
  <c r="T176" i="1" s="1"/>
  <c r="R175" i="1"/>
  <c r="S175" i="1" l="1"/>
  <c r="T175" i="1" s="1"/>
  <c r="R174" i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S170" i="1" l="1"/>
  <c r="T170" i="1" s="1"/>
  <c r="R169" i="1"/>
  <c r="S169" i="1" l="1"/>
  <c r="T169" i="1" s="1"/>
  <c r="R168" i="1"/>
  <c r="S168" i="1" l="1"/>
  <c r="T168" i="1" s="1"/>
  <c r="R167" i="1"/>
  <c r="S167" i="1" l="1"/>
  <c r="T167" i="1" s="1"/>
  <c r="R166" i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S162" i="1" l="1"/>
  <c r="T162" i="1" s="1"/>
  <c r="R161" i="1"/>
  <c r="S161" i="1" l="1"/>
  <c r="T161" i="1" s="1"/>
  <c r="R160" i="1"/>
  <c r="S160" i="1" l="1"/>
  <c r="T160" i="1" s="1"/>
  <c r="R159" i="1"/>
  <c r="S159" i="1" l="1"/>
  <c r="T159" i="1" s="1"/>
  <c r="R158" i="1"/>
  <c r="S158" i="1" l="1"/>
  <c r="T158" i="1" s="1"/>
  <c r="R157" i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S153" i="1" l="1"/>
  <c r="T153" i="1" s="1"/>
  <c r="R152" i="1"/>
  <c r="S152" i="1" l="1"/>
  <c r="T152" i="1" s="1"/>
  <c r="R151" i="1"/>
  <c r="S151" i="1" l="1"/>
  <c r="T151" i="1" s="1"/>
  <c r="R150" i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S137" i="1" l="1"/>
  <c r="T137" i="1" s="1"/>
  <c r="R136" i="1"/>
  <c r="R135" i="1" l="1"/>
  <c r="S136" i="1"/>
  <c r="T136" i="1" s="1"/>
  <c r="R134" i="1" l="1"/>
  <c r="S135" i="1"/>
  <c r="T135" i="1" s="1"/>
  <c r="S134" i="1" l="1"/>
  <c r="T134" i="1" s="1"/>
  <c r="R133" i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S129" i="1" l="1"/>
  <c r="T129" i="1" s="1"/>
  <c r="R128" i="1"/>
  <c r="S128" i="1" l="1"/>
  <c r="T128" i="1" s="1"/>
  <c r="R127" i="1"/>
  <c r="R126" i="1" l="1"/>
  <c r="S127" i="1"/>
  <c r="T127" i="1" s="1"/>
  <c r="S126" i="1" l="1"/>
  <c r="T126" i="1" s="1"/>
  <c r="R125" i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S120" i="1" l="1"/>
  <c r="T120" i="1" s="1"/>
  <c r="R119" i="1"/>
  <c r="S119" i="1" l="1"/>
  <c r="T119" i="1" s="1"/>
  <c r="R118" i="1"/>
  <c r="S118" i="1" l="1"/>
  <c r="T118" i="1" s="1"/>
  <c r="R117" i="1"/>
  <c r="S117" i="1" l="1"/>
  <c r="T117" i="1" s="1"/>
  <c r="R116" i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S112" i="1" l="1"/>
  <c r="T112" i="1" s="1"/>
  <c r="R111" i="1"/>
  <c r="S111" i="1" l="1"/>
  <c r="T111" i="1" s="1"/>
  <c r="R110" i="1"/>
  <c r="S110" i="1" l="1"/>
  <c r="T110" i="1" s="1"/>
  <c r="R109" i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S102" i="1" l="1"/>
  <c r="T102" i="1" s="1"/>
  <c r="R101" i="1"/>
  <c r="S101" i="1" l="1"/>
  <c r="T101" i="1" s="1"/>
  <c r="R100" i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S94" i="1" l="1"/>
  <c r="T94" i="1" s="1"/>
  <c r="R93" i="1"/>
  <c r="S93" i="1" l="1"/>
  <c r="T93" i="1" s="1"/>
  <c r="R92" i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S87" i="1" l="1"/>
  <c r="T87" i="1" s="1"/>
  <c r="R86" i="1"/>
  <c r="S86" i="1" l="1"/>
  <c r="T86" i="1" s="1"/>
  <c r="R85" i="1"/>
  <c r="S85" i="1" l="1"/>
  <c r="T85" i="1" s="1"/>
  <c r="R84" i="1"/>
  <c r="S84" i="1" l="1"/>
  <c r="T84" i="1" s="1"/>
  <c r="R83" i="1"/>
  <c r="R82" i="1" l="1"/>
  <c r="S83" i="1"/>
  <c r="T83" i="1" s="1"/>
  <c r="R81" i="1" l="1"/>
  <c r="S82" i="1"/>
  <c r="T82" i="1" s="1"/>
  <c r="S81" i="1" l="1"/>
  <c r="T81" i="1" s="1"/>
  <c r="R80" i="1"/>
  <c r="R79" i="1" l="1"/>
  <c r="S80" i="1"/>
  <c r="T80" i="1" s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S73" i="1" l="1"/>
  <c r="T73" i="1" s="1"/>
  <c r="R72" i="1"/>
  <c r="S72" i="1" l="1"/>
  <c r="T72" i="1" s="1"/>
  <c r="R71" i="1"/>
  <c r="S71" i="1" l="1"/>
  <c r="T71" i="1" s="1"/>
  <c r="R70" i="1"/>
  <c r="S70" i="1" l="1"/>
  <c r="T70" i="1" s="1"/>
  <c r="R69" i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S57" i="1" l="1"/>
  <c r="T57" i="1" s="1"/>
  <c r="R56" i="1"/>
  <c r="S56" i="1" l="1"/>
  <c r="T56" i="1" s="1"/>
  <c r="R55" i="1"/>
  <c r="S55" i="1" l="1"/>
  <c r="T55" i="1" s="1"/>
  <c r="R54" i="1"/>
  <c r="S54" i="1" l="1"/>
  <c r="T54" i="1" s="1"/>
  <c r="R53" i="1"/>
  <c r="S53" i="1" l="1"/>
  <c r="T53" i="1" s="1"/>
  <c r="R52" i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R43" i="1" l="1"/>
  <c r="S44" i="1"/>
  <c r="T44" i="1" s="1"/>
  <c r="S43" i="1" l="1"/>
  <c r="T43" i="1" s="1"/>
  <c r="R42" i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R37" i="1" l="1"/>
  <c r="S38" i="1"/>
  <c r="T38" i="1" s="1"/>
  <c r="S37" i="1" l="1"/>
  <c r="T37" i="1" s="1"/>
  <c r="R36" i="1"/>
  <c r="R35" i="1" l="1"/>
  <c r="S36" i="1"/>
  <c r="T36" i="1" s="1"/>
  <c r="R34" i="1" l="1"/>
  <c r="S35" i="1"/>
  <c r="T35" i="1" s="1"/>
  <c r="S34" i="1" l="1"/>
  <c r="T34" i="1" s="1"/>
  <c r="R33" i="1"/>
  <c r="R32" i="1" l="1"/>
  <c r="S33" i="1"/>
  <c r="T33" i="1" s="1"/>
  <c r="S32" i="1" l="1"/>
  <c r="T32" i="1" s="1"/>
  <c r="R31" i="1"/>
  <c r="R30" i="1" l="1"/>
  <c r="S31" i="1"/>
  <c r="T31" i="1" s="1"/>
  <c r="R29" i="1" l="1"/>
  <c r="S30" i="1"/>
  <c r="T30" i="1" s="1"/>
  <c r="S29" i="1" l="1"/>
  <c r="T29" i="1" s="1"/>
  <c r="R28" i="1"/>
  <c r="S28" i="1" l="1"/>
  <c r="T28" i="1" s="1"/>
  <c r="R27" i="1"/>
  <c r="R26" i="1" l="1"/>
  <c r="S27" i="1"/>
  <c r="T27" i="1" s="1"/>
  <c r="S26" i="1" l="1"/>
  <c r="T26" i="1" s="1"/>
  <c r="R25" i="1"/>
  <c r="S25" i="1" l="1"/>
  <c r="T25" i="1" s="1"/>
  <c r="R24" i="1"/>
  <c r="R23" i="1" l="1"/>
  <c r="S24" i="1"/>
  <c r="T24" i="1" s="1"/>
  <c r="S23" i="1" l="1"/>
  <c r="T23" i="1" s="1"/>
  <c r="R22" i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<sst xmlns="http://schemas.openxmlformats.org/spreadsheetml/2006/main" count="7572" uniqueCount="35">
  <si>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</si>
  <si>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</si>
  <si>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</si>
  <si>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</si>
  <si>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</si>
  <si>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</si>
  <si>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</si>
  <si>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</si>
  <si>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</si>
  <si>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</si>
  <si>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</si>
  <si>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</si>
  <si>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</si>
  <si>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</si>
  <si>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</si>
  <si>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</si>
  <si>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</si>
  <si>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</si>
  <si>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</si>
  <si>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</si>
  <si>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</si>
  <si>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</si>
  <si>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</si>
  <si>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</si>
  <si>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</si>
  <si>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</si>
  <si>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</si>
  <si>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</si>
  <si>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</si>
  <si>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</si>
  <si>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</si>
  <si>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</si>
  <si>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</si>
  <si>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</si>
  <si>
    <t>DATAUSD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</si>
</sst>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7.0279999999999995E-2</c:v>
                </c:pt>
                <c:pt idx="1">
                  <c:v>7.1639999999999995E-2</c:v>
                </c:pt>
                <c:pt idx="2">
                  <c:v>7.0529999999999995E-2</c:v>
                </c:pt>
                <c:pt idx="3">
                  <c:v>7.077E-2</c:v>
                </c:pt>
                <c:pt idx="4">
                  <c:v>7.7340000000000006E-2</c:v>
                </c:pt>
                <c:pt idx="5">
                  <c:v>7.0910000000000001E-2</c:v>
                </c:pt>
                <c:pt idx="6">
                  <c:v>7.9250000000000001E-2</c:v>
                </c:pt>
                <c:pt idx="7">
                  <c:v>9.2090000000000005E-2</c:v>
                </c:pt>
                <c:pt idx="8">
                  <c:v>9.5579999999999998E-2</c:v>
                </c:pt>
                <c:pt idx="9">
                  <c:v>9.7309999999999994E-2</c:v>
                </c:pt>
                <c:pt idx="10">
                  <c:v>9.8720000000000002E-2</c:v>
                </c:pt>
                <c:pt idx="11">
                  <c:v>0.10208</c:v>
                </c:pt>
                <c:pt idx="12">
                  <c:v>0.10349</c:v>
                </c:pt>
                <c:pt idx="13">
                  <c:v>0.10148</c:v>
                </c:pt>
                <c:pt idx="14">
                  <c:v>9.8379999999999995E-2</c:v>
                </c:pt>
                <c:pt idx="15">
                  <c:v>0.10403</c:v>
                </c:pt>
                <c:pt idx="16">
                  <c:v>9.7420000000000007E-2</c:v>
                </c:pt>
                <c:pt idx="17">
                  <c:v>9.3280000000000002E-2</c:v>
                </c:pt>
                <c:pt idx="18">
                  <c:v>9.9890000000000007E-2</c:v>
                </c:pt>
                <c:pt idx="19">
                  <c:v>9.443E-2</c:v>
                </c:pt>
                <c:pt idx="20">
                  <c:v>9.8129999999999995E-2</c:v>
                </c:pt>
                <c:pt idx="21">
                  <c:v>0.10666</c:v>
                </c:pt>
                <c:pt idx="22">
                  <c:v>0.10749</c:v>
                </c:pt>
                <c:pt idx="23">
                  <c:v>0.11947000000000001</c:v>
                </c:pt>
                <c:pt idx="24">
                  <c:v>0.12024</c:v>
                </c:pt>
                <c:pt idx="25">
                  <c:v>0.12003999999999999</c:v>
                </c:pt>
                <c:pt idx="26">
                  <c:v>0.11885999999999999</c:v>
                </c:pt>
                <c:pt idx="27">
                  <c:v>0.11598</c:v>
                </c:pt>
                <c:pt idx="28">
                  <c:v>0.12024</c:v>
                </c:pt>
                <c:pt idx="29">
                  <c:v>0.12236</c:v>
                </c:pt>
                <c:pt idx="30">
                  <c:v>0.12180000000000001</c:v>
                </c:pt>
                <c:pt idx="31">
                  <c:v>0.1305</c:v>
                </c:pt>
                <c:pt idx="32">
                  <c:v>0.12601999999999999</c:v>
                </c:pt>
                <c:pt idx="33">
                  <c:v>0.12263</c:v>
                </c:pt>
                <c:pt idx="34">
                  <c:v>0.12307</c:v>
                </c:pt>
                <c:pt idx="35">
                  <c:v>0.12598999999999999</c:v>
                </c:pt>
                <c:pt idx="36">
                  <c:v>0.12395</c:v>
                </c:pt>
                <c:pt idx="37">
                  <c:v>0.11921</c:v>
                </c:pt>
                <c:pt idx="38">
                  <c:v>0.11475</c:v>
                </c:pt>
                <c:pt idx="39">
                  <c:v>0.11382</c:v>
                </c:pt>
                <c:pt idx="40">
                  <c:v>0.11858</c:v>
                </c:pt>
                <c:pt idx="41">
                  <c:v>0.11423999999999999</c:v>
                </c:pt>
                <c:pt idx="42">
                  <c:v>0.11563</c:v>
                </c:pt>
                <c:pt idx="43">
                  <c:v>0.12013</c:v>
                </c:pt>
                <c:pt idx="44">
                  <c:v>0.1123</c:v>
                </c:pt>
                <c:pt idx="45">
                  <c:v>0.11105</c:v>
                </c:pt>
                <c:pt idx="46">
                  <c:v>0.12542</c:v>
                </c:pt>
                <c:pt idx="47">
                  <c:v>0.11874</c:v>
                </c:pt>
                <c:pt idx="48">
                  <c:v>0.11731999999999999</c:v>
                </c:pt>
                <c:pt idx="49">
                  <c:v>0.12906000000000001</c:v>
                </c:pt>
                <c:pt idx="50">
                  <c:v>0.13907</c:v>
                </c:pt>
                <c:pt idx="51">
                  <c:v>0.13477</c:v>
                </c:pt>
                <c:pt idx="52">
                  <c:v>0.14138000000000001</c:v>
                </c:pt>
                <c:pt idx="53">
                  <c:v>0.13996</c:v>
                </c:pt>
                <c:pt idx="54">
                  <c:v>0.14438000000000001</c:v>
                </c:pt>
                <c:pt idx="55">
                  <c:v>0.16213</c:v>
                </c:pt>
                <c:pt idx="56">
                  <c:v>0.18362999999999999</c:v>
                </c:pt>
                <c:pt idx="57">
                  <c:v>0.15143000000000001</c:v>
                </c:pt>
                <c:pt idx="58">
                  <c:v>0.15010000000000001</c:v>
                </c:pt>
                <c:pt idx="59">
                  <c:v>0.151</c:v>
                </c:pt>
                <c:pt idx="60">
                  <c:v>0.14777999999999999</c:v>
                </c:pt>
                <c:pt idx="61">
                  <c:v>0.15534000000000001</c:v>
                </c:pt>
                <c:pt idx="62">
                  <c:v>0.13316</c:v>
                </c:pt>
                <c:pt idx="63">
                  <c:v>0.15043000000000001</c:v>
                </c:pt>
                <c:pt idx="64">
                  <c:v>0.13386999999999999</c:v>
                </c:pt>
                <c:pt idx="65">
                  <c:v>0.1368</c:v>
                </c:pt>
                <c:pt idx="66">
                  <c:v>0.13539000000000001</c:v>
                </c:pt>
                <c:pt idx="67">
                  <c:v>0.14126</c:v>
                </c:pt>
                <c:pt idx="68">
                  <c:v>0.15695999999999999</c:v>
                </c:pt>
                <c:pt idx="69">
                  <c:v>0.13758000000000001</c:v>
                </c:pt>
                <c:pt idx="70">
                  <c:v>0.12712000000000001</c:v>
                </c:pt>
                <c:pt idx="71">
                  <c:v>0.13603000000000001</c:v>
                </c:pt>
                <c:pt idx="72">
                  <c:v>0.13222</c:v>
                </c:pt>
                <c:pt idx="73">
                  <c:v>0.14324000000000001</c:v>
                </c:pt>
                <c:pt idx="74">
                  <c:v>0.14777000000000001</c:v>
                </c:pt>
                <c:pt idx="75">
                  <c:v>0.14183000000000001</c:v>
                </c:pt>
                <c:pt idx="76">
                  <c:v>0.13980000000000001</c:v>
                </c:pt>
                <c:pt idx="77">
                  <c:v>0.14374999999999999</c:v>
                </c:pt>
                <c:pt idx="78">
                  <c:v>0.13902999999999999</c:v>
                </c:pt>
                <c:pt idx="79">
                  <c:v>0.14827000000000001</c:v>
                </c:pt>
                <c:pt idx="80">
                  <c:v>0.14921999999999999</c:v>
                </c:pt>
                <c:pt idx="81">
                  <c:v>0.14610000000000001</c:v>
                </c:pt>
                <c:pt idx="82">
                  <c:v>0.14255999999999999</c:v>
                </c:pt>
                <c:pt idx="83">
                  <c:v>0.1389</c:v>
                </c:pt>
                <c:pt idx="84">
                  <c:v>0.14374000000000001</c:v>
                </c:pt>
                <c:pt idx="85">
                  <c:v>0.15373000000000001</c:v>
                </c:pt>
                <c:pt idx="86">
                  <c:v>0.14218</c:v>
                </c:pt>
                <c:pt idx="87">
                  <c:v>0.14161000000000001</c:v>
                </c:pt>
                <c:pt idx="88">
                  <c:v>0.13791</c:v>
                </c:pt>
                <c:pt idx="89">
                  <c:v>0.13466</c:v>
                </c:pt>
                <c:pt idx="90">
                  <c:v>0.13752</c:v>
                </c:pt>
                <c:pt idx="91">
                  <c:v>0.12823999999999999</c:v>
                </c:pt>
                <c:pt idx="92">
                  <c:v>0.12434000000000001</c:v>
                </c:pt>
                <c:pt idx="93">
                  <c:v>0.14198</c:v>
                </c:pt>
                <c:pt idx="94">
                  <c:v>0.14054</c:v>
                </c:pt>
                <c:pt idx="95">
                  <c:v>0.13893</c:v>
                </c:pt>
                <c:pt idx="96">
                  <c:v>0.14629</c:v>
                </c:pt>
                <c:pt idx="97">
                  <c:v>0.14534</c:v>
                </c:pt>
                <c:pt idx="98">
                  <c:v>0.14804</c:v>
                </c:pt>
                <c:pt idx="99">
                  <c:v>0.15021999999999999</c:v>
                </c:pt>
                <c:pt idx="100">
                  <c:v>0.14405000000000001</c:v>
                </c:pt>
                <c:pt idx="101">
                  <c:v>0.14771000000000001</c:v>
                </c:pt>
                <c:pt idx="102">
                  <c:v>0.15104000000000001</c:v>
                </c:pt>
                <c:pt idx="103">
                  <c:v>0.14530000000000001</c:v>
                </c:pt>
                <c:pt idx="104">
                  <c:v>0.14743000000000001</c:v>
                </c:pt>
                <c:pt idx="105">
                  <c:v>0.14379</c:v>
                </c:pt>
                <c:pt idx="106">
                  <c:v>0.14408000000000001</c:v>
                </c:pt>
                <c:pt idx="107">
                  <c:v>0.14174</c:v>
                </c:pt>
                <c:pt idx="108">
                  <c:v>0.14349000000000001</c:v>
                </c:pt>
                <c:pt idx="109">
                  <c:v>0.15534000000000001</c:v>
                </c:pt>
                <c:pt idx="110">
                  <c:v>0.16561000000000001</c:v>
                </c:pt>
                <c:pt idx="111">
                  <c:v>0.12132999999999999</c:v>
                </c:pt>
                <c:pt idx="112">
                  <c:v>0.12195</c:v>
                </c:pt>
                <c:pt idx="113">
                  <c:v>0.11692</c:v>
                </c:pt>
                <c:pt idx="114">
                  <c:v>0.11799999999999999</c:v>
                </c:pt>
                <c:pt idx="115">
                  <c:v>0.1164</c:v>
                </c:pt>
                <c:pt idx="116">
                  <c:v>0.12169000000000001</c:v>
                </c:pt>
                <c:pt idx="117">
                  <c:v>0.11960999999999999</c:v>
                </c:pt>
                <c:pt idx="118">
                  <c:v>0.12085</c:v>
                </c:pt>
                <c:pt idx="119">
                  <c:v>0.11384</c:v>
                </c:pt>
                <c:pt idx="120">
                  <c:v>0.10989</c:v>
                </c:pt>
                <c:pt idx="121">
                  <c:v>0.11244999999999999</c:v>
                </c:pt>
                <c:pt idx="122">
                  <c:v>0.11366999999999999</c:v>
                </c:pt>
                <c:pt idx="123">
                  <c:v>0.11448</c:v>
                </c:pt>
                <c:pt idx="124">
                  <c:v>0.11489000000000001</c:v>
                </c:pt>
                <c:pt idx="125">
                  <c:v>0.11829000000000001</c:v>
                </c:pt>
                <c:pt idx="126">
                  <c:v>0.12684999999999999</c:v>
                </c:pt>
                <c:pt idx="127">
                  <c:v>0.12241</c:v>
                </c:pt>
                <c:pt idx="128">
                  <c:v>0.10768</c:v>
                </c:pt>
                <c:pt idx="129">
                  <c:v>0.12262000000000001</c:v>
                </c:pt>
                <c:pt idx="130">
                  <c:v>0.13522000000000001</c:v>
                </c:pt>
                <c:pt idx="131">
                  <c:v>0.13220000000000001</c:v>
                </c:pt>
                <c:pt idx="132">
                  <c:v>0.13238</c:v>
                </c:pt>
                <c:pt idx="133">
                  <c:v>0.12928000000000001</c:v>
                </c:pt>
                <c:pt idx="134">
                  <c:v>0.12736</c:v>
                </c:pt>
                <c:pt idx="135">
                  <c:v>0.12297</c:v>
                </c:pt>
                <c:pt idx="136">
                  <c:v>0.12033000000000001</c:v>
                </c:pt>
                <c:pt idx="137">
                  <c:v>0.12703999999999999</c:v>
                </c:pt>
                <c:pt idx="138">
                  <c:v>0.12292</c:v>
                </c:pt>
                <c:pt idx="139">
                  <c:v>0.12224</c:v>
                </c:pt>
                <c:pt idx="140">
                  <c:v>0.12831000000000001</c:v>
                </c:pt>
                <c:pt idx="141">
                  <c:v>0.12479999999999999</c:v>
                </c:pt>
                <c:pt idx="142">
                  <c:v>0.12717000000000001</c:v>
                </c:pt>
                <c:pt idx="143">
                  <c:v>0.16241</c:v>
                </c:pt>
                <c:pt idx="144">
                  <c:v>0.15598000000000001</c:v>
                </c:pt>
                <c:pt idx="145">
                  <c:v>0.15340999999999999</c:v>
                </c:pt>
                <c:pt idx="146">
                  <c:v>0.14718999999999999</c:v>
                </c:pt>
                <c:pt idx="147">
                  <c:v>0.14566999999999999</c:v>
                </c:pt>
                <c:pt idx="148">
                  <c:v>0.15040999999999999</c:v>
                </c:pt>
                <c:pt idx="149">
                  <c:v>0.14674000000000001</c:v>
                </c:pt>
                <c:pt idx="150">
                  <c:v>0.14990000000000001</c:v>
                </c:pt>
                <c:pt idx="151">
                  <c:v>0.16142999999999999</c:v>
                </c:pt>
                <c:pt idx="152">
                  <c:v>0.15619</c:v>
                </c:pt>
                <c:pt idx="153">
                  <c:v>0.16214000000000001</c:v>
                </c:pt>
                <c:pt idx="154">
                  <c:v>0.14863000000000001</c:v>
                </c:pt>
                <c:pt idx="155">
                  <c:v>0.16544</c:v>
                </c:pt>
                <c:pt idx="156">
                  <c:v>0.1595</c:v>
                </c:pt>
                <c:pt idx="157">
                  <c:v>0.17119999999999999</c:v>
                </c:pt>
                <c:pt idx="158">
                  <c:v>0.16847999999999999</c:v>
                </c:pt>
                <c:pt idx="159">
                  <c:v>0.16256000000000001</c:v>
                </c:pt>
                <c:pt idx="160">
                  <c:v>0.16224</c:v>
                </c:pt>
                <c:pt idx="161">
                  <c:v>0.16316</c:v>
                </c:pt>
                <c:pt idx="162">
                  <c:v>0.15897</c:v>
                </c:pt>
                <c:pt idx="163">
                  <c:v>0.16144</c:v>
                </c:pt>
                <c:pt idx="164">
                  <c:v>0.13980999999999999</c:v>
                </c:pt>
                <c:pt idx="165">
                  <c:v>0.14332</c:v>
                </c:pt>
                <c:pt idx="166">
                  <c:v>0.14691000000000001</c:v>
                </c:pt>
                <c:pt idx="167">
                  <c:v>0.13769999999999999</c:v>
                </c:pt>
                <c:pt idx="168">
                  <c:v>0.12447</c:v>
                </c:pt>
                <c:pt idx="169">
                  <c:v>0.129</c:v>
                </c:pt>
                <c:pt idx="170">
                  <c:v>0.12586</c:v>
                </c:pt>
                <c:pt idx="171">
                  <c:v>0.12606999999999999</c:v>
                </c:pt>
                <c:pt idx="172">
                  <c:v>0.12078999999999999</c:v>
                </c:pt>
                <c:pt idx="173">
                  <c:v>0.13053999999999999</c:v>
                </c:pt>
                <c:pt idx="174">
                  <c:v>0.11443</c:v>
                </c:pt>
                <c:pt idx="175">
                  <c:v>0.11967999999999999</c:v>
                </c:pt>
                <c:pt idx="176">
                  <c:v>0.10248</c:v>
                </c:pt>
                <c:pt idx="177">
                  <c:v>9.8909999999999998E-2</c:v>
                </c:pt>
                <c:pt idx="178">
                  <c:v>9.6310000000000007E-2</c:v>
                </c:pt>
                <c:pt idx="179">
                  <c:v>9.6699999999999994E-2</c:v>
                </c:pt>
                <c:pt idx="180">
                  <c:v>0.10002</c:v>
                </c:pt>
                <c:pt idx="181">
                  <c:v>0.10088999999999999</c:v>
                </c:pt>
                <c:pt idx="182">
                  <c:v>0.10255</c:v>
                </c:pt>
                <c:pt idx="183">
                  <c:v>9.017E-2</c:v>
                </c:pt>
                <c:pt idx="184">
                  <c:v>9.1420000000000001E-2</c:v>
                </c:pt>
                <c:pt idx="185">
                  <c:v>9.1800000000000007E-2</c:v>
                </c:pt>
                <c:pt idx="186">
                  <c:v>8.9609999999999995E-2</c:v>
                </c:pt>
                <c:pt idx="187">
                  <c:v>8.7910000000000002E-2</c:v>
                </c:pt>
                <c:pt idx="188">
                  <c:v>8.924E-2</c:v>
                </c:pt>
                <c:pt idx="189">
                  <c:v>8.7059999999999998E-2</c:v>
                </c:pt>
                <c:pt idx="190">
                  <c:v>8.5389999999999994E-2</c:v>
                </c:pt>
                <c:pt idx="191">
                  <c:v>7.714E-2</c:v>
                </c:pt>
                <c:pt idx="192">
                  <c:v>8.2860000000000003E-2</c:v>
                </c:pt>
                <c:pt idx="193">
                  <c:v>8.992E-2</c:v>
                </c:pt>
                <c:pt idx="194">
                  <c:v>9.0240000000000001E-2</c:v>
                </c:pt>
                <c:pt idx="195">
                  <c:v>9.9750000000000005E-2</c:v>
                </c:pt>
                <c:pt idx="196">
                  <c:v>8.5430000000000006E-2</c:v>
                </c:pt>
                <c:pt idx="197">
                  <c:v>8.6889999999999995E-2</c:v>
                </c:pt>
                <c:pt idx="198">
                  <c:v>8.795E-2</c:v>
                </c:pt>
                <c:pt idx="199">
                  <c:v>9.0740000000000001E-2</c:v>
                </c:pt>
                <c:pt idx="200">
                  <c:v>9.6350000000000005E-2</c:v>
                </c:pt>
                <c:pt idx="201">
                  <c:v>9.5640000000000003E-2</c:v>
                </c:pt>
                <c:pt idx="202">
                  <c:v>9.8710000000000006E-2</c:v>
                </c:pt>
                <c:pt idx="203">
                  <c:v>9.9129999999999996E-2</c:v>
                </c:pt>
                <c:pt idx="204">
                  <c:v>0.10687000000000001</c:v>
                </c:pt>
                <c:pt idx="205">
                  <c:v>0.10725</c:v>
                </c:pt>
                <c:pt idx="206">
                  <c:v>0.10625</c:v>
                </c:pt>
                <c:pt idx="207">
                  <c:v>0.11345</c:v>
                </c:pt>
                <c:pt idx="208">
                  <c:v>0.11412</c:v>
                </c:pt>
                <c:pt idx="209">
                  <c:v>0.11429</c:v>
                </c:pt>
                <c:pt idx="210">
                  <c:v>0.11397</c:v>
                </c:pt>
                <c:pt idx="211">
                  <c:v>0.11824</c:v>
                </c:pt>
                <c:pt idx="212">
                  <c:v>0.12023</c:v>
                </c:pt>
                <c:pt idx="213">
                  <c:v>0.11692</c:v>
                </c:pt>
                <c:pt idx="214">
                  <c:v>0.11708</c:v>
                </c:pt>
                <c:pt idx="215">
                  <c:v>0.11637</c:v>
                </c:pt>
                <c:pt idx="216">
                  <c:v>0.10698000000000001</c:v>
                </c:pt>
                <c:pt idx="217">
                  <c:v>0.12595999999999999</c:v>
                </c:pt>
                <c:pt idx="218">
                  <c:v>0.12661</c:v>
                </c:pt>
                <c:pt idx="219">
                  <c:v>9.6180000000000002E-2</c:v>
                </c:pt>
                <c:pt idx="220">
                  <c:v>0.1046</c:v>
                </c:pt>
                <c:pt idx="221">
                  <c:v>0.14401</c:v>
                </c:pt>
                <c:pt idx="222">
                  <c:v>0.15362999999999999</c:v>
                </c:pt>
                <c:pt idx="223">
                  <c:v>0.12726999999999999</c:v>
                </c:pt>
                <c:pt idx="224">
                  <c:v>0.15423999999999999</c:v>
                </c:pt>
                <c:pt idx="225">
                  <c:v>0.15103</c:v>
                </c:pt>
                <c:pt idx="226">
                  <c:v>0.16718</c:v>
                </c:pt>
                <c:pt idx="227">
                  <c:v>0.17757999999999999</c:v>
                </c:pt>
                <c:pt idx="228">
                  <c:v>0.1842</c:v>
                </c:pt>
                <c:pt idx="229">
                  <c:v>0.18149999999999999</c:v>
                </c:pt>
                <c:pt idx="230">
                  <c:v>0.15490000000000001</c:v>
                </c:pt>
                <c:pt idx="231">
                  <c:v>0.19056000000000001</c:v>
                </c:pt>
                <c:pt idx="232">
                  <c:v>0.14025000000000001</c:v>
                </c:pt>
                <c:pt idx="233">
                  <c:v>9.0109999999999996E-2</c:v>
                </c:pt>
                <c:pt idx="234">
                  <c:v>7.1779999999999997E-2</c:v>
                </c:pt>
                <c:pt idx="235">
                  <c:v>7.9269999999999993E-2</c:v>
                </c:pt>
                <c:pt idx="236">
                  <c:v>7.51E-2</c:v>
                </c:pt>
                <c:pt idx="237">
                  <c:v>8.0670000000000006E-2</c:v>
                </c:pt>
                <c:pt idx="238">
                  <c:v>9.035E-2</c:v>
                </c:pt>
                <c:pt idx="239">
                  <c:v>8.5949999999999999E-2</c:v>
                </c:pt>
                <c:pt idx="240">
                  <c:v>8.3610000000000004E-2</c:v>
                </c:pt>
                <c:pt idx="241">
                  <c:v>8.5849999999999996E-2</c:v>
                </c:pt>
                <c:pt idx="242">
                  <c:v>8.2119999999999999E-2</c:v>
                </c:pt>
                <c:pt idx="243">
                  <c:v>7.4319999999999997E-2</c:v>
                </c:pt>
                <c:pt idx="244">
                  <c:v>7.2830000000000006E-2</c:v>
                </c:pt>
                <c:pt idx="245">
                  <c:v>8.5300000000000001E-2</c:v>
                </c:pt>
                <c:pt idx="246">
                  <c:v>9.5420000000000005E-2</c:v>
                </c:pt>
                <c:pt idx="247">
                  <c:v>7.7289999999999998E-2</c:v>
                </c:pt>
                <c:pt idx="248">
                  <c:v>7.8200000000000006E-2</c:v>
                </c:pt>
                <c:pt idx="249">
                  <c:v>6.1359999999999998E-2</c:v>
                </c:pt>
                <c:pt idx="250">
                  <c:v>7.3999999999999996E-2</c:v>
                </c:pt>
                <c:pt idx="251">
                  <c:v>7.9530000000000003E-2</c:v>
                </c:pt>
                <c:pt idx="252">
                  <c:v>9.6000000000000002E-2</c:v>
                </c:pt>
                <c:pt idx="253">
                  <c:v>8.4360000000000004E-2</c:v>
                </c:pt>
                <c:pt idx="254">
                  <c:v>0.12706999999999999</c:v>
                </c:pt>
                <c:pt idx="255">
                  <c:v>0.12931000000000001</c:v>
                </c:pt>
                <c:pt idx="256">
                  <c:v>0.14409</c:v>
                </c:pt>
                <c:pt idx="257">
                  <c:v>0.15104999999999999</c:v>
                </c:pt>
                <c:pt idx="258">
                  <c:v>0.13396</c:v>
                </c:pt>
                <c:pt idx="259">
                  <c:v>0.12837000000000001</c:v>
                </c:pt>
                <c:pt idx="260">
                  <c:v>0.12950999999999999</c:v>
                </c:pt>
                <c:pt idx="261">
                  <c:v>0.15332999999999999</c:v>
                </c:pt>
                <c:pt idx="262">
                  <c:v>0.14446000000000001</c:v>
                </c:pt>
                <c:pt idx="263">
                  <c:v>0.16456000000000001</c:v>
                </c:pt>
                <c:pt idx="264">
                  <c:v>0.17285</c:v>
                </c:pt>
                <c:pt idx="265">
                  <c:v>0.17809</c:v>
                </c:pt>
                <c:pt idx="266">
                  <c:v>0.17799999999999999</c:v>
                </c:pt>
                <c:pt idx="267">
                  <c:v>0.19697999999999999</c:v>
                </c:pt>
                <c:pt idx="268">
                  <c:v>0.17469000000000001</c:v>
                </c:pt>
                <c:pt idx="269">
                  <c:v>0.18348999999999999</c:v>
                </c:pt>
                <c:pt idx="270">
                  <c:v>0.16550999999999999</c:v>
                </c:pt>
                <c:pt idx="271">
                  <c:v>0.17091999999999999</c:v>
                </c:pt>
                <c:pt idx="272">
                  <c:v>0.16936999999999999</c:v>
                </c:pt>
                <c:pt idx="273">
                  <c:v>0.14763999999999999</c:v>
                </c:pt>
                <c:pt idx="274">
                  <c:v>0.14868999999999999</c:v>
                </c:pt>
                <c:pt idx="275">
                  <c:v>0.15306</c:v>
                </c:pt>
                <c:pt idx="276">
                  <c:v>0.13780999999999999</c:v>
                </c:pt>
                <c:pt idx="277">
                  <c:v>0.11940000000000001</c:v>
                </c:pt>
                <c:pt idx="278">
                  <c:v>0.11602999999999999</c:v>
                </c:pt>
                <c:pt idx="279">
                  <c:v>0.12708</c:v>
                </c:pt>
                <c:pt idx="280">
                  <c:v>0.13186999999999999</c:v>
                </c:pt>
                <c:pt idx="281">
                  <c:v>0.14960000000000001</c:v>
                </c:pt>
                <c:pt idx="282">
                  <c:v>0.16128000000000001</c:v>
                </c:pt>
                <c:pt idx="283">
                  <c:v>0.15176999999999999</c:v>
                </c:pt>
                <c:pt idx="284">
                  <c:v>0.1709</c:v>
                </c:pt>
                <c:pt idx="285">
                  <c:v>0.19525000000000001</c:v>
                </c:pt>
                <c:pt idx="286">
                  <c:v>0.19553000000000001</c:v>
                </c:pt>
                <c:pt idx="287">
                  <c:v>0.1996</c:v>
                </c:pt>
                <c:pt idx="288">
                  <c:v>0.20782</c:v>
                </c:pt>
                <c:pt idx="289">
                  <c:v>0.19477</c:v>
                </c:pt>
                <c:pt idx="290">
                  <c:v>0.2031</c:v>
                </c:pt>
                <c:pt idx="291">
                  <c:v>0.21829000000000001</c:v>
                </c:pt>
                <c:pt idx="292">
                  <c:v>0.20208000000000001</c:v>
                </c:pt>
                <c:pt idx="293">
                  <c:v>0.20227999999999999</c:v>
                </c:pt>
                <c:pt idx="294">
                  <c:v>0.21493000000000001</c:v>
                </c:pt>
                <c:pt idx="295">
                  <c:v>0.20615</c:v>
                </c:pt>
                <c:pt idx="296">
                  <c:v>0.25802999999999998</c:v>
                </c:pt>
                <c:pt idx="297">
                  <c:v>0.19219</c:v>
                </c:pt>
                <c:pt idx="298">
                  <c:v>0.18306</c:v>
                </c:pt>
                <c:pt idx="299">
                  <c:v>0.1648</c:v>
                </c:pt>
                <c:pt idx="300">
                  <c:v>0.17605999999999999</c:v>
                </c:pt>
                <c:pt idx="301">
                  <c:v>0.17957000000000001</c:v>
                </c:pt>
                <c:pt idx="302">
                  <c:v>0.17932999999999999</c:v>
                </c:pt>
                <c:pt idx="303">
                  <c:v>0.18651000000000001</c:v>
                </c:pt>
                <c:pt idx="304">
                  <c:v>0.1714</c:v>
                </c:pt>
                <c:pt idx="305">
                  <c:v>0.16586000000000001</c:v>
                </c:pt>
                <c:pt idx="306">
                  <c:v>0.16006999999999999</c:v>
                </c:pt>
                <c:pt idx="307">
                  <c:v>0.16339000000000001</c:v>
                </c:pt>
                <c:pt idx="308">
                  <c:v>0.14435999999999999</c:v>
                </c:pt>
                <c:pt idx="309">
                  <c:v>0.15787000000000001</c:v>
                </c:pt>
                <c:pt idx="310">
                  <c:v>0.15767</c:v>
                </c:pt>
                <c:pt idx="311">
                  <c:v>0.14222000000000001</c:v>
                </c:pt>
                <c:pt idx="312">
                  <c:v>0.14169000000000001</c:v>
                </c:pt>
                <c:pt idx="313">
                  <c:v>0.14251</c:v>
                </c:pt>
                <c:pt idx="314">
                  <c:v>0.155</c:v>
                </c:pt>
                <c:pt idx="315">
                  <c:v>0.13938</c:v>
                </c:pt>
                <c:pt idx="316">
                  <c:v>0.1532</c:v>
                </c:pt>
                <c:pt idx="317">
                  <c:v>0.15609999999999999</c:v>
                </c:pt>
                <c:pt idx="318">
                  <c:v>0.15351000000000001</c:v>
                </c:pt>
                <c:pt idx="319">
                  <c:v>0.13761999999999999</c:v>
                </c:pt>
                <c:pt idx="320">
                  <c:v>0.13061</c:v>
                </c:pt>
                <c:pt idx="321">
                  <c:v>0.13589999999999999</c:v>
                </c:pt>
                <c:pt idx="322">
                  <c:v>0.11509</c:v>
                </c:pt>
                <c:pt idx="323">
                  <c:v>0.10793</c:v>
                </c:pt>
                <c:pt idx="324">
                  <c:v>0.11892</c:v>
                </c:pt>
                <c:pt idx="325">
                  <c:v>0.10342999999999999</c:v>
                </c:pt>
                <c:pt idx="326">
                  <c:v>9.6159999999999995E-2</c:v>
                </c:pt>
                <c:pt idx="327">
                  <c:v>9.9919999999999995E-2</c:v>
                </c:pt>
                <c:pt idx="328">
                  <c:v>9.7790000000000002E-2</c:v>
                </c:pt>
                <c:pt idx="329">
                  <c:v>8.9760000000000006E-2</c:v>
                </c:pt>
                <c:pt idx="330">
                  <c:v>9.0499999999999997E-2</c:v>
                </c:pt>
                <c:pt idx="331">
                  <c:v>8.9160000000000003E-2</c:v>
                </c:pt>
                <c:pt idx="332">
                  <c:v>8.7870000000000004E-2</c:v>
                </c:pt>
                <c:pt idx="333">
                  <c:v>7.9729999999999995E-2</c:v>
                </c:pt>
                <c:pt idx="334">
                  <c:v>8.6980000000000002E-2</c:v>
                </c:pt>
                <c:pt idx="335">
                  <c:v>7.5719999999999996E-2</c:v>
                </c:pt>
                <c:pt idx="336">
                  <c:v>7.6499999999999999E-2</c:v>
                </c:pt>
                <c:pt idx="337">
                  <c:v>8.4720000000000004E-2</c:v>
                </c:pt>
                <c:pt idx="338">
                  <c:v>7.961E-2</c:v>
                </c:pt>
                <c:pt idx="339">
                  <c:v>9.4969999999999999E-2</c:v>
                </c:pt>
                <c:pt idx="340">
                  <c:v>0.11276</c:v>
                </c:pt>
                <c:pt idx="341">
                  <c:v>0.106</c:v>
                </c:pt>
                <c:pt idx="342">
                  <c:v>0.11459999999999999</c:v>
                </c:pt>
                <c:pt idx="343">
                  <c:v>0.11924999999999999</c:v>
                </c:pt>
                <c:pt idx="344">
                  <c:v>0.11405999999999999</c:v>
                </c:pt>
                <c:pt idx="345">
                  <c:v>0.10301</c:v>
                </c:pt>
                <c:pt idx="346">
                  <c:v>0.10578</c:v>
                </c:pt>
                <c:pt idx="347">
                  <c:v>0.11304</c:v>
                </c:pt>
                <c:pt idx="348">
                  <c:v>0.12712999999999999</c:v>
                </c:pt>
                <c:pt idx="349">
                  <c:v>0.13156000000000001</c:v>
                </c:pt>
                <c:pt idx="350">
                  <c:v>9.6960000000000005E-2</c:v>
                </c:pt>
                <c:pt idx="351">
                  <c:v>8.4430000000000005E-2</c:v>
                </c:pt>
                <c:pt idx="352">
                  <c:v>7.6170000000000002E-2</c:v>
                </c:pt>
                <c:pt idx="353">
                  <c:v>7.4380000000000002E-2</c:v>
                </c:pt>
                <c:pt idx="354">
                  <c:v>6.9459999999999994E-2</c:v>
                </c:pt>
                <c:pt idx="355">
                  <c:v>7.1429999999999993E-2</c:v>
                </c:pt>
                <c:pt idx="356">
                  <c:v>7.961E-2</c:v>
                </c:pt>
                <c:pt idx="357">
                  <c:v>7.0730000000000001E-2</c:v>
                </c:pt>
                <c:pt idx="358">
                  <c:v>7.6759999999999995E-2</c:v>
                </c:pt>
                <c:pt idx="359">
                  <c:v>6.3170000000000004E-2</c:v>
                </c:pt>
                <c:pt idx="360">
                  <c:v>5.9450000000000003E-2</c:v>
                </c:pt>
                <c:pt idx="361">
                  <c:v>5.91E-2</c:v>
                </c:pt>
                <c:pt idx="362">
                  <c:v>6.3570000000000002E-2</c:v>
                </c:pt>
                <c:pt idx="363">
                  <c:v>5.6160000000000002E-2</c:v>
                </c:pt>
                <c:pt idx="364">
                  <c:v>5.5870000000000003E-2</c:v>
                </c:pt>
                <c:pt idx="365">
                  <c:v>5.348E-2</c:v>
                </c:pt>
                <c:pt idx="366">
                  <c:v>6.1069999999999999E-2</c:v>
                </c:pt>
                <c:pt idx="367">
                  <c:v>5.6329999999999998E-2</c:v>
                </c:pt>
                <c:pt idx="368">
                  <c:v>6.1449999999999998E-2</c:v>
                </c:pt>
                <c:pt idx="369">
                  <c:v>6.2880000000000005E-2</c:v>
                </c:pt>
                <c:pt idx="370">
                  <c:v>6.157E-2</c:v>
                </c:pt>
                <c:pt idx="371">
                  <c:v>5.0279999999999998E-2</c:v>
                </c:pt>
                <c:pt idx="372">
                  <c:v>6.087E-2</c:v>
                </c:pt>
                <c:pt idx="373">
                  <c:v>5.3879999999999997E-2</c:v>
                </c:pt>
                <c:pt idx="374">
                  <c:v>5.144E-2</c:v>
                </c:pt>
                <c:pt idx="375">
                  <c:v>5.024E-2</c:v>
                </c:pt>
                <c:pt idx="376">
                  <c:v>5.2240000000000002E-2</c:v>
                </c:pt>
                <c:pt idx="377">
                  <c:v>4.7600000000000003E-2</c:v>
                </c:pt>
                <c:pt idx="378">
                  <c:v>4.5769999999999998E-2</c:v>
                </c:pt>
                <c:pt idx="379">
                  <c:v>4.58E-2</c:v>
                </c:pt>
                <c:pt idx="380">
                  <c:v>4.4389999999999999E-2</c:v>
                </c:pt>
                <c:pt idx="381">
                  <c:v>4.2939999999999999E-2</c:v>
                </c:pt>
                <c:pt idx="382">
                  <c:v>4.879E-2</c:v>
                </c:pt>
                <c:pt idx="383">
                  <c:v>5.2229999999999999E-2</c:v>
                </c:pt>
                <c:pt idx="384">
                  <c:v>5.808E-2</c:v>
                </c:pt>
                <c:pt idx="385">
                  <c:v>4.4560000000000002E-2</c:v>
                </c:pt>
                <c:pt idx="386">
                  <c:v>4.335E-2</c:v>
                </c:pt>
                <c:pt idx="387">
                  <c:v>4.0289999999999999E-2</c:v>
                </c:pt>
                <c:pt idx="388">
                  <c:v>0.04</c:v>
                </c:pt>
                <c:pt idx="389">
                  <c:v>3.8899999999999997E-2</c:v>
                </c:pt>
                <c:pt idx="390">
                  <c:v>3.8339999999999999E-2</c:v>
                </c:pt>
                <c:pt idx="391">
                  <c:v>3.9170000000000003E-2</c:v>
                </c:pt>
                <c:pt idx="392">
                  <c:v>3.6799999999999999E-2</c:v>
                </c:pt>
                <c:pt idx="393">
                  <c:v>3.7310000000000003E-2</c:v>
                </c:pt>
                <c:pt idx="394">
                  <c:v>3.8420000000000003E-2</c:v>
                </c:pt>
                <c:pt idx="395">
                  <c:v>4.0680000000000001E-2</c:v>
                </c:pt>
                <c:pt idx="396">
                  <c:v>4.2729999999999997E-2</c:v>
                </c:pt>
                <c:pt idx="397">
                  <c:v>4.5719999999999997E-2</c:v>
                </c:pt>
                <c:pt idx="398">
                  <c:v>3.61E-2</c:v>
                </c:pt>
                <c:pt idx="399">
                  <c:v>3.7679999999999998E-2</c:v>
                </c:pt>
                <c:pt idx="400">
                  <c:v>3.5979999999999998E-2</c:v>
                </c:pt>
                <c:pt idx="401">
                  <c:v>3.9980000000000002E-2</c:v>
                </c:pt>
                <c:pt idx="402">
                  <c:v>3.7490000000000002E-2</c:v>
                </c:pt>
                <c:pt idx="403">
                  <c:v>4.2819999999999997E-2</c:v>
                </c:pt>
                <c:pt idx="404">
                  <c:v>4.0620000000000003E-2</c:v>
                </c:pt>
                <c:pt idx="405">
                  <c:v>3.9949999999999999E-2</c:v>
                </c:pt>
                <c:pt idx="406">
                  <c:v>3.8559999999999997E-2</c:v>
                </c:pt>
                <c:pt idx="407">
                  <c:v>4.1200000000000001E-2</c:v>
                </c:pt>
                <c:pt idx="408">
                  <c:v>4.2000000000000003E-2</c:v>
                </c:pt>
                <c:pt idx="409">
                  <c:v>4.1050000000000003E-2</c:v>
                </c:pt>
                <c:pt idx="410">
                  <c:v>4.0770000000000001E-2</c:v>
                </c:pt>
                <c:pt idx="411">
                  <c:v>4.027E-2</c:v>
                </c:pt>
                <c:pt idx="412">
                  <c:v>3.857E-2</c:v>
                </c:pt>
                <c:pt idx="413">
                  <c:v>3.9739999999999998E-2</c:v>
                </c:pt>
                <c:pt idx="414">
                  <c:v>4.0649999999999999E-2</c:v>
                </c:pt>
                <c:pt idx="415">
                  <c:v>3.7740000000000003E-2</c:v>
                </c:pt>
                <c:pt idx="416">
                  <c:v>4.0820000000000002E-2</c:v>
                </c:pt>
                <c:pt idx="417">
                  <c:v>4.018E-2</c:v>
                </c:pt>
                <c:pt idx="418">
                  <c:v>4.1399999999999999E-2</c:v>
                </c:pt>
                <c:pt idx="419">
                  <c:v>3.9820000000000001E-2</c:v>
                </c:pt>
                <c:pt idx="420">
                  <c:v>4.3150000000000001E-2</c:v>
                </c:pt>
                <c:pt idx="421">
                  <c:v>4.2360000000000002E-2</c:v>
                </c:pt>
                <c:pt idx="422">
                  <c:v>4.2299999999999997E-2</c:v>
                </c:pt>
                <c:pt idx="423">
                  <c:v>4.129E-2</c:v>
                </c:pt>
                <c:pt idx="424">
                  <c:v>4.0410000000000001E-2</c:v>
                </c:pt>
                <c:pt idx="425">
                  <c:v>4.0960000000000003E-2</c:v>
                </c:pt>
                <c:pt idx="426">
                  <c:v>3.9550000000000002E-2</c:v>
                </c:pt>
                <c:pt idx="427">
                  <c:v>3.8490000000000003E-2</c:v>
                </c:pt>
                <c:pt idx="428">
                  <c:v>4.4589999999999998E-2</c:v>
                </c:pt>
                <c:pt idx="429">
                  <c:v>4.598E-2</c:v>
                </c:pt>
                <c:pt idx="430">
                  <c:v>4.6129999999999997E-2</c:v>
                </c:pt>
                <c:pt idx="431">
                  <c:v>4.2979999999999997E-2</c:v>
                </c:pt>
                <c:pt idx="432">
                  <c:v>4.496E-2</c:v>
                </c:pt>
                <c:pt idx="433">
                  <c:v>4.2110000000000002E-2</c:v>
                </c:pt>
                <c:pt idx="434">
                  <c:v>4.0669999999999998E-2</c:v>
                </c:pt>
                <c:pt idx="435">
                  <c:v>4.1660000000000003E-2</c:v>
                </c:pt>
                <c:pt idx="436">
                  <c:v>4.2770000000000002E-2</c:v>
                </c:pt>
                <c:pt idx="437">
                  <c:v>4.2189999999999998E-2</c:v>
                </c:pt>
                <c:pt idx="438">
                  <c:v>4.2610000000000002E-2</c:v>
                </c:pt>
                <c:pt idx="439">
                  <c:v>4.1770000000000002E-2</c:v>
                </c:pt>
                <c:pt idx="440">
                  <c:v>4.3639999999999998E-2</c:v>
                </c:pt>
                <c:pt idx="441">
                  <c:v>4.0070000000000001E-2</c:v>
                </c:pt>
                <c:pt idx="442">
                  <c:v>4.1279999999999997E-2</c:v>
                </c:pt>
                <c:pt idx="443">
                  <c:v>4.5310000000000003E-2</c:v>
                </c:pt>
                <c:pt idx="444">
                  <c:v>4.4499999999999998E-2</c:v>
                </c:pt>
                <c:pt idx="445">
                  <c:v>4.2450000000000002E-2</c:v>
                </c:pt>
                <c:pt idx="446">
                  <c:v>3.7960000000000001E-2</c:v>
                </c:pt>
                <c:pt idx="447">
                  <c:v>4.1520000000000001E-2</c:v>
                </c:pt>
                <c:pt idx="448">
                  <c:v>3.8330000000000003E-2</c:v>
                </c:pt>
                <c:pt idx="449">
                  <c:v>3.755E-2</c:v>
                </c:pt>
                <c:pt idx="450">
                  <c:v>3.4889999999999997E-2</c:v>
                </c:pt>
                <c:pt idx="451">
                  <c:v>3.4950000000000002E-2</c:v>
                </c:pt>
                <c:pt idx="452">
                  <c:v>3.678E-2</c:v>
                </c:pt>
                <c:pt idx="453">
                  <c:v>3.4930000000000003E-2</c:v>
                </c:pt>
                <c:pt idx="454">
                  <c:v>3.7769999999999998E-2</c:v>
                </c:pt>
                <c:pt idx="455">
                  <c:v>3.6850000000000001E-2</c:v>
                </c:pt>
                <c:pt idx="456">
                  <c:v>3.8179999999999999E-2</c:v>
                </c:pt>
                <c:pt idx="457">
                  <c:v>3.9550000000000002E-2</c:v>
                </c:pt>
                <c:pt idx="458">
                  <c:v>4.199E-2</c:v>
                </c:pt>
                <c:pt idx="459">
                  <c:v>4.0930000000000001E-2</c:v>
                </c:pt>
                <c:pt idx="460">
                  <c:v>4.231E-2</c:v>
                </c:pt>
                <c:pt idx="461">
                  <c:v>4.2529999999999998E-2</c:v>
                </c:pt>
                <c:pt idx="462">
                  <c:v>4.2939999999999999E-2</c:v>
                </c:pt>
                <c:pt idx="463">
                  <c:v>4.3130000000000002E-2</c:v>
                </c:pt>
                <c:pt idx="464">
                  <c:v>4.428E-2</c:v>
                </c:pt>
                <c:pt idx="465">
                  <c:v>4.7969999999999999E-2</c:v>
                </c:pt>
                <c:pt idx="466">
                  <c:v>4.888E-2</c:v>
                </c:pt>
                <c:pt idx="467">
                  <c:v>4.3920000000000001E-2</c:v>
                </c:pt>
                <c:pt idx="468">
                  <c:v>4.181E-2</c:v>
                </c:pt>
                <c:pt idx="469">
                  <c:v>4.3540000000000002E-2</c:v>
                </c:pt>
                <c:pt idx="470">
                  <c:v>4.1009999999999998E-2</c:v>
                </c:pt>
                <c:pt idx="471">
                  <c:v>4.1279999999999997E-2</c:v>
                </c:pt>
                <c:pt idx="472">
                  <c:v>4.283E-2</c:v>
                </c:pt>
                <c:pt idx="473">
                  <c:v>4.2860000000000002E-2</c:v>
                </c:pt>
                <c:pt idx="474">
                  <c:v>4.2419999999999999E-2</c:v>
                </c:pt>
                <c:pt idx="475">
                  <c:v>4.5539999999999997E-2</c:v>
                </c:pt>
                <c:pt idx="476">
                  <c:v>4.224E-2</c:v>
                </c:pt>
                <c:pt idx="477">
                  <c:v>4.265E-2</c:v>
                </c:pt>
                <c:pt idx="478">
                  <c:v>4.2700000000000002E-2</c:v>
                </c:pt>
                <c:pt idx="479">
                  <c:v>4.1480000000000003E-2</c:v>
                </c:pt>
                <c:pt idx="480">
                  <c:v>4.0250000000000001E-2</c:v>
                </c:pt>
                <c:pt idx="481">
                  <c:v>3.9910000000000001E-2</c:v>
                </c:pt>
                <c:pt idx="482">
                  <c:v>3.9539999999999999E-2</c:v>
                </c:pt>
                <c:pt idx="483">
                  <c:v>4.0579999999999998E-2</c:v>
                </c:pt>
                <c:pt idx="484">
                  <c:v>4.0829999999999998E-2</c:v>
                </c:pt>
                <c:pt idx="485">
                  <c:v>4.0099999999999997E-2</c:v>
                </c:pt>
                <c:pt idx="486">
                  <c:v>4.0599999999999997E-2</c:v>
                </c:pt>
                <c:pt idx="487">
                  <c:v>3.977E-2</c:v>
                </c:pt>
                <c:pt idx="488">
                  <c:v>4.1149999999999999E-2</c:v>
                </c:pt>
                <c:pt idx="489">
                  <c:v>3.9629999999999999E-2</c:v>
                </c:pt>
                <c:pt idx="490">
                  <c:v>3.8580000000000003E-2</c:v>
                </c:pt>
                <c:pt idx="491">
                  <c:v>3.5200000000000002E-2</c:v>
                </c:pt>
                <c:pt idx="492">
                  <c:v>3.6580000000000001E-2</c:v>
                </c:pt>
                <c:pt idx="493">
                  <c:v>3.4790000000000001E-2</c:v>
                </c:pt>
                <c:pt idx="494">
                  <c:v>3.9780000000000003E-2</c:v>
                </c:pt>
                <c:pt idx="495">
                  <c:v>4.0730000000000002E-2</c:v>
                </c:pt>
                <c:pt idx="496">
                  <c:v>4.1099999999999998E-2</c:v>
                </c:pt>
                <c:pt idx="497">
                  <c:v>4.308E-2</c:v>
                </c:pt>
                <c:pt idx="498">
                  <c:v>4.487E-2</c:v>
                </c:pt>
                <c:pt idx="499">
                  <c:v>4.2349999999999999E-2</c:v>
                </c:pt>
                <c:pt idx="500">
                  <c:v>4.3310000000000001E-2</c:v>
                </c:pt>
                <c:pt idx="501">
                  <c:v>4.267E-2</c:v>
                </c:pt>
                <c:pt idx="502">
                  <c:v>4.7100000000000003E-2</c:v>
                </c:pt>
                <c:pt idx="503">
                  <c:v>4.5060000000000003E-2</c:v>
                </c:pt>
                <c:pt idx="504">
                  <c:v>4.8140000000000002E-2</c:v>
                </c:pt>
                <c:pt idx="505">
                  <c:v>4.0779999999999997E-2</c:v>
                </c:pt>
                <c:pt idx="506">
                  <c:v>3.9829999999999997E-2</c:v>
                </c:pt>
                <c:pt idx="507">
                  <c:v>4.1489999999999999E-2</c:v>
                </c:pt>
                <c:pt idx="508">
                  <c:v>4.2560000000000001E-2</c:v>
                </c:pt>
                <c:pt idx="509">
                  <c:v>3.9260000000000003E-2</c:v>
                </c:pt>
                <c:pt idx="510">
                  <c:v>4.5249999999999999E-2</c:v>
                </c:pt>
                <c:pt idx="511">
                  <c:v>4.4339999999999997E-2</c:v>
                </c:pt>
                <c:pt idx="512">
                  <c:v>5.5230000000000001E-2</c:v>
                </c:pt>
                <c:pt idx="513">
                  <c:v>5.6500000000000002E-2</c:v>
                </c:pt>
                <c:pt idx="514">
                  <c:v>6.0970000000000003E-2</c:v>
                </c:pt>
                <c:pt idx="515">
                  <c:v>5.9069999999999998E-2</c:v>
                </c:pt>
                <c:pt idx="516">
                  <c:v>5.9889999999999999E-2</c:v>
                </c:pt>
                <c:pt idx="517">
                  <c:v>5.7930000000000002E-2</c:v>
                </c:pt>
                <c:pt idx="518">
                  <c:v>5.5489999999999998E-2</c:v>
                </c:pt>
                <c:pt idx="519">
                  <c:v>5.8189999999999999E-2</c:v>
                </c:pt>
                <c:pt idx="520">
                  <c:v>5.8259999999999999E-2</c:v>
                </c:pt>
                <c:pt idx="521">
                  <c:v>6.2649999999999997E-2</c:v>
                </c:pt>
                <c:pt idx="522">
                  <c:v>6.2289999999999998E-2</c:v>
                </c:pt>
                <c:pt idx="523">
                  <c:v>6.4399999999999999E-2</c:v>
                </c:pt>
                <c:pt idx="524">
                  <c:v>5.808E-2</c:v>
                </c:pt>
                <c:pt idx="525">
                  <c:v>6.4670000000000005E-2</c:v>
                </c:pt>
                <c:pt idx="526">
                  <c:v>5.8950000000000002E-2</c:v>
                </c:pt>
                <c:pt idx="527">
                  <c:v>6.1400000000000003E-2</c:v>
                </c:pt>
                <c:pt idx="528">
                  <c:v>6.4030000000000004E-2</c:v>
                </c:pt>
                <c:pt idx="529">
                  <c:v>6.9970000000000004E-2</c:v>
                </c:pt>
                <c:pt idx="530">
                  <c:v>6.6930000000000003E-2</c:v>
                </c:pt>
                <c:pt idx="531">
                  <c:v>6.9250000000000006E-2</c:v>
                </c:pt>
                <c:pt idx="532">
                  <c:v>7.2040000000000007E-2</c:v>
                </c:pt>
                <c:pt idx="533">
                  <c:v>5.8169999999999999E-2</c:v>
                </c:pt>
                <c:pt idx="534">
                  <c:v>5.4859999999999999E-2</c:v>
                </c:pt>
                <c:pt idx="535">
                  <c:v>5.885E-2</c:v>
                </c:pt>
                <c:pt idx="536">
                  <c:v>5.6829999999999999E-2</c:v>
                </c:pt>
                <c:pt idx="537">
                  <c:v>5.4780000000000002E-2</c:v>
                </c:pt>
                <c:pt idx="538">
                  <c:v>5.0790000000000002E-2</c:v>
                </c:pt>
                <c:pt idx="539">
                  <c:v>5.0990000000000001E-2</c:v>
                </c:pt>
                <c:pt idx="540">
                  <c:v>4.931E-2</c:v>
                </c:pt>
                <c:pt idx="541">
                  <c:v>5.0549999999999998E-2</c:v>
                </c:pt>
                <c:pt idx="542">
                  <c:v>4.8570000000000002E-2</c:v>
                </c:pt>
                <c:pt idx="543">
                  <c:v>5.0459999999999998E-2</c:v>
                </c:pt>
                <c:pt idx="544">
                  <c:v>4.9090000000000002E-2</c:v>
                </c:pt>
                <c:pt idx="545">
                  <c:v>4.9599999999999998E-2</c:v>
                </c:pt>
                <c:pt idx="546">
                  <c:v>5.0099999999999999E-2</c:v>
                </c:pt>
                <c:pt idx="547">
                  <c:v>4.9570000000000003E-2</c:v>
                </c:pt>
                <c:pt idx="548">
                  <c:v>5.2440000000000001E-2</c:v>
                </c:pt>
                <c:pt idx="549">
                  <c:v>4.8419999999999998E-2</c:v>
                </c:pt>
                <c:pt idx="550">
                  <c:v>5.0540000000000002E-2</c:v>
                </c:pt>
                <c:pt idx="551">
                  <c:v>5.289E-2</c:v>
                </c:pt>
                <c:pt idx="552">
                  <c:v>5.2729999999999999E-2</c:v>
                </c:pt>
                <c:pt idx="553">
                  <c:v>5.5199999999999999E-2</c:v>
                </c:pt>
                <c:pt idx="554">
                  <c:v>5.5399999999999998E-2</c:v>
                </c:pt>
                <c:pt idx="555">
                  <c:v>5.5190000000000003E-2</c:v>
                </c:pt>
                <c:pt idx="556">
                  <c:v>5.6959999999999997E-2</c:v>
                </c:pt>
                <c:pt idx="557">
                  <c:v>5.67E-2</c:v>
                </c:pt>
                <c:pt idx="558">
                  <c:v>5.9540000000000003E-2</c:v>
                </c:pt>
                <c:pt idx="559">
                  <c:v>6.1530000000000001E-2</c:v>
                </c:pt>
                <c:pt idx="560">
                  <c:v>6.4589999999999995E-2</c:v>
                </c:pt>
                <c:pt idx="561">
                  <c:v>5.7610000000000001E-2</c:v>
                </c:pt>
                <c:pt idx="562">
                  <c:v>5.5320000000000001E-2</c:v>
                </c:pt>
                <c:pt idx="563">
                  <c:v>5.6099999999999997E-2</c:v>
                </c:pt>
                <c:pt idx="564">
                  <c:v>5.2699999999999997E-2</c:v>
                </c:pt>
                <c:pt idx="565">
                  <c:v>5.135E-2</c:v>
                </c:pt>
                <c:pt idx="566">
                  <c:v>5.1110000000000003E-2</c:v>
                </c:pt>
                <c:pt idx="567">
                  <c:v>5.0659999999999997E-2</c:v>
                </c:pt>
                <c:pt idx="568">
                  <c:v>5.0860000000000002E-2</c:v>
                </c:pt>
                <c:pt idx="569">
                  <c:v>4.9820000000000003E-2</c:v>
                </c:pt>
                <c:pt idx="570">
                  <c:v>4.9950000000000001E-2</c:v>
                </c:pt>
                <c:pt idx="571">
                  <c:v>4.6789999999999998E-2</c:v>
                </c:pt>
                <c:pt idx="572">
                  <c:v>4.904E-2</c:v>
                </c:pt>
                <c:pt idx="573">
                  <c:v>4.861E-2</c:v>
                </c:pt>
                <c:pt idx="574">
                  <c:v>4.691E-2</c:v>
                </c:pt>
                <c:pt idx="575">
                  <c:v>4.5969999999999997E-2</c:v>
                </c:pt>
                <c:pt idx="576">
                  <c:v>4.5999999999999999E-2</c:v>
                </c:pt>
                <c:pt idx="577">
                  <c:v>4.6699999999999998E-2</c:v>
                </c:pt>
                <c:pt idx="578">
                  <c:v>4.7169999999999997E-2</c:v>
                </c:pt>
                <c:pt idx="579">
                  <c:v>4.6030000000000001E-2</c:v>
                </c:pt>
                <c:pt idx="580">
                  <c:v>4.8460000000000003E-2</c:v>
                </c:pt>
                <c:pt idx="581">
                  <c:v>5.2630000000000003E-2</c:v>
                </c:pt>
                <c:pt idx="582">
                  <c:v>5.3900000000000003E-2</c:v>
                </c:pt>
                <c:pt idx="583">
                  <c:v>5.5E-2</c:v>
                </c:pt>
                <c:pt idx="584">
                  <c:v>5.5480000000000002E-2</c:v>
                </c:pt>
                <c:pt idx="585">
                  <c:v>5.4339999999999999E-2</c:v>
                </c:pt>
                <c:pt idx="586">
                  <c:v>5.6849999999999998E-2</c:v>
                </c:pt>
                <c:pt idx="587">
                  <c:v>5.4440000000000002E-2</c:v>
                </c:pt>
                <c:pt idx="588">
                  <c:v>5.4510000000000003E-2</c:v>
                </c:pt>
                <c:pt idx="589">
                  <c:v>5.5309999999999998E-2</c:v>
                </c:pt>
                <c:pt idx="590">
                  <c:v>5.7239999999999999E-2</c:v>
                </c:pt>
                <c:pt idx="591">
                  <c:v>5.6279999999999997E-2</c:v>
                </c:pt>
                <c:pt idx="592">
                  <c:v>5.6550000000000003E-2</c:v>
                </c:pt>
                <c:pt idx="593">
                  <c:v>6.0760000000000002E-2</c:v>
                </c:pt>
                <c:pt idx="594">
                  <c:v>5.9929999999999997E-2</c:v>
                </c:pt>
                <c:pt idx="595">
                  <c:v>5.4719999999999998E-2</c:v>
                </c:pt>
                <c:pt idx="596">
                  <c:v>6.0940000000000001E-2</c:v>
                </c:pt>
                <c:pt idx="597">
                  <c:v>6.1170000000000002E-2</c:v>
                </c:pt>
                <c:pt idx="598">
                  <c:v>6.0170000000000001E-2</c:v>
                </c:pt>
                <c:pt idx="599">
                  <c:v>6.0720000000000003E-2</c:v>
                </c:pt>
                <c:pt idx="600">
                  <c:v>5.8729999999999997E-2</c:v>
                </c:pt>
                <c:pt idx="601">
                  <c:v>6.003E-2</c:v>
                </c:pt>
                <c:pt idx="602">
                  <c:v>6.1519999999999998E-2</c:v>
                </c:pt>
                <c:pt idx="603">
                  <c:v>6.2600000000000003E-2</c:v>
                </c:pt>
                <c:pt idx="604">
                  <c:v>5.953E-2</c:v>
                </c:pt>
                <c:pt idx="605">
                  <c:v>5.8310000000000001E-2</c:v>
                </c:pt>
                <c:pt idx="606">
                  <c:v>5.849E-2</c:v>
                </c:pt>
                <c:pt idx="607">
                  <c:v>6.1510000000000002E-2</c:v>
                </c:pt>
                <c:pt idx="608">
                  <c:v>6.361E-2</c:v>
                </c:pt>
                <c:pt idx="609">
                  <c:v>6.3119999999999996E-2</c:v>
                </c:pt>
                <c:pt idx="610">
                  <c:v>6.7309999999999995E-2</c:v>
                </c:pt>
                <c:pt idx="611">
                  <c:v>7.0050000000000001E-2</c:v>
                </c:pt>
                <c:pt idx="612">
                  <c:v>7.2419999999999998E-2</c:v>
                </c:pt>
                <c:pt idx="613">
                  <c:v>6.8659999999999999E-2</c:v>
                </c:pt>
                <c:pt idx="614">
                  <c:v>7.0970000000000005E-2</c:v>
                </c:pt>
                <c:pt idx="615">
                  <c:v>7.1540000000000006E-2</c:v>
                </c:pt>
                <c:pt idx="616">
                  <c:v>6.9639999999999994E-2</c:v>
                </c:pt>
                <c:pt idx="617">
                  <c:v>7.3069999999999996E-2</c:v>
                </c:pt>
                <c:pt idx="618">
                  <c:v>7.5300000000000006E-2</c:v>
                </c:pt>
                <c:pt idx="619">
                  <c:v>7.3770000000000002E-2</c:v>
                </c:pt>
                <c:pt idx="620">
                  <c:v>7.4370000000000006E-2</c:v>
                </c:pt>
                <c:pt idx="621">
                  <c:v>7.46E-2</c:v>
                </c:pt>
                <c:pt idx="622">
                  <c:v>7.4139999999999998E-2</c:v>
                </c:pt>
                <c:pt idx="623">
                  <c:v>7.3940000000000006E-2</c:v>
                </c:pt>
                <c:pt idx="624">
                  <c:v>7.2599999999999998E-2</c:v>
                </c:pt>
                <c:pt idx="625">
                  <c:v>7.5340000000000004E-2</c:v>
                </c:pt>
                <c:pt idx="626">
                  <c:v>7.4480000000000005E-2</c:v>
                </c:pt>
                <c:pt idx="627">
                  <c:v>7.1989999999999998E-2</c:v>
                </c:pt>
                <c:pt idx="628">
                  <c:v>7.6499999999999999E-2</c:v>
                </c:pt>
                <c:pt idx="629">
                  <c:v>7.467E-2</c:v>
                </c:pt>
                <c:pt idx="630">
                  <c:v>7.1550000000000002E-2</c:v>
                </c:pt>
                <c:pt idx="631">
                  <c:v>7.7170000000000002E-2</c:v>
                </c:pt>
                <c:pt idx="632">
                  <c:v>7.7229999999999993E-2</c:v>
                </c:pt>
                <c:pt idx="633">
                  <c:v>7.0330000000000004E-2</c:v>
                </c:pt>
                <c:pt idx="634">
                  <c:v>6.6960000000000006E-2</c:v>
                </c:pt>
                <c:pt idx="635">
                  <c:v>7.4340000000000003E-2</c:v>
                </c:pt>
                <c:pt idx="636">
                  <c:v>7.8979999999999995E-2</c:v>
                </c:pt>
                <c:pt idx="637">
                  <c:v>8.0689999999999998E-2</c:v>
                </c:pt>
                <c:pt idx="638">
                  <c:v>8.0670000000000006E-2</c:v>
                </c:pt>
                <c:pt idx="639">
                  <c:v>4.8379999999999999E-2</c:v>
                </c:pt>
                <c:pt idx="640">
                  <c:v>4.8160000000000001E-2</c:v>
                </c:pt>
                <c:pt idx="641">
                  <c:v>4.7320000000000001E-2</c:v>
                </c:pt>
                <c:pt idx="642">
                  <c:v>4.7550000000000002E-2</c:v>
                </c:pt>
                <c:pt idx="643">
                  <c:v>4.6269999999999999E-2</c:v>
                </c:pt>
                <c:pt idx="644">
                  <c:v>4.4159999999999998E-2</c:v>
                </c:pt>
                <c:pt idx="645">
                  <c:v>4.4549999999999999E-2</c:v>
                </c:pt>
                <c:pt idx="646">
                  <c:v>4.249E-2</c:v>
                </c:pt>
                <c:pt idx="647">
                  <c:v>3.789E-2</c:v>
                </c:pt>
                <c:pt idx="648">
                  <c:v>4.0039999999999999E-2</c:v>
                </c:pt>
                <c:pt idx="649">
                  <c:v>4.1399999999999999E-2</c:v>
                </c:pt>
                <c:pt idx="650">
                  <c:v>4.0669999999999998E-2</c:v>
                </c:pt>
                <c:pt idx="651">
                  <c:v>4.1700000000000001E-2</c:v>
                </c:pt>
                <c:pt idx="652">
                  <c:v>3.7990000000000003E-2</c:v>
                </c:pt>
                <c:pt idx="653">
                  <c:v>4.0430000000000001E-2</c:v>
                </c:pt>
                <c:pt idx="654">
                  <c:v>4.0599999999999997E-2</c:v>
                </c:pt>
                <c:pt idx="655">
                  <c:v>3.8789999999999998E-2</c:v>
                </c:pt>
                <c:pt idx="656">
                  <c:v>3.73E-2</c:v>
                </c:pt>
                <c:pt idx="657">
                  <c:v>3.8100000000000002E-2</c:v>
                </c:pt>
                <c:pt idx="658">
                  <c:v>4.3279999999999999E-2</c:v>
                </c:pt>
                <c:pt idx="659">
                  <c:v>4.3810000000000002E-2</c:v>
                </c:pt>
                <c:pt idx="660">
                  <c:v>4.317E-2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0A-46E2-BF3C-84C7E054076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-75.10110761933781</c:v>
                </c:pt>
                <c:pt idx="1">
                  <c:v>-75.097624748510981</c:v>
                </c:pt>
                <c:pt idx="2">
                  <c:v>-75.037991423765391</c:v>
                </c:pt>
                <c:pt idx="3">
                  <c:v>-74.991747644336826</c:v>
                </c:pt>
                <c:pt idx="4">
                  <c:v>-75.017004327198748</c:v>
                </c:pt>
                <c:pt idx="5">
                  <c:v>-75.07862711471833</c:v>
                </c:pt>
                <c:pt idx="6">
                  <c:v>-75.038537792871409</c:v>
                </c:pt>
                <c:pt idx="7">
                  <c:v>-74.884804704165049</c:v>
                </c:pt>
                <c:pt idx="8">
                  <c:v>-74.822056684223412</c:v>
                </c:pt>
                <c:pt idx="9">
                  <c:v>-74.802841720661775</c:v>
                </c:pt>
                <c:pt idx="10">
                  <c:v>-74.803418587038124</c:v>
                </c:pt>
                <c:pt idx="11">
                  <c:v>-74.768564749368991</c:v>
                </c:pt>
                <c:pt idx="12">
                  <c:v>-74.665233272616177</c:v>
                </c:pt>
                <c:pt idx="13">
                  <c:v>-74.679981604997892</c:v>
                </c:pt>
                <c:pt idx="14">
                  <c:v>-74.735191572197905</c:v>
                </c:pt>
                <c:pt idx="15">
                  <c:v>-74.640224106624871</c:v>
                </c:pt>
                <c:pt idx="16">
                  <c:v>-74.723297683176881</c:v>
                </c:pt>
                <c:pt idx="17">
                  <c:v>-74.66149320492822</c:v>
                </c:pt>
                <c:pt idx="18">
                  <c:v>-74.586575840447864</c:v>
                </c:pt>
                <c:pt idx="19">
                  <c:v>-74.351128978834353</c:v>
                </c:pt>
                <c:pt idx="20">
                  <c:v>-74.298619636287725</c:v>
                </c:pt>
                <c:pt idx="21">
                  <c:v>-74.183313791786304</c:v>
                </c:pt>
                <c:pt idx="22">
                  <c:v>-74.213924400416431</c:v>
                </c:pt>
                <c:pt idx="23">
                  <c:v>-74.108639032254757</c:v>
                </c:pt>
                <c:pt idx="24">
                  <c:v>-73.967152736480287</c:v>
                </c:pt>
                <c:pt idx="25">
                  <c:v>-73.945113871176758</c:v>
                </c:pt>
                <c:pt idx="26">
                  <c:v>-73.916671851617977</c:v>
                </c:pt>
                <c:pt idx="27">
                  <c:v>-73.948424226608267</c:v>
                </c:pt>
                <c:pt idx="28">
                  <c:v>-73.881057050679615</c:v>
                </c:pt>
                <c:pt idx="29">
                  <c:v>-73.829652570804626</c:v>
                </c:pt>
                <c:pt idx="30">
                  <c:v>-73.780674987713127</c:v>
                </c:pt>
                <c:pt idx="31">
                  <c:v>-73.592407640734322</c:v>
                </c:pt>
                <c:pt idx="32">
                  <c:v>-73.314164226844653</c:v>
                </c:pt>
                <c:pt idx="33">
                  <c:v>-73.393942420479164</c:v>
                </c:pt>
                <c:pt idx="34">
                  <c:v>-73.366223236111381</c:v>
                </c:pt>
                <c:pt idx="35">
                  <c:v>-73.243015369474506</c:v>
                </c:pt>
                <c:pt idx="36">
                  <c:v>-73.394650413345033</c:v>
                </c:pt>
                <c:pt idx="37">
                  <c:v>-73.445575674492574</c:v>
                </c:pt>
                <c:pt idx="38">
                  <c:v>-73.459284101728954</c:v>
                </c:pt>
                <c:pt idx="39">
                  <c:v>-73.513180227228943</c:v>
                </c:pt>
                <c:pt idx="40">
                  <c:v>-73.11306955629891</c:v>
                </c:pt>
                <c:pt idx="41">
                  <c:v>-73.390598148068563</c:v>
                </c:pt>
                <c:pt idx="42">
                  <c:v>-73.355846629181301</c:v>
                </c:pt>
                <c:pt idx="43">
                  <c:v>-73.209660326217332</c:v>
                </c:pt>
                <c:pt idx="44">
                  <c:v>-73.357356996008306</c:v>
                </c:pt>
                <c:pt idx="45">
                  <c:v>-73.353541475207834</c:v>
                </c:pt>
                <c:pt idx="46">
                  <c:v>-72.726517922930057</c:v>
                </c:pt>
                <c:pt idx="47">
                  <c:v>-72.517183807208212</c:v>
                </c:pt>
                <c:pt idx="48">
                  <c:v>-72.525971761614016</c:v>
                </c:pt>
                <c:pt idx="49">
                  <c:v>-72.142142833588309</c:v>
                </c:pt>
                <c:pt idx="50">
                  <c:v>-71.944138561549565</c:v>
                </c:pt>
                <c:pt idx="51">
                  <c:v>-72.037101820337341</c:v>
                </c:pt>
                <c:pt idx="52">
                  <c:v>-71.796976522140923</c:v>
                </c:pt>
                <c:pt idx="53">
                  <c:v>-72.11264441595101</c:v>
                </c:pt>
                <c:pt idx="54">
                  <c:v>-72.042175421502023</c:v>
                </c:pt>
                <c:pt idx="55">
                  <c:v>-72.132576996412581</c:v>
                </c:pt>
                <c:pt idx="56">
                  <c:v>-71.520527702779418</c:v>
                </c:pt>
                <c:pt idx="57">
                  <c:v>-71.531132283040705</c:v>
                </c:pt>
                <c:pt idx="58">
                  <c:v>-71.351185097550371</c:v>
                </c:pt>
                <c:pt idx="59">
                  <c:v>-71.22442967501064</c:v>
                </c:pt>
                <c:pt idx="60">
                  <c:v>-70.704119638048624</c:v>
                </c:pt>
                <c:pt idx="61">
                  <c:v>-70.750393131135652</c:v>
                </c:pt>
                <c:pt idx="62">
                  <c:v>-70.203529158030747</c:v>
                </c:pt>
                <c:pt idx="63">
                  <c:v>-69.616664472295113</c:v>
                </c:pt>
                <c:pt idx="64">
                  <c:v>-69.952340231705236</c:v>
                </c:pt>
                <c:pt idx="65">
                  <c:v>-69.928643904306099</c:v>
                </c:pt>
                <c:pt idx="66">
                  <c:v>-69.904290811189156</c:v>
                </c:pt>
                <c:pt idx="67">
                  <c:v>-69.625170305387599</c:v>
                </c:pt>
                <c:pt idx="68">
                  <c:v>-68.373057140869264</c:v>
                </c:pt>
                <c:pt idx="69">
                  <c:v>-68.732534149354223</c:v>
                </c:pt>
                <c:pt idx="70">
                  <c:v>-68.962394153789035</c:v>
                </c:pt>
                <c:pt idx="71">
                  <c:v>-68.791812346006708</c:v>
                </c:pt>
                <c:pt idx="72">
                  <c:v>-68.870544698041286</c:v>
                </c:pt>
                <c:pt idx="73">
                  <c:v>-68.668499626029444</c:v>
                </c:pt>
                <c:pt idx="74">
                  <c:v>-68.517780636473418</c:v>
                </c:pt>
                <c:pt idx="75">
                  <c:v>-68.758700665971759</c:v>
                </c:pt>
                <c:pt idx="76">
                  <c:v>-68.776475719291199</c:v>
                </c:pt>
                <c:pt idx="77">
                  <c:v>-68.722537540177797</c:v>
                </c:pt>
                <c:pt idx="78">
                  <c:v>-68.877920470063572</c:v>
                </c:pt>
                <c:pt idx="79">
                  <c:v>-68.688464121622602</c:v>
                </c:pt>
                <c:pt idx="80">
                  <c:v>-68.475043063105161</c:v>
                </c:pt>
                <c:pt idx="81">
                  <c:v>-67.886086244302206</c:v>
                </c:pt>
                <c:pt idx="82">
                  <c:v>-67.919607399209895</c:v>
                </c:pt>
                <c:pt idx="83">
                  <c:v>-67.940171834764101</c:v>
                </c:pt>
                <c:pt idx="84">
                  <c:v>-67.652658020664092</c:v>
                </c:pt>
                <c:pt idx="85">
                  <c:v>-66.951143502915542</c:v>
                </c:pt>
                <c:pt idx="86">
                  <c:v>-65.341787101430612</c:v>
                </c:pt>
                <c:pt idx="87">
                  <c:v>-65.280017380313936</c:v>
                </c:pt>
                <c:pt idx="88">
                  <c:v>-65.422070536673118</c:v>
                </c:pt>
                <c:pt idx="89">
                  <c:v>-65.445374458005944</c:v>
                </c:pt>
                <c:pt idx="90">
                  <c:v>-65.028621760220389</c:v>
                </c:pt>
                <c:pt idx="91">
                  <c:v>-65.156129424047265</c:v>
                </c:pt>
                <c:pt idx="92">
                  <c:v>-65.095107976300028</c:v>
                </c:pt>
                <c:pt idx="93">
                  <c:v>-64.785047824404884</c:v>
                </c:pt>
                <c:pt idx="94">
                  <c:v>-64.735179305948606</c:v>
                </c:pt>
                <c:pt idx="95">
                  <c:v>-64.764177681303281</c:v>
                </c:pt>
                <c:pt idx="96">
                  <c:v>-64.556086203986197</c:v>
                </c:pt>
                <c:pt idx="97">
                  <c:v>-64.449736186033519</c:v>
                </c:pt>
                <c:pt idx="98">
                  <c:v>-64.249845928782108</c:v>
                </c:pt>
                <c:pt idx="99">
                  <c:v>-63.90097569773878</c:v>
                </c:pt>
                <c:pt idx="100">
                  <c:v>-64.071006480047345</c:v>
                </c:pt>
                <c:pt idx="101">
                  <c:v>-63.967263328188665</c:v>
                </c:pt>
                <c:pt idx="102">
                  <c:v>-63.877022906705783</c:v>
                </c:pt>
                <c:pt idx="103">
                  <c:v>-63.30798186631511</c:v>
                </c:pt>
                <c:pt idx="104">
                  <c:v>-62.885157810844824</c:v>
                </c:pt>
                <c:pt idx="105">
                  <c:v>-62.561310838476672</c:v>
                </c:pt>
                <c:pt idx="106">
                  <c:v>-62.0161721060311</c:v>
                </c:pt>
                <c:pt idx="107">
                  <c:v>-60.510177996923261</c:v>
                </c:pt>
                <c:pt idx="108">
                  <c:v>-60.737648510030851</c:v>
                </c:pt>
                <c:pt idx="109">
                  <c:v>-59.691563712859924</c:v>
                </c:pt>
                <c:pt idx="110">
                  <c:v>-50.453993655564481</c:v>
                </c:pt>
                <c:pt idx="111">
                  <c:v>-49.038916252448779</c:v>
                </c:pt>
                <c:pt idx="112">
                  <c:v>-48.881132919431337</c:v>
                </c:pt>
                <c:pt idx="113">
                  <c:v>-48.802542830688537</c:v>
                </c:pt>
                <c:pt idx="114">
                  <c:v>-48.776111584377283</c:v>
                </c:pt>
                <c:pt idx="115">
                  <c:v>-48.952602892053179</c:v>
                </c:pt>
                <c:pt idx="116">
                  <c:v>-48.783983038660971</c:v>
                </c:pt>
                <c:pt idx="117">
                  <c:v>-48.817993764454165</c:v>
                </c:pt>
                <c:pt idx="118">
                  <c:v>-48.556055696360417</c:v>
                </c:pt>
                <c:pt idx="119">
                  <c:v>-48.823840820182419</c:v>
                </c:pt>
                <c:pt idx="120">
                  <c:v>-48.944376549247394</c:v>
                </c:pt>
                <c:pt idx="121">
                  <c:v>-48.846269854163012</c:v>
                </c:pt>
                <c:pt idx="122">
                  <c:v>-48.505454386555748</c:v>
                </c:pt>
                <c:pt idx="123">
                  <c:v>-48.188389778712327</c:v>
                </c:pt>
                <c:pt idx="124">
                  <c:v>-48.228670082575654</c:v>
                </c:pt>
                <c:pt idx="125">
                  <c:v>-48.055180873517699</c:v>
                </c:pt>
                <c:pt idx="126">
                  <c:v>-48.052644678963226</c:v>
                </c:pt>
                <c:pt idx="127">
                  <c:v>-48.051466423488066</c:v>
                </c:pt>
                <c:pt idx="128">
                  <c:v>-48.175058547546861</c:v>
                </c:pt>
                <c:pt idx="129">
                  <c:v>-47.926843337066103</c:v>
                </c:pt>
                <c:pt idx="130">
                  <c:v>-47.738939963144531</c:v>
                </c:pt>
                <c:pt idx="131">
                  <c:v>-47.327006624629938</c:v>
                </c:pt>
                <c:pt idx="132">
                  <c:v>-47.186205743342583</c:v>
                </c:pt>
                <c:pt idx="133">
                  <c:v>-46.522064471151161</c:v>
                </c:pt>
                <c:pt idx="134">
                  <c:v>-46.356426204339449</c:v>
                </c:pt>
                <c:pt idx="135">
                  <c:v>-46.468455088946193</c:v>
                </c:pt>
                <c:pt idx="136">
                  <c:v>-46.474372080805338</c:v>
                </c:pt>
                <c:pt idx="137">
                  <c:v>-46.474891249866495</c:v>
                </c:pt>
                <c:pt idx="138">
                  <c:v>-46.580958947967495</c:v>
                </c:pt>
                <c:pt idx="139">
                  <c:v>-46.454278055324863</c:v>
                </c:pt>
                <c:pt idx="140">
                  <c:v>-46.2208159896065</c:v>
                </c:pt>
                <c:pt idx="141">
                  <c:v>-46.221316529032812</c:v>
                </c:pt>
                <c:pt idx="142">
                  <c:v>-46.437575917812808</c:v>
                </c:pt>
                <c:pt idx="143">
                  <c:v>-45.98027942127041</c:v>
                </c:pt>
                <c:pt idx="144">
                  <c:v>-46.379700395401315</c:v>
                </c:pt>
                <c:pt idx="145">
                  <c:v>-46.787139133075307</c:v>
                </c:pt>
                <c:pt idx="146">
                  <c:v>-47.086725780112744</c:v>
                </c:pt>
                <c:pt idx="147">
                  <c:v>-47.09667454477254</c:v>
                </c:pt>
                <c:pt idx="148">
                  <c:v>-46.85996970830135</c:v>
                </c:pt>
                <c:pt idx="149">
                  <c:v>-47.076834230853621</c:v>
                </c:pt>
                <c:pt idx="150">
                  <c:v>-46.755215585915664</c:v>
                </c:pt>
                <c:pt idx="151">
                  <c:v>-46.351787091194211</c:v>
                </c:pt>
                <c:pt idx="152">
                  <c:v>-46.525823932906803</c:v>
                </c:pt>
                <c:pt idx="153">
                  <c:v>-46.240953793191444</c:v>
                </c:pt>
                <c:pt idx="154">
                  <c:v>-46.517397951303444</c:v>
                </c:pt>
                <c:pt idx="155">
                  <c:v>-45.815353752187796</c:v>
                </c:pt>
                <c:pt idx="156">
                  <c:v>-46.11581099735389</c:v>
                </c:pt>
                <c:pt idx="157">
                  <c:v>-45.70798826927696</c:v>
                </c:pt>
                <c:pt idx="158">
                  <c:v>-45.469608961515391</c:v>
                </c:pt>
                <c:pt idx="159">
                  <c:v>-45.587367453515384</c:v>
                </c:pt>
                <c:pt idx="160">
                  <c:v>-45.38643751306774</c:v>
                </c:pt>
                <c:pt idx="161">
                  <c:v>-45.140196778823302</c:v>
                </c:pt>
                <c:pt idx="162">
                  <c:v>-45.195851761616403</c:v>
                </c:pt>
                <c:pt idx="163">
                  <c:v>-44.583934422644724</c:v>
                </c:pt>
                <c:pt idx="164">
                  <c:v>-44.867247150967046</c:v>
                </c:pt>
                <c:pt idx="165">
                  <c:v>-44.377638851281141</c:v>
                </c:pt>
                <c:pt idx="166">
                  <c:v>-44.560002276415773</c:v>
                </c:pt>
                <c:pt idx="167">
                  <c:v>-43.999130518588395</c:v>
                </c:pt>
                <c:pt idx="168">
                  <c:v>-44.299568703511305</c:v>
                </c:pt>
                <c:pt idx="169">
                  <c:v>-43.94654519634156</c:v>
                </c:pt>
                <c:pt idx="170">
                  <c:v>-43.483773560125499</c:v>
                </c:pt>
                <c:pt idx="171">
                  <c:v>-43.494001819290808</c:v>
                </c:pt>
                <c:pt idx="172">
                  <c:v>-43.652950967127573</c:v>
                </c:pt>
                <c:pt idx="173">
                  <c:v>-42.592146056573363</c:v>
                </c:pt>
                <c:pt idx="174">
                  <c:v>-42.148447144434137</c:v>
                </c:pt>
                <c:pt idx="175">
                  <c:v>-40.977524738425323</c:v>
                </c:pt>
                <c:pt idx="176">
                  <c:v>-41.002901574384929</c:v>
                </c:pt>
                <c:pt idx="177">
                  <c:v>-41.253132506381057</c:v>
                </c:pt>
                <c:pt idx="178">
                  <c:v>-41.603112455136639</c:v>
                </c:pt>
                <c:pt idx="179">
                  <c:v>-41.397662082575188</c:v>
                </c:pt>
                <c:pt idx="180">
                  <c:v>-40.86346978717431</c:v>
                </c:pt>
                <c:pt idx="181">
                  <c:v>-40.555005291023015</c:v>
                </c:pt>
                <c:pt idx="182">
                  <c:v>-41.016386269474971</c:v>
                </c:pt>
                <c:pt idx="183">
                  <c:v>-41.490513423149885</c:v>
                </c:pt>
                <c:pt idx="184">
                  <c:v>-41.33744466145103</c:v>
                </c:pt>
                <c:pt idx="185">
                  <c:v>-41.581090592536178</c:v>
                </c:pt>
                <c:pt idx="186">
                  <c:v>-40.396836315732898</c:v>
                </c:pt>
                <c:pt idx="187">
                  <c:v>-40.67928750934071</c:v>
                </c:pt>
                <c:pt idx="188">
                  <c:v>-40.288601324610283</c:v>
                </c:pt>
                <c:pt idx="189">
                  <c:v>-40.713733098684351</c:v>
                </c:pt>
                <c:pt idx="190">
                  <c:v>-40.96898716675453</c:v>
                </c:pt>
                <c:pt idx="191">
                  <c:v>-41.344999501805106</c:v>
                </c:pt>
                <c:pt idx="192">
                  <c:v>-41.181685091940146</c:v>
                </c:pt>
                <c:pt idx="193">
                  <c:v>-41.003750154379034</c:v>
                </c:pt>
                <c:pt idx="194">
                  <c:v>-40.703795707087274</c:v>
                </c:pt>
                <c:pt idx="195">
                  <c:v>-39.361284054372589</c:v>
                </c:pt>
                <c:pt idx="196">
                  <c:v>-37.356971663039111</c:v>
                </c:pt>
                <c:pt idx="197">
                  <c:v>-37.439482599261332</c:v>
                </c:pt>
                <c:pt idx="198">
                  <c:v>-37.694873858200083</c:v>
                </c:pt>
                <c:pt idx="199">
                  <c:v>-37.566290013640085</c:v>
                </c:pt>
                <c:pt idx="200">
                  <c:v>-37.376457435225511</c:v>
                </c:pt>
                <c:pt idx="201">
                  <c:v>-37.28337737993283</c:v>
                </c:pt>
                <c:pt idx="202">
                  <c:v>-37.068176662713775</c:v>
                </c:pt>
                <c:pt idx="203">
                  <c:v>-37.305907286516394</c:v>
                </c:pt>
                <c:pt idx="204">
                  <c:v>-36.326121656312509</c:v>
                </c:pt>
                <c:pt idx="205">
                  <c:v>-36.056741251707415</c:v>
                </c:pt>
                <c:pt idx="206">
                  <c:v>-35.540312189612173</c:v>
                </c:pt>
                <c:pt idx="207">
                  <c:v>-35.174603437416181</c:v>
                </c:pt>
                <c:pt idx="208">
                  <c:v>-34.999924117370725</c:v>
                </c:pt>
                <c:pt idx="209">
                  <c:v>-34.727340614765666</c:v>
                </c:pt>
                <c:pt idx="210">
                  <c:v>-34.885035850033752</c:v>
                </c:pt>
                <c:pt idx="211">
                  <c:v>-34.630203198448385</c:v>
                </c:pt>
                <c:pt idx="212">
                  <c:v>-34.702204302476801</c:v>
                </c:pt>
                <c:pt idx="213">
                  <c:v>-33.905774685897548</c:v>
                </c:pt>
                <c:pt idx="214">
                  <c:v>-33.92011848352012</c:v>
                </c:pt>
                <c:pt idx="215">
                  <c:v>-34.24322269173291</c:v>
                </c:pt>
                <c:pt idx="216">
                  <c:v>-34.652771034070781</c:v>
                </c:pt>
                <c:pt idx="217">
                  <c:v>-33.519290008048401</c:v>
                </c:pt>
                <c:pt idx="218">
                  <c:v>-33.57011931268319</c:v>
                </c:pt>
                <c:pt idx="219">
                  <c:v>-35.007756566188583</c:v>
                </c:pt>
                <c:pt idx="220">
                  <c:v>-34.318422048999103</c:v>
                </c:pt>
                <c:pt idx="221">
                  <c:v>-32.702474088508303</c:v>
                </c:pt>
                <c:pt idx="222">
                  <c:v>-32.550847391830203</c:v>
                </c:pt>
                <c:pt idx="223">
                  <c:v>-33.836154438298429</c:v>
                </c:pt>
                <c:pt idx="224">
                  <c:v>-32.781550376120464</c:v>
                </c:pt>
                <c:pt idx="225">
                  <c:v>-32.073970025072846</c:v>
                </c:pt>
                <c:pt idx="226">
                  <c:v>-31.111072721024684</c:v>
                </c:pt>
                <c:pt idx="227">
                  <c:v>-30.012328949734172</c:v>
                </c:pt>
                <c:pt idx="228">
                  <c:v>-27.262166160668492</c:v>
                </c:pt>
                <c:pt idx="229">
                  <c:v>-23.47193465213309</c:v>
                </c:pt>
                <c:pt idx="230">
                  <c:v>-27.535018825633088</c:v>
                </c:pt>
                <c:pt idx="231">
                  <c:v>-19.74255374857843</c:v>
                </c:pt>
                <c:pt idx="232">
                  <c:v>-23.280850506863946</c:v>
                </c:pt>
                <c:pt idx="233">
                  <c:v>-13.217672455685234</c:v>
                </c:pt>
                <c:pt idx="234">
                  <c:v>-13.718668042215771</c:v>
                </c:pt>
                <c:pt idx="235">
                  <c:v>-13.590846718506038</c:v>
                </c:pt>
                <c:pt idx="236">
                  <c:v>-13.206992955077467</c:v>
                </c:pt>
                <c:pt idx="237">
                  <c:v>-13.096194167608717</c:v>
                </c:pt>
                <c:pt idx="238">
                  <c:v>-12.995928856762651</c:v>
                </c:pt>
                <c:pt idx="239">
                  <c:v>-13.064635591059202</c:v>
                </c:pt>
                <c:pt idx="240">
                  <c:v>-13.078760447283065</c:v>
                </c:pt>
                <c:pt idx="241">
                  <c:v>-13.042299898573299</c:v>
                </c:pt>
                <c:pt idx="242">
                  <c:v>-13.130835155915305</c:v>
                </c:pt>
                <c:pt idx="243">
                  <c:v>-13.19857532875481</c:v>
                </c:pt>
                <c:pt idx="244">
                  <c:v>-13.159227905149626</c:v>
                </c:pt>
                <c:pt idx="245">
                  <c:v>-13.075067999929862</c:v>
                </c:pt>
                <c:pt idx="246">
                  <c:v>-12.967615327362934</c:v>
                </c:pt>
                <c:pt idx="247">
                  <c:v>-13.327161752701933</c:v>
                </c:pt>
                <c:pt idx="248">
                  <c:v>-13.386254190015048</c:v>
                </c:pt>
                <c:pt idx="249">
                  <c:v>-13.572585118310382</c:v>
                </c:pt>
                <c:pt idx="250">
                  <c:v>-13.536536787232397</c:v>
                </c:pt>
                <c:pt idx="251">
                  <c:v>-13.434774787201658</c:v>
                </c:pt>
                <c:pt idx="252">
                  <c:v>-13.298523501412184</c:v>
                </c:pt>
                <c:pt idx="253">
                  <c:v>-13.462728253741878</c:v>
                </c:pt>
                <c:pt idx="254">
                  <c:v>-13.191443408767595</c:v>
                </c:pt>
                <c:pt idx="255">
                  <c:v>-12.961277602145994</c:v>
                </c:pt>
                <c:pt idx="256">
                  <c:v>-12.596949079871193</c:v>
                </c:pt>
                <c:pt idx="257">
                  <c:v>-10.495156702658452</c:v>
                </c:pt>
                <c:pt idx="258">
                  <c:v>-10.699244202522282</c:v>
                </c:pt>
                <c:pt idx="259">
                  <c:v>-10.625808523548011</c:v>
                </c:pt>
                <c:pt idx="260">
                  <c:v>-10.575631138487113</c:v>
                </c:pt>
                <c:pt idx="261">
                  <c:v>-10.367921768218663</c:v>
                </c:pt>
                <c:pt idx="262">
                  <c:v>-10.468315317871841</c:v>
                </c:pt>
                <c:pt idx="263">
                  <c:v>-10.331846537970078</c:v>
                </c:pt>
                <c:pt idx="264">
                  <c:v>-10.277414970211909</c:v>
                </c:pt>
                <c:pt idx="265">
                  <c:v>-10.22636986031339</c:v>
                </c:pt>
                <c:pt idx="266">
                  <c:v>-10.200138085109355</c:v>
                </c:pt>
                <c:pt idx="267">
                  <c:v>-9.9820223982878264</c:v>
                </c:pt>
                <c:pt idx="268">
                  <c:v>-10.232954717279471</c:v>
                </c:pt>
                <c:pt idx="269">
                  <c:v>-9.7916222238512312</c:v>
                </c:pt>
                <c:pt idx="270">
                  <c:v>-9.910908827401423</c:v>
                </c:pt>
                <c:pt idx="271">
                  <c:v>-9.84590542002781</c:v>
                </c:pt>
                <c:pt idx="272">
                  <c:v>-9.7350671774958943</c:v>
                </c:pt>
                <c:pt idx="273">
                  <c:v>-10.027646518511057</c:v>
                </c:pt>
                <c:pt idx="274">
                  <c:v>-10.05519549451809</c:v>
                </c:pt>
                <c:pt idx="275">
                  <c:v>-10.05799785231121</c:v>
                </c:pt>
                <c:pt idx="276">
                  <c:v>-10.30603774085272</c:v>
                </c:pt>
                <c:pt idx="277">
                  <c:v>-10.550604866624589</c:v>
                </c:pt>
                <c:pt idx="278">
                  <c:v>-10.599746973212181</c:v>
                </c:pt>
                <c:pt idx="279">
                  <c:v>-10.425374773624622</c:v>
                </c:pt>
                <c:pt idx="280">
                  <c:v>-10.592692149879085</c:v>
                </c:pt>
                <c:pt idx="281">
                  <c:v>-10.430491317072903</c:v>
                </c:pt>
                <c:pt idx="282">
                  <c:v>-10.226528018997215</c:v>
                </c:pt>
                <c:pt idx="283">
                  <c:v>-10.344831100354877</c:v>
                </c:pt>
                <c:pt idx="284">
                  <c:v>-10.170202335301536</c:v>
                </c:pt>
                <c:pt idx="285">
                  <c:v>-10.100262725045766</c:v>
                </c:pt>
                <c:pt idx="286">
                  <c:v>-9.8211202764278784</c:v>
                </c:pt>
                <c:pt idx="287">
                  <c:v>-9.9464149098166192</c:v>
                </c:pt>
                <c:pt idx="288">
                  <c:v>-9.795054865762566</c:v>
                </c:pt>
                <c:pt idx="289">
                  <c:v>-10.120464571943135</c:v>
                </c:pt>
                <c:pt idx="290">
                  <c:v>-9.9530210857326988</c:v>
                </c:pt>
                <c:pt idx="291">
                  <c:v>-9.5723595630581837</c:v>
                </c:pt>
                <c:pt idx="292">
                  <c:v>-9.8777623877638927</c:v>
                </c:pt>
                <c:pt idx="293">
                  <c:v>-9.7465620055811044</c:v>
                </c:pt>
                <c:pt idx="294">
                  <c:v>-9.4126257237985751</c:v>
                </c:pt>
                <c:pt idx="295">
                  <c:v>-9.5704199877849554</c:v>
                </c:pt>
                <c:pt idx="296">
                  <c:v>-8.2042858509003711</c:v>
                </c:pt>
                <c:pt idx="297">
                  <c:v>-8.4478175559962487</c:v>
                </c:pt>
                <c:pt idx="298">
                  <c:v>-8.6438742097916403</c:v>
                </c:pt>
                <c:pt idx="299">
                  <c:v>-8.8237222723507802</c:v>
                </c:pt>
                <c:pt idx="300">
                  <c:v>-8.4880963535210601</c:v>
                </c:pt>
                <c:pt idx="301">
                  <c:v>-8.2127561865892691</c:v>
                </c:pt>
                <c:pt idx="302">
                  <c:v>-8.3388612149685546</c:v>
                </c:pt>
                <c:pt idx="303">
                  <c:v>-8.0838150292788704</c:v>
                </c:pt>
                <c:pt idx="304">
                  <c:v>-8.3247758724931327</c:v>
                </c:pt>
                <c:pt idx="305">
                  <c:v>-8.7566776517645355</c:v>
                </c:pt>
                <c:pt idx="306">
                  <c:v>-8.7571393327219127</c:v>
                </c:pt>
                <c:pt idx="307">
                  <c:v>-8.5842841075882284</c:v>
                </c:pt>
                <c:pt idx="308">
                  <c:v>-8.7048498659485318</c:v>
                </c:pt>
                <c:pt idx="309">
                  <c:v>-8.2084097220863121</c:v>
                </c:pt>
                <c:pt idx="310">
                  <c:v>-6.9808125982330154</c:v>
                </c:pt>
                <c:pt idx="311">
                  <c:v>-6.7548222104804436</c:v>
                </c:pt>
                <c:pt idx="312">
                  <c:v>-6.5349460264603518</c:v>
                </c:pt>
                <c:pt idx="313">
                  <c:v>-6.5601163013183905</c:v>
                </c:pt>
                <c:pt idx="314">
                  <c:v>-6.2145465063183902</c:v>
                </c:pt>
                <c:pt idx="315">
                  <c:v>-6.5155338898905306</c:v>
                </c:pt>
                <c:pt idx="316">
                  <c:v>-6.3469699053232178</c:v>
                </c:pt>
                <c:pt idx="317">
                  <c:v>-6.5074668232893327</c:v>
                </c:pt>
                <c:pt idx="318">
                  <c:v>-6.4021439933177691</c:v>
                </c:pt>
                <c:pt idx="319">
                  <c:v>-6.7552923232168647</c:v>
                </c:pt>
                <c:pt idx="320">
                  <c:v>-6.5697292537168641</c:v>
                </c:pt>
                <c:pt idx="321">
                  <c:v>-6.6797546548901048</c:v>
                </c:pt>
                <c:pt idx="322">
                  <c:v>-6.9534656785878672</c:v>
                </c:pt>
                <c:pt idx="323">
                  <c:v>-7.0433040028173162</c:v>
                </c:pt>
                <c:pt idx="324">
                  <c:v>-6.9053511310401419</c:v>
                </c:pt>
                <c:pt idx="325">
                  <c:v>-7.2253140206386934</c:v>
                </c:pt>
                <c:pt idx="326">
                  <c:v>-7.3644008535365355</c:v>
                </c:pt>
                <c:pt idx="327">
                  <c:v>-7.3221217350879719</c:v>
                </c:pt>
                <c:pt idx="328">
                  <c:v>-7.3339640813291433</c:v>
                </c:pt>
                <c:pt idx="329">
                  <c:v>-7.3120293195015575</c:v>
                </c:pt>
                <c:pt idx="330">
                  <c:v>-7.2324017485803163</c:v>
                </c:pt>
                <c:pt idx="331">
                  <c:v>-7.1698019203700394</c:v>
                </c:pt>
                <c:pt idx="332">
                  <c:v>-7.2403339626168668</c:v>
                </c:pt>
                <c:pt idx="333">
                  <c:v>-7.3523661599588239</c:v>
                </c:pt>
                <c:pt idx="334">
                  <c:v>-7.2977469456069839</c:v>
                </c:pt>
                <c:pt idx="335">
                  <c:v>-7.0530525360001795</c:v>
                </c:pt>
                <c:pt idx="336">
                  <c:v>-7.0762409194536309</c:v>
                </c:pt>
                <c:pt idx="337">
                  <c:v>-6.9507764087978314</c:v>
                </c:pt>
                <c:pt idx="338">
                  <c:v>-6.9901390996846233</c:v>
                </c:pt>
                <c:pt idx="339">
                  <c:v>-6.9161644290792799</c:v>
                </c:pt>
                <c:pt idx="340">
                  <c:v>-6.9018542847453741</c:v>
                </c:pt>
                <c:pt idx="341">
                  <c:v>-6.9763490582616257</c:v>
                </c:pt>
                <c:pt idx="342">
                  <c:v>-6.8213076356817561</c:v>
                </c:pt>
                <c:pt idx="343">
                  <c:v>-6.7825691206852898</c:v>
                </c:pt>
                <c:pt idx="344">
                  <c:v>-6.7156185185549893</c:v>
                </c:pt>
                <c:pt idx="345">
                  <c:v>-6.839230671034076</c:v>
                </c:pt>
                <c:pt idx="346">
                  <c:v>-6.7501861176684601</c:v>
                </c:pt>
                <c:pt idx="347">
                  <c:v>-6.7174772852530023</c:v>
                </c:pt>
                <c:pt idx="348">
                  <c:v>-6.3653140504037475</c:v>
                </c:pt>
                <c:pt idx="349">
                  <c:v>-6.0961464363063476</c:v>
                </c:pt>
                <c:pt idx="350">
                  <c:v>-4.9241805501582157</c:v>
                </c:pt>
                <c:pt idx="351">
                  <c:v>-4.9693444761554169</c:v>
                </c:pt>
                <c:pt idx="352">
                  <c:v>-5.2705065753497378</c:v>
                </c:pt>
                <c:pt idx="353">
                  <c:v>-5.3232364258208289</c:v>
                </c:pt>
                <c:pt idx="354">
                  <c:v>-5.4168377327662647</c:v>
                </c:pt>
                <c:pt idx="355">
                  <c:v>-5.4065762767578613</c:v>
                </c:pt>
                <c:pt idx="356">
                  <c:v>-5.275998718570853</c:v>
                </c:pt>
                <c:pt idx="357">
                  <c:v>-5.389630777107266</c:v>
                </c:pt>
                <c:pt idx="358">
                  <c:v>-5.3407612927064356</c:v>
                </c:pt>
                <c:pt idx="359">
                  <c:v>-5.6223292786915096</c:v>
                </c:pt>
                <c:pt idx="360">
                  <c:v>-5.6740494952915093</c:v>
                </c:pt>
                <c:pt idx="361">
                  <c:v>-5.7297315769050794</c:v>
                </c:pt>
                <c:pt idx="362">
                  <c:v>-5.7051535727910005</c:v>
                </c:pt>
                <c:pt idx="363">
                  <c:v>-5.7734313976895617</c:v>
                </c:pt>
                <c:pt idx="364">
                  <c:v>-5.8078773936123085</c:v>
                </c:pt>
                <c:pt idx="365">
                  <c:v>-5.8076990310681644</c:v>
                </c:pt>
                <c:pt idx="366">
                  <c:v>-5.7450125160908057</c:v>
                </c:pt>
                <c:pt idx="367">
                  <c:v>-5.8710767244975637</c:v>
                </c:pt>
                <c:pt idx="368">
                  <c:v>-5.7350814393343592</c:v>
                </c:pt>
                <c:pt idx="369">
                  <c:v>-5.570174158948884</c:v>
                </c:pt>
                <c:pt idx="370">
                  <c:v>-5.0191164222326687</c:v>
                </c:pt>
                <c:pt idx="371">
                  <c:v>-5.145621225507516</c:v>
                </c:pt>
                <c:pt idx="372">
                  <c:v>-4.9559479376850497</c:v>
                </c:pt>
                <c:pt idx="373">
                  <c:v>-5.0853190704850482</c:v>
                </c:pt>
                <c:pt idx="374">
                  <c:v>-5.1481607234127074</c:v>
                </c:pt>
                <c:pt idx="375">
                  <c:v>-5.1597556593723857</c:v>
                </c:pt>
                <c:pt idx="376">
                  <c:v>-5.1835734406855174</c:v>
                </c:pt>
                <c:pt idx="377">
                  <c:v>-5.2213386400188497</c:v>
                </c:pt>
                <c:pt idx="378">
                  <c:v>-5.2978245334188507</c:v>
                </c:pt>
                <c:pt idx="379">
                  <c:v>-5.2465071925681039</c:v>
                </c:pt>
                <c:pt idx="380">
                  <c:v>-5.3213737443134068</c:v>
                </c:pt>
                <c:pt idx="381">
                  <c:v>-5.3460952708620306</c:v>
                </c:pt>
                <c:pt idx="382">
                  <c:v>-5.3447614581947889</c:v>
                </c:pt>
                <c:pt idx="383">
                  <c:v>-5.2378893049907207</c:v>
                </c:pt>
                <c:pt idx="384">
                  <c:v>-4.6800324067034689</c:v>
                </c:pt>
                <c:pt idx="385">
                  <c:v>-5.1513681239801494</c:v>
                </c:pt>
                <c:pt idx="386">
                  <c:v>-4.7855513917682844</c:v>
                </c:pt>
                <c:pt idx="387">
                  <c:v>-4.7755270870393556</c:v>
                </c:pt>
                <c:pt idx="388">
                  <c:v>-4.8316583518554088</c:v>
                </c:pt>
                <c:pt idx="389">
                  <c:v>-4.793280723806026</c:v>
                </c:pt>
                <c:pt idx="390">
                  <c:v>-4.7819006822183967</c:v>
                </c:pt>
                <c:pt idx="391">
                  <c:v>-4.793401449043639</c:v>
                </c:pt>
                <c:pt idx="392">
                  <c:v>-4.7610565296688288</c:v>
                </c:pt>
                <c:pt idx="393">
                  <c:v>-4.7350041857784193</c:v>
                </c:pt>
                <c:pt idx="394">
                  <c:v>-4.6974665937699802</c:v>
                </c:pt>
                <c:pt idx="395">
                  <c:v>-4.6707406234793627</c:v>
                </c:pt>
                <c:pt idx="396">
                  <c:v>-4.5401024847677061</c:v>
                </c:pt>
                <c:pt idx="397">
                  <c:v>-4.1676439578166429</c:v>
                </c:pt>
                <c:pt idx="398">
                  <c:v>-3.3278158765165244</c:v>
                </c:pt>
                <c:pt idx="399">
                  <c:v>-3.2917954947773937</c:v>
                </c:pt>
                <c:pt idx="400">
                  <c:v>-3.3296951733488225</c:v>
                </c:pt>
                <c:pt idx="401">
                  <c:v>-3.2445032979671624</c:v>
                </c:pt>
                <c:pt idx="402">
                  <c:v>-3.1704581389688773</c:v>
                </c:pt>
                <c:pt idx="403">
                  <c:v>-3.0855488498388923</c:v>
                </c:pt>
                <c:pt idx="404">
                  <c:v>-2.4197270742100474</c:v>
                </c:pt>
                <c:pt idx="405">
                  <c:v>-2.4202692698450283</c:v>
                </c:pt>
                <c:pt idx="406">
                  <c:v>-2.4474221192483432</c:v>
                </c:pt>
                <c:pt idx="407">
                  <c:v>-2.3413636043289401</c:v>
                </c:pt>
                <c:pt idx="408">
                  <c:v>-2.3466740592164785</c:v>
                </c:pt>
                <c:pt idx="409">
                  <c:v>-2.4083735374123547</c:v>
                </c:pt>
                <c:pt idx="410">
                  <c:v>-2.3742844535187384</c:v>
                </c:pt>
                <c:pt idx="411">
                  <c:v>-2.3725570916020722</c:v>
                </c:pt>
                <c:pt idx="412">
                  <c:v>-2.336741201608898</c:v>
                </c:pt>
                <c:pt idx="413">
                  <c:v>-2.3322998215474939</c:v>
                </c:pt>
                <c:pt idx="414">
                  <c:v>-2.3350253834829782</c:v>
                </c:pt>
                <c:pt idx="415">
                  <c:v>-2.3669783573634127</c:v>
                </c:pt>
                <c:pt idx="416">
                  <c:v>-2.3250769933464639</c:v>
                </c:pt>
                <c:pt idx="417">
                  <c:v>-2.3212902321571893</c:v>
                </c:pt>
                <c:pt idx="418">
                  <c:v>-2.3121551092289594</c:v>
                </c:pt>
                <c:pt idx="419">
                  <c:v>-2.3236682211216628</c:v>
                </c:pt>
                <c:pt idx="420">
                  <c:v>-2.2912439637812376</c:v>
                </c:pt>
                <c:pt idx="421">
                  <c:v>-2.288591393364571</c:v>
                </c:pt>
                <c:pt idx="422">
                  <c:v>-2.2977134471881002</c:v>
                </c:pt>
                <c:pt idx="423">
                  <c:v>-2.2656790796706585</c:v>
                </c:pt>
                <c:pt idx="424">
                  <c:v>-2.2445798757714046</c:v>
                </c:pt>
                <c:pt idx="425">
                  <c:v>-2.2311930819364534</c:v>
                </c:pt>
                <c:pt idx="426">
                  <c:v>-2.2602374994093215</c:v>
                </c:pt>
                <c:pt idx="427">
                  <c:v>-2.2798836188348535</c:v>
                </c:pt>
                <c:pt idx="428">
                  <c:v>-2.2433057164151751</c:v>
                </c:pt>
                <c:pt idx="429">
                  <c:v>-2.1660616479853236</c:v>
                </c:pt>
                <c:pt idx="430">
                  <c:v>-2.151850551721461</c:v>
                </c:pt>
                <c:pt idx="431">
                  <c:v>-2.1917569659922038</c:v>
                </c:pt>
                <c:pt idx="432">
                  <c:v>-2.1907094943665877</c:v>
                </c:pt>
                <c:pt idx="433">
                  <c:v>-2.2289107419415877</c:v>
                </c:pt>
                <c:pt idx="434">
                  <c:v>-2.2215943641312985</c:v>
                </c:pt>
                <c:pt idx="435">
                  <c:v>-2.2135002014227556</c:v>
                </c:pt>
                <c:pt idx="436">
                  <c:v>-2.2164374842914425</c:v>
                </c:pt>
                <c:pt idx="437">
                  <c:v>-2.2385111293368971</c:v>
                </c:pt>
                <c:pt idx="438">
                  <c:v>-2.1901918044800848</c:v>
                </c:pt>
                <c:pt idx="439">
                  <c:v>-2.1907523791563435</c:v>
                </c:pt>
                <c:pt idx="440">
                  <c:v>-2.1852720472545029</c:v>
                </c:pt>
                <c:pt idx="441">
                  <c:v>-2.2113721628188867</c:v>
                </c:pt>
                <c:pt idx="442">
                  <c:v>-2.1963404742336774</c:v>
                </c:pt>
                <c:pt idx="443">
                  <c:v>-2.1497825583583938</c:v>
                </c:pt>
                <c:pt idx="444">
                  <c:v>-2.1170540891038492</c:v>
                </c:pt>
                <c:pt idx="445">
                  <c:v>-2.1602444078956857</c:v>
                </c:pt>
                <c:pt idx="446">
                  <c:v>-2.1971705495253153</c:v>
                </c:pt>
                <c:pt idx="447">
                  <c:v>-2.1685042758338708</c:v>
                </c:pt>
                <c:pt idx="448">
                  <c:v>-2.1893105494062843</c:v>
                </c:pt>
                <c:pt idx="449">
                  <c:v>-2.2217048207025809</c:v>
                </c:pt>
                <c:pt idx="450">
                  <c:v>-2.2290661436993391</c:v>
                </c:pt>
                <c:pt idx="451">
                  <c:v>-2.2548013593937841</c:v>
                </c:pt>
                <c:pt idx="452">
                  <c:v>-2.2412090144773851</c:v>
                </c:pt>
                <c:pt idx="453">
                  <c:v>-2.253517602950188</c:v>
                </c:pt>
                <c:pt idx="454">
                  <c:v>-2.2407621547152674</c:v>
                </c:pt>
                <c:pt idx="455">
                  <c:v>-2.2548621063038623</c:v>
                </c:pt>
                <c:pt idx="456">
                  <c:v>-2.2530167092863183</c:v>
                </c:pt>
                <c:pt idx="457">
                  <c:v>-2.2440791019053665</c:v>
                </c:pt>
                <c:pt idx="458">
                  <c:v>-2.2075165188107717</c:v>
                </c:pt>
                <c:pt idx="459">
                  <c:v>-2.1897150917731478</c:v>
                </c:pt>
                <c:pt idx="460">
                  <c:v>-2.1766410675024295</c:v>
                </c:pt>
                <c:pt idx="461">
                  <c:v>-2.1596889081617703</c:v>
                </c:pt>
                <c:pt idx="462">
                  <c:v>-2.1275543987778835</c:v>
                </c:pt>
                <c:pt idx="463">
                  <c:v>-2.010419286133756</c:v>
                </c:pt>
                <c:pt idx="464">
                  <c:v>-1.880633804828201</c:v>
                </c:pt>
                <c:pt idx="465">
                  <c:v>-1.6018628396310757</c:v>
                </c:pt>
                <c:pt idx="466">
                  <c:v>-0.82689603950809454</c:v>
                </c:pt>
                <c:pt idx="467">
                  <c:v>-1.0704613896535493</c:v>
                </c:pt>
                <c:pt idx="468">
                  <c:v>-1.8528521939163496</c:v>
                </c:pt>
                <c:pt idx="469">
                  <c:v>-1.5660463875329504</c:v>
                </c:pt>
                <c:pt idx="470">
                  <c:v>-1.6676438933347941</c:v>
                </c:pt>
                <c:pt idx="471">
                  <c:v>-1.6790540063347938</c:v>
                </c:pt>
                <c:pt idx="472">
                  <c:v>-1.6710869244765261</c:v>
                </c:pt>
                <c:pt idx="473">
                  <c:v>-1.664011761517622</c:v>
                </c:pt>
                <c:pt idx="474">
                  <c:v>-1.6809982291626735</c:v>
                </c:pt>
                <c:pt idx="475">
                  <c:v>-1.6398554591626733</c:v>
                </c:pt>
                <c:pt idx="476">
                  <c:v>-1.6493760038465812</c:v>
                </c:pt>
                <c:pt idx="477">
                  <c:v>-1.6575135534154435</c:v>
                </c:pt>
                <c:pt idx="478">
                  <c:v>-1.6086864545600219</c:v>
                </c:pt>
                <c:pt idx="479">
                  <c:v>-1.5542983502112522</c:v>
                </c:pt>
                <c:pt idx="480">
                  <c:v>-1.5483023432465464</c:v>
                </c:pt>
                <c:pt idx="481">
                  <c:v>-1.5503459627833887</c:v>
                </c:pt>
                <c:pt idx="482">
                  <c:v>-1.5440791234976741</c:v>
                </c:pt>
                <c:pt idx="483">
                  <c:v>-1.5433340641099191</c:v>
                </c:pt>
                <c:pt idx="484">
                  <c:v>-1.5235197125374418</c:v>
                </c:pt>
                <c:pt idx="485">
                  <c:v>-1.5306780603083672</c:v>
                </c:pt>
                <c:pt idx="486">
                  <c:v>-1.5324038116655099</c:v>
                </c:pt>
                <c:pt idx="487">
                  <c:v>-1.535109416176148</c:v>
                </c:pt>
                <c:pt idx="488">
                  <c:v>-1.5258654951886481</c:v>
                </c:pt>
                <c:pt idx="489">
                  <c:v>-1.5372997264409847</c:v>
                </c:pt>
                <c:pt idx="490">
                  <c:v>-1.5493862313524236</c:v>
                </c:pt>
                <c:pt idx="491">
                  <c:v>-1.5660172283471745</c:v>
                </c:pt>
                <c:pt idx="492">
                  <c:v>-1.5503415276034562</c:v>
                </c:pt>
                <c:pt idx="493">
                  <c:v>-1.5609240326667473</c:v>
                </c:pt>
                <c:pt idx="494">
                  <c:v>-1.533799325514664</c:v>
                </c:pt>
                <c:pt idx="495">
                  <c:v>-1.517908470933842</c:v>
                </c:pt>
                <c:pt idx="496">
                  <c:v>-1.517602943081493</c:v>
                </c:pt>
                <c:pt idx="497">
                  <c:v>-1.4969518955250414</c:v>
                </c:pt>
                <c:pt idx="498">
                  <c:v>-1.4849715925917082</c:v>
                </c:pt>
                <c:pt idx="499">
                  <c:v>-1.5073108924363856</c:v>
                </c:pt>
                <c:pt idx="500">
                  <c:v>-1.5077989614634122</c:v>
                </c:pt>
                <c:pt idx="501">
                  <c:v>-1.4998807891210699</c:v>
                </c:pt>
                <c:pt idx="502">
                  <c:v>-1.4883306672060557</c:v>
                </c:pt>
                <c:pt idx="503">
                  <c:v>-1.5200194892060561</c:v>
                </c:pt>
                <c:pt idx="504">
                  <c:v>-1.4836514636621965</c:v>
                </c:pt>
                <c:pt idx="505">
                  <c:v>-1.4979045340139514</c:v>
                </c:pt>
                <c:pt idx="506">
                  <c:v>-1.5069700194269948</c:v>
                </c:pt>
                <c:pt idx="507">
                  <c:v>-1.5014478960381061</c:v>
                </c:pt>
                <c:pt idx="508">
                  <c:v>-1.5119535038329306</c:v>
                </c:pt>
                <c:pt idx="509">
                  <c:v>-1.5271556805340376</c:v>
                </c:pt>
                <c:pt idx="510">
                  <c:v>-1.5040686620613486</c:v>
                </c:pt>
                <c:pt idx="511">
                  <c:v>-1.5079392563771381</c:v>
                </c:pt>
                <c:pt idx="512">
                  <c:v>-1.4651124850621506</c:v>
                </c:pt>
                <c:pt idx="513">
                  <c:v>-1.4647584786377603</c:v>
                </c:pt>
                <c:pt idx="514">
                  <c:v>-1.4287436366377604</c:v>
                </c:pt>
                <c:pt idx="515">
                  <c:v>-1.4524540181690107</c:v>
                </c:pt>
                <c:pt idx="516">
                  <c:v>-1.4313844953703758</c:v>
                </c:pt>
                <c:pt idx="517">
                  <c:v>-1.4371863644979386</c:v>
                </c:pt>
                <c:pt idx="518">
                  <c:v>-1.4545398089362946</c:v>
                </c:pt>
                <c:pt idx="519">
                  <c:v>-1.4487022757576606</c:v>
                </c:pt>
                <c:pt idx="520">
                  <c:v>-1.4429010092820904</c:v>
                </c:pt>
                <c:pt idx="521">
                  <c:v>-1.4417698916154236</c:v>
                </c:pt>
                <c:pt idx="522">
                  <c:v>-1.4703341171411506</c:v>
                </c:pt>
                <c:pt idx="523">
                  <c:v>-1.2990094662541516</c:v>
                </c:pt>
                <c:pt idx="524">
                  <c:v>-1.336070179304466</c:v>
                </c:pt>
                <c:pt idx="525">
                  <c:v>-1.2898431539839086</c:v>
                </c:pt>
                <c:pt idx="526">
                  <c:v>-1.3150733463768558</c:v>
                </c:pt>
                <c:pt idx="527">
                  <c:v>-1.3034005979000347</c:v>
                </c:pt>
                <c:pt idx="528">
                  <c:v>-1.2773495436821958</c:v>
                </c:pt>
                <c:pt idx="529">
                  <c:v>-1.2290577762563817</c:v>
                </c:pt>
                <c:pt idx="530">
                  <c:v>-1.3181891732563817</c:v>
                </c:pt>
                <c:pt idx="531">
                  <c:v>-1.2971169949706673</c:v>
                </c:pt>
                <c:pt idx="532">
                  <c:v>-1.1341002613524243</c:v>
                </c:pt>
                <c:pt idx="533">
                  <c:v>-1.2987366318870777</c:v>
                </c:pt>
                <c:pt idx="534">
                  <c:v>-1.329091630648584</c:v>
                </c:pt>
                <c:pt idx="535">
                  <c:v>-1.2754694418947035</c:v>
                </c:pt>
                <c:pt idx="536">
                  <c:v>-1.3520108330270564</c:v>
                </c:pt>
                <c:pt idx="537">
                  <c:v>-1.3824824049655178</c:v>
                </c:pt>
                <c:pt idx="538">
                  <c:v>-1.4272454807716402</c:v>
                </c:pt>
                <c:pt idx="539">
                  <c:v>-1.3956905952588197</c:v>
                </c:pt>
                <c:pt idx="540">
                  <c:v>-1.4399880793908952</c:v>
                </c:pt>
                <c:pt idx="541">
                  <c:v>-1.4290900462351164</c:v>
                </c:pt>
                <c:pt idx="542">
                  <c:v>-1.4688294604296863</c:v>
                </c:pt>
                <c:pt idx="543">
                  <c:v>-1.4697455439846736</c:v>
                </c:pt>
                <c:pt idx="544">
                  <c:v>-1.5109101740804818</c:v>
                </c:pt>
                <c:pt idx="545">
                  <c:v>-1.4898913736804817</c:v>
                </c:pt>
                <c:pt idx="546">
                  <c:v>-1.4665935356804818</c:v>
                </c:pt>
                <c:pt idx="547">
                  <c:v>-1.4594300240138152</c:v>
                </c:pt>
                <c:pt idx="548">
                  <c:v>-1.4317425814107618</c:v>
                </c:pt>
                <c:pt idx="549">
                  <c:v>-1.4746308870687055</c:v>
                </c:pt>
                <c:pt idx="550">
                  <c:v>-1.4415032889841988</c:v>
                </c:pt>
                <c:pt idx="551">
                  <c:v>-1.4423594698762556</c:v>
                </c:pt>
                <c:pt idx="552">
                  <c:v>-1.4197902844195629</c:v>
                </c:pt>
                <c:pt idx="553">
                  <c:v>-1.385749922483108</c:v>
                </c:pt>
                <c:pt idx="554">
                  <c:v>-1.3753138320045366</c:v>
                </c:pt>
                <c:pt idx="555">
                  <c:v>-1.3388537179739022</c:v>
                </c:pt>
                <c:pt idx="556">
                  <c:v>-1.3137711908156287</c:v>
                </c:pt>
                <c:pt idx="557">
                  <c:v>-1.2940489697629969</c:v>
                </c:pt>
                <c:pt idx="558">
                  <c:v>-1.2585497977999363</c:v>
                </c:pt>
                <c:pt idx="559">
                  <c:v>-1.2528996468705513</c:v>
                </c:pt>
                <c:pt idx="560">
                  <c:v>-1.245868904346185</c:v>
                </c:pt>
                <c:pt idx="561">
                  <c:v>-1.3071128939571062</c:v>
                </c:pt>
                <c:pt idx="562">
                  <c:v>-1.2859321091626401</c:v>
                </c:pt>
                <c:pt idx="563">
                  <c:v>-1.2841784120640207</c:v>
                </c:pt>
                <c:pt idx="564">
                  <c:v>-1.2543314013269515</c:v>
                </c:pt>
                <c:pt idx="565">
                  <c:v>-1.2759098144178607</c:v>
                </c:pt>
                <c:pt idx="566">
                  <c:v>-1.2919539639892892</c:v>
                </c:pt>
                <c:pt idx="567">
                  <c:v>-1.3013840484892891</c:v>
                </c:pt>
                <c:pt idx="568">
                  <c:v>-1.2770097307197978</c:v>
                </c:pt>
                <c:pt idx="569">
                  <c:v>-1.283658843719798</c:v>
                </c:pt>
                <c:pt idx="570">
                  <c:v>-1.284825231251048</c:v>
                </c:pt>
                <c:pt idx="571">
                  <c:v>-1.3609126831439051</c:v>
                </c:pt>
                <c:pt idx="572">
                  <c:v>-1.3334083586070631</c:v>
                </c:pt>
                <c:pt idx="573">
                  <c:v>-1.3044484250070629</c:v>
                </c:pt>
                <c:pt idx="574">
                  <c:v>-1.2524603585513669</c:v>
                </c:pt>
                <c:pt idx="575">
                  <c:v>-1.2057156789080548</c:v>
                </c:pt>
                <c:pt idx="576">
                  <c:v>-1.2098764068956325</c:v>
                </c:pt>
                <c:pt idx="577">
                  <c:v>-1.211950116377114</c:v>
                </c:pt>
                <c:pt idx="578">
                  <c:v>-1.2365820399128282</c:v>
                </c:pt>
                <c:pt idx="579">
                  <c:v>-1.2482950774633901</c:v>
                </c:pt>
                <c:pt idx="580">
                  <c:v>-1.2384782763969693</c:v>
                </c:pt>
                <c:pt idx="581">
                  <c:v>-1.2100609215920413</c:v>
                </c:pt>
                <c:pt idx="582">
                  <c:v>-1.2102278588883375</c:v>
                </c:pt>
                <c:pt idx="583">
                  <c:v>-1.2027701887111224</c:v>
                </c:pt>
                <c:pt idx="584">
                  <c:v>-1.1908209154254081</c:v>
                </c:pt>
                <c:pt idx="585">
                  <c:v>-1.2022847646110371</c:v>
                </c:pt>
                <c:pt idx="586">
                  <c:v>-1.1728691721913185</c:v>
                </c:pt>
                <c:pt idx="587">
                  <c:v>-1.1708782599486336</c:v>
                </c:pt>
                <c:pt idx="588">
                  <c:v>-1.1500831595966337</c:v>
                </c:pt>
                <c:pt idx="589">
                  <c:v>-1.1432365186554572</c:v>
                </c:pt>
                <c:pt idx="590">
                  <c:v>-1.136004109855457</c:v>
                </c:pt>
                <c:pt idx="591">
                  <c:v>-1.1392392671712464</c:v>
                </c:pt>
                <c:pt idx="592">
                  <c:v>-1.1682734747490715</c:v>
                </c:pt>
                <c:pt idx="593">
                  <c:v>-1.1456882494496703</c:v>
                </c:pt>
                <c:pt idx="594">
                  <c:v>-1.1859235736967011</c:v>
                </c:pt>
                <c:pt idx="595">
                  <c:v>-1.1897826558545961</c:v>
                </c:pt>
                <c:pt idx="596">
                  <c:v>-1.1617364615599324</c:v>
                </c:pt>
                <c:pt idx="597">
                  <c:v>-1.1694171079167164</c:v>
                </c:pt>
                <c:pt idx="598">
                  <c:v>-1.1787414669016787</c:v>
                </c:pt>
                <c:pt idx="599">
                  <c:v>-1.1634398199114508</c:v>
                </c:pt>
                <c:pt idx="600">
                  <c:v>-1.1819858250225619</c:v>
                </c:pt>
                <c:pt idx="601">
                  <c:v>-1.176088281705254</c:v>
                </c:pt>
                <c:pt idx="602">
                  <c:v>-1.1732168248817247</c:v>
                </c:pt>
                <c:pt idx="603">
                  <c:v>-1.1595533706620713</c:v>
                </c:pt>
                <c:pt idx="604">
                  <c:v>-1.1516179841919318</c:v>
                </c:pt>
                <c:pt idx="605">
                  <c:v>-1.1655788261513673</c:v>
                </c:pt>
                <c:pt idx="606">
                  <c:v>-1.1781697267451818</c:v>
                </c:pt>
                <c:pt idx="607">
                  <c:v>-1.1472423738424333</c:v>
                </c:pt>
                <c:pt idx="608">
                  <c:v>-1.180183701346827</c:v>
                </c:pt>
                <c:pt idx="609">
                  <c:v>-1.1709977896048915</c:v>
                </c:pt>
                <c:pt idx="610">
                  <c:v>-1.1237780990374238</c:v>
                </c:pt>
                <c:pt idx="611">
                  <c:v>-1.0964597551667539</c:v>
                </c:pt>
                <c:pt idx="612">
                  <c:v>-1.0734755624451628</c:v>
                </c:pt>
                <c:pt idx="613">
                  <c:v>-1.088328865767197</c:v>
                </c:pt>
                <c:pt idx="614">
                  <c:v>-1.0242327825166326</c:v>
                </c:pt>
                <c:pt idx="615">
                  <c:v>-1.0088511667529962</c:v>
                </c:pt>
                <c:pt idx="616">
                  <c:v>-1.019813804407202</c:v>
                </c:pt>
                <c:pt idx="617">
                  <c:v>-0.98694153517731664</c:v>
                </c:pt>
                <c:pt idx="618">
                  <c:v>-0.9836793318173167</c:v>
                </c:pt>
                <c:pt idx="619">
                  <c:v>-1.0116119138699486</c:v>
                </c:pt>
                <c:pt idx="620">
                  <c:v>-0.9970549348482769</c:v>
                </c:pt>
                <c:pt idx="621">
                  <c:v>-0.97835785938809972</c:v>
                </c:pt>
                <c:pt idx="622">
                  <c:v>-0.97142318651040183</c:v>
                </c:pt>
                <c:pt idx="623">
                  <c:v>-0.91594386186127907</c:v>
                </c:pt>
                <c:pt idx="624">
                  <c:v>-0.91369415629276618</c:v>
                </c:pt>
                <c:pt idx="625">
                  <c:v>-0.83123211917880613</c:v>
                </c:pt>
                <c:pt idx="626">
                  <c:v>-0.84717882132166322</c:v>
                </c:pt>
                <c:pt idx="627">
                  <c:v>-0.87122878623928357</c:v>
                </c:pt>
                <c:pt idx="628">
                  <c:v>-0.88830988021980295</c:v>
                </c:pt>
                <c:pt idx="629">
                  <c:v>-0.87559025200490337</c:v>
                </c:pt>
                <c:pt idx="630">
                  <c:v>-0.82271734557485166</c:v>
                </c:pt>
                <c:pt idx="631">
                  <c:v>-0.71673000690295929</c:v>
                </c:pt>
                <c:pt idx="632">
                  <c:v>-0.89694770994236162</c:v>
                </c:pt>
                <c:pt idx="633">
                  <c:v>-0.91646987883371134</c:v>
                </c:pt>
                <c:pt idx="634">
                  <c:v>-1.1608750252255484</c:v>
                </c:pt>
                <c:pt idx="635">
                  <c:v>-0.90796580657324077</c:v>
                </c:pt>
                <c:pt idx="636">
                  <c:v>-0.68764449472352962</c:v>
                </c:pt>
                <c:pt idx="637">
                  <c:v>-0.36730716186608492</c:v>
                </c:pt>
                <c:pt idx="638">
                  <c:v>0.80435067728179366</c:v>
                </c:pt>
                <c:pt idx="639">
                  <c:v>-2.1226720294652158E-3</c:v>
                </c:pt>
                <c:pt idx="640">
                  <c:v>-1.9179255066365548E-2</c:v>
                </c:pt>
                <c:pt idx="641">
                  <c:v>-4.6341689066365543E-2</c:v>
                </c:pt>
                <c:pt idx="642">
                  <c:v>-1.8342359643771379E-2</c:v>
                </c:pt>
                <c:pt idx="643">
                  <c:v>-3.0707256310438052E-2</c:v>
                </c:pt>
                <c:pt idx="644">
                  <c:v>-5.9572409787789909E-2</c:v>
                </c:pt>
                <c:pt idx="645">
                  <c:v>-9.1158126235158343E-2</c:v>
                </c:pt>
                <c:pt idx="646">
                  <c:v>-9.6169537924674281E-2</c:v>
                </c:pt>
                <c:pt idx="647">
                  <c:v>-0.15248810419426681</c:v>
                </c:pt>
                <c:pt idx="648">
                  <c:v>-0.13506277277180689</c:v>
                </c:pt>
                <c:pt idx="649">
                  <c:v>-0.12417055802590526</c:v>
                </c:pt>
                <c:pt idx="650">
                  <c:v>-0.13392189678906322</c:v>
                </c:pt>
                <c:pt idx="651">
                  <c:v>-0.11085441775697764</c:v>
                </c:pt>
                <c:pt idx="652">
                  <c:v>-0.1332632097569777</c:v>
                </c:pt>
                <c:pt idx="653">
                  <c:v>-0.11704239273858688</c:v>
                </c:pt>
                <c:pt idx="654">
                  <c:v>-9.2252735654474699E-2</c:v>
                </c:pt>
                <c:pt idx="655">
                  <c:v>-0.14900237790068666</c:v>
                </c:pt>
                <c:pt idx="656">
                  <c:v>-0.133745375889258</c:v>
                </c:pt>
                <c:pt idx="657">
                  <c:v>-0.12593735149972313</c:v>
                </c:pt>
                <c:pt idx="658">
                  <c:v>-9.7839654003878299E-2</c:v>
                </c:pt>
                <c:pt idx="659">
                  <c:v>-9.020985290631732E-2</c:v>
                </c:pt>
                <c:pt idx="660">
                  <c:v>-6.8366687755446964E-2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0A-46E2-BF3C-84C7E0540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2567120"/>
        <c:axId val="1272583760"/>
      </c:lineChart>
      <c:dateAx>
        <c:axId val="1272567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2583760"/>
        <c:crosses val="autoZero"/>
        <c:auto val="1"/>
        <c:lblOffset val="100"/>
        <c:baseTimeUnit val="days"/>
      </c:dateAx>
      <c:valAx>
        <c:axId val="127258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256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3FA31CA-54C9-40B0-B10E-1A00971D2F62}">
  <sheetPr/>
  <sheetViews>
    <sheetView zoomScale="9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748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6E476A-2CE4-4F46-918C-21FD489442E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0.32</v>
      </c>
      <c r="D2" s="4">
        <f>MIN(D3:D1912)</f>
        <v>3.1E-2</v>
      </c>
      <c r="E2" s="1"/>
      <c r="F2" s="1"/>
      <c r="G2" s="1"/>
    </row>
    <row r="3" spans="1:20" x14ac:dyDescent="0.25">
      <c r="A3" s="5"/>
    </row>
    <row r="4" spans="1:20" x14ac:dyDescent="0.25">
      <c r="A4" s="5"/>
      <c r="C4" s="6" t="s">
        <v>34</v>
      </c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7.1639999999999995E-2</v>
      </c>
      <c r="C5">
        <v>7.2569999999999996E-2</v>
      </c>
      <c r="D5">
        <v>7.0260000000000003E-2</v>
      </c>
      <c r="E5">
        <v>7.0279999999999995E-2</v>
      </c>
      <c r="F5">
        <v>354424.3</v>
      </c>
      <c r="G5">
        <v>7.0279999999999995E-2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-0.98268398268398938</v>
      </c>
      <c r="Q5">
        <f t="shared" ref="Q5" si="1">F5*P5</f>
        <v>-348287.08268398506</v>
      </c>
      <c r="R5">
        <f t="shared" ref="R5" si="2">R6+Q5</f>
        <v>-7510110761.9337807</v>
      </c>
      <c r="S5">
        <f t="shared" ref="S5" si="3">R5/100000</f>
        <v>-75101.10761933781</v>
      </c>
      <c r="T5">
        <f t="shared" ref="T5" si="4">S5/1000</f>
        <v>-75.10110761933781</v>
      </c>
    </row>
    <row r="6" spans="1:20" x14ac:dyDescent="0.25">
      <c r="A6" s="5">
        <v>44587</v>
      </c>
      <c r="B6">
        <v>7.059E-2</v>
      </c>
      <c r="C6">
        <v>7.7829999999999996E-2</v>
      </c>
      <c r="D6">
        <v>6.9339999999999999E-2</v>
      </c>
      <c r="E6">
        <v>7.1639999999999995E-2</v>
      </c>
      <c r="F6">
        <v>13015088.1</v>
      </c>
      <c r="G6">
        <v>7.1639999999999995E-2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-0.45818610129564258</v>
      </c>
      <c r="Q6">
        <f t="shared" ref="Q6" si="6">F6*P6</f>
        <v>-5963332.4745583124</v>
      </c>
      <c r="R6">
        <f t="shared" ref="R6" si="7">R7+Q6</f>
        <v>-7509762474.8510971</v>
      </c>
      <c r="S6">
        <f t="shared" ref="S6" si="8">R6/100000</f>
        <v>-75097.624748510978</v>
      </c>
      <c r="T6">
        <f t="shared" ref="T6" si="9">S6/1000</f>
        <v>-75.097624748510981</v>
      </c>
    </row>
    <row r="7" spans="1:20" x14ac:dyDescent="0.25">
      <c r="A7" s="5">
        <v>44586</v>
      </c>
      <c r="B7">
        <v>7.0760000000000003E-2</v>
      </c>
      <c r="C7">
        <v>7.4590000000000004E-2</v>
      </c>
      <c r="D7">
        <v>6.8709999999999993E-2</v>
      </c>
      <c r="E7">
        <v>7.0529999999999995E-2</v>
      </c>
      <c r="F7">
        <v>12138992.1</v>
      </c>
      <c r="G7">
        <v>7.0529999999999995E-2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-0.38095238095238126</v>
      </c>
      <c r="Q7">
        <f t="shared" ref="Q7" si="11">F7*P7</f>
        <v>-4624377.9428571463</v>
      </c>
      <c r="R7">
        <f t="shared" ref="R7" si="12">R8+Q7</f>
        <v>-7503799142.3765392</v>
      </c>
      <c r="S7">
        <f t="shared" ref="S7" si="13">R7/100000</f>
        <v>-75037.991423765387</v>
      </c>
      <c r="T7">
        <f t="shared" ref="T7" si="14">S7/1000</f>
        <v>-75.037991423765391</v>
      </c>
    </row>
    <row r="8" spans="1:20" x14ac:dyDescent="0.25">
      <c r="A8" s="5">
        <v>44585</v>
      </c>
      <c r="B8">
        <v>7.7329999999999996E-2</v>
      </c>
      <c r="C8">
        <v>7.7329999999999996E-2</v>
      </c>
      <c r="D8">
        <v>6.2700000000000006E-2</v>
      </c>
      <c r="E8">
        <v>7.077E-2</v>
      </c>
      <c r="F8">
        <v>24470547.699999999</v>
      </c>
      <c r="G8">
        <v>7.077E-2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0.10321257689678731</v>
      </c>
      <c r="Q8">
        <f t="shared" ref="Q8" si="16">F8*P8</f>
        <v>2525668.286192752</v>
      </c>
      <c r="R8">
        <f t="shared" ref="R8" si="17">R9+Q8</f>
        <v>-7499174764.4336824</v>
      </c>
      <c r="S8">
        <f t="shared" ref="S8" si="18">R8/100000</f>
        <v>-74991.747644336821</v>
      </c>
      <c r="T8">
        <f t="shared" ref="T8" si="19">S8/1000</f>
        <v>-74.991747644336826</v>
      </c>
    </row>
    <row r="9" spans="1:20" x14ac:dyDescent="0.25">
      <c r="A9" s="5">
        <v>44584</v>
      </c>
      <c r="B9">
        <v>7.1330000000000005E-2</v>
      </c>
      <c r="C9">
        <v>8.1490000000000007E-2</v>
      </c>
      <c r="D9">
        <v>7.0000000000000007E-2</v>
      </c>
      <c r="E9">
        <v>7.7340000000000006E-2</v>
      </c>
      <c r="F9">
        <v>22195794</v>
      </c>
      <c r="G9">
        <v>7.7340000000000006E-2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0.27763272410791978</v>
      </c>
      <c r="Q9">
        <f t="shared" ref="Q9" si="21">F9*P9</f>
        <v>6162278.7519582212</v>
      </c>
      <c r="R9">
        <f t="shared" ref="R9" si="22">R10+Q9</f>
        <v>-7501700432.7198753</v>
      </c>
      <c r="S9">
        <f t="shared" ref="S9" si="23">R9/100000</f>
        <v>-75017.004327198752</v>
      </c>
      <c r="T9">
        <f t="shared" ref="T9" si="24">S9/1000</f>
        <v>-75.017004327198748</v>
      </c>
    </row>
    <row r="10" spans="1:20" x14ac:dyDescent="0.25">
      <c r="A10" s="5">
        <v>44583</v>
      </c>
      <c r="B10">
        <v>7.9320000000000002E-2</v>
      </c>
      <c r="C10">
        <v>8.0189999999999997E-2</v>
      </c>
      <c r="D10">
        <v>6.5100000000000005E-2</v>
      </c>
      <c r="E10">
        <v>7.0910000000000001E-2</v>
      </c>
      <c r="F10">
        <v>17433656.100000001</v>
      </c>
      <c r="G10">
        <v>7.0910000000000001E-2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-0.2299536116633534</v>
      </c>
      <c r="Q10">
        <f t="shared" ref="Q10" si="26">F10*P10</f>
        <v>-4008932.1846918524</v>
      </c>
      <c r="R10">
        <f t="shared" ref="R10" si="27">R11+Q10</f>
        <v>-7507862711.4718332</v>
      </c>
      <c r="S10">
        <f t="shared" ref="S10" si="28">R10/100000</f>
        <v>-75078.627114718329</v>
      </c>
      <c r="T10">
        <f t="shared" ref="T10" si="29">S10/1000</f>
        <v>-75.07862711471833</v>
      </c>
    </row>
    <row r="11" spans="1:20" x14ac:dyDescent="0.25">
      <c r="A11" s="5">
        <v>44582</v>
      </c>
      <c r="B11">
        <v>9.1950000000000004E-2</v>
      </c>
      <c r="C11">
        <v>9.2730000000000007E-2</v>
      </c>
      <c r="D11">
        <v>7.6109999999999997E-2</v>
      </c>
      <c r="E11">
        <v>7.9250000000000001E-2</v>
      </c>
      <c r="F11">
        <v>24710289.5</v>
      </c>
      <c r="G11">
        <v>7.9250000000000001E-2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-0.62214199759326083</v>
      </c>
      <c r="Q11">
        <f t="shared" ref="Q11" si="31">F11*P11</f>
        <v>-15373308.870637778</v>
      </c>
      <c r="R11">
        <f t="shared" ref="R11" si="32">R12+Q11</f>
        <v>-7503853779.2871418</v>
      </c>
      <c r="S11">
        <f t="shared" ref="S11" si="33">R11/100000</f>
        <v>-75038.537792871415</v>
      </c>
      <c r="T11">
        <f t="shared" ref="T11" si="34">S11/1000</f>
        <v>-75.038537792871409</v>
      </c>
    </row>
    <row r="12" spans="1:20" x14ac:dyDescent="0.25">
      <c r="A12" s="5">
        <v>44581</v>
      </c>
      <c r="B12">
        <v>9.5579999999999998E-2</v>
      </c>
      <c r="C12">
        <v>9.9000000000000005E-2</v>
      </c>
      <c r="D12">
        <v>9.1120000000000007E-2</v>
      </c>
      <c r="E12">
        <v>9.2090000000000005E-2</v>
      </c>
      <c r="F12">
        <v>8324148.0999999996</v>
      </c>
      <c r="G12">
        <v>9.2090000000000005E-2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-0.75380710659898509</v>
      </c>
      <c r="Q12">
        <f t="shared" ref="Q12" si="36">F12*P12</f>
        <v>-6274801.9941624394</v>
      </c>
      <c r="R12">
        <f t="shared" ref="R12" si="37">R13+Q12</f>
        <v>-7488480470.4165039</v>
      </c>
      <c r="S12">
        <f t="shared" ref="S12" si="38">R12/100000</f>
        <v>-74884.804704165042</v>
      </c>
      <c r="T12">
        <f t="shared" ref="T12" si="39">S12/1000</f>
        <v>-74.884804704165049</v>
      </c>
    </row>
    <row r="13" spans="1:20" x14ac:dyDescent="0.25">
      <c r="A13" s="5">
        <v>44580</v>
      </c>
      <c r="B13">
        <v>9.7589999999999996E-2</v>
      </c>
      <c r="C13">
        <v>9.8610000000000003E-2</v>
      </c>
      <c r="D13">
        <v>9.4229999999999994E-2</v>
      </c>
      <c r="E13">
        <v>9.5579999999999998E-2</v>
      </c>
      <c r="F13">
        <v>5009615.5</v>
      </c>
      <c r="G13">
        <v>9.5579999999999998E-2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-0.38356164383561586</v>
      </c>
      <c r="Q13">
        <f t="shared" ref="Q13" si="41">F13*P13</f>
        <v>-1921496.3561643807</v>
      </c>
      <c r="R13">
        <f t="shared" ref="R13" si="42">R14+Q13</f>
        <v>-7482205668.4223413</v>
      </c>
      <c r="S13">
        <f t="shared" ref="S13" si="43">R13/100000</f>
        <v>-74822.056684223411</v>
      </c>
      <c r="T13">
        <f t="shared" ref="T13" si="44">S13/1000</f>
        <v>-74.822056684223412</v>
      </c>
    </row>
    <row r="14" spans="1:20" x14ac:dyDescent="0.25">
      <c r="A14" s="5">
        <v>44579</v>
      </c>
      <c r="B14">
        <v>9.8540000000000003E-2</v>
      </c>
      <c r="C14">
        <v>9.9150000000000002E-2</v>
      </c>
      <c r="D14">
        <v>9.5430000000000001E-2</v>
      </c>
      <c r="E14">
        <v>9.7309999999999994E-2</v>
      </c>
      <c r="F14">
        <v>5364857.3</v>
      </c>
      <c r="G14">
        <v>9.7309999999999994E-2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1.075268817203884E-2</v>
      </c>
      <c r="Q14">
        <f t="shared" ref="Q14" si="46">F14*P14</f>
        <v>57686.637634386221</v>
      </c>
      <c r="R14">
        <f t="shared" ref="R14" si="47">R15+Q14</f>
        <v>-7480284172.0661774</v>
      </c>
      <c r="S14">
        <f t="shared" ref="S14" si="48">R14/100000</f>
        <v>-74802.841720661774</v>
      </c>
      <c r="T14">
        <f t="shared" ref="T14" si="49">S14/1000</f>
        <v>-74.802841720661775</v>
      </c>
    </row>
    <row r="15" spans="1:20" x14ac:dyDescent="0.25">
      <c r="A15" s="5">
        <v>44578</v>
      </c>
      <c r="B15">
        <v>0.1021</v>
      </c>
      <c r="C15">
        <v>0.10381</v>
      </c>
      <c r="D15">
        <v>9.7040000000000001E-2</v>
      </c>
      <c r="E15">
        <v>9.8720000000000002E-2</v>
      </c>
      <c r="F15">
        <v>6919662.2000000002</v>
      </c>
      <c r="G15">
        <v>9.8720000000000002E-2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-0.50369276218611481</v>
      </c>
      <c r="Q15">
        <f t="shared" ref="Q15" si="51">F15*P15</f>
        <v>-3485383.7669128482</v>
      </c>
      <c r="R15">
        <f t="shared" ref="R15" si="52">R16+Q15</f>
        <v>-7480341858.7038116</v>
      </c>
      <c r="S15">
        <f t="shared" ref="S15" si="53">R15/100000</f>
        <v>-74803.418587038119</v>
      </c>
      <c r="T15">
        <f t="shared" ref="T15" si="54">S15/1000</f>
        <v>-74.803418587038124</v>
      </c>
    </row>
    <row r="16" spans="1:20" x14ac:dyDescent="0.25">
      <c r="A16" s="5">
        <v>44577</v>
      </c>
      <c r="B16">
        <v>0.10349</v>
      </c>
      <c r="C16">
        <v>0.10736</v>
      </c>
      <c r="D16">
        <v>0.10202</v>
      </c>
      <c r="E16">
        <v>0.10208</v>
      </c>
      <c r="F16">
        <v>10570691.300000001</v>
      </c>
      <c r="G16">
        <v>0.10208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-0.97752808988763873</v>
      </c>
      <c r="Q16">
        <f t="shared" ref="Q16" si="56">F16*P16</f>
        <v>-10333147.675280882</v>
      </c>
      <c r="R16">
        <f t="shared" ref="R16" si="57">R17+Q16</f>
        <v>-7476856474.9368992</v>
      </c>
      <c r="S16">
        <f t="shared" ref="S16" si="58">R16/100000</f>
        <v>-74768.56474936899</v>
      </c>
      <c r="T16">
        <f t="shared" ref="T16" si="59">S16/1000</f>
        <v>-74.768564749368991</v>
      </c>
    </row>
    <row r="17" spans="1:20" x14ac:dyDescent="0.25">
      <c r="A17" s="5">
        <v>44576</v>
      </c>
      <c r="B17">
        <v>0.10148</v>
      </c>
      <c r="C17">
        <v>0.10647</v>
      </c>
      <c r="D17">
        <v>9.9580000000000002E-2</v>
      </c>
      <c r="E17">
        <v>0.10349</v>
      </c>
      <c r="F17">
        <v>10926452.699999999</v>
      </c>
      <c r="G17">
        <v>0.10349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0.13497822931785214</v>
      </c>
      <c r="Q17">
        <f t="shared" ref="Q17" si="61">F17*P17</f>
        <v>1474833.2381712645</v>
      </c>
      <c r="R17">
        <f t="shared" ref="R17" si="62">R18+Q17</f>
        <v>-7466523327.2616186</v>
      </c>
      <c r="S17">
        <f t="shared" ref="S17" si="63">R17/100000</f>
        <v>-74665.233272616184</v>
      </c>
      <c r="T17">
        <f t="shared" ref="T17" si="64">S17/1000</f>
        <v>-74.665233272616177</v>
      </c>
    </row>
    <row r="18" spans="1:20" x14ac:dyDescent="0.25">
      <c r="A18" s="5">
        <v>44575</v>
      </c>
      <c r="B18">
        <v>9.8379999999999995E-2</v>
      </c>
      <c r="C18">
        <v>0.10222000000000001</v>
      </c>
      <c r="D18">
        <v>9.6420000000000006E-2</v>
      </c>
      <c r="E18">
        <v>0.10148</v>
      </c>
      <c r="F18">
        <v>7412449.2999999998</v>
      </c>
      <c r="G18">
        <v>0.10148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0.74482758620689493</v>
      </c>
      <c r="Q18">
        <f t="shared" ref="Q18" si="66">F18*P18</f>
        <v>5520996.7199999876</v>
      </c>
      <c r="R18">
        <f t="shared" ref="R18" si="67">R19+Q18</f>
        <v>-7467998160.4997902</v>
      </c>
      <c r="S18">
        <f t="shared" ref="S18" si="68">R18/100000</f>
        <v>-74679.981604997898</v>
      </c>
      <c r="T18">
        <f t="shared" ref="T18" si="69">S18/1000</f>
        <v>-74.679981604997892</v>
      </c>
    </row>
    <row r="19" spans="1:20" x14ac:dyDescent="0.25">
      <c r="A19" s="5">
        <v>44574</v>
      </c>
      <c r="B19">
        <v>0.10408000000000001</v>
      </c>
      <c r="C19">
        <v>0.10781</v>
      </c>
      <c r="D19">
        <v>9.8019999999999996E-2</v>
      </c>
      <c r="E19">
        <v>9.8379999999999995E-2</v>
      </c>
      <c r="F19">
        <v>10250622.800000001</v>
      </c>
      <c r="G19">
        <v>9.8379999999999995E-2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-0.9264555669050053</v>
      </c>
      <c r="Q19">
        <f t="shared" ref="Q19" si="71">F19*P19</f>
        <v>-9496746.5573033728</v>
      </c>
      <c r="R19">
        <f t="shared" ref="R19" si="72">R20+Q19</f>
        <v>-7473519157.2197905</v>
      </c>
      <c r="S19">
        <f t="shared" ref="S19" si="73">R19/100000</f>
        <v>-74735.191572197902</v>
      </c>
      <c r="T19">
        <f t="shared" ref="T19" si="74">S19/1000</f>
        <v>-74.735191572197905</v>
      </c>
    </row>
    <row r="20" spans="1:20" x14ac:dyDescent="0.25">
      <c r="A20" s="5">
        <v>44573</v>
      </c>
      <c r="B20">
        <v>9.7489999999999993E-2</v>
      </c>
      <c r="C20">
        <v>0.10499</v>
      </c>
      <c r="D20">
        <v>9.7489999999999993E-2</v>
      </c>
      <c r="E20">
        <v>0.10403</v>
      </c>
      <c r="F20">
        <v>11165803.300000001</v>
      </c>
      <c r="G20">
        <v>0.10403</v>
      </c>
      <c r="L20" t="s">
        <v>7</v>
      </c>
      <c r="M20" t="s">
        <v>7</v>
      </c>
      <c r="N20" t="s">
        <v>7</v>
      </c>
      <c r="P20">
        <f t="shared" ref="P20" si="75">IF(C20=D20,0,((E20-D20)-(C20-E20))/(C20-D20))</f>
        <v>0.74399999999999955</v>
      </c>
      <c r="Q20">
        <f t="shared" ref="Q20" si="76">F20*P20</f>
        <v>8307357.6551999953</v>
      </c>
      <c r="R20">
        <f t="shared" ref="R20" si="77">R21+Q20</f>
        <v>-7464022410.662487</v>
      </c>
      <c r="S20">
        <f t="shared" ref="S20" si="78">R20/100000</f>
        <v>-74640.224106624868</v>
      </c>
      <c r="T20">
        <f t="shared" ref="T20" si="79">S20/1000</f>
        <v>-74.640224106624871</v>
      </c>
    </row>
    <row r="21" spans="1:20" x14ac:dyDescent="0.25">
      <c r="A21" s="5">
        <v>44572</v>
      </c>
      <c r="B21">
        <v>9.3310000000000004E-2</v>
      </c>
      <c r="C21">
        <v>0.10539</v>
      </c>
      <c r="D21">
        <v>9.2399999999999996E-2</v>
      </c>
      <c r="E21">
        <v>9.7420000000000007E-2</v>
      </c>
      <c r="F21">
        <v>27214921.100000001</v>
      </c>
      <c r="G21">
        <v>9.7420000000000007E-2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-0.22709776751347036</v>
      </c>
      <c r="Q21">
        <f t="shared" ref="Q21" si="81">F21*P21</f>
        <v>-6180447.8248652397</v>
      </c>
      <c r="R21">
        <f t="shared" ref="R21" si="82">R22+Q21</f>
        <v>-7472329768.317687</v>
      </c>
      <c r="S21">
        <f t="shared" ref="S21" si="83">R21/100000</f>
        <v>-74723.297683176876</v>
      </c>
      <c r="T21">
        <f t="shared" ref="T21" si="84">S21/1000</f>
        <v>-74.723297683176881</v>
      </c>
    </row>
    <row r="22" spans="1:20" x14ac:dyDescent="0.25">
      <c r="A22" s="5">
        <v>44571</v>
      </c>
      <c r="B22">
        <v>9.9790000000000004E-2</v>
      </c>
      <c r="C22">
        <v>0.10070999999999999</v>
      </c>
      <c r="D22">
        <v>8.9510000000000006E-2</v>
      </c>
      <c r="E22">
        <v>9.3280000000000002E-2</v>
      </c>
      <c r="F22">
        <v>22925532.300000001</v>
      </c>
      <c r="G22">
        <v>9.3280000000000002E-2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-0.32678571428571435</v>
      </c>
      <c r="Q22">
        <f t="shared" ref="Q22" si="86">F22*P22</f>
        <v>-7491736.4480357161</v>
      </c>
      <c r="R22">
        <f t="shared" ref="R22" si="87">R23+Q22</f>
        <v>-7466149320.4928217</v>
      </c>
      <c r="S22">
        <f t="shared" ref="S22" si="88">R22/100000</f>
        <v>-74661.493204928222</v>
      </c>
      <c r="T22">
        <f t="shared" ref="T22" si="89">S22/1000</f>
        <v>-74.66149320492822</v>
      </c>
    </row>
    <row r="23" spans="1:20" x14ac:dyDescent="0.25">
      <c r="A23" s="5">
        <v>44570</v>
      </c>
      <c r="B23">
        <v>9.4469999999999998E-2</v>
      </c>
      <c r="C23">
        <v>0.11249000000000001</v>
      </c>
      <c r="D23">
        <v>9.3549999999999994E-2</v>
      </c>
      <c r="E23">
        <v>9.9890000000000007E-2</v>
      </c>
      <c r="F23">
        <v>71235839.599999994</v>
      </c>
      <c r="G23">
        <v>9.9890000000000007E-2</v>
      </c>
      <c r="L23" t="s">
        <v>8</v>
      </c>
      <c r="M23" t="s">
        <v>8</v>
      </c>
      <c r="N23" t="s">
        <v>7</v>
      </c>
      <c r="P23">
        <f t="shared" ref="P23" si="90">IF(C23=D23,0,((E23-D23)-(C23-E23))/(C23-D23))</f>
        <v>-0.330517423442449</v>
      </c>
      <c r="Q23">
        <f t="shared" ref="Q23" si="91">F23*P23</f>
        <v>-23544686.161351576</v>
      </c>
      <c r="R23">
        <f t="shared" ref="R23" si="92">R24+Q23</f>
        <v>-7458657584.0447865</v>
      </c>
      <c r="S23">
        <f t="shared" ref="S23" si="93">R23/100000</f>
        <v>-74586.575840447869</v>
      </c>
      <c r="T23">
        <f t="shared" ref="T23" si="94">S23/1000</f>
        <v>-74.586575840447864</v>
      </c>
    </row>
    <row r="24" spans="1:20" x14ac:dyDescent="0.25">
      <c r="A24" s="5">
        <v>44569</v>
      </c>
      <c r="B24">
        <v>9.8489999999999994E-2</v>
      </c>
      <c r="C24">
        <v>0.10144</v>
      </c>
      <c r="D24">
        <v>9.2109999999999997E-2</v>
      </c>
      <c r="E24">
        <v>9.443E-2</v>
      </c>
      <c r="F24">
        <v>10445888.4</v>
      </c>
      <c r="G24">
        <v>9.443E-2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-0.50267952840300079</v>
      </c>
      <c r="Q24">
        <f t="shared" ref="Q24" si="96">F24*P24</f>
        <v>-5250934.2546623768</v>
      </c>
      <c r="R24">
        <f t="shared" ref="R24" si="97">R25+Q24</f>
        <v>-7435112897.8834352</v>
      </c>
      <c r="S24">
        <f t="shared" ref="S24" si="98">R24/100000</f>
        <v>-74351.128978834357</v>
      </c>
      <c r="T24">
        <f t="shared" ref="T24" si="99">S24/1000</f>
        <v>-74.351128978834353</v>
      </c>
    </row>
    <row r="25" spans="1:20" x14ac:dyDescent="0.25">
      <c r="A25" s="5">
        <v>44568</v>
      </c>
      <c r="B25">
        <v>0.10662000000000001</v>
      </c>
      <c r="C25">
        <v>0.10692</v>
      </c>
      <c r="D25">
        <v>9.6390000000000003E-2</v>
      </c>
      <c r="E25">
        <v>9.8129999999999995E-2</v>
      </c>
      <c r="F25">
        <v>17222277.199999999</v>
      </c>
      <c r="G25">
        <v>9.8129999999999995E-2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-0.6695156695156711</v>
      </c>
      <c r="Q25">
        <f t="shared" ref="Q25" si="101">F25*P25</f>
        <v>-11530584.450142477</v>
      </c>
      <c r="R25">
        <f t="shared" ref="R25" si="102">R26+Q25</f>
        <v>-7429861963.6287727</v>
      </c>
      <c r="S25">
        <f t="shared" ref="S25" si="103">R25/100000</f>
        <v>-74298.619636287724</v>
      </c>
      <c r="T25">
        <f t="shared" ref="T25" si="104">S25/1000</f>
        <v>-74.298619636287725</v>
      </c>
    </row>
    <row r="26" spans="1:20" x14ac:dyDescent="0.25">
      <c r="A26" s="5">
        <v>44567</v>
      </c>
      <c r="B26">
        <v>0.10748000000000001</v>
      </c>
      <c r="C26">
        <v>0.10841000000000001</v>
      </c>
      <c r="D26">
        <v>0.1033</v>
      </c>
      <c r="E26">
        <v>0.10666</v>
      </c>
      <c r="F26">
        <v>9715541</v>
      </c>
      <c r="G26">
        <v>0.10666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0.3150684931506848</v>
      </c>
      <c r="Q26">
        <f t="shared" ref="Q26" si="106">F26*P26</f>
        <v>3061060.8630136973</v>
      </c>
      <c r="R26">
        <f t="shared" ref="R26" si="107">R27+Q26</f>
        <v>-7418331379.1786299</v>
      </c>
      <c r="S26">
        <f t="shared" ref="S26" si="108">R26/100000</f>
        <v>-74183.313791786306</v>
      </c>
      <c r="T26">
        <f t="shared" ref="T26" si="109">S26/1000</f>
        <v>-74.183313791786304</v>
      </c>
    </row>
    <row r="27" spans="1:20" x14ac:dyDescent="0.25">
      <c r="A27" s="5">
        <v>44566</v>
      </c>
      <c r="B27">
        <v>0.11945</v>
      </c>
      <c r="C27">
        <v>0.1239</v>
      </c>
      <c r="D27">
        <v>0.10249999999999999</v>
      </c>
      <c r="E27">
        <v>0.10749</v>
      </c>
      <c r="F27">
        <v>19729482.300000001</v>
      </c>
      <c r="G27">
        <v>0.10749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-0.53364485981308341</v>
      </c>
      <c r="Q27">
        <f t="shared" ref="Q27" si="111">F27*P27</f>
        <v>-10528536.816168211</v>
      </c>
      <c r="R27">
        <f t="shared" ref="R27" si="112">R28+Q27</f>
        <v>-7421392440.0416431</v>
      </c>
      <c r="S27">
        <f t="shared" ref="S27" si="113">R27/100000</f>
        <v>-74213.924400416436</v>
      </c>
      <c r="T27">
        <f t="shared" ref="T27" si="114">S27/1000</f>
        <v>-74.213924400416431</v>
      </c>
    </row>
    <row r="28" spans="1:20" x14ac:dyDescent="0.25">
      <c r="A28" s="5">
        <v>44565</v>
      </c>
      <c r="B28">
        <v>0.12005</v>
      </c>
      <c r="C28">
        <v>0.125</v>
      </c>
      <c r="D28">
        <v>0.11897000000000001</v>
      </c>
      <c r="E28">
        <v>0.11947000000000001</v>
      </c>
      <c r="F28">
        <v>16961478.399999999</v>
      </c>
      <c r="G28">
        <v>0.11947000000000001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-0.83416252072968455</v>
      </c>
      <c r="Q28">
        <f t="shared" ref="Q28" si="116">F28*P28</f>
        <v>-14148629.577446096</v>
      </c>
      <c r="R28">
        <f t="shared" ref="R28" si="117">R29+Q28</f>
        <v>-7410863903.2254753</v>
      </c>
      <c r="S28">
        <f t="shared" ref="S28" si="118">R28/100000</f>
        <v>-74108.639032254752</v>
      </c>
      <c r="T28">
        <f t="shared" ref="T28" si="119">S28/1000</f>
        <v>-74.108639032254757</v>
      </c>
    </row>
    <row r="29" spans="1:20" x14ac:dyDescent="0.25">
      <c r="A29" s="5">
        <v>44564</v>
      </c>
      <c r="B29">
        <v>0.12006</v>
      </c>
      <c r="C29">
        <v>0.12329</v>
      </c>
      <c r="D29">
        <v>0.11792</v>
      </c>
      <c r="E29">
        <v>0.12024</v>
      </c>
      <c r="F29">
        <v>16212151.6</v>
      </c>
      <c r="G29">
        <v>0.12024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-0.13594040968342544</v>
      </c>
      <c r="Q29">
        <f t="shared" ref="Q29" si="121">F29*P29</f>
        <v>-2203886.5303538013</v>
      </c>
      <c r="R29">
        <f t="shared" ref="R29" si="122">R30+Q29</f>
        <v>-7396715273.6480293</v>
      </c>
      <c r="S29">
        <f t="shared" ref="S29" si="123">R29/100000</f>
        <v>-73967.15273648029</v>
      </c>
      <c r="T29">
        <f t="shared" ref="T29" si="124">S29/1000</f>
        <v>-73.967152736480287</v>
      </c>
    </row>
    <row r="30" spans="1:20" x14ac:dyDescent="0.25">
      <c r="A30" s="5">
        <v>44563</v>
      </c>
      <c r="B30">
        <v>0.11860999999999999</v>
      </c>
      <c r="C30">
        <v>0.12398000000000001</v>
      </c>
      <c r="D30">
        <v>0.11777</v>
      </c>
      <c r="E30">
        <v>0.12003999999999999</v>
      </c>
      <c r="F30">
        <v>10576343.800000001</v>
      </c>
      <c r="G30">
        <v>0.12003999999999999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-0.26892109500805422</v>
      </c>
      <c r="Q30">
        <f t="shared" ref="Q30" si="126">F30*P30</f>
        <v>-2844201.9558776454</v>
      </c>
      <c r="R30">
        <f t="shared" ref="R30" si="127">R31+Q30</f>
        <v>-7394511387.1176758</v>
      </c>
      <c r="S30">
        <f t="shared" ref="S30" si="128">R30/100000</f>
        <v>-73945.113871176756</v>
      </c>
      <c r="T30">
        <f t="shared" ref="T30" si="129">S30/1000</f>
        <v>-73.945113871176758</v>
      </c>
    </row>
    <row r="31" spans="1:20" x14ac:dyDescent="0.25">
      <c r="A31" s="5">
        <v>44562</v>
      </c>
      <c r="B31">
        <v>0.11599</v>
      </c>
      <c r="C31">
        <v>0.11998</v>
      </c>
      <c r="D31">
        <v>0.11586</v>
      </c>
      <c r="E31">
        <v>0.11885999999999999</v>
      </c>
      <c r="F31">
        <v>6958499.2000000002</v>
      </c>
      <c r="G31">
        <v>0.11885999999999999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0.45631067961164551</v>
      </c>
      <c r="Q31">
        <f t="shared" ref="Q31" si="131">F31*P31</f>
        <v>3175237.4990290916</v>
      </c>
      <c r="R31">
        <f t="shared" ref="R31" si="132">R32+Q31</f>
        <v>-7391667185.1617985</v>
      </c>
      <c r="S31">
        <f t="shared" ref="S31" si="133">R31/100000</f>
        <v>-73916.671851617983</v>
      </c>
      <c r="T31">
        <f t="shared" ref="T31" si="134">S31/1000</f>
        <v>-73.916671851617977</v>
      </c>
    </row>
    <row r="32" spans="1:20" x14ac:dyDescent="0.25">
      <c r="A32" s="5">
        <v>44561</v>
      </c>
      <c r="B32">
        <v>0.12024</v>
      </c>
      <c r="C32">
        <v>0.12373000000000001</v>
      </c>
      <c r="D32">
        <v>0.11405999999999999</v>
      </c>
      <c r="E32">
        <v>0.11598</v>
      </c>
      <c r="F32">
        <v>11173938.1</v>
      </c>
      <c r="G32">
        <v>0.11598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-0.60289555325749689</v>
      </c>
      <c r="Q32">
        <f t="shared" ref="Q32" si="136">F32*P32</f>
        <v>-6736717.5928645236</v>
      </c>
      <c r="R32">
        <f t="shared" ref="R32" si="137">R33+Q32</f>
        <v>-7394842422.6608276</v>
      </c>
      <c r="S32">
        <f t="shared" ref="S32" si="138">R32/100000</f>
        <v>-73948.424226608273</v>
      </c>
      <c r="T32">
        <f t="shared" ref="T32" si="139">S32/1000</f>
        <v>-73.948424226608267</v>
      </c>
    </row>
    <row r="33" spans="1:20" x14ac:dyDescent="0.25">
      <c r="A33" s="5">
        <v>44560</v>
      </c>
      <c r="B33">
        <v>0.1221</v>
      </c>
      <c r="C33">
        <v>0.12479</v>
      </c>
      <c r="D33">
        <v>0.11839</v>
      </c>
      <c r="E33">
        <v>0.12024</v>
      </c>
      <c r="F33">
        <v>12184765.6</v>
      </c>
      <c r="G33">
        <v>0.12024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-0.42187499999999889</v>
      </c>
      <c r="Q33">
        <f t="shared" ref="Q33" si="141">F33*P33</f>
        <v>-5140447.9874999868</v>
      </c>
      <c r="R33">
        <f t="shared" ref="R33" si="142">R34+Q33</f>
        <v>-7388105705.0679626</v>
      </c>
      <c r="S33">
        <f t="shared" ref="S33" si="143">R33/100000</f>
        <v>-73881.057050679621</v>
      </c>
      <c r="T33">
        <f t="shared" ref="T33" si="144">S33/1000</f>
        <v>-73.881057050679615</v>
      </c>
    </row>
    <row r="34" spans="1:20" x14ac:dyDescent="0.25">
      <c r="A34" s="5">
        <v>44559</v>
      </c>
      <c r="B34">
        <v>0.12189</v>
      </c>
      <c r="C34">
        <v>0.13</v>
      </c>
      <c r="D34">
        <v>0.11787</v>
      </c>
      <c r="E34">
        <v>0.12236</v>
      </c>
      <c r="F34">
        <v>18860256.600000001</v>
      </c>
      <c r="G34">
        <v>0.12236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-0.25968672712283702</v>
      </c>
      <c r="Q34">
        <f t="shared" ref="Q34" si="146">F34*P34</f>
        <v>-4897758.3091508867</v>
      </c>
      <c r="R34">
        <f t="shared" ref="R34" si="147">R35+Q34</f>
        <v>-7382965257.0804625</v>
      </c>
      <c r="S34">
        <f t="shared" ref="S34" si="148">R34/100000</f>
        <v>-73829.652570804625</v>
      </c>
      <c r="T34">
        <f t="shared" ref="T34" si="149">S34/1000</f>
        <v>-73.829652570804626</v>
      </c>
    </row>
    <row r="35" spans="1:20" x14ac:dyDescent="0.25">
      <c r="A35" s="5">
        <v>44558</v>
      </c>
      <c r="B35">
        <v>0.1305</v>
      </c>
      <c r="C35">
        <v>0.13247</v>
      </c>
      <c r="D35">
        <v>0.12021</v>
      </c>
      <c r="E35">
        <v>0.12180000000000001</v>
      </c>
      <c r="F35">
        <v>25420238.699999999</v>
      </c>
      <c r="G35">
        <v>0.12180000000000001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-0.7406199021207166</v>
      </c>
      <c r="Q35">
        <f t="shared" ref="Q35" si="151">F35*P35</f>
        <v>-18826734.697879251</v>
      </c>
      <c r="R35">
        <f t="shared" ref="R35" si="152">R36+Q35</f>
        <v>-7378067498.7713118</v>
      </c>
      <c r="S35">
        <f t="shared" ref="S35" si="153">R35/100000</f>
        <v>-73780.674987713122</v>
      </c>
      <c r="T35">
        <f t="shared" ref="T35" si="154">S35/1000</f>
        <v>-73.780674987713127</v>
      </c>
    </row>
    <row r="36" spans="1:20" x14ac:dyDescent="0.25">
      <c r="A36" s="5">
        <v>44557</v>
      </c>
      <c r="B36">
        <v>0.12606999999999999</v>
      </c>
      <c r="C36">
        <v>0.14391000000000001</v>
      </c>
      <c r="D36">
        <v>0.12397</v>
      </c>
      <c r="E36">
        <v>0.1305</v>
      </c>
      <c r="F36">
        <v>80642059.200000003</v>
      </c>
      <c r="G36">
        <v>0.1305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-0.3450351053159475</v>
      </c>
      <c r="Q36">
        <f t="shared" ref="Q36" si="156">F36*P36</f>
        <v>-27824341.388966873</v>
      </c>
      <c r="R36">
        <f t="shared" ref="R36" si="157">R37+Q36</f>
        <v>-7359240764.0734329</v>
      </c>
      <c r="S36">
        <f t="shared" ref="S36" si="158">R36/100000</f>
        <v>-73592.407640734324</v>
      </c>
      <c r="T36">
        <f t="shared" ref="T36" si="159">S36/1000</f>
        <v>-73.592407640734322</v>
      </c>
    </row>
    <row r="37" spans="1:20" x14ac:dyDescent="0.25">
      <c r="A37" s="5">
        <v>44556</v>
      </c>
      <c r="B37">
        <v>0.12273000000000001</v>
      </c>
      <c r="C37">
        <v>0.12776999999999999</v>
      </c>
      <c r="D37">
        <v>0.11948</v>
      </c>
      <c r="E37">
        <v>0.12601999999999999</v>
      </c>
      <c r="F37">
        <v>13807123.699999999</v>
      </c>
      <c r="G37">
        <v>0.12601999999999999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0.57780458383594613</v>
      </c>
      <c r="Q37">
        <f t="shared" ref="Q37" si="161">F37*P37</f>
        <v>7977819.3634499284</v>
      </c>
      <c r="R37">
        <f t="shared" ref="R37" si="162">R38+Q37</f>
        <v>-7331416422.6844664</v>
      </c>
      <c r="S37">
        <f t="shared" ref="S37" si="163">R37/100000</f>
        <v>-73314.164226844659</v>
      </c>
      <c r="T37">
        <f t="shared" ref="T37" si="164">S37/1000</f>
        <v>-73.314164226844653</v>
      </c>
    </row>
    <row r="38" spans="1:20" x14ac:dyDescent="0.25">
      <c r="A38" s="5">
        <v>44555</v>
      </c>
      <c r="B38">
        <v>0.12336</v>
      </c>
      <c r="C38">
        <v>0.12479</v>
      </c>
      <c r="D38">
        <v>0.1215</v>
      </c>
      <c r="E38">
        <v>0.12263</v>
      </c>
      <c r="F38">
        <v>8853991.9000000004</v>
      </c>
      <c r="G38">
        <v>0.12263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-0.3130699088145863</v>
      </c>
      <c r="Q38">
        <f t="shared" ref="Q38" si="166">F38*P38</f>
        <v>-2771918.4367780858</v>
      </c>
      <c r="R38">
        <f t="shared" ref="R38" si="167">R39+Q38</f>
        <v>-7339394242.0479164</v>
      </c>
      <c r="S38">
        <f t="shared" ref="S38" si="168">R38/100000</f>
        <v>-73393.942420479158</v>
      </c>
      <c r="T38">
        <f t="shared" ref="T38" si="169">S38/1000</f>
        <v>-73.393942420479164</v>
      </c>
    </row>
    <row r="39" spans="1:20" x14ac:dyDescent="0.25">
      <c r="A39" s="5">
        <v>44554</v>
      </c>
      <c r="B39">
        <v>0.12598999999999999</v>
      </c>
      <c r="C39">
        <v>0.12939000000000001</v>
      </c>
      <c r="D39">
        <v>0.12234</v>
      </c>
      <c r="E39">
        <v>0.12307</v>
      </c>
      <c r="F39">
        <v>15538738.1</v>
      </c>
      <c r="G39">
        <v>0.12307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-0.7929078014184413</v>
      </c>
      <c r="Q39">
        <f t="shared" ref="Q39" si="171">F39*P39</f>
        <v>-12320786.663687967</v>
      </c>
      <c r="R39">
        <f t="shared" ref="R39" si="172">R40+Q39</f>
        <v>-7336622323.6111383</v>
      </c>
      <c r="S39">
        <f t="shared" ref="S39" si="173">R39/100000</f>
        <v>-73366.223236111386</v>
      </c>
      <c r="T39">
        <f t="shared" ref="T39" si="174">S39/1000</f>
        <v>-73.366223236111381</v>
      </c>
    </row>
    <row r="40" spans="1:20" x14ac:dyDescent="0.25">
      <c r="A40" s="5">
        <v>44553</v>
      </c>
      <c r="B40">
        <v>0.12386999999999999</v>
      </c>
      <c r="C40">
        <v>0.12612999999999999</v>
      </c>
      <c r="D40">
        <v>0.11887</v>
      </c>
      <c r="E40">
        <v>0.12598999999999999</v>
      </c>
      <c r="F40">
        <v>15771782.5</v>
      </c>
      <c r="G40">
        <v>0.12598999999999999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0.96143250688705195</v>
      </c>
      <c r="Q40">
        <f t="shared" ref="Q40" si="176">F40*P40</f>
        <v>15163504.387052335</v>
      </c>
      <c r="R40">
        <f t="shared" ref="R40" si="177">R41+Q40</f>
        <v>-7324301536.9474506</v>
      </c>
      <c r="S40">
        <f t="shared" ref="S40" si="178">R40/100000</f>
        <v>-73243.015369474509</v>
      </c>
      <c r="T40">
        <f t="shared" ref="T40" si="179">S40/1000</f>
        <v>-73.243015369474506</v>
      </c>
    </row>
    <row r="41" spans="1:20" x14ac:dyDescent="0.25">
      <c r="A41" s="5">
        <v>44552</v>
      </c>
      <c r="B41">
        <v>0.11935999999999999</v>
      </c>
      <c r="C41">
        <v>0.12684999999999999</v>
      </c>
      <c r="D41">
        <v>0.1177</v>
      </c>
      <c r="E41">
        <v>0.12395</v>
      </c>
      <c r="F41">
        <v>13909437</v>
      </c>
      <c r="G41">
        <v>0.12395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0.36612021857923743</v>
      </c>
      <c r="Q41">
        <f t="shared" ref="Q41" si="181">F41*P41</f>
        <v>5092526.1147541329</v>
      </c>
      <c r="R41">
        <f t="shared" ref="R41" si="182">R42+Q41</f>
        <v>-7339465041.3345032</v>
      </c>
      <c r="S41">
        <f t="shared" ref="S41" si="183">R41/100000</f>
        <v>-73394.650413345036</v>
      </c>
      <c r="T41">
        <f t="shared" ref="T41" si="184">S41/1000</f>
        <v>-73.394650413345033</v>
      </c>
    </row>
    <row r="42" spans="1:20" x14ac:dyDescent="0.25">
      <c r="A42" s="5">
        <v>44551</v>
      </c>
      <c r="B42">
        <v>0.11475</v>
      </c>
      <c r="C42">
        <v>0.12305000000000001</v>
      </c>
      <c r="D42">
        <v>0.11441999999999999</v>
      </c>
      <c r="E42">
        <v>0.11921</v>
      </c>
      <c r="F42">
        <v>12453023.9</v>
      </c>
      <c r="G42">
        <v>0.11921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0.11008111239860847</v>
      </c>
      <c r="Q42">
        <f t="shared" ref="Q42" si="186">F42*P42</f>
        <v>1370842.7236384577</v>
      </c>
      <c r="R42">
        <f t="shared" ref="R42" si="187">R43+Q42</f>
        <v>-7344557567.4492569</v>
      </c>
      <c r="S42">
        <f t="shared" ref="S42" si="188">R42/100000</f>
        <v>-73445.575674492575</v>
      </c>
      <c r="T42">
        <f t="shared" ref="T42" si="189">S42/1000</f>
        <v>-73.445575674492574</v>
      </c>
    </row>
    <row r="43" spans="1:20" x14ac:dyDescent="0.25">
      <c r="A43" s="5">
        <v>44550</v>
      </c>
      <c r="B43">
        <v>0.11373999999999999</v>
      </c>
      <c r="C43">
        <v>0.11600000000000001</v>
      </c>
      <c r="D43">
        <v>0.11</v>
      </c>
      <c r="E43">
        <v>0.11475</v>
      </c>
      <c r="F43">
        <v>9239335.8000000007</v>
      </c>
      <c r="G43">
        <v>0.11475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0.58333333333333337</v>
      </c>
      <c r="Q43">
        <f t="shared" ref="Q43" si="191">F43*P43</f>
        <v>5389612.5500000007</v>
      </c>
      <c r="R43">
        <f t="shared" ref="R43" si="192">R44+Q43</f>
        <v>-7345928410.1728954</v>
      </c>
      <c r="S43">
        <f t="shared" ref="S43" si="193">R43/100000</f>
        <v>-73459.284101728961</v>
      </c>
      <c r="T43">
        <f t="shared" ref="T43" si="194">S43/1000</f>
        <v>-73.459284101728954</v>
      </c>
    </row>
    <row r="44" spans="1:20" x14ac:dyDescent="0.25">
      <c r="A44" s="5">
        <v>44549</v>
      </c>
      <c r="B44">
        <v>0.11853</v>
      </c>
      <c r="C44">
        <v>0.12051000000000001</v>
      </c>
      <c r="D44">
        <v>0.11322</v>
      </c>
      <c r="E44">
        <v>0.11382</v>
      </c>
      <c r="F44">
        <v>47895021.200000003</v>
      </c>
      <c r="G44">
        <v>0.11382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-0.83539094650205681</v>
      </c>
      <c r="Q44">
        <f t="shared" ref="Q44" si="196">F44*P44</f>
        <v>-40011067.093004078</v>
      </c>
      <c r="R44">
        <f t="shared" ref="R44" si="197">R45+Q44</f>
        <v>-7351318022.7228956</v>
      </c>
      <c r="S44">
        <f t="shared" ref="S44" si="198">R44/100000</f>
        <v>-73513.18022722895</v>
      </c>
      <c r="T44">
        <f t="shared" ref="T44" si="199">S44/1000</f>
        <v>-73.513180227228943</v>
      </c>
    </row>
    <row r="45" spans="1:20" x14ac:dyDescent="0.25">
      <c r="A45" s="5">
        <v>44548</v>
      </c>
      <c r="B45">
        <v>0.11416999999999999</v>
      </c>
      <c r="C45">
        <v>0.12141</v>
      </c>
      <c r="D45">
        <v>0.11186</v>
      </c>
      <c r="E45">
        <v>0.11858</v>
      </c>
      <c r="F45">
        <v>68133626</v>
      </c>
      <c r="G45">
        <v>0.11858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0.40732984293193752</v>
      </c>
      <c r="Q45">
        <f t="shared" ref="Q45" si="201">F45*P45</f>
        <v>27752859.176963374</v>
      </c>
      <c r="R45">
        <f t="shared" ref="R45" si="202">R46+Q45</f>
        <v>-7311306955.6298914</v>
      </c>
      <c r="S45">
        <f t="shared" ref="S45" si="203">R45/100000</f>
        <v>-73113.069556298913</v>
      </c>
      <c r="T45">
        <f t="shared" ref="T45" si="204">S45/1000</f>
        <v>-73.11306955629891</v>
      </c>
    </row>
    <row r="46" spans="1:20" x14ac:dyDescent="0.25">
      <c r="A46" s="5">
        <v>44547</v>
      </c>
      <c r="B46">
        <v>0.11587</v>
      </c>
      <c r="C46">
        <v>0.11935</v>
      </c>
      <c r="D46">
        <v>0.11119</v>
      </c>
      <c r="E46">
        <v>0.11423999999999999</v>
      </c>
      <c r="F46">
        <v>13765650.199999999</v>
      </c>
      <c r="G46">
        <v>0.11423999999999999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-0.25245098039215763</v>
      </c>
      <c r="Q46">
        <f t="shared" ref="Q46" si="206">F46*P46</f>
        <v>-3475151.8887255006</v>
      </c>
      <c r="R46">
        <f t="shared" ref="R46" si="207">R47+Q46</f>
        <v>-7339059814.8068552</v>
      </c>
      <c r="S46">
        <f t="shared" ref="S46" si="208">R46/100000</f>
        <v>-73390.598148068559</v>
      </c>
      <c r="T46">
        <f t="shared" ref="T46" si="209">S46/1000</f>
        <v>-73.390598148068563</v>
      </c>
    </row>
    <row r="47" spans="1:20" x14ac:dyDescent="0.25">
      <c r="A47" s="5">
        <v>44546</v>
      </c>
      <c r="B47">
        <v>0.12012</v>
      </c>
      <c r="C47">
        <v>0.12499</v>
      </c>
      <c r="D47">
        <v>0.115</v>
      </c>
      <c r="E47">
        <v>0.11563</v>
      </c>
      <c r="F47">
        <v>16728535.699999999</v>
      </c>
      <c r="G47">
        <v>0.11563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-0.8738738738738755</v>
      </c>
      <c r="Q47">
        <f t="shared" ref="Q47" si="211">F47*P47</f>
        <v>-14618630.296396423</v>
      </c>
      <c r="R47">
        <f t="shared" ref="R47" si="212">R48+Q47</f>
        <v>-7335584662.9181299</v>
      </c>
      <c r="S47">
        <f t="shared" ref="S47" si="213">R47/100000</f>
        <v>-73355.846629181295</v>
      </c>
      <c r="T47">
        <f t="shared" ref="T47" si="214">S47/1000</f>
        <v>-73.355846629181301</v>
      </c>
    </row>
    <row r="48" spans="1:20" x14ac:dyDescent="0.25">
      <c r="A48" s="5">
        <v>44545</v>
      </c>
      <c r="B48">
        <v>0.1123</v>
      </c>
      <c r="C48">
        <v>0.12198000000000001</v>
      </c>
      <c r="D48">
        <v>0.11002000000000001</v>
      </c>
      <c r="E48">
        <v>0.12013</v>
      </c>
      <c r="F48">
        <v>21385619.5</v>
      </c>
      <c r="G48">
        <v>0.12013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0.69063545150501593</v>
      </c>
      <c r="Q48">
        <f t="shared" ref="Q48" si="216">F48*P48</f>
        <v>14769666.979096973</v>
      </c>
      <c r="R48">
        <f t="shared" ref="R48" si="217">R49+Q48</f>
        <v>-7320966032.6217337</v>
      </c>
      <c r="S48">
        <f t="shared" ref="S48" si="218">R48/100000</f>
        <v>-73209.66032621733</v>
      </c>
      <c r="T48">
        <f t="shared" ref="T48" si="219">S48/1000</f>
        <v>-73.209660326217332</v>
      </c>
    </row>
    <row r="49" spans="1:20" x14ac:dyDescent="0.25">
      <c r="A49" s="5">
        <v>44544</v>
      </c>
      <c r="B49">
        <v>0.11126</v>
      </c>
      <c r="C49">
        <v>0.11658</v>
      </c>
      <c r="D49">
        <v>0.10811</v>
      </c>
      <c r="E49">
        <v>0.1123</v>
      </c>
      <c r="F49">
        <v>35908290.200000003</v>
      </c>
      <c r="G49">
        <v>0.1123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-1.0625737898465961E-2</v>
      </c>
      <c r="Q49">
        <f t="shared" ref="Q49" si="221">F49*P49</f>
        <v>-381552.08004725387</v>
      </c>
      <c r="R49">
        <f t="shared" ref="R49" si="222">R50+Q49</f>
        <v>-7335735699.600831</v>
      </c>
      <c r="S49">
        <f t="shared" ref="S49" si="223">R49/100000</f>
        <v>-73357.356996008311</v>
      </c>
      <c r="T49">
        <f t="shared" ref="T49" si="224">S49/1000</f>
        <v>-73.357356996008306</v>
      </c>
    </row>
    <row r="50" spans="1:20" x14ac:dyDescent="0.25">
      <c r="A50" s="5">
        <v>44543</v>
      </c>
      <c r="B50">
        <v>0.12559000000000001</v>
      </c>
      <c r="C50">
        <v>0.12686</v>
      </c>
      <c r="D50">
        <v>0.1085</v>
      </c>
      <c r="E50">
        <v>0.11105</v>
      </c>
      <c r="F50">
        <v>86818645.700000003</v>
      </c>
      <c r="G50">
        <v>0.11105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-0.72222222222222265</v>
      </c>
      <c r="Q50">
        <f t="shared" ref="Q50" si="226">F50*P50</f>
        <v>-62702355.227777816</v>
      </c>
      <c r="R50">
        <f t="shared" ref="R50" si="227">R51+Q50</f>
        <v>-7335354147.5207834</v>
      </c>
      <c r="S50">
        <f t="shared" ref="S50" si="228">R50/100000</f>
        <v>-73353.541475207836</v>
      </c>
      <c r="T50">
        <f t="shared" ref="T50" si="229">S50/1000</f>
        <v>-73.353541475207834</v>
      </c>
    </row>
    <row r="51" spans="1:20" x14ac:dyDescent="0.25">
      <c r="A51" s="5">
        <v>44542</v>
      </c>
      <c r="B51">
        <v>0.12465</v>
      </c>
      <c r="C51">
        <v>0.13500000000000001</v>
      </c>
      <c r="D51">
        <v>0.11910999999999999</v>
      </c>
      <c r="E51">
        <v>0.12542</v>
      </c>
      <c r="F51">
        <v>101722296.59999999</v>
      </c>
      <c r="G51">
        <v>0.12542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-0.20578980490874713</v>
      </c>
      <c r="Q51">
        <f t="shared" ref="Q51" si="231">F51*P51</f>
        <v>-20933411.57218371</v>
      </c>
      <c r="R51">
        <f t="shared" ref="R51" si="232">R52+Q51</f>
        <v>-7272651792.2930059</v>
      </c>
      <c r="S51">
        <f t="shared" ref="S51" si="233">R51/100000</f>
        <v>-72726.517922930056</v>
      </c>
      <c r="T51">
        <f t="shared" ref="T51" si="234">S51/1000</f>
        <v>-72.726517922930057</v>
      </c>
    </row>
    <row r="52" spans="1:20" x14ac:dyDescent="0.25">
      <c r="A52" s="5">
        <v>44541</v>
      </c>
      <c r="B52">
        <v>0.11675000000000001</v>
      </c>
      <c r="C52">
        <v>0.11924</v>
      </c>
      <c r="D52">
        <v>0.11509999999999999</v>
      </c>
      <c r="E52">
        <v>0.11874</v>
      </c>
      <c r="F52">
        <v>1158666.6000000001</v>
      </c>
      <c r="G52">
        <v>0.11874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0.75845410628019327</v>
      </c>
      <c r="Q52">
        <f t="shared" ref="Q52" si="236">F52*P52</f>
        <v>878795.4405797103</v>
      </c>
      <c r="R52">
        <f t="shared" ref="R52" si="237">R53+Q52</f>
        <v>-7251718380.7208223</v>
      </c>
      <c r="S52">
        <f t="shared" ref="S52" si="238">R52/100000</f>
        <v>-72517.183807208217</v>
      </c>
      <c r="T52">
        <f t="shared" ref="T52" si="239">S52/1000</f>
        <v>-72.517183807208212</v>
      </c>
    </row>
    <row r="53" spans="1:20" x14ac:dyDescent="0.25">
      <c r="A53" s="5">
        <v>44540</v>
      </c>
      <c r="B53">
        <v>0.12908</v>
      </c>
      <c r="C53">
        <v>0.13358999999999999</v>
      </c>
      <c r="D53">
        <v>0.11648</v>
      </c>
      <c r="E53">
        <v>0.11731999999999999</v>
      </c>
      <c r="F53">
        <v>42561976.399999999</v>
      </c>
      <c r="G53">
        <v>0.11731999999999999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-0.90181180596142674</v>
      </c>
      <c r="Q53">
        <f t="shared" ref="Q53" si="241">F53*P53</f>
        <v>-38382892.802571625</v>
      </c>
      <c r="R53">
        <f t="shared" ref="R53" si="242">R54+Q53</f>
        <v>-7252597176.1614017</v>
      </c>
      <c r="S53">
        <f t="shared" ref="S53" si="243">R53/100000</f>
        <v>-72525.971761614011</v>
      </c>
      <c r="T53">
        <f t="shared" ref="T53" si="244">S53/1000</f>
        <v>-72.525971761614016</v>
      </c>
    </row>
    <row r="54" spans="1:20" x14ac:dyDescent="0.25">
      <c r="A54" s="5">
        <v>44539</v>
      </c>
      <c r="B54">
        <v>0.13907</v>
      </c>
      <c r="C54">
        <v>0.14074999999999999</v>
      </c>
      <c r="D54">
        <v>0.12809999999999999</v>
      </c>
      <c r="E54">
        <v>0.12906000000000001</v>
      </c>
      <c r="F54">
        <v>23343467.300000001</v>
      </c>
      <c r="G54">
        <v>0.12906000000000001</v>
      </c>
      <c r="L54" t="s">
        <v>8</v>
      </c>
      <c r="M54" t="s">
        <v>8</v>
      </c>
      <c r="N54" t="s">
        <v>7</v>
      </c>
      <c r="P54">
        <f t="shared" ref="P54" si="245">IF(C54=D54,0,((E54-D54)-(C54-E54))/(C54-D54))</f>
        <v>-0.84822134387351511</v>
      </c>
      <c r="Q54">
        <f t="shared" ref="Q54" si="246">F54*P54</f>
        <v>-19800427.203873456</v>
      </c>
      <c r="R54">
        <f t="shared" ref="R54" si="247">R55+Q54</f>
        <v>-7214214283.3588305</v>
      </c>
      <c r="S54">
        <f t="shared" ref="S54" si="248">R54/100000</f>
        <v>-72142.14283358831</v>
      </c>
      <c r="T54">
        <f t="shared" ref="T54" si="249">S54/1000</f>
        <v>-72.142142833588309</v>
      </c>
    </row>
    <row r="55" spans="1:20" x14ac:dyDescent="0.25">
      <c r="A55" s="5">
        <v>44538</v>
      </c>
      <c r="B55">
        <v>0.13450000000000001</v>
      </c>
      <c r="C55">
        <v>0.14382</v>
      </c>
      <c r="D55">
        <v>0.12959000000000001</v>
      </c>
      <c r="E55">
        <v>0.13907</v>
      </c>
      <c r="F55">
        <v>27967593.5</v>
      </c>
      <c r="G55">
        <v>0.13907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0.33239634574841792</v>
      </c>
      <c r="Q55">
        <f t="shared" ref="Q55" si="251">F55*P55</f>
        <v>9296325.8787772059</v>
      </c>
      <c r="R55">
        <f t="shared" ref="R55" si="252">R56+Q55</f>
        <v>-7194413856.1549568</v>
      </c>
      <c r="S55">
        <f t="shared" ref="S55" si="253">R55/100000</f>
        <v>-71944.138561549567</v>
      </c>
      <c r="T55">
        <f t="shared" ref="T55" si="254">S55/1000</f>
        <v>-71.944138561549565</v>
      </c>
    </row>
    <row r="56" spans="1:20" x14ac:dyDescent="0.25">
      <c r="A56" s="5">
        <v>44537</v>
      </c>
      <c r="B56">
        <v>0.14133000000000001</v>
      </c>
      <c r="C56">
        <v>0.1479</v>
      </c>
      <c r="D56">
        <v>0.13227</v>
      </c>
      <c r="E56">
        <v>0.13477</v>
      </c>
      <c r="F56">
        <v>35307228.700000003</v>
      </c>
      <c r="G56">
        <v>0.13477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-0.68010236724248219</v>
      </c>
      <c r="Q56">
        <f t="shared" ref="Q56" si="256">F56*P56</f>
        <v>-24012529.819641709</v>
      </c>
      <c r="R56">
        <f t="shared" ref="R56" si="257">R57+Q56</f>
        <v>-7203710182.0337343</v>
      </c>
      <c r="S56">
        <f t="shared" ref="S56" si="258">R56/100000</f>
        <v>-72037.101820337339</v>
      </c>
      <c r="T56">
        <f t="shared" ref="T56" si="259">S56/1000</f>
        <v>-72.037101820337341</v>
      </c>
    </row>
    <row r="57" spans="1:20" x14ac:dyDescent="0.25">
      <c r="A57" s="5">
        <v>44536</v>
      </c>
      <c r="B57">
        <v>0.13980000000000001</v>
      </c>
      <c r="C57">
        <v>0.14499000000000001</v>
      </c>
      <c r="D57">
        <v>0.12161</v>
      </c>
      <c r="E57">
        <v>0.14138000000000001</v>
      </c>
      <c r="F57">
        <v>45670268.299999997</v>
      </c>
      <c r="G57">
        <v>0.14138000000000001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0.69118905047048762</v>
      </c>
      <c r="Q57">
        <f t="shared" ref="Q57" si="261">F57*P57</f>
        <v>31566789.381009407</v>
      </c>
      <c r="R57">
        <f t="shared" ref="R57" si="262">R58+Q57</f>
        <v>-7179697652.2140923</v>
      </c>
      <c r="S57">
        <f t="shared" ref="S57" si="263">R57/100000</f>
        <v>-71796.976522140918</v>
      </c>
      <c r="T57">
        <f t="shared" ref="T57" si="264">S57/1000</f>
        <v>-71.796976522140923</v>
      </c>
    </row>
    <row r="58" spans="1:20" x14ac:dyDescent="0.25">
      <c r="A58" s="5">
        <v>44535</v>
      </c>
      <c r="B58">
        <v>0.14446999999999999</v>
      </c>
      <c r="C58">
        <v>0.15176999999999999</v>
      </c>
      <c r="D58">
        <v>0.13128000000000001</v>
      </c>
      <c r="E58">
        <v>0.13996</v>
      </c>
      <c r="F58">
        <v>46131300.200000003</v>
      </c>
      <c r="G58">
        <v>0.13996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-0.15275744265495347</v>
      </c>
      <c r="Q58">
        <f t="shared" ref="Q58" si="266">F58*P58</f>
        <v>-7046899.4448999446</v>
      </c>
      <c r="R58">
        <f t="shared" ref="R58" si="267">R59+Q58</f>
        <v>-7211264441.5951014</v>
      </c>
      <c r="S58">
        <f t="shared" ref="S58" si="268">R58/100000</f>
        <v>-72112.644415951014</v>
      </c>
      <c r="T58">
        <f t="shared" ref="T58" si="269">S58/1000</f>
        <v>-72.11264441595101</v>
      </c>
    </row>
    <row r="59" spans="1:20" x14ac:dyDescent="0.25">
      <c r="A59" s="5">
        <v>44534</v>
      </c>
      <c r="B59">
        <v>0.16184999999999999</v>
      </c>
      <c r="C59">
        <v>0.16259999999999999</v>
      </c>
      <c r="D59">
        <v>0.12280000000000001</v>
      </c>
      <c r="E59">
        <v>0.14438000000000001</v>
      </c>
      <c r="F59">
        <v>107082817.90000001</v>
      </c>
      <c r="G59">
        <v>0.14438000000000001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8.4422110552764246E-2</v>
      </c>
      <c r="Q59">
        <f t="shared" ref="Q59" si="271">F59*P59</f>
        <v>9040157.4910553228</v>
      </c>
      <c r="R59">
        <f t="shared" ref="R59" si="272">R60+Q59</f>
        <v>-7204217542.1502018</v>
      </c>
      <c r="S59">
        <f t="shared" ref="S59" si="273">R59/100000</f>
        <v>-72042.175421502019</v>
      </c>
      <c r="T59">
        <f t="shared" ref="T59" si="274">S59/1000</f>
        <v>-72.042175421502023</v>
      </c>
    </row>
    <row r="60" spans="1:20" x14ac:dyDescent="0.25">
      <c r="A60" s="5">
        <v>44533</v>
      </c>
      <c r="B60">
        <v>0.18362999999999999</v>
      </c>
      <c r="C60">
        <v>0.18403</v>
      </c>
      <c r="D60">
        <v>0.152</v>
      </c>
      <c r="E60">
        <v>0.16213</v>
      </c>
      <c r="F60">
        <v>166558529.09999999</v>
      </c>
      <c r="G60">
        <v>0.16213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-0.36746799875117081</v>
      </c>
      <c r="Q60">
        <f t="shared" ref="Q60" si="276">F60*P60</f>
        <v>-61204929.363315642</v>
      </c>
      <c r="R60">
        <f t="shared" ref="R60" si="277">R61+Q60</f>
        <v>-7213257699.6412573</v>
      </c>
      <c r="S60">
        <f t="shared" ref="S60" si="278">R60/100000</f>
        <v>-72132.576996412579</v>
      </c>
      <c r="T60">
        <f t="shared" ref="T60" si="279">S60/1000</f>
        <v>-72.132576996412581</v>
      </c>
    </row>
    <row r="61" spans="1:20" x14ac:dyDescent="0.25">
      <c r="A61" s="5">
        <v>44532</v>
      </c>
      <c r="B61">
        <v>0.1512</v>
      </c>
      <c r="C61">
        <v>0.21812000000000001</v>
      </c>
      <c r="D61">
        <v>0.14899999999999999</v>
      </c>
      <c r="E61">
        <v>0.18362999999999999</v>
      </c>
      <c r="F61">
        <v>523563276.89999998</v>
      </c>
      <c r="G61">
        <v>0.18362999999999999</v>
      </c>
      <c r="L61" t="s">
        <v>8</v>
      </c>
      <c r="M61" t="s">
        <v>8</v>
      </c>
      <c r="N61" t="s">
        <v>8</v>
      </c>
      <c r="P61">
        <f t="shared" ref="P61" si="280">IF(C61=D61,0,((E61-D61)-(C61-E61))/(C61-D61))</f>
        <v>2.025462962962579E-3</v>
      </c>
      <c r="Q61">
        <f t="shared" ref="Q61" si="281">F61*P61</f>
        <v>1060458.0261282711</v>
      </c>
      <c r="R61">
        <f t="shared" ref="R61" si="282">R62+Q61</f>
        <v>-7152052770.2779417</v>
      </c>
      <c r="S61">
        <f t="shared" ref="S61" si="283">R61/100000</f>
        <v>-71520.527702779422</v>
      </c>
      <c r="T61">
        <f t="shared" ref="T61" si="284">S61/1000</f>
        <v>-71.520527702779418</v>
      </c>
    </row>
    <row r="62" spans="1:20" x14ac:dyDescent="0.25">
      <c r="A62" s="5">
        <v>44531</v>
      </c>
      <c r="B62">
        <v>0.15006</v>
      </c>
      <c r="C62">
        <v>0.16142000000000001</v>
      </c>
      <c r="D62">
        <v>0.14799999999999999</v>
      </c>
      <c r="E62">
        <v>0.15143000000000001</v>
      </c>
      <c r="F62">
        <v>36812366.299999997</v>
      </c>
      <c r="G62">
        <v>0.15143000000000001</v>
      </c>
      <c r="L62" t="s">
        <v>8</v>
      </c>
      <c r="M62" t="s">
        <v>8</v>
      </c>
      <c r="N62" t="s">
        <v>8</v>
      </c>
      <c r="P62">
        <f t="shared" ref="P62" si="285">IF(C62=D62,0,((E62-D62)-(C62-E62))/(C62-D62))</f>
        <v>-0.48882265275707715</v>
      </c>
      <c r="Q62">
        <f t="shared" ref="Q62" si="286">F62*P62</f>
        <v>-17994718.549031228</v>
      </c>
      <c r="R62">
        <f t="shared" ref="R62" si="287">R63+Q62</f>
        <v>-7153113228.3040695</v>
      </c>
      <c r="S62">
        <f t="shared" ref="S62" si="288">R62/100000</f>
        <v>-71531.132283040701</v>
      </c>
      <c r="T62">
        <f t="shared" ref="T62" si="289">S62/1000</f>
        <v>-71.531132283040705</v>
      </c>
    </row>
    <row r="63" spans="1:20" x14ac:dyDescent="0.25">
      <c r="A63" s="5">
        <v>44530</v>
      </c>
      <c r="B63">
        <v>0.15118000000000001</v>
      </c>
      <c r="C63">
        <v>0.15692999999999999</v>
      </c>
      <c r="D63">
        <v>0.14610999999999999</v>
      </c>
      <c r="E63">
        <v>0.15010000000000001</v>
      </c>
      <c r="F63">
        <v>48292030.700000003</v>
      </c>
      <c r="G63">
        <v>0.15010000000000001</v>
      </c>
      <c r="L63" t="s">
        <v>7</v>
      </c>
      <c r="M63" t="s">
        <v>8</v>
      </c>
      <c r="N63" t="s">
        <v>8</v>
      </c>
      <c r="P63">
        <f t="shared" ref="P63" si="290">IF(C63=D63,0,((E63-D63)-(C63-E63))/(C63-D63))</f>
        <v>-0.26247689463955221</v>
      </c>
      <c r="Q63">
        <f t="shared" ref="Q63" si="291">F63*P63</f>
        <v>-12675542.253973922</v>
      </c>
      <c r="R63">
        <f t="shared" ref="R63" si="292">R64+Q63</f>
        <v>-7135118509.7550383</v>
      </c>
      <c r="S63">
        <f t="shared" ref="S63" si="293">R63/100000</f>
        <v>-71351.185097550377</v>
      </c>
      <c r="T63">
        <f t="shared" ref="T63" si="294">S63/1000</f>
        <v>-71.351185097550371</v>
      </c>
    </row>
    <row r="64" spans="1:20" x14ac:dyDescent="0.25">
      <c r="A64" s="5">
        <v>44529</v>
      </c>
      <c r="B64">
        <v>0.14774999999999999</v>
      </c>
      <c r="C64">
        <v>0.16866</v>
      </c>
      <c r="D64">
        <v>0.14338000000000001</v>
      </c>
      <c r="E64">
        <v>0.151</v>
      </c>
      <c r="F64">
        <v>131010336</v>
      </c>
      <c r="G64">
        <v>0.151</v>
      </c>
      <c r="L64" t="s">
        <v>8</v>
      </c>
      <c r="M64" t="s">
        <v>8</v>
      </c>
      <c r="N64" t="s">
        <v>8</v>
      </c>
      <c r="P64">
        <f t="shared" ref="P64" si="295">IF(C64=D64,0,((E64-D64)-(C64-E64))/(C64-D64))</f>
        <v>-0.39715189873417811</v>
      </c>
      <c r="Q64">
        <f t="shared" ref="Q64" si="296">F64*P64</f>
        <v>-52031003.696202651</v>
      </c>
      <c r="R64">
        <f t="shared" ref="R64" si="297">R65+Q64</f>
        <v>-7122442967.5010643</v>
      </c>
      <c r="S64">
        <f t="shared" ref="S64" si="298">R64/100000</f>
        <v>-71224.429675010644</v>
      </c>
      <c r="T64">
        <f t="shared" ref="T64" si="299">S64/1000</f>
        <v>-71.22442967501064</v>
      </c>
    </row>
    <row r="65" spans="1:20" x14ac:dyDescent="0.25">
      <c r="A65" s="5">
        <v>44528</v>
      </c>
      <c r="B65">
        <v>0.15537999999999999</v>
      </c>
      <c r="C65">
        <v>0.15848000000000001</v>
      </c>
      <c r="D65">
        <v>0.13596</v>
      </c>
      <c r="E65">
        <v>0.14777999999999999</v>
      </c>
      <c r="F65">
        <v>93042773.599999994</v>
      </c>
      <c r="G65">
        <v>0.14777999999999999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4.9733570159857084E-2</v>
      </c>
      <c r="Q65">
        <f t="shared" ref="Q65" si="301">F65*P65</f>
        <v>4627349.3087032977</v>
      </c>
      <c r="R65">
        <f t="shared" ref="R65" si="302">R66+Q65</f>
        <v>-7070411963.804862</v>
      </c>
      <c r="S65">
        <f t="shared" ref="S65" si="303">R65/100000</f>
        <v>-70704.119638048622</v>
      </c>
      <c r="T65">
        <f t="shared" ref="T65" si="304">S65/1000</f>
        <v>-70.704119638048624</v>
      </c>
    </row>
    <row r="66" spans="1:20" x14ac:dyDescent="0.25">
      <c r="A66" s="5">
        <v>44527</v>
      </c>
      <c r="B66">
        <v>0.13308</v>
      </c>
      <c r="C66">
        <v>0.19</v>
      </c>
      <c r="D66">
        <v>0.1328</v>
      </c>
      <c r="E66">
        <v>0.15534000000000001</v>
      </c>
      <c r="F66">
        <v>258090918</v>
      </c>
      <c r="G66">
        <v>0.15534000000000001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-0.21188811188811174</v>
      </c>
      <c r="Q66">
        <f t="shared" ref="Q66" si="306">F66*P66</f>
        <v>-54686397.310489476</v>
      </c>
      <c r="R66">
        <f t="shared" ref="R66" si="307">R67+Q66</f>
        <v>-7075039313.1135654</v>
      </c>
      <c r="S66">
        <f t="shared" ref="S66" si="308">R66/100000</f>
        <v>-70750.393131135657</v>
      </c>
      <c r="T66">
        <f t="shared" ref="T66" si="309">S66/1000</f>
        <v>-70.750393131135652</v>
      </c>
    </row>
    <row r="67" spans="1:20" x14ac:dyDescent="0.25">
      <c r="A67" s="5">
        <v>44526</v>
      </c>
      <c r="B67">
        <v>0.15076000000000001</v>
      </c>
      <c r="C67">
        <v>0.15729000000000001</v>
      </c>
      <c r="D67">
        <v>0.12945000000000001</v>
      </c>
      <c r="E67">
        <v>0.13316</v>
      </c>
      <c r="F67">
        <v>80011326.400000006</v>
      </c>
      <c r="G67">
        <v>0.13316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-0.73347701149425359</v>
      </c>
      <c r="Q67">
        <f t="shared" ref="Q67" si="311">F67*P67</f>
        <v>-58686468.573563278</v>
      </c>
      <c r="R67">
        <f t="shared" ref="R67" si="312">R68+Q67</f>
        <v>-7020352915.8030758</v>
      </c>
      <c r="S67">
        <f t="shared" ref="S67" si="313">R67/100000</f>
        <v>-70203.529158030753</v>
      </c>
      <c r="T67">
        <f t="shared" ref="T67" si="314">S67/1000</f>
        <v>-70.203529158030747</v>
      </c>
    </row>
    <row r="68" spans="1:20" x14ac:dyDescent="0.25">
      <c r="A68" s="5">
        <v>44525</v>
      </c>
      <c r="B68">
        <v>0.13278000000000001</v>
      </c>
      <c r="C68">
        <v>0.15878999999999999</v>
      </c>
      <c r="D68">
        <v>0.13031000000000001</v>
      </c>
      <c r="E68">
        <v>0.15043000000000001</v>
      </c>
      <c r="F68">
        <v>81292905</v>
      </c>
      <c r="G68">
        <v>0.15043000000000001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0.41292134831460781</v>
      </c>
      <c r="Q68">
        <f t="shared" ref="Q68" si="316">F68*P68</f>
        <v>33567575.941011325</v>
      </c>
      <c r="R68">
        <f t="shared" ref="R68" si="317">R69+Q68</f>
        <v>-6961666447.2295122</v>
      </c>
      <c r="S68">
        <f t="shared" ref="S68" si="318">R68/100000</f>
        <v>-69616.664472295117</v>
      </c>
      <c r="T68">
        <f t="shared" ref="T68" si="319">S68/1000</f>
        <v>-69.616664472295113</v>
      </c>
    </row>
    <row r="69" spans="1:20" x14ac:dyDescent="0.25">
      <c r="A69" s="5">
        <v>44524</v>
      </c>
      <c r="B69">
        <v>0.1368</v>
      </c>
      <c r="C69">
        <v>0.13843</v>
      </c>
      <c r="D69">
        <v>0.13144</v>
      </c>
      <c r="E69">
        <v>0.13386999999999999</v>
      </c>
      <c r="F69">
        <v>7776400.4000000004</v>
      </c>
      <c r="G69">
        <v>0.13386999999999999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-0.30472103004292161</v>
      </c>
      <c r="Q69">
        <f t="shared" ref="Q69" si="321">F69*P69</f>
        <v>-2369632.7399141877</v>
      </c>
      <c r="R69">
        <f t="shared" ref="R69" si="322">R70+Q69</f>
        <v>-6995234023.1705236</v>
      </c>
      <c r="S69">
        <f t="shared" ref="S69" si="323">R69/100000</f>
        <v>-69952.340231705239</v>
      </c>
      <c r="T69">
        <f t="shared" ref="T69" si="324">S69/1000</f>
        <v>-69.952340231705236</v>
      </c>
    </row>
    <row r="70" spans="1:20" x14ac:dyDescent="0.25">
      <c r="A70" s="5">
        <v>44523</v>
      </c>
      <c r="B70">
        <v>0.13533000000000001</v>
      </c>
      <c r="C70">
        <v>0.14000000000000001</v>
      </c>
      <c r="D70">
        <v>0.13427</v>
      </c>
      <c r="E70">
        <v>0.1368</v>
      </c>
      <c r="F70">
        <v>20827346.800000001</v>
      </c>
      <c r="G70">
        <v>0.1368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-0.11692844677137913</v>
      </c>
      <c r="Q70">
        <f t="shared" ref="Q70" si="326">F70*P70</f>
        <v>-2435309.3116928535</v>
      </c>
      <c r="R70">
        <f t="shared" ref="R70" si="327">R71+Q70</f>
        <v>-6992864390.4306097</v>
      </c>
      <c r="S70">
        <f t="shared" ref="S70" si="328">R70/100000</f>
        <v>-69928.643904306096</v>
      </c>
      <c r="T70">
        <f t="shared" ref="T70" si="329">S70/1000</f>
        <v>-69.928643904306099</v>
      </c>
    </row>
    <row r="71" spans="1:20" x14ac:dyDescent="0.25">
      <c r="A71" s="5">
        <v>44522</v>
      </c>
      <c r="B71">
        <v>0.14130999999999999</v>
      </c>
      <c r="C71">
        <v>0.14193</v>
      </c>
      <c r="D71">
        <v>0.13427</v>
      </c>
      <c r="E71">
        <v>0.13539000000000001</v>
      </c>
      <c r="F71">
        <v>39447658.200000003</v>
      </c>
      <c r="G71">
        <v>0.13539000000000001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-0.70757180156657706</v>
      </c>
      <c r="Q71">
        <f t="shared" ref="Q71" si="331">F71*P71</f>
        <v>-27912050.580156557</v>
      </c>
      <c r="R71">
        <f t="shared" ref="R71" si="332">R72+Q71</f>
        <v>-6990429081.1189165</v>
      </c>
      <c r="S71">
        <f t="shared" ref="S71" si="333">R71/100000</f>
        <v>-69904.290811189159</v>
      </c>
      <c r="T71">
        <f t="shared" ref="T71" si="334">S71/1000</f>
        <v>-69.904290811189156</v>
      </c>
    </row>
    <row r="72" spans="1:20" x14ac:dyDescent="0.25">
      <c r="A72" s="5">
        <v>44521</v>
      </c>
      <c r="B72">
        <v>0.15695999999999999</v>
      </c>
      <c r="C72">
        <v>0.17199999999999999</v>
      </c>
      <c r="D72">
        <v>0.14036000000000001</v>
      </c>
      <c r="E72">
        <v>0.14126</v>
      </c>
      <c r="F72">
        <v>132764277.90000001</v>
      </c>
      <c r="G72">
        <v>0.14126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-0.94310998735777596</v>
      </c>
      <c r="Q72">
        <f t="shared" ref="Q72" si="336">F72*P72</f>
        <v>-125211316.45183326</v>
      </c>
      <c r="R72">
        <f t="shared" ref="R72" si="337">R73+Q72</f>
        <v>-6962517030.5387602</v>
      </c>
      <c r="S72">
        <f t="shared" ref="S72" si="338">R72/100000</f>
        <v>-69625.170305387597</v>
      </c>
      <c r="T72">
        <f t="shared" ref="T72" si="339">S72/1000</f>
        <v>-69.625170305387599</v>
      </c>
    </row>
    <row r="73" spans="1:20" x14ac:dyDescent="0.25">
      <c r="A73" s="5">
        <v>44520</v>
      </c>
      <c r="B73">
        <v>0.13780000000000001</v>
      </c>
      <c r="C73">
        <v>0.16375999999999999</v>
      </c>
      <c r="D73">
        <v>0.13650000000000001</v>
      </c>
      <c r="E73">
        <v>0.15695999999999999</v>
      </c>
      <c r="F73">
        <v>71737505.5</v>
      </c>
      <c r="G73">
        <v>0.15695999999999999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0.50110051357300034</v>
      </c>
      <c r="Q73">
        <f t="shared" ref="Q73" si="341">F73*P73</f>
        <v>35947700.848495938</v>
      </c>
      <c r="R73">
        <f t="shared" ref="R73" si="342">R74+Q73</f>
        <v>-6837305714.0869265</v>
      </c>
      <c r="S73">
        <f t="shared" ref="S73" si="343">R73/100000</f>
        <v>-68373.057140869263</v>
      </c>
      <c r="T73">
        <f t="shared" ref="T73" si="344">S73/1000</f>
        <v>-68.373057140869264</v>
      </c>
    </row>
    <row r="74" spans="1:20" x14ac:dyDescent="0.25">
      <c r="A74" s="5">
        <v>44519</v>
      </c>
      <c r="B74">
        <v>0.12695000000000001</v>
      </c>
      <c r="C74">
        <v>0.13854</v>
      </c>
      <c r="D74">
        <v>0.12619</v>
      </c>
      <c r="E74">
        <v>0.13758000000000001</v>
      </c>
      <c r="F74">
        <v>27217363.899999999</v>
      </c>
      <c r="G74">
        <v>0.13758000000000001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0.84453441295546738</v>
      </c>
      <c r="Q74">
        <f t="shared" ref="Q74" si="346">F74*P74</f>
        <v>22986000.443481829</v>
      </c>
      <c r="R74">
        <f t="shared" ref="R74" si="347">R75+Q74</f>
        <v>-6873253414.9354219</v>
      </c>
      <c r="S74">
        <f t="shared" ref="S74" si="348">R74/100000</f>
        <v>-68732.534149354222</v>
      </c>
      <c r="T74">
        <f t="shared" ref="T74" si="349">S74/1000</f>
        <v>-68.732534149354223</v>
      </c>
    </row>
    <row r="75" spans="1:20" x14ac:dyDescent="0.25">
      <c r="A75" s="5">
        <v>44518</v>
      </c>
      <c r="B75">
        <v>0.13616</v>
      </c>
      <c r="C75">
        <v>0.14333000000000001</v>
      </c>
      <c r="D75">
        <v>0.12275</v>
      </c>
      <c r="E75">
        <v>0.12712000000000001</v>
      </c>
      <c r="F75">
        <v>29650114.899999999</v>
      </c>
      <c r="G75">
        <v>0.12712000000000001</v>
      </c>
      <c r="L75" t="s">
        <v>8</v>
      </c>
      <c r="M75" t="s">
        <v>7</v>
      </c>
      <c r="N75" t="s">
        <v>7</v>
      </c>
      <c r="P75">
        <f t="shared" ref="P75" si="350">IF(C75=D75,0,((E75-D75)-(C75-E75))/(C75-D75))</f>
        <v>-0.57531584062196217</v>
      </c>
      <c r="Q75">
        <f t="shared" ref="Q75" si="351">F75*P75</f>
        <v>-17058180.778231263</v>
      </c>
      <c r="R75">
        <f t="shared" ref="R75" si="352">R76+Q75</f>
        <v>-6896239415.3789034</v>
      </c>
      <c r="S75">
        <f t="shared" ref="S75" si="353">R75/100000</f>
        <v>-68962.394153789035</v>
      </c>
      <c r="T75">
        <f t="shared" ref="T75" si="354">S75/1000</f>
        <v>-68.962394153789035</v>
      </c>
    </row>
    <row r="76" spans="1:20" x14ac:dyDescent="0.25">
      <c r="A76" s="5">
        <v>44517</v>
      </c>
      <c r="B76">
        <v>0.13236999999999999</v>
      </c>
      <c r="C76">
        <v>0.13868</v>
      </c>
      <c r="D76">
        <v>0.13</v>
      </c>
      <c r="E76">
        <v>0.13603000000000001</v>
      </c>
      <c r="F76">
        <v>20218840.699999999</v>
      </c>
      <c r="G76">
        <v>0.13603000000000001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0.38940092165898899</v>
      </c>
      <c r="Q76">
        <f t="shared" ref="Q76" si="356">F76*P76</f>
        <v>7873235.203456278</v>
      </c>
      <c r="R76">
        <f t="shared" ref="R76" si="357">R77+Q76</f>
        <v>-6879181234.6006718</v>
      </c>
      <c r="S76">
        <f t="shared" ref="S76" si="358">R76/100000</f>
        <v>-68791.812346006715</v>
      </c>
      <c r="T76">
        <f t="shared" ref="T76" si="359">S76/1000</f>
        <v>-68.791812346006708</v>
      </c>
    </row>
    <row r="77" spans="1:20" x14ac:dyDescent="0.25">
      <c r="A77" s="5">
        <v>44516</v>
      </c>
      <c r="B77">
        <v>0.14335999999999999</v>
      </c>
      <c r="C77">
        <v>0.14591999999999999</v>
      </c>
      <c r="D77">
        <v>0.12902</v>
      </c>
      <c r="E77">
        <v>0.13222</v>
      </c>
      <c r="F77">
        <v>32519635.399999999</v>
      </c>
      <c r="G77">
        <v>0.13222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-0.62130177514792795</v>
      </c>
      <c r="Q77">
        <f t="shared" ref="Q77" si="361">F77*P77</f>
        <v>-20204507.201183397</v>
      </c>
      <c r="R77">
        <f t="shared" ref="R77" si="362">R78+Q77</f>
        <v>-6887054469.8041277</v>
      </c>
      <c r="S77">
        <f t="shared" ref="S77" si="363">R77/100000</f>
        <v>-68870.544698041282</v>
      </c>
      <c r="T77">
        <f t="shared" ref="T77" si="364">S77/1000</f>
        <v>-68.870544698041286</v>
      </c>
    </row>
    <row r="78" spans="1:20" x14ac:dyDescent="0.25">
      <c r="A78" s="5">
        <v>44515</v>
      </c>
      <c r="B78">
        <v>0.14779999999999999</v>
      </c>
      <c r="C78">
        <v>0.14918999999999999</v>
      </c>
      <c r="D78">
        <v>0.14232</v>
      </c>
      <c r="E78">
        <v>0.14324000000000001</v>
      </c>
      <c r="F78">
        <v>20585277.5</v>
      </c>
      <c r="G78">
        <v>0.14324000000000001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-0.73216885007277854</v>
      </c>
      <c r="Q78">
        <f t="shared" ref="Q78" si="366">F78*P78</f>
        <v>-15071898.955604041</v>
      </c>
      <c r="R78">
        <f t="shared" ref="R78" si="367">R79+Q78</f>
        <v>-6866849962.6029444</v>
      </c>
      <c r="S78">
        <f t="shared" ref="S78" si="368">R78/100000</f>
        <v>-68668.499626029443</v>
      </c>
      <c r="T78">
        <f t="shared" ref="T78" si="369">S78/1000</f>
        <v>-68.668499626029444</v>
      </c>
    </row>
    <row r="79" spans="1:20" x14ac:dyDescent="0.25">
      <c r="A79" s="5">
        <v>44514</v>
      </c>
      <c r="B79">
        <v>0.14183999999999999</v>
      </c>
      <c r="C79">
        <v>0.15</v>
      </c>
      <c r="D79">
        <v>0.14087</v>
      </c>
      <c r="E79">
        <v>0.14777000000000001</v>
      </c>
      <c r="F79">
        <v>47100639.600000001</v>
      </c>
      <c r="G79">
        <v>0.14777000000000001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0.51150054764512987</v>
      </c>
      <c r="Q79">
        <f t="shared" ref="Q79" si="371">F79*P79</f>
        <v>24092002.949835893</v>
      </c>
      <c r="R79">
        <f t="shared" ref="R79" si="372">R80+Q79</f>
        <v>-6851778063.6473408</v>
      </c>
      <c r="S79">
        <f t="shared" ref="S79" si="373">R79/100000</f>
        <v>-68517.780636473413</v>
      </c>
      <c r="T79">
        <f t="shared" ref="T79" si="374">S79/1000</f>
        <v>-68.517780636473418</v>
      </c>
    </row>
    <row r="80" spans="1:20" x14ac:dyDescent="0.25">
      <c r="A80" s="5">
        <v>44513</v>
      </c>
      <c r="B80">
        <v>0.13982</v>
      </c>
      <c r="C80">
        <v>0.14557</v>
      </c>
      <c r="D80">
        <v>0.13718</v>
      </c>
      <c r="E80">
        <v>0.14183000000000001</v>
      </c>
      <c r="F80">
        <v>16388208.5</v>
      </c>
      <c r="G80">
        <v>0.14183000000000001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0.10846245530393575</v>
      </c>
      <c r="Q80">
        <f t="shared" ref="Q80" si="376">F80*P80</f>
        <v>1777505.33194283</v>
      </c>
      <c r="R80">
        <f t="shared" ref="R80" si="377">R81+Q80</f>
        <v>-6875870066.5971766</v>
      </c>
      <c r="S80">
        <f t="shared" ref="S80" si="378">R80/100000</f>
        <v>-68758.700665971759</v>
      </c>
      <c r="T80">
        <f t="shared" ref="T80" si="379">S80/1000</f>
        <v>-68.758700665971759</v>
      </c>
    </row>
    <row r="81" spans="1:20" x14ac:dyDescent="0.25">
      <c r="A81" s="5">
        <v>44512</v>
      </c>
      <c r="B81">
        <v>0.14383000000000001</v>
      </c>
      <c r="C81">
        <v>0.14585000000000001</v>
      </c>
      <c r="D81">
        <v>0.13517999999999999</v>
      </c>
      <c r="E81">
        <v>0.13980000000000001</v>
      </c>
      <c r="F81">
        <v>40246179.799999997</v>
      </c>
      <c r="G81">
        <v>0.13980000000000001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-0.13402061855669964</v>
      </c>
      <c r="Q81">
        <f t="shared" ref="Q81" si="381">F81*P81</f>
        <v>-5393817.9113401501</v>
      </c>
      <c r="R81">
        <f t="shared" ref="R81" si="382">R82+Q81</f>
        <v>-6877647571.9291191</v>
      </c>
      <c r="S81">
        <f t="shared" ref="S81" si="383">R81/100000</f>
        <v>-68776.475719291193</v>
      </c>
      <c r="T81">
        <f t="shared" ref="T81" si="384">S81/1000</f>
        <v>-68.776475719291199</v>
      </c>
    </row>
    <row r="82" spans="1:20" x14ac:dyDescent="0.25">
      <c r="A82" s="5">
        <v>44511</v>
      </c>
      <c r="B82">
        <v>0.13907</v>
      </c>
      <c r="C82">
        <v>0.14588000000000001</v>
      </c>
      <c r="D82">
        <v>0.13800000000000001</v>
      </c>
      <c r="E82">
        <v>0.14374999999999999</v>
      </c>
      <c r="F82">
        <v>33823687.5</v>
      </c>
      <c r="G82">
        <v>0.14374999999999999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0.45939086294415704</v>
      </c>
      <c r="Q82">
        <f t="shared" ref="Q82" si="386">F82*P82</f>
        <v>15538292.988578498</v>
      </c>
      <c r="R82">
        <f t="shared" ref="R82" si="387">R83+Q82</f>
        <v>-6872253754.0177794</v>
      </c>
      <c r="S82">
        <f t="shared" ref="S82" si="388">R82/100000</f>
        <v>-68722.5375401778</v>
      </c>
      <c r="T82">
        <f t="shared" ref="T82" si="389">S82/1000</f>
        <v>-68.722537540177797</v>
      </c>
    </row>
    <row r="83" spans="1:20" x14ac:dyDescent="0.25">
      <c r="A83" s="5">
        <v>44510</v>
      </c>
      <c r="B83">
        <v>0.14838999999999999</v>
      </c>
      <c r="C83">
        <v>0.15196000000000001</v>
      </c>
      <c r="D83">
        <v>0.13400000000000001</v>
      </c>
      <c r="E83">
        <v>0.13902999999999999</v>
      </c>
      <c r="F83">
        <v>43071342</v>
      </c>
      <c r="G83">
        <v>0.13902999999999999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-0.43986636971047016</v>
      </c>
      <c r="Q83">
        <f t="shared" ref="Q83" si="391">F83*P83</f>
        <v>-18945634.844098102</v>
      </c>
      <c r="R83">
        <f t="shared" ref="R83" si="392">R84+Q83</f>
        <v>-6887792047.0063581</v>
      </c>
      <c r="S83">
        <f t="shared" ref="S83" si="393">R83/100000</f>
        <v>-68877.920470063575</v>
      </c>
      <c r="T83">
        <f t="shared" ref="T83" si="394">S83/1000</f>
        <v>-68.877920470063572</v>
      </c>
    </row>
    <row r="84" spans="1:20" x14ac:dyDescent="0.25">
      <c r="A84" s="5">
        <v>44509</v>
      </c>
      <c r="B84">
        <v>0.14921000000000001</v>
      </c>
      <c r="C84">
        <v>0.15340999999999999</v>
      </c>
      <c r="D84">
        <v>0.14652999999999999</v>
      </c>
      <c r="E84">
        <v>0.14827000000000001</v>
      </c>
      <c r="F84">
        <v>43186378.899999999</v>
      </c>
      <c r="G84">
        <v>0.14827000000000001</v>
      </c>
      <c r="L84" t="s">
        <v>7</v>
      </c>
      <c r="M84" t="s">
        <v>8</v>
      </c>
      <c r="N84" t="s">
        <v>8</v>
      </c>
      <c r="P84">
        <f t="shared" ref="P84" si="395">IF(C84=D84,0,((E84-D84)-(C84-E84))/(C84-D84))</f>
        <v>-0.49418604651162207</v>
      </c>
      <c r="Q84">
        <f t="shared" ref="Q84" si="396">F84*P84</f>
        <v>-21342105.851743933</v>
      </c>
      <c r="R84">
        <f t="shared" ref="R84" si="397">R85+Q84</f>
        <v>-6868846412.1622601</v>
      </c>
      <c r="S84">
        <f t="shared" ref="S84" si="398">R84/100000</f>
        <v>-68688.464121622601</v>
      </c>
      <c r="T84">
        <f t="shared" ref="T84" si="399">S84/1000</f>
        <v>-68.688464121622602</v>
      </c>
    </row>
    <row r="85" spans="1:20" x14ac:dyDescent="0.25">
      <c r="A85" s="5">
        <v>44508</v>
      </c>
      <c r="B85">
        <v>0.14621999999999999</v>
      </c>
      <c r="C85">
        <v>0.16761999999999999</v>
      </c>
      <c r="D85">
        <v>0.14595</v>
      </c>
      <c r="E85">
        <v>0.14921999999999999</v>
      </c>
      <c r="F85">
        <v>84353564.200000003</v>
      </c>
      <c r="G85">
        <v>0.14921999999999999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-0.69820027688048025</v>
      </c>
      <c r="Q85">
        <f t="shared" ref="Q85" si="401">F85*P85</f>
        <v>-58895681.880295366</v>
      </c>
      <c r="R85">
        <f t="shared" ref="R85" si="402">R86+Q85</f>
        <v>-6847504306.3105164</v>
      </c>
      <c r="S85">
        <f t="shared" ref="S85" si="403">R85/100000</f>
        <v>-68475.043063105157</v>
      </c>
      <c r="T85">
        <f t="shared" ref="T85" si="404">S85/1000</f>
        <v>-68.475043063105161</v>
      </c>
    </row>
    <row r="86" spans="1:20" x14ac:dyDescent="0.25">
      <c r="A86" s="5">
        <v>44507</v>
      </c>
      <c r="B86">
        <v>0.14255000000000001</v>
      </c>
      <c r="C86">
        <v>0.14957999999999999</v>
      </c>
      <c r="D86">
        <v>0.14177999999999999</v>
      </c>
      <c r="E86">
        <v>0.14610000000000001</v>
      </c>
      <c r="F86">
        <v>31126786.699999999</v>
      </c>
      <c r="G86">
        <v>0.14610000000000001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0.10769230769231218</v>
      </c>
      <c r="Q86">
        <f t="shared" ref="Q86" si="406">F86*P86</f>
        <v>3352115.4907693705</v>
      </c>
      <c r="R86">
        <f t="shared" ref="R86" si="407">R87+Q86</f>
        <v>-6788608624.4302206</v>
      </c>
      <c r="S86">
        <f t="shared" ref="S86" si="408">R86/100000</f>
        <v>-67886.086244302205</v>
      </c>
      <c r="T86">
        <f t="shared" ref="T86" si="409">S86/1000</f>
        <v>-67.886086244302206</v>
      </c>
    </row>
    <row r="87" spans="1:20" x14ac:dyDescent="0.25">
      <c r="A87" s="5">
        <v>44506</v>
      </c>
      <c r="B87">
        <v>0.13902999999999999</v>
      </c>
      <c r="C87">
        <v>0.14641000000000001</v>
      </c>
      <c r="D87">
        <v>0.13819999999999999</v>
      </c>
      <c r="E87">
        <v>0.14255999999999999</v>
      </c>
      <c r="F87">
        <v>33104709</v>
      </c>
      <c r="G87">
        <v>0.14255999999999999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6.2119366626063495E-2</v>
      </c>
      <c r="Q87">
        <f t="shared" ref="Q87" si="411">F87*P87</f>
        <v>2056443.5554201438</v>
      </c>
      <c r="R87">
        <f t="shared" ref="R87" si="412">R88+Q87</f>
        <v>-6791960739.92099</v>
      </c>
      <c r="S87">
        <f t="shared" ref="S87" si="413">R87/100000</f>
        <v>-67919.607399209897</v>
      </c>
      <c r="T87">
        <f t="shared" ref="T87" si="414">S87/1000</f>
        <v>-67.919607399209895</v>
      </c>
    </row>
    <row r="88" spans="1:20" x14ac:dyDescent="0.25">
      <c r="A88" s="5">
        <v>44505</v>
      </c>
      <c r="B88">
        <v>0.14369000000000001</v>
      </c>
      <c r="C88">
        <v>0.15</v>
      </c>
      <c r="D88">
        <v>0.13800000000000001</v>
      </c>
      <c r="E88">
        <v>0.1389</v>
      </c>
      <c r="F88">
        <v>33825154.600000001</v>
      </c>
      <c r="G88">
        <v>0.1389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-0.85000000000000242</v>
      </c>
      <c r="Q88">
        <f t="shared" ref="Q88" si="416">F88*P88</f>
        <v>-28751381.410000082</v>
      </c>
      <c r="R88">
        <f t="shared" ref="R88" si="417">R89+Q88</f>
        <v>-6794017183.4764099</v>
      </c>
      <c r="S88">
        <f t="shared" ref="S88" si="418">R88/100000</f>
        <v>-67940.1718347641</v>
      </c>
      <c r="T88">
        <f t="shared" ref="T88" si="419">S88/1000</f>
        <v>-67.940171834764101</v>
      </c>
    </row>
    <row r="89" spans="1:20" x14ac:dyDescent="0.25">
      <c r="A89" s="5">
        <v>44504</v>
      </c>
      <c r="B89">
        <v>0.15354999999999999</v>
      </c>
      <c r="C89">
        <v>0.15781000000000001</v>
      </c>
      <c r="D89">
        <v>0.14222000000000001</v>
      </c>
      <c r="E89">
        <v>0.14374000000000001</v>
      </c>
      <c r="F89">
        <v>87144313.400000006</v>
      </c>
      <c r="G89">
        <v>0.14374000000000001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-0.80500320718409313</v>
      </c>
      <c r="Q89">
        <f t="shared" ref="Q89" si="421">F89*P89</f>
        <v>-70151451.774855748</v>
      </c>
      <c r="R89">
        <f t="shared" ref="R89" si="422">R90+Q89</f>
        <v>-6765265802.0664101</v>
      </c>
      <c r="S89">
        <f t="shared" ref="S89" si="423">R89/100000</f>
        <v>-67652.658020664094</v>
      </c>
      <c r="T89">
        <f t="shared" ref="T89" si="424">S89/1000</f>
        <v>-67.652658020664092</v>
      </c>
    </row>
    <row r="90" spans="1:20" x14ac:dyDescent="0.25">
      <c r="A90" s="5">
        <v>44503</v>
      </c>
      <c r="B90">
        <v>0.14258999999999999</v>
      </c>
      <c r="C90">
        <v>0.186</v>
      </c>
      <c r="D90">
        <v>0.14149999999999999</v>
      </c>
      <c r="E90">
        <v>0.15373000000000001</v>
      </c>
      <c r="F90">
        <v>357367065.19999999</v>
      </c>
      <c r="G90">
        <v>0.15373000000000001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-0.45033707865168471</v>
      </c>
      <c r="Q90">
        <f t="shared" ref="Q90" si="426">F90*P90</f>
        <v>-160935640.14849412</v>
      </c>
      <c r="R90">
        <f t="shared" ref="R90" si="427">R91+Q90</f>
        <v>-6695114350.2915545</v>
      </c>
      <c r="S90">
        <f t="shared" ref="S90" si="428">R90/100000</f>
        <v>-66951.14350291554</v>
      </c>
      <c r="T90">
        <f t="shared" ref="T90" si="429">S90/1000</f>
        <v>-66.951143502915542</v>
      </c>
    </row>
    <row r="91" spans="1:20" x14ac:dyDescent="0.25">
      <c r="A91" s="5">
        <v>44502</v>
      </c>
      <c r="B91">
        <v>0.14174</v>
      </c>
      <c r="C91">
        <v>0.14845</v>
      </c>
      <c r="D91">
        <v>0.13764999999999999</v>
      </c>
      <c r="E91">
        <v>0.14218</v>
      </c>
      <c r="F91">
        <v>38339826.899999999</v>
      </c>
      <c r="G91">
        <v>0.14218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-0.16111111111111026</v>
      </c>
      <c r="Q91">
        <f t="shared" ref="Q91" si="431">F91*P91</f>
        <v>-6176972.1116666337</v>
      </c>
      <c r="R91">
        <f t="shared" ref="R91" si="432">R92+Q91</f>
        <v>-6534178710.1430607</v>
      </c>
      <c r="S91">
        <f t="shared" ref="S91" si="433">R91/100000</f>
        <v>-65341.787101430607</v>
      </c>
      <c r="T91">
        <f t="shared" ref="T91" si="434">S91/1000</f>
        <v>-65.341787101430612</v>
      </c>
    </row>
    <row r="92" spans="1:20" x14ac:dyDescent="0.25">
      <c r="A92" s="5">
        <v>44501</v>
      </c>
      <c r="B92">
        <v>0.13791</v>
      </c>
      <c r="C92">
        <v>0.1449</v>
      </c>
      <c r="D92">
        <v>0.13471</v>
      </c>
      <c r="E92">
        <v>0.14161000000000001</v>
      </c>
      <c r="F92">
        <v>40097553</v>
      </c>
      <c r="G92">
        <v>0.14161000000000001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0.3542688910696789</v>
      </c>
      <c r="Q92">
        <f t="shared" ref="Q92" si="436">F92*P92</f>
        <v>14205315.635917677</v>
      </c>
      <c r="R92">
        <f t="shared" ref="R92" si="437">R93+Q92</f>
        <v>-6528001738.031394</v>
      </c>
      <c r="S92">
        <f t="shared" ref="S92" si="438">R92/100000</f>
        <v>-65280.017380313941</v>
      </c>
      <c r="T92">
        <f t="shared" ref="T92" si="439">S92/1000</f>
        <v>-65.280017380313936</v>
      </c>
    </row>
    <row r="93" spans="1:20" x14ac:dyDescent="0.25">
      <c r="A93" s="5">
        <v>44500</v>
      </c>
      <c r="B93">
        <v>0.13457</v>
      </c>
      <c r="C93">
        <v>0.14097999999999999</v>
      </c>
      <c r="D93">
        <v>0.13436999999999999</v>
      </c>
      <c r="E93">
        <v>0.13791</v>
      </c>
      <c r="F93">
        <v>32774238.300000001</v>
      </c>
      <c r="G93">
        <v>0.13791</v>
      </c>
      <c r="L93" t="s">
        <v>7</v>
      </c>
      <c r="M93" t="s">
        <v>8</v>
      </c>
      <c r="N93" t="s">
        <v>7</v>
      </c>
      <c r="P93">
        <f t="shared" ref="P93" si="440">IF(C93=D93,0,((E93-D93)-(C93-E93))/(C93-D93))</f>
        <v>7.1104387291985718E-2</v>
      </c>
      <c r="Q93">
        <f t="shared" ref="Q93" si="441">F93*P93</f>
        <v>2330392.1332830316</v>
      </c>
      <c r="R93">
        <f t="shared" ref="R93" si="442">R94+Q93</f>
        <v>-6542207053.6673117</v>
      </c>
      <c r="S93">
        <f t="shared" ref="S93" si="443">R93/100000</f>
        <v>-65422.07053667312</v>
      </c>
      <c r="T93">
        <f t="shared" ref="T93" si="444">S93/1000</f>
        <v>-65.422070536673118</v>
      </c>
    </row>
    <row r="94" spans="1:20" x14ac:dyDescent="0.25">
      <c r="A94" s="5">
        <v>44499</v>
      </c>
      <c r="B94">
        <v>0.13763</v>
      </c>
      <c r="C94">
        <v>0.14671999999999999</v>
      </c>
      <c r="D94">
        <v>0.13300999999999999</v>
      </c>
      <c r="E94">
        <v>0.13466</v>
      </c>
      <c r="F94">
        <v>54886450.399999999</v>
      </c>
      <c r="G94">
        <v>0.13466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-0.75929978118161745</v>
      </c>
      <c r="Q94">
        <f t="shared" ref="Q94" si="446">F94*P94</f>
        <v>-41675269.778555699</v>
      </c>
      <c r="R94">
        <f t="shared" ref="R94" si="447">R95+Q94</f>
        <v>-6544537445.8005943</v>
      </c>
      <c r="S94">
        <f t="shared" ref="S94" si="448">R94/100000</f>
        <v>-65445.374458005943</v>
      </c>
      <c r="T94">
        <f t="shared" ref="T94" si="449">S94/1000</f>
        <v>-65.445374458005944</v>
      </c>
    </row>
    <row r="95" spans="1:20" x14ac:dyDescent="0.25">
      <c r="A95" s="5">
        <v>44498</v>
      </c>
      <c r="B95">
        <v>0.12831999999999999</v>
      </c>
      <c r="C95">
        <v>0.14398</v>
      </c>
      <c r="D95">
        <v>0.12769</v>
      </c>
      <c r="E95">
        <v>0.13752</v>
      </c>
      <c r="F95">
        <v>61635010.200000003</v>
      </c>
      <c r="G95">
        <v>0.13752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0.20687538367096453</v>
      </c>
      <c r="Q95">
        <f t="shared" ref="Q95" si="451">F95*P95</f>
        <v>12750766.382688813</v>
      </c>
      <c r="R95">
        <f t="shared" ref="R95" si="452">R96+Q95</f>
        <v>-6502862176.0220385</v>
      </c>
      <c r="S95">
        <f t="shared" ref="S95" si="453">R95/100000</f>
        <v>-65028.621760220383</v>
      </c>
      <c r="T95">
        <f t="shared" ref="T95" si="454">S95/1000</f>
        <v>-65.028621760220389</v>
      </c>
    </row>
    <row r="96" spans="1:20" x14ac:dyDescent="0.25">
      <c r="A96" s="5">
        <v>44497</v>
      </c>
      <c r="B96">
        <v>0.12435</v>
      </c>
      <c r="C96">
        <v>0.13778000000000001</v>
      </c>
      <c r="D96">
        <v>0.12139999999999999</v>
      </c>
      <c r="E96">
        <v>0.12823999999999999</v>
      </c>
      <c r="F96">
        <v>37019678.299999997</v>
      </c>
      <c r="G96">
        <v>0.12823999999999999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-0.16483516483516597</v>
      </c>
      <c r="Q96">
        <f t="shared" ref="Q96" si="456">F96*P96</f>
        <v>-6102144.7747253161</v>
      </c>
      <c r="R96">
        <f t="shared" ref="R96" si="457">R97+Q96</f>
        <v>-6515612942.404727</v>
      </c>
      <c r="S96">
        <f t="shared" ref="S96" si="458">R96/100000</f>
        <v>-65156.129424047271</v>
      </c>
      <c r="T96">
        <f t="shared" ref="T96" si="459">S96/1000</f>
        <v>-65.156129424047265</v>
      </c>
    </row>
    <row r="97" spans="1:20" x14ac:dyDescent="0.25">
      <c r="A97" s="5">
        <v>44496</v>
      </c>
      <c r="B97">
        <v>0.14219999999999999</v>
      </c>
      <c r="C97">
        <v>0.14388000000000001</v>
      </c>
      <c r="D97">
        <v>0.12328</v>
      </c>
      <c r="E97">
        <v>0.12434000000000001</v>
      </c>
      <c r="F97">
        <v>34562982.299999997</v>
      </c>
      <c r="G97">
        <v>0.12434000000000001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-0.89708737864077626</v>
      </c>
      <c r="Q97">
        <f t="shared" ref="Q97" si="461">F97*P97</f>
        <v>-31006015.189514544</v>
      </c>
      <c r="R97">
        <f t="shared" ref="R97" si="462">R98+Q97</f>
        <v>-6509510797.630002</v>
      </c>
      <c r="S97">
        <f t="shared" ref="S97" si="463">R97/100000</f>
        <v>-65095.107976300023</v>
      </c>
      <c r="T97">
        <f t="shared" ref="T97" si="464">S97/1000</f>
        <v>-65.095107976300028</v>
      </c>
    </row>
    <row r="98" spans="1:20" x14ac:dyDescent="0.25">
      <c r="A98" s="5">
        <v>44495</v>
      </c>
      <c r="B98">
        <v>0.14033000000000001</v>
      </c>
      <c r="C98">
        <v>0.14646000000000001</v>
      </c>
      <c r="D98">
        <v>0.13857</v>
      </c>
      <c r="E98">
        <v>0.14198</v>
      </c>
      <c r="F98">
        <v>36772206.600000001</v>
      </c>
      <c r="G98">
        <v>0.14198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-0.13561470215462793</v>
      </c>
      <c r="Q98">
        <f t="shared" ref="Q98" si="466">F98*P98</f>
        <v>-4986851.8456274439</v>
      </c>
      <c r="R98">
        <f t="shared" ref="R98" si="467">R99+Q98</f>
        <v>-6478504782.4404879</v>
      </c>
      <c r="S98">
        <f t="shared" ref="S98" si="468">R98/100000</f>
        <v>-64785.047824404879</v>
      </c>
      <c r="T98">
        <f t="shared" ref="T98" si="469">S98/1000</f>
        <v>-64.785047824404884</v>
      </c>
    </row>
    <row r="99" spans="1:20" x14ac:dyDescent="0.25">
      <c r="A99" s="5">
        <v>44494</v>
      </c>
      <c r="B99">
        <v>0.13872999999999999</v>
      </c>
      <c r="C99">
        <v>0.14226</v>
      </c>
      <c r="D99">
        <v>0.13819999999999999</v>
      </c>
      <c r="E99">
        <v>0.14054</v>
      </c>
      <c r="F99">
        <v>18989258.699999999</v>
      </c>
      <c r="G99">
        <v>0.14054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0.15270935960591336</v>
      </c>
      <c r="Q99">
        <f t="shared" ref="Q99" si="471">F99*P99</f>
        <v>2899837.5354680186</v>
      </c>
      <c r="R99">
        <f t="shared" ref="R99" si="472">R100+Q99</f>
        <v>-6473517930.5948601</v>
      </c>
      <c r="S99">
        <f t="shared" ref="S99" si="473">R99/100000</f>
        <v>-64735.179305948601</v>
      </c>
      <c r="T99">
        <f t="shared" ref="T99" si="474">S99/1000</f>
        <v>-64.735179305948606</v>
      </c>
    </row>
    <row r="100" spans="1:20" x14ac:dyDescent="0.25">
      <c r="A100" s="5">
        <v>44493</v>
      </c>
      <c r="B100">
        <v>0.14657000000000001</v>
      </c>
      <c r="C100">
        <v>0.14665</v>
      </c>
      <c r="D100">
        <v>0.13680999999999999</v>
      </c>
      <c r="E100">
        <v>0.13893</v>
      </c>
      <c r="F100">
        <v>36564645.299999997</v>
      </c>
      <c r="G100">
        <v>0.13893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-0.569105691056909</v>
      </c>
      <c r="Q100">
        <f t="shared" ref="Q100" si="476">F100*P100</f>
        <v>-20809147.731707256</v>
      </c>
      <c r="R100">
        <f t="shared" ref="R100" si="477">R101+Q100</f>
        <v>-6476417768.1303282</v>
      </c>
      <c r="S100">
        <f t="shared" ref="S100" si="478">R100/100000</f>
        <v>-64764.177681303285</v>
      </c>
      <c r="T100">
        <f t="shared" ref="T100" si="479">S100/1000</f>
        <v>-64.764177681303281</v>
      </c>
    </row>
    <row r="101" spans="1:20" x14ac:dyDescent="0.25">
      <c r="A101" s="5">
        <v>44492</v>
      </c>
      <c r="B101">
        <v>0.14521000000000001</v>
      </c>
      <c r="C101">
        <v>0.152</v>
      </c>
      <c r="D101">
        <v>0.14438999999999999</v>
      </c>
      <c r="E101">
        <v>0.14629</v>
      </c>
      <c r="F101">
        <v>21242090.199999999</v>
      </c>
      <c r="G101">
        <v>0.14629</v>
      </c>
      <c r="L101" t="s">
        <v>8</v>
      </c>
      <c r="M101" t="s">
        <v>7</v>
      </c>
      <c r="N101" t="s">
        <v>7</v>
      </c>
      <c r="P101">
        <f t="shared" ref="P101" si="480">IF(C101=D101,0,((E101-D101)-(C101-E101))/(C101-D101))</f>
        <v>-0.50065703022338726</v>
      </c>
      <c r="Q101">
        <f t="shared" ref="Q101" si="481">F101*P101</f>
        <v>-10635001.795269318</v>
      </c>
      <c r="R101">
        <f t="shared" ref="R101" si="482">R102+Q101</f>
        <v>-6455608620.3986206</v>
      </c>
      <c r="S101">
        <f t="shared" ref="S101" si="483">R101/100000</f>
        <v>-64556.086203986204</v>
      </c>
      <c r="T101">
        <f t="shared" ref="T101" si="484">S101/1000</f>
        <v>-64.556086203986197</v>
      </c>
    </row>
    <row r="102" spans="1:20" x14ac:dyDescent="0.25">
      <c r="A102" s="5">
        <v>44491</v>
      </c>
      <c r="B102">
        <v>0.14817</v>
      </c>
      <c r="C102">
        <v>0.15398000000000001</v>
      </c>
      <c r="D102">
        <v>0.14332</v>
      </c>
      <c r="E102">
        <v>0.14534</v>
      </c>
      <c r="F102">
        <v>32187766.5</v>
      </c>
      <c r="G102">
        <v>0.14534</v>
      </c>
      <c r="L102" t="s">
        <v>8</v>
      </c>
      <c r="M102" t="s">
        <v>7</v>
      </c>
      <c r="N102" t="s">
        <v>7</v>
      </c>
      <c r="P102">
        <f t="shared" ref="P102" si="485">IF(C102=D102,0,((E102-D102)-(C102-E102))/(C102-D102))</f>
        <v>-0.62101313320825635</v>
      </c>
      <c r="Q102">
        <f t="shared" ref="Q102" si="486">F102*P102</f>
        <v>-19989025.72514075</v>
      </c>
      <c r="R102">
        <f t="shared" ref="R102" si="487">R103+Q102</f>
        <v>-6444973618.6033516</v>
      </c>
      <c r="S102">
        <f t="shared" ref="S102" si="488">R102/100000</f>
        <v>-64449.736186033515</v>
      </c>
      <c r="T102">
        <f t="shared" ref="T102" si="489">S102/1000</f>
        <v>-64.449736186033519</v>
      </c>
    </row>
    <row r="103" spans="1:20" x14ac:dyDescent="0.25">
      <c r="A103" s="5">
        <v>44490</v>
      </c>
      <c r="B103">
        <v>0.15010000000000001</v>
      </c>
      <c r="C103">
        <v>0.16374</v>
      </c>
      <c r="D103">
        <v>0.14066000000000001</v>
      </c>
      <c r="E103">
        <v>0.14804</v>
      </c>
      <c r="F103">
        <v>96777943.900000006</v>
      </c>
      <c r="G103">
        <v>0.14804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-0.36048526863084912</v>
      </c>
      <c r="Q103">
        <f t="shared" ref="Q103" si="491">F103*P103</f>
        <v>-34887023.104332745</v>
      </c>
      <c r="R103">
        <f t="shared" ref="R103" si="492">R104+Q103</f>
        <v>-6424984592.878211</v>
      </c>
      <c r="S103">
        <f t="shared" ref="S103" si="493">R103/100000</f>
        <v>-64249.84592878211</v>
      </c>
      <c r="T103">
        <f t="shared" ref="T103" si="494">S103/1000</f>
        <v>-64.249845928782108</v>
      </c>
    </row>
    <row r="104" spans="1:20" x14ac:dyDescent="0.25">
      <c r="A104" s="5">
        <v>44489</v>
      </c>
      <c r="B104">
        <v>0.1439</v>
      </c>
      <c r="C104">
        <v>0.1517</v>
      </c>
      <c r="D104">
        <v>0.14201</v>
      </c>
      <c r="E104">
        <v>0.15021999999999999</v>
      </c>
      <c r="F104">
        <v>24481400.899999999</v>
      </c>
      <c r="G104">
        <v>0.15021999999999999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0.69453044375644823</v>
      </c>
      <c r="Q104">
        <f t="shared" ref="Q104" si="496">F104*P104</f>
        <v>17003078.230856512</v>
      </c>
      <c r="R104">
        <f t="shared" ref="R104" si="497">R105+Q104</f>
        <v>-6390097569.7738781</v>
      </c>
      <c r="S104">
        <f t="shared" ref="S104" si="498">R104/100000</f>
        <v>-63900.975697738781</v>
      </c>
      <c r="T104">
        <f t="shared" ref="T104" si="499">S104/1000</f>
        <v>-63.90097569773878</v>
      </c>
    </row>
    <row r="105" spans="1:20" x14ac:dyDescent="0.25">
      <c r="A105" s="5">
        <v>44488</v>
      </c>
      <c r="B105">
        <v>0.14768000000000001</v>
      </c>
      <c r="C105">
        <v>0.151</v>
      </c>
      <c r="D105">
        <v>0.14172999999999999</v>
      </c>
      <c r="E105">
        <v>0.14405000000000001</v>
      </c>
      <c r="F105">
        <v>20771037.100000001</v>
      </c>
      <c r="G105">
        <v>0.14405000000000001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-0.4994606256742144</v>
      </c>
      <c r="Q105">
        <f t="shared" ref="Q105" si="501">F105*P105</f>
        <v>-10374315.185868321</v>
      </c>
      <c r="R105">
        <f t="shared" ref="R105" si="502">R106+Q105</f>
        <v>-6407100648.004735</v>
      </c>
      <c r="S105">
        <f t="shared" ref="S105" si="503">R105/100000</f>
        <v>-64071.006480047348</v>
      </c>
      <c r="T105">
        <f t="shared" ref="T105" si="504">S105/1000</f>
        <v>-64.071006480047345</v>
      </c>
    </row>
    <row r="106" spans="1:20" x14ac:dyDescent="0.25">
      <c r="A106" s="5">
        <v>44487</v>
      </c>
      <c r="B106">
        <v>0.15110999999999999</v>
      </c>
      <c r="C106">
        <v>0.15423000000000001</v>
      </c>
      <c r="D106">
        <v>0.14371</v>
      </c>
      <c r="E106">
        <v>0.14771000000000001</v>
      </c>
      <c r="F106">
        <v>37671795</v>
      </c>
      <c r="G106">
        <v>0.14771000000000001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-0.23954372623574088</v>
      </c>
      <c r="Q106">
        <f t="shared" ref="Q106" si="506">F106*P106</f>
        <v>-9024042.1482889522</v>
      </c>
      <c r="R106">
        <f t="shared" ref="R106" si="507">R107+Q106</f>
        <v>-6396726332.8188667</v>
      </c>
      <c r="S106">
        <f t="shared" ref="S106" si="508">R106/100000</f>
        <v>-63967.263328188666</v>
      </c>
      <c r="T106">
        <f t="shared" ref="T106" si="509">S106/1000</f>
        <v>-63.967263328188665</v>
      </c>
    </row>
    <row r="107" spans="1:20" x14ac:dyDescent="0.25">
      <c r="A107" s="5">
        <v>44486</v>
      </c>
      <c r="B107">
        <v>0.14535000000000001</v>
      </c>
      <c r="C107">
        <v>0.17219999999999999</v>
      </c>
      <c r="D107">
        <v>0.14388999999999999</v>
      </c>
      <c r="E107">
        <v>0.15104000000000001</v>
      </c>
      <c r="F107">
        <v>114986094.59999999</v>
      </c>
      <c r="G107">
        <v>0.15104000000000001</v>
      </c>
      <c r="L107" t="s">
        <v>8</v>
      </c>
      <c r="M107" t="s">
        <v>8</v>
      </c>
      <c r="N107" t="s">
        <v>7</v>
      </c>
      <c r="P107">
        <f t="shared" ref="P107" si="510">IF(C107=D107,0,((E107-D107)-(C107-E107))/(C107-D107))</f>
        <v>-0.49487813493465088</v>
      </c>
      <c r="Q107">
        <f t="shared" ref="Q107" si="511">F107*P107</f>
        <v>-56904104.039067328</v>
      </c>
      <c r="R107">
        <f t="shared" ref="R107" si="512">R108+Q107</f>
        <v>-6387702290.670578</v>
      </c>
      <c r="S107">
        <f t="shared" ref="S107" si="513">R107/100000</f>
        <v>-63877.022906705781</v>
      </c>
      <c r="T107">
        <f t="shared" ref="T107" si="514">S107/1000</f>
        <v>-63.877022906705783</v>
      </c>
    </row>
    <row r="108" spans="1:20" x14ac:dyDescent="0.25">
      <c r="A108" s="5">
        <v>44485</v>
      </c>
      <c r="B108">
        <v>0.14742</v>
      </c>
      <c r="C108">
        <v>0.15637000000000001</v>
      </c>
      <c r="D108">
        <v>0.14459</v>
      </c>
      <c r="E108">
        <v>0.14530000000000001</v>
      </c>
      <c r="F108">
        <v>48077870.399999999</v>
      </c>
      <c r="G108">
        <v>0.14530000000000001</v>
      </c>
      <c r="L108" t="s">
        <v>8</v>
      </c>
      <c r="M108" t="s">
        <v>7</v>
      </c>
      <c r="N108" t="s">
        <v>7</v>
      </c>
      <c r="P108">
        <f t="shared" ref="P108" si="515">IF(C108=D108,0,((E108-D108)-(C108-E108))/(C108-D108))</f>
        <v>-0.87945670628183104</v>
      </c>
      <c r="Q108">
        <f t="shared" ref="Q108" si="516">F108*P108</f>
        <v>-42282405.547028735</v>
      </c>
      <c r="R108">
        <f t="shared" ref="R108" si="517">R109+Q108</f>
        <v>-6330798186.6315107</v>
      </c>
      <c r="S108">
        <f t="shared" ref="S108" si="518">R108/100000</f>
        <v>-63307.981866315109</v>
      </c>
      <c r="T108">
        <f t="shared" ref="T108" si="519">S108/1000</f>
        <v>-63.30798186631511</v>
      </c>
    </row>
    <row r="109" spans="1:20" x14ac:dyDescent="0.25">
      <c r="A109" s="5">
        <v>44484</v>
      </c>
      <c r="B109">
        <v>0.14388999999999999</v>
      </c>
      <c r="C109">
        <v>0.15989999999999999</v>
      </c>
      <c r="D109">
        <v>0.14055999999999999</v>
      </c>
      <c r="E109">
        <v>0.14743000000000001</v>
      </c>
      <c r="F109">
        <v>111842865.09999999</v>
      </c>
      <c r="G109">
        <v>0.14743000000000001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-0.2895553257497398</v>
      </c>
      <c r="Q109">
        <f t="shared" ref="Q109" si="521">F109*P109</f>
        <v>-32384697.236814704</v>
      </c>
      <c r="R109">
        <f t="shared" ref="R109" si="522">R110+Q109</f>
        <v>-6288515781.0844822</v>
      </c>
      <c r="S109">
        <f t="shared" ref="S109" si="523">R109/100000</f>
        <v>-62885.157810844823</v>
      </c>
      <c r="T109">
        <f t="shared" ref="T109" si="524">S109/1000</f>
        <v>-62.885157810844824</v>
      </c>
    </row>
    <row r="110" spans="1:20" x14ac:dyDescent="0.25">
      <c r="A110" s="5">
        <v>44483</v>
      </c>
      <c r="B110">
        <v>0.14408000000000001</v>
      </c>
      <c r="C110">
        <v>0.15493999999999999</v>
      </c>
      <c r="D110">
        <v>0.14216999999999999</v>
      </c>
      <c r="E110">
        <v>0.14379</v>
      </c>
      <c r="F110">
        <v>73047446.099999994</v>
      </c>
      <c r="G110">
        <v>0.14379</v>
      </c>
      <c r="L110" t="s">
        <v>7</v>
      </c>
      <c r="M110" t="s">
        <v>8</v>
      </c>
      <c r="N110" t="s">
        <v>7</v>
      </c>
      <c r="P110">
        <f t="shared" ref="P110" si="525">IF(C110=D110,0,((E110-D110)-(C110-E110))/(C110-D110))</f>
        <v>-0.74628034455755521</v>
      </c>
      <c r="Q110">
        <f t="shared" ref="Q110" si="526">F110*P110</f>
        <v>-54513873.24455744</v>
      </c>
      <c r="R110">
        <f t="shared" ref="R110" si="527">R111+Q110</f>
        <v>-6256131083.8476677</v>
      </c>
      <c r="S110">
        <f t="shared" ref="S110" si="528">R110/100000</f>
        <v>-62561.310838476675</v>
      </c>
      <c r="T110">
        <f t="shared" ref="T110" si="529">S110/1000</f>
        <v>-62.561310838476672</v>
      </c>
    </row>
    <row r="111" spans="1:20" x14ac:dyDescent="0.25">
      <c r="A111" s="5">
        <v>44482</v>
      </c>
      <c r="B111">
        <v>0.14166999999999999</v>
      </c>
      <c r="C111">
        <v>0.16778000000000001</v>
      </c>
      <c r="D111">
        <v>0.14088999999999999</v>
      </c>
      <c r="E111">
        <v>0.14408000000000001</v>
      </c>
      <c r="F111">
        <v>197446034.09999999</v>
      </c>
      <c r="G111">
        <v>0.14408000000000001</v>
      </c>
      <c r="L111" t="s">
        <v>8</v>
      </c>
      <c r="M111" t="s">
        <v>8</v>
      </c>
      <c r="N111" t="s">
        <v>7</v>
      </c>
      <c r="P111">
        <f t="shared" ref="P111" si="530">IF(C111=D111,0,((E111-D111)-(C111-E111))/(C111-D111))</f>
        <v>-0.76273707698028836</v>
      </c>
      <c r="Q111">
        <f t="shared" ref="Q111" si="531">F111*P111</f>
        <v>-150599410.91078433</v>
      </c>
      <c r="R111">
        <f t="shared" ref="R111" si="532">R112+Q111</f>
        <v>-6201617210.6031103</v>
      </c>
      <c r="S111">
        <f t="shared" ref="S111" si="533">R111/100000</f>
        <v>-62016.172106031103</v>
      </c>
      <c r="T111">
        <f t="shared" ref="T111" si="534">S111/1000</f>
        <v>-62.0161721060311</v>
      </c>
    </row>
    <row r="112" spans="1:20" x14ac:dyDescent="0.25">
      <c r="A112" s="5">
        <v>44481</v>
      </c>
      <c r="B112">
        <v>0.14346999999999999</v>
      </c>
      <c r="C112">
        <v>0.14607000000000001</v>
      </c>
      <c r="D112">
        <v>0.13342999999999999</v>
      </c>
      <c r="E112">
        <v>0.14174</v>
      </c>
      <c r="F112">
        <v>72241891.599999994</v>
      </c>
      <c r="G112">
        <v>0.14174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0.31487341772151956</v>
      </c>
      <c r="Q112">
        <f t="shared" ref="Q112" si="536">F112*P112</f>
        <v>22747051.310759533</v>
      </c>
      <c r="R112">
        <f t="shared" ref="R112" si="537">R113+Q112</f>
        <v>-6051017799.6923256</v>
      </c>
      <c r="S112">
        <f t="shared" ref="S112" si="538">R112/100000</f>
        <v>-60510.177996923259</v>
      </c>
      <c r="T112">
        <f t="shared" ref="T112" si="539">S112/1000</f>
        <v>-60.510177996923261</v>
      </c>
    </row>
    <row r="113" spans="1:20" x14ac:dyDescent="0.25">
      <c r="A113" s="5">
        <v>44480</v>
      </c>
      <c r="B113">
        <v>0.15534000000000001</v>
      </c>
      <c r="C113">
        <v>0.16553999999999999</v>
      </c>
      <c r="D113">
        <v>0.14050000000000001</v>
      </c>
      <c r="E113">
        <v>0.14349000000000001</v>
      </c>
      <c r="F113">
        <v>137428978.59999999</v>
      </c>
      <c r="G113">
        <v>0.14349000000000001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-0.76118210862619851</v>
      </c>
      <c r="Q113">
        <f t="shared" ref="Q113" si="541">F113*P113</f>
        <v>-104608479.71709271</v>
      </c>
      <c r="R113">
        <f t="shared" ref="R113" si="542">R114+Q113</f>
        <v>-6073764851.0030851</v>
      </c>
      <c r="S113">
        <f t="shared" ref="S113" si="543">R113/100000</f>
        <v>-60737.648510030849</v>
      </c>
      <c r="T113">
        <f t="shared" ref="T113" si="544">S113/1000</f>
        <v>-60.737648510030851</v>
      </c>
    </row>
    <row r="114" spans="1:20" x14ac:dyDescent="0.25">
      <c r="A114" s="5">
        <v>44479</v>
      </c>
      <c r="B114">
        <v>0.16546</v>
      </c>
      <c r="C114">
        <v>0.2084</v>
      </c>
      <c r="D114">
        <v>0.15509000000000001</v>
      </c>
      <c r="E114">
        <v>0.15534000000000001</v>
      </c>
      <c r="F114">
        <v>932503048.20000005</v>
      </c>
      <c r="G114">
        <v>0.15534000000000001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-0.99062089664228103</v>
      </c>
      <c r="Q114">
        <f t="shared" ref="Q114" si="546">F114*P114</f>
        <v>-923757005.72954428</v>
      </c>
      <c r="R114">
        <f t="shared" ref="R114" si="547">R115+Q114</f>
        <v>-5969156371.2859926</v>
      </c>
      <c r="S114">
        <f t="shared" ref="S114" si="548">R114/100000</f>
        <v>-59691.563712859926</v>
      </c>
      <c r="T114">
        <f t="shared" ref="T114" si="549">S114/1000</f>
        <v>-59.691563712859924</v>
      </c>
    </row>
    <row r="115" spans="1:20" x14ac:dyDescent="0.25">
      <c r="A115" s="5">
        <v>44478</v>
      </c>
      <c r="B115">
        <v>0.12123</v>
      </c>
      <c r="C115">
        <v>0.223</v>
      </c>
      <c r="D115">
        <v>0.1205</v>
      </c>
      <c r="E115">
        <v>0.16561000000000001</v>
      </c>
      <c r="F115">
        <v>1181151741.2</v>
      </c>
      <c r="G115">
        <v>0.16561000000000001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-0.11980487804878033</v>
      </c>
      <c r="Q115">
        <f t="shared" ref="Q115" si="551">F115*P115</f>
        <v>-141507740.31157055</v>
      </c>
      <c r="R115">
        <f t="shared" ref="R115" si="552">R116+Q115</f>
        <v>-5045399365.556448</v>
      </c>
      <c r="S115">
        <f t="shared" ref="S115" si="553">R115/100000</f>
        <v>-50453.993655564482</v>
      </c>
      <c r="T115">
        <f t="shared" ref="T115" si="554">S115/1000</f>
        <v>-50.453993655564481</v>
      </c>
    </row>
    <row r="116" spans="1:20" x14ac:dyDescent="0.25">
      <c r="A116" s="5">
        <v>44477</v>
      </c>
      <c r="B116">
        <v>0.12195</v>
      </c>
      <c r="C116">
        <v>0.12687999999999999</v>
      </c>
      <c r="D116">
        <v>0.12</v>
      </c>
      <c r="E116">
        <v>0.12132999999999999</v>
      </c>
      <c r="F116">
        <v>25723917.800000001</v>
      </c>
      <c r="G116">
        <v>0.12132999999999999</v>
      </c>
      <c r="L116" t="s">
        <v>7</v>
      </c>
      <c r="M116" t="s">
        <v>8</v>
      </c>
      <c r="N116" t="s">
        <v>7</v>
      </c>
      <c r="P116">
        <f t="shared" ref="P116" si="555">IF(C116=D116,0,((E116-D116)-(C116-E116))/(C116-D116))</f>
        <v>-0.61337209302325624</v>
      </c>
      <c r="Q116">
        <f t="shared" ref="Q116" si="556">F116*P116</f>
        <v>-15778333.301744197</v>
      </c>
      <c r="R116">
        <f t="shared" ref="R116" si="557">R117+Q116</f>
        <v>-4903891625.2448778</v>
      </c>
      <c r="S116">
        <f t="shared" ref="S116" si="558">R116/100000</f>
        <v>-49038.916252448777</v>
      </c>
      <c r="T116">
        <f t="shared" ref="T116" si="559">S116/1000</f>
        <v>-49.038916252448779</v>
      </c>
    </row>
    <row r="117" spans="1:20" x14ac:dyDescent="0.25">
      <c r="A117" s="5">
        <v>44476</v>
      </c>
      <c r="B117">
        <v>0.11684</v>
      </c>
      <c r="C117">
        <v>0.1328</v>
      </c>
      <c r="D117">
        <v>0.11405999999999999</v>
      </c>
      <c r="E117">
        <v>0.12195</v>
      </c>
      <c r="F117">
        <v>49756022.399999999</v>
      </c>
      <c r="G117">
        <v>0.12195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-0.15795090715047969</v>
      </c>
      <c r="Q117">
        <f t="shared" ref="Q117" si="561">F117*P117</f>
        <v>-7859008.8742795875</v>
      </c>
      <c r="R117">
        <f t="shared" ref="R117" si="562">R118+Q117</f>
        <v>-4888113291.9431334</v>
      </c>
      <c r="S117">
        <f t="shared" ref="S117" si="563">R117/100000</f>
        <v>-48881.132919431337</v>
      </c>
      <c r="T117">
        <f t="shared" ref="T117" si="564">S117/1000</f>
        <v>-48.881132919431337</v>
      </c>
    </row>
    <row r="118" spans="1:20" x14ac:dyDescent="0.25">
      <c r="A118" s="5">
        <v>44475</v>
      </c>
      <c r="B118">
        <v>0.11799999999999999</v>
      </c>
      <c r="C118">
        <v>0.12399</v>
      </c>
      <c r="D118">
        <v>0.11101</v>
      </c>
      <c r="E118">
        <v>0.11692</v>
      </c>
      <c r="F118">
        <v>29575653.199999999</v>
      </c>
      <c r="G118">
        <v>0.11692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-8.9368258859784888E-2</v>
      </c>
      <c r="Q118">
        <f t="shared" ref="Q118" si="566">F118*P118</f>
        <v>-2643124.6311248252</v>
      </c>
      <c r="R118">
        <f t="shared" ref="R118" si="567">R119+Q118</f>
        <v>-4880254283.0688534</v>
      </c>
      <c r="S118">
        <f t="shared" ref="S118" si="568">R118/100000</f>
        <v>-48802.542830688537</v>
      </c>
      <c r="T118">
        <f t="shared" ref="T118" si="569">S118/1000</f>
        <v>-48.802542830688537</v>
      </c>
    </row>
    <row r="119" spans="1:20" x14ac:dyDescent="0.25">
      <c r="A119" s="5">
        <v>44474</v>
      </c>
      <c r="B119">
        <v>0.11606</v>
      </c>
      <c r="C119">
        <v>0.11895</v>
      </c>
      <c r="D119">
        <v>0.11389000000000001</v>
      </c>
      <c r="E119">
        <v>0.11799999999999999</v>
      </c>
      <c r="F119">
        <v>28260949.899999999</v>
      </c>
      <c r="G119">
        <v>0.11799999999999999</v>
      </c>
      <c r="L119" t="s">
        <v>7</v>
      </c>
      <c r="M119" t="s">
        <v>7</v>
      </c>
      <c r="N119" t="s">
        <v>7</v>
      </c>
      <c r="P119">
        <f t="shared" ref="P119" si="570">IF(C119=D119,0,((E119-D119)-(C119-E119))/(C119-D119))</f>
        <v>0.624505928853752</v>
      </c>
      <c r="Q119">
        <f t="shared" ref="Q119" si="571">F119*P119</f>
        <v>17649130.76758885</v>
      </c>
      <c r="R119">
        <f t="shared" ref="R119" si="572">R120+Q119</f>
        <v>-4877611158.4377289</v>
      </c>
      <c r="S119">
        <f t="shared" ref="S119" si="573">R119/100000</f>
        <v>-48776.111584377286</v>
      </c>
      <c r="T119">
        <f t="shared" ref="T119" si="574">S119/1000</f>
        <v>-48.776111584377283</v>
      </c>
    </row>
    <row r="120" spans="1:20" x14ac:dyDescent="0.25">
      <c r="A120" s="5">
        <v>44473</v>
      </c>
      <c r="B120">
        <v>0.12151000000000001</v>
      </c>
      <c r="C120">
        <v>0.12195</v>
      </c>
      <c r="D120">
        <v>0.11476</v>
      </c>
      <c r="E120">
        <v>0.1164</v>
      </c>
      <c r="F120">
        <v>31007077.899999999</v>
      </c>
      <c r="G120">
        <v>0.1164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-0.54381084840055571</v>
      </c>
      <c r="Q120">
        <f t="shared" ref="Q120" si="576">F120*P120</f>
        <v>-16861985.33922112</v>
      </c>
      <c r="R120">
        <f t="shared" ref="R120" si="577">R121+Q120</f>
        <v>-4895260289.2053175</v>
      </c>
      <c r="S120">
        <f t="shared" ref="S120" si="578">R120/100000</f>
        <v>-48952.602892053175</v>
      </c>
      <c r="T120">
        <f t="shared" ref="T120" si="579">S120/1000</f>
        <v>-48.952602892053179</v>
      </c>
    </row>
    <row r="121" spans="1:20" x14ac:dyDescent="0.25">
      <c r="A121" s="5">
        <v>44472</v>
      </c>
      <c r="B121">
        <v>0.11960999999999999</v>
      </c>
      <c r="C121">
        <v>0.12472999999999999</v>
      </c>
      <c r="D121">
        <v>0.11767</v>
      </c>
      <c r="E121">
        <v>0.12169000000000001</v>
      </c>
      <c r="F121">
        <v>24501604.5</v>
      </c>
      <c r="G121">
        <v>0.12169000000000001</v>
      </c>
      <c r="L121" t="s">
        <v>7</v>
      </c>
      <c r="M121" t="s">
        <v>7</v>
      </c>
      <c r="N121" t="s">
        <v>7</v>
      </c>
      <c r="P121">
        <f t="shared" ref="P121" si="580">IF(C121=D121,0,((E121-D121)-(C121-E121))/(C121-D121))</f>
        <v>0.13881019830028654</v>
      </c>
      <c r="Q121">
        <f t="shared" ref="Q121" si="581">F121*P121</f>
        <v>3401072.5793201933</v>
      </c>
      <c r="R121">
        <f t="shared" ref="R121" si="582">R122+Q121</f>
        <v>-4878398303.8660965</v>
      </c>
      <c r="S121">
        <f t="shared" ref="S121" si="583">R121/100000</f>
        <v>-48783.983038660968</v>
      </c>
      <c r="T121">
        <f t="shared" ref="T121" si="584">S121/1000</f>
        <v>-48.783983038660971</v>
      </c>
    </row>
    <row r="122" spans="1:20" x14ac:dyDescent="0.25">
      <c r="A122" s="5">
        <v>44471</v>
      </c>
      <c r="B122">
        <v>0.12078</v>
      </c>
      <c r="C122">
        <v>0.12676000000000001</v>
      </c>
      <c r="D122">
        <v>0.11844</v>
      </c>
      <c r="E122">
        <v>0.11960999999999999</v>
      </c>
      <c r="F122">
        <v>36443557.299999997</v>
      </c>
      <c r="G122">
        <v>0.11960999999999999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-0.71875000000000255</v>
      </c>
      <c r="Q122">
        <f t="shared" ref="Q122" si="586">F122*P122</f>
        <v>-26193806.809375092</v>
      </c>
      <c r="R122">
        <f t="shared" ref="R122" si="587">R123+Q122</f>
        <v>-4881799376.4454165</v>
      </c>
      <c r="S122">
        <f t="shared" ref="S122" si="588">R122/100000</f>
        <v>-48817.993764454164</v>
      </c>
      <c r="T122">
        <f t="shared" ref="T122" si="589">S122/1000</f>
        <v>-48.817993764454165</v>
      </c>
    </row>
    <row r="123" spans="1:20" x14ac:dyDescent="0.25">
      <c r="A123" s="5">
        <v>44470</v>
      </c>
      <c r="B123">
        <v>0.11388</v>
      </c>
      <c r="C123">
        <v>0.12135</v>
      </c>
      <c r="D123">
        <v>0.11208</v>
      </c>
      <c r="E123">
        <v>0.12085</v>
      </c>
      <c r="F123">
        <v>30016542.899999999</v>
      </c>
      <c r="G123">
        <v>0.12085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0.89212513484358136</v>
      </c>
      <c r="Q123">
        <f t="shared" ref="Q123" si="591">F123*P123</f>
        <v>26778512.382200643</v>
      </c>
      <c r="R123">
        <f t="shared" ref="R123" si="592">R124+Q123</f>
        <v>-4855605569.6360416</v>
      </c>
      <c r="S123">
        <f t="shared" ref="S123" si="593">R123/100000</f>
        <v>-48556.055696360418</v>
      </c>
      <c r="T123">
        <f t="shared" ref="T123" si="594">S123/1000</f>
        <v>-48.556055696360417</v>
      </c>
    </row>
    <row r="124" spans="1:20" x14ac:dyDescent="0.25">
      <c r="A124" s="5">
        <v>44469</v>
      </c>
      <c r="B124">
        <v>0.11004</v>
      </c>
      <c r="C124">
        <v>0.11491999999999999</v>
      </c>
      <c r="D124">
        <v>0.10938000000000001</v>
      </c>
      <c r="E124">
        <v>0.11384</v>
      </c>
      <c r="F124">
        <v>19756447.899999999</v>
      </c>
      <c r="G124">
        <v>0.11384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0.61010830324909759</v>
      </c>
      <c r="Q124">
        <f t="shared" ref="Q124" si="596">F124*P124</f>
        <v>12053572.906498196</v>
      </c>
      <c r="R124">
        <f t="shared" ref="R124" si="597">R125+Q124</f>
        <v>-4882384082.0182419</v>
      </c>
      <c r="S124">
        <f t="shared" ref="S124" si="598">R124/100000</f>
        <v>-48823.84082018242</v>
      </c>
      <c r="T124">
        <f t="shared" ref="T124" si="599">S124/1000</f>
        <v>-48.823840820182419</v>
      </c>
    </row>
    <row r="125" spans="1:20" x14ac:dyDescent="0.25">
      <c r="A125" s="5">
        <v>44468</v>
      </c>
      <c r="B125">
        <v>0.11273</v>
      </c>
      <c r="C125">
        <v>0.11768000000000001</v>
      </c>
      <c r="D125">
        <v>0.1082</v>
      </c>
      <c r="E125">
        <v>0.10989</v>
      </c>
      <c r="F125">
        <v>15246745.4</v>
      </c>
      <c r="G125">
        <v>0.10989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-0.64345991561181504</v>
      </c>
      <c r="Q125">
        <f t="shared" ref="Q125" si="601">F125*P125</f>
        <v>-9810669.5084388293</v>
      </c>
      <c r="R125">
        <f t="shared" ref="R125" si="602">R126+Q125</f>
        <v>-4894437654.9247398</v>
      </c>
      <c r="S125">
        <f t="shared" ref="S125" si="603">R125/100000</f>
        <v>-48944.376549247398</v>
      </c>
      <c r="T125">
        <f t="shared" ref="T125" si="604">S125/1000</f>
        <v>-48.944376549247394</v>
      </c>
    </row>
    <row r="126" spans="1:20" x14ac:dyDescent="0.25">
      <c r="A126" s="5">
        <v>44467</v>
      </c>
      <c r="B126">
        <v>0.11342000000000001</v>
      </c>
      <c r="C126">
        <v>0.12615000000000001</v>
      </c>
      <c r="D126">
        <v>0.111</v>
      </c>
      <c r="E126">
        <v>0.11244999999999999</v>
      </c>
      <c r="F126">
        <v>42149831.299999997</v>
      </c>
      <c r="G126">
        <v>0.11244999999999999</v>
      </c>
      <c r="L126" t="s">
        <v>8</v>
      </c>
      <c r="M126" t="s">
        <v>7</v>
      </c>
      <c r="N126" t="s">
        <v>7</v>
      </c>
      <c r="P126">
        <f t="shared" ref="P126" si="605">IF(C126=D126,0,((E126-D126)-(C126-E126))/(C126-D126))</f>
        <v>-0.8085808580858096</v>
      </c>
      <c r="Q126">
        <f t="shared" ref="Q126" si="606">F126*P126</f>
        <v>-34081546.760726117</v>
      </c>
      <c r="R126">
        <f t="shared" ref="R126" si="607">R127+Q126</f>
        <v>-4884626985.4163008</v>
      </c>
      <c r="S126">
        <f t="shared" ref="S126" si="608">R126/100000</f>
        <v>-48846.269854163009</v>
      </c>
      <c r="T126">
        <f t="shared" ref="T126" si="609">S126/1000</f>
        <v>-48.846269854163012</v>
      </c>
    </row>
    <row r="127" spans="1:20" x14ac:dyDescent="0.25">
      <c r="A127" s="5">
        <v>44466</v>
      </c>
      <c r="B127">
        <v>0.11433</v>
      </c>
      <c r="C127">
        <v>0.12436999999999999</v>
      </c>
      <c r="D127">
        <v>0.11312999999999999</v>
      </c>
      <c r="E127">
        <v>0.11366999999999999</v>
      </c>
      <c r="F127">
        <v>35076832.600000001</v>
      </c>
      <c r="G127">
        <v>0.11366999999999999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-0.90391459074733116</v>
      </c>
      <c r="Q127">
        <f t="shared" ref="Q127" si="611">F127*P127</f>
        <v>-31706460.784341644</v>
      </c>
      <c r="R127">
        <f t="shared" ref="R127" si="612">R128+Q127</f>
        <v>-4850545438.6555748</v>
      </c>
      <c r="S127">
        <f t="shared" ref="S127" si="613">R127/100000</f>
        <v>-48505.45438655575</v>
      </c>
      <c r="T127">
        <f t="shared" ref="T127" si="614">S127/1000</f>
        <v>-48.505454386555748</v>
      </c>
    </row>
    <row r="128" spans="1:20" x14ac:dyDescent="0.25">
      <c r="A128" s="5">
        <v>44465</v>
      </c>
      <c r="B128">
        <v>0.11486</v>
      </c>
      <c r="C128">
        <v>0.11977</v>
      </c>
      <c r="D128">
        <v>0.10682</v>
      </c>
      <c r="E128">
        <v>0.11448</v>
      </c>
      <c r="F128">
        <v>22009701.899999999</v>
      </c>
      <c r="G128">
        <v>0.11448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0.18301158301158274</v>
      </c>
      <c r="Q128">
        <f t="shared" ref="Q128" si="616">F128*P128</f>
        <v>4028030.3863320402</v>
      </c>
      <c r="R128">
        <f t="shared" ref="R128" si="617">R129+Q128</f>
        <v>-4818838977.871233</v>
      </c>
      <c r="S128">
        <f t="shared" ref="S128" si="618">R128/100000</f>
        <v>-48188.389778712328</v>
      </c>
      <c r="T128">
        <f t="shared" ref="T128" si="619">S128/1000</f>
        <v>-48.188389778712327</v>
      </c>
    </row>
    <row r="129" spans="1:20" x14ac:dyDescent="0.25">
      <c r="A129" s="5">
        <v>44464</v>
      </c>
      <c r="B129">
        <v>0.11841</v>
      </c>
      <c r="C129">
        <v>0.12432</v>
      </c>
      <c r="D129">
        <v>0.11207</v>
      </c>
      <c r="E129">
        <v>0.11489000000000001</v>
      </c>
      <c r="F129">
        <v>32151933.600000001</v>
      </c>
      <c r="G129">
        <v>0.11489000000000001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-0.53959183673469324</v>
      </c>
      <c r="Q129">
        <f t="shared" ref="Q129" si="621">F129*P129</f>
        <v>-17348920.905795898</v>
      </c>
      <c r="R129">
        <f t="shared" ref="R129" si="622">R130+Q129</f>
        <v>-4822867008.2575655</v>
      </c>
      <c r="S129">
        <f t="shared" ref="S129" si="623">R129/100000</f>
        <v>-48228.670082575656</v>
      </c>
      <c r="T129">
        <f t="shared" ref="T129" si="624">S129/1000</f>
        <v>-48.228670082575654</v>
      </c>
    </row>
    <row r="130" spans="1:20" x14ac:dyDescent="0.25">
      <c r="A130" s="5">
        <v>44463</v>
      </c>
      <c r="B130">
        <v>0.12684999999999999</v>
      </c>
      <c r="C130">
        <v>0.12764</v>
      </c>
      <c r="D130">
        <v>0.1091</v>
      </c>
      <c r="E130">
        <v>0.11829000000000001</v>
      </c>
      <c r="F130">
        <v>29388154.399999999</v>
      </c>
      <c r="G130">
        <v>0.11829000000000001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-8.6299892125131315E-3</v>
      </c>
      <c r="Q130">
        <f t="shared" ref="Q130" si="626">F130*P130</f>
        <v>-253619.45544767031</v>
      </c>
      <c r="R130">
        <f t="shared" ref="R130" si="627">R131+Q130</f>
        <v>-4805518087.3517694</v>
      </c>
      <c r="S130">
        <f t="shared" ref="S130" si="628">R130/100000</f>
        <v>-48055.180873517696</v>
      </c>
      <c r="T130">
        <f t="shared" ref="T130" si="629">S130/1000</f>
        <v>-48.055180873517699</v>
      </c>
    </row>
    <row r="131" spans="1:20" x14ac:dyDescent="0.25">
      <c r="A131" s="5">
        <v>44462</v>
      </c>
      <c r="B131">
        <v>0.12232999999999999</v>
      </c>
      <c r="C131">
        <v>0.13381000000000001</v>
      </c>
      <c r="D131">
        <v>0.11992</v>
      </c>
      <c r="E131">
        <v>0.12684999999999999</v>
      </c>
      <c r="F131">
        <v>54553228.5</v>
      </c>
      <c r="G131">
        <v>0.12684999999999999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-2.1598272138250523E-3</v>
      </c>
      <c r="Q131">
        <f t="shared" ref="Q131" si="631">F131*P131</f>
        <v>-117825.54751631644</v>
      </c>
      <c r="R131">
        <f t="shared" ref="R131" si="632">R132+Q131</f>
        <v>-4805264467.8963223</v>
      </c>
      <c r="S131">
        <f t="shared" ref="S131" si="633">R131/100000</f>
        <v>-48052.644678963225</v>
      </c>
      <c r="T131">
        <f t="shared" ref="T131" si="634">S131/1000</f>
        <v>-48.052644678963226</v>
      </c>
    </row>
    <row r="132" spans="1:20" x14ac:dyDescent="0.25">
      <c r="A132" s="5">
        <v>44461</v>
      </c>
      <c r="B132">
        <v>0.10788</v>
      </c>
      <c r="C132">
        <v>0.13500000000000001</v>
      </c>
      <c r="D132">
        <v>0.10609</v>
      </c>
      <c r="E132">
        <v>0.12241</v>
      </c>
      <c r="F132">
        <v>95792179.799999997</v>
      </c>
      <c r="G132">
        <v>0.12241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0.12902109996540978</v>
      </c>
      <c r="Q132">
        <f t="shared" ref="Q132" si="636">F132*P132</f>
        <v>12359212.405880308</v>
      </c>
      <c r="R132">
        <f t="shared" ref="R132" si="637">R133+Q132</f>
        <v>-4805146642.3488064</v>
      </c>
      <c r="S132">
        <f t="shared" ref="S132" si="638">R132/100000</f>
        <v>-48051.466423488062</v>
      </c>
      <c r="T132">
        <f t="shared" ref="T132" si="639">S132/1000</f>
        <v>-48.051466423488066</v>
      </c>
    </row>
    <row r="133" spans="1:20" x14ac:dyDescent="0.25">
      <c r="A133" s="5">
        <v>44460</v>
      </c>
      <c r="B133">
        <v>0.11337</v>
      </c>
      <c r="C133">
        <v>0.12463</v>
      </c>
      <c r="D133">
        <v>0.10591</v>
      </c>
      <c r="E133">
        <v>0.10768</v>
      </c>
      <c r="F133">
        <v>30609939</v>
      </c>
      <c r="G133">
        <v>0.10768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-0.81089743589743657</v>
      </c>
      <c r="Q133">
        <f t="shared" ref="Q133" si="641">F133*P133</f>
        <v>-24821521.048076943</v>
      </c>
      <c r="R133">
        <f t="shared" ref="R133" si="642">R134+Q133</f>
        <v>-4817505854.7546864</v>
      </c>
      <c r="S133">
        <f t="shared" ref="S133" si="643">R133/100000</f>
        <v>-48175.058547546862</v>
      </c>
      <c r="T133">
        <f t="shared" ref="T133" si="644">S133/1000</f>
        <v>-48.175058547546861</v>
      </c>
    </row>
    <row r="134" spans="1:20" x14ac:dyDescent="0.25">
      <c r="A134" s="5">
        <v>44459</v>
      </c>
      <c r="B134">
        <v>0.13536999999999999</v>
      </c>
      <c r="C134">
        <v>0.13577</v>
      </c>
      <c r="D134">
        <v>0.12046999999999999</v>
      </c>
      <c r="E134">
        <v>0.12262000000000001</v>
      </c>
      <c r="F134">
        <v>26135651.100000001</v>
      </c>
      <c r="G134">
        <v>0.12262000000000001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-0.71895424836601152</v>
      </c>
      <c r="Q134">
        <f t="shared" ref="Q134" si="646">F134*P134</f>
        <v>-18790337.392156824</v>
      </c>
      <c r="R134">
        <f t="shared" ref="R134" si="647">R135+Q134</f>
        <v>-4792684333.7066097</v>
      </c>
      <c r="S134">
        <f t="shared" ref="S134" si="648">R134/100000</f>
        <v>-47926.843337066101</v>
      </c>
      <c r="T134">
        <f t="shared" ref="T134" si="649">S134/1000</f>
        <v>-47.926843337066103</v>
      </c>
    </row>
    <row r="135" spans="1:20" x14ac:dyDescent="0.25">
      <c r="A135" s="5">
        <v>44458</v>
      </c>
      <c r="B135">
        <v>0.13220000000000001</v>
      </c>
      <c r="C135">
        <v>0.15279999999999999</v>
      </c>
      <c r="D135">
        <v>0.12881999999999999</v>
      </c>
      <c r="E135">
        <v>0.13522000000000001</v>
      </c>
      <c r="F135">
        <v>88355648.099999994</v>
      </c>
      <c r="G135">
        <v>0.13522000000000001</v>
      </c>
      <c r="L135" t="s">
        <v>8</v>
      </c>
      <c r="M135" t="s">
        <v>7</v>
      </c>
      <c r="N135" t="s">
        <v>7</v>
      </c>
      <c r="P135">
        <f t="shared" ref="P135" si="650">IF(C135=D135,0,((E135-D135)-(C135-E135))/(C135-D135))</f>
        <v>-0.46622185154295109</v>
      </c>
      <c r="Q135">
        <f t="shared" ref="Q135" si="651">F135*P135</f>
        <v>-41193333.851459429</v>
      </c>
      <c r="R135">
        <f t="shared" ref="R135" si="652">R136+Q135</f>
        <v>-4773893996.3144531</v>
      </c>
      <c r="S135">
        <f t="shared" ref="S135" si="653">R135/100000</f>
        <v>-47738.939963144534</v>
      </c>
      <c r="T135">
        <f t="shared" ref="T135" si="654">S135/1000</f>
        <v>-47.738939963144531</v>
      </c>
    </row>
    <row r="136" spans="1:20" x14ac:dyDescent="0.25">
      <c r="A136" s="5">
        <v>44457</v>
      </c>
      <c r="B136">
        <v>0.13245000000000001</v>
      </c>
      <c r="C136">
        <v>0.13696</v>
      </c>
      <c r="D136">
        <v>0.13</v>
      </c>
      <c r="E136">
        <v>0.13220000000000001</v>
      </c>
      <c r="F136">
        <v>38280239.600000001</v>
      </c>
      <c r="G136">
        <v>0.13220000000000001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-0.36781609195402026</v>
      </c>
      <c r="Q136">
        <f t="shared" ref="Q136" si="656">F136*P136</f>
        <v>-14080088.128735529</v>
      </c>
      <c r="R136">
        <f t="shared" ref="R136" si="657">R137+Q136</f>
        <v>-4732700662.4629936</v>
      </c>
      <c r="S136">
        <f t="shared" ref="S136" si="658">R136/100000</f>
        <v>-47327.006624629939</v>
      </c>
      <c r="T136">
        <f t="shared" ref="T136" si="659">S136/1000</f>
        <v>-47.327006624629938</v>
      </c>
    </row>
    <row r="137" spans="1:20" x14ac:dyDescent="0.25">
      <c r="A137" s="5">
        <v>44456</v>
      </c>
      <c r="B137">
        <v>0.12945000000000001</v>
      </c>
      <c r="C137">
        <v>0.15290999999999999</v>
      </c>
      <c r="D137">
        <v>0.12658</v>
      </c>
      <c r="E137">
        <v>0.13238</v>
      </c>
      <c r="F137">
        <v>118715816</v>
      </c>
      <c r="G137">
        <v>0.13238</v>
      </c>
      <c r="L137" t="s">
        <v>8</v>
      </c>
      <c r="M137" t="s">
        <v>8</v>
      </c>
      <c r="N137" t="s">
        <v>7</v>
      </c>
      <c r="P137">
        <f t="shared" ref="P137" si="660">IF(C137=D137,0,((E137-D137)-(C137-E137))/(C137-D137))</f>
        <v>-0.55943790353209255</v>
      </c>
      <c r="Q137">
        <f t="shared" ref="Q137" si="661">F137*P137</f>
        <v>-66414127.219141647</v>
      </c>
      <c r="R137">
        <f t="shared" ref="R137" si="662">R138+Q137</f>
        <v>-4718620574.3342581</v>
      </c>
      <c r="S137">
        <f t="shared" ref="S137" si="663">R137/100000</f>
        <v>-47186.20574334258</v>
      </c>
      <c r="T137">
        <f t="shared" ref="T137" si="664">S137/1000</f>
        <v>-47.186205743342583</v>
      </c>
    </row>
    <row r="138" spans="1:20" x14ac:dyDescent="0.25">
      <c r="A138" s="5">
        <v>44455</v>
      </c>
      <c r="B138">
        <v>0.12736</v>
      </c>
      <c r="C138">
        <v>0.14099999999999999</v>
      </c>
      <c r="D138">
        <v>0.12273000000000001</v>
      </c>
      <c r="E138">
        <v>0.12928000000000001</v>
      </c>
      <c r="F138">
        <v>58534064.5</v>
      </c>
      <c r="G138">
        <v>0.12928000000000001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-0.282977558839627</v>
      </c>
      <c r="Q138">
        <f t="shared" ref="Q138" si="666">F138*P138</f>
        <v>-16563826.681171272</v>
      </c>
      <c r="R138">
        <f t="shared" ref="R138" si="667">R139+Q138</f>
        <v>-4652206447.1151161</v>
      </c>
      <c r="S138">
        <f t="shared" ref="S138" si="668">R138/100000</f>
        <v>-46522.064471151163</v>
      </c>
      <c r="T138">
        <f t="shared" ref="T138" si="669">S138/1000</f>
        <v>-46.522064471151161</v>
      </c>
    </row>
    <row r="139" spans="1:20" x14ac:dyDescent="0.25">
      <c r="A139" s="5">
        <v>44454</v>
      </c>
      <c r="B139">
        <v>0.12297</v>
      </c>
      <c r="C139">
        <v>0.12905</v>
      </c>
      <c r="D139">
        <v>0.12103999999999999</v>
      </c>
      <c r="E139">
        <v>0.12736</v>
      </c>
      <c r="F139">
        <v>19381239</v>
      </c>
      <c r="G139">
        <v>0.12736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0.57802746566791596</v>
      </c>
      <c r="Q139">
        <f t="shared" ref="Q139" si="671">F139*P139</f>
        <v>11202888.460674174</v>
      </c>
      <c r="R139">
        <f t="shared" ref="R139" si="672">R140+Q139</f>
        <v>-4635642620.4339447</v>
      </c>
      <c r="S139">
        <f t="shared" ref="S139" si="673">R139/100000</f>
        <v>-46356.426204339448</v>
      </c>
      <c r="T139">
        <f t="shared" ref="T139" si="674">S139/1000</f>
        <v>-46.356426204339449</v>
      </c>
    </row>
    <row r="140" spans="1:20" x14ac:dyDescent="0.25">
      <c r="A140" s="5">
        <v>44453</v>
      </c>
      <c r="B140">
        <v>0.12046999999999999</v>
      </c>
      <c r="C140">
        <v>0.12642</v>
      </c>
      <c r="D140">
        <v>0.11932</v>
      </c>
      <c r="E140">
        <v>0.12297</v>
      </c>
      <c r="F140">
        <v>21005321.100000001</v>
      </c>
      <c r="G140">
        <v>0.12297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2.816901408450586E-2</v>
      </c>
      <c r="Q140">
        <f t="shared" ref="Q140" si="676">F140*P140</f>
        <v>591699.18591546814</v>
      </c>
      <c r="R140">
        <f t="shared" ref="R140" si="677">R141+Q140</f>
        <v>-4646845508.894619</v>
      </c>
      <c r="S140">
        <f t="shared" ref="S140" si="678">R140/100000</f>
        <v>-46468.45508894619</v>
      </c>
      <c r="T140">
        <f t="shared" ref="T140" si="679">S140/1000</f>
        <v>-46.468455088946193</v>
      </c>
    </row>
    <row r="141" spans="1:20" x14ac:dyDescent="0.25">
      <c r="A141" s="5">
        <v>44452</v>
      </c>
      <c r="B141">
        <v>0.12692000000000001</v>
      </c>
      <c r="C141">
        <v>0.12751000000000001</v>
      </c>
      <c r="D141">
        <v>0.11312</v>
      </c>
      <c r="E141">
        <v>0.12033000000000001</v>
      </c>
      <c r="F141">
        <v>24902809.300000001</v>
      </c>
      <c r="G141">
        <v>0.12033000000000001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2.0847810979848658E-3</v>
      </c>
      <c r="Q141">
        <f t="shared" ref="Q141" si="681">F141*P141</f>
        <v>51916.906115361729</v>
      </c>
      <c r="R141">
        <f t="shared" ref="R141" si="682">R142+Q141</f>
        <v>-4647437208.080534</v>
      </c>
      <c r="S141">
        <f t="shared" ref="S141" si="683">R141/100000</f>
        <v>-46474.37208080534</v>
      </c>
      <c r="T141">
        <f t="shared" ref="T141" si="684">S141/1000</f>
        <v>-46.474372080805338</v>
      </c>
    </row>
    <row r="142" spans="1:20" x14ac:dyDescent="0.25">
      <c r="A142" s="5">
        <v>44451</v>
      </c>
      <c r="B142">
        <v>0.12313</v>
      </c>
      <c r="C142">
        <v>0.13017999999999999</v>
      </c>
      <c r="D142">
        <v>0.12127</v>
      </c>
      <c r="E142">
        <v>0.12703999999999999</v>
      </c>
      <c r="F142">
        <v>35933961.600000001</v>
      </c>
      <c r="G142">
        <v>0.12703999999999999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0.29517396184062661</v>
      </c>
      <c r="Q142">
        <f t="shared" ref="Q142" si="686">F142*P142</f>
        <v>10606769.810100943</v>
      </c>
      <c r="R142">
        <f t="shared" ref="R142" si="687">R143+Q142</f>
        <v>-4647489124.9866495</v>
      </c>
      <c r="S142">
        <f t="shared" ref="S142" si="688">R142/100000</f>
        <v>-46474.891249866494</v>
      </c>
      <c r="T142">
        <f t="shared" ref="T142" si="689">S142/1000</f>
        <v>-46.474891249866495</v>
      </c>
    </row>
    <row r="143" spans="1:20" x14ac:dyDescent="0.25">
      <c r="A143" s="5">
        <v>44450</v>
      </c>
      <c r="B143">
        <v>0.12224</v>
      </c>
      <c r="C143">
        <v>0.12939999999999999</v>
      </c>
      <c r="D143">
        <v>0.11983000000000001</v>
      </c>
      <c r="E143">
        <v>0.12292</v>
      </c>
      <c r="F143">
        <v>35762128.100000001</v>
      </c>
      <c r="G143">
        <v>0.12292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-0.35423197492162978</v>
      </c>
      <c r="Q143">
        <f t="shared" ref="Q143" si="691">F143*P143</f>
        <v>-12668089.264263311</v>
      </c>
      <c r="R143">
        <f t="shared" ref="R143" si="692">R144+Q143</f>
        <v>-4658095894.7967501</v>
      </c>
      <c r="S143">
        <f t="shared" ref="S143" si="693">R143/100000</f>
        <v>-46580.958947967498</v>
      </c>
      <c r="T143">
        <f t="shared" ref="T143" si="694">S143/1000</f>
        <v>-46.580958947967495</v>
      </c>
    </row>
    <row r="144" spans="1:20" x14ac:dyDescent="0.25">
      <c r="A144" s="5">
        <v>44449</v>
      </c>
      <c r="B144">
        <v>0.1283</v>
      </c>
      <c r="C144">
        <v>0.13333</v>
      </c>
      <c r="D144">
        <v>0.1176</v>
      </c>
      <c r="E144">
        <v>0.12224</v>
      </c>
      <c r="F144">
        <v>56935787.5</v>
      </c>
      <c r="G144">
        <v>0.12224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-0.41004450095359152</v>
      </c>
      <c r="Q144">
        <f t="shared" ref="Q144" si="696">F144*P144</f>
        <v>-23346206.571837235</v>
      </c>
      <c r="R144">
        <f t="shared" ref="R144" si="697">R145+Q144</f>
        <v>-4645427805.5324869</v>
      </c>
      <c r="S144">
        <f t="shared" ref="S144" si="698">R144/100000</f>
        <v>-46454.278055324867</v>
      </c>
      <c r="T144">
        <f t="shared" ref="T144" si="699">S144/1000</f>
        <v>-46.454278055324863</v>
      </c>
    </row>
    <row r="145" spans="1:20" x14ac:dyDescent="0.25">
      <c r="A145" s="5">
        <v>44448</v>
      </c>
      <c r="B145">
        <v>0.12459000000000001</v>
      </c>
      <c r="C145">
        <v>0.13400000000000001</v>
      </c>
      <c r="D145">
        <v>0.1226</v>
      </c>
      <c r="E145">
        <v>0.12831000000000001</v>
      </c>
      <c r="F145">
        <v>28530747.300000001</v>
      </c>
      <c r="G145">
        <v>0.12831000000000001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1.7543859649128168E-3</v>
      </c>
      <c r="Q145">
        <f t="shared" ref="Q145" si="701">F145*P145</f>
        <v>50053.94263159424</v>
      </c>
      <c r="R145">
        <f t="shared" ref="R145" si="702">R146+Q145</f>
        <v>-4622081598.9606495</v>
      </c>
      <c r="S145">
        <f t="shared" ref="S145" si="703">R145/100000</f>
        <v>-46220.815989606497</v>
      </c>
      <c r="T145">
        <f t="shared" ref="T145" si="704">S145/1000</f>
        <v>-46.2208159896065</v>
      </c>
    </row>
    <row r="146" spans="1:20" x14ac:dyDescent="0.25">
      <c r="A146" s="5">
        <v>44447</v>
      </c>
      <c r="B146">
        <v>0.12719</v>
      </c>
      <c r="C146">
        <v>0.13120999999999999</v>
      </c>
      <c r="D146">
        <v>0.11362</v>
      </c>
      <c r="E146">
        <v>0.12479999999999999</v>
      </c>
      <c r="F146">
        <v>79748483.200000003</v>
      </c>
      <c r="G146">
        <v>0.12479999999999999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0.27117680500284241</v>
      </c>
      <c r="Q146">
        <f t="shared" ref="Q146" si="706">F146*P146</f>
        <v>21625938.877998855</v>
      </c>
      <c r="R146">
        <f t="shared" ref="R146" si="707">R147+Q146</f>
        <v>-4622131652.9032812</v>
      </c>
      <c r="S146">
        <f t="shared" ref="S146" si="708">R146/100000</f>
        <v>-46221.316529032811</v>
      </c>
      <c r="T146">
        <f t="shared" ref="T146" si="709">S146/1000</f>
        <v>-46.221316529032812</v>
      </c>
    </row>
    <row r="147" spans="1:20" x14ac:dyDescent="0.25">
      <c r="A147" s="5">
        <v>44446</v>
      </c>
      <c r="B147">
        <v>0.16258</v>
      </c>
      <c r="C147">
        <v>0.16299</v>
      </c>
      <c r="D147">
        <v>0.11310000000000001</v>
      </c>
      <c r="E147">
        <v>0.12717000000000001</v>
      </c>
      <c r="F147">
        <v>104894355</v>
      </c>
      <c r="G147">
        <v>0.12717000000000001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-0.43595911004209253</v>
      </c>
      <c r="Q147">
        <f t="shared" ref="Q147" si="711">F147*P147</f>
        <v>-45729649.654239319</v>
      </c>
      <c r="R147">
        <f t="shared" ref="R147" si="712">R148+Q147</f>
        <v>-4643757591.7812805</v>
      </c>
      <c r="S147">
        <f t="shared" ref="S147" si="713">R147/100000</f>
        <v>-46437.575917812806</v>
      </c>
      <c r="T147">
        <f t="shared" ref="T147" si="714">S147/1000</f>
        <v>-46.437575917812808</v>
      </c>
    </row>
    <row r="148" spans="1:20" x14ac:dyDescent="0.25">
      <c r="A148" s="5">
        <v>44445</v>
      </c>
      <c r="B148">
        <v>0.15598000000000001</v>
      </c>
      <c r="C148">
        <v>0.16700000000000001</v>
      </c>
      <c r="D148">
        <v>0.15049999999999999</v>
      </c>
      <c r="E148">
        <v>0.16241</v>
      </c>
      <c r="F148">
        <v>90033416.299999997</v>
      </c>
      <c r="G148">
        <v>0.16241</v>
      </c>
      <c r="L148" t="s">
        <v>8</v>
      </c>
      <c r="M148" t="s">
        <v>7</v>
      </c>
      <c r="N148" t="s">
        <v>8</v>
      </c>
      <c r="P148">
        <f t="shared" ref="P148" si="715">IF(C148=D148,0,((E148-D148)-(C148-E148))/(C148-D148))</f>
        <v>0.44363636363636283</v>
      </c>
      <c r="Q148">
        <f t="shared" ref="Q148" si="716">F148*P148</f>
        <v>39942097.413090833</v>
      </c>
      <c r="R148">
        <f t="shared" ref="R148" si="717">R149+Q148</f>
        <v>-4598027942.1270409</v>
      </c>
      <c r="S148">
        <f t="shared" ref="S148" si="718">R148/100000</f>
        <v>-45980.27942127041</v>
      </c>
      <c r="T148">
        <f t="shared" ref="T148" si="719">S148/1000</f>
        <v>-45.98027942127041</v>
      </c>
    </row>
    <row r="149" spans="1:20" x14ac:dyDescent="0.25">
      <c r="A149" s="5">
        <v>44444</v>
      </c>
      <c r="B149">
        <v>0.15342</v>
      </c>
      <c r="C149">
        <v>0.156</v>
      </c>
      <c r="D149">
        <v>0.14781</v>
      </c>
      <c r="E149">
        <v>0.15598000000000001</v>
      </c>
      <c r="F149">
        <v>40943843.700000003</v>
      </c>
      <c r="G149">
        <v>0.15598000000000001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0.99511599511599702</v>
      </c>
      <c r="Q149">
        <f t="shared" ref="Q149" si="721">F149*P149</f>
        <v>40743873.767399348</v>
      </c>
      <c r="R149">
        <f t="shared" ref="R149" si="722">R150+Q149</f>
        <v>-4637970039.5401316</v>
      </c>
      <c r="S149">
        <f t="shared" ref="S149" si="723">R149/100000</f>
        <v>-46379.700395401313</v>
      </c>
      <c r="T149">
        <f t="shared" ref="T149" si="724">S149/1000</f>
        <v>-46.379700395401315</v>
      </c>
    </row>
    <row r="150" spans="1:20" x14ac:dyDescent="0.25">
      <c r="A150" s="5">
        <v>44443</v>
      </c>
      <c r="B150">
        <v>0.14737</v>
      </c>
      <c r="C150">
        <v>0.15418999999999999</v>
      </c>
      <c r="D150">
        <v>0.14671000000000001</v>
      </c>
      <c r="E150">
        <v>0.15340999999999999</v>
      </c>
      <c r="F150">
        <v>37853177.700000003</v>
      </c>
      <c r="G150">
        <v>0.15340999999999999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0.79144385026737851</v>
      </c>
      <c r="Q150">
        <f t="shared" ref="Q150" si="726">F150*P150</f>
        <v>29958664.703743275</v>
      </c>
      <c r="R150">
        <f t="shared" ref="R150" si="727">R151+Q150</f>
        <v>-4678713913.3075314</v>
      </c>
      <c r="S150">
        <f t="shared" ref="S150" si="728">R150/100000</f>
        <v>-46787.13913307531</v>
      </c>
      <c r="T150">
        <f t="shared" ref="T150" si="729">S150/1000</f>
        <v>-46.787139133075307</v>
      </c>
    </row>
    <row r="151" spans="1:20" x14ac:dyDescent="0.25">
      <c r="A151" s="5">
        <v>44442</v>
      </c>
      <c r="B151">
        <v>0.14566999999999999</v>
      </c>
      <c r="C151">
        <v>0.15189</v>
      </c>
      <c r="D151">
        <v>0.14219000000000001</v>
      </c>
      <c r="E151">
        <v>0.14718999999999999</v>
      </c>
      <c r="F151">
        <v>32167672.399999999</v>
      </c>
      <c r="G151">
        <v>0.14718999999999999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3.0927835051543028E-2</v>
      </c>
      <c r="Q151">
        <f t="shared" ref="Q151" si="731">F151*P151</f>
        <v>994876.4659792732</v>
      </c>
      <c r="R151">
        <f t="shared" ref="R151" si="732">R152+Q151</f>
        <v>-4708672578.0112743</v>
      </c>
      <c r="S151">
        <f t="shared" ref="S151" si="733">R151/100000</f>
        <v>-47086.725780112742</v>
      </c>
      <c r="T151">
        <f t="shared" ref="T151" si="734">S151/1000</f>
        <v>-47.086725780112744</v>
      </c>
    </row>
    <row r="152" spans="1:20" x14ac:dyDescent="0.25">
      <c r="A152" s="5">
        <v>44441</v>
      </c>
      <c r="B152">
        <v>0.15040999999999999</v>
      </c>
      <c r="C152">
        <v>0.15389</v>
      </c>
      <c r="D152">
        <v>0.14399999999999999</v>
      </c>
      <c r="E152">
        <v>0.14566999999999999</v>
      </c>
      <c r="F152">
        <v>35740623.399999999</v>
      </c>
      <c r="G152">
        <v>0.14566999999999999</v>
      </c>
      <c r="L152" t="s">
        <v>7</v>
      </c>
      <c r="M152" t="s">
        <v>7</v>
      </c>
      <c r="N152" t="s">
        <v>8</v>
      </c>
      <c r="P152">
        <f t="shared" ref="P152" si="735">IF(C152=D152,0,((E152-D152)-(C152-E152))/(C152-D152))</f>
        <v>-0.6622851365015161</v>
      </c>
      <c r="Q152">
        <f t="shared" ref="Q152" si="736">F152*P152</f>
        <v>-23670483.647118278</v>
      </c>
      <c r="R152">
        <f t="shared" ref="R152" si="737">R153+Q152</f>
        <v>-4709667454.4772539</v>
      </c>
      <c r="S152">
        <f t="shared" ref="S152" si="738">R152/100000</f>
        <v>-47096.674544772541</v>
      </c>
      <c r="T152">
        <f t="shared" ref="T152" si="739">S152/1000</f>
        <v>-47.09667454477254</v>
      </c>
    </row>
    <row r="153" spans="1:20" x14ac:dyDescent="0.25">
      <c r="A153" s="5">
        <v>44440</v>
      </c>
      <c r="B153">
        <v>0.14666999999999999</v>
      </c>
      <c r="C153">
        <v>0.15243999999999999</v>
      </c>
      <c r="D153">
        <v>0.14363999999999999</v>
      </c>
      <c r="E153">
        <v>0.15040999999999999</v>
      </c>
      <c r="F153">
        <v>40261767.899999999</v>
      </c>
      <c r="G153">
        <v>0.15040999999999999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0.5386363636363628</v>
      </c>
      <c r="Q153">
        <f t="shared" ref="Q153" si="741">F153*P153</f>
        <v>21686452.255227238</v>
      </c>
      <c r="R153">
        <f t="shared" ref="R153" si="742">R154+Q153</f>
        <v>-4685996970.8301353</v>
      </c>
      <c r="S153">
        <f t="shared" ref="S153" si="743">R153/100000</f>
        <v>-46859.969708301353</v>
      </c>
      <c r="T153">
        <f t="shared" ref="T153" si="744">S153/1000</f>
        <v>-46.85996970830135</v>
      </c>
    </row>
    <row r="154" spans="1:20" x14ac:dyDescent="0.25">
      <c r="A154" s="5">
        <v>44439</v>
      </c>
      <c r="B154">
        <v>0.14974999999999999</v>
      </c>
      <c r="C154">
        <v>0.15354999999999999</v>
      </c>
      <c r="D154">
        <v>0.14549000000000001</v>
      </c>
      <c r="E154">
        <v>0.14674000000000001</v>
      </c>
      <c r="F154">
        <v>46623134.5</v>
      </c>
      <c r="G154">
        <v>0.14674000000000001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-0.68982630272952761</v>
      </c>
      <c r="Q154">
        <f t="shared" ref="Q154" si="746">F154*P154</f>
        <v>-32161864.493796483</v>
      </c>
      <c r="R154">
        <f t="shared" ref="R154" si="747">R155+Q154</f>
        <v>-4707683423.0853624</v>
      </c>
      <c r="S154">
        <f t="shared" ref="S154" si="748">R154/100000</f>
        <v>-47076.834230853623</v>
      </c>
      <c r="T154">
        <f t="shared" ref="T154" si="749">S154/1000</f>
        <v>-47.076834230853621</v>
      </c>
    </row>
    <row r="155" spans="1:20" x14ac:dyDescent="0.25">
      <c r="A155" s="5">
        <v>44438</v>
      </c>
      <c r="B155">
        <v>0.16153000000000001</v>
      </c>
      <c r="C155">
        <v>0.16313</v>
      </c>
      <c r="D155">
        <v>0.14877000000000001</v>
      </c>
      <c r="E155">
        <v>0.14990000000000001</v>
      </c>
      <c r="F155">
        <v>47877960.200000003</v>
      </c>
      <c r="G155">
        <v>0.14990000000000001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-0.84261838440111514</v>
      </c>
      <c r="Q155">
        <f t="shared" ref="Q155" si="751">F155*P155</f>
        <v>-40342849.472144894</v>
      </c>
      <c r="R155">
        <f t="shared" ref="R155" si="752">R156+Q155</f>
        <v>-4675521558.5915661</v>
      </c>
      <c r="S155">
        <f t="shared" ref="S155" si="753">R155/100000</f>
        <v>-46755.215585915663</v>
      </c>
      <c r="T155">
        <f t="shared" ref="T155" si="754">S155/1000</f>
        <v>-46.755215585915664</v>
      </c>
    </row>
    <row r="156" spans="1:20" x14ac:dyDescent="0.25">
      <c r="A156" s="5">
        <v>44437</v>
      </c>
      <c r="B156">
        <v>0.15645999999999999</v>
      </c>
      <c r="C156">
        <v>0.16600000000000001</v>
      </c>
      <c r="D156">
        <v>0.1525</v>
      </c>
      <c r="E156">
        <v>0.16142999999999999</v>
      </c>
      <c r="F156">
        <v>53887554.200000003</v>
      </c>
      <c r="G156">
        <v>0.16142999999999999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0.32296296296296084</v>
      </c>
      <c r="Q156">
        <f t="shared" ref="Q156" si="756">F156*P156</f>
        <v>17403684.171259146</v>
      </c>
      <c r="R156">
        <f t="shared" ref="R156" si="757">R157+Q156</f>
        <v>-4635178709.119421</v>
      </c>
      <c r="S156">
        <f t="shared" ref="S156" si="758">R156/100000</f>
        <v>-46351.787091194208</v>
      </c>
      <c r="T156">
        <f t="shared" ref="T156" si="759">S156/1000</f>
        <v>-46.351787091194211</v>
      </c>
    </row>
    <row r="157" spans="1:20" x14ac:dyDescent="0.25">
      <c r="A157" s="5">
        <v>44436</v>
      </c>
      <c r="B157">
        <v>0.16220000000000001</v>
      </c>
      <c r="C157">
        <v>0.16314999999999999</v>
      </c>
      <c r="D157">
        <v>0.15514</v>
      </c>
      <c r="E157">
        <v>0.15619</v>
      </c>
      <c r="F157">
        <v>38609303.200000003</v>
      </c>
      <c r="G157">
        <v>0.15619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-0.73782771535580605</v>
      </c>
      <c r="Q157">
        <f t="shared" ref="Q157" si="761">F157*P157</f>
        <v>-28487013.971535612</v>
      </c>
      <c r="R157">
        <f t="shared" ref="R157" si="762">R158+Q157</f>
        <v>-4652582393.2906799</v>
      </c>
      <c r="S157">
        <f t="shared" ref="S157" si="763">R157/100000</f>
        <v>-46525.823932906802</v>
      </c>
      <c r="T157">
        <f t="shared" ref="T157" si="764">S157/1000</f>
        <v>-46.525823932906803</v>
      </c>
    </row>
    <row r="158" spans="1:20" x14ac:dyDescent="0.25">
      <c r="A158" s="5">
        <v>44435</v>
      </c>
      <c r="B158">
        <v>0.14862</v>
      </c>
      <c r="C158">
        <v>0.17399999999999999</v>
      </c>
      <c r="D158">
        <v>0.14399999999999999</v>
      </c>
      <c r="E158">
        <v>0.16214000000000001</v>
      </c>
      <c r="F158">
        <v>132059311.2</v>
      </c>
      <c r="G158">
        <v>0.16214000000000001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0.20933333333333454</v>
      </c>
      <c r="Q158">
        <f t="shared" ref="Q158" si="766">F158*P158</f>
        <v>27644415.811200161</v>
      </c>
      <c r="R158">
        <f t="shared" ref="R158" si="767">R159+Q158</f>
        <v>-4624095379.3191442</v>
      </c>
      <c r="S158">
        <f t="shared" ref="S158" si="768">R158/100000</f>
        <v>-46240.953793191446</v>
      </c>
      <c r="T158">
        <f t="shared" ref="T158" si="769">S158/1000</f>
        <v>-46.240953793191444</v>
      </c>
    </row>
    <row r="159" spans="1:20" x14ac:dyDescent="0.25">
      <c r="A159" s="5">
        <v>44434</v>
      </c>
      <c r="B159">
        <v>0.16541</v>
      </c>
      <c r="C159">
        <v>0.16589999999999999</v>
      </c>
      <c r="D159">
        <v>0.14826</v>
      </c>
      <c r="E159">
        <v>0.14863000000000001</v>
      </c>
      <c r="F159">
        <v>73278459.599999994</v>
      </c>
      <c r="G159">
        <v>0.14863000000000001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-0.95804988662131407</v>
      </c>
      <c r="Q159">
        <f t="shared" ref="Q159" si="771">F159*P159</f>
        <v>-70204419.911564544</v>
      </c>
      <c r="R159">
        <f t="shared" ref="R159" si="772">R160+Q159</f>
        <v>-4651739795.1303444</v>
      </c>
      <c r="S159">
        <f t="shared" ref="S159" si="773">R159/100000</f>
        <v>-46517.397951303443</v>
      </c>
      <c r="T159">
        <f t="shared" ref="T159" si="774">S159/1000</f>
        <v>-46.517397951303444</v>
      </c>
    </row>
    <row r="160" spans="1:20" x14ac:dyDescent="0.25">
      <c r="A160" s="5">
        <v>44433</v>
      </c>
      <c r="B160">
        <v>0.15953999999999999</v>
      </c>
      <c r="C160">
        <v>0.17</v>
      </c>
      <c r="D160">
        <v>0.15265999999999999</v>
      </c>
      <c r="E160">
        <v>0.16544</v>
      </c>
      <c r="F160">
        <v>63381126.899999999</v>
      </c>
      <c r="G160">
        <v>0.16544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0.47404844290657411</v>
      </c>
      <c r="Q160">
        <f t="shared" ref="Q160" si="776">F160*P160</f>
        <v>30045724.516608976</v>
      </c>
      <c r="R160">
        <f t="shared" ref="R160" si="777">R161+Q160</f>
        <v>-4581535375.2187796</v>
      </c>
      <c r="S160">
        <f t="shared" ref="S160" si="778">R160/100000</f>
        <v>-45815.353752187795</v>
      </c>
      <c r="T160">
        <f t="shared" ref="T160" si="779">S160/1000</f>
        <v>-45.815353752187796</v>
      </c>
    </row>
    <row r="161" spans="1:20" x14ac:dyDescent="0.25">
      <c r="A161" s="5">
        <v>44432</v>
      </c>
      <c r="B161">
        <v>0.17121</v>
      </c>
      <c r="C161">
        <v>0.17546</v>
      </c>
      <c r="D161">
        <v>0.157</v>
      </c>
      <c r="E161">
        <v>0.1595</v>
      </c>
      <c r="F161">
        <v>55931705.5</v>
      </c>
      <c r="G161">
        <v>0.1595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-0.72914409534127822</v>
      </c>
      <c r="Q161">
        <f t="shared" ref="Q161" si="781">F161*P161</f>
        <v>-40782272.807692297</v>
      </c>
      <c r="R161">
        <f t="shared" ref="R161" si="782">R162+Q161</f>
        <v>-4611581099.7353888</v>
      </c>
      <c r="S161">
        <f t="shared" ref="S161" si="783">R161/100000</f>
        <v>-46115.810997353889</v>
      </c>
      <c r="T161">
        <f t="shared" ref="T161" si="784">S161/1000</f>
        <v>-46.11581099735389</v>
      </c>
    </row>
    <row r="162" spans="1:20" x14ac:dyDescent="0.25">
      <c r="A162" s="5">
        <v>44431</v>
      </c>
      <c r="B162">
        <v>0.16905999999999999</v>
      </c>
      <c r="C162">
        <v>0.17927999999999999</v>
      </c>
      <c r="D162">
        <v>0.16761999999999999</v>
      </c>
      <c r="E162">
        <v>0.17119999999999999</v>
      </c>
      <c r="F162">
        <v>61766727.299999997</v>
      </c>
      <c r="G162">
        <v>0.17119999999999999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-0.38593481989708428</v>
      </c>
      <c r="Q162">
        <f t="shared" ref="Q162" si="786">F162*P162</f>
        <v>-23837930.776157819</v>
      </c>
      <c r="R162">
        <f t="shared" ref="R162" si="787">R163+Q162</f>
        <v>-4570798826.9276962</v>
      </c>
      <c r="S162">
        <f t="shared" ref="S162" si="788">R162/100000</f>
        <v>-45707.988269276961</v>
      </c>
      <c r="T162">
        <f t="shared" ref="T162" si="789">S162/1000</f>
        <v>-45.70798826927696</v>
      </c>
    </row>
    <row r="163" spans="1:20" x14ac:dyDescent="0.25">
      <c r="A163" s="5">
        <v>44430</v>
      </c>
      <c r="B163">
        <v>0.16253000000000001</v>
      </c>
      <c r="C163">
        <v>0.16847999999999999</v>
      </c>
      <c r="D163">
        <v>0.161</v>
      </c>
      <c r="E163">
        <v>0.16847999999999999</v>
      </c>
      <c r="F163">
        <v>11775849.199999999</v>
      </c>
      <c r="G163">
        <v>0.16847999999999999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1</v>
      </c>
      <c r="Q163">
        <f t="shared" ref="Q163" si="791">F163*P163</f>
        <v>11775849.199999999</v>
      </c>
      <c r="R163">
        <f t="shared" ref="R163" si="792">R164+Q163</f>
        <v>-4546960896.1515388</v>
      </c>
      <c r="S163">
        <f t="shared" ref="S163" si="793">R163/100000</f>
        <v>-45469.608961515391</v>
      </c>
      <c r="T163">
        <f t="shared" ref="T163" si="794">S163/1000</f>
        <v>-45.469608961515391</v>
      </c>
    </row>
    <row r="164" spans="1:20" x14ac:dyDescent="0.25">
      <c r="A164" s="5">
        <v>44429</v>
      </c>
      <c r="B164">
        <v>0.16223000000000001</v>
      </c>
      <c r="C164">
        <v>0.16771</v>
      </c>
      <c r="D164">
        <v>0.16006999999999999</v>
      </c>
      <c r="E164">
        <v>0.16256000000000001</v>
      </c>
      <c r="F164">
        <v>57710704.700000003</v>
      </c>
      <c r="G164">
        <v>0.16256000000000001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-0.34816753926701116</v>
      </c>
      <c r="Q164">
        <f t="shared" ref="Q164" si="796">F164*P164</f>
        <v>-20092994.044764135</v>
      </c>
      <c r="R164">
        <f t="shared" ref="R164" si="797">R165+Q164</f>
        <v>-4558736745.3515387</v>
      </c>
      <c r="S164">
        <f t="shared" ref="S164" si="798">R164/100000</f>
        <v>-45587.367453515384</v>
      </c>
      <c r="T164">
        <f t="shared" ref="T164" si="799">S164/1000</f>
        <v>-45.587367453515384</v>
      </c>
    </row>
    <row r="165" spans="1:20" x14ac:dyDescent="0.25">
      <c r="A165" s="5">
        <v>44428</v>
      </c>
      <c r="B165">
        <v>0.16316</v>
      </c>
      <c r="C165">
        <v>0.16800000000000001</v>
      </c>
      <c r="D165">
        <v>0.15989999999999999</v>
      </c>
      <c r="E165">
        <v>0.16224</v>
      </c>
      <c r="F165">
        <v>58320173.899999999</v>
      </c>
      <c r="G165">
        <v>0.16224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-0.42222222222222178</v>
      </c>
      <c r="Q165">
        <f t="shared" ref="Q165" si="801">F165*P165</f>
        <v>-24624073.424444418</v>
      </c>
      <c r="R165">
        <f t="shared" ref="R165" si="802">R166+Q165</f>
        <v>-4538643751.3067741</v>
      </c>
      <c r="S165">
        <f t="shared" ref="S165" si="803">R165/100000</f>
        <v>-45386.437513067744</v>
      </c>
      <c r="T165">
        <f t="shared" ref="T165" si="804">S165/1000</f>
        <v>-45.38643751306774</v>
      </c>
    </row>
    <row r="166" spans="1:20" x14ac:dyDescent="0.25">
      <c r="A166" s="5">
        <v>44427</v>
      </c>
      <c r="B166">
        <v>0.15897</v>
      </c>
      <c r="C166">
        <v>0.17743</v>
      </c>
      <c r="D166">
        <v>0.14756</v>
      </c>
      <c r="E166">
        <v>0.16316</v>
      </c>
      <c r="F166">
        <v>124993559.09999999</v>
      </c>
      <c r="G166">
        <v>0.16316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4.4526280549045782E-2</v>
      </c>
      <c r="Q166">
        <f t="shared" ref="Q166" si="806">F166*P166</f>
        <v>5565498.2793103345</v>
      </c>
      <c r="R166">
        <f t="shared" ref="R166" si="807">R167+Q166</f>
        <v>-4514019677.8823299</v>
      </c>
      <c r="S166">
        <f t="shared" ref="S166" si="808">R166/100000</f>
        <v>-45140.196778823301</v>
      </c>
      <c r="T166">
        <f t="shared" ref="T166" si="809">S166/1000</f>
        <v>-45.140196778823302</v>
      </c>
    </row>
    <row r="167" spans="1:20" x14ac:dyDescent="0.25">
      <c r="A167" s="5">
        <v>44426</v>
      </c>
      <c r="B167">
        <v>0.1613</v>
      </c>
      <c r="C167">
        <v>0.1741</v>
      </c>
      <c r="D167">
        <v>0.15221000000000001</v>
      </c>
      <c r="E167">
        <v>0.15897</v>
      </c>
      <c r="F167">
        <v>160034295.69999999</v>
      </c>
      <c r="G167">
        <v>0.15897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-0.38236637734125256</v>
      </c>
      <c r="Q167">
        <f t="shared" ref="Q167" si="811">F167*P167</f>
        <v>-61191733.897167787</v>
      </c>
      <c r="R167">
        <f t="shared" ref="R167" si="812">R168+Q167</f>
        <v>-4519585176.1616402</v>
      </c>
      <c r="S167">
        <f t="shared" ref="S167" si="813">R167/100000</f>
        <v>-45195.851761616403</v>
      </c>
      <c r="T167">
        <f t="shared" ref="T167" si="814">S167/1000</f>
        <v>-45.195851761616403</v>
      </c>
    </row>
    <row r="168" spans="1:20" x14ac:dyDescent="0.25">
      <c r="A168" s="5">
        <v>44425</v>
      </c>
      <c r="B168">
        <v>0.13980999999999999</v>
      </c>
      <c r="C168">
        <v>0.18279000000000001</v>
      </c>
      <c r="D168">
        <v>0.13675000000000001</v>
      </c>
      <c r="E168">
        <v>0.16144</v>
      </c>
      <c r="F168">
        <v>390530479.39999998</v>
      </c>
      <c r="G168">
        <v>0.16144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7.2545612510859725E-2</v>
      </c>
      <c r="Q168">
        <f t="shared" ref="Q168" si="816">F168*P168</f>
        <v>28331272.832232684</v>
      </c>
      <c r="R168">
        <f t="shared" ref="R168" si="817">R169+Q168</f>
        <v>-4458393442.264472</v>
      </c>
      <c r="S168">
        <f t="shared" ref="S168" si="818">R168/100000</f>
        <v>-44583.934422644721</v>
      </c>
      <c r="T168">
        <f t="shared" ref="T168" si="819">S168/1000</f>
        <v>-44.583934422644724</v>
      </c>
    </row>
    <row r="169" spans="1:20" x14ac:dyDescent="0.25">
      <c r="A169" s="5">
        <v>44424</v>
      </c>
      <c r="B169">
        <v>0.14332</v>
      </c>
      <c r="C169">
        <v>0.14979000000000001</v>
      </c>
      <c r="D169">
        <v>0.13800999999999999</v>
      </c>
      <c r="E169">
        <v>0.13980999999999999</v>
      </c>
      <c r="F169">
        <v>70508383.5</v>
      </c>
      <c r="G169">
        <v>0.13980999999999999</v>
      </c>
      <c r="L169" t="s">
        <v>8</v>
      </c>
      <c r="M169" t="s">
        <v>7</v>
      </c>
      <c r="N169" t="s">
        <v>8</v>
      </c>
      <c r="P169">
        <f t="shared" ref="P169" si="820">IF(C169=D169,0,((E169-D169)-(C169-E169))/(C169-D169))</f>
        <v>-0.69439728353141017</v>
      </c>
      <c r="Q169">
        <f t="shared" ref="Q169" si="821">F169*P169</f>
        <v>-48960829.9685909</v>
      </c>
      <c r="R169">
        <f t="shared" ref="R169" si="822">R170+Q169</f>
        <v>-4486724715.0967045</v>
      </c>
      <c r="S169">
        <f t="shared" ref="S169" si="823">R169/100000</f>
        <v>-44867.247150967043</v>
      </c>
      <c r="T169">
        <f t="shared" ref="T169" si="824">S169/1000</f>
        <v>-44.867247150967046</v>
      </c>
    </row>
    <row r="170" spans="1:20" x14ac:dyDescent="0.25">
      <c r="A170" s="5">
        <v>44423</v>
      </c>
      <c r="B170">
        <v>0.1469</v>
      </c>
      <c r="C170">
        <v>0.14751</v>
      </c>
      <c r="D170">
        <v>0.13569999999999999</v>
      </c>
      <c r="E170">
        <v>0.14332</v>
      </c>
      <c r="F170">
        <v>62790438.799999997</v>
      </c>
      <c r="G170">
        <v>0.14332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0.29043183742591128</v>
      </c>
      <c r="Q170">
        <f t="shared" ref="Q170" si="826">F170*P170</f>
        <v>18236342.513463229</v>
      </c>
      <c r="R170">
        <f t="shared" ref="R170" si="827">R171+Q170</f>
        <v>-4437763885.1281137</v>
      </c>
      <c r="S170">
        <f t="shared" ref="S170" si="828">R170/100000</f>
        <v>-44377.638851281139</v>
      </c>
      <c r="T170">
        <f t="shared" ref="T170" si="829">S170/1000</f>
        <v>-44.377638851281141</v>
      </c>
    </row>
    <row r="171" spans="1:20" x14ac:dyDescent="0.25">
      <c r="A171" s="5">
        <v>44422</v>
      </c>
      <c r="B171">
        <v>0.13769999999999999</v>
      </c>
      <c r="C171">
        <v>0.16685</v>
      </c>
      <c r="D171">
        <v>0.13528000000000001</v>
      </c>
      <c r="E171">
        <v>0.14691000000000001</v>
      </c>
      <c r="F171">
        <v>213077273.09999999</v>
      </c>
      <c r="G171">
        <v>0.14691000000000001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-0.26322458029775064</v>
      </c>
      <c r="Q171">
        <f t="shared" ref="Q171" si="831">F171*P171</f>
        <v>-56087175.782736689</v>
      </c>
      <c r="R171">
        <f t="shared" ref="R171" si="832">R172+Q171</f>
        <v>-4456000227.6415768</v>
      </c>
      <c r="S171">
        <f t="shared" ref="S171" si="833">R171/100000</f>
        <v>-44560.002276415769</v>
      </c>
      <c r="T171">
        <f t="shared" ref="T171" si="834">S171/1000</f>
        <v>-44.560002276415773</v>
      </c>
    </row>
    <row r="172" spans="1:20" x14ac:dyDescent="0.25">
      <c r="A172" s="5">
        <v>44421</v>
      </c>
      <c r="B172">
        <v>0.12451</v>
      </c>
      <c r="C172">
        <v>0.14199999999999999</v>
      </c>
      <c r="D172">
        <v>0.12397</v>
      </c>
      <c r="E172">
        <v>0.13769999999999999</v>
      </c>
      <c r="F172">
        <v>57443271.200000003</v>
      </c>
      <c r="G172">
        <v>0.13769999999999999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0.5230171935662784</v>
      </c>
      <c r="Q172">
        <f t="shared" ref="Q172" si="836">F172*P172</f>
        <v>30043818.492290627</v>
      </c>
      <c r="R172">
        <f t="shared" ref="R172" si="837">R173+Q172</f>
        <v>-4399913051.85884</v>
      </c>
      <c r="S172">
        <f t="shared" ref="S172" si="838">R172/100000</f>
        <v>-43999.130518588398</v>
      </c>
      <c r="T172">
        <f t="shared" ref="T172" si="839">S172/1000</f>
        <v>-43.999130518588395</v>
      </c>
    </row>
    <row r="173" spans="1:20" x14ac:dyDescent="0.25">
      <c r="A173" s="5">
        <v>44420</v>
      </c>
      <c r="B173">
        <v>0.12898999999999999</v>
      </c>
      <c r="C173">
        <v>0.13600000000000001</v>
      </c>
      <c r="D173">
        <v>0.12139</v>
      </c>
      <c r="E173">
        <v>0.12447</v>
      </c>
      <c r="F173">
        <v>61037555.5</v>
      </c>
      <c r="G173">
        <v>0.12447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-0.57837097878165677</v>
      </c>
      <c r="Q173">
        <f t="shared" ref="Q173" si="841">F173*P173</f>
        <v>-35302350.716974698</v>
      </c>
      <c r="R173">
        <f t="shared" ref="R173" si="842">R174+Q173</f>
        <v>-4429956870.3511305</v>
      </c>
      <c r="S173">
        <f t="shared" ref="S173" si="843">R173/100000</f>
        <v>-44299.568703511308</v>
      </c>
      <c r="T173">
        <f t="shared" ref="T173" si="844">S173/1000</f>
        <v>-44.299568703511305</v>
      </c>
    </row>
    <row r="174" spans="1:20" x14ac:dyDescent="0.25">
      <c r="A174" s="5">
        <v>44419</v>
      </c>
      <c r="B174">
        <v>0.12589</v>
      </c>
      <c r="C174">
        <v>0.13944000000000001</v>
      </c>
      <c r="D174">
        <v>0.125</v>
      </c>
      <c r="E174">
        <v>0.129</v>
      </c>
      <c r="F174">
        <v>103764323.40000001</v>
      </c>
      <c r="G174">
        <v>0.129</v>
      </c>
      <c r="L174" t="s">
        <v>8</v>
      </c>
      <c r="M174" t="s">
        <v>7</v>
      </c>
      <c r="N174" t="s">
        <v>8</v>
      </c>
      <c r="P174">
        <f t="shared" ref="P174" si="845">IF(C174=D174,0,((E174-D174)-(C174-E174))/(C174-D174))</f>
        <v>-0.44598337950138489</v>
      </c>
      <c r="Q174">
        <f t="shared" ref="Q174" si="846">F174*P174</f>
        <v>-46277163.621606633</v>
      </c>
      <c r="R174">
        <f t="shared" ref="R174" si="847">R175+Q174</f>
        <v>-4394654519.6341562</v>
      </c>
      <c r="S174">
        <f t="shared" ref="S174" si="848">R174/100000</f>
        <v>-43946.545196341562</v>
      </c>
      <c r="T174">
        <f t="shared" ref="T174" si="849">S174/1000</f>
        <v>-43.94654519634156</v>
      </c>
    </row>
    <row r="175" spans="1:20" x14ac:dyDescent="0.25">
      <c r="A175" s="5">
        <v>44418</v>
      </c>
      <c r="B175">
        <v>0.12606999999999999</v>
      </c>
      <c r="C175">
        <v>0.12947</v>
      </c>
      <c r="D175">
        <v>0.12209</v>
      </c>
      <c r="E175">
        <v>0.12586</v>
      </c>
      <c r="F175">
        <v>47177845.399999999</v>
      </c>
      <c r="G175">
        <v>0.12586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2.1680216802167144E-2</v>
      </c>
      <c r="Q175">
        <f t="shared" ref="Q175" si="851">F175*P175</f>
        <v>1022825.9165311239</v>
      </c>
      <c r="R175">
        <f t="shared" ref="R175" si="852">R176+Q175</f>
        <v>-4348377356.0125494</v>
      </c>
      <c r="S175">
        <f t="shared" ref="S175" si="853">R175/100000</f>
        <v>-43483.773560125497</v>
      </c>
      <c r="T175">
        <f t="shared" ref="T175" si="854">S175/1000</f>
        <v>-43.483773560125499</v>
      </c>
    </row>
    <row r="176" spans="1:20" x14ac:dyDescent="0.25">
      <c r="A176" s="5">
        <v>44417</v>
      </c>
      <c r="B176">
        <v>0.12078999999999999</v>
      </c>
      <c r="C176">
        <v>0.13120000000000001</v>
      </c>
      <c r="D176">
        <v>0.1176</v>
      </c>
      <c r="E176">
        <v>0.12606999999999999</v>
      </c>
      <c r="F176">
        <v>64721808.700000003</v>
      </c>
      <c r="G176">
        <v>0.12606999999999999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0.24558823529411503</v>
      </c>
      <c r="Q176">
        <f t="shared" ref="Q176" si="856">F176*P176</f>
        <v>15894914.783676302</v>
      </c>
      <c r="R176">
        <f t="shared" ref="R176" si="857">R177+Q176</f>
        <v>-4349400181.929081</v>
      </c>
      <c r="S176">
        <f t="shared" ref="S176" si="858">R176/100000</f>
        <v>-43494.00181929081</v>
      </c>
      <c r="T176">
        <f t="shared" ref="T176" si="859">S176/1000</f>
        <v>-43.494001819290808</v>
      </c>
    </row>
    <row r="177" spans="1:20" x14ac:dyDescent="0.25">
      <c r="A177" s="5">
        <v>44416</v>
      </c>
      <c r="B177">
        <v>0.13053999999999999</v>
      </c>
      <c r="C177">
        <v>0.14271</v>
      </c>
      <c r="D177">
        <v>0.1179</v>
      </c>
      <c r="E177">
        <v>0.12078999999999999</v>
      </c>
      <c r="F177">
        <v>138300419.5</v>
      </c>
      <c r="G177">
        <v>0.12078999999999999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-0.7670294236195091</v>
      </c>
      <c r="Q177">
        <f t="shared" ref="Q177" si="861">F177*P177</f>
        <v>-106080491.05542132</v>
      </c>
      <c r="R177">
        <f t="shared" ref="R177" si="862">R178+Q177</f>
        <v>-4365295096.7127571</v>
      </c>
      <c r="S177">
        <f t="shared" ref="S177" si="863">R177/100000</f>
        <v>-43652.950967127574</v>
      </c>
      <c r="T177">
        <f t="shared" ref="T177" si="864">S177/1000</f>
        <v>-43.652950967127573</v>
      </c>
    </row>
    <row r="178" spans="1:20" x14ac:dyDescent="0.25">
      <c r="A178" s="5">
        <v>44415</v>
      </c>
      <c r="B178">
        <v>0.11443</v>
      </c>
      <c r="C178">
        <v>0.15348000000000001</v>
      </c>
      <c r="D178">
        <v>0.11268</v>
      </c>
      <c r="E178">
        <v>0.13053999999999999</v>
      </c>
      <c r="F178">
        <v>356356606.60000002</v>
      </c>
      <c r="G178">
        <v>0.13053999999999999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-0.12450980392156932</v>
      </c>
      <c r="Q178">
        <f t="shared" ref="Q178" si="866">F178*P178</f>
        <v>-44369891.213921823</v>
      </c>
      <c r="R178">
        <f t="shared" ref="R178" si="867">R179+Q178</f>
        <v>-4259214605.6573362</v>
      </c>
      <c r="S178">
        <f t="shared" ref="S178" si="868">R178/100000</f>
        <v>-42592.146056573365</v>
      </c>
      <c r="T178">
        <f t="shared" ref="T178" si="869">S178/1000</f>
        <v>-42.592146056573363</v>
      </c>
    </row>
    <row r="179" spans="1:20" x14ac:dyDescent="0.25">
      <c r="A179" s="5">
        <v>44414</v>
      </c>
      <c r="B179">
        <v>0.11973</v>
      </c>
      <c r="C179">
        <v>0.129</v>
      </c>
      <c r="D179">
        <v>0.11086</v>
      </c>
      <c r="E179">
        <v>0.11443</v>
      </c>
      <c r="F179">
        <v>193095749.5</v>
      </c>
      <c r="G179">
        <v>0.11443</v>
      </c>
      <c r="L179" t="s">
        <v>7</v>
      </c>
      <c r="M179" t="s">
        <v>7</v>
      </c>
      <c r="N179" t="s">
        <v>8</v>
      </c>
      <c r="P179">
        <f t="shared" ref="P179" si="870">IF(C179=D179,0,((E179-D179)-(C179-E179))/(C179-D179))</f>
        <v>-0.60639470782800409</v>
      </c>
      <c r="Q179">
        <f t="shared" ref="Q179" si="871">F179*P179</f>
        <v>-117092240.60088196</v>
      </c>
      <c r="R179">
        <f t="shared" ref="R179" si="872">R180+Q179</f>
        <v>-4214844714.4434142</v>
      </c>
      <c r="S179">
        <f t="shared" ref="S179" si="873">R179/100000</f>
        <v>-42148.44714443414</v>
      </c>
      <c r="T179">
        <f t="shared" ref="T179" si="874">S179/1000</f>
        <v>-42.148447144434137</v>
      </c>
    </row>
    <row r="180" spans="1:20" x14ac:dyDescent="0.25">
      <c r="A180" s="5">
        <v>44413</v>
      </c>
      <c r="B180">
        <v>0.10248</v>
      </c>
      <c r="C180">
        <v>0.14130000000000001</v>
      </c>
      <c r="D180">
        <v>9.7720000000000001E-2</v>
      </c>
      <c r="E180">
        <v>0.11967999999999999</v>
      </c>
      <c r="F180">
        <v>325271326.80000001</v>
      </c>
      <c r="G180">
        <v>0.11967999999999999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7.8017439192285256E-3</v>
      </c>
      <c r="Q180">
        <f t="shared" ref="Q180" si="876">F180*P180</f>
        <v>2537683.5959612946</v>
      </c>
      <c r="R180">
        <f t="shared" ref="R180" si="877">R181+Q180</f>
        <v>-4097752473.8425322</v>
      </c>
      <c r="S180">
        <f t="shared" ref="S180" si="878">R180/100000</f>
        <v>-40977.524738425323</v>
      </c>
      <c r="T180">
        <f t="shared" ref="T180" si="879">S180/1000</f>
        <v>-40.977524738425323</v>
      </c>
    </row>
    <row r="181" spans="1:20" x14ac:dyDescent="0.25">
      <c r="A181" s="5">
        <v>44412</v>
      </c>
      <c r="B181">
        <v>9.8890000000000006E-2</v>
      </c>
      <c r="C181">
        <v>0.1055</v>
      </c>
      <c r="D181">
        <v>9.5180000000000001E-2</v>
      </c>
      <c r="E181">
        <v>0.10248</v>
      </c>
      <c r="F181">
        <v>60336056.5</v>
      </c>
      <c r="G181">
        <v>0.10248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0.41472868217054337</v>
      </c>
      <c r="Q181">
        <f t="shared" ref="Q181" si="881">F181*P181</f>
        <v>25023093.199612446</v>
      </c>
      <c r="R181">
        <f t="shared" ref="R181" si="882">R182+Q181</f>
        <v>-4100290157.4384933</v>
      </c>
      <c r="S181">
        <f t="shared" ref="S181" si="883">R181/100000</f>
        <v>-41002.90157438493</v>
      </c>
      <c r="T181">
        <f t="shared" ref="T181" si="884">S181/1000</f>
        <v>-41.002901574384929</v>
      </c>
    </row>
    <row r="182" spans="1:20" x14ac:dyDescent="0.25">
      <c r="A182" s="5">
        <v>44411</v>
      </c>
      <c r="B182">
        <v>9.6339999999999995E-2</v>
      </c>
      <c r="C182">
        <v>0.10056</v>
      </c>
      <c r="D182">
        <v>9.1149999999999995E-2</v>
      </c>
      <c r="E182">
        <v>9.8909999999999998E-2</v>
      </c>
      <c r="F182">
        <v>53900348.899999999</v>
      </c>
      <c r="G182">
        <v>9.8909999999999998E-2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0.64930924548352853</v>
      </c>
      <c r="Q182">
        <f t="shared" ref="Q182" si="886">F182*P182</f>
        <v>34997994.875557937</v>
      </c>
      <c r="R182">
        <f t="shared" ref="R182" si="887">R183+Q182</f>
        <v>-4125313250.6381059</v>
      </c>
      <c r="S182">
        <f t="shared" ref="S182" si="888">R182/100000</f>
        <v>-41253.132506381058</v>
      </c>
      <c r="T182">
        <f t="shared" ref="T182" si="889">S182/1000</f>
        <v>-41.253132506381057</v>
      </c>
    </row>
    <row r="183" spans="1:20" x14ac:dyDescent="0.25">
      <c r="A183" s="5">
        <v>44410</v>
      </c>
      <c r="B183">
        <v>9.6790000000000001E-2</v>
      </c>
      <c r="C183">
        <v>9.9419999999999994E-2</v>
      </c>
      <c r="D183">
        <v>9.5269999999999994E-2</v>
      </c>
      <c r="E183">
        <v>9.6310000000000007E-2</v>
      </c>
      <c r="F183">
        <v>41189325.899999999</v>
      </c>
      <c r="G183">
        <v>9.6310000000000007E-2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-0.49879518072288537</v>
      </c>
      <c r="Q183">
        <f t="shared" ref="Q183" si="891">F183*P183</f>
        <v>-20545037.256144322</v>
      </c>
      <c r="R183">
        <f t="shared" ref="R183" si="892">R184+Q183</f>
        <v>-4160311245.5136638</v>
      </c>
      <c r="S183">
        <f t="shared" ref="S183" si="893">R183/100000</f>
        <v>-41603.112455136637</v>
      </c>
      <c r="T183">
        <f t="shared" ref="T183" si="894">S183/1000</f>
        <v>-41.603112455136639</v>
      </c>
    </row>
    <row r="184" spans="1:20" x14ac:dyDescent="0.25">
      <c r="A184" s="5">
        <v>44409</v>
      </c>
      <c r="B184">
        <v>0.10002</v>
      </c>
      <c r="C184">
        <v>0.10488</v>
      </c>
      <c r="D184">
        <v>9.5799999999999996E-2</v>
      </c>
      <c r="E184">
        <v>9.6699999999999994E-2</v>
      </c>
      <c r="F184">
        <v>66627280.799999997</v>
      </c>
      <c r="G184">
        <v>9.6699999999999994E-2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-0.8017621145374455</v>
      </c>
      <c r="Q184">
        <f t="shared" ref="Q184" si="896">F184*P184</f>
        <v>-53419229.540088139</v>
      </c>
      <c r="R184">
        <f t="shared" ref="R184" si="897">R185+Q184</f>
        <v>-4139766208.2575192</v>
      </c>
      <c r="S184">
        <f t="shared" ref="S184" si="898">R184/100000</f>
        <v>-41397.662082575189</v>
      </c>
      <c r="T184">
        <f t="shared" ref="T184" si="899">S184/1000</f>
        <v>-41.397662082575188</v>
      </c>
    </row>
    <row r="185" spans="1:20" x14ac:dyDescent="0.25">
      <c r="A185" s="5">
        <v>44408</v>
      </c>
      <c r="B185">
        <v>0.10095</v>
      </c>
      <c r="C185">
        <v>0.10668999999999999</v>
      </c>
      <c r="D185">
        <v>9.7040000000000001E-2</v>
      </c>
      <c r="E185">
        <v>0.10002</v>
      </c>
      <c r="F185">
        <v>80668899.400000006</v>
      </c>
      <c r="G185">
        <v>0.10002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-0.38238341968911937</v>
      </c>
      <c r="Q185">
        <f t="shared" ref="Q185" si="901">F185*P185</f>
        <v>-30846449.615129553</v>
      </c>
      <c r="R185">
        <f t="shared" ref="R185" si="902">R186+Q185</f>
        <v>-4086346978.7174311</v>
      </c>
      <c r="S185">
        <f t="shared" ref="S185" si="903">R185/100000</f>
        <v>-40863.469787174312</v>
      </c>
      <c r="T185">
        <f t="shared" ref="T185" si="904">S185/1000</f>
        <v>-40.86346978717431</v>
      </c>
    </row>
    <row r="186" spans="1:20" x14ac:dyDescent="0.25">
      <c r="A186" s="5">
        <v>44407</v>
      </c>
      <c r="B186">
        <v>0.10263</v>
      </c>
      <c r="C186">
        <v>0.10344</v>
      </c>
      <c r="D186">
        <v>9.5009999999999997E-2</v>
      </c>
      <c r="E186">
        <v>0.10088999999999999</v>
      </c>
      <c r="F186">
        <v>116800049.5</v>
      </c>
      <c r="G186">
        <v>0.10088999999999999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0.39501779359430406</v>
      </c>
      <c r="Q186">
        <f t="shared" ref="Q186" si="906">F186*P186</f>
        <v>46138097.845195495</v>
      </c>
      <c r="R186">
        <f t="shared" ref="R186" si="907">R187+Q186</f>
        <v>-4055500529.1023016</v>
      </c>
      <c r="S186">
        <f t="shared" ref="S186" si="908">R186/100000</f>
        <v>-40555.005291023015</v>
      </c>
      <c r="T186">
        <f t="shared" ref="T186" si="909">S186/1000</f>
        <v>-40.555005291023015</v>
      </c>
    </row>
    <row r="187" spans="1:20" x14ac:dyDescent="0.25">
      <c r="A187" s="5">
        <v>44406</v>
      </c>
      <c r="B187">
        <v>9.017E-2</v>
      </c>
      <c r="C187">
        <v>0.1138</v>
      </c>
      <c r="D187">
        <v>8.8330000000000006E-2</v>
      </c>
      <c r="E187">
        <v>0.10255</v>
      </c>
      <c r="F187">
        <v>406599953</v>
      </c>
      <c r="G187">
        <v>0.10255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0.11660777385159016</v>
      </c>
      <c r="Q187">
        <f t="shared" ref="Q187" si="911">F187*P187</f>
        <v>47412715.367491186</v>
      </c>
      <c r="R187">
        <f t="shared" ref="R187" si="912">R188+Q187</f>
        <v>-4101638626.9474969</v>
      </c>
      <c r="S187">
        <f t="shared" ref="S187" si="913">R187/100000</f>
        <v>-41016.38626947497</v>
      </c>
      <c r="T187">
        <f t="shared" ref="T187" si="914">S187/1000</f>
        <v>-41.016386269474971</v>
      </c>
    </row>
    <row r="188" spans="1:20" x14ac:dyDescent="0.25">
      <c r="A188" s="5">
        <v>44405</v>
      </c>
      <c r="B188">
        <v>9.1399999999999995E-2</v>
      </c>
      <c r="C188">
        <v>9.2910000000000006E-2</v>
      </c>
      <c r="D188">
        <v>8.856E-2</v>
      </c>
      <c r="E188">
        <v>9.017E-2</v>
      </c>
      <c r="F188">
        <v>58924700.299999997</v>
      </c>
      <c r="G188">
        <v>9.017E-2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-0.25977011494252972</v>
      </c>
      <c r="Q188">
        <f t="shared" ref="Q188" si="916">F188*P188</f>
        <v>-15306876.169885114</v>
      </c>
      <c r="R188">
        <f t="shared" ref="R188" si="917">R189+Q188</f>
        <v>-4149051342.3149881</v>
      </c>
      <c r="S188">
        <f t="shared" ref="S188" si="918">R188/100000</f>
        <v>-41490.513423149881</v>
      </c>
      <c r="T188">
        <f t="shared" ref="T188" si="919">S188/1000</f>
        <v>-41.490513423149885</v>
      </c>
    </row>
    <row r="189" spans="1:20" x14ac:dyDescent="0.25">
      <c r="A189" s="5">
        <v>44404</v>
      </c>
      <c r="B189">
        <v>9.1600000000000001E-2</v>
      </c>
      <c r="C189">
        <v>9.5000000000000001E-2</v>
      </c>
      <c r="D189">
        <v>8.5370000000000001E-2</v>
      </c>
      <c r="E189">
        <v>9.1420000000000001E-2</v>
      </c>
      <c r="F189">
        <v>94992320.5</v>
      </c>
      <c r="G189">
        <v>9.1420000000000001E-2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0.25649013499480788</v>
      </c>
      <c r="Q189">
        <f t="shared" ref="Q189" si="921">F189*P189</f>
        <v>24364593.108515058</v>
      </c>
      <c r="R189">
        <f t="shared" ref="R189" si="922">R190+Q189</f>
        <v>-4133744466.145103</v>
      </c>
      <c r="S189">
        <f t="shared" ref="S189" si="923">R189/100000</f>
        <v>-41337.444661451031</v>
      </c>
      <c r="T189">
        <f t="shared" ref="T189" si="924">S189/1000</f>
        <v>-41.33744466145103</v>
      </c>
    </row>
    <row r="190" spans="1:20" x14ac:dyDescent="0.25">
      <c r="A190" s="5">
        <v>44403</v>
      </c>
      <c r="B190">
        <v>8.9520000000000002E-2</v>
      </c>
      <c r="C190">
        <v>0.10561</v>
      </c>
      <c r="D190">
        <v>8.9139999999999997E-2</v>
      </c>
      <c r="E190">
        <v>9.1800000000000007E-2</v>
      </c>
      <c r="F190">
        <v>174929757.30000001</v>
      </c>
      <c r="G190">
        <v>9.1800000000000007E-2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-0.67698846387370859</v>
      </c>
      <c r="Q190">
        <f t="shared" ref="Q190" si="926">F190*P190</f>
        <v>-118425427.68032767</v>
      </c>
      <c r="R190">
        <f t="shared" ref="R190" si="927">R191+Q190</f>
        <v>-4158109059.2536182</v>
      </c>
      <c r="S190">
        <f t="shared" ref="S190" si="928">R190/100000</f>
        <v>-41581.09059253618</v>
      </c>
      <c r="T190">
        <f t="shared" ref="T190" si="929">S190/1000</f>
        <v>-41.581090592536178</v>
      </c>
    </row>
    <row r="191" spans="1:20" x14ac:dyDescent="0.25">
      <c r="A191" s="5">
        <v>44402</v>
      </c>
      <c r="B191">
        <v>8.7919999999999998E-2</v>
      </c>
      <c r="C191">
        <v>9.1950000000000004E-2</v>
      </c>
      <c r="D191">
        <v>8.5040000000000004E-2</v>
      </c>
      <c r="E191">
        <v>8.9609999999999995E-2</v>
      </c>
      <c r="F191">
        <v>87521872.099999994</v>
      </c>
      <c r="G191">
        <v>8.9609999999999995E-2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0.32272069464543879</v>
      </c>
      <c r="Q191">
        <f t="shared" ref="Q191" si="931">F191*P191</f>
        <v>28245119.360781245</v>
      </c>
      <c r="R191">
        <f t="shared" ref="R191" si="932">R192+Q191</f>
        <v>-4039683631.5732903</v>
      </c>
      <c r="S191">
        <f t="shared" ref="S191" si="933">R191/100000</f>
        <v>-40396.8363157329</v>
      </c>
      <c r="T191">
        <f t="shared" ref="T191:T197" si="934">S191/1000</f>
        <v>-40.396836315732898</v>
      </c>
    </row>
    <row r="192" spans="1:20" x14ac:dyDescent="0.25">
      <c r="A192" s="5">
        <v>44401</v>
      </c>
      <c r="B192">
        <v>8.931E-2</v>
      </c>
      <c r="C192">
        <v>9.289E-2</v>
      </c>
      <c r="D192">
        <v>8.5989999999999997E-2</v>
      </c>
      <c r="E192">
        <v>8.7910000000000002E-2</v>
      </c>
      <c r="F192">
        <v>88095904.400000006</v>
      </c>
      <c r="G192">
        <v>8.7910000000000002E-2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-0.44347826086956404</v>
      </c>
      <c r="Q192">
        <f t="shared" ref="Q192" si="936">F192*P192</f>
        <v>-39068618.473043375</v>
      </c>
      <c r="R192">
        <f t="shared" ref="R192" si="937">R193+Q192</f>
        <v>-4067928750.9340715</v>
      </c>
      <c r="S192">
        <f t="shared" ref="S192" si="938">R192/100000</f>
        <v>-40679.287509340713</v>
      </c>
      <c r="T192">
        <f t="shared" si="934"/>
        <v>-40.67928750934071</v>
      </c>
    </row>
    <row r="193" spans="1:20" x14ac:dyDescent="0.25">
      <c r="A193" s="5">
        <v>44400</v>
      </c>
      <c r="B193">
        <v>8.7099999999999997E-2</v>
      </c>
      <c r="C193">
        <v>9.0789999999999996E-2</v>
      </c>
      <c r="D193">
        <v>8.269E-2</v>
      </c>
      <c r="E193">
        <v>8.924E-2</v>
      </c>
      <c r="F193">
        <v>68871347.400000006</v>
      </c>
      <c r="G193">
        <v>8.924E-2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0.6172839506172848</v>
      </c>
      <c r="Q193">
        <f t="shared" ref="Q193" si="940">F193*P193</f>
        <v>42513177.40740747</v>
      </c>
      <c r="R193">
        <f t="shared" ref="R193" si="941">R194+Q193</f>
        <v>-4028860132.4610281</v>
      </c>
      <c r="S193">
        <f t="shared" ref="S193" si="942">R193/100000</f>
        <v>-40288.601324610281</v>
      </c>
      <c r="T193">
        <f t="shared" si="934"/>
        <v>-40.288601324610283</v>
      </c>
    </row>
    <row r="194" spans="1:20" x14ac:dyDescent="0.25">
      <c r="A194" s="5">
        <v>44399</v>
      </c>
      <c r="B194">
        <v>8.5510000000000003E-2</v>
      </c>
      <c r="C194">
        <v>9.0270000000000003E-2</v>
      </c>
      <c r="D194">
        <v>8.1720000000000001E-2</v>
      </c>
      <c r="E194">
        <v>8.7059999999999998E-2</v>
      </c>
      <c r="F194">
        <v>102461140</v>
      </c>
      <c r="G194">
        <v>8.7059999999999998E-2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0.24912280701754297</v>
      </c>
      <c r="Q194">
        <f t="shared" ref="Q194" si="944">F194*P194</f>
        <v>25525406.807017453</v>
      </c>
      <c r="R194">
        <f t="shared" ref="R194" si="945">R195+Q194</f>
        <v>-4071373309.8684354</v>
      </c>
      <c r="S194">
        <f t="shared" ref="S194" si="946">R194/100000</f>
        <v>-40713.733098684352</v>
      </c>
      <c r="T194">
        <f t="shared" si="934"/>
        <v>-40.713733098684351</v>
      </c>
    </row>
    <row r="195" spans="1:20" x14ac:dyDescent="0.25">
      <c r="A195" s="5">
        <v>44398</v>
      </c>
      <c r="B195">
        <v>7.6929999999999998E-2</v>
      </c>
      <c r="C195">
        <v>8.8940000000000005E-2</v>
      </c>
      <c r="D195">
        <v>7.51E-2</v>
      </c>
      <c r="E195">
        <v>8.5389999999999994E-2</v>
      </c>
      <c r="F195">
        <v>77210841.5</v>
      </c>
      <c r="G195">
        <v>8.5389999999999994E-2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0.48699421965317774</v>
      </c>
      <c r="Q195">
        <f t="shared" ref="Q195" si="948">F195*P195</f>
        <v>37601233.505057693</v>
      </c>
      <c r="R195">
        <f t="shared" ref="R195" si="949">R196+Q195</f>
        <v>-4096898716.6754527</v>
      </c>
      <c r="S195">
        <f t="shared" ref="S195" si="950">R195/100000</f>
        <v>-40968.98716675453</v>
      </c>
      <c r="T195">
        <f t="shared" si="934"/>
        <v>-40.96898716675453</v>
      </c>
    </row>
    <row r="196" spans="1:20" x14ac:dyDescent="0.25">
      <c r="A196" s="5">
        <v>44397</v>
      </c>
      <c r="B196">
        <v>8.3000000000000004E-2</v>
      </c>
      <c r="C196">
        <v>8.48E-2</v>
      </c>
      <c r="D196">
        <v>7.3099999999999998E-2</v>
      </c>
      <c r="E196">
        <v>7.714E-2</v>
      </c>
      <c r="F196">
        <v>52783939.100000001</v>
      </c>
      <c r="G196">
        <v>7.714E-2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-0.30940170940170919</v>
      </c>
      <c r="Q196">
        <f t="shared" ref="Q196" si="952">F196*P196</f>
        <v>-16331440.986495716</v>
      </c>
      <c r="R196">
        <f t="shared" ref="R196" si="953">R197+Q196</f>
        <v>-4134499950.1805105</v>
      </c>
      <c r="S196">
        <f t="shared" ref="S196" si="954">R196/100000</f>
        <v>-41344.999501805105</v>
      </c>
      <c r="T196">
        <f t="shared" si="934"/>
        <v>-41.344999501805106</v>
      </c>
    </row>
    <row r="197" spans="1:20" x14ac:dyDescent="0.25">
      <c r="A197" s="5">
        <v>44396</v>
      </c>
      <c r="B197">
        <v>8.992E-2</v>
      </c>
      <c r="C197">
        <v>8.9959999999999998E-2</v>
      </c>
      <c r="D197">
        <v>7.9570000000000002E-2</v>
      </c>
      <c r="E197">
        <v>8.2860000000000003E-2</v>
      </c>
      <c r="F197">
        <v>48523464.600000001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-0.36669874879691966</v>
      </c>
      <c r="Q197">
        <f t="shared" ref="Q197" si="956">F197*P197</f>
        <v>-17793493.756111626</v>
      </c>
      <c r="R197">
        <f t="shared" ref="R197" si="957">R198+Q197</f>
        <v>-4118168509.194015</v>
      </c>
      <c r="S197">
        <f t="shared" ref="S197" si="958">R197/100000</f>
        <v>-41181.685091940148</v>
      </c>
      <c r="T197">
        <f t="shared" si="934"/>
        <v>-41.181685091940146</v>
      </c>
    </row>
    <row r="198" spans="1:20" x14ac:dyDescent="0.25">
      <c r="A198" s="5">
        <v>44395</v>
      </c>
      <c r="B198">
        <v>9.0300000000000005E-2</v>
      </c>
      <c r="C198">
        <v>9.3149999999999997E-2</v>
      </c>
      <c r="D198">
        <v>8.8660000000000003E-2</v>
      </c>
      <c r="E198">
        <v>8.992E-2</v>
      </c>
      <c r="F198">
        <v>68365252.200000003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-0.43875278396436573</v>
      </c>
      <c r="Q198">
        <f t="shared" ref="Q198:Q261" si="960">F198*P198</f>
        <v>-29995444.729175981</v>
      </c>
      <c r="R198">
        <f t="shared" ref="R198:R261" si="961">R199+Q198</f>
        <v>-4100375015.4379034</v>
      </c>
      <c r="S198">
        <f t="shared" ref="S198:S261" si="962">R198/100000</f>
        <v>-41003.750154379035</v>
      </c>
      <c r="T198">
        <f t="shared" ref="T198:T261" si="963">S198/1000</f>
        <v>-41.003750154379034</v>
      </c>
    </row>
    <row r="199" spans="1:20" x14ac:dyDescent="0.25">
      <c r="A199" s="5">
        <v>44394</v>
      </c>
      <c r="B199">
        <v>9.9760000000000001E-2</v>
      </c>
      <c r="C199">
        <v>0.10215</v>
      </c>
      <c r="D199">
        <v>8.7919999999999998E-2</v>
      </c>
      <c r="E199">
        <v>9.0240000000000001E-2</v>
      </c>
      <c r="F199">
        <v>199206890.69999999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-0.67392832044975381</v>
      </c>
      <c r="Q199">
        <f t="shared" si="960"/>
        <v>-134251165.27146867</v>
      </c>
      <c r="R199">
        <f t="shared" si="961"/>
        <v>-4070379570.7087274</v>
      </c>
      <c r="S199">
        <f t="shared" si="962"/>
        <v>-40703.795707087273</v>
      </c>
      <c r="T199">
        <f t="shared" si="963"/>
        <v>-40.703795707087274</v>
      </c>
    </row>
    <row r="200" spans="1:20" x14ac:dyDescent="0.25">
      <c r="A200" s="5">
        <v>44393</v>
      </c>
      <c r="B200">
        <v>8.5419999999999996E-2</v>
      </c>
      <c r="C200">
        <v>0.13</v>
      </c>
      <c r="D200">
        <v>8.2890000000000005E-2</v>
      </c>
      <c r="E200">
        <v>9.9750000000000005E-2</v>
      </c>
      <c r="F200">
        <v>705176674.79999995</v>
      </c>
      <c r="G200">
        <v>0</v>
      </c>
      <c r="L200" t="s">
        <v>8</v>
      </c>
      <c r="M200" t="s">
        <v>8</v>
      </c>
      <c r="N200" t="s">
        <v>8</v>
      </c>
      <c r="P200">
        <f t="shared" si="959"/>
        <v>-0.28422840161324558</v>
      </c>
      <c r="Q200">
        <f t="shared" si="960"/>
        <v>-200431239.13334745</v>
      </c>
      <c r="R200">
        <f t="shared" si="961"/>
        <v>-3936128405.4372587</v>
      </c>
      <c r="S200">
        <f t="shared" si="962"/>
        <v>-39361.284054372591</v>
      </c>
      <c r="T200">
        <f t="shared" si="963"/>
        <v>-39.361284054372589</v>
      </c>
    </row>
    <row r="201" spans="1:20" x14ac:dyDescent="0.25">
      <c r="A201" s="5">
        <v>44392</v>
      </c>
      <c r="B201">
        <v>8.677E-2</v>
      </c>
      <c r="C201">
        <v>8.9419999999999999E-2</v>
      </c>
      <c r="D201">
        <v>7.9159999999999994E-2</v>
      </c>
      <c r="E201">
        <v>8.5430000000000006E-2</v>
      </c>
      <c r="F201">
        <v>37129921.299999997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0.22222222222222388</v>
      </c>
      <c r="Q201">
        <f t="shared" si="960"/>
        <v>8251093.6222222829</v>
      </c>
      <c r="R201">
        <f t="shared" si="961"/>
        <v>-3735697166.3039112</v>
      </c>
      <c r="S201">
        <f t="shared" si="962"/>
        <v>-37356.971663039112</v>
      </c>
      <c r="T201">
        <f t="shared" si="963"/>
        <v>-37.356971663039111</v>
      </c>
    </row>
    <row r="202" spans="1:20" x14ac:dyDescent="0.25">
      <c r="A202" s="5">
        <v>44391</v>
      </c>
      <c r="B202">
        <v>8.7940000000000004E-2</v>
      </c>
      <c r="C202">
        <v>8.8179999999999994E-2</v>
      </c>
      <c r="D202">
        <v>8.0670000000000006E-2</v>
      </c>
      <c r="E202">
        <v>8.6889999999999995E-2</v>
      </c>
      <c r="F202">
        <v>38904429.100000001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0.65645805592543238</v>
      </c>
      <c r="Q202">
        <f t="shared" si="960"/>
        <v>25539125.89387482</v>
      </c>
      <c r="R202">
        <f t="shared" si="961"/>
        <v>-3743948259.9261336</v>
      </c>
      <c r="S202">
        <f t="shared" si="962"/>
        <v>-37439.482599261333</v>
      </c>
      <c r="T202">
        <f t="shared" si="963"/>
        <v>-37.439482599261332</v>
      </c>
    </row>
    <row r="203" spans="1:20" x14ac:dyDescent="0.25">
      <c r="A203" s="5">
        <v>44390</v>
      </c>
      <c r="B203">
        <v>9.0620000000000006E-2</v>
      </c>
      <c r="C203">
        <v>9.0840000000000004E-2</v>
      </c>
      <c r="D203">
        <v>8.659E-2</v>
      </c>
      <c r="E203">
        <v>8.795E-2</v>
      </c>
      <c r="F203">
        <v>35717734.600000001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-0.36000000000000054</v>
      </c>
      <c r="Q203">
        <f t="shared" si="960"/>
        <v>-12858384.456000021</v>
      </c>
      <c r="R203">
        <f t="shared" si="961"/>
        <v>-3769487385.8200083</v>
      </c>
      <c r="S203">
        <f t="shared" si="962"/>
        <v>-37694.873858200081</v>
      </c>
      <c r="T203">
        <f t="shared" si="963"/>
        <v>-37.694873858200083</v>
      </c>
    </row>
    <row r="204" spans="1:20" x14ac:dyDescent="0.25">
      <c r="A204" s="5">
        <v>44389</v>
      </c>
      <c r="B204">
        <v>9.6360000000000001E-2</v>
      </c>
      <c r="C204">
        <v>9.7339999999999996E-2</v>
      </c>
      <c r="D204">
        <v>8.856E-2</v>
      </c>
      <c r="E204">
        <v>9.0740000000000001E-2</v>
      </c>
      <c r="F204">
        <v>37708824.399999999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-0.50341685649202683</v>
      </c>
      <c r="Q204">
        <f t="shared" si="960"/>
        <v>-18983257.84145784</v>
      </c>
      <c r="R204">
        <f t="shared" si="961"/>
        <v>-3756629001.3640084</v>
      </c>
      <c r="S204">
        <f t="shared" si="962"/>
        <v>-37566.290013640086</v>
      </c>
      <c r="T204">
        <f t="shared" si="963"/>
        <v>-37.566290013640085</v>
      </c>
    </row>
    <row r="205" spans="1:20" x14ac:dyDescent="0.25">
      <c r="A205" s="5">
        <v>44388</v>
      </c>
      <c r="B205">
        <v>9.5619999999999997E-2</v>
      </c>
      <c r="C205">
        <v>9.9849999999999994E-2</v>
      </c>
      <c r="D205">
        <v>9.4109999999999999E-2</v>
      </c>
      <c r="E205">
        <v>9.6350000000000005E-2</v>
      </c>
      <c r="F205">
        <v>42403136.299999997</v>
      </c>
      <c r="G205">
        <v>0</v>
      </c>
      <c r="L205" t="s">
        <v>7</v>
      </c>
      <c r="M205" t="s">
        <v>7</v>
      </c>
      <c r="N205" t="s">
        <v>7</v>
      </c>
      <c r="P205">
        <f t="shared" si="959"/>
        <v>-0.2195121951219485</v>
      </c>
      <c r="Q205">
        <f t="shared" si="960"/>
        <v>-9308005.5292681772</v>
      </c>
      <c r="R205">
        <f t="shared" si="961"/>
        <v>-3737645743.5225506</v>
      </c>
      <c r="S205">
        <f t="shared" si="962"/>
        <v>-37376.457435225508</v>
      </c>
      <c r="T205">
        <f t="shared" si="963"/>
        <v>-37.376457435225511</v>
      </c>
    </row>
    <row r="206" spans="1:20" x14ac:dyDescent="0.25">
      <c r="A206" s="5">
        <v>44387</v>
      </c>
      <c r="B206">
        <v>9.8760000000000001E-2</v>
      </c>
      <c r="C206">
        <v>0.10043000000000001</v>
      </c>
      <c r="D206">
        <v>9.4130000000000005E-2</v>
      </c>
      <c r="E206">
        <v>9.5640000000000003E-2</v>
      </c>
      <c r="F206">
        <v>41334284.100000001</v>
      </c>
      <c r="G206">
        <v>0</v>
      </c>
      <c r="L206" t="s">
        <v>7</v>
      </c>
      <c r="M206" t="s">
        <v>7</v>
      </c>
      <c r="N206" t="s">
        <v>7</v>
      </c>
      <c r="P206">
        <f t="shared" si="959"/>
        <v>-0.52063492063492145</v>
      </c>
      <c r="Q206">
        <f t="shared" si="960"/>
        <v>-21520071.721904796</v>
      </c>
      <c r="R206">
        <f t="shared" si="961"/>
        <v>-3728337737.9932823</v>
      </c>
      <c r="S206">
        <f t="shared" si="962"/>
        <v>-37283.377379932826</v>
      </c>
      <c r="T206">
        <f t="shared" si="963"/>
        <v>-37.28337737993283</v>
      </c>
    </row>
    <row r="207" spans="1:20" x14ac:dyDescent="0.25">
      <c r="A207" s="5">
        <v>44386</v>
      </c>
      <c r="B207">
        <v>9.9019999999999997E-2</v>
      </c>
      <c r="C207">
        <v>0.10088999999999999</v>
      </c>
      <c r="D207">
        <v>9.4E-2</v>
      </c>
      <c r="E207">
        <v>9.8710000000000006E-2</v>
      </c>
      <c r="F207">
        <v>64741660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0.36719883889695515</v>
      </c>
      <c r="Q207">
        <f t="shared" si="960"/>
        <v>23773062.380261444</v>
      </c>
      <c r="R207">
        <f t="shared" si="961"/>
        <v>-3706817666.2713776</v>
      </c>
      <c r="S207">
        <f t="shared" si="962"/>
        <v>-37068.176662713777</v>
      </c>
      <c r="T207">
        <f t="shared" si="963"/>
        <v>-37.068176662713775</v>
      </c>
    </row>
    <row r="208" spans="1:20" x14ac:dyDescent="0.25">
      <c r="A208" s="5">
        <v>44385</v>
      </c>
      <c r="B208">
        <v>0.107</v>
      </c>
      <c r="C208">
        <v>0.10713</v>
      </c>
      <c r="D208">
        <v>9.6829999999999999E-2</v>
      </c>
      <c r="E208">
        <v>9.9129999999999996E-2</v>
      </c>
      <c r="F208">
        <v>177048982.30000001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-0.55339805825242805</v>
      </c>
      <c r="Q208">
        <f t="shared" si="960"/>
        <v>-97978563.020388514</v>
      </c>
      <c r="R208">
        <f t="shared" si="961"/>
        <v>-3730590728.651639</v>
      </c>
      <c r="S208">
        <f t="shared" si="962"/>
        <v>-37305.907286516391</v>
      </c>
      <c r="T208">
        <f t="shared" si="963"/>
        <v>-37.305907286516394</v>
      </c>
    </row>
    <row r="209" spans="1:20" x14ac:dyDescent="0.25">
      <c r="A209" s="5">
        <v>44384</v>
      </c>
      <c r="B209">
        <v>0.10723000000000001</v>
      </c>
      <c r="C209">
        <v>0.11194999999999999</v>
      </c>
      <c r="D209">
        <v>0.10567</v>
      </c>
      <c r="E209">
        <v>0.10687000000000001</v>
      </c>
      <c r="F209">
        <v>43600745.899999999</v>
      </c>
      <c r="G209">
        <v>0</v>
      </c>
      <c r="L209" t="s">
        <v>7</v>
      </c>
      <c r="M209" t="s">
        <v>7</v>
      </c>
      <c r="N209" t="s">
        <v>8</v>
      </c>
      <c r="P209">
        <f t="shared" si="959"/>
        <v>-0.61783439490445613</v>
      </c>
      <c r="Q209">
        <f t="shared" si="960"/>
        <v>-26938040.460509446</v>
      </c>
      <c r="R209">
        <f t="shared" si="961"/>
        <v>-3632612165.6312504</v>
      </c>
      <c r="S209">
        <f t="shared" si="962"/>
        <v>-36326.121656312505</v>
      </c>
      <c r="T209">
        <f t="shared" si="963"/>
        <v>-36.326121656312509</v>
      </c>
    </row>
    <row r="210" spans="1:20" x14ac:dyDescent="0.25">
      <c r="A210" s="5">
        <v>44383</v>
      </c>
      <c r="B210">
        <v>0.10631</v>
      </c>
      <c r="C210">
        <v>0.1145</v>
      </c>
      <c r="D210">
        <v>0.10568</v>
      </c>
      <c r="E210">
        <v>0.10725</v>
      </c>
      <c r="F210">
        <v>80191977.599999994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-0.64399092970521532</v>
      </c>
      <c r="Q210">
        <f t="shared" si="960"/>
        <v>-51642906.209523797</v>
      </c>
      <c r="R210">
        <f t="shared" si="961"/>
        <v>-3605674125.1707411</v>
      </c>
      <c r="S210">
        <f t="shared" si="962"/>
        <v>-36056.741251707412</v>
      </c>
      <c r="T210">
        <f t="shared" si="963"/>
        <v>-36.056741251707415</v>
      </c>
    </row>
    <row r="211" spans="1:20" x14ac:dyDescent="0.25">
      <c r="A211" s="5">
        <v>44382</v>
      </c>
      <c r="B211">
        <v>0.11332</v>
      </c>
      <c r="C211">
        <v>0.1137</v>
      </c>
      <c r="D211">
        <v>0.10471999999999999</v>
      </c>
      <c r="E211">
        <v>0.10625</v>
      </c>
      <c r="F211">
        <v>55474064.100000001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-0.65924276169264961</v>
      </c>
      <c r="Q211">
        <f t="shared" si="960"/>
        <v>-36570875.219599068</v>
      </c>
      <c r="R211">
        <f t="shared" si="961"/>
        <v>-3554031218.9612174</v>
      </c>
      <c r="S211">
        <f t="shared" si="962"/>
        <v>-35540.312189612174</v>
      </c>
      <c r="T211">
        <f t="shared" si="963"/>
        <v>-35.540312189612173</v>
      </c>
    </row>
    <row r="212" spans="1:20" x14ac:dyDescent="0.25">
      <c r="A212" s="5">
        <v>44381</v>
      </c>
      <c r="B212">
        <v>0.11405999999999999</v>
      </c>
      <c r="C212">
        <v>0.1163</v>
      </c>
      <c r="D212">
        <v>0.1119</v>
      </c>
      <c r="E212">
        <v>0.11345</v>
      </c>
      <c r="F212">
        <v>59122231.399999999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-0.29545454545454752</v>
      </c>
      <c r="Q212">
        <f t="shared" si="960"/>
        <v>-17467932.004545577</v>
      </c>
      <c r="R212">
        <f t="shared" si="961"/>
        <v>-3517460343.7416182</v>
      </c>
      <c r="S212">
        <f t="shared" si="962"/>
        <v>-35174.603437416183</v>
      </c>
      <c r="T212">
        <f t="shared" si="963"/>
        <v>-35.174603437416181</v>
      </c>
    </row>
    <row r="213" spans="1:20" x14ac:dyDescent="0.25">
      <c r="A213" s="5">
        <v>44380</v>
      </c>
      <c r="B213">
        <v>0.11429</v>
      </c>
      <c r="C213">
        <v>0.12</v>
      </c>
      <c r="D213">
        <v>0.11210000000000001</v>
      </c>
      <c r="E213">
        <v>0.11412</v>
      </c>
      <c r="F213">
        <v>55787815.299999997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-0.48860759493670974</v>
      </c>
      <c r="Q213">
        <f t="shared" si="960"/>
        <v>-27258350.260506377</v>
      </c>
      <c r="R213">
        <f t="shared" si="961"/>
        <v>-3499992411.7370725</v>
      </c>
      <c r="S213">
        <f t="shared" si="962"/>
        <v>-34999.924117370727</v>
      </c>
      <c r="T213">
        <f t="shared" si="963"/>
        <v>-34.999924117370725</v>
      </c>
    </row>
    <row r="214" spans="1:20" x14ac:dyDescent="0.25">
      <c r="A214" s="5">
        <v>44379</v>
      </c>
      <c r="B214">
        <v>0.11391999999999999</v>
      </c>
      <c r="C214">
        <v>0.11600000000000001</v>
      </c>
      <c r="D214">
        <v>0.1113</v>
      </c>
      <c r="E214">
        <v>0.11429</v>
      </c>
      <c r="F214">
        <v>57903719.200000003</v>
      </c>
      <c r="G214">
        <v>0</v>
      </c>
      <c r="L214" t="s">
        <v>8</v>
      </c>
      <c r="M214" t="s">
        <v>7</v>
      </c>
      <c r="N214" t="s">
        <v>8</v>
      </c>
      <c r="P214">
        <f t="shared" si="959"/>
        <v>0.27234042553191506</v>
      </c>
      <c r="Q214">
        <f t="shared" si="960"/>
        <v>15769523.526808521</v>
      </c>
      <c r="R214">
        <f t="shared" si="961"/>
        <v>-3472734061.4765663</v>
      </c>
      <c r="S214">
        <f t="shared" si="962"/>
        <v>-34727.340614765664</v>
      </c>
      <c r="T214">
        <f t="shared" si="963"/>
        <v>-34.727340614765666</v>
      </c>
    </row>
    <row r="215" spans="1:20" x14ac:dyDescent="0.25">
      <c r="A215" s="5">
        <v>44378</v>
      </c>
      <c r="B215">
        <v>0.11823</v>
      </c>
      <c r="C215">
        <v>0.11928999999999999</v>
      </c>
      <c r="D215">
        <v>0.1115</v>
      </c>
      <c r="E215">
        <v>0.11397</v>
      </c>
      <c r="F215">
        <v>69654258.099999994</v>
      </c>
      <c r="G215">
        <v>0</v>
      </c>
      <c r="L215" t="s">
        <v>8</v>
      </c>
      <c r="M215" t="s">
        <v>7</v>
      </c>
      <c r="N215" t="s">
        <v>8</v>
      </c>
      <c r="P215">
        <f t="shared" si="959"/>
        <v>-0.36585365853658469</v>
      </c>
      <c r="Q215">
        <f t="shared" si="960"/>
        <v>-25483265.158536535</v>
      </c>
      <c r="R215">
        <f t="shared" si="961"/>
        <v>-3488503585.0033751</v>
      </c>
      <c r="S215">
        <f t="shared" si="962"/>
        <v>-34885.035850033753</v>
      </c>
      <c r="T215">
        <f t="shared" si="963"/>
        <v>-34.885035850033752</v>
      </c>
    </row>
    <row r="216" spans="1:20" x14ac:dyDescent="0.25">
      <c r="A216" s="5">
        <v>44377</v>
      </c>
      <c r="B216">
        <v>0.12038</v>
      </c>
      <c r="C216">
        <v>0.125</v>
      </c>
      <c r="D216">
        <v>0.11022</v>
      </c>
      <c r="E216">
        <v>0.11824</v>
      </c>
      <c r="F216">
        <v>84458437.900000006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8.5250338294993039E-2</v>
      </c>
      <c r="Q216">
        <f t="shared" si="960"/>
        <v>7200110.4028416621</v>
      </c>
      <c r="R216">
        <f t="shared" si="961"/>
        <v>-3463020319.8448386</v>
      </c>
      <c r="S216">
        <f t="shared" si="962"/>
        <v>-34630.203198448384</v>
      </c>
      <c r="T216">
        <f t="shared" si="963"/>
        <v>-34.630203198448385</v>
      </c>
    </row>
    <row r="217" spans="1:20" x14ac:dyDescent="0.25">
      <c r="A217" s="5">
        <v>44376</v>
      </c>
      <c r="B217">
        <v>0.11692</v>
      </c>
      <c r="C217">
        <v>0.13299</v>
      </c>
      <c r="D217">
        <v>0.11602</v>
      </c>
      <c r="E217">
        <v>0.12023</v>
      </c>
      <c r="F217">
        <v>158074977.69999999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-0.50383028874484315</v>
      </c>
      <c r="Q217">
        <f t="shared" si="960"/>
        <v>-79642961.657925636</v>
      </c>
      <c r="R217">
        <f t="shared" si="961"/>
        <v>-3470220430.2476802</v>
      </c>
      <c r="S217">
        <f t="shared" si="962"/>
        <v>-34702.204302476799</v>
      </c>
      <c r="T217">
        <f t="shared" si="963"/>
        <v>-34.702204302476801</v>
      </c>
    </row>
    <row r="218" spans="1:20" x14ac:dyDescent="0.25">
      <c r="A218" s="5">
        <v>44375</v>
      </c>
      <c r="B218">
        <v>0.11720999999999999</v>
      </c>
      <c r="C218">
        <v>0.12125</v>
      </c>
      <c r="D218">
        <v>0.11248</v>
      </c>
      <c r="E218">
        <v>0.11692</v>
      </c>
      <c r="F218">
        <v>114359186.5</v>
      </c>
      <c r="G218">
        <v>0</v>
      </c>
      <c r="L218" t="s">
        <v>7</v>
      </c>
      <c r="M218" t="s">
        <v>8</v>
      </c>
      <c r="N218" t="s">
        <v>8</v>
      </c>
      <c r="P218">
        <f t="shared" si="959"/>
        <v>1.2542759407069439E-2</v>
      </c>
      <c r="Q218">
        <f t="shared" si="960"/>
        <v>1434379.7622576836</v>
      </c>
      <c r="R218">
        <f t="shared" si="961"/>
        <v>-3390577468.5897546</v>
      </c>
      <c r="S218">
        <f t="shared" si="962"/>
        <v>-33905.774685897544</v>
      </c>
      <c r="T218">
        <f t="shared" si="963"/>
        <v>-33.905774685897548</v>
      </c>
    </row>
    <row r="219" spans="1:20" x14ac:dyDescent="0.25">
      <c r="A219" s="5">
        <v>44374</v>
      </c>
      <c r="B219">
        <v>0.11635</v>
      </c>
      <c r="C219">
        <v>0.12157999999999999</v>
      </c>
      <c r="D219">
        <v>0.10969</v>
      </c>
      <c r="E219">
        <v>0.11708</v>
      </c>
      <c r="F219">
        <v>132931108.5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0.2430613961312042</v>
      </c>
      <c r="Q219">
        <f t="shared" si="960"/>
        <v>32310420.821278587</v>
      </c>
      <c r="R219">
        <f t="shared" si="961"/>
        <v>-3392011848.3520122</v>
      </c>
      <c r="S219">
        <f t="shared" si="962"/>
        <v>-33920.11848352012</v>
      </c>
      <c r="T219">
        <f t="shared" si="963"/>
        <v>-33.92011848352012</v>
      </c>
    </row>
    <row r="220" spans="1:20" x14ac:dyDescent="0.25">
      <c r="A220" s="5">
        <v>44373</v>
      </c>
      <c r="B220">
        <v>0.10698000000000001</v>
      </c>
      <c r="C220">
        <v>0.1249</v>
      </c>
      <c r="D220">
        <v>0.10285</v>
      </c>
      <c r="E220">
        <v>0.11637</v>
      </c>
      <c r="F220">
        <v>180972764.5</v>
      </c>
      <c r="G220">
        <v>0</v>
      </c>
      <c r="L220" t="s">
        <v>7</v>
      </c>
      <c r="M220" t="s">
        <v>8</v>
      </c>
      <c r="N220" t="s">
        <v>8</v>
      </c>
      <c r="P220">
        <f t="shared" si="959"/>
        <v>0.22630385487528382</v>
      </c>
      <c r="Q220">
        <f t="shared" si="960"/>
        <v>40954834.233786918</v>
      </c>
      <c r="R220">
        <f t="shared" si="961"/>
        <v>-3424322269.1732907</v>
      </c>
      <c r="S220">
        <f t="shared" si="962"/>
        <v>-34243.22269173291</v>
      </c>
      <c r="T220">
        <f t="shared" si="963"/>
        <v>-34.24322269173291</v>
      </c>
    </row>
    <row r="221" spans="1:20" x14ac:dyDescent="0.25">
      <c r="A221" s="5">
        <v>44372</v>
      </c>
      <c r="B221">
        <v>0.12605</v>
      </c>
      <c r="C221">
        <v>0.12917999999999999</v>
      </c>
      <c r="D221">
        <v>0.10594000000000001</v>
      </c>
      <c r="E221">
        <v>0.10698000000000001</v>
      </c>
      <c r="F221">
        <v>124490071.09999999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-0.91049913941480209</v>
      </c>
      <c r="Q221">
        <f t="shared" si="960"/>
        <v>-113348102.60223752</v>
      </c>
      <c r="R221">
        <f t="shared" si="961"/>
        <v>-3465277103.4070778</v>
      </c>
      <c r="S221">
        <f t="shared" si="962"/>
        <v>-34652.771034070778</v>
      </c>
      <c r="T221">
        <f t="shared" si="963"/>
        <v>-34.652771034070781</v>
      </c>
    </row>
    <row r="222" spans="1:20" x14ac:dyDescent="0.25">
      <c r="A222" s="5">
        <v>44371</v>
      </c>
      <c r="B222">
        <v>0.12667999999999999</v>
      </c>
      <c r="C222">
        <v>0.13500000000000001</v>
      </c>
      <c r="D222">
        <v>0.11649</v>
      </c>
      <c r="E222">
        <v>0.12595999999999999</v>
      </c>
      <c r="F222">
        <v>218802425.30000001</v>
      </c>
      <c r="G222">
        <v>0</v>
      </c>
      <c r="L222" t="s">
        <v>7</v>
      </c>
      <c r="M222" t="s">
        <v>7</v>
      </c>
      <c r="N222" t="s">
        <v>8</v>
      </c>
      <c r="P222">
        <f t="shared" si="959"/>
        <v>2.3230686115611656E-2</v>
      </c>
      <c r="Q222">
        <f t="shared" si="960"/>
        <v>5082930.463478867</v>
      </c>
      <c r="R222">
        <f t="shared" si="961"/>
        <v>-3351929000.8048401</v>
      </c>
      <c r="S222">
        <f t="shared" si="962"/>
        <v>-33519.290008048403</v>
      </c>
      <c r="T222">
        <f t="shared" si="963"/>
        <v>-33.519290008048401</v>
      </c>
    </row>
    <row r="223" spans="1:20" x14ac:dyDescent="0.25">
      <c r="A223" s="5">
        <v>44370</v>
      </c>
      <c r="B223">
        <v>9.5909999999999995E-2</v>
      </c>
      <c r="C223">
        <v>0.14357</v>
      </c>
      <c r="D223">
        <v>9.1649999999999995E-2</v>
      </c>
      <c r="E223">
        <v>0.12661</v>
      </c>
      <c r="F223">
        <v>414678478.89999998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0.34668721109399075</v>
      </c>
      <c r="Q223">
        <f t="shared" si="960"/>
        <v>143763725.3505393</v>
      </c>
      <c r="R223">
        <f t="shared" si="961"/>
        <v>-3357011931.2683191</v>
      </c>
      <c r="S223">
        <f t="shared" si="962"/>
        <v>-33570.119312683193</v>
      </c>
      <c r="T223">
        <f t="shared" si="963"/>
        <v>-33.57011931268319</v>
      </c>
    </row>
    <row r="224" spans="1:20" x14ac:dyDescent="0.25">
      <c r="A224" s="5">
        <v>44369</v>
      </c>
      <c r="B224">
        <v>0.10477</v>
      </c>
      <c r="C224">
        <v>0.122</v>
      </c>
      <c r="D224">
        <v>8.1890000000000004E-2</v>
      </c>
      <c r="E224">
        <v>9.6180000000000002E-2</v>
      </c>
      <c r="F224">
        <v>239802319.90000001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-0.28745948641236602</v>
      </c>
      <c r="Q224">
        <f t="shared" si="960"/>
        <v>-68933451.718947902</v>
      </c>
      <c r="R224">
        <f t="shared" si="961"/>
        <v>-3500775656.6188583</v>
      </c>
      <c r="S224">
        <f t="shared" si="962"/>
        <v>-35007.756566188582</v>
      </c>
      <c r="T224">
        <f t="shared" si="963"/>
        <v>-35.007756566188583</v>
      </c>
    </row>
    <row r="225" spans="1:20" x14ac:dyDescent="0.25">
      <c r="A225" s="5">
        <v>44368</v>
      </c>
      <c r="B225">
        <v>0.14399999999999999</v>
      </c>
      <c r="C225">
        <v>0.14502999999999999</v>
      </c>
      <c r="D225">
        <v>0.10265000000000001</v>
      </c>
      <c r="E225">
        <v>0.1046</v>
      </c>
      <c r="F225">
        <v>177972647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-0.9079754601226997</v>
      </c>
      <c r="Q225">
        <f t="shared" si="960"/>
        <v>-161594796.04907981</v>
      </c>
      <c r="R225">
        <f t="shared" si="961"/>
        <v>-3431842204.8999104</v>
      </c>
      <c r="S225">
        <f t="shared" si="962"/>
        <v>-34318.422048999106</v>
      </c>
      <c r="T225">
        <f t="shared" si="963"/>
        <v>-34.318422048999103</v>
      </c>
    </row>
    <row r="226" spans="1:20" x14ac:dyDescent="0.25">
      <c r="A226" s="5">
        <v>44367</v>
      </c>
      <c r="B226">
        <v>0.15368000000000001</v>
      </c>
      <c r="C226">
        <v>0.15545999999999999</v>
      </c>
      <c r="D226">
        <v>0.13389999999999999</v>
      </c>
      <c r="E226">
        <v>0.14401</v>
      </c>
      <c r="F226">
        <v>243960565.69999999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-6.2152133580704101E-2</v>
      </c>
      <c r="Q226">
        <f t="shared" si="960"/>
        <v>-15162669.667810539</v>
      </c>
      <c r="R226">
        <f t="shared" si="961"/>
        <v>-3270247408.8508306</v>
      </c>
      <c r="S226">
        <f t="shared" si="962"/>
        <v>-32702.474088508305</v>
      </c>
      <c r="T226">
        <f t="shared" si="963"/>
        <v>-32.702474088508303</v>
      </c>
    </row>
    <row r="227" spans="1:20" x14ac:dyDescent="0.25">
      <c r="A227" s="5">
        <v>44366</v>
      </c>
      <c r="B227">
        <v>0.12759999999999999</v>
      </c>
      <c r="C227">
        <v>0.17199999999999999</v>
      </c>
      <c r="D227">
        <v>0.12509999999999999</v>
      </c>
      <c r="E227">
        <v>0.15362999999999999</v>
      </c>
      <c r="F227">
        <v>593315949.60000002</v>
      </c>
      <c r="G227">
        <v>0</v>
      </c>
      <c r="L227" t="s">
        <v>8</v>
      </c>
      <c r="M227" t="s">
        <v>8</v>
      </c>
      <c r="N227" t="s">
        <v>7</v>
      </c>
      <c r="P227">
        <f t="shared" si="959"/>
        <v>0.21663113006396595</v>
      </c>
      <c r="Q227">
        <f t="shared" si="960"/>
        <v>128530704.64682306</v>
      </c>
      <c r="R227">
        <f t="shared" si="961"/>
        <v>-3255084739.1830201</v>
      </c>
      <c r="S227">
        <f t="shared" si="962"/>
        <v>-32550.847391830201</v>
      </c>
      <c r="T227">
        <f t="shared" si="963"/>
        <v>-32.550847391830203</v>
      </c>
    </row>
    <row r="228" spans="1:20" x14ac:dyDescent="0.25">
      <c r="A228" s="5">
        <v>44365</v>
      </c>
      <c r="B228">
        <v>0.15423000000000001</v>
      </c>
      <c r="C228">
        <v>0.15440999999999999</v>
      </c>
      <c r="D228">
        <v>0.12446</v>
      </c>
      <c r="E228">
        <v>0.12726999999999999</v>
      </c>
      <c r="F228">
        <v>129820763.09999999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-0.81235392320534261</v>
      </c>
      <c r="Q228">
        <f t="shared" si="960"/>
        <v>-105460406.21779637</v>
      </c>
      <c r="R228">
        <f t="shared" si="961"/>
        <v>-3383615443.829843</v>
      </c>
      <c r="S228">
        <f t="shared" si="962"/>
        <v>-33836.154438298428</v>
      </c>
      <c r="T228">
        <f t="shared" si="963"/>
        <v>-33.836154438298429</v>
      </c>
    </row>
    <row r="229" spans="1:20" x14ac:dyDescent="0.25">
      <c r="A229" s="5">
        <v>44364</v>
      </c>
      <c r="B229">
        <v>0.15096000000000001</v>
      </c>
      <c r="C229">
        <v>0.17219999999999999</v>
      </c>
      <c r="D229">
        <v>0.14699999999999999</v>
      </c>
      <c r="E229">
        <v>0.15423999999999999</v>
      </c>
      <c r="F229">
        <v>166334187</v>
      </c>
      <c r="G229">
        <v>0</v>
      </c>
      <c r="L229" t="s">
        <v>8</v>
      </c>
      <c r="M229" t="s">
        <v>7</v>
      </c>
      <c r="N229" t="s">
        <v>7</v>
      </c>
      <c r="P229">
        <f t="shared" si="959"/>
        <v>-0.42539682539682566</v>
      </c>
      <c r="Q229">
        <f t="shared" si="960"/>
        <v>-70758035.104761943</v>
      </c>
      <c r="R229">
        <f t="shared" si="961"/>
        <v>-3278155037.6120467</v>
      </c>
      <c r="S229">
        <f t="shared" si="962"/>
        <v>-32781.550376120467</v>
      </c>
      <c r="T229">
        <f t="shared" si="963"/>
        <v>-32.781550376120464</v>
      </c>
    </row>
    <row r="230" spans="1:20" x14ac:dyDescent="0.25">
      <c r="A230" s="5">
        <v>44363</v>
      </c>
      <c r="B230">
        <v>0.16692000000000001</v>
      </c>
      <c r="C230">
        <v>0.16958000000000001</v>
      </c>
      <c r="D230">
        <v>0.14674000000000001</v>
      </c>
      <c r="E230">
        <v>0.15103</v>
      </c>
      <c r="F230">
        <v>154225627.09999999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-0.62434325744308328</v>
      </c>
      <c r="Q230">
        <f t="shared" si="960"/>
        <v>-96289730.404816255</v>
      </c>
      <c r="R230">
        <f t="shared" si="961"/>
        <v>-3207397002.5072846</v>
      </c>
      <c r="S230">
        <f t="shared" si="962"/>
        <v>-32073.970025072846</v>
      </c>
      <c r="T230">
        <f t="shared" si="963"/>
        <v>-32.073970025072846</v>
      </c>
    </row>
    <row r="231" spans="1:20" x14ac:dyDescent="0.25">
      <c r="A231" s="5">
        <v>44362</v>
      </c>
      <c r="B231">
        <v>0.17756</v>
      </c>
      <c r="C231">
        <v>0.18081</v>
      </c>
      <c r="D231">
        <v>0.16353000000000001</v>
      </c>
      <c r="E231">
        <v>0.16718</v>
      </c>
      <c r="F231">
        <v>190243410.5</v>
      </c>
      <c r="G231">
        <v>0</v>
      </c>
      <c r="L231" t="s">
        <v>7</v>
      </c>
      <c r="M231" t="s">
        <v>7</v>
      </c>
      <c r="N231" t="s">
        <v>8</v>
      </c>
      <c r="P231">
        <f t="shared" si="959"/>
        <v>-0.57754629629629761</v>
      </c>
      <c r="Q231">
        <f t="shared" si="960"/>
        <v>-109874377.12905118</v>
      </c>
      <c r="R231">
        <f t="shared" si="961"/>
        <v>-3111107272.1024685</v>
      </c>
      <c r="S231">
        <f t="shared" si="962"/>
        <v>-31111.072721024684</v>
      </c>
      <c r="T231">
        <f t="shared" si="963"/>
        <v>-31.111072721024684</v>
      </c>
    </row>
    <row r="232" spans="1:20" x14ac:dyDescent="0.25">
      <c r="A232" s="5">
        <v>44361</v>
      </c>
      <c r="B232">
        <v>0.18446000000000001</v>
      </c>
      <c r="C232">
        <v>0.20300000000000001</v>
      </c>
      <c r="D232">
        <v>0.17346</v>
      </c>
      <c r="E232">
        <v>0.17757999999999999</v>
      </c>
      <c r="F232">
        <v>381407553</v>
      </c>
      <c r="G232">
        <v>0</v>
      </c>
      <c r="L232" t="s">
        <v>7</v>
      </c>
      <c r="M232" t="s">
        <v>7</v>
      </c>
      <c r="N232" t="s">
        <v>8</v>
      </c>
      <c r="P232">
        <f t="shared" si="959"/>
        <v>-0.72105619498984541</v>
      </c>
      <c r="Q232">
        <f t="shared" si="960"/>
        <v>-275016278.90656781</v>
      </c>
      <c r="R232">
        <f t="shared" si="961"/>
        <v>-3001232894.9734173</v>
      </c>
      <c r="S232">
        <f t="shared" si="962"/>
        <v>-30012.328949734172</v>
      </c>
      <c r="T232">
        <f t="shared" si="963"/>
        <v>-30.012328949734172</v>
      </c>
    </row>
    <row r="233" spans="1:20" x14ac:dyDescent="0.25">
      <c r="A233" s="5">
        <v>44360</v>
      </c>
      <c r="B233">
        <v>0.18124000000000001</v>
      </c>
      <c r="C233">
        <v>0.217</v>
      </c>
      <c r="D233">
        <v>0.17166999999999999</v>
      </c>
      <c r="E233">
        <v>0.1842</v>
      </c>
      <c r="F233">
        <v>847613193.29999995</v>
      </c>
      <c r="G233">
        <v>0</v>
      </c>
      <c r="L233" t="s">
        <v>8</v>
      </c>
      <c r="M233" t="s">
        <v>8</v>
      </c>
      <c r="N233" t="s">
        <v>8</v>
      </c>
      <c r="P233">
        <f t="shared" si="959"/>
        <v>-0.44716523273770081</v>
      </c>
      <c r="Q233">
        <f t="shared" si="960"/>
        <v>-379023150.85354024</v>
      </c>
      <c r="R233">
        <f t="shared" si="961"/>
        <v>-2726216616.0668492</v>
      </c>
      <c r="S233">
        <f t="shared" si="962"/>
        <v>-27262.166160668494</v>
      </c>
      <c r="T233">
        <f t="shared" si="963"/>
        <v>-27.262166160668492</v>
      </c>
    </row>
    <row r="234" spans="1:20" x14ac:dyDescent="0.25">
      <c r="A234" s="5">
        <v>44359</v>
      </c>
      <c r="B234">
        <v>0.15489</v>
      </c>
      <c r="C234">
        <v>0.18864</v>
      </c>
      <c r="D234">
        <v>0.14000000000000001</v>
      </c>
      <c r="E234">
        <v>0.18149999999999999</v>
      </c>
      <c r="F234">
        <v>575170006.39999998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0.70641447368421018</v>
      </c>
      <c r="Q234">
        <f t="shared" si="960"/>
        <v>406308417.34999979</v>
      </c>
      <c r="R234">
        <f t="shared" si="961"/>
        <v>-2347193465.2133088</v>
      </c>
      <c r="S234">
        <f t="shared" si="962"/>
        <v>-23471.934652133088</v>
      </c>
      <c r="T234">
        <f t="shared" si="963"/>
        <v>-23.47193465213309</v>
      </c>
    </row>
    <row r="235" spans="1:20" x14ac:dyDescent="0.25">
      <c r="A235" s="5">
        <v>44358</v>
      </c>
      <c r="B235">
        <v>0.19056999999999999</v>
      </c>
      <c r="C235">
        <v>0.21878</v>
      </c>
      <c r="D235">
        <v>0.15328</v>
      </c>
      <c r="E235">
        <v>0.15490000000000001</v>
      </c>
      <c r="F235">
        <v>819798365.79999995</v>
      </c>
      <c r="G235">
        <v>0</v>
      </c>
      <c r="L235" t="s">
        <v>8</v>
      </c>
      <c r="M235" t="s">
        <v>8</v>
      </c>
      <c r="N235" t="s">
        <v>8</v>
      </c>
      <c r="P235">
        <f t="shared" si="959"/>
        <v>-0.95053435114503781</v>
      </c>
      <c r="Q235">
        <f t="shared" si="960"/>
        <v>-779246507.70546532</v>
      </c>
      <c r="R235">
        <f t="shared" si="961"/>
        <v>-2753501882.5633087</v>
      </c>
      <c r="S235">
        <f t="shared" si="962"/>
        <v>-27535.018825633088</v>
      </c>
      <c r="T235">
        <f t="shared" si="963"/>
        <v>-27.535018825633088</v>
      </c>
    </row>
    <row r="236" spans="1:20" x14ac:dyDescent="0.25">
      <c r="A236" s="5">
        <v>44357</v>
      </c>
      <c r="B236">
        <v>0.14019999999999999</v>
      </c>
      <c r="C236">
        <v>0.23905999999999999</v>
      </c>
      <c r="D236">
        <v>0.12809999999999999</v>
      </c>
      <c r="E236">
        <v>0.19056000000000001</v>
      </c>
      <c r="F236">
        <v>2812388311.5999999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0.12581110310021654</v>
      </c>
      <c r="Q236">
        <f t="shared" si="960"/>
        <v>353829675.82855147</v>
      </c>
      <c r="R236">
        <f t="shared" si="961"/>
        <v>-1974255374.8578432</v>
      </c>
      <c r="S236">
        <f t="shared" si="962"/>
        <v>-19742.55374857843</v>
      </c>
      <c r="T236">
        <f t="shared" si="963"/>
        <v>-19.74255374857843</v>
      </c>
    </row>
    <row r="237" spans="1:20" x14ac:dyDescent="0.25">
      <c r="A237" s="5">
        <v>44356</v>
      </c>
      <c r="B237">
        <v>9.0109999999999996E-2</v>
      </c>
      <c r="C237">
        <v>0.25863000000000003</v>
      </c>
      <c r="D237">
        <v>8.5000000000000006E-2</v>
      </c>
      <c r="E237">
        <v>0.14025000000000001</v>
      </c>
      <c r="F237">
        <v>2767732623.1999998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-0.36358924149052585</v>
      </c>
      <c r="Q237">
        <f t="shared" si="960"/>
        <v>-1006317805.1178713</v>
      </c>
      <c r="R237">
        <f t="shared" si="961"/>
        <v>-2328085050.6863947</v>
      </c>
      <c r="S237">
        <f t="shared" si="962"/>
        <v>-23280.850506863946</v>
      </c>
      <c r="T237">
        <f t="shared" si="963"/>
        <v>-23.280850506863946</v>
      </c>
    </row>
    <row r="238" spans="1:20" x14ac:dyDescent="0.25">
      <c r="A238" s="5">
        <v>44355</v>
      </c>
      <c r="B238">
        <v>7.177E-2</v>
      </c>
      <c r="C238">
        <v>0.10774</v>
      </c>
      <c r="D238">
        <v>6.5989999999999993E-2</v>
      </c>
      <c r="E238">
        <v>9.0109999999999996E-2</v>
      </c>
      <c r="F238">
        <v>322289148.5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0.15544910179640706</v>
      </c>
      <c r="Q238">
        <f t="shared" si="960"/>
        <v>50099558.65305385</v>
      </c>
      <c r="R238">
        <f t="shared" si="961"/>
        <v>-1321767245.5685234</v>
      </c>
      <c r="S238">
        <f t="shared" si="962"/>
        <v>-13217.672455685233</v>
      </c>
      <c r="T238">
        <f t="shared" si="963"/>
        <v>-13.217672455685234</v>
      </c>
    </row>
    <row r="239" spans="1:20" x14ac:dyDescent="0.25">
      <c r="A239" s="5">
        <v>44354</v>
      </c>
      <c r="B239">
        <v>7.9490000000000005E-2</v>
      </c>
      <c r="C239">
        <v>8.1640000000000004E-2</v>
      </c>
      <c r="D239">
        <v>7.0029999999999995E-2</v>
      </c>
      <c r="E239">
        <v>7.1779999999999997E-2</v>
      </c>
      <c r="F239">
        <v>18298465.699999999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-0.69853574504737292</v>
      </c>
      <c r="Q239">
        <f t="shared" si="960"/>
        <v>-12782132.370973298</v>
      </c>
      <c r="R239">
        <f t="shared" si="961"/>
        <v>-1371866804.2215772</v>
      </c>
      <c r="S239">
        <f t="shared" si="962"/>
        <v>-13718.668042215771</v>
      </c>
      <c r="T239">
        <f t="shared" si="963"/>
        <v>-13.718668042215771</v>
      </c>
    </row>
    <row r="240" spans="1:20" x14ac:dyDescent="0.25">
      <c r="A240" s="5">
        <v>44353</v>
      </c>
      <c r="B240">
        <v>7.5039999999999996E-2</v>
      </c>
      <c r="C240">
        <v>9.7199999999999995E-2</v>
      </c>
      <c r="D240">
        <v>7.4380000000000002E-2</v>
      </c>
      <c r="E240">
        <v>7.9269999999999993E-2</v>
      </c>
      <c r="F240">
        <v>67174408.599999994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-0.57142857142857206</v>
      </c>
      <c r="Q240">
        <f t="shared" si="960"/>
        <v>-38385376.342857182</v>
      </c>
      <c r="R240">
        <f t="shared" si="961"/>
        <v>-1359084671.8506038</v>
      </c>
      <c r="S240">
        <f t="shared" si="962"/>
        <v>-13590.846718506038</v>
      </c>
      <c r="T240">
        <f t="shared" si="963"/>
        <v>-13.590846718506038</v>
      </c>
    </row>
    <row r="241" spans="1:20" x14ac:dyDescent="0.25">
      <c r="A241" s="5">
        <v>44352</v>
      </c>
      <c r="B241">
        <v>8.0670000000000006E-2</v>
      </c>
      <c r="C241">
        <v>8.7999999999999995E-2</v>
      </c>
      <c r="D241">
        <v>7.2639999999999996E-2</v>
      </c>
      <c r="E241">
        <v>7.51E-2</v>
      </c>
      <c r="F241">
        <v>16301430.800000001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-0.67968749999999944</v>
      </c>
      <c r="Q241">
        <f t="shared" si="960"/>
        <v>-11079878.746874992</v>
      </c>
      <c r="R241">
        <f t="shared" si="961"/>
        <v>-1320699295.5077467</v>
      </c>
      <c r="S241">
        <f t="shared" si="962"/>
        <v>-13206.992955077467</v>
      </c>
      <c r="T241">
        <f t="shared" si="963"/>
        <v>-13.206992955077467</v>
      </c>
    </row>
    <row r="242" spans="1:20" x14ac:dyDescent="0.25">
      <c r="A242" s="5">
        <v>44351</v>
      </c>
      <c r="B242">
        <v>9.1130000000000003E-2</v>
      </c>
      <c r="C242">
        <v>9.2999999999999999E-2</v>
      </c>
      <c r="D242">
        <v>7.5980000000000006E-2</v>
      </c>
      <c r="E242">
        <v>8.0670000000000006E-2</v>
      </c>
      <c r="F242">
        <v>22336591.5</v>
      </c>
      <c r="G242">
        <v>0</v>
      </c>
      <c r="L242" t="s">
        <v>8</v>
      </c>
      <c r="M242" t="s">
        <v>7</v>
      </c>
      <c r="N242" t="s">
        <v>8</v>
      </c>
      <c r="P242">
        <f t="shared" si="959"/>
        <v>-0.44888366627497045</v>
      </c>
      <c r="Q242">
        <f t="shared" si="960"/>
        <v>-10026531.084606342</v>
      </c>
      <c r="R242">
        <f t="shared" si="961"/>
        <v>-1309619416.7608716</v>
      </c>
      <c r="S242">
        <f t="shared" si="962"/>
        <v>-13096.194167608717</v>
      </c>
      <c r="T242">
        <f t="shared" si="963"/>
        <v>-13.096194167608717</v>
      </c>
    </row>
    <row r="243" spans="1:20" x14ac:dyDescent="0.25">
      <c r="A243" s="5">
        <v>44350</v>
      </c>
      <c r="B243">
        <v>8.5620000000000002E-2</v>
      </c>
      <c r="C243">
        <v>9.2249999999999999E-2</v>
      </c>
      <c r="D243">
        <v>8.5000000000000006E-2</v>
      </c>
      <c r="E243">
        <v>9.035E-2</v>
      </c>
      <c r="F243">
        <v>14438371.699999999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0.47586206896551703</v>
      </c>
      <c r="Q243">
        <f t="shared" si="960"/>
        <v>6870673.4296551691</v>
      </c>
      <c r="R243">
        <f t="shared" si="961"/>
        <v>-1299592885.6762652</v>
      </c>
      <c r="S243">
        <f t="shared" si="962"/>
        <v>-12995.928856762652</v>
      </c>
      <c r="T243">
        <f t="shared" si="963"/>
        <v>-12.995928856762651</v>
      </c>
    </row>
    <row r="244" spans="1:20" x14ac:dyDescent="0.25">
      <c r="A244" s="5">
        <v>44349</v>
      </c>
      <c r="B244">
        <v>8.3400000000000002E-2</v>
      </c>
      <c r="C244">
        <v>8.9499999999999996E-2</v>
      </c>
      <c r="D244">
        <v>8.1369999999999998E-2</v>
      </c>
      <c r="E244">
        <v>8.5949999999999999E-2</v>
      </c>
      <c r="F244">
        <v>11149037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0.12669126691266955</v>
      </c>
      <c r="Q244">
        <f t="shared" si="960"/>
        <v>1412485.6223862285</v>
      </c>
      <c r="R244">
        <f t="shared" si="961"/>
        <v>-1306463559.1059203</v>
      </c>
      <c r="S244">
        <f t="shared" si="962"/>
        <v>-13064.635591059203</v>
      </c>
      <c r="T244">
        <f t="shared" si="963"/>
        <v>-13.064635591059202</v>
      </c>
    </row>
    <row r="245" spans="1:20" x14ac:dyDescent="0.25">
      <c r="A245" s="5">
        <v>44348</v>
      </c>
      <c r="B245">
        <v>8.5919999999999996E-2</v>
      </c>
      <c r="C245">
        <v>8.8489999999999999E-2</v>
      </c>
      <c r="D245">
        <v>8.1220000000000001E-2</v>
      </c>
      <c r="E245">
        <v>8.3610000000000004E-2</v>
      </c>
      <c r="F245">
        <v>10645308.800000001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-0.34250343878954509</v>
      </c>
      <c r="Q245">
        <f t="shared" si="960"/>
        <v>-3646054.8709766059</v>
      </c>
      <c r="R245">
        <f t="shared" si="961"/>
        <v>-1307876044.7283065</v>
      </c>
      <c r="S245">
        <f t="shared" si="962"/>
        <v>-13078.760447283064</v>
      </c>
      <c r="T245">
        <f t="shared" si="963"/>
        <v>-13.078760447283065</v>
      </c>
    </row>
    <row r="246" spans="1:20" x14ac:dyDescent="0.25">
      <c r="A246" s="5">
        <v>44347</v>
      </c>
      <c r="B246">
        <v>8.2119999999999999E-2</v>
      </c>
      <c r="C246">
        <v>8.8929999999999995E-2</v>
      </c>
      <c r="D246">
        <v>7.8170000000000003E-2</v>
      </c>
      <c r="E246">
        <v>8.5849999999999996E-2</v>
      </c>
      <c r="F246">
        <v>20709551.5</v>
      </c>
      <c r="G246">
        <v>0</v>
      </c>
      <c r="L246" t="s">
        <v>7</v>
      </c>
      <c r="M246" t="s">
        <v>8</v>
      </c>
      <c r="N246" t="s">
        <v>8</v>
      </c>
      <c r="P246">
        <f t="shared" si="959"/>
        <v>0.42750929368029705</v>
      </c>
      <c r="Q246">
        <f t="shared" si="960"/>
        <v>8853525.7342007365</v>
      </c>
      <c r="R246">
        <f t="shared" si="961"/>
        <v>-1304229989.8573298</v>
      </c>
      <c r="S246">
        <f t="shared" si="962"/>
        <v>-13042.299898573299</v>
      </c>
      <c r="T246">
        <f t="shared" si="963"/>
        <v>-13.042299898573299</v>
      </c>
    </row>
    <row r="247" spans="1:20" x14ac:dyDescent="0.25">
      <c r="A247" s="5">
        <v>44346</v>
      </c>
      <c r="B247">
        <v>7.4560000000000001E-2</v>
      </c>
      <c r="C247">
        <v>9.0480000000000005E-2</v>
      </c>
      <c r="D247">
        <v>7.1040000000000006E-2</v>
      </c>
      <c r="E247">
        <v>8.2119999999999999E-2</v>
      </c>
      <c r="F247">
        <v>48414300</v>
      </c>
      <c r="G247">
        <v>0</v>
      </c>
      <c r="L247" t="s">
        <v>8</v>
      </c>
      <c r="M247" t="s">
        <v>8</v>
      </c>
      <c r="N247" t="s">
        <v>8</v>
      </c>
      <c r="P247">
        <f t="shared" si="959"/>
        <v>0.13991769547325034</v>
      </c>
      <c r="Q247">
        <f t="shared" si="960"/>
        <v>6774017.283950584</v>
      </c>
      <c r="R247">
        <f t="shared" si="961"/>
        <v>-1313083515.5915306</v>
      </c>
      <c r="S247">
        <f t="shared" si="962"/>
        <v>-13130.835155915305</v>
      </c>
      <c r="T247">
        <f t="shared" si="963"/>
        <v>-13.130835155915305</v>
      </c>
    </row>
    <row r="248" spans="1:20" x14ac:dyDescent="0.25">
      <c r="A248" s="5">
        <v>44345</v>
      </c>
      <c r="B248">
        <v>7.2929999999999995E-2</v>
      </c>
      <c r="C248">
        <v>8.0329999999999999E-2</v>
      </c>
      <c r="D248">
        <v>7.0300000000000001E-2</v>
      </c>
      <c r="E248">
        <v>7.4319999999999997E-2</v>
      </c>
      <c r="F248">
        <v>19831892.399999999</v>
      </c>
      <c r="G248">
        <v>0</v>
      </c>
      <c r="L248" t="s">
        <v>8</v>
      </c>
      <c r="M248" t="s">
        <v>7</v>
      </c>
      <c r="N248" t="s">
        <v>8</v>
      </c>
      <c r="P248">
        <f t="shared" si="959"/>
        <v>-0.1984047856430714</v>
      </c>
      <c r="Q248">
        <f t="shared" si="960"/>
        <v>-3934742.3605184564</v>
      </c>
      <c r="R248">
        <f t="shared" si="961"/>
        <v>-1319857532.8754811</v>
      </c>
      <c r="S248">
        <f t="shared" si="962"/>
        <v>-13198.57532875481</v>
      </c>
      <c r="T248">
        <f t="shared" si="963"/>
        <v>-13.19857532875481</v>
      </c>
    </row>
    <row r="249" spans="1:20" x14ac:dyDescent="0.25">
      <c r="A249" s="5">
        <v>44344</v>
      </c>
      <c r="B249">
        <v>8.5000000000000006E-2</v>
      </c>
      <c r="C249">
        <v>8.541E-2</v>
      </c>
      <c r="D249">
        <v>7.0029999999999995E-2</v>
      </c>
      <c r="E249">
        <v>7.2830000000000006E-2</v>
      </c>
      <c r="F249">
        <v>13234962.6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-0.6358907672301678</v>
      </c>
      <c r="Q249">
        <f t="shared" si="960"/>
        <v>-8415990.5219765753</v>
      </c>
      <c r="R249">
        <f t="shared" si="961"/>
        <v>-1315922790.5149627</v>
      </c>
      <c r="S249">
        <f t="shared" si="962"/>
        <v>-13159.227905149626</v>
      </c>
      <c r="T249">
        <f t="shared" si="963"/>
        <v>-13.159227905149626</v>
      </c>
    </row>
    <row r="250" spans="1:20" x14ac:dyDescent="0.25">
      <c r="A250" s="5">
        <v>44343</v>
      </c>
      <c r="B250">
        <v>9.6129999999999993E-2</v>
      </c>
      <c r="C250">
        <v>9.6839999999999996E-2</v>
      </c>
      <c r="D250">
        <v>8.1600000000000006E-2</v>
      </c>
      <c r="E250">
        <v>8.5300000000000001E-2</v>
      </c>
      <c r="F250">
        <v>20887483.800000001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-0.51443569553805812</v>
      </c>
      <c r="Q250">
        <f t="shared" si="960"/>
        <v>-10745267.256692922</v>
      </c>
      <c r="R250">
        <f t="shared" si="961"/>
        <v>-1307506799.9929862</v>
      </c>
      <c r="S250">
        <f t="shared" si="962"/>
        <v>-13075.067999929863</v>
      </c>
      <c r="T250">
        <f t="shared" si="963"/>
        <v>-13.075067999929862</v>
      </c>
    </row>
    <row r="251" spans="1:20" x14ac:dyDescent="0.25">
      <c r="A251" s="5">
        <v>44342</v>
      </c>
      <c r="B251">
        <v>7.7240000000000003E-2</v>
      </c>
      <c r="C251">
        <v>9.7180000000000002E-2</v>
      </c>
      <c r="D251">
        <v>7.5999999999999998E-2</v>
      </c>
      <c r="E251">
        <v>9.5420000000000005E-2</v>
      </c>
      <c r="F251">
        <v>43121139.799999997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0.8338054768649672</v>
      </c>
      <c r="Q251">
        <f t="shared" si="960"/>
        <v>35954642.533899911</v>
      </c>
      <c r="R251">
        <f t="shared" si="961"/>
        <v>-1296761532.7362933</v>
      </c>
      <c r="S251">
        <f t="shared" si="962"/>
        <v>-12967.615327362933</v>
      </c>
      <c r="T251">
        <f t="shared" si="963"/>
        <v>-12.967615327362934</v>
      </c>
    </row>
    <row r="252" spans="1:20" x14ac:dyDescent="0.25">
      <c r="A252" s="5">
        <v>44341</v>
      </c>
      <c r="B252">
        <v>7.8670000000000004E-2</v>
      </c>
      <c r="C252">
        <v>8.0799999999999997E-2</v>
      </c>
      <c r="D252">
        <v>6.7610000000000003E-2</v>
      </c>
      <c r="E252">
        <v>7.7289999999999998E-2</v>
      </c>
      <c r="F252">
        <v>12632564.800000001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0.46777862016679289</v>
      </c>
      <c r="Q252">
        <f t="shared" si="960"/>
        <v>5909243.7313115988</v>
      </c>
      <c r="R252">
        <f t="shared" si="961"/>
        <v>-1332716175.2701933</v>
      </c>
      <c r="S252">
        <f t="shared" si="962"/>
        <v>-13327.161752701933</v>
      </c>
      <c r="T252">
        <f t="shared" si="963"/>
        <v>-13.327161752701933</v>
      </c>
    </row>
    <row r="253" spans="1:20" x14ac:dyDescent="0.25">
      <c r="A253" s="5">
        <v>44340</v>
      </c>
      <c r="B253">
        <v>6.1449999999999998E-2</v>
      </c>
      <c r="C253">
        <v>8.0250000000000002E-2</v>
      </c>
      <c r="D253">
        <v>5.9459999999999999E-2</v>
      </c>
      <c r="E253">
        <v>7.8200000000000006E-2</v>
      </c>
      <c r="F253">
        <v>23210425.399999999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0.80278980278980316</v>
      </c>
      <c r="Q253">
        <f t="shared" si="960"/>
        <v>18633092.829533435</v>
      </c>
      <c r="R253">
        <f t="shared" si="961"/>
        <v>-1338625419.0015049</v>
      </c>
      <c r="S253">
        <f t="shared" si="962"/>
        <v>-13386.254190015048</v>
      </c>
      <c r="T253">
        <f t="shared" si="963"/>
        <v>-13.386254190015048</v>
      </c>
    </row>
    <row r="254" spans="1:20" x14ac:dyDescent="0.25">
      <c r="A254" s="5">
        <v>44339</v>
      </c>
      <c r="B254">
        <v>7.4359999999999996E-2</v>
      </c>
      <c r="C254">
        <v>7.757E-2</v>
      </c>
      <c r="D254">
        <v>4.8590000000000001E-2</v>
      </c>
      <c r="E254">
        <v>6.1359999999999998E-2</v>
      </c>
      <c r="F254">
        <v>30368623.100000001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-0.11870255348516237</v>
      </c>
      <c r="Q254">
        <f t="shared" si="960"/>
        <v>-3604833.1077984879</v>
      </c>
      <c r="R254">
        <f t="shared" si="961"/>
        <v>-1357258511.8310382</v>
      </c>
      <c r="S254">
        <f t="shared" si="962"/>
        <v>-13572.585118310382</v>
      </c>
      <c r="T254">
        <f t="shared" si="963"/>
        <v>-13.572585118310382</v>
      </c>
    </row>
    <row r="255" spans="1:20" x14ac:dyDescent="0.25">
      <c r="A255" s="5">
        <v>44338</v>
      </c>
      <c r="B255">
        <v>7.9079999999999998E-2</v>
      </c>
      <c r="C255">
        <v>8.9340000000000003E-2</v>
      </c>
      <c r="D255">
        <v>6.9169999999999995E-2</v>
      </c>
      <c r="E255">
        <v>7.3999999999999996E-2</v>
      </c>
      <c r="F255">
        <v>19529396.199999999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-0.52107089737233525</v>
      </c>
      <c r="Q255">
        <f t="shared" si="960"/>
        <v>-10176200.003073873</v>
      </c>
      <c r="R255">
        <f t="shared" si="961"/>
        <v>-1353653678.7232397</v>
      </c>
      <c r="S255">
        <f t="shared" si="962"/>
        <v>-13536.536787232397</v>
      </c>
      <c r="T255">
        <f t="shared" si="963"/>
        <v>-13.536536787232397</v>
      </c>
    </row>
    <row r="256" spans="1:20" x14ac:dyDescent="0.25">
      <c r="A256" s="5">
        <v>44337</v>
      </c>
      <c r="B256">
        <v>9.5949999999999994E-2</v>
      </c>
      <c r="C256">
        <v>0.10116</v>
      </c>
      <c r="D256">
        <v>7.0000000000000007E-2</v>
      </c>
      <c r="E256">
        <v>7.9530000000000003E-2</v>
      </c>
      <c r="F256">
        <v>35087521.200000003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-0.38831835686777927</v>
      </c>
      <c r="Q256">
        <f t="shared" si="960"/>
        <v>-13625128.578947373</v>
      </c>
      <c r="R256">
        <f t="shared" si="961"/>
        <v>-1343477478.7201657</v>
      </c>
      <c r="S256">
        <f t="shared" si="962"/>
        <v>-13434.774787201657</v>
      </c>
      <c r="T256">
        <f t="shared" si="963"/>
        <v>-13.434774787201658</v>
      </c>
    </row>
    <row r="257" spans="1:20" x14ac:dyDescent="0.25">
      <c r="A257" s="5">
        <v>44336</v>
      </c>
      <c r="B257">
        <v>8.4360000000000004E-2</v>
      </c>
      <c r="C257">
        <v>0.10037</v>
      </c>
      <c r="D257">
        <v>7.6560000000000003E-2</v>
      </c>
      <c r="E257">
        <v>9.6000000000000002E-2</v>
      </c>
      <c r="F257">
        <v>25943697.100000001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0.63292734145317098</v>
      </c>
      <c r="Q257">
        <f t="shared" si="960"/>
        <v>16420475.232969342</v>
      </c>
      <c r="R257">
        <f t="shared" si="961"/>
        <v>-1329852350.1412184</v>
      </c>
      <c r="S257">
        <f t="shared" si="962"/>
        <v>-13298.523501412184</v>
      </c>
      <c r="T257">
        <f t="shared" si="963"/>
        <v>-13.298523501412184</v>
      </c>
    </row>
    <row r="258" spans="1:20" x14ac:dyDescent="0.25">
      <c r="A258" s="5">
        <v>44335</v>
      </c>
      <c r="B258">
        <v>0.12717000000000001</v>
      </c>
      <c r="C258">
        <v>0.12966</v>
      </c>
      <c r="D258">
        <v>6.9000000000000006E-2</v>
      </c>
      <c r="E258">
        <v>8.4360000000000004E-2</v>
      </c>
      <c r="F258">
        <v>54963723.100000001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-0.4935707220573689</v>
      </c>
      <c r="Q258">
        <f t="shared" si="960"/>
        <v>-27128484.497428287</v>
      </c>
      <c r="R258">
        <f t="shared" si="961"/>
        <v>-1346272825.3741877</v>
      </c>
      <c r="S258">
        <f t="shared" si="962"/>
        <v>-13462.728253741878</v>
      </c>
      <c r="T258">
        <f t="shared" si="963"/>
        <v>-13.462728253741878</v>
      </c>
    </row>
    <row r="259" spans="1:20" x14ac:dyDescent="0.25">
      <c r="A259" s="5">
        <v>44334</v>
      </c>
      <c r="B259">
        <v>0.12931000000000001</v>
      </c>
      <c r="C259">
        <v>0.13891000000000001</v>
      </c>
      <c r="D259">
        <v>0.12529999999999999</v>
      </c>
      <c r="E259">
        <v>0.12706999999999999</v>
      </c>
      <c r="F259">
        <v>31107811.600000001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-0.73989713445995708</v>
      </c>
      <c r="Q259">
        <f t="shared" si="960"/>
        <v>-23016580.662160214</v>
      </c>
      <c r="R259">
        <f t="shared" si="961"/>
        <v>-1319144340.8767595</v>
      </c>
      <c r="S259">
        <f t="shared" si="962"/>
        <v>-13191.443408767595</v>
      </c>
      <c r="T259">
        <f t="shared" si="963"/>
        <v>-13.191443408767595</v>
      </c>
    </row>
    <row r="260" spans="1:20" x14ac:dyDescent="0.25">
      <c r="A260" s="5">
        <v>44333</v>
      </c>
      <c r="B260">
        <v>0.14408000000000001</v>
      </c>
      <c r="C260">
        <v>0.15062</v>
      </c>
      <c r="D260">
        <v>0.12522</v>
      </c>
      <c r="E260">
        <v>0.12931000000000001</v>
      </c>
      <c r="F260">
        <v>53739514.899999999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-0.67795275590551107</v>
      </c>
      <c r="Q260">
        <f t="shared" si="960"/>
        <v>-36432852.227480277</v>
      </c>
      <c r="R260">
        <f t="shared" si="961"/>
        <v>-1296127760.2145994</v>
      </c>
      <c r="S260">
        <f t="shared" si="962"/>
        <v>-12961.277602145994</v>
      </c>
      <c r="T260">
        <f t="shared" si="963"/>
        <v>-12.961277602145994</v>
      </c>
    </row>
    <row r="261" spans="1:20" x14ac:dyDescent="0.25">
      <c r="A261" s="5">
        <v>44332</v>
      </c>
      <c r="B261">
        <v>0.15107000000000001</v>
      </c>
      <c r="C261">
        <v>0.19678999999999999</v>
      </c>
      <c r="D261">
        <v>0.13775000000000001</v>
      </c>
      <c r="E261">
        <v>0.14409</v>
      </c>
      <c r="F261">
        <v>267665707.40000001</v>
      </c>
      <c r="G261">
        <v>0</v>
      </c>
      <c r="L261" t="s">
        <v>8</v>
      </c>
      <c r="M261" t="s">
        <v>8</v>
      </c>
      <c r="N261" t="s">
        <v>8</v>
      </c>
      <c r="P261">
        <f t="shared" si="959"/>
        <v>-0.78523035230352345</v>
      </c>
      <c r="Q261">
        <f t="shared" si="960"/>
        <v>-210179237.72127384</v>
      </c>
      <c r="R261">
        <f t="shared" si="961"/>
        <v>-1259694907.9871192</v>
      </c>
      <c r="S261">
        <f t="shared" si="962"/>
        <v>-12596.949079871192</v>
      </c>
      <c r="T261">
        <f t="shared" si="963"/>
        <v>-12.596949079871193</v>
      </c>
    </row>
    <row r="262" spans="1:20" x14ac:dyDescent="0.25">
      <c r="A262" s="5">
        <v>44331</v>
      </c>
      <c r="B262">
        <v>0.13395000000000001</v>
      </c>
      <c r="C262">
        <v>0.17</v>
      </c>
      <c r="D262">
        <v>0.123</v>
      </c>
      <c r="E262">
        <v>0.15104999999999999</v>
      </c>
      <c r="F262">
        <v>105407829.59999999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0.19361702127659502</v>
      </c>
      <c r="Q262">
        <f t="shared" ref="Q262:Q325" si="965">F262*P262</f>
        <v>20408749.986382902</v>
      </c>
      <c r="R262">
        <f t="shared" ref="R262:R325" si="966">R263+Q262</f>
        <v>-1049515670.2658453</v>
      </c>
      <c r="S262">
        <f t="shared" ref="S262:S325" si="967">R262/100000</f>
        <v>-10495.156702658453</v>
      </c>
      <c r="T262">
        <f t="shared" ref="T262:T325" si="968">S262/1000</f>
        <v>-10.495156702658452</v>
      </c>
    </row>
    <row r="263" spans="1:20" x14ac:dyDescent="0.25">
      <c r="A263" s="5">
        <v>44330</v>
      </c>
      <c r="B263">
        <v>0.12837000000000001</v>
      </c>
      <c r="C263">
        <v>0.15065000000000001</v>
      </c>
      <c r="D263">
        <v>0.125</v>
      </c>
      <c r="E263">
        <v>0.13396</v>
      </c>
      <c r="F263">
        <v>24367725.300000001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-0.3013645224171545</v>
      </c>
      <c r="Q263">
        <f t="shared" si="965"/>
        <v>-7343567.8974269135</v>
      </c>
      <c r="R263">
        <f t="shared" si="966"/>
        <v>-1069924420.2522283</v>
      </c>
      <c r="S263">
        <f t="shared" si="967"/>
        <v>-10699.244202522283</v>
      </c>
      <c r="T263">
        <f t="shared" si="968"/>
        <v>-10.699244202522282</v>
      </c>
    </row>
    <row r="264" spans="1:20" x14ac:dyDescent="0.25">
      <c r="A264" s="5">
        <v>44329</v>
      </c>
      <c r="B264">
        <v>0.12950999999999999</v>
      </c>
      <c r="C264">
        <v>0.14243</v>
      </c>
      <c r="D264">
        <v>0.11977</v>
      </c>
      <c r="E264">
        <v>0.12837000000000001</v>
      </c>
      <c r="F264">
        <v>20824533.800000001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-0.24095322153574489</v>
      </c>
      <c r="Q264">
        <f t="shared" si="965"/>
        <v>-5017738.5060900077</v>
      </c>
      <c r="R264">
        <f t="shared" si="966"/>
        <v>-1062580852.3548013</v>
      </c>
      <c r="S264">
        <f t="shared" si="967"/>
        <v>-10625.808523548012</v>
      </c>
      <c r="T264">
        <f t="shared" si="968"/>
        <v>-10.625808523548011</v>
      </c>
    </row>
    <row r="265" spans="1:20" x14ac:dyDescent="0.25">
      <c r="A265" s="5">
        <v>44328</v>
      </c>
      <c r="B265">
        <v>0.1532</v>
      </c>
      <c r="C265">
        <v>0.16757</v>
      </c>
      <c r="D265">
        <v>0.12719</v>
      </c>
      <c r="E265">
        <v>0.12950999999999999</v>
      </c>
      <c r="F265">
        <v>23467555.600000001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-0.88509162951956466</v>
      </c>
      <c r="Q265">
        <f t="shared" si="965"/>
        <v>-20770937.026844986</v>
      </c>
      <c r="R265">
        <f t="shared" si="966"/>
        <v>-1057563113.8487113</v>
      </c>
      <c r="S265">
        <f t="shared" si="967"/>
        <v>-10575.631138487113</v>
      </c>
      <c r="T265">
        <f t="shared" si="968"/>
        <v>-10.575631138487113</v>
      </c>
    </row>
    <row r="266" spans="1:20" x14ac:dyDescent="0.25">
      <c r="A266" s="5">
        <v>44327</v>
      </c>
      <c r="B266">
        <v>0.14452999999999999</v>
      </c>
      <c r="C266">
        <v>0.15587999999999999</v>
      </c>
      <c r="D266">
        <v>0.13858000000000001</v>
      </c>
      <c r="E266">
        <v>0.15332999999999999</v>
      </c>
      <c r="F266">
        <v>14236134.5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0.70520231213872842</v>
      </c>
      <c r="Q266">
        <f t="shared" si="965"/>
        <v>10039354.96531792</v>
      </c>
      <c r="R266">
        <f t="shared" si="966"/>
        <v>-1036792176.8218663</v>
      </c>
      <c r="S266">
        <f t="shared" si="967"/>
        <v>-10367.921768218663</v>
      </c>
      <c r="T266">
        <f t="shared" si="968"/>
        <v>-10.367921768218663</v>
      </c>
    </row>
    <row r="267" spans="1:20" x14ac:dyDescent="0.25">
      <c r="A267" s="5">
        <v>44326</v>
      </c>
      <c r="B267">
        <v>0.16450000000000001</v>
      </c>
      <c r="C267">
        <v>0.17179</v>
      </c>
      <c r="D267">
        <v>0.13779</v>
      </c>
      <c r="E267">
        <v>0.14446000000000001</v>
      </c>
      <c r="F267">
        <v>22458560.100000001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-0.60764705882352887</v>
      </c>
      <c r="Q267">
        <f t="shared" si="965"/>
        <v>-13646877.99017646</v>
      </c>
      <c r="R267">
        <f t="shared" si="966"/>
        <v>-1046831531.7871842</v>
      </c>
      <c r="S267">
        <f t="shared" si="967"/>
        <v>-10468.315317871842</v>
      </c>
      <c r="T267">
        <f t="shared" si="968"/>
        <v>-10.468315317871841</v>
      </c>
    </row>
    <row r="268" spans="1:20" x14ac:dyDescent="0.25">
      <c r="A268" s="5">
        <v>44325</v>
      </c>
      <c r="B268">
        <v>0.17280000000000001</v>
      </c>
      <c r="C268">
        <v>0.17280000000000001</v>
      </c>
      <c r="D268">
        <v>0.16056000000000001</v>
      </c>
      <c r="E268">
        <v>0.16456000000000001</v>
      </c>
      <c r="F268">
        <v>15713263.9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-0.34640522875816943</v>
      </c>
      <c r="Q268">
        <f t="shared" si="965"/>
        <v>-5443156.7758169854</v>
      </c>
      <c r="R268">
        <f t="shared" si="966"/>
        <v>-1033184653.7970078</v>
      </c>
      <c r="S268">
        <f t="shared" si="967"/>
        <v>-10331.846537970077</v>
      </c>
      <c r="T268">
        <f t="shared" si="968"/>
        <v>-10.331846537970078</v>
      </c>
    </row>
    <row r="269" spans="1:20" x14ac:dyDescent="0.25">
      <c r="A269" s="5">
        <v>44324</v>
      </c>
      <c r="B269">
        <v>0.17787</v>
      </c>
      <c r="C269">
        <v>0.17874999999999999</v>
      </c>
      <c r="D269">
        <v>0.16997999999999999</v>
      </c>
      <c r="E269">
        <v>0.17285</v>
      </c>
      <c r="F269">
        <v>14774442.699999999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-0.34549600912200423</v>
      </c>
      <c r="Q269">
        <f t="shared" si="965"/>
        <v>-5104510.989851729</v>
      </c>
      <c r="R269">
        <f t="shared" si="966"/>
        <v>-1027741497.0211908</v>
      </c>
      <c r="S269">
        <f t="shared" si="967"/>
        <v>-10277.414970211908</v>
      </c>
      <c r="T269">
        <f t="shared" si="968"/>
        <v>-10.277414970211909</v>
      </c>
    </row>
    <row r="270" spans="1:20" x14ac:dyDescent="0.25">
      <c r="A270" s="5">
        <v>44323</v>
      </c>
      <c r="B270">
        <v>0.17851</v>
      </c>
      <c r="C270">
        <v>0.18795000000000001</v>
      </c>
      <c r="D270">
        <v>0.17011000000000001</v>
      </c>
      <c r="E270">
        <v>0.17809</v>
      </c>
      <c r="F270">
        <v>24892280.300000001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-0.10538116591928369</v>
      </c>
      <c r="Q270">
        <f t="shared" si="965"/>
        <v>-2623177.5204036171</v>
      </c>
      <c r="R270">
        <f t="shared" si="966"/>
        <v>-1022636986.031339</v>
      </c>
      <c r="S270">
        <f t="shared" si="967"/>
        <v>-10226.369860313391</v>
      </c>
      <c r="T270">
        <f t="shared" si="968"/>
        <v>-10.22636986031339</v>
      </c>
    </row>
    <row r="271" spans="1:20" x14ac:dyDescent="0.25">
      <c r="A271" s="5">
        <v>44322</v>
      </c>
      <c r="B271">
        <v>0.19697999999999999</v>
      </c>
      <c r="C271">
        <v>0.19774</v>
      </c>
      <c r="D271">
        <v>0.17599999999999999</v>
      </c>
      <c r="E271">
        <v>0.17799999999999999</v>
      </c>
      <c r="F271">
        <v>26729622.5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-0.81600735970561167</v>
      </c>
      <c r="Q271">
        <f t="shared" si="965"/>
        <v>-21811568.682152711</v>
      </c>
      <c r="R271">
        <f t="shared" si="966"/>
        <v>-1020013808.5109354</v>
      </c>
      <c r="S271">
        <f t="shared" si="967"/>
        <v>-10200.138085109355</v>
      </c>
      <c r="T271">
        <f t="shared" si="968"/>
        <v>-10.200138085109355</v>
      </c>
    </row>
    <row r="272" spans="1:20" x14ac:dyDescent="0.25">
      <c r="A272" s="5">
        <v>44321</v>
      </c>
      <c r="B272">
        <v>0.17460000000000001</v>
      </c>
      <c r="C272">
        <v>0.20849999999999999</v>
      </c>
      <c r="D272">
        <v>0.1726</v>
      </c>
      <c r="E272">
        <v>0.19697999999999999</v>
      </c>
      <c r="F272">
        <v>70050313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0.35821727019498573</v>
      </c>
      <c r="Q272">
        <f t="shared" si="965"/>
        <v>25093231.899164323</v>
      </c>
      <c r="R272">
        <f t="shared" si="966"/>
        <v>-998202239.82878268</v>
      </c>
      <c r="S272">
        <f t="shared" si="967"/>
        <v>-9982.0223982878269</v>
      </c>
      <c r="T272">
        <f t="shared" si="968"/>
        <v>-9.9820223982878264</v>
      </c>
    </row>
    <row r="273" spans="1:20" x14ac:dyDescent="0.25">
      <c r="A273" s="5">
        <v>44320</v>
      </c>
      <c r="B273">
        <v>0.18323999999999999</v>
      </c>
      <c r="C273">
        <v>0.2</v>
      </c>
      <c r="D273">
        <v>0.16544</v>
      </c>
      <c r="E273">
        <v>0.17469000000000001</v>
      </c>
      <c r="F273">
        <v>94971674.799999997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-0.46469907407407374</v>
      </c>
      <c r="Q273">
        <f t="shared" si="965"/>
        <v>-44133249.342824042</v>
      </c>
      <c r="R273">
        <f t="shared" si="966"/>
        <v>-1023295471.727947</v>
      </c>
      <c r="S273">
        <f t="shared" si="967"/>
        <v>-10232.95471727947</v>
      </c>
      <c r="T273">
        <f t="shared" si="968"/>
        <v>-10.232954717279471</v>
      </c>
    </row>
    <row r="274" spans="1:20" x14ac:dyDescent="0.25">
      <c r="A274" s="5">
        <v>44319</v>
      </c>
      <c r="B274">
        <v>0.16546</v>
      </c>
      <c r="C274">
        <v>0.19600000000000001</v>
      </c>
      <c r="D274">
        <v>0.16492000000000001</v>
      </c>
      <c r="E274">
        <v>0.18348999999999999</v>
      </c>
      <c r="F274">
        <v>61178673.899999999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0.19498069498069354</v>
      </c>
      <c r="Q274">
        <f t="shared" si="965"/>
        <v>11928660.355019215</v>
      </c>
      <c r="R274">
        <f t="shared" si="966"/>
        <v>-979162222.38512301</v>
      </c>
      <c r="S274">
        <f t="shared" si="967"/>
        <v>-9791.622223851231</v>
      </c>
      <c r="T274">
        <f t="shared" si="968"/>
        <v>-9.7916222238512312</v>
      </c>
    </row>
    <row r="275" spans="1:20" x14ac:dyDescent="0.25">
      <c r="A275" s="5">
        <v>44318</v>
      </c>
      <c r="B275">
        <v>0.17091999999999999</v>
      </c>
      <c r="C275">
        <v>0.17596999999999999</v>
      </c>
      <c r="D275">
        <v>0.15975</v>
      </c>
      <c r="E275">
        <v>0.16550999999999999</v>
      </c>
      <c r="F275">
        <v>22433090.800000001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-0.28976572133169015</v>
      </c>
      <c r="Q275">
        <f t="shared" si="965"/>
        <v>-6500340.7373613026</v>
      </c>
      <c r="R275">
        <f t="shared" si="966"/>
        <v>-991090882.74014223</v>
      </c>
      <c r="S275">
        <f t="shared" si="967"/>
        <v>-9910.908827401423</v>
      </c>
      <c r="T275">
        <f t="shared" si="968"/>
        <v>-9.910908827401423</v>
      </c>
    </row>
    <row r="276" spans="1:20" x14ac:dyDescent="0.25">
      <c r="A276" s="5">
        <v>44317</v>
      </c>
      <c r="B276">
        <v>0.16949</v>
      </c>
      <c r="C276">
        <v>0.184</v>
      </c>
      <c r="D276">
        <v>0.16425999999999999</v>
      </c>
      <c r="E276">
        <v>0.17091999999999999</v>
      </c>
      <c r="F276">
        <v>34080169.899999999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-0.32522796352583622</v>
      </c>
      <c r="Q276">
        <f t="shared" si="965"/>
        <v>-11083824.253191501</v>
      </c>
      <c r="R276">
        <f t="shared" si="966"/>
        <v>-984590542.00278091</v>
      </c>
      <c r="S276">
        <f t="shared" si="967"/>
        <v>-9845.9054200278097</v>
      </c>
      <c r="T276">
        <f t="shared" si="968"/>
        <v>-9.84590542002781</v>
      </c>
    </row>
    <row r="277" spans="1:20" x14ac:dyDescent="0.25">
      <c r="A277" s="5">
        <v>44316</v>
      </c>
      <c r="B277">
        <v>0.14763999999999999</v>
      </c>
      <c r="C277">
        <v>0.17199999999999999</v>
      </c>
      <c r="D277">
        <v>0.14430000000000001</v>
      </c>
      <c r="E277">
        <v>0.16936999999999999</v>
      </c>
      <c r="F277">
        <v>36116077.299999997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0.81010830324909777</v>
      </c>
      <c r="Q277">
        <f t="shared" si="965"/>
        <v>29257934.101516254</v>
      </c>
      <c r="R277">
        <f t="shared" si="966"/>
        <v>-973506717.74958944</v>
      </c>
      <c r="S277">
        <f t="shared" si="967"/>
        <v>-9735.0671774958937</v>
      </c>
      <c r="T277">
        <f t="shared" si="968"/>
        <v>-9.7350671774958943</v>
      </c>
    </row>
    <row r="278" spans="1:20" x14ac:dyDescent="0.25">
      <c r="A278" s="5">
        <v>44315</v>
      </c>
      <c r="B278">
        <v>0.14868000000000001</v>
      </c>
      <c r="C278">
        <v>0.15506</v>
      </c>
      <c r="D278">
        <v>0.13800000000000001</v>
      </c>
      <c r="E278">
        <v>0.14763999999999999</v>
      </c>
      <c r="F278">
        <v>21170519.399999999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0.13012895662367954</v>
      </c>
      <c r="Q278">
        <f t="shared" si="965"/>
        <v>2754897.6007033661</v>
      </c>
      <c r="R278">
        <f t="shared" si="966"/>
        <v>-1002764651.8511057</v>
      </c>
      <c r="S278">
        <f t="shared" si="967"/>
        <v>-10027.646518511057</v>
      </c>
      <c r="T278">
        <f t="shared" si="968"/>
        <v>-10.027646518511057</v>
      </c>
    </row>
    <row r="279" spans="1:20" x14ac:dyDescent="0.25">
      <c r="A279" s="5">
        <v>44314</v>
      </c>
      <c r="B279">
        <v>0.15290000000000001</v>
      </c>
      <c r="C279">
        <v>0.15987999999999999</v>
      </c>
      <c r="D279">
        <v>0.13721</v>
      </c>
      <c r="E279">
        <v>0.14868999999999999</v>
      </c>
      <c r="F279">
        <v>21906707.300000001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1.2792236435817591E-2</v>
      </c>
      <c r="Q279">
        <f t="shared" si="965"/>
        <v>280235.77931185119</v>
      </c>
      <c r="R279">
        <f t="shared" si="966"/>
        <v>-1005519549.451809</v>
      </c>
      <c r="S279">
        <f t="shared" si="967"/>
        <v>-10055.19549451809</v>
      </c>
      <c r="T279">
        <f t="shared" si="968"/>
        <v>-10.05519549451809</v>
      </c>
    </row>
    <row r="280" spans="1:20" x14ac:dyDescent="0.25">
      <c r="A280" s="5">
        <v>44313</v>
      </c>
      <c r="B280">
        <v>0.13766999999999999</v>
      </c>
      <c r="C280">
        <v>0.15340000000000001</v>
      </c>
      <c r="D280">
        <v>0.13472999999999999</v>
      </c>
      <c r="E280">
        <v>0.15306</v>
      </c>
      <c r="F280">
        <v>25741549.300000001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0.96357793251205071</v>
      </c>
      <c r="Q280">
        <f t="shared" si="965"/>
        <v>24803988.854151025</v>
      </c>
      <c r="R280">
        <f t="shared" si="966"/>
        <v>-1005799785.2311209</v>
      </c>
      <c r="S280">
        <f t="shared" si="967"/>
        <v>-10057.997852311209</v>
      </c>
      <c r="T280">
        <f t="shared" si="968"/>
        <v>-10.05799785231121</v>
      </c>
    </row>
    <row r="281" spans="1:20" x14ac:dyDescent="0.25">
      <c r="A281" s="5">
        <v>44312</v>
      </c>
      <c r="B281">
        <v>0.11963</v>
      </c>
      <c r="C281">
        <v>0.13997000000000001</v>
      </c>
      <c r="D281">
        <v>0.11665</v>
      </c>
      <c r="E281">
        <v>0.13780999999999999</v>
      </c>
      <c r="F281">
        <v>30017396.699999999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0.81475128644939776</v>
      </c>
      <c r="Q281">
        <f t="shared" si="965"/>
        <v>24456712.577186905</v>
      </c>
      <c r="R281">
        <f t="shared" si="966"/>
        <v>-1030603774.085272</v>
      </c>
      <c r="S281">
        <f t="shared" si="967"/>
        <v>-10306.03774085272</v>
      </c>
      <c r="T281">
        <f t="shared" si="968"/>
        <v>-10.30603774085272</v>
      </c>
    </row>
    <row r="282" spans="1:20" x14ac:dyDescent="0.25">
      <c r="A282" s="5">
        <v>44311</v>
      </c>
      <c r="B282">
        <v>0.11623</v>
      </c>
      <c r="C282">
        <v>0.12853000000000001</v>
      </c>
      <c r="D282">
        <v>0.10564</v>
      </c>
      <c r="E282">
        <v>0.11940000000000001</v>
      </c>
      <c r="F282">
        <v>24295093.300000001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0.20227173438182647</v>
      </c>
      <c r="Q282">
        <f t="shared" si="965"/>
        <v>4914210.6587592922</v>
      </c>
      <c r="R282">
        <f t="shared" si="966"/>
        <v>-1055060486.6624589</v>
      </c>
      <c r="S282">
        <f t="shared" si="967"/>
        <v>-10550.60486662459</v>
      </c>
      <c r="T282">
        <f t="shared" si="968"/>
        <v>-10.550604866624589</v>
      </c>
    </row>
    <row r="283" spans="1:20" x14ac:dyDescent="0.25">
      <c r="A283" s="5">
        <v>44310</v>
      </c>
      <c r="B283">
        <v>0.12715000000000001</v>
      </c>
      <c r="C283">
        <v>0.13485</v>
      </c>
      <c r="D283">
        <v>0.11395</v>
      </c>
      <c r="E283">
        <v>0.11602999999999999</v>
      </c>
      <c r="F283">
        <v>21770483.699999999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-0.8009569377990432</v>
      </c>
      <c r="Q283">
        <f t="shared" si="965"/>
        <v>-17437219.958755985</v>
      </c>
      <c r="R283">
        <f t="shared" si="966"/>
        <v>-1059974697.3212181</v>
      </c>
      <c r="S283">
        <f t="shared" si="967"/>
        <v>-10599.746973212181</v>
      </c>
      <c r="T283">
        <f t="shared" si="968"/>
        <v>-10.599746973212181</v>
      </c>
    </row>
    <row r="284" spans="1:20" x14ac:dyDescent="0.25">
      <c r="A284" s="5">
        <v>44309</v>
      </c>
      <c r="B284">
        <v>0.13150000000000001</v>
      </c>
      <c r="C284">
        <v>0.13519999999999999</v>
      </c>
      <c r="D284">
        <v>0.10663</v>
      </c>
      <c r="E284">
        <v>0.12708</v>
      </c>
      <c r="F284">
        <v>38769322.299999997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0.43157157857892947</v>
      </c>
      <c r="Q284">
        <f t="shared" si="965"/>
        <v>16731737.625446292</v>
      </c>
      <c r="R284">
        <f t="shared" si="966"/>
        <v>-1042537477.3624622</v>
      </c>
      <c r="S284">
        <f t="shared" si="967"/>
        <v>-10425.374773624622</v>
      </c>
      <c r="T284">
        <f t="shared" si="968"/>
        <v>-10.425374773624622</v>
      </c>
    </row>
    <row r="285" spans="1:20" x14ac:dyDescent="0.25">
      <c r="A285" s="5">
        <v>44308</v>
      </c>
      <c r="B285">
        <v>0.14953</v>
      </c>
      <c r="C285">
        <v>0.15631999999999999</v>
      </c>
      <c r="D285">
        <v>0.13011</v>
      </c>
      <c r="E285">
        <v>0.13186999999999999</v>
      </c>
      <c r="F285">
        <v>18736376.5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-0.86570011446013084</v>
      </c>
      <c r="Q285">
        <f t="shared" si="965"/>
        <v>-16220083.280618105</v>
      </c>
      <c r="R285">
        <f t="shared" si="966"/>
        <v>-1059269214.9879085</v>
      </c>
      <c r="S285">
        <f t="shared" si="967"/>
        <v>-10592.692149879085</v>
      </c>
      <c r="T285">
        <f t="shared" si="968"/>
        <v>-10.592692149879085</v>
      </c>
    </row>
    <row r="286" spans="1:20" x14ac:dyDescent="0.25">
      <c r="A286" s="5">
        <v>44307</v>
      </c>
      <c r="B286">
        <v>0.16133</v>
      </c>
      <c r="C286">
        <v>0.17341000000000001</v>
      </c>
      <c r="D286">
        <v>0.14843999999999999</v>
      </c>
      <c r="E286">
        <v>0.14960000000000001</v>
      </c>
      <c r="F286">
        <v>22485490.300000001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-0.90708850620744719</v>
      </c>
      <c r="Q286">
        <f t="shared" si="965"/>
        <v>-20396329.807569046</v>
      </c>
      <c r="R286">
        <f t="shared" si="966"/>
        <v>-1043049131.7072904</v>
      </c>
      <c r="S286">
        <f t="shared" si="967"/>
        <v>-10430.491317072903</v>
      </c>
      <c r="T286">
        <f t="shared" si="968"/>
        <v>-10.430491317072903</v>
      </c>
    </row>
    <row r="287" spans="1:20" x14ac:dyDescent="0.25">
      <c r="A287" s="5">
        <v>44306</v>
      </c>
      <c r="B287">
        <v>0.15201000000000001</v>
      </c>
      <c r="C287">
        <v>0.17188000000000001</v>
      </c>
      <c r="D287">
        <v>0.13763</v>
      </c>
      <c r="E287">
        <v>0.16128000000000001</v>
      </c>
      <c r="F287">
        <v>31048893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0.38102189781021911</v>
      </c>
      <c r="Q287">
        <f t="shared" si="965"/>
        <v>11830308.135766428</v>
      </c>
      <c r="R287">
        <f t="shared" si="966"/>
        <v>-1022652801.8997214</v>
      </c>
      <c r="S287">
        <f t="shared" si="967"/>
        <v>-10226.528018997215</v>
      </c>
      <c r="T287">
        <f t="shared" si="968"/>
        <v>-10.226528018997215</v>
      </c>
    </row>
    <row r="288" spans="1:20" x14ac:dyDescent="0.25">
      <c r="A288" s="5">
        <v>44305</v>
      </c>
      <c r="B288">
        <v>0.17068</v>
      </c>
      <c r="C288">
        <v>0.17699999999999999</v>
      </c>
      <c r="D288">
        <v>0.14888000000000001</v>
      </c>
      <c r="E288">
        <v>0.15176999999999999</v>
      </c>
      <c r="F288">
        <v>21981024.5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-0.79445234708392753</v>
      </c>
      <c r="Q288">
        <f t="shared" si="965"/>
        <v>-17462876.505334314</v>
      </c>
      <c r="R288">
        <f t="shared" si="966"/>
        <v>-1034483110.0354878</v>
      </c>
      <c r="S288">
        <f t="shared" si="967"/>
        <v>-10344.831100354877</v>
      </c>
      <c r="T288">
        <f t="shared" si="968"/>
        <v>-10.344831100354877</v>
      </c>
    </row>
    <row r="289" spans="1:20" x14ac:dyDescent="0.25">
      <c r="A289" s="5">
        <v>44304</v>
      </c>
      <c r="B289">
        <v>0.19541</v>
      </c>
      <c r="C289">
        <v>0.19661000000000001</v>
      </c>
      <c r="D289">
        <v>0.15501000000000001</v>
      </c>
      <c r="E289">
        <v>0.1709</v>
      </c>
      <c r="F289">
        <v>29628185.199999999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-0.23605769230769288</v>
      </c>
      <c r="Q289">
        <f t="shared" si="965"/>
        <v>-6993961.0255769398</v>
      </c>
      <c r="R289">
        <f t="shared" si="966"/>
        <v>-1017020233.5301535</v>
      </c>
      <c r="S289">
        <f t="shared" si="967"/>
        <v>-10170.202335301536</v>
      </c>
      <c r="T289">
        <f t="shared" si="968"/>
        <v>-10.170202335301536</v>
      </c>
    </row>
    <row r="290" spans="1:20" x14ac:dyDescent="0.25">
      <c r="A290" s="5">
        <v>44303</v>
      </c>
      <c r="B290">
        <v>0.19514000000000001</v>
      </c>
      <c r="C290">
        <v>0.21564</v>
      </c>
      <c r="D290">
        <v>0.19350000000000001</v>
      </c>
      <c r="E290">
        <v>0.19525000000000001</v>
      </c>
      <c r="F290">
        <v>33155653.5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-0.84191508581752461</v>
      </c>
      <c r="Q290">
        <f t="shared" si="965"/>
        <v>-27914244.861788612</v>
      </c>
      <c r="R290">
        <f t="shared" si="966"/>
        <v>-1010026272.5045766</v>
      </c>
      <c r="S290">
        <f t="shared" si="967"/>
        <v>-10100.262725045766</v>
      </c>
      <c r="T290">
        <f t="shared" si="968"/>
        <v>-10.100262725045766</v>
      </c>
    </row>
    <row r="291" spans="1:20" x14ac:dyDescent="0.25">
      <c r="A291" s="5">
        <v>44302</v>
      </c>
      <c r="B291">
        <v>0.19933000000000001</v>
      </c>
      <c r="C291">
        <v>0.20018</v>
      </c>
      <c r="D291">
        <v>0.18153</v>
      </c>
      <c r="E291">
        <v>0.19553000000000001</v>
      </c>
      <c r="F291">
        <v>24991924.199999999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0.50134048257372787</v>
      </c>
      <c r="Q291">
        <f t="shared" si="965"/>
        <v>12529463.338874027</v>
      </c>
      <c r="R291">
        <f t="shared" si="966"/>
        <v>-982112027.64278793</v>
      </c>
      <c r="S291">
        <f t="shared" si="967"/>
        <v>-9821.1202764278787</v>
      </c>
      <c r="T291">
        <f t="shared" si="968"/>
        <v>-9.8211202764278784</v>
      </c>
    </row>
    <row r="292" spans="1:20" x14ac:dyDescent="0.25">
      <c r="A292" s="5">
        <v>44301</v>
      </c>
      <c r="B292">
        <v>0.20799000000000001</v>
      </c>
      <c r="C292">
        <v>0.20938999999999999</v>
      </c>
      <c r="D292">
        <v>0.19717999999999999</v>
      </c>
      <c r="E292">
        <v>0.1996</v>
      </c>
      <c r="F292">
        <v>25076067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-0.60360360360360266</v>
      </c>
      <c r="Q292">
        <f t="shared" si="965"/>
        <v>-15136004.405405382</v>
      </c>
      <c r="R292">
        <f t="shared" si="966"/>
        <v>-994641490.98166192</v>
      </c>
      <c r="S292">
        <f t="shared" si="967"/>
        <v>-9946.4149098166199</v>
      </c>
      <c r="T292">
        <f t="shared" si="968"/>
        <v>-9.9464149098166192</v>
      </c>
    </row>
    <row r="293" spans="1:20" x14ac:dyDescent="0.25">
      <c r="A293" s="5">
        <v>44300</v>
      </c>
      <c r="B293">
        <v>0.19497999999999999</v>
      </c>
      <c r="C293">
        <v>0.21073</v>
      </c>
      <c r="D293">
        <v>0.18232000000000001</v>
      </c>
      <c r="E293">
        <v>0.20782</v>
      </c>
      <c r="F293">
        <v>40924700.100000001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0.79514255543822621</v>
      </c>
      <c r="Q293">
        <f t="shared" si="965"/>
        <v>32540970.618057031</v>
      </c>
      <c r="R293">
        <f t="shared" si="966"/>
        <v>-979505486.57625651</v>
      </c>
      <c r="S293">
        <f t="shared" si="967"/>
        <v>-9795.0548657625659</v>
      </c>
      <c r="T293">
        <f t="shared" si="968"/>
        <v>-9.795054865762566</v>
      </c>
    </row>
    <row r="294" spans="1:20" x14ac:dyDescent="0.25">
      <c r="A294" s="5">
        <v>44299</v>
      </c>
      <c r="B294">
        <v>0.20311000000000001</v>
      </c>
      <c r="C294">
        <v>0.20904</v>
      </c>
      <c r="D294">
        <v>0.19141</v>
      </c>
      <c r="E294">
        <v>0.19477</v>
      </c>
      <c r="F294">
        <v>27058007.899999999</v>
      </c>
      <c r="G294">
        <v>0</v>
      </c>
      <c r="L294" t="s">
        <v>7</v>
      </c>
      <c r="M294" t="s">
        <v>8</v>
      </c>
      <c r="N294" t="s">
        <v>7</v>
      </c>
      <c r="P294">
        <f t="shared" si="964"/>
        <v>-0.61883153715258077</v>
      </c>
      <c r="Q294">
        <f t="shared" si="965"/>
        <v>-16744348.621043673</v>
      </c>
      <c r="R294">
        <f t="shared" si="966"/>
        <v>-1012046457.1943135</v>
      </c>
      <c r="S294">
        <f t="shared" si="967"/>
        <v>-10120.464571943136</v>
      </c>
      <c r="T294">
        <f t="shared" si="968"/>
        <v>-10.120464571943135</v>
      </c>
    </row>
    <row r="295" spans="1:20" x14ac:dyDescent="0.25">
      <c r="A295" s="5">
        <v>44298</v>
      </c>
      <c r="B295">
        <v>0.21793000000000001</v>
      </c>
      <c r="C295">
        <v>0.23</v>
      </c>
      <c r="D295">
        <v>0.20111999999999999</v>
      </c>
      <c r="E295">
        <v>0.2031</v>
      </c>
      <c r="F295">
        <v>44115187.700000003</v>
      </c>
      <c r="G295">
        <v>0</v>
      </c>
      <c r="L295" t="s">
        <v>7</v>
      </c>
      <c r="M295" t="s">
        <v>8</v>
      </c>
      <c r="N295" t="s">
        <v>7</v>
      </c>
      <c r="P295">
        <f t="shared" si="964"/>
        <v>-0.86288088642659222</v>
      </c>
      <c r="Q295">
        <f t="shared" si="965"/>
        <v>-38066152.267451502</v>
      </c>
      <c r="R295">
        <f t="shared" si="966"/>
        <v>-995302108.57326984</v>
      </c>
      <c r="S295">
        <f t="shared" si="967"/>
        <v>-9953.0210857326983</v>
      </c>
      <c r="T295">
        <f t="shared" si="968"/>
        <v>-9.9530210857326988</v>
      </c>
    </row>
    <row r="296" spans="1:20" x14ac:dyDescent="0.25">
      <c r="A296" s="5">
        <v>44297</v>
      </c>
      <c r="B296">
        <v>0.20194999999999999</v>
      </c>
      <c r="C296">
        <v>0.22783</v>
      </c>
      <c r="D296">
        <v>0.19384999999999999</v>
      </c>
      <c r="E296">
        <v>0.21829000000000001</v>
      </c>
      <c r="F296">
        <v>69648241.5</v>
      </c>
      <c r="G296">
        <v>0</v>
      </c>
      <c r="L296" t="s">
        <v>8</v>
      </c>
      <c r="M296" t="s">
        <v>8</v>
      </c>
      <c r="N296" t="s">
        <v>7</v>
      </c>
      <c r="P296">
        <f t="shared" si="964"/>
        <v>0.43849323131253737</v>
      </c>
      <c r="Q296">
        <f t="shared" si="965"/>
        <v>30540282.470570963</v>
      </c>
      <c r="R296">
        <f t="shared" si="966"/>
        <v>-957235956.30581832</v>
      </c>
      <c r="S296">
        <f t="shared" si="967"/>
        <v>-9572.359563058184</v>
      </c>
      <c r="T296">
        <f t="shared" si="968"/>
        <v>-9.5723595630581837</v>
      </c>
    </row>
    <row r="297" spans="1:20" x14ac:dyDescent="0.25">
      <c r="A297" s="5">
        <v>44296</v>
      </c>
      <c r="B297">
        <v>0.20201</v>
      </c>
      <c r="C297">
        <v>0.21687000000000001</v>
      </c>
      <c r="D297">
        <v>0.19433</v>
      </c>
      <c r="E297">
        <v>0.20208000000000001</v>
      </c>
      <c r="F297">
        <v>42006486</v>
      </c>
      <c r="G297">
        <v>0</v>
      </c>
      <c r="L297" t="s">
        <v>7</v>
      </c>
      <c r="M297" t="s">
        <v>8</v>
      </c>
      <c r="N297" t="s">
        <v>7</v>
      </c>
      <c r="P297">
        <f t="shared" si="964"/>
        <v>-0.31233362910381496</v>
      </c>
      <c r="Q297">
        <f t="shared" si="965"/>
        <v>-13120038.218278596</v>
      </c>
      <c r="R297">
        <f t="shared" si="966"/>
        <v>-987776238.77638924</v>
      </c>
      <c r="S297">
        <f t="shared" si="967"/>
        <v>-9877.7623877638925</v>
      </c>
      <c r="T297">
        <f t="shared" si="968"/>
        <v>-9.8777623877638927</v>
      </c>
    </row>
    <row r="298" spans="1:20" x14ac:dyDescent="0.25">
      <c r="A298" s="5">
        <v>44295</v>
      </c>
      <c r="B298">
        <v>0.21545</v>
      </c>
      <c r="C298">
        <v>0.22222</v>
      </c>
      <c r="D298">
        <v>0.20000999999999999</v>
      </c>
      <c r="E298">
        <v>0.20227999999999999</v>
      </c>
      <c r="F298">
        <v>41973541.700000003</v>
      </c>
      <c r="G298">
        <v>0</v>
      </c>
      <c r="L298" t="s">
        <v>7</v>
      </c>
      <c r="M298" t="s">
        <v>8</v>
      </c>
      <c r="N298" t="s">
        <v>7</v>
      </c>
      <c r="P298">
        <f t="shared" si="964"/>
        <v>-0.79558757316524142</v>
      </c>
      <c r="Q298">
        <f t="shared" si="965"/>
        <v>-33393628.178253066</v>
      </c>
      <c r="R298">
        <f t="shared" si="966"/>
        <v>-974656200.55811059</v>
      </c>
      <c r="S298">
        <f t="shared" si="967"/>
        <v>-9746.562005581105</v>
      </c>
      <c r="T298">
        <f t="shared" si="968"/>
        <v>-9.7465620055811044</v>
      </c>
    </row>
    <row r="299" spans="1:20" x14ac:dyDescent="0.25">
      <c r="A299" s="5">
        <v>44294</v>
      </c>
      <c r="B299">
        <v>0.20644000000000001</v>
      </c>
      <c r="C299">
        <v>0.22495999999999999</v>
      </c>
      <c r="D299">
        <v>0.2</v>
      </c>
      <c r="E299">
        <v>0.21493000000000001</v>
      </c>
      <c r="F299">
        <v>80378465.900000006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0.19631410256410331</v>
      </c>
      <c r="Q299">
        <f t="shared" si="965"/>
        <v>15779426.398637882</v>
      </c>
      <c r="R299">
        <f t="shared" si="966"/>
        <v>-941262572.37985754</v>
      </c>
      <c r="S299">
        <f t="shared" si="967"/>
        <v>-9412.6257237985756</v>
      </c>
      <c r="T299">
        <f t="shared" si="968"/>
        <v>-9.4126257237985751</v>
      </c>
    </row>
    <row r="300" spans="1:20" x14ac:dyDescent="0.25">
      <c r="A300" s="5">
        <v>44293</v>
      </c>
      <c r="B300">
        <v>0.25735999999999998</v>
      </c>
      <c r="C300">
        <v>0.25990999999999997</v>
      </c>
      <c r="D300">
        <v>0.18661</v>
      </c>
      <c r="E300">
        <v>0.20615</v>
      </c>
      <c r="F300">
        <v>292628966.19999999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-0.46684856753069554</v>
      </c>
      <c r="Q300">
        <f t="shared" si="965"/>
        <v>-136613413.68845832</v>
      </c>
      <c r="R300">
        <f t="shared" si="966"/>
        <v>-957041998.77849543</v>
      </c>
      <c r="S300">
        <f t="shared" si="967"/>
        <v>-9570.4199877849551</v>
      </c>
      <c r="T300">
        <f t="shared" si="968"/>
        <v>-9.5704199877849554</v>
      </c>
    </row>
    <row r="301" spans="1:20" x14ac:dyDescent="0.25">
      <c r="A301" s="5">
        <v>44292</v>
      </c>
      <c r="B301">
        <v>0.19217999999999999</v>
      </c>
      <c r="C301">
        <v>0.32</v>
      </c>
      <c r="D301">
        <v>0.19015000000000001</v>
      </c>
      <c r="E301">
        <v>0.25802999999999998</v>
      </c>
      <c r="F301">
        <v>535069237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4.5514054678474726E-2</v>
      </c>
      <c r="Q301">
        <f t="shared" si="965"/>
        <v>24353170.509587754</v>
      </c>
      <c r="R301">
        <f t="shared" si="966"/>
        <v>-820428585.09003711</v>
      </c>
      <c r="S301">
        <f t="shared" si="967"/>
        <v>-8204.2858509003709</v>
      </c>
      <c r="T301">
        <f t="shared" si="968"/>
        <v>-8.2042858509003711</v>
      </c>
    </row>
    <row r="302" spans="1:20" x14ac:dyDescent="0.25">
      <c r="A302" s="5">
        <v>44291</v>
      </c>
      <c r="B302">
        <v>0.18323</v>
      </c>
      <c r="C302">
        <v>0.19850000000000001</v>
      </c>
      <c r="D302">
        <v>0.17680000000000001</v>
      </c>
      <c r="E302">
        <v>0.19219</v>
      </c>
      <c r="F302">
        <v>46854949.200000003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0.4184331797235013</v>
      </c>
      <c r="Q302">
        <f t="shared" si="965"/>
        <v>19605665.379539125</v>
      </c>
      <c r="R302">
        <f t="shared" si="966"/>
        <v>-844781755.59962487</v>
      </c>
      <c r="S302">
        <f t="shared" si="967"/>
        <v>-8447.8175559962492</v>
      </c>
      <c r="T302">
        <f t="shared" si="968"/>
        <v>-8.4478175559962487</v>
      </c>
    </row>
    <row r="303" spans="1:20" x14ac:dyDescent="0.25">
      <c r="A303" s="5">
        <v>44290</v>
      </c>
      <c r="B303">
        <v>0.16467000000000001</v>
      </c>
      <c r="C303">
        <v>0.189</v>
      </c>
      <c r="D303">
        <v>0.16389000000000001</v>
      </c>
      <c r="E303">
        <v>0.18306</v>
      </c>
      <c r="F303">
        <v>34134428.200000003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0.52688172043010739</v>
      </c>
      <c r="Q303">
        <f t="shared" si="965"/>
        <v>17984806.255913977</v>
      </c>
      <c r="R303">
        <f t="shared" si="966"/>
        <v>-864387420.979164</v>
      </c>
      <c r="S303">
        <f t="shared" si="967"/>
        <v>-8643.8742097916402</v>
      </c>
      <c r="T303">
        <f t="shared" si="968"/>
        <v>-8.6438742097916403</v>
      </c>
    </row>
    <row r="304" spans="1:20" x14ac:dyDescent="0.25">
      <c r="A304" s="5">
        <v>44289</v>
      </c>
      <c r="B304">
        <v>0.17602999999999999</v>
      </c>
      <c r="C304">
        <v>0.19025</v>
      </c>
      <c r="D304">
        <v>0.16441</v>
      </c>
      <c r="E304">
        <v>0.1648</v>
      </c>
      <c r="F304">
        <v>34607237.600000001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-0.96981424148606798</v>
      </c>
      <c r="Q304">
        <f t="shared" si="965"/>
        <v>-33562591.882972136</v>
      </c>
      <c r="R304">
        <f t="shared" si="966"/>
        <v>-882372227.23507798</v>
      </c>
      <c r="S304">
        <f t="shared" si="967"/>
        <v>-8823.7222723507803</v>
      </c>
      <c r="T304">
        <f t="shared" si="968"/>
        <v>-8.8237222723507802</v>
      </c>
    </row>
    <row r="305" spans="1:20" x14ac:dyDescent="0.25">
      <c r="A305" s="5">
        <v>44288</v>
      </c>
      <c r="B305">
        <v>0.17960000000000001</v>
      </c>
      <c r="C305">
        <v>0.18990000000000001</v>
      </c>
      <c r="D305">
        <v>0.17435999999999999</v>
      </c>
      <c r="E305">
        <v>0.17605999999999999</v>
      </c>
      <c r="F305">
        <v>35245355.799999997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-0.78120978120978068</v>
      </c>
      <c r="Q305">
        <f t="shared" si="965"/>
        <v>-27534016.693178874</v>
      </c>
      <c r="R305">
        <f t="shared" si="966"/>
        <v>-848809635.35210586</v>
      </c>
      <c r="S305">
        <f t="shared" si="967"/>
        <v>-8488.0963535210594</v>
      </c>
      <c r="T305">
        <f t="shared" si="968"/>
        <v>-8.4880963535210601</v>
      </c>
    </row>
    <row r="306" spans="1:20" x14ac:dyDescent="0.25">
      <c r="A306" s="5">
        <v>44287</v>
      </c>
      <c r="B306">
        <v>0.17985999999999999</v>
      </c>
      <c r="C306">
        <v>0.18314</v>
      </c>
      <c r="D306">
        <v>0.17000999999999999</v>
      </c>
      <c r="E306">
        <v>0.17957000000000001</v>
      </c>
      <c r="F306">
        <v>27642053.800000001</v>
      </c>
      <c r="G306">
        <v>0</v>
      </c>
      <c r="L306" t="s">
        <v>7</v>
      </c>
      <c r="M306" t="s">
        <v>8</v>
      </c>
      <c r="N306" t="s">
        <v>8</v>
      </c>
      <c r="P306">
        <f t="shared" si="964"/>
        <v>0.45620715917745785</v>
      </c>
      <c r="Q306">
        <f t="shared" si="965"/>
        <v>12610502.837928453</v>
      </c>
      <c r="R306">
        <f t="shared" si="966"/>
        <v>-821275618.65892696</v>
      </c>
      <c r="S306">
        <f t="shared" si="967"/>
        <v>-8212.7561865892694</v>
      </c>
      <c r="T306">
        <f t="shared" si="968"/>
        <v>-8.2127561865892691</v>
      </c>
    </row>
    <row r="307" spans="1:20" x14ac:dyDescent="0.25">
      <c r="A307" s="5">
        <v>44286</v>
      </c>
      <c r="B307">
        <v>0.18629000000000001</v>
      </c>
      <c r="C307">
        <v>0.19855999999999999</v>
      </c>
      <c r="D307">
        <v>0.17394000000000001</v>
      </c>
      <c r="E307">
        <v>0.17932999999999999</v>
      </c>
      <c r="F307">
        <v>45370210.200000003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-0.56214459788789739</v>
      </c>
      <c r="Q307">
        <f t="shared" si="965"/>
        <v>-25504618.568968382</v>
      </c>
      <c r="R307">
        <f t="shared" si="966"/>
        <v>-833886121.49685538</v>
      </c>
      <c r="S307">
        <f t="shared" si="967"/>
        <v>-8338.8612149685541</v>
      </c>
      <c r="T307">
        <f t="shared" si="968"/>
        <v>-8.3388612149685546</v>
      </c>
    </row>
    <row r="308" spans="1:20" x14ac:dyDescent="0.25">
      <c r="A308" s="5">
        <v>44285</v>
      </c>
      <c r="B308">
        <v>0.17144000000000001</v>
      </c>
      <c r="C308">
        <v>0.19400000000000001</v>
      </c>
      <c r="D308">
        <v>0.16300999999999999</v>
      </c>
      <c r="E308">
        <v>0.18651000000000001</v>
      </c>
      <c r="F308">
        <v>46641952.100000001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0.51661826395611532</v>
      </c>
      <c r="Q308">
        <f t="shared" si="965"/>
        <v>24096084.321426287</v>
      </c>
      <c r="R308">
        <f t="shared" si="966"/>
        <v>-808381502.92788696</v>
      </c>
      <c r="S308">
        <f t="shared" si="967"/>
        <v>-8083.8150292788696</v>
      </c>
      <c r="T308">
        <f t="shared" si="968"/>
        <v>-8.0838150292788704</v>
      </c>
    </row>
    <row r="309" spans="1:20" x14ac:dyDescent="0.25">
      <c r="A309" s="5">
        <v>44284</v>
      </c>
      <c r="B309">
        <v>0.16553999999999999</v>
      </c>
      <c r="C309">
        <v>0.17199999999999999</v>
      </c>
      <c r="D309">
        <v>0.15553</v>
      </c>
      <c r="E309">
        <v>0.1714</v>
      </c>
      <c r="F309">
        <v>46584298</v>
      </c>
      <c r="G309">
        <v>0</v>
      </c>
      <c r="L309" t="s">
        <v>7</v>
      </c>
      <c r="M309" t="s">
        <v>8</v>
      </c>
      <c r="N309" t="s">
        <v>7</v>
      </c>
      <c r="P309">
        <f t="shared" si="964"/>
        <v>0.92714025500910868</v>
      </c>
      <c r="Q309">
        <f t="shared" si="965"/>
        <v>43190177.92714031</v>
      </c>
      <c r="R309">
        <f t="shared" si="966"/>
        <v>-832477587.24931324</v>
      </c>
      <c r="S309">
        <f t="shared" si="967"/>
        <v>-8324.7758724931318</v>
      </c>
      <c r="T309">
        <f t="shared" si="968"/>
        <v>-8.3247758724931327</v>
      </c>
    </row>
    <row r="310" spans="1:20" x14ac:dyDescent="0.25">
      <c r="A310" s="5">
        <v>44283</v>
      </c>
      <c r="B310">
        <v>0.16008</v>
      </c>
      <c r="C310">
        <v>0.17499999999999999</v>
      </c>
      <c r="D310">
        <v>0.15670000000000001</v>
      </c>
      <c r="E310">
        <v>0.16586000000000001</v>
      </c>
      <c r="F310">
        <v>42243807.600000001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1.0928961748644819E-3</v>
      </c>
      <c r="Q310">
        <f t="shared" si="965"/>
        <v>46168.095737751129</v>
      </c>
      <c r="R310">
        <f t="shared" si="966"/>
        <v>-875667765.17645359</v>
      </c>
      <c r="S310">
        <f t="shared" si="967"/>
        <v>-8756.6776517645358</v>
      </c>
      <c r="T310">
        <f t="shared" si="968"/>
        <v>-8.7566776517645355</v>
      </c>
    </row>
    <row r="311" spans="1:20" x14ac:dyDescent="0.25">
      <c r="A311" s="5">
        <v>44282</v>
      </c>
      <c r="B311">
        <v>0.16336999999999999</v>
      </c>
      <c r="C311">
        <v>0.17299999999999999</v>
      </c>
      <c r="D311">
        <v>0.154</v>
      </c>
      <c r="E311">
        <v>0.16006999999999999</v>
      </c>
      <c r="F311">
        <v>47875353.899999999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-0.36105263157894785</v>
      </c>
      <c r="Q311">
        <f t="shared" si="965"/>
        <v>-17285522.513368443</v>
      </c>
      <c r="R311">
        <f t="shared" si="966"/>
        <v>-875713933.27219129</v>
      </c>
      <c r="S311">
        <f t="shared" si="967"/>
        <v>-8757.1393327219121</v>
      </c>
      <c r="T311">
        <f t="shared" si="968"/>
        <v>-8.7571393327219127</v>
      </c>
    </row>
    <row r="312" spans="1:20" x14ac:dyDescent="0.25">
      <c r="A312" s="5">
        <v>44281</v>
      </c>
      <c r="B312">
        <v>0.14466000000000001</v>
      </c>
      <c r="C312">
        <v>0.17566999999999999</v>
      </c>
      <c r="D312">
        <v>0.14402999999999999</v>
      </c>
      <c r="E312">
        <v>0.16339000000000001</v>
      </c>
      <c r="F312">
        <v>53879951.899999999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0.22376738305941943</v>
      </c>
      <c r="Q312">
        <f t="shared" si="965"/>
        <v>12056575.836030394</v>
      </c>
      <c r="R312">
        <f t="shared" si="966"/>
        <v>-858428410.7588228</v>
      </c>
      <c r="S312">
        <f t="shared" si="967"/>
        <v>-8584.2841075882279</v>
      </c>
      <c r="T312">
        <f t="shared" si="968"/>
        <v>-8.5842841075882284</v>
      </c>
    </row>
    <row r="313" spans="1:20" x14ac:dyDescent="0.25">
      <c r="A313" s="5">
        <v>44280</v>
      </c>
      <c r="B313">
        <v>0.15676000000000001</v>
      </c>
      <c r="C313">
        <v>0.17433000000000001</v>
      </c>
      <c r="D313">
        <v>0.14000000000000001</v>
      </c>
      <c r="E313">
        <v>0.14435999999999999</v>
      </c>
      <c r="F313">
        <v>66547403.899999999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-0.7459947567725036</v>
      </c>
      <c r="Q313">
        <f t="shared" si="965"/>
        <v>-49644014.386222057</v>
      </c>
      <c r="R313">
        <f t="shared" si="966"/>
        <v>-870484986.59485316</v>
      </c>
      <c r="S313">
        <f t="shared" si="967"/>
        <v>-8704.8498659485322</v>
      </c>
      <c r="T313">
        <f t="shared" si="968"/>
        <v>-8.7048498659485318</v>
      </c>
    </row>
    <row r="314" spans="1:20" x14ac:dyDescent="0.25">
      <c r="A314" s="5">
        <v>44279</v>
      </c>
      <c r="B314">
        <v>0.15767</v>
      </c>
      <c r="C314">
        <v>0.20774999999999999</v>
      </c>
      <c r="D314">
        <v>0.15390000000000001</v>
      </c>
      <c r="E314">
        <v>0.15787000000000001</v>
      </c>
      <c r="F314">
        <v>143990645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-0.85255338904363964</v>
      </c>
      <c r="Q314">
        <f t="shared" si="965"/>
        <v>-122759712.3853296</v>
      </c>
      <c r="R314">
        <f t="shared" si="966"/>
        <v>-820840972.20863116</v>
      </c>
      <c r="S314">
        <f t="shared" si="967"/>
        <v>-8208.4097220863114</v>
      </c>
      <c r="T314">
        <f t="shared" si="968"/>
        <v>-8.2084097220863121</v>
      </c>
    </row>
    <row r="315" spans="1:20" x14ac:dyDescent="0.25">
      <c r="A315" s="5">
        <v>44278</v>
      </c>
      <c r="B315">
        <v>0.14223</v>
      </c>
      <c r="C315">
        <v>0.18747</v>
      </c>
      <c r="D315">
        <v>0.13500999999999999</v>
      </c>
      <c r="E315">
        <v>0.15767</v>
      </c>
      <c r="F315">
        <v>166042797.5</v>
      </c>
      <c r="G315">
        <v>0</v>
      </c>
      <c r="L315" t="s">
        <v>8</v>
      </c>
      <c r="M315" t="s">
        <v>8</v>
      </c>
      <c r="N315" t="s">
        <v>8</v>
      </c>
      <c r="P315">
        <f t="shared" si="964"/>
        <v>-0.13610369805566105</v>
      </c>
      <c r="Q315">
        <f t="shared" si="965"/>
        <v>-22599038.775257271</v>
      </c>
      <c r="R315">
        <f t="shared" si="966"/>
        <v>-698081259.82330155</v>
      </c>
      <c r="S315">
        <f t="shared" si="967"/>
        <v>-6980.8125982330157</v>
      </c>
      <c r="T315">
        <f t="shared" si="968"/>
        <v>-6.9808125982330154</v>
      </c>
    </row>
    <row r="316" spans="1:20" x14ac:dyDescent="0.25">
      <c r="A316" s="5">
        <v>44277</v>
      </c>
      <c r="B316">
        <v>0.14144999999999999</v>
      </c>
      <c r="C316">
        <v>0.159</v>
      </c>
      <c r="D316">
        <v>0.1371</v>
      </c>
      <c r="E316">
        <v>0.14222000000000001</v>
      </c>
      <c r="F316">
        <v>41297499.399999999</v>
      </c>
      <c r="G316">
        <v>0</v>
      </c>
      <c r="L316" t="s">
        <v>8</v>
      </c>
      <c r="M316" t="s">
        <v>8</v>
      </c>
      <c r="N316" t="s">
        <v>7</v>
      </c>
      <c r="P316">
        <f t="shared" si="964"/>
        <v>-0.53242009132419976</v>
      </c>
      <c r="Q316">
        <f t="shared" si="965"/>
        <v>-21987618.402009085</v>
      </c>
      <c r="R316">
        <f t="shared" si="966"/>
        <v>-675482221.04804432</v>
      </c>
      <c r="S316">
        <f t="shared" si="967"/>
        <v>-6754.8222104804436</v>
      </c>
      <c r="T316">
        <f t="shared" si="968"/>
        <v>-6.7548222104804436</v>
      </c>
    </row>
    <row r="317" spans="1:20" x14ac:dyDescent="0.25">
      <c r="A317" s="5">
        <v>44276</v>
      </c>
      <c r="B317">
        <v>0.14252000000000001</v>
      </c>
      <c r="C317">
        <v>0.14565</v>
      </c>
      <c r="D317">
        <v>0.13607</v>
      </c>
      <c r="E317">
        <v>0.14169000000000001</v>
      </c>
      <c r="F317">
        <v>14525977.9</v>
      </c>
      <c r="G317">
        <v>0</v>
      </c>
      <c r="L317" t="s">
        <v>7</v>
      </c>
      <c r="M317" t="s">
        <v>8</v>
      </c>
      <c r="N317" t="s">
        <v>7</v>
      </c>
      <c r="P317">
        <f t="shared" si="964"/>
        <v>0.17327766179540935</v>
      </c>
      <c r="Q317">
        <f t="shared" si="965"/>
        <v>2517027.4858037904</v>
      </c>
      <c r="R317">
        <f t="shared" si="966"/>
        <v>-653494602.64603519</v>
      </c>
      <c r="S317">
        <f t="shared" si="967"/>
        <v>-6534.9460264603522</v>
      </c>
      <c r="T317">
        <f t="shared" si="968"/>
        <v>-6.5349460264603518</v>
      </c>
    </row>
    <row r="318" spans="1:20" x14ac:dyDescent="0.25">
      <c r="A318" s="5">
        <v>44275</v>
      </c>
      <c r="B318">
        <v>0.15543999999999999</v>
      </c>
      <c r="C318">
        <v>0.1633</v>
      </c>
      <c r="D318">
        <v>0.14251</v>
      </c>
      <c r="E318">
        <v>0.14251</v>
      </c>
      <c r="F318">
        <v>34556979.5</v>
      </c>
      <c r="G318">
        <v>0</v>
      </c>
      <c r="L318" t="s">
        <v>8</v>
      </c>
      <c r="M318" t="s">
        <v>8</v>
      </c>
      <c r="N318" t="s">
        <v>7</v>
      </c>
      <c r="P318">
        <f t="shared" si="964"/>
        <v>-1</v>
      </c>
      <c r="Q318">
        <f t="shared" si="965"/>
        <v>-34556979.5</v>
      </c>
      <c r="R318">
        <f t="shared" si="966"/>
        <v>-656011630.13183904</v>
      </c>
      <c r="S318">
        <f t="shared" si="967"/>
        <v>-6560.1163013183905</v>
      </c>
      <c r="T318">
        <f t="shared" si="968"/>
        <v>-6.5601163013183905</v>
      </c>
    </row>
    <row r="319" spans="1:20" x14ac:dyDescent="0.25">
      <c r="A319" s="5">
        <v>44274</v>
      </c>
      <c r="B319">
        <v>0.13921</v>
      </c>
      <c r="C319">
        <v>0.156</v>
      </c>
      <c r="D319">
        <v>0.13589999999999999</v>
      </c>
      <c r="E319">
        <v>0.155</v>
      </c>
      <c r="F319">
        <v>33424565.800000001</v>
      </c>
      <c r="G319">
        <v>0</v>
      </c>
      <c r="L319" t="s">
        <v>8</v>
      </c>
      <c r="M319" t="s">
        <v>7</v>
      </c>
      <c r="N319" t="s">
        <v>7</v>
      </c>
      <c r="P319">
        <f t="shared" si="964"/>
        <v>0.90049751243781084</v>
      </c>
      <c r="Q319">
        <f t="shared" si="965"/>
        <v>30098738.357213929</v>
      </c>
      <c r="R319">
        <f t="shared" si="966"/>
        <v>-621454650.63183904</v>
      </c>
      <c r="S319">
        <f t="shared" si="967"/>
        <v>-6214.5465063183901</v>
      </c>
      <c r="T319">
        <f t="shared" si="968"/>
        <v>-6.2145465063183902</v>
      </c>
    </row>
    <row r="320" spans="1:20" x14ac:dyDescent="0.25">
      <c r="A320" s="5">
        <v>44273</v>
      </c>
      <c r="B320">
        <v>0.15390000000000001</v>
      </c>
      <c r="C320">
        <v>0.15498999999999999</v>
      </c>
      <c r="D320">
        <v>0.13589999999999999</v>
      </c>
      <c r="E320">
        <v>0.13938</v>
      </c>
      <c r="F320">
        <v>26528330.300000001</v>
      </c>
      <c r="G320">
        <v>0</v>
      </c>
      <c r="L320" t="s">
        <v>8</v>
      </c>
      <c r="M320" t="s">
        <v>7</v>
      </c>
      <c r="N320" t="s">
        <v>7</v>
      </c>
      <c r="P320">
        <f t="shared" si="964"/>
        <v>-0.63541121005762058</v>
      </c>
      <c r="Q320">
        <f t="shared" si="965"/>
        <v>-16856398.456731241</v>
      </c>
      <c r="R320">
        <f t="shared" si="966"/>
        <v>-651553388.98905301</v>
      </c>
      <c r="S320">
        <f t="shared" si="967"/>
        <v>-6515.5338898905302</v>
      </c>
      <c r="T320">
        <f t="shared" si="968"/>
        <v>-6.5155338898905306</v>
      </c>
    </row>
    <row r="321" spans="1:20" x14ac:dyDescent="0.25">
      <c r="A321" s="5">
        <v>44272</v>
      </c>
      <c r="B321">
        <v>0.15598999999999999</v>
      </c>
      <c r="C321">
        <v>0.1618</v>
      </c>
      <c r="D321">
        <v>0.13406000000000001</v>
      </c>
      <c r="E321">
        <v>0.1532</v>
      </c>
      <c r="F321">
        <v>42240839.700000003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0.37995674116798844</v>
      </c>
      <c r="Q321">
        <f t="shared" si="965"/>
        <v>16049691.796611391</v>
      </c>
      <c r="R321">
        <f t="shared" si="966"/>
        <v>-634696990.53232181</v>
      </c>
      <c r="S321">
        <f t="shared" si="967"/>
        <v>-6346.969905323218</v>
      </c>
      <c r="T321">
        <f t="shared" si="968"/>
        <v>-6.3469699053232178</v>
      </c>
    </row>
    <row r="322" spans="1:20" x14ac:dyDescent="0.25">
      <c r="A322" s="5">
        <v>44271</v>
      </c>
      <c r="B322">
        <v>0.15351000000000001</v>
      </c>
      <c r="C322">
        <v>0.1799</v>
      </c>
      <c r="D322">
        <v>0.13769999999999999</v>
      </c>
      <c r="E322">
        <v>0.15609999999999999</v>
      </c>
      <c r="F322">
        <v>82307841.200000003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-0.12796208530805719</v>
      </c>
      <c r="Q322">
        <f t="shared" si="965"/>
        <v>-10532282.997156424</v>
      </c>
      <c r="R322">
        <f t="shared" si="966"/>
        <v>-650746682.32893324</v>
      </c>
      <c r="S322">
        <f t="shared" si="967"/>
        <v>-6507.4668232893328</v>
      </c>
      <c r="T322">
        <f t="shared" si="968"/>
        <v>-6.5074668232893327</v>
      </c>
    </row>
    <row r="323" spans="1:20" x14ac:dyDescent="0.25">
      <c r="A323" s="5">
        <v>44270</v>
      </c>
      <c r="B323">
        <v>0.13763</v>
      </c>
      <c r="C323">
        <v>0.16400000000000001</v>
      </c>
      <c r="D323">
        <v>0.11643000000000001</v>
      </c>
      <c r="E323">
        <v>0.15351000000000001</v>
      </c>
      <c r="F323">
        <v>63178887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0.55896573470674804</v>
      </c>
      <c r="Q323">
        <f t="shared" si="965"/>
        <v>35314832.989909612</v>
      </c>
      <c r="R323">
        <f t="shared" si="966"/>
        <v>-640214399.33177686</v>
      </c>
      <c r="S323">
        <f t="shared" si="967"/>
        <v>-6402.1439933177689</v>
      </c>
      <c r="T323">
        <f t="shared" si="968"/>
        <v>-6.4021439933177691</v>
      </c>
    </row>
    <row r="324" spans="1:20" x14ac:dyDescent="0.25">
      <c r="A324" s="5">
        <v>44269</v>
      </c>
      <c r="B324">
        <v>0.13061</v>
      </c>
      <c r="C324">
        <v>0.15629000000000001</v>
      </c>
      <c r="D324">
        <v>0.12801000000000001</v>
      </c>
      <c r="E324">
        <v>0.13761999999999999</v>
      </c>
      <c r="F324">
        <v>57921894.100000001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-0.32036775106082177</v>
      </c>
      <c r="Q324">
        <f t="shared" si="965"/>
        <v>-18556306.950000081</v>
      </c>
      <c r="R324">
        <f t="shared" si="966"/>
        <v>-675529232.32168651</v>
      </c>
      <c r="S324">
        <f t="shared" si="967"/>
        <v>-6755.292323216865</v>
      </c>
      <c r="T324">
        <f t="shared" si="968"/>
        <v>-6.7552923232168647</v>
      </c>
    </row>
    <row r="325" spans="1:20" x14ac:dyDescent="0.25">
      <c r="A325" s="5">
        <v>44268</v>
      </c>
      <c r="B325">
        <v>0.13569000000000001</v>
      </c>
      <c r="C325">
        <v>0.13800000000000001</v>
      </c>
      <c r="D325">
        <v>0.11797000000000001</v>
      </c>
      <c r="E325">
        <v>0.13061</v>
      </c>
      <c r="F325">
        <v>41977310.200000003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0.2621068397403889</v>
      </c>
      <c r="Q325">
        <f t="shared" si="965"/>
        <v>11002540.117323993</v>
      </c>
      <c r="R325">
        <f t="shared" si="966"/>
        <v>-656972925.37168646</v>
      </c>
      <c r="S325">
        <f t="shared" si="967"/>
        <v>-6569.7292537168642</v>
      </c>
      <c r="T325">
        <f t="shared" si="968"/>
        <v>-6.5697292537168641</v>
      </c>
    </row>
    <row r="326" spans="1:20" x14ac:dyDescent="0.25">
      <c r="A326" s="5">
        <v>44267</v>
      </c>
      <c r="B326">
        <v>0.11459</v>
      </c>
      <c r="C326">
        <v>0.14495</v>
      </c>
      <c r="D326">
        <v>0.11322</v>
      </c>
      <c r="E326">
        <v>0.13589999999999999</v>
      </c>
      <c r="F326">
        <v>63718641.100000001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0.4295619287740306</v>
      </c>
      <c r="Q326">
        <f t="shared" ref="Q326:Q389" si="970">F326*P326</f>
        <v>27371102.369776219</v>
      </c>
      <c r="R326">
        <f t="shared" ref="R326:R389" si="971">R327+Q326</f>
        <v>-667975465.48901045</v>
      </c>
      <c r="S326">
        <f t="shared" ref="S326:S389" si="972">R326/100000</f>
        <v>-6679.7546548901046</v>
      </c>
      <c r="T326">
        <f t="shared" ref="T326:T389" si="973">S326/1000</f>
        <v>-6.6797546548901048</v>
      </c>
    </row>
    <row r="327" spans="1:20" x14ac:dyDescent="0.25">
      <c r="A327" s="5">
        <v>44266</v>
      </c>
      <c r="B327">
        <v>0.10736999999999999</v>
      </c>
      <c r="C327">
        <v>0.11856999999999999</v>
      </c>
      <c r="D327">
        <v>0.10458000000000001</v>
      </c>
      <c r="E327">
        <v>0.11509</v>
      </c>
      <c r="F327">
        <v>17878209.899999999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0.50250178699070769</v>
      </c>
      <c r="Q327">
        <f t="shared" si="970"/>
        <v>8983832.4229449611</v>
      </c>
      <c r="R327">
        <f t="shared" si="971"/>
        <v>-695346567.8587867</v>
      </c>
      <c r="S327">
        <f t="shared" si="972"/>
        <v>-6953.4656785878669</v>
      </c>
      <c r="T327">
        <f t="shared" si="973"/>
        <v>-6.9534656785878672</v>
      </c>
    </row>
    <row r="328" spans="1:20" x14ac:dyDescent="0.25">
      <c r="A328" s="5">
        <v>44265</v>
      </c>
      <c r="B328">
        <v>0.11956</v>
      </c>
      <c r="C328">
        <v>0.12</v>
      </c>
      <c r="D328">
        <v>0.10528</v>
      </c>
      <c r="E328">
        <v>0.10793</v>
      </c>
      <c r="F328">
        <v>21556966.800000001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-0.63994565217391308</v>
      </c>
      <c r="Q328">
        <f t="shared" si="970"/>
        <v>-13795287.177717393</v>
      </c>
      <c r="R328">
        <f t="shared" si="971"/>
        <v>-704330400.28173161</v>
      </c>
      <c r="S328">
        <f t="shared" si="972"/>
        <v>-7043.3040028173164</v>
      </c>
      <c r="T328">
        <f t="shared" si="973"/>
        <v>-7.0433040028173162</v>
      </c>
    </row>
    <row r="329" spans="1:20" x14ac:dyDescent="0.25">
      <c r="A329" s="5">
        <v>44264</v>
      </c>
      <c r="B329">
        <v>0.10344</v>
      </c>
      <c r="C329">
        <v>0.12</v>
      </c>
      <c r="D329">
        <v>0.10067</v>
      </c>
      <c r="E329">
        <v>0.11892</v>
      </c>
      <c r="F329">
        <v>36021448.200000003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0.88825659596482176</v>
      </c>
      <c r="Q329">
        <f t="shared" si="970"/>
        <v>31996288.959855158</v>
      </c>
      <c r="R329">
        <f t="shared" si="971"/>
        <v>-690535113.10401416</v>
      </c>
      <c r="S329">
        <f t="shared" si="972"/>
        <v>-6905.3511310401418</v>
      </c>
      <c r="T329">
        <f t="shared" si="973"/>
        <v>-6.9053511310401419</v>
      </c>
    </row>
    <row r="330" spans="1:20" x14ac:dyDescent="0.25">
      <c r="A330" s="5">
        <v>44263</v>
      </c>
      <c r="B330">
        <v>9.6199999999999994E-2</v>
      </c>
      <c r="C330">
        <v>0.10589999999999999</v>
      </c>
      <c r="D330">
        <v>9.1999999999999998E-2</v>
      </c>
      <c r="E330">
        <v>0.10342999999999999</v>
      </c>
      <c r="F330">
        <v>21577086.800000001</v>
      </c>
      <c r="G330">
        <v>0</v>
      </c>
      <c r="L330" t="s">
        <v>8</v>
      </c>
      <c r="M330" t="s">
        <v>7</v>
      </c>
      <c r="N330" t="s">
        <v>8</v>
      </c>
      <c r="P330">
        <f t="shared" si="969"/>
        <v>0.64460431654676253</v>
      </c>
      <c r="Q330">
        <f t="shared" si="970"/>
        <v>13908683.289784173</v>
      </c>
      <c r="R330">
        <f t="shared" si="971"/>
        <v>-722531402.06386936</v>
      </c>
      <c r="S330">
        <f t="shared" si="972"/>
        <v>-7225.3140206386934</v>
      </c>
      <c r="T330">
        <f t="shared" si="973"/>
        <v>-7.2253140206386934</v>
      </c>
    </row>
    <row r="331" spans="1:20" x14ac:dyDescent="0.25">
      <c r="A331" s="5">
        <v>44262</v>
      </c>
      <c r="B331">
        <v>9.9909999999999999E-2</v>
      </c>
      <c r="C331">
        <v>0.10259</v>
      </c>
      <c r="D331">
        <v>9.1800000000000007E-2</v>
      </c>
      <c r="E331">
        <v>9.6159999999999995E-2</v>
      </c>
      <c r="F331">
        <v>22038245.800000001</v>
      </c>
      <c r="G331">
        <v>0</v>
      </c>
      <c r="L331" t="s">
        <v>7</v>
      </c>
      <c r="M331" t="s">
        <v>7</v>
      </c>
      <c r="N331" t="s">
        <v>8</v>
      </c>
      <c r="P331">
        <f t="shared" si="969"/>
        <v>-0.19184430027803684</v>
      </c>
      <c r="Q331">
        <f t="shared" si="970"/>
        <v>-4227911.8448563842</v>
      </c>
      <c r="R331">
        <f t="shared" si="971"/>
        <v>-736440085.35365355</v>
      </c>
      <c r="S331">
        <f t="shared" si="972"/>
        <v>-7364.4008535365356</v>
      </c>
      <c r="T331">
        <f t="shared" si="973"/>
        <v>-7.3644008535365355</v>
      </c>
    </row>
    <row r="332" spans="1:20" x14ac:dyDescent="0.25">
      <c r="A332" s="5">
        <v>44261</v>
      </c>
      <c r="B332">
        <v>9.8080000000000001E-2</v>
      </c>
      <c r="C332">
        <v>0.10631</v>
      </c>
      <c r="D332">
        <v>9.2999999999999999E-2</v>
      </c>
      <c r="E332">
        <v>9.9919999999999995E-2</v>
      </c>
      <c r="F332">
        <v>29739929.899999999</v>
      </c>
      <c r="G332">
        <v>0</v>
      </c>
      <c r="L332" t="s">
        <v>7</v>
      </c>
      <c r="M332" t="s">
        <v>7</v>
      </c>
      <c r="N332" t="s">
        <v>8</v>
      </c>
      <c r="P332">
        <f t="shared" si="969"/>
        <v>3.9819684447782777E-2</v>
      </c>
      <c r="Q332">
        <f t="shared" si="970"/>
        <v>1184234.62411718</v>
      </c>
      <c r="R332">
        <f t="shared" si="971"/>
        <v>-732212173.50879717</v>
      </c>
      <c r="S332">
        <f t="shared" si="972"/>
        <v>-7322.1217350879715</v>
      </c>
      <c r="T332">
        <f t="shared" si="973"/>
        <v>-7.3221217350879719</v>
      </c>
    </row>
    <row r="333" spans="1:20" x14ac:dyDescent="0.25">
      <c r="A333" s="5">
        <v>44260</v>
      </c>
      <c r="B333">
        <v>8.9819999999999997E-2</v>
      </c>
      <c r="C333">
        <v>0.11444</v>
      </c>
      <c r="D333">
        <v>8.2250000000000004E-2</v>
      </c>
      <c r="E333">
        <v>9.7790000000000002E-2</v>
      </c>
      <c r="F333">
        <v>63610809.299999997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-3.4482758620689655E-2</v>
      </c>
      <c r="Q333">
        <f t="shared" si="970"/>
        <v>-2193476.1827586205</v>
      </c>
      <c r="R333">
        <f t="shared" si="971"/>
        <v>-733396408.1329143</v>
      </c>
      <c r="S333">
        <f t="shared" si="972"/>
        <v>-7333.9640813291435</v>
      </c>
      <c r="T333">
        <f t="shared" si="973"/>
        <v>-7.3339640813291433</v>
      </c>
    </row>
    <row r="334" spans="1:20" x14ac:dyDescent="0.25">
      <c r="A334" s="5">
        <v>44259</v>
      </c>
      <c r="B334">
        <v>9.0499999999999997E-2</v>
      </c>
      <c r="C334">
        <v>9.8650000000000002E-2</v>
      </c>
      <c r="D334">
        <v>8.6080000000000004E-2</v>
      </c>
      <c r="E334">
        <v>8.9760000000000006E-2</v>
      </c>
      <c r="F334">
        <v>19211488.800000001</v>
      </c>
      <c r="G334">
        <v>0</v>
      </c>
      <c r="L334" t="s">
        <v>8</v>
      </c>
      <c r="M334" t="s">
        <v>8</v>
      </c>
      <c r="N334" t="s">
        <v>7</v>
      </c>
      <c r="P334">
        <f t="shared" si="969"/>
        <v>-0.41447891805886977</v>
      </c>
      <c r="Q334">
        <f t="shared" si="970"/>
        <v>-7962757.0921240943</v>
      </c>
      <c r="R334">
        <f t="shared" si="971"/>
        <v>-731202931.95015574</v>
      </c>
      <c r="S334">
        <f t="shared" si="972"/>
        <v>-7312.0293195015574</v>
      </c>
      <c r="T334">
        <f t="shared" si="973"/>
        <v>-7.3120293195015575</v>
      </c>
    </row>
    <row r="335" spans="1:20" x14ac:dyDescent="0.25">
      <c r="A335" s="5">
        <v>44258</v>
      </c>
      <c r="B335">
        <v>8.9779999999999999E-2</v>
      </c>
      <c r="C335">
        <v>9.8000000000000004E-2</v>
      </c>
      <c r="D335">
        <v>8.7489999999999998E-2</v>
      </c>
      <c r="E335">
        <v>9.0499999999999997E-2</v>
      </c>
      <c r="F335">
        <v>14653100.1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-0.42721217887726026</v>
      </c>
      <c r="Q335">
        <f t="shared" si="970"/>
        <v>-6259982.8210276002</v>
      </c>
      <c r="R335">
        <f t="shared" si="971"/>
        <v>-723240174.85803163</v>
      </c>
      <c r="S335">
        <f t="shared" si="972"/>
        <v>-7232.4017485803161</v>
      </c>
      <c r="T335">
        <f t="shared" si="973"/>
        <v>-7.2324017485803163</v>
      </c>
    </row>
    <row r="336" spans="1:20" x14ac:dyDescent="0.25">
      <c r="A336" s="5">
        <v>44257</v>
      </c>
      <c r="B336">
        <v>8.7889999999999996E-2</v>
      </c>
      <c r="C336">
        <v>9.0999999999999998E-2</v>
      </c>
      <c r="D336">
        <v>8.3909999999999998E-2</v>
      </c>
      <c r="E336">
        <v>8.9160000000000003E-2</v>
      </c>
      <c r="F336">
        <v>14664873.300000001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0.48095909732017078</v>
      </c>
      <c r="Q336">
        <f t="shared" si="970"/>
        <v>7053204.2246826747</v>
      </c>
      <c r="R336">
        <f t="shared" si="971"/>
        <v>-716980192.03700399</v>
      </c>
      <c r="S336">
        <f t="shared" si="972"/>
        <v>-7169.8019203700396</v>
      </c>
      <c r="T336">
        <f t="shared" si="973"/>
        <v>-7.1698019203700394</v>
      </c>
    </row>
    <row r="337" spans="1:20" x14ac:dyDescent="0.25">
      <c r="A337" s="5">
        <v>44256</v>
      </c>
      <c r="B337">
        <v>8.0149999999999999E-2</v>
      </c>
      <c r="C337">
        <v>8.8880000000000001E-2</v>
      </c>
      <c r="D337">
        <v>7.9990000000000006E-2</v>
      </c>
      <c r="E337">
        <v>8.7870000000000004E-2</v>
      </c>
      <c r="F337">
        <v>14497325.1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0.77277840269966314</v>
      </c>
      <c r="Q337">
        <f t="shared" si="970"/>
        <v>11203219.734195733</v>
      </c>
      <c r="R337">
        <f t="shared" si="971"/>
        <v>-724033396.26168668</v>
      </c>
      <c r="S337">
        <f t="shared" si="972"/>
        <v>-7240.3339626168672</v>
      </c>
      <c r="T337">
        <f t="shared" si="973"/>
        <v>-7.2403339626168668</v>
      </c>
    </row>
    <row r="338" spans="1:20" x14ac:dyDescent="0.25">
      <c r="A338" s="5">
        <v>44255</v>
      </c>
      <c r="B338">
        <v>8.72E-2</v>
      </c>
      <c r="C338">
        <v>8.8770000000000002E-2</v>
      </c>
      <c r="D338">
        <v>7.3819999999999997E-2</v>
      </c>
      <c r="E338">
        <v>7.9729999999999995E-2</v>
      </c>
      <c r="F338">
        <v>26088091.199999999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-0.20936454849498373</v>
      </c>
      <c r="Q338">
        <f t="shared" si="970"/>
        <v>-5461921.4351839582</v>
      </c>
      <c r="R338">
        <f t="shared" si="971"/>
        <v>-735236615.99588239</v>
      </c>
      <c r="S338">
        <f t="shared" si="972"/>
        <v>-7352.366159958824</v>
      </c>
      <c r="T338">
        <f t="shared" si="973"/>
        <v>-7.3523661599588239</v>
      </c>
    </row>
    <row r="339" spans="1:20" x14ac:dyDescent="0.25">
      <c r="A339" s="5">
        <v>44254</v>
      </c>
      <c r="B339">
        <v>7.5770000000000004E-2</v>
      </c>
      <c r="C339">
        <v>0.10746</v>
      </c>
      <c r="D339">
        <v>7.5719999999999996E-2</v>
      </c>
      <c r="E339">
        <v>8.6980000000000002E-2</v>
      </c>
      <c r="F339">
        <v>84236448.599999994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-0.29048519218651514</v>
      </c>
      <c r="Q339">
        <f t="shared" si="970"/>
        <v>-24469440.960680503</v>
      </c>
      <c r="R339">
        <f t="shared" si="971"/>
        <v>-729774694.56069839</v>
      </c>
      <c r="S339">
        <f t="shared" si="972"/>
        <v>-7297.7469456069839</v>
      </c>
      <c r="T339">
        <f t="shared" si="973"/>
        <v>-7.2977469456069839</v>
      </c>
    </row>
    <row r="340" spans="1:20" x14ac:dyDescent="0.25">
      <c r="A340" s="5">
        <v>44253</v>
      </c>
      <c r="B340">
        <v>7.6700000000000004E-2</v>
      </c>
      <c r="C340">
        <v>7.9990000000000006E-2</v>
      </c>
      <c r="D340">
        <v>7.0000000000000007E-2</v>
      </c>
      <c r="E340">
        <v>7.5719999999999996E-2</v>
      </c>
      <c r="F340">
        <v>15975996.6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0.14514514514514307</v>
      </c>
      <c r="Q340">
        <f t="shared" si="970"/>
        <v>2318838.3453453123</v>
      </c>
      <c r="R340">
        <f t="shared" si="971"/>
        <v>-705305253.60001791</v>
      </c>
      <c r="S340">
        <f t="shared" si="972"/>
        <v>-7053.0525360001793</v>
      </c>
      <c r="T340">
        <f t="shared" si="973"/>
        <v>-7.0530525360001795</v>
      </c>
    </row>
    <row r="341" spans="1:20" x14ac:dyDescent="0.25">
      <c r="A341" s="5">
        <v>44252</v>
      </c>
      <c r="B341">
        <v>8.4529999999999994E-2</v>
      </c>
      <c r="C341">
        <v>8.9319999999999997E-2</v>
      </c>
      <c r="D341">
        <v>7.6130000000000003E-2</v>
      </c>
      <c r="E341">
        <v>7.6499999999999999E-2</v>
      </c>
      <c r="F341">
        <v>13292183.9</v>
      </c>
      <c r="G341">
        <v>0</v>
      </c>
      <c r="L341" t="s">
        <v>7</v>
      </c>
      <c r="M341" t="s">
        <v>7</v>
      </c>
      <c r="N341" t="s">
        <v>7</v>
      </c>
      <c r="P341">
        <f t="shared" si="969"/>
        <v>-0.94389689158453438</v>
      </c>
      <c r="Q341">
        <f t="shared" si="970"/>
        <v>-12546451.065579994</v>
      </c>
      <c r="R341">
        <f t="shared" si="971"/>
        <v>-707624091.94536316</v>
      </c>
      <c r="S341">
        <f t="shared" si="972"/>
        <v>-7076.2409194536312</v>
      </c>
      <c r="T341">
        <f t="shared" si="973"/>
        <v>-7.0762409194536309</v>
      </c>
    </row>
    <row r="342" spans="1:20" x14ac:dyDescent="0.25">
      <c r="A342" s="5">
        <v>44251</v>
      </c>
      <c r="B342">
        <v>7.9229999999999995E-2</v>
      </c>
      <c r="C342">
        <v>9.1980000000000006E-2</v>
      </c>
      <c r="D342">
        <v>7.4490000000000001E-2</v>
      </c>
      <c r="E342">
        <v>8.4720000000000004E-2</v>
      </c>
      <c r="F342">
        <v>23180251.300000001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0.16981132075471694</v>
      </c>
      <c r="Q342">
        <f t="shared" si="970"/>
        <v>3936269.0886792447</v>
      </c>
      <c r="R342">
        <f t="shared" si="971"/>
        <v>-695077640.87978315</v>
      </c>
      <c r="S342">
        <f t="shared" si="972"/>
        <v>-6950.7764087978312</v>
      </c>
      <c r="T342">
        <f t="shared" si="973"/>
        <v>-6.9507764087978314</v>
      </c>
    </row>
    <row r="343" spans="1:20" x14ac:dyDescent="0.25">
      <c r="A343" s="5">
        <v>44250</v>
      </c>
      <c r="B343">
        <v>9.5430000000000001E-2</v>
      </c>
      <c r="C343">
        <v>9.5500000000000002E-2</v>
      </c>
      <c r="D343">
        <v>6.93E-2</v>
      </c>
      <c r="E343">
        <v>7.961E-2</v>
      </c>
      <c r="F343">
        <v>34733626.700000003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-0.21297709923664127</v>
      </c>
      <c r="Q343">
        <f t="shared" si="970"/>
        <v>-7397467.0605343534</v>
      </c>
      <c r="R343">
        <f t="shared" si="971"/>
        <v>-699013909.96846235</v>
      </c>
      <c r="S343">
        <f t="shared" si="972"/>
        <v>-6990.139099684623</v>
      </c>
      <c r="T343">
        <f t="shared" si="973"/>
        <v>-6.9901390996846233</v>
      </c>
    </row>
    <row r="344" spans="1:20" x14ac:dyDescent="0.25">
      <c r="A344" s="5">
        <v>44249</v>
      </c>
      <c r="B344">
        <v>0.11344</v>
      </c>
      <c r="C344">
        <v>0.11344</v>
      </c>
      <c r="D344">
        <v>7.8520000000000006E-2</v>
      </c>
      <c r="E344">
        <v>9.4969999999999999E-2</v>
      </c>
      <c r="F344">
        <v>24738130.699999999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-5.7846506300114786E-2</v>
      </c>
      <c r="Q344">
        <f t="shared" si="970"/>
        <v>-1431014.4333906129</v>
      </c>
      <c r="R344">
        <f t="shared" si="971"/>
        <v>-691616442.90792799</v>
      </c>
      <c r="S344">
        <f t="shared" si="972"/>
        <v>-6916.1644290792801</v>
      </c>
      <c r="T344">
        <f t="shared" si="973"/>
        <v>-6.9161644290792799</v>
      </c>
    </row>
    <row r="345" spans="1:20" x14ac:dyDescent="0.25">
      <c r="A345" s="5">
        <v>44248</v>
      </c>
      <c r="B345">
        <v>0.106</v>
      </c>
      <c r="C345">
        <v>0.11509999999999999</v>
      </c>
      <c r="D345">
        <v>0.10464</v>
      </c>
      <c r="E345">
        <v>0.11276</v>
      </c>
      <c r="F345">
        <v>13481234.1</v>
      </c>
      <c r="G345">
        <v>0</v>
      </c>
      <c r="L345" t="s">
        <v>8</v>
      </c>
      <c r="M345" t="s">
        <v>7</v>
      </c>
      <c r="N345" t="s">
        <v>7</v>
      </c>
      <c r="P345">
        <f t="shared" si="969"/>
        <v>0.55258126195028767</v>
      </c>
      <c r="Q345">
        <f t="shared" si="970"/>
        <v>7449477.3516252507</v>
      </c>
      <c r="R345">
        <f t="shared" si="971"/>
        <v>-690185428.47453737</v>
      </c>
      <c r="S345">
        <f t="shared" si="972"/>
        <v>-6901.8542847453737</v>
      </c>
      <c r="T345">
        <f t="shared" si="973"/>
        <v>-6.9018542847453741</v>
      </c>
    </row>
    <row r="346" spans="1:20" x14ac:dyDescent="0.25">
      <c r="A346" s="5">
        <v>44247</v>
      </c>
      <c r="B346">
        <v>0.11486</v>
      </c>
      <c r="C346">
        <v>0.12285</v>
      </c>
      <c r="D346">
        <v>0.1</v>
      </c>
      <c r="E346">
        <v>0.106</v>
      </c>
      <c r="F346">
        <v>32651580.699999999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-0.47483588621444267</v>
      </c>
      <c r="Q346">
        <f t="shared" si="970"/>
        <v>-15504142.257986892</v>
      </c>
      <c r="R346">
        <f t="shared" si="971"/>
        <v>-697634905.82616258</v>
      </c>
      <c r="S346">
        <f t="shared" si="972"/>
        <v>-6976.3490582616259</v>
      </c>
      <c r="T346">
        <f t="shared" si="973"/>
        <v>-6.9763490582616257</v>
      </c>
    </row>
    <row r="347" spans="1:20" x14ac:dyDescent="0.25">
      <c r="A347" s="5">
        <v>44246</v>
      </c>
      <c r="B347">
        <v>0.11927</v>
      </c>
      <c r="C347">
        <v>0.12121999999999999</v>
      </c>
      <c r="D347">
        <v>0.1099</v>
      </c>
      <c r="E347">
        <v>0.11459999999999999</v>
      </c>
      <c r="F347">
        <v>22839582.800000001</v>
      </c>
      <c r="G347">
        <v>0</v>
      </c>
      <c r="L347" t="s">
        <v>7</v>
      </c>
      <c r="M347" t="s">
        <v>8</v>
      </c>
      <c r="N347" t="s">
        <v>7</v>
      </c>
      <c r="P347">
        <f t="shared" si="969"/>
        <v>-0.16961130742049518</v>
      </c>
      <c r="Q347">
        <f t="shared" si="970"/>
        <v>-3873851.4996466544</v>
      </c>
      <c r="R347">
        <f t="shared" si="971"/>
        <v>-682130763.56817567</v>
      </c>
      <c r="S347">
        <f t="shared" si="972"/>
        <v>-6821.3076356817564</v>
      </c>
      <c r="T347">
        <f t="shared" si="973"/>
        <v>-6.8213076356817561</v>
      </c>
    </row>
    <row r="348" spans="1:20" x14ac:dyDescent="0.25">
      <c r="A348" s="5">
        <v>44245</v>
      </c>
      <c r="B348">
        <v>0.11448999999999999</v>
      </c>
      <c r="C348">
        <v>0.127</v>
      </c>
      <c r="D348">
        <v>0.11403000000000001</v>
      </c>
      <c r="E348">
        <v>0.11924999999999999</v>
      </c>
      <c r="F348">
        <v>34322107.100000001</v>
      </c>
      <c r="G348">
        <v>0</v>
      </c>
      <c r="L348" t="s">
        <v>7</v>
      </c>
      <c r="M348" t="s">
        <v>8</v>
      </c>
      <c r="N348" t="s">
        <v>7</v>
      </c>
      <c r="P348">
        <f t="shared" si="969"/>
        <v>-0.19506553585196756</v>
      </c>
      <c r="Q348">
        <f t="shared" si="970"/>
        <v>-6695060.2130301204</v>
      </c>
      <c r="R348">
        <f t="shared" si="971"/>
        <v>-678256912.06852901</v>
      </c>
      <c r="S348">
        <f t="shared" si="972"/>
        <v>-6782.5691206852898</v>
      </c>
      <c r="T348">
        <f t="shared" si="973"/>
        <v>-6.7825691206852898</v>
      </c>
    </row>
    <row r="349" spans="1:20" x14ac:dyDescent="0.25">
      <c r="A349" s="5">
        <v>44244</v>
      </c>
      <c r="B349">
        <v>0.10301</v>
      </c>
      <c r="C349">
        <v>0.12667999999999999</v>
      </c>
      <c r="D349">
        <v>9.5119999999999996E-2</v>
      </c>
      <c r="E349">
        <v>0.11405999999999999</v>
      </c>
      <c r="F349">
        <v>61727840.700000003</v>
      </c>
      <c r="G349">
        <v>0</v>
      </c>
      <c r="L349" t="s">
        <v>8</v>
      </c>
      <c r="M349" t="s">
        <v>8</v>
      </c>
      <c r="N349" t="s">
        <v>7</v>
      </c>
      <c r="P349">
        <f t="shared" si="969"/>
        <v>0.20025348542458835</v>
      </c>
      <c r="Q349">
        <f t="shared" si="970"/>
        <v>12361215.247908762</v>
      </c>
      <c r="R349">
        <f t="shared" si="971"/>
        <v>-671561851.85549891</v>
      </c>
      <c r="S349">
        <f t="shared" si="972"/>
        <v>-6715.6185185549894</v>
      </c>
      <c r="T349">
        <f t="shared" si="973"/>
        <v>-6.7156185185549893</v>
      </c>
    </row>
    <row r="350" spans="1:20" x14ac:dyDescent="0.25">
      <c r="A350" s="5">
        <v>44243</v>
      </c>
      <c r="B350">
        <v>0.10526000000000001</v>
      </c>
      <c r="C350">
        <v>0.11441</v>
      </c>
      <c r="D350">
        <v>9.7890000000000005E-2</v>
      </c>
      <c r="E350">
        <v>0.10301</v>
      </c>
      <c r="F350">
        <v>23423822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-0.380145278450363</v>
      </c>
      <c r="Q350">
        <f t="shared" si="970"/>
        <v>-8904455.3365617394</v>
      </c>
      <c r="R350">
        <f t="shared" si="971"/>
        <v>-683923067.10340762</v>
      </c>
      <c r="S350">
        <f t="shared" si="972"/>
        <v>-6839.2306710340763</v>
      </c>
      <c r="T350">
        <f t="shared" si="973"/>
        <v>-6.839230671034076</v>
      </c>
    </row>
    <row r="351" spans="1:20" x14ac:dyDescent="0.25">
      <c r="A351" s="5">
        <v>44242</v>
      </c>
      <c r="B351">
        <v>0.11326</v>
      </c>
      <c r="C351">
        <v>0.11745</v>
      </c>
      <c r="D351">
        <v>9.6100000000000005E-2</v>
      </c>
      <c r="E351">
        <v>0.10578</v>
      </c>
      <c r="F351">
        <v>35092139.299999997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-9.3208430913349238E-2</v>
      </c>
      <c r="Q351">
        <f t="shared" si="970"/>
        <v>-3270883.2415456777</v>
      </c>
      <c r="R351">
        <f t="shared" si="971"/>
        <v>-675018611.76684594</v>
      </c>
      <c r="S351">
        <f t="shared" si="972"/>
        <v>-6750.1861176684597</v>
      </c>
      <c r="T351">
        <f t="shared" si="973"/>
        <v>-6.7501861176684601</v>
      </c>
    </row>
    <row r="352" spans="1:20" x14ac:dyDescent="0.25">
      <c r="A352" s="5">
        <v>44241</v>
      </c>
      <c r="B352">
        <v>0.1273</v>
      </c>
      <c r="C352">
        <v>0.12831000000000001</v>
      </c>
      <c r="D352">
        <v>0.11020000000000001</v>
      </c>
      <c r="E352">
        <v>0.11304</v>
      </c>
      <c r="F352">
        <v>51308738.399999999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-0.686361126449476</v>
      </c>
      <c r="Q352">
        <f t="shared" si="970"/>
        <v>-35216323.484925486</v>
      </c>
      <c r="R352">
        <f t="shared" si="971"/>
        <v>-671747728.52530026</v>
      </c>
      <c r="S352">
        <f t="shared" si="972"/>
        <v>-6717.4772852530023</v>
      </c>
      <c r="T352">
        <f t="shared" si="973"/>
        <v>-6.7174772852530023</v>
      </c>
    </row>
    <row r="353" spans="1:20" x14ac:dyDescent="0.25">
      <c r="A353" s="5">
        <v>44240</v>
      </c>
      <c r="B353">
        <v>0.13156000000000001</v>
      </c>
      <c r="C353">
        <v>0.13961000000000001</v>
      </c>
      <c r="D353">
        <v>0.12</v>
      </c>
      <c r="E353">
        <v>0.12712999999999999</v>
      </c>
      <c r="F353">
        <v>98661250.700000003</v>
      </c>
      <c r="G353">
        <v>0</v>
      </c>
      <c r="L353" t="s">
        <v>7</v>
      </c>
      <c r="M353" t="s">
        <v>7</v>
      </c>
      <c r="N353" t="s">
        <v>7</v>
      </c>
      <c r="P353">
        <f t="shared" si="969"/>
        <v>-0.27281998980112276</v>
      </c>
      <c r="Q353">
        <f t="shared" si="970"/>
        <v>-26916761.409740016</v>
      </c>
      <c r="R353">
        <f t="shared" si="971"/>
        <v>-636531405.04037476</v>
      </c>
      <c r="S353">
        <f t="shared" si="972"/>
        <v>-6365.3140504037474</v>
      </c>
      <c r="T353">
        <f t="shared" si="973"/>
        <v>-6.3653140504037475</v>
      </c>
    </row>
    <row r="354" spans="1:20" x14ac:dyDescent="0.25">
      <c r="A354" s="5">
        <v>44239</v>
      </c>
      <c r="B354">
        <v>9.7189999999999999E-2</v>
      </c>
      <c r="C354">
        <v>0.19</v>
      </c>
      <c r="D354">
        <v>9.171E-2</v>
      </c>
      <c r="E354">
        <v>0.13156000000000001</v>
      </c>
      <c r="F354">
        <v>619647805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-0.18913419472988077</v>
      </c>
      <c r="Q354">
        <f t="shared" si="970"/>
        <v>-117196588.61481319</v>
      </c>
      <c r="R354">
        <f t="shared" si="971"/>
        <v>-609614643.63063478</v>
      </c>
      <c r="S354">
        <f t="shared" si="972"/>
        <v>-6096.1464363063478</v>
      </c>
      <c r="T354">
        <f t="shared" si="973"/>
        <v>-6.0961464363063476</v>
      </c>
    </row>
    <row r="355" spans="1:20" x14ac:dyDescent="0.25">
      <c r="A355" s="5">
        <v>44238</v>
      </c>
      <c r="B355">
        <v>8.4220000000000003E-2</v>
      </c>
      <c r="C355">
        <v>0.11</v>
      </c>
      <c r="D355">
        <v>8.1420000000000006E-2</v>
      </c>
      <c r="E355">
        <v>9.6960000000000005E-2</v>
      </c>
      <c r="F355">
        <v>51631400.200000003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8.7473757872638308E-2</v>
      </c>
      <c r="Q355">
        <f t="shared" si="970"/>
        <v>4516392.5997200897</v>
      </c>
      <c r="R355">
        <f t="shared" si="971"/>
        <v>-492418055.01582158</v>
      </c>
      <c r="S355">
        <f t="shared" si="972"/>
        <v>-4924.1805501582157</v>
      </c>
      <c r="T355">
        <f t="shared" si="973"/>
        <v>-4.9241805501582157</v>
      </c>
    </row>
    <row r="356" spans="1:20" x14ac:dyDescent="0.25">
      <c r="A356" s="5">
        <v>44237</v>
      </c>
      <c r="B356">
        <v>7.6090000000000005E-2</v>
      </c>
      <c r="C356">
        <v>8.5000000000000006E-2</v>
      </c>
      <c r="D356">
        <v>7.3730000000000004E-2</v>
      </c>
      <c r="E356">
        <v>8.4430000000000005E-2</v>
      </c>
      <c r="F356">
        <v>33505398.399999999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0.89884649511978687</v>
      </c>
      <c r="Q356">
        <f t="shared" si="970"/>
        <v>30116209.919432115</v>
      </c>
      <c r="R356">
        <f t="shared" si="971"/>
        <v>-496934447.61554164</v>
      </c>
      <c r="S356">
        <f t="shared" si="972"/>
        <v>-4969.3444761554165</v>
      </c>
      <c r="T356">
        <f t="shared" si="973"/>
        <v>-4.9693444761554169</v>
      </c>
    </row>
    <row r="357" spans="1:20" x14ac:dyDescent="0.25">
      <c r="A357" s="5">
        <v>44236</v>
      </c>
      <c r="B357">
        <v>7.4289999999999995E-2</v>
      </c>
      <c r="C357">
        <v>7.9990000000000006E-2</v>
      </c>
      <c r="D357">
        <v>7.0650000000000004E-2</v>
      </c>
      <c r="E357">
        <v>7.6170000000000002E-2</v>
      </c>
      <c r="F357">
        <v>28970400.199999999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0.18201284796573799</v>
      </c>
      <c r="Q357">
        <f t="shared" si="970"/>
        <v>5272985.0471091857</v>
      </c>
      <c r="R357">
        <f t="shared" si="971"/>
        <v>-527050657.53497374</v>
      </c>
      <c r="S357">
        <f t="shared" si="972"/>
        <v>-5270.5065753497374</v>
      </c>
      <c r="T357">
        <f t="shared" si="973"/>
        <v>-5.2705065753497378</v>
      </c>
    </row>
    <row r="358" spans="1:20" x14ac:dyDescent="0.25">
      <c r="A358" s="5">
        <v>44235</v>
      </c>
      <c r="B358">
        <v>6.9459999999999994E-2</v>
      </c>
      <c r="C358">
        <v>7.7200000000000005E-2</v>
      </c>
      <c r="D358">
        <v>6.7669999999999994E-2</v>
      </c>
      <c r="E358">
        <v>7.4380000000000002E-2</v>
      </c>
      <c r="F358">
        <v>22931117.100000001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0.40818467995802732</v>
      </c>
      <c r="Q358">
        <f t="shared" si="970"/>
        <v>9360130.6945435479</v>
      </c>
      <c r="R358">
        <f t="shared" si="971"/>
        <v>-532323642.58208293</v>
      </c>
      <c r="S358">
        <f t="shared" si="972"/>
        <v>-5323.236425820829</v>
      </c>
      <c r="T358">
        <f t="shared" si="973"/>
        <v>-5.3232364258208289</v>
      </c>
    </row>
    <row r="359" spans="1:20" x14ac:dyDescent="0.25">
      <c r="A359" s="5">
        <v>44234</v>
      </c>
      <c r="B359">
        <v>7.1429999999999993E-2</v>
      </c>
      <c r="C359">
        <v>7.4520000000000003E-2</v>
      </c>
      <c r="D359">
        <v>6.5000000000000002E-2</v>
      </c>
      <c r="E359">
        <v>6.9459999999999994E-2</v>
      </c>
      <c r="F359">
        <v>16281510.199999999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-6.3025210084035416E-2</v>
      </c>
      <c r="Q359">
        <f t="shared" si="970"/>
        <v>-1026145.6008403654</v>
      </c>
      <c r="R359">
        <f t="shared" si="971"/>
        <v>-541683773.27662647</v>
      </c>
      <c r="S359">
        <f t="shared" si="972"/>
        <v>-5416.8377327662647</v>
      </c>
      <c r="T359">
        <f t="shared" si="973"/>
        <v>-5.4168377327662647</v>
      </c>
    </row>
    <row r="360" spans="1:20" x14ac:dyDescent="0.25">
      <c r="A360" s="5">
        <v>44233</v>
      </c>
      <c r="B360">
        <v>7.9920000000000005E-2</v>
      </c>
      <c r="C360">
        <v>8.0600000000000005E-2</v>
      </c>
      <c r="D360">
        <v>7.0440000000000003E-2</v>
      </c>
      <c r="E360">
        <v>7.1429999999999993E-2</v>
      </c>
      <c r="F360">
        <v>16218435.1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-0.80511811023622226</v>
      </c>
      <c r="Q360">
        <f t="shared" si="970"/>
        <v>-13057755.818700816</v>
      </c>
      <c r="R360">
        <f t="shared" si="971"/>
        <v>-540657627.67578614</v>
      </c>
      <c r="S360">
        <f t="shared" si="972"/>
        <v>-5406.5762767578617</v>
      </c>
      <c r="T360">
        <f t="shared" si="973"/>
        <v>-5.4065762767578613</v>
      </c>
    </row>
    <row r="361" spans="1:20" x14ac:dyDescent="0.25">
      <c r="A361" s="5">
        <v>44232</v>
      </c>
      <c r="B361">
        <v>7.084E-2</v>
      </c>
      <c r="C361">
        <v>8.3000000000000004E-2</v>
      </c>
      <c r="D361">
        <v>7.0230000000000001E-2</v>
      </c>
      <c r="E361">
        <v>7.961E-2</v>
      </c>
      <c r="F361">
        <v>24225064.899999999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0.46906812842599793</v>
      </c>
      <c r="Q361">
        <f t="shared" si="970"/>
        <v>11363205.853641335</v>
      </c>
      <c r="R361">
        <f t="shared" si="971"/>
        <v>-527599871.85708529</v>
      </c>
      <c r="S361">
        <f t="shared" si="972"/>
        <v>-5275.9987185708533</v>
      </c>
      <c r="T361">
        <f t="shared" si="973"/>
        <v>-5.275998718570853</v>
      </c>
    </row>
    <row r="362" spans="1:20" x14ac:dyDescent="0.25">
      <c r="A362" s="5">
        <v>44231</v>
      </c>
      <c r="B362">
        <v>7.6759999999999995E-2</v>
      </c>
      <c r="C362">
        <v>7.85E-2</v>
      </c>
      <c r="D362">
        <v>6.6449999999999995E-2</v>
      </c>
      <c r="E362">
        <v>7.0730000000000001E-2</v>
      </c>
      <c r="F362">
        <v>16873274.699999999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-0.28962655601659681</v>
      </c>
      <c r="Q362">
        <f t="shared" si="970"/>
        <v>-4886948.4400829757</v>
      </c>
      <c r="R362">
        <f t="shared" si="971"/>
        <v>-538963077.71072662</v>
      </c>
      <c r="S362">
        <f t="shared" si="972"/>
        <v>-5389.6307771072661</v>
      </c>
      <c r="T362">
        <f t="shared" si="973"/>
        <v>-5.389630777107266</v>
      </c>
    </row>
    <row r="363" spans="1:20" x14ac:dyDescent="0.25">
      <c r="A363" s="5">
        <v>44230</v>
      </c>
      <c r="B363">
        <v>6.3490000000000005E-2</v>
      </c>
      <c r="C363">
        <v>7.9000000000000001E-2</v>
      </c>
      <c r="D363">
        <v>6.225E-2</v>
      </c>
      <c r="E363">
        <v>7.6759999999999995E-2</v>
      </c>
      <c r="F363">
        <v>38437357.5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0.73253731343283512</v>
      </c>
      <c r="Q363">
        <f t="shared" si="970"/>
        <v>28156798.598507434</v>
      </c>
      <c r="R363">
        <f t="shared" si="971"/>
        <v>-534076129.27064359</v>
      </c>
      <c r="S363">
        <f t="shared" si="972"/>
        <v>-5340.7612927064356</v>
      </c>
      <c r="T363">
        <f t="shared" si="973"/>
        <v>-5.3407612927064356</v>
      </c>
    </row>
    <row r="364" spans="1:20" x14ac:dyDescent="0.25">
      <c r="A364" s="5">
        <v>44229</v>
      </c>
      <c r="B364">
        <v>5.9279999999999999E-2</v>
      </c>
      <c r="C364">
        <v>6.4960000000000004E-2</v>
      </c>
      <c r="D364">
        <v>5.8110000000000002E-2</v>
      </c>
      <c r="E364">
        <v>6.3170000000000004E-2</v>
      </c>
      <c r="F364">
        <v>10834357.300000001</v>
      </c>
      <c r="G364">
        <v>0</v>
      </c>
      <c r="L364" t="s">
        <v>8</v>
      </c>
      <c r="M364" t="s">
        <v>7</v>
      </c>
      <c r="N364" t="s">
        <v>7</v>
      </c>
      <c r="P364">
        <f t="shared" si="969"/>
        <v>0.4773722627737228</v>
      </c>
      <c r="Q364">
        <f t="shared" si="970"/>
        <v>5172021.660000002</v>
      </c>
      <c r="R364">
        <f t="shared" si="971"/>
        <v>-562232927.869151</v>
      </c>
      <c r="S364">
        <f t="shared" si="972"/>
        <v>-5622.3292786915099</v>
      </c>
      <c r="T364">
        <f t="shared" si="973"/>
        <v>-5.6223292786915096</v>
      </c>
    </row>
    <row r="365" spans="1:20" x14ac:dyDescent="0.25">
      <c r="A365" s="5">
        <v>44228</v>
      </c>
      <c r="B365">
        <v>5.901E-2</v>
      </c>
      <c r="C365">
        <v>6.0389999999999999E-2</v>
      </c>
      <c r="D365">
        <v>5.7000000000000002E-2</v>
      </c>
      <c r="E365">
        <v>5.9450000000000003E-2</v>
      </c>
      <c r="F365">
        <v>12500811.699999999</v>
      </c>
      <c r="G365">
        <v>0</v>
      </c>
      <c r="L365" t="s">
        <v>8</v>
      </c>
      <c r="M365" t="s">
        <v>7</v>
      </c>
      <c r="N365" t="s">
        <v>7</v>
      </c>
      <c r="P365">
        <f t="shared" si="969"/>
        <v>0.44542772861357099</v>
      </c>
      <c r="Q365">
        <f t="shared" si="970"/>
        <v>5568208.161356953</v>
      </c>
      <c r="R365">
        <f t="shared" si="971"/>
        <v>-567404949.52915096</v>
      </c>
      <c r="S365">
        <f t="shared" si="972"/>
        <v>-5674.0494952915096</v>
      </c>
      <c r="T365">
        <f t="shared" si="973"/>
        <v>-5.6740494952915093</v>
      </c>
    </row>
    <row r="366" spans="1:20" x14ac:dyDescent="0.25">
      <c r="A366" s="5">
        <v>44227</v>
      </c>
      <c r="B366">
        <v>6.3950000000000007E-2</v>
      </c>
      <c r="C366">
        <v>6.3950000000000007E-2</v>
      </c>
      <c r="D366">
        <v>5.5710000000000003E-2</v>
      </c>
      <c r="E366">
        <v>5.91E-2</v>
      </c>
      <c r="F366">
        <v>13871421.5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-0.17718446601941859</v>
      </c>
      <c r="Q366">
        <f t="shared" si="970"/>
        <v>-2457800.4114077822</v>
      </c>
      <c r="R366">
        <f t="shared" si="971"/>
        <v>-572973157.69050789</v>
      </c>
      <c r="S366">
        <f t="shared" si="972"/>
        <v>-5729.7315769050792</v>
      </c>
      <c r="T366">
        <f t="shared" si="973"/>
        <v>-5.7297315769050794</v>
      </c>
    </row>
    <row r="367" spans="1:20" x14ac:dyDescent="0.25">
      <c r="A367" s="5">
        <v>44226</v>
      </c>
      <c r="B367">
        <v>5.6309999999999999E-2</v>
      </c>
      <c r="C367">
        <v>6.9120000000000001E-2</v>
      </c>
      <c r="D367">
        <v>5.4530000000000002E-2</v>
      </c>
      <c r="E367">
        <v>6.3570000000000002E-2</v>
      </c>
      <c r="F367">
        <v>28543652.300000001</v>
      </c>
      <c r="G367">
        <v>0</v>
      </c>
      <c r="L367" t="s">
        <v>8</v>
      </c>
      <c r="M367" t="s">
        <v>8</v>
      </c>
      <c r="N367" t="s">
        <v>7</v>
      </c>
      <c r="P367">
        <f t="shared" si="969"/>
        <v>0.23920493488690886</v>
      </c>
      <c r="Q367">
        <f t="shared" si="970"/>
        <v>6827782.4898560662</v>
      </c>
      <c r="R367">
        <f t="shared" si="971"/>
        <v>-570515357.27910006</v>
      </c>
      <c r="S367">
        <f t="shared" si="972"/>
        <v>-5705.1535727910004</v>
      </c>
      <c r="T367">
        <f t="shared" si="973"/>
        <v>-5.7051535727910005</v>
      </c>
    </row>
    <row r="368" spans="1:20" x14ac:dyDescent="0.25">
      <c r="A368" s="5">
        <v>44225</v>
      </c>
      <c r="B368">
        <v>5.5690000000000003E-2</v>
      </c>
      <c r="C368">
        <v>5.799E-2</v>
      </c>
      <c r="D368">
        <v>5.3330000000000002E-2</v>
      </c>
      <c r="E368">
        <v>5.6160000000000002E-2</v>
      </c>
      <c r="F368">
        <v>16051834.1</v>
      </c>
      <c r="G368">
        <v>0</v>
      </c>
      <c r="L368" t="s">
        <v>7</v>
      </c>
      <c r="M368" t="s">
        <v>7</v>
      </c>
      <c r="N368" t="s">
        <v>7</v>
      </c>
      <c r="P368">
        <f t="shared" si="969"/>
        <v>0.2145922746781119</v>
      </c>
      <c r="Q368">
        <f t="shared" si="970"/>
        <v>3444599.5922746831</v>
      </c>
      <c r="R368">
        <f t="shared" si="971"/>
        <v>-577343139.76895618</v>
      </c>
      <c r="S368">
        <f t="shared" si="972"/>
        <v>-5773.4313976895619</v>
      </c>
      <c r="T368">
        <f t="shared" si="973"/>
        <v>-5.7734313976895617</v>
      </c>
    </row>
    <row r="369" spans="1:20" x14ac:dyDescent="0.25">
      <c r="A369" s="5">
        <v>44224</v>
      </c>
      <c r="B369">
        <v>5.3420000000000002E-2</v>
      </c>
      <c r="C369">
        <v>5.8650000000000001E-2</v>
      </c>
      <c r="D369">
        <v>5.3100000000000001E-2</v>
      </c>
      <c r="E369">
        <v>5.5870000000000003E-2</v>
      </c>
      <c r="F369">
        <v>9899121.1999999993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-1.8018018018011034E-3</v>
      </c>
      <c r="Q369">
        <f t="shared" si="970"/>
        <v>-17836.2544144075</v>
      </c>
      <c r="R369">
        <f t="shared" si="971"/>
        <v>-580787739.36123085</v>
      </c>
      <c r="S369">
        <f t="shared" si="972"/>
        <v>-5807.8773936123089</v>
      </c>
      <c r="T369">
        <f t="shared" si="973"/>
        <v>-5.8078773936123085</v>
      </c>
    </row>
    <row r="370" spans="1:20" x14ac:dyDescent="0.25">
      <c r="A370" s="5">
        <v>44223</v>
      </c>
      <c r="B370">
        <v>6.1010000000000002E-2</v>
      </c>
      <c r="C370">
        <v>6.1400000000000003E-2</v>
      </c>
      <c r="D370">
        <v>5.0799999999999998E-2</v>
      </c>
      <c r="E370">
        <v>5.348E-2</v>
      </c>
      <c r="F370">
        <v>12680859.9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-0.49433962264150932</v>
      </c>
      <c r="Q370">
        <f t="shared" si="970"/>
        <v>-6268651.4977358477</v>
      </c>
      <c r="R370">
        <f t="shared" si="971"/>
        <v>-580769903.10681641</v>
      </c>
      <c r="S370">
        <f t="shared" si="972"/>
        <v>-5807.699031068164</v>
      </c>
      <c r="T370">
        <f t="shared" si="973"/>
        <v>-5.8076990310681644</v>
      </c>
    </row>
    <row r="371" spans="1:20" x14ac:dyDescent="0.25">
      <c r="A371" s="5">
        <v>44222</v>
      </c>
      <c r="B371">
        <v>5.6259999999999998E-2</v>
      </c>
      <c r="C371">
        <v>6.1499999999999999E-2</v>
      </c>
      <c r="D371">
        <v>5.3510000000000002E-2</v>
      </c>
      <c r="E371">
        <v>6.1069999999999999E-2</v>
      </c>
      <c r="F371">
        <v>14126970.9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0.8923654568210263</v>
      </c>
      <c r="Q371">
        <f t="shared" si="970"/>
        <v>12606420.840675846</v>
      </c>
      <c r="R371">
        <f t="shared" si="971"/>
        <v>-574501251.60908055</v>
      </c>
      <c r="S371">
        <f t="shared" si="972"/>
        <v>-5745.0125160908055</v>
      </c>
      <c r="T371">
        <f t="shared" si="973"/>
        <v>-5.7450125160908057</v>
      </c>
    </row>
    <row r="372" spans="1:20" x14ac:dyDescent="0.25">
      <c r="A372" s="5">
        <v>44221</v>
      </c>
      <c r="B372">
        <v>6.1420000000000002E-2</v>
      </c>
      <c r="C372">
        <v>6.2549999999999994E-2</v>
      </c>
      <c r="D372">
        <v>5.5809999999999998E-2</v>
      </c>
      <c r="E372">
        <v>5.6329999999999998E-2</v>
      </c>
      <c r="F372">
        <v>16080846</v>
      </c>
      <c r="G372">
        <v>0</v>
      </c>
      <c r="L372" t="s">
        <v>7</v>
      </c>
      <c r="M372" t="s">
        <v>7</v>
      </c>
      <c r="N372" t="s">
        <v>8</v>
      </c>
      <c r="P372">
        <f t="shared" si="969"/>
        <v>-0.8456973293768546</v>
      </c>
      <c r="Q372">
        <f t="shared" si="970"/>
        <v>-13599528.516320474</v>
      </c>
      <c r="R372">
        <f t="shared" si="971"/>
        <v>-587107672.44975638</v>
      </c>
      <c r="S372">
        <f t="shared" si="972"/>
        <v>-5871.0767244975641</v>
      </c>
      <c r="T372">
        <f t="shared" si="973"/>
        <v>-5.8710767244975637</v>
      </c>
    </row>
    <row r="373" spans="1:20" x14ac:dyDescent="0.25">
      <c r="A373" s="5">
        <v>44220</v>
      </c>
      <c r="B373">
        <v>6.2909999999999994E-2</v>
      </c>
      <c r="C373">
        <v>6.7169999999999994E-2</v>
      </c>
      <c r="D373">
        <v>6.0010000000000001E-2</v>
      </c>
      <c r="E373">
        <v>6.1449999999999998E-2</v>
      </c>
      <c r="F373">
        <v>27587292.699999999</v>
      </c>
      <c r="G373">
        <v>0</v>
      </c>
      <c r="L373" t="s">
        <v>7</v>
      </c>
      <c r="M373" t="s">
        <v>7</v>
      </c>
      <c r="N373" t="s">
        <v>8</v>
      </c>
      <c r="P373">
        <f t="shared" si="969"/>
        <v>-0.59776536312849204</v>
      </c>
      <c r="Q373">
        <f t="shared" si="970"/>
        <v>-16490728.038547497</v>
      </c>
      <c r="R373">
        <f t="shared" si="971"/>
        <v>-573508143.93343592</v>
      </c>
      <c r="S373">
        <f t="shared" si="972"/>
        <v>-5735.0814393343589</v>
      </c>
      <c r="T373">
        <f t="shared" si="973"/>
        <v>-5.7350814393343592</v>
      </c>
    </row>
    <row r="374" spans="1:20" x14ac:dyDescent="0.25">
      <c r="A374" s="5">
        <v>44219</v>
      </c>
      <c r="B374">
        <v>6.157E-2</v>
      </c>
      <c r="C374">
        <v>7.3870000000000005E-2</v>
      </c>
      <c r="D374">
        <v>6.055E-2</v>
      </c>
      <c r="E374">
        <v>6.2880000000000005E-2</v>
      </c>
      <c r="F374">
        <v>84758534.099999994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-0.65015015015014943</v>
      </c>
      <c r="Q374">
        <f t="shared" si="970"/>
        <v>-55105773.671621554</v>
      </c>
      <c r="R374">
        <f t="shared" si="971"/>
        <v>-557017415.8948884</v>
      </c>
      <c r="S374">
        <f t="shared" si="972"/>
        <v>-5570.1741589488838</v>
      </c>
      <c r="T374">
        <f t="shared" si="973"/>
        <v>-5.570174158948884</v>
      </c>
    </row>
    <row r="375" spans="1:20" x14ac:dyDescent="0.25">
      <c r="A375" s="5">
        <v>44218</v>
      </c>
      <c r="B375">
        <v>5.0430000000000003E-2</v>
      </c>
      <c r="C375">
        <v>7.0000000000000007E-2</v>
      </c>
      <c r="D375">
        <v>4.555E-2</v>
      </c>
      <c r="E375">
        <v>6.157E-2</v>
      </c>
      <c r="F375">
        <v>40751547.299999997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0.31042944785276033</v>
      </c>
      <c r="Q375">
        <f t="shared" si="970"/>
        <v>12650480.327484645</v>
      </c>
      <c r="R375">
        <f t="shared" si="971"/>
        <v>-501911642.2232669</v>
      </c>
      <c r="S375">
        <f t="shared" si="972"/>
        <v>-5019.1164222326688</v>
      </c>
      <c r="T375">
        <f t="shared" si="973"/>
        <v>-5.0191164222326687</v>
      </c>
    </row>
    <row r="376" spans="1:20" x14ac:dyDescent="0.25">
      <c r="A376" s="5">
        <v>44217</v>
      </c>
      <c r="B376">
        <v>6.0979999999999999E-2</v>
      </c>
      <c r="C376">
        <v>6.2179999999999999E-2</v>
      </c>
      <c r="D376">
        <v>4.9450000000000001E-2</v>
      </c>
      <c r="E376">
        <v>5.0279999999999998E-2</v>
      </c>
      <c r="F376">
        <v>21811571.399999999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-0.86959937156323686</v>
      </c>
      <c r="Q376">
        <f t="shared" si="970"/>
        <v>-18967328.782246668</v>
      </c>
      <c r="R376">
        <f t="shared" si="971"/>
        <v>-514562122.55075157</v>
      </c>
      <c r="S376">
        <f t="shared" si="972"/>
        <v>-5145.6212255075161</v>
      </c>
      <c r="T376">
        <f t="shared" si="973"/>
        <v>-5.145621225507516</v>
      </c>
    </row>
    <row r="377" spans="1:20" x14ac:dyDescent="0.25">
      <c r="A377" s="5">
        <v>44216</v>
      </c>
      <c r="B377">
        <v>5.3879999999999997E-2</v>
      </c>
      <c r="C377">
        <v>6.8000000000000005E-2</v>
      </c>
      <c r="D377">
        <v>5.0750000000000003E-2</v>
      </c>
      <c r="E377">
        <v>6.087E-2</v>
      </c>
      <c r="F377">
        <v>74637192</v>
      </c>
      <c r="G377">
        <v>0</v>
      </c>
      <c r="L377" t="s">
        <v>8</v>
      </c>
      <c r="M377" t="s">
        <v>8</v>
      </c>
      <c r="N377" t="s">
        <v>8</v>
      </c>
      <c r="P377">
        <f t="shared" si="969"/>
        <v>0.1733333333333329</v>
      </c>
      <c r="Q377">
        <f t="shared" si="970"/>
        <v>12937113.279999968</v>
      </c>
      <c r="R377">
        <f t="shared" si="971"/>
        <v>-495594793.76850492</v>
      </c>
      <c r="S377">
        <f t="shared" si="972"/>
        <v>-4955.9479376850495</v>
      </c>
      <c r="T377">
        <f t="shared" si="973"/>
        <v>-4.9559479376850497</v>
      </c>
    </row>
    <row r="378" spans="1:20" x14ac:dyDescent="0.25">
      <c r="A378" s="5">
        <v>44215</v>
      </c>
      <c r="B378">
        <v>5.1450000000000003E-2</v>
      </c>
      <c r="C378">
        <v>5.5449999999999999E-2</v>
      </c>
      <c r="D378">
        <v>5.0750000000000003E-2</v>
      </c>
      <c r="E378">
        <v>5.3879999999999997E-2</v>
      </c>
      <c r="F378">
        <v>18933062.100000001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0.33191489361701987</v>
      </c>
      <c r="Q378">
        <f t="shared" si="970"/>
        <v>6284165.2927659312</v>
      </c>
      <c r="R378">
        <f t="shared" si="971"/>
        <v>-508531907.04850489</v>
      </c>
      <c r="S378">
        <f t="shared" si="972"/>
        <v>-5085.3190704850485</v>
      </c>
      <c r="T378">
        <f t="shared" si="973"/>
        <v>-5.0853190704850482</v>
      </c>
    </row>
    <row r="379" spans="1:20" x14ac:dyDescent="0.25">
      <c r="A379" s="5">
        <v>44214</v>
      </c>
      <c r="B379">
        <v>5.024E-2</v>
      </c>
      <c r="C379">
        <v>5.3580000000000003E-2</v>
      </c>
      <c r="D379">
        <v>4.8619999999999997E-2</v>
      </c>
      <c r="E379">
        <v>5.144E-2</v>
      </c>
      <c r="F379">
        <v>8457482.6999999993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0.13709677419354824</v>
      </c>
      <c r="Q379">
        <f t="shared" si="970"/>
        <v>1159493.5959677405</v>
      </c>
      <c r="R379">
        <f t="shared" si="971"/>
        <v>-514816072.3412708</v>
      </c>
      <c r="S379">
        <f t="shared" si="972"/>
        <v>-5148.1607234127077</v>
      </c>
      <c r="T379">
        <f t="shared" si="973"/>
        <v>-5.1481607234127074</v>
      </c>
    </row>
    <row r="380" spans="1:20" x14ac:dyDescent="0.25">
      <c r="A380" s="5">
        <v>44213</v>
      </c>
      <c r="B380">
        <v>5.2109999999999997E-2</v>
      </c>
      <c r="C380">
        <v>5.3109999999999997E-2</v>
      </c>
      <c r="D380">
        <v>4.6179999999999999E-2</v>
      </c>
      <c r="E380">
        <v>5.024E-2</v>
      </c>
      <c r="F380">
        <v>13870355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0.17171717171717227</v>
      </c>
      <c r="Q380">
        <f t="shared" si="970"/>
        <v>2381778.1313131391</v>
      </c>
      <c r="R380">
        <f t="shared" si="971"/>
        <v>-515975565.93723857</v>
      </c>
      <c r="S380">
        <f t="shared" si="972"/>
        <v>-5159.7556593723857</v>
      </c>
      <c r="T380">
        <f t="shared" si="973"/>
        <v>-5.1597556593723857</v>
      </c>
    </row>
    <row r="381" spans="1:20" x14ac:dyDescent="0.25">
      <c r="A381" s="5">
        <v>44212</v>
      </c>
      <c r="B381">
        <v>4.7489999999999997E-2</v>
      </c>
      <c r="C381">
        <v>5.6140000000000002E-2</v>
      </c>
      <c r="D381">
        <v>4.6780000000000002E-2</v>
      </c>
      <c r="E381">
        <v>5.2240000000000002E-2</v>
      </c>
      <c r="F381">
        <v>22659119.600000001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0.16666666666666655</v>
      </c>
      <c r="Q381">
        <f t="shared" si="970"/>
        <v>3776519.9333333308</v>
      </c>
      <c r="R381">
        <f t="shared" si="971"/>
        <v>-518357344.06855172</v>
      </c>
      <c r="S381">
        <f t="shared" si="972"/>
        <v>-5183.5734406855172</v>
      </c>
      <c r="T381">
        <f t="shared" si="973"/>
        <v>-5.1835734406855174</v>
      </c>
    </row>
    <row r="382" spans="1:20" x14ac:dyDescent="0.25">
      <c r="A382" s="5">
        <v>44211</v>
      </c>
      <c r="B382">
        <v>4.5780000000000001E-2</v>
      </c>
      <c r="C382">
        <v>4.9000000000000002E-2</v>
      </c>
      <c r="D382">
        <v>4.2000000000000003E-2</v>
      </c>
      <c r="E382">
        <v>4.7600000000000003E-2</v>
      </c>
      <c r="F382">
        <v>12747648.9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0.60000000000000042</v>
      </c>
      <c r="Q382">
        <f t="shared" si="970"/>
        <v>7648589.3400000054</v>
      </c>
      <c r="R382">
        <f t="shared" si="971"/>
        <v>-522133864.00188506</v>
      </c>
      <c r="S382">
        <f t="shared" si="972"/>
        <v>-5221.3386400188501</v>
      </c>
      <c r="T382">
        <f t="shared" si="973"/>
        <v>-5.2213386400188497</v>
      </c>
    </row>
    <row r="383" spans="1:20" x14ac:dyDescent="0.25">
      <c r="A383" s="5">
        <v>44210</v>
      </c>
      <c r="B383">
        <v>4.582E-2</v>
      </c>
      <c r="C383">
        <v>0.05</v>
      </c>
      <c r="D383">
        <v>4.3970000000000002E-2</v>
      </c>
      <c r="E383">
        <v>4.5769999999999998E-2</v>
      </c>
      <c r="F383">
        <v>12734303.1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-0.40298507462686706</v>
      </c>
      <c r="Q383">
        <f t="shared" si="970"/>
        <v>-5131734.0850746445</v>
      </c>
      <c r="R383">
        <f t="shared" si="971"/>
        <v>-529782453.34188509</v>
      </c>
      <c r="S383">
        <f t="shared" si="972"/>
        <v>-5297.8245334188505</v>
      </c>
      <c r="T383">
        <f t="shared" si="973"/>
        <v>-5.2978245334188507</v>
      </c>
    </row>
    <row r="384" spans="1:20" x14ac:dyDescent="0.25">
      <c r="A384" s="5">
        <v>44209</v>
      </c>
      <c r="B384">
        <v>4.4200000000000003E-2</v>
      </c>
      <c r="C384">
        <v>4.6350000000000002E-2</v>
      </c>
      <c r="D384">
        <v>4.156E-2</v>
      </c>
      <c r="E384">
        <v>4.58E-2</v>
      </c>
      <c r="F384">
        <v>9718449.4000000004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0.77035490605427914</v>
      </c>
      <c r="Q384">
        <f t="shared" si="970"/>
        <v>7486655.1745302659</v>
      </c>
      <c r="R384">
        <f t="shared" si="971"/>
        <v>-524650719.25681043</v>
      </c>
      <c r="S384">
        <f t="shared" si="972"/>
        <v>-5246.5071925681041</v>
      </c>
      <c r="T384">
        <f t="shared" si="973"/>
        <v>-5.2465071925681039</v>
      </c>
    </row>
    <row r="385" spans="1:20" x14ac:dyDescent="0.25">
      <c r="A385" s="5">
        <v>44208</v>
      </c>
      <c r="B385">
        <v>4.3130000000000002E-2</v>
      </c>
      <c r="C385">
        <v>4.6460000000000001E-2</v>
      </c>
      <c r="D385">
        <v>4.1009999999999998E-2</v>
      </c>
      <c r="E385">
        <v>4.4389999999999999E-2</v>
      </c>
      <c r="F385">
        <v>10284909.9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0.24036697247706382</v>
      </c>
      <c r="Q385">
        <f t="shared" si="970"/>
        <v>2472152.6548623811</v>
      </c>
      <c r="R385">
        <f t="shared" si="971"/>
        <v>-532137374.43134069</v>
      </c>
      <c r="S385">
        <f t="shared" si="972"/>
        <v>-5321.3737443134069</v>
      </c>
      <c r="T385">
        <f t="shared" si="973"/>
        <v>-5.3213737443134068</v>
      </c>
    </row>
    <row r="386" spans="1:20" x14ac:dyDescent="0.25">
      <c r="A386" s="5">
        <v>44207</v>
      </c>
      <c r="B386">
        <v>4.8770000000000001E-2</v>
      </c>
      <c r="C386">
        <v>4.8770000000000001E-2</v>
      </c>
      <c r="D386">
        <v>3.7170000000000002E-2</v>
      </c>
      <c r="E386">
        <v>4.2939999999999999E-2</v>
      </c>
      <c r="F386">
        <v>25787044.899999999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-5.1724137931038359E-3</v>
      </c>
      <c r="Q386">
        <f t="shared" si="970"/>
        <v>-133381.26672414792</v>
      </c>
      <c r="R386">
        <f t="shared" si="971"/>
        <v>-534609527.0862031</v>
      </c>
      <c r="S386">
        <f t="shared" si="972"/>
        <v>-5346.0952708620307</v>
      </c>
      <c r="T386">
        <f t="shared" si="973"/>
        <v>-5.3460952708620306</v>
      </c>
    </row>
    <row r="387" spans="1:20" x14ac:dyDescent="0.25">
      <c r="A387" s="5">
        <v>44206</v>
      </c>
      <c r="B387">
        <v>5.237E-2</v>
      </c>
      <c r="C387">
        <v>5.9729999999999998E-2</v>
      </c>
      <c r="D387">
        <v>4.3999999999999997E-2</v>
      </c>
      <c r="E387">
        <v>4.879E-2</v>
      </c>
      <c r="F387">
        <v>27334942.600000001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-0.39097266369993611</v>
      </c>
      <c r="Q387">
        <f t="shared" si="970"/>
        <v>-10687215.320406858</v>
      </c>
      <c r="R387">
        <f t="shared" si="971"/>
        <v>-534476145.81947893</v>
      </c>
      <c r="S387">
        <f t="shared" si="972"/>
        <v>-5344.7614581947892</v>
      </c>
      <c r="T387">
        <f t="shared" si="973"/>
        <v>-5.3447614581947889</v>
      </c>
    </row>
    <row r="388" spans="1:20" x14ac:dyDescent="0.25">
      <c r="A388" s="5">
        <v>44205</v>
      </c>
      <c r="B388">
        <v>5.808E-2</v>
      </c>
      <c r="C388">
        <v>6.9989999999999997E-2</v>
      </c>
      <c r="D388">
        <v>5.1400000000000001E-2</v>
      </c>
      <c r="E388">
        <v>5.2229999999999999E-2</v>
      </c>
      <c r="F388">
        <v>61255521.200000003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-0.91070467993544946</v>
      </c>
      <c r="Q388">
        <f t="shared" si="970"/>
        <v>-55785689.828725144</v>
      </c>
      <c r="R388">
        <f t="shared" si="971"/>
        <v>-523788930.49907207</v>
      </c>
      <c r="S388">
        <f t="shared" si="972"/>
        <v>-5237.889304990721</v>
      </c>
      <c r="T388">
        <f t="shared" si="973"/>
        <v>-5.2378893049907207</v>
      </c>
    </row>
    <row r="389" spans="1:20" x14ac:dyDescent="0.25">
      <c r="A389" s="5">
        <v>44204</v>
      </c>
      <c r="B389">
        <v>4.4600000000000001E-2</v>
      </c>
      <c r="C389">
        <v>5.9819999999999998E-2</v>
      </c>
      <c r="D389">
        <v>4.2110000000000002E-2</v>
      </c>
      <c r="E389">
        <v>5.808E-2</v>
      </c>
      <c r="F389">
        <v>58660263.899999999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0.80350084697910795</v>
      </c>
      <c r="Q389">
        <f t="shared" si="970"/>
        <v>47133571.727667987</v>
      </c>
      <c r="R389">
        <f t="shared" si="971"/>
        <v>-468003240.67034692</v>
      </c>
      <c r="S389">
        <f t="shared" si="972"/>
        <v>-4680.032406703469</v>
      </c>
      <c r="T389">
        <f t="shared" si="973"/>
        <v>-4.6800324067034689</v>
      </c>
    </row>
    <row r="390" spans="1:20" x14ac:dyDescent="0.25">
      <c r="A390" s="5">
        <v>44203</v>
      </c>
      <c r="B390">
        <v>4.3470000000000002E-2</v>
      </c>
      <c r="C390">
        <v>5.6860000000000001E-2</v>
      </c>
      <c r="D390">
        <v>4.2700000000000002E-2</v>
      </c>
      <c r="E390">
        <v>4.4560000000000002E-2</v>
      </c>
      <c r="F390">
        <v>49616522.299999997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-0.73728813559322026</v>
      </c>
      <c r="Q390">
        <f t="shared" ref="Q390:Q453" si="975">F390*P390</f>
        <v>-36581673.221186437</v>
      </c>
      <c r="R390">
        <f t="shared" ref="R390:R453" si="976">R391+Q390</f>
        <v>-515136812.3980149</v>
      </c>
      <c r="S390">
        <f t="shared" ref="S390:S453" si="977">R390/100000</f>
        <v>-5151.368123980149</v>
      </c>
      <c r="T390">
        <f t="shared" ref="T390:T453" si="978">S390/1000</f>
        <v>-5.1513681239801494</v>
      </c>
    </row>
    <row r="391" spans="1:20" x14ac:dyDescent="0.25">
      <c r="A391" s="5">
        <v>44202</v>
      </c>
      <c r="B391">
        <v>4.0340000000000001E-2</v>
      </c>
      <c r="C391">
        <v>4.7899999999999998E-2</v>
      </c>
      <c r="D391">
        <v>3.9120000000000002E-2</v>
      </c>
      <c r="E391">
        <v>4.335E-2</v>
      </c>
      <c r="F391">
        <v>27504186.100000001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-3.6446469248291681E-2</v>
      </c>
      <c r="Q391">
        <f t="shared" si="975"/>
        <v>-1002430.4728929416</v>
      </c>
      <c r="R391">
        <f t="shared" si="976"/>
        <v>-478555139.17682844</v>
      </c>
      <c r="S391">
        <f t="shared" si="977"/>
        <v>-4785.5513917682847</v>
      </c>
      <c r="T391">
        <f t="shared" si="978"/>
        <v>-4.7855513917682844</v>
      </c>
    </row>
    <row r="392" spans="1:20" x14ac:dyDescent="0.25">
      <c r="A392" s="5">
        <v>44201</v>
      </c>
      <c r="B392">
        <v>4.0129999999999999E-2</v>
      </c>
      <c r="C392">
        <v>4.0989999999999999E-2</v>
      </c>
      <c r="D392">
        <v>3.7999999999999999E-2</v>
      </c>
      <c r="E392">
        <v>4.0289999999999999E-2</v>
      </c>
      <c r="F392">
        <v>10555502</v>
      </c>
      <c r="G392">
        <v>0</v>
      </c>
      <c r="L392" t="s">
        <v>7</v>
      </c>
      <c r="M392" t="s">
        <v>8</v>
      </c>
      <c r="N392" t="s">
        <v>7</v>
      </c>
      <c r="P392">
        <f t="shared" si="974"/>
        <v>0.53177257525083654</v>
      </c>
      <c r="Q392">
        <f t="shared" si="975"/>
        <v>5613126.4816053556</v>
      </c>
      <c r="R392">
        <f t="shared" si="976"/>
        <v>-477552708.7039355</v>
      </c>
      <c r="S392">
        <f t="shared" si="977"/>
        <v>-4775.5270870393551</v>
      </c>
      <c r="T392">
        <f t="shared" si="978"/>
        <v>-4.7755270870393556</v>
      </c>
    </row>
    <row r="393" spans="1:20" x14ac:dyDescent="0.25">
      <c r="A393" s="5">
        <v>44200</v>
      </c>
      <c r="B393">
        <v>3.891E-2</v>
      </c>
      <c r="C393">
        <v>4.3880000000000002E-2</v>
      </c>
      <c r="D393">
        <v>3.7400000000000003E-2</v>
      </c>
      <c r="E393">
        <v>0.04</v>
      </c>
      <c r="F393">
        <v>19428674.199999999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-0.19753086419753138</v>
      </c>
      <c r="Q393">
        <f t="shared" si="975"/>
        <v>-3837762.8049382814</v>
      </c>
      <c r="R393">
        <f t="shared" si="976"/>
        <v>-483165835.18554085</v>
      </c>
      <c r="S393">
        <f t="shared" si="977"/>
        <v>-4831.6583518554089</v>
      </c>
      <c r="T393">
        <f t="shared" si="978"/>
        <v>-4.8316583518554088</v>
      </c>
    </row>
    <row r="394" spans="1:20" x14ac:dyDescent="0.25">
      <c r="A394" s="5">
        <v>44199</v>
      </c>
      <c r="B394">
        <v>3.8550000000000001E-2</v>
      </c>
      <c r="C394">
        <v>4.0980000000000003E-2</v>
      </c>
      <c r="D394">
        <v>3.7100000000000001E-2</v>
      </c>
      <c r="E394">
        <v>3.8899999999999997E-2</v>
      </c>
      <c r="F394">
        <v>15769486.199999999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-7.2164948453610642E-2</v>
      </c>
      <c r="Q394">
        <f t="shared" si="975"/>
        <v>-1138004.1587629244</v>
      </c>
      <c r="R394">
        <f t="shared" si="976"/>
        <v>-479328072.3806026</v>
      </c>
      <c r="S394">
        <f t="shared" si="977"/>
        <v>-4793.2807238060259</v>
      </c>
      <c r="T394">
        <f t="shared" si="978"/>
        <v>-4.793280723806026</v>
      </c>
    </row>
    <row r="395" spans="1:20" x14ac:dyDescent="0.25">
      <c r="A395" s="5">
        <v>44198</v>
      </c>
      <c r="B395">
        <v>3.918E-2</v>
      </c>
      <c r="C395">
        <v>3.9750000000000001E-2</v>
      </c>
      <c r="D395">
        <v>3.6659999999999998E-2</v>
      </c>
      <c r="E395">
        <v>3.8339999999999999E-2</v>
      </c>
      <c r="F395">
        <v>13161988.699999999</v>
      </c>
      <c r="G395">
        <v>0</v>
      </c>
      <c r="L395" t="s">
        <v>7</v>
      </c>
      <c r="M395" t="s">
        <v>8</v>
      </c>
      <c r="N395" t="s">
        <v>7</v>
      </c>
      <c r="P395">
        <f t="shared" si="974"/>
        <v>8.7378640776698768E-2</v>
      </c>
      <c r="Q395">
        <f t="shared" si="975"/>
        <v>1150076.6825242683</v>
      </c>
      <c r="R395">
        <f t="shared" si="976"/>
        <v>-478190068.22183967</v>
      </c>
      <c r="S395">
        <f t="shared" si="977"/>
        <v>-4781.9006822183965</v>
      </c>
      <c r="T395">
        <f t="shared" si="978"/>
        <v>-4.7819006822183967</v>
      </c>
    </row>
    <row r="396" spans="1:20" x14ac:dyDescent="0.25">
      <c r="A396" s="5">
        <v>44197</v>
      </c>
      <c r="B396">
        <v>3.6799999999999999E-2</v>
      </c>
      <c r="C396">
        <v>4.3119999999999999E-2</v>
      </c>
      <c r="D396">
        <v>3.653E-2</v>
      </c>
      <c r="E396">
        <v>3.9170000000000003E-2</v>
      </c>
      <c r="F396">
        <v>16271222.800000001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-0.19878603945371653</v>
      </c>
      <c r="Q396">
        <f t="shared" si="975"/>
        <v>-3234491.9374810122</v>
      </c>
      <c r="R396">
        <f t="shared" si="976"/>
        <v>-479340144.90436393</v>
      </c>
      <c r="S396">
        <f t="shared" si="977"/>
        <v>-4793.4014490436393</v>
      </c>
      <c r="T396">
        <f t="shared" si="978"/>
        <v>-4.793401449043639</v>
      </c>
    </row>
    <row r="397" spans="1:20" x14ac:dyDescent="0.25">
      <c r="A397" s="5">
        <v>44196</v>
      </c>
      <c r="B397">
        <v>3.7650000000000003E-2</v>
      </c>
      <c r="C397">
        <v>3.8190000000000002E-2</v>
      </c>
      <c r="D397">
        <v>3.5999999999999997E-2</v>
      </c>
      <c r="E397">
        <v>3.6799999999999999E-2</v>
      </c>
      <c r="F397">
        <v>9670276.8000000007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-0.26940639269406347</v>
      </c>
      <c r="Q397">
        <f t="shared" si="975"/>
        <v>-2605234.3890410918</v>
      </c>
      <c r="R397">
        <f t="shared" si="976"/>
        <v>-476105652.96688294</v>
      </c>
      <c r="S397">
        <f t="shared" si="977"/>
        <v>-4761.0565296688292</v>
      </c>
      <c r="T397">
        <f t="shared" si="978"/>
        <v>-4.7610565296688288</v>
      </c>
    </row>
    <row r="398" spans="1:20" x14ac:dyDescent="0.25">
      <c r="A398" s="5">
        <v>44195</v>
      </c>
      <c r="B398">
        <v>3.8379999999999997E-2</v>
      </c>
      <c r="C398">
        <v>3.9039999999999998E-2</v>
      </c>
      <c r="D398">
        <v>3.6670000000000001E-2</v>
      </c>
      <c r="E398">
        <v>3.7310000000000003E-2</v>
      </c>
      <c r="F398">
        <v>8161843.4000000004</v>
      </c>
      <c r="G398">
        <v>0</v>
      </c>
      <c r="L398" t="s">
        <v>8</v>
      </c>
      <c r="M398" t="s">
        <v>7</v>
      </c>
      <c r="N398" t="s">
        <v>7</v>
      </c>
      <c r="P398">
        <f t="shared" si="974"/>
        <v>-0.45991561181434393</v>
      </c>
      <c r="Q398">
        <f t="shared" si="975"/>
        <v>-3753759.2008438651</v>
      </c>
      <c r="R398">
        <f t="shared" si="976"/>
        <v>-473500418.57784188</v>
      </c>
      <c r="S398">
        <f t="shared" si="977"/>
        <v>-4735.004185778419</v>
      </c>
      <c r="T398">
        <f t="shared" si="978"/>
        <v>-4.7350041857784193</v>
      </c>
    </row>
    <row r="399" spans="1:20" x14ac:dyDescent="0.25">
      <c r="A399" s="5">
        <v>44194</v>
      </c>
      <c r="B399">
        <v>4.0640000000000003E-2</v>
      </c>
      <c r="C399">
        <v>4.0869999999999997E-2</v>
      </c>
      <c r="D399">
        <v>3.6499999999999998E-2</v>
      </c>
      <c r="E399">
        <v>3.8420000000000003E-2</v>
      </c>
      <c r="F399">
        <v>22036318.899999999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-0.12128146453088992</v>
      </c>
      <c r="Q399">
        <f t="shared" si="975"/>
        <v>-2672597.0290617291</v>
      </c>
      <c r="R399">
        <f t="shared" si="976"/>
        <v>-469746659.37699801</v>
      </c>
      <c r="S399">
        <f t="shared" si="977"/>
        <v>-4697.4665937699801</v>
      </c>
      <c r="T399">
        <f t="shared" si="978"/>
        <v>-4.6974665937699802</v>
      </c>
    </row>
    <row r="400" spans="1:20" x14ac:dyDescent="0.25">
      <c r="A400" s="5">
        <v>44193</v>
      </c>
      <c r="B400">
        <v>4.2610000000000002E-2</v>
      </c>
      <c r="C400">
        <v>4.4179999999999997E-2</v>
      </c>
      <c r="D400">
        <v>3.9289999999999999E-2</v>
      </c>
      <c r="E400">
        <v>4.0680000000000001E-2</v>
      </c>
      <c r="F400">
        <v>30275853</v>
      </c>
      <c r="G400">
        <v>0</v>
      </c>
      <c r="L400" t="s">
        <v>7</v>
      </c>
      <c r="M400" t="s">
        <v>7</v>
      </c>
      <c r="N400" t="s">
        <v>7</v>
      </c>
      <c r="P400">
        <f t="shared" si="974"/>
        <v>-0.43149284253578618</v>
      </c>
      <c r="Q400">
        <f t="shared" si="975"/>
        <v>-13063813.871165609</v>
      </c>
      <c r="R400">
        <f t="shared" si="976"/>
        <v>-467074062.34793627</v>
      </c>
      <c r="S400">
        <f t="shared" si="977"/>
        <v>-4670.7406234793625</v>
      </c>
      <c r="T400">
        <f t="shared" si="978"/>
        <v>-4.6707406234793627</v>
      </c>
    </row>
    <row r="401" spans="1:20" x14ac:dyDescent="0.25">
      <c r="A401" s="5">
        <v>44192</v>
      </c>
      <c r="B401">
        <v>4.6120000000000001E-2</v>
      </c>
      <c r="C401">
        <v>4.9500000000000002E-2</v>
      </c>
      <c r="D401">
        <v>4.0099999999999997E-2</v>
      </c>
      <c r="E401">
        <v>4.2729999999999997E-2</v>
      </c>
      <c r="F401">
        <v>84567878.099999994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-0.44042553191489386</v>
      </c>
      <c r="Q401">
        <f t="shared" si="975"/>
        <v>-37245852.695106402</v>
      </c>
      <c r="R401">
        <f t="shared" si="976"/>
        <v>-454010248.47677064</v>
      </c>
      <c r="S401">
        <f t="shared" si="977"/>
        <v>-4540.1024847677063</v>
      </c>
      <c r="T401">
        <f t="shared" si="978"/>
        <v>-4.5401024847677061</v>
      </c>
    </row>
    <row r="402" spans="1:20" x14ac:dyDescent="0.25">
      <c r="A402" s="5">
        <v>44191</v>
      </c>
      <c r="B402">
        <v>3.6060000000000002E-2</v>
      </c>
      <c r="C402">
        <v>6.9889999999999994E-2</v>
      </c>
      <c r="D402">
        <v>3.5770000000000003E-2</v>
      </c>
      <c r="E402">
        <v>4.5719999999999997E-2</v>
      </c>
      <c r="F402">
        <v>201511491.80000001</v>
      </c>
      <c r="G402">
        <v>0</v>
      </c>
      <c r="L402" t="s">
        <v>8</v>
      </c>
      <c r="M402" t="s">
        <v>8</v>
      </c>
      <c r="N402" t="s">
        <v>8</v>
      </c>
      <c r="P402">
        <f t="shared" si="974"/>
        <v>-0.41676436107854653</v>
      </c>
      <c r="Q402">
        <f t="shared" si="975"/>
        <v>-83982808.130011767</v>
      </c>
      <c r="R402">
        <f t="shared" si="976"/>
        <v>-416764395.78166425</v>
      </c>
      <c r="S402">
        <f t="shared" si="977"/>
        <v>-4167.6439578166428</v>
      </c>
      <c r="T402">
        <f t="shared" si="978"/>
        <v>-4.1676439578166429</v>
      </c>
    </row>
    <row r="403" spans="1:20" x14ac:dyDescent="0.25">
      <c r="A403" s="5">
        <v>44190</v>
      </c>
      <c r="B403">
        <v>3.7530000000000001E-2</v>
      </c>
      <c r="C403">
        <v>3.7999999999999999E-2</v>
      </c>
      <c r="D403">
        <v>3.5700000000000003E-2</v>
      </c>
      <c r="E403">
        <v>3.61E-2</v>
      </c>
      <c r="F403">
        <v>5523125.2000000002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-0.65217391304347982</v>
      </c>
      <c r="Q403">
        <f t="shared" si="975"/>
        <v>-3602038.1739130523</v>
      </c>
      <c r="R403">
        <f t="shared" si="976"/>
        <v>-332781587.65165246</v>
      </c>
      <c r="S403">
        <f t="shared" si="977"/>
        <v>-3327.8158765165244</v>
      </c>
      <c r="T403">
        <f t="shared" si="978"/>
        <v>-3.3278158765165244</v>
      </c>
    </row>
    <row r="404" spans="1:20" x14ac:dyDescent="0.25">
      <c r="A404" s="5">
        <v>44189</v>
      </c>
      <c r="B404">
        <v>3.5970000000000002E-2</v>
      </c>
      <c r="C404">
        <v>3.8300000000000001E-2</v>
      </c>
      <c r="D404">
        <v>3.3959999999999997E-2</v>
      </c>
      <c r="E404">
        <v>3.7679999999999998E-2</v>
      </c>
      <c r="F404">
        <v>5305955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0.71428571428571341</v>
      </c>
      <c r="Q404">
        <f t="shared" si="975"/>
        <v>3789967.8571428526</v>
      </c>
      <c r="R404">
        <f t="shared" si="976"/>
        <v>-329179549.47773939</v>
      </c>
      <c r="S404">
        <f t="shared" si="977"/>
        <v>-3291.7954947773937</v>
      </c>
      <c r="T404">
        <f t="shared" si="978"/>
        <v>-3.2917954947773937</v>
      </c>
    </row>
    <row r="405" spans="1:20" x14ac:dyDescent="0.25">
      <c r="A405" s="5">
        <v>44188</v>
      </c>
      <c r="B405">
        <v>3.9820000000000001E-2</v>
      </c>
      <c r="C405">
        <v>4.2619999999999998E-2</v>
      </c>
      <c r="D405">
        <v>3.4549999999999997E-2</v>
      </c>
      <c r="E405">
        <v>3.5979999999999998E-2</v>
      </c>
      <c r="F405">
        <v>13195747.300000001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-0.64560099132589821</v>
      </c>
      <c r="Q405">
        <f t="shared" si="975"/>
        <v>-8519187.5381660443</v>
      </c>
      <c r="R405">
        <f t="shared" si="976"/>
        <v>-332969517.33488226</v>
      </c>
      <c r="S405">
        <f t="shared" si="977"/>
        <v>-3329.6951733488227</v>
      </c>
      <c r="T405">
        <f t="shared" si="978"/>
        <v>-3.3296951733488225</v>
      </c>
    </row>
    <row r="406" spans="1:20" x14ac:dyDescent="0.25">
      <c r="A406" s="5">
        <v>44187</v>
      </c>
      <c r="B406">
        <v>3.7379999999999997E-2</v>
      </c>
      <c r="C406">
        <v>4.7890000000000002E-2</v>
      </c>
      <c r="D406">
        <v>3.6229999999999998E-2</v>
      </c>
      <c r="E406">
        <v>3.9980000000000002E-2</v>
      </c>
      <c r="F406">
        <v>20754003.699999999</v>
      </c>
      <c r="G406">
        <v>0</v>
      </c>
      <c r="L406" t="s">
        <v>8</v>
      </c>
      <c r="M406" t="s">
        <v>8</v>
      </c>
      <c r="N406" t="s">
        <v>7</v>
      </c>
      <c r="P406">
        <f t="shared" si="974"/>
        <v>-0.3567753001715262</v>
      </c>
      <c r="Q406">
        <f t="shared" si="975"/>
        <v>-7404515.8998284647</v>
      </c>
      <c r="R406">
        <f t="shared" si="976"/>
        <v>-324450329.79671621</v>
      </c>
      <c r="S406">
        <f t="shared" si="977"/>
        <v>-3244.5032979671623</v>
      </c>
      <c r="T406">
        <f t="shared" si="978"/>
        <v>-3.2445032979671624</v>
      </c>
    </row>
    <row r="407" spans="1:20" x14ac:dyDescent="0.25">
      <c r="A407" s="5">
        <v>44186</v>
      </c>
      <c r="B407">
        <v>4.249E-2</v>
      </c>
      <c r="C407">
        <v>4.2779999999999999E-2</v>
      </c>
      <c r="D407">
        <v>3.601E-2</v>
      </c>
      <c r="E407">
        <v>3.7490000000000002E-2</v>
      </c>
      <c r="F407">
        <v>15087556.1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-0.56277695716395792</v>
      </c>
      <c r="Q407">
        <f t="shared" si="975"/>
        <v>-8490928.9129985124</v>
      </c>
      <c r="R407">
        <f t="shared" si="976"/>
        <v>-317045813.89688772</v>
      </c>
      <c r="S407">
        <f t="shared" si="977"/>
        <v>-3170.4581389688774</v>
      </c>
      <c r="T407">
        <f t="shared" si="978"/>
        <v>-3.1704581389688773</v>
      </c>
    </row>
    <row r="408" spans="1:20" x14ac:dyDescent="0.25">
      <c r="A408" s="5">
        <v>44185</v>
      </c>
      <c r="B408">
        <v>4.0410000000000001E-2</v>
      </c>
      <c r="C408">
        <v>5.7869999999999998E-2</v>
      </c>
      <c r="D408">
        <v>3.9010000000000003E-2</v>
      </c>
      <c r="E408">
        <v>4.2819999999999997E-2</v>
      </c>
      <c r="F408">
        <v>111720628.90000001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-0.5959703075291628</v>
      </c>
      <c r="Q408">
        <f t="shared" si="975"/>
        <v>-66582177.56288448</v>
      </c>
      <c r="R408">
        <f t="shared" si="976"/>
        <v>-308554884.98388922</v>
      </c>
      <c r="S408">
        <f t="shared" si="977"/>
        <v>-3085.5488498388922</v>
      </c>
      <c r="T408">
        <f t="shared" si="978"/>
        <v>-3.0855488498388923</v>
      </c>
    </row>
    <row r="409" spans="1:20" x14ac:dyDescent="0.25">
      <c r="A409" s="5">
        <v>44184</v>
      </c>
      <c r="B409">
        <v>3.9719999999999998E-2</v>
      </c>
      <c r="C409">
        <v>4.1930000000000002E-2</v>
      </c>
      <c r="D409">
        <v>3.9300000000000002E-2</v>
      </c>
      <c r="E409">
        <v>4.0620000000000003E-2</v>
      </c>
      <c r="F409">
        <v>14259745.199999999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3.8022813688224563E-3</v>
      </c>
      <c r="Q409">
        <f t="shared" si="975"/>
        <v>54219.563498115451</v>
      </c>
      <c r="R409">
        <f t="shared" si="976"/>
        <v>-241972707.42100471</v>
      </c>
      <c r="S409">
        <f t="shared" si="977"/>
        <v>-2419.7270742100472</v>
      </c>
      <c r="T409">
        <f t="shared" si="978"/>
        <v>-2.4197270742100474</v>
      </c>
    </row>
    <row r="410" spans="1:20" x14ac:dyDescent="0.25">
      <c r="A410" s="5">
        <v>44183</v>
      </c>
      <c r="B410">
        <v>3.8550000000000001E-2</v>
      </c>
      <c r="C410">
        <v>4.0189999999999997E-2</v>
      </c>
      <c r="D410">
        <v>3.8379999999999997E-2</v>
      </c>
      <c r="E410">
        <v>3.9949999999999999E-2</v>
      </c>
      <c r="F410">
        <v>3695237.4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0.73480662983425715</v>
      </c>
      <c r="Q410">
        <f t="shared" si="975"/>
        <v>2715284.9403315028</v>
      </c>
      <c r="R410">
        <f t="shared" si="976"/>
        <v>-242026926.98450282</v>
      </c>
      <c r="S410">
        <f t="shared" si="977"/>
        <v>-2420.2692698450282</v>
      </c>
      <c r="T410">
        <f t="shared" si="978"/>
        <v>-2.4202692698450283</v>
      </c>
    </row>
    <row r="411" spans="1:20" x14ac:dyDescent="0.25">
      <c r="A411" s="5">
        <v>44182</v>
      </c>
      <c r="B411">
        <v>4.1000000000000002E-2</v>
      </c>
      <c r="C411">
        <v>4.1730000000000003E-2</v>
      </c>
      <c r="D411">
        <v>3.8379999999999997E-2</v>
      </c>
      <c r="E411">
        <v>3.8559999999999997E-2</v>
      </c>
      <c r="F411">
        <v>11882810.199999999</v>
      </c>
      <c r="G411">
        <v>0</v>
      </c>
      <c r="L411" t="s">
        <v>7</v>
      </c>
      <c r="M411" t="s">
        <v>8</v>
      </c>
      <c r="N411" t="s">
        <v>8</v>
      </c>
      <c r="P411">
        <f t="shared" si="974"/>
        <v>-0.89253731343283627</v>
      </c>
      <c r="Q411">
        <f t="shared" si="975"/>
        <v>-10605851.491940303</v>
      </c>
      <c r="R411">
        <f t="shared" si="976"/>
        <v>-244742211.92483431</v>
      </c>
      <c r="S411">
        <f t="shared" si="977"/>
        <v>-2447.4221192483433</v>
      </c>
      <c r="T411">
        <f t="shared" si="978"/>
        <v>-2.4474221192483432</v>
      </c>
    </row>
    <row r="412" spans="1:20" x14ac:dyDescent="0.25">
      <c r="A412" s="5">
        <v>44181</v>
      </c>
      <c r="B412">
        <v>4.2000000000000003E-2</v>
      </c>
      <c r="C412">
        <v>4.2680000000000003E-2</v>
      </c>
      <c r="D412">
        <v>3.9390000000000001E-2</v>
      </c>
      <c r="E412">
        <v>4.1200000000000001E-2</v>
      </c>
      <c r="F412">
        <v>5294362.5999999996</v>
      </c>
      <c r="G412">
        <v>0</v>
      </c>
      <c r="L412" t="s">
        <v>7</v>
      </c>
      <c r="M412" t="s">
        <v>8</v>
      </c>
      <c r="N412" t="s">
        <v>8</v>
      </c>
      <c r="P412">
        <f t="shared" si="974"/>
        <v>0.1003039513677802</v>
      </c>
      <c r="Q412">
        <f t="shared" si="975"/>
        <v>531045.48875379434</v>
      </c>
      <c r="R412">
        <f t="shared" si="976"/>
        <v>-234136360.43289402</v>
      </c>
      <c r="S412">
        <f t="shared" si="977"/>
        <v>-2341.3636043289403</v>
      </c>
      <c r="T412">
        <f t="shared" si="978"/>
        <v>-2.3413636043289401</v>
      </c>
    </row>
    <row r="413" spans="1:20" x14ac:dyDescent="0.25">
      <c r="A413" s="5">
        <v>44180</v>
      </c>
      <c r="B413">
        <v>4.1360000000000001E-2</v>
      </c>
      <c r="C413">
        <v>4.2360000000000002E-2</v>
      </c>
      <c r="D413">
        <v>4.0419999999999998E-2</v>
      </c>
      <c r="E413">
        <v>4.2000000000000003E-2</v>
      </c>
      <c r="F413">
        <v>9811228.5</v>
      </c>
      <c r="G413">
        <v>0</v>
      </c>
      <c r="L413" t="s">
        <v>7</v>
      </c>
      <c r="M413" t="s">
        <v>8</v>
      </c>
      <c r="N413" t="s">
        <v>8</v>
      </c>
      <c r="P413">
        <f t="shared" si="974"/>
        <v>0.62886597938144495</v>
      </c>
      <c r="Q413">
        <f t="shared" si="975"/>
        <v>6169947.8195876451</v>
      </c>
      <c r="R413">
        <f t="shared" si="976"/>
        <v>-234667405.92164782</v>
      </c>
      <c r="S413">
        <f t="shared" si="977"/>
        <v>-2346.6740592164783</v>
      </c>
      <c r="T413">
        <f t="shared" si="978"/>
        <v>-2.3466740592164785</v>
      </c>
    </row>
    <row r="414" spans="1:20" x14ac:dyDescent="0.25">
      <c r="A414" s="5">
        <v>44179</v>
      </c>
      <c r="B414">
        <v>4.0869999999999997E-2</v>
      </c>
      <c r="C414">
        <v>4.267E-2</v>
      </c>
      <c r="D414">
        <v>3.9849999999999997E-2</v>
      </c>
      <c r="E414">
        <v>4.1050000000000003E-2</v>
      </c>
      <c r="F414">
        <v>22888384.899999999</v>
      </c>
      <c r="G414">
        <v>0</v>
      </c>
      <c r="L414" t="s">
        <v>7</v>
      </c>
      <c r="M414" t="s">
        <v>8</v>
      </c>
      <c r="N414" t="s">
        <v>8</v>
      </c>
      <c r="P414">
        <f t="shared" si="974"/>
        <v>-0.14893617021276218</v>
      </c>
      <c r="Q414">
        <f t="shared" si="975"/>
        <v>-3408908.3893616153</v>
      </c>
      <c r="R414">
        <f t="shared" si="976"/>
        <v>-240837353.74123546</v>
      </c>
      <c r="S414">
        <f t="shared" si="977"/>
        <v>-2408.3735374123548</v>
      </c>
      <c r="T414">
        <f t="shared" si="978"/>
        <v>-2.4083735374123547</v>
      </c>
    </row>
    <row r="415" spans="1:20" x14ac:dyDescent="0.25">
      <c r="A415" s="5">
        <v>44178</v>
      </c>
      <c r="B415">
        <v>4.027E-2</v>
      </c>
      <c r="C415">
        <v>4.1680000000000002E-2</v>
      </c>
      <c r="D415">
        <v>0.04</v>
      </c>
      <c r="E415">
        <v>4.0770000000000001E-2</v>
      </c>
      <c r="F415">
        <v>2072834.3</v>
      </c>
      <c r="G415">
        <v>0</v>
      </c>
      <c r="L415" t="s">
        <v>7</v>
      </c>
      <c r="M415" t="s">
        <v>8</v>
      </c>
      <c r="N415" t="s">
        <v>8</v>
      </c>
      <c r="P415">
        <f t="shared" si="974"/>
        <v>-8.3333333333334023E-2</v>
      </c>
      <c r="Q415">
        <f t="shared" si="975"/>
        <v>-172736.19166666811</v>
      </c>
      <c r="R415">
        <f t="shared" si="976"/>
        <v>-237428445.35187384</v>
      </c>
      <c r="S415">
        <f t="shared" si="977"/>
        <v>-2374.2844535187382</v>
      </c>
      <c r="T415">
        <f t="shared" si="978"/>
        <v>-2.3742844535187384</v>
      </c>
    </row>
    <row r="416" spans="1:20" x14ac:dyDescent="0.25">
      <c r="A416" s="5">
        <v>44177</v>
      </c>
      <c r="B416">
        <v>3.8580000000000003E-2</v>
      </c>
      <c r="C416">
        <v>4.444E-2</v>
      </c>
      <c r="D416">
        <v>3.8580000000000003E-2</v>
      </c>
      <c r="E416">
        <v>4.027E-2</v>
      </c>
      <c r="F416">
        <v>8462948.1999999993</v>
      </c>
      <c r="G416">
        <v>0</v>
      </c>
      <c r="L416" t="s">
        <v>8</v>
      </c>
      <c r="M416" t="s">
        <v>8</v>
      </c>
      <c r="N416" t="s">
        <v>8</v>
      </c>
      <c r="P416">
        <f t="shared" si="974"/>
        <v>-0.42320819112628061</v>
      </c>
      <c r="Q416">
        <f t="shared" si="975"/>
        <v>-3581588.9993174123</v>
      </c>
      <c r="R416">
        <f t="shared" si="976"/>
        <v>-237255709.16020718</v>
      </c>
      <c r="S416">
        <f t="shared" si="977"/>
        <v>-2372.557091602072</v>
      </c>
      <c r="T416">
        <f t="shared" si="978"/>
        <v>-2.3725570916020722</v>
      </c>
    </row>
    <row r="417" spans="1:20" x14ac:dyDescent="0.25">
      <c r="A417" s="5">
        <v>44176</v>
      </c>
      <c r="B417">
        <v>4.0009999999999997E-2</v>
      </c>
      <c r="C417">
        <v>4.002E-2</v>
      </c>
      <c r="D417">
        <v>3.7740000000000003E-2</v>
      </c>
      <c r="E417">
        <v>3.857E-2</v>
      </c>
      <c r="F417">
        <v>1633281.7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-0.27192982456140491</v>
      </c>
      <c r="Q417">
        <f t="shared" si="975"/>
        <v>-444138.00614035316</v>
      </c>
      <c r="R417">
        <f t="shared" si="976"/>
        <v>-233674120.16088977</v>
      </c>
      <c r="S417">
        <f t="shared" si="977"/>
        <v>-2336.7412016088979</v>
      </c>
      <c r="T417">
        <f t="shared" si="978"/>
        <v>-2.336741201608898</v>
      </c>
    </row>
    <row r="418" spans="1:20" x14ac:dyDescent="0.25">
      <c r="A418" s="5">
        <v>44175</v>
      </c>
      <c r="B418">
        <v>4.0469999999999999E-2</v>
      </c>
      <c r="C418">
        <v>4.061E-2</v>
      </c>
      <c r="D418">
        <v>3.8440000000000002E-2</v>
      </c>
      <c r="E418">
        <v>3.9739999999999998E-2</v>
      </c>
      <c r="F418">
        <v>1375458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0.19815668202764664</v>
      </c>
      <c r="Q418">
        <f t="shared" si="975"/>
        <v>272556.19354838278</v>
      </c>
      <c r="R418">
        <f t="shared" si="976"/>
        <v>-233229982.15474942</v>
      </c>
      <c r="S418">
        <f t="shared" si="977"/>
        <v>-2332.299821547494</v>
      </c>
      <c r="T418">
        <f t="shared" si="978"/>
        <v>-2.3322998215474939</v>
      </c>
    </row>
    <row r="419" spans="1:20" x14ac:dyDescent="0.25">
      <c r="A419" s="5">
        <v>44174</v>
      </c>
      <c r="B419">
        <v>3.773E-2</v>
      </c>
      <c r="C419">
        <v>4.1000000000000002E-2</v>
      </c>
      <c r="D419">
        <v>3.7319999999999999E-2</v>
      </c>
      <c r="E419">
        <v>4.0649999999999999E-2</v>
      </c>
      <c r="F419">
        <v>3945870.6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0.80978260869565066</v>
      </c>
      <c r="Q419">
        <f t="shared" si="975"/>
        <v>3195297.3880434725</v>
      </c>
      <c r="R419">
        <f t="shared" si="976"/>
        <v>-233502538.3482978</v>
      </c>
      <c r="S419">
        <f t="shared" si="977"/>
        <v>-2335.0253834829782</v>
      </c>
      <c r="T419">
        <f t="shared" si="978"/>
        <v>-2.3350253834829782</v>
      </c>
    </row>
    <row r="420" spans="1:20" x14ac:dyDescent="0.25">
      <c r="A420" s="5">
        <v>44173</v>
      </c>
      <c r="B420">
        <v>4.0809999999999999E-2</v>
      </c>
      <c r="C420">
        <v>4.104E-2</v>
      </c>
      <c r="D420">
        <v>3.7499999999999999E-2</v>
      </c>
      <c r="E420">
        <v>3.7740000000000003E-2</v>
      </c>
      <c r="F420">
        <v>4847412.7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-0.86440677966101465</v>
      </c>
      <c r="Q420">
        <f t="shared" si="975"/>
        <v>-4190136.4016949041</v>
      </c>
      <c r="R420">
        <f t="shared" si="976"/>
        <v>-236697835.73634127</v>
      </c>
      <c r="S420">
        <f t="shared" si="977"/>
        <v>-2366.9783573634127</v>
      </c>
      <c r="T420">
        <f t="shared" si="978"/>
        <v>-2.3669783573634127</v>
      </c>
    </row>
    <row r="421" spans="1:20" x14ac:dyDescent="0.25">
      <c r="A421" s="5">
        <v>44172</v>
      </c>
      <c r="B421">
        <v>4.0090000000000001E-2</v>
      </c>
      <c r="C421">
        <v>4.2560000000000001E-2</v>
      </c>
      <c r="D421">
        <v>3.9390000000000001E-2</v>
      </c>
      <c r="E421">
        <v>4.0820000000000002E-2</v>
      </c>
      <c r="F421">
        <v>3872268.7</v>
      </c>
      <c r="G421">
        <v>0</v>
      </c>
      <c r="L421" t="s">
        <v>8</v>
      </c>
      <c r="M421" t="s">
        <v>7</v>
      </c>
      <c r="N421" t="s">
        <v>8</v>
      </c>
      <c r="P421">
        <f t="shared" si="974"/>
        <v>-9.7791798107254843E-2</v>
      </c>
      <c r="Q421">
        <f t="shared" si="975"/>
        <v>-378676.11892744218</v>
      </c>
      <c r="R421">
        <f t="shared" si="976"/>
        <v>-232507699.33464637</v>
      </c>
      <c r="S421">
        <f t="shared" si="977"/>
        <v>-2325.076993346464</v>
      </c>
      <c r="T421">
        <f t="shared" si="978"/>
        <v>-2.3250769933464639</v>
      </c>
    </row>
    <row r="422" spans="1:20" x14ac:dyDescent="0.25">
      <c r="A422" s="5">
        <v>44171</v>
      </c>
      <c r="B422">
        <v>4.1390000000000003E-2</v>
      </c>
      <c r="C422">
        <v>4.1480000000000003E-2</v>
      </c>
      <c r="D422">
        <v>3.9390000000000001E-2</v>
      </c>
      <c r="E422">
        <v>4.018E-2</v>
      </c>
      <c r="F422">
        <v>3743609.2</v>
      </c>
      <c r="G422">
        <v>0</v>
      </c>
      <c r="L422" t="s">
        <v>7</v>
      </c>
      <c r="M422" t="s">
        <v>7</v>
      </c>
      <c r="N422" t="s">
        <v>8</v>
      </c>
      <c r="P422">
        <f t="shared" si="974"/>
        <v>-0.24401913875598236</v>
      </c>
      <c r="Q422">
        <f t="shared" si="975"/>
        <v>-913512.29282297217</v>
      </c>
      <c r="R422">
        <f t="shared" si="976"/>
        <v>-232129023.21571892</v>
      </c>
      <c r="S422">
        <f t="shared" si="977"/>
        <v>-2321.2902321571892</v>
      </c>
      <c r="T422">
        <f t="shared" si="978"/>
        <v>-2.3212902321571893</v>
      </c>
    </row>
    <row r="423" spans="1:20" x14ac:dyDescent="0.25">
      <c r="A423" s="5">
        <v>44170</v>
      </c>
      <c r="B423">
        <v>3.9989999999999998E-2</v>
      </c>
      <c r="C423">
        <v>4.19E-2</v>
      </c>
      <c r="D423">
        <v>3.9570000000000001E-2</v>
      </c>
      <c r="E423">
        <v>4.1399999999999999E-2</v>
      </c>
      <c r="F423">
        <v>2016958.7</v>
      </c>
      <c r="G423">
        <v>0</v>
      </c>
      <c r="L423" t="s">
        <v>7</v>
      </c>
      <c r="M423" t="s">
        <v>7</v>
      </c>
      <c r="N423" t="s">
        <v>8</v>
      </c>
      <c r="P423">
        <f t="shared" si="974"/>
        <v>0.57081545064377626</v>
      </c>
      <c r="Q423">
        <f t="shared" si="975"/>
        <v>1151311.1892703851</v>
      </c>
      <c r="R423">
        <f t="shared" si="976"/>
        <v>-231215510.92289594</v>
      </c>
      <c r="S423">
        <f t="shared" si="977"/>
        <v>-2312.1551092289592</v>
      </c>
      <c r="T423">
        <f t="shared" si="978"/>
        <v>-2.3121551092289594</v>
      </c>
    </row>
    <row r="424" spans="1:20" x14ac:dyDescent="0.25">
      <c r="A424" s="5">
        <v>44169</v>
      </c>
      <c r="B424">
        <v>4.3400000000000001E-2</v>
      </c>
      <c r="C424">
        <v>4.3400000000000001E-2</v>
      </c>
      <c r="D424">
        <v>3.9640000000000002E-2</v>
      </c>
      <c r="E424">
        <v>3.9820000000000001E-2</v>
      </c>
      <c r="F424">
        <v>3585741.4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-0.90425531914893642</v>
      </c>
      <c r="Q424">
        <f t="shared" si="975"/>
        <v>-3242425.7340425542</v>
      </c>
      <c r="R424">
        <f t="shared" si="976"/>
        <v>-232366822.11216632</v>
      </c>
      <c r="S424">
        <f t="shared" si="977"/>
        <v>-2323.668221121663</v>
      </c>
      <c r="T424">
        <f t="shared" si="978"/>
        <v>-2.3236682211216628</v>
      </c>
    </row>
    <row r="425" spans="1:20" x14ac:dyDescent="0.25">
      <c r="A425" s="5">
        <v>44168</v>
      </c>
      <c r="B425">
        <v>4.2360000000000002E-2</v>
      </c>
      <c r="C425">
        <v>4.4580000000000002E-2</v>
      </c>
      <c r="D425">
        <v>4.1939999999999998E-2</v>
      </c>
      <c r="E425">
        <v>4.3150000000000001E-2</v>
      </c>
      <c r="F425">
        <v>3183084.5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-8.3333333333332454E-2</v>
      </c>
      <c r="Q425">
        <f t="shared" si="975"/>
        <v>-265257.04166666389</v>
      </c>
      <c r="R425">
        <f t="shared" si="976"/>
        <v>-229124396.37812376</v>
      </c>
      <c r="S425">
        <f t="shared" si="977"/>
        <v>-2291.2439637812377</v>
      </c>
      <c r="T425">
        <f t="shared" si="978"/>
        <v>-2.2912439637812376</v>
      </c>
    </row>
    <row r="426" spans="1:20" x14ac:dyDescent="0.25">
      <c r="A426" s="5">
        <v>44167</v>
      </c>
      <c r="B426">
        <v>4.2220000000000001E-2</v>
      </c>
      <c r="C426">
        <v>4.3310000000000001E-2</v>
      </c>
      <c r="D426">
        <v>4.0590000000000001E-2</v>
      </c>
      <c r="E426">
        <v>4.2360000000000002E-2</v>
      </c>
      <c r="F426">
        <v>3025852</v>
      </c>
      <c r="G426">
        <v>0</v>
      </c>
      <c r="L426" t="s">
        <v>7</v>
      </c>
      <c r="M426" t="s">
        <v>8</v>
      </c>
      <c r="N426" t="s">
        <v>8</v>
      </c>
      <c r="P426">
        <f t="shared" si="974"/>
        <v>0.30147058823529455</v>
      </c>
      <c r="Q426">
        <f t="shared" si="975"/>
        <v>912205.38235294248</v>
      </c>
      <c r="R426">
        <f t="shared" si="976"/>
        <v>-228859139.3364571</v>
      </c>
      <c r="S426">
        <f t="shared" si="977"/>
        <v>-2288.5913933645711</v>
      </c>
      <c r="T426">
        <f t="shared" si="978"/>
        <v>-2.288591393364571</v>
      </c>
    </row>
    <row r="427" spans="1:20" x14ac:dyDescent="0.25">
      <c r="A427" s="5">
        <v>44166</v>
      </c>
      <c r="B427">
        <v>4.1399999999999999E-2</v>
      </c>
      <c r="C427">
        <v>4.6879999999999998E-2</v>
      </c>
      <c r="D427">
        <v>0.04</v>
      </c>
      <c r="E427">
        <v>4.2299999999999997E-2</v>
      </c>
      <c r="F427">
        <v>9666510.9000000004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-0.33139534883721006</v>
      </c>
      <c r="Q427">
        <f t="shared" si="975"/>
        <v>-3203436.7517441935</v>
      </c>
      <c r="R427">
        <f t="shared" si="976"/>
        <v>-229771344.71881005</v>
      </c>
      <c r="S427">
        <f t="shared" si="977"/>
        <v>-2297.7134471881004</v>
      </c>
      <c r="T427">
        <f t="shared" si="978"/>
        <v>-2.2977134471881002</v>
      </c>
    </row>
    <row r="428" spans="1:20" x14ac:dyDescent="0.25">
      <c r="A428" s="5">
        <v>44165</v>
      </c>
      <c r="B428">
        <v>4.079E-2</v>
      </c>
      <c r="C428">
        <v>4.5319999999999999E-2</v>
      </c>
      <c r="D428">
        <v>3.9960000000000002E-2</v>
      </c>
      <c r="E428">
        <v>4.129E-2</v>
      </c>
      <c r="F428">
        <v>4188582.7</v>
      </c>
      <c r="G428">
        <v>0</v>
      </c>
      <c r="L428" t="s">
        <v>8</v>
      </c>
      <c r="M428" t="s">
        <v>8</v>
      </c>
      <c r="N428" t="s">
        <v>8</v>
      </c>
      <c r="P428">
        <f t="shared" si="974"/>
        <v>-0.5037313432835826</v>
      </c>
      <c r="Q428">
        <f t="shared" si="975"/>
        <v>-2109920.3899253756</v>
      </c>
      <c r="R428">
        <f t="shared" si="976"/>
        <v>-226567907.96706587</v>
      </c>
      <c r="S428">
        <f t="shared" si="977"/>
        <v>-2265.6790796706587</v>
      </c>
      <c r="T428">
        <f t="shared" si="978"/>
        <v>-2.2656790796706585</v>
      </c>
    </row>
    <row r="429" spans="1:20" x14ac:dyDescent="0.25">
      <c r="A429" s="5">
        <v>44164</v>
      </c>
      <c r="B429">
        <v>4.0869999999999997E-2</v>
      </c>
      <c r="C429">
        <v>4.2130000000000001E-2</v>
      </c>
      <c r="D429">
        <v>4.0070000000000001E-2</v>
      </c>
      <c r="E429">
        <v>4.0410000000000001E-2</v>
      </c>
      <c r="F429">
        <v>1998318.5</v>
      </c>
      <c r="G429">
        <v>0</v>
      </c>
      <c r="L429" t="s">
        <v>8</v>
      </c>
      <c r="M429" t="s">
        <v>8</v>
      </c>
      <c r="N429" t="s">
        <v>8</v>
      </c>
      <c r="P429">
        <f t="shared" si="974"/>
        <v>-0.66990291262135915</v>
      </c>
      <c r="Q429">
        <f t="shared" si="975"/>
        <v>-1338679.3834951455</v>
      </c>
      <c r="R429">
        <f t="shared" si="976"/>
        <v>-224457987.57714048</v>
      </c>
      <c r="S429">
        <f t="shared" si="977"/>
        <v>-2244.5798757714047</v>
      </c>
      <c r="T429">
        <f t="shared" si="978"/>
        <v>-2.2445798757714046</v>
      </c>
    </row>
    <row r="430" spans="1:20" x14ac:dyDescent="0.25">
      <c r="A430" s="5">
        <v>44163</v>
      </c>
      <c r="B430">
        <v>3.9129999999999998E-2</v>
      </c>
      <c r="C430">
        <v>4.1349999999999998E-2</v>
      </c>
      <c r="D430">
        <v>3.7479999999999999E-2</v>
      </c>
      <c r="E430">
        <v>4.0960000000000003E-2</v>
      </c>
      <c r="F430">
        <v>3637601.8</v>
      </c>
      <c r="G430">
        <v>0</v>
      </c>
      <c r="L430" t="s">
        <v>8</v>
      </c>
      <c r="M430" t="s">
        <v>7</v>
      </c>
      <c r="N430" t="s">
        <v>8</v>
      </c>
      <c r="P430">
        <f t="shared" si="974"/>
        <v>0.79844961240310353</v>
      </c>
      <c r="Q430">
        <f t="shared" si="975"/>
        <v>2904441.7472868315</v>
      </c>
      <c r="R430">
        <f t="shared" si="976"/>
        <v>-223119308.19364533</v>
      </c>
      <c r="S430">
        <f t="shared" si="977"/>
        <v>-2231.1930819364534</v>
      </c>
      <c r="T430">
        <f t="shared" si="978"/>
        <v>-2.2311930819364534</v>
      </c>
    </row>
    <row r="431" spans="1:20" x14ac:dyDescent="0.25">
      <c r="A431" s="5">
        <v>44162</v>
      </c>
      <c r="B431">
        <v>3.8690000000000002E-2</v>
      </c>
      <c r="C431">
        <v>4.0070000000000001E-2</v>
      </c>
      <c r="D431">
        <v>3.7249999999999998E-2</v>
      </c>
      <c r="E431">
        <v>3.9550000000000002E-2</v>
      </c>
      <c r="F431">
        <v>3112475.1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0.63120567375886594</v>
      </c>
      <c r="Q431">
        <f t="shared" si="975"/>
        <v>1964611.9425531938</v>
      </c>
      <c r="R431">
        <f t="shared" si="976"/>
        <v>-226023749.94093215</v>
      </c>
      <c r="S431">
        <f t="shared" si="977"/>
        <v>-2260.2374994093216</v>
      </c>
      <c r="T431">
        <f t="shared" si="978"/>
        <v>-2.2602374994093215</v>
      </c>
    </row>
    <row r="432" spans="1:20" x14ac:dyDescent="0.25">
      <c r="A432" s="5">
        <v>44161</v>
      </c>
      <c r="B432">
        <v>4.462E-2</v>
      </c>
      <c r="C432">
        <v>4.582E-2</v>
      </c>
      <c r="D432">
        <v>3.5860000000000003E-2</v>
      </c>
      <c r="E432">
        <v>3.8490000000000003E-2</v>
      </c>
      <c r="F432">
        <v>7751402.2999999998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-0.47188755020080297</v>
      </c>
      <c r="Q432">
        <f t="shared" si="975"/>
        <v>-3657790.2419678695</v>
      </c>
      <c r="R432">
        <f t="shared" si="976"/>
        <v>-227988361.88348535</v>
      </c>
      <c r="S432">
        <f t="shared" si="977"/>
        <v>-2279.8836188348537</v>
      </c>
      <c r="T432">
        <f t="shared" si="978"/>
        <v>-2.2798836188348535</v>
      </c>
    </row>
    <row r="433" spans="1:20" x14ac:dyDescent="0.25">
      <c r="A433" s="5">
        <v>44160</v>
      </c>
      <c r="B433">
        <v>4.6170000000000003E-2</v>
      </c>
      <c r="C433">
        <v>0.05</v>
      </c>
      <c r="D433">
        <v>4.3299999999999998E-2</v>
      </c>
      <c r="E433">
        <v>4.4589999999999998E-2</v>
      </c>
      <c r="F433">
        <v>12561535.4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-0.61492537313432882</v>
      </c>
      <c r="Q433">
        <f t="shared" si="975"/>
        <v>-7724406.8429850806</v>
      </c>
      <c r="R433">
        <f t="shared" si="976"/>
        <v>-224330571.64151749</v>
      </c>
      <c r="S433">
        <f t="shared" si="977"/>
        <v>-2243.3057164151751</v>
      </c>
      <c r="T433">
        <f t="shared" si="978"/>
        <v>-2.2433057164151751</v>
      </c>
    </row>
    <row r="434" spans="1:20" x14ac:dyDescent="0.25">
      <c r="A434" s="5">
        <v>44159</v>
      </c>
      <c r="B434">
        <v>4.6129999999999997E-2</v>
      </c>
      <c r="C434">
        <v>4.9000000000000002E-2</v>
      </c>
      <c r="D434">
        <v>4.3770000000000003E-2</v>
      </c>
      <c r="E434">
        <v>4.598E-2</v>
      </c>
      <c r="F434">
        <v>9175806.5999999996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-0.15487571701720945</v>
      </c>
      <c r="Q434">
        <f t="shared" si="975"/>
        <v>-1421109.6263862427</v>
      </c>
      <c r="R434">
        <f t="shared" si="976"/>
        <v>-216606164.7985324</v>
      </c>
      <c r="S434">
        <f t="shared" si="977"/>
        <v>-2166.0616479853238</v>
      </c>
      <c r="T434">
        <f t="shared" si="978"/>
        <v>-2.1660616479853236</v>
      </c>
    </row>
    <row r="435" spans="1:20" x14ac:dyDescent="0.25">
      <c r="A435" s="5">
        <v>44158</v>
      </c>
      <c r="B435">
        <v>4.2900000000000001E-2</v>
      </c>
      <c r="C435">
        <v>4.6989999999999997E-2</v>
      </c>
      <c r="D435">
        <v>4.2410000000000003E-2</v>
      </c>
      <c r="E435">
        <v>4.6129999999999997E-2</v>
      </c>
      <c r="F435">
        <v>6390607.5999999996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0.6244541484716154</v>
      </c>
      <c r="Q435">
        <f t="shared" si="975"/>
        <v>3990641.4270742335</v>
      </c>
      <c r="R435">
        <f t="shared" si="976"/>
        <v>-215185055.17214614</v>
      </c>
      <c r="S435">
        <f t="shared" si="977"/>
        <v>-2151.8505517214612</v>
      </c>
      <c r="T435">
        <f t="shared" si="978"/>
        <v>-2.151850551721461</v>
      </c>
    </row>
    <row r="436" spans="1:20" x14ac:dyDescent="0.25">
      <c r="A436" s="5">
        <v>44157</v>
      </c>
      <c r="B436">
        <v>4.4970000000000003E-2</v>
      </c>
      <c r="C436">
        <v>4.5060000000000003E-2</v>
      </c>
      <c r="D436">
        <v>4.1000000000000002E-2</v>
      </c>
      <c r="E436">
        <v>4.2979999999999997E-2</v>
      </c>
      <c r="F436">
        <v>4252734.8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-2.4630541871923591E-2</v>
      </c>
      <c r="Q436">
        <f t="shared" si="975"/>
        <v>-104747.16256158659</v>
      </c>
      <c r="R436">
        <f t="shared" si="976"/>
        <v>-219175696.59922037</v>
      </c>
      <c r="S436">
        <f t="shared" si="977"/>
        <v>-2191.7569659922037</v>
      </c>
      <c r="T436">
        <f t="shared" si="978"/>
        <v>-2.1917569659922038</v>
      </c>
    </row>
    <row r="437" spans="1:20" x14ac:dyDescent="0.25">
      <c r="A437" s="5">
        <v>44156</v>
      </c>
      <c r="B437">
        <v>4.2189999999999998E-2</v>
      </c>
      <c r="C437">
        <v>4.5289999999999997E-2</v>
      </c>
      <c r="D437">
        <v>4.2090000000000002E-2</v>
      </c>
      <c r="E437">
        <v>4.496E-2</v>
      </c>
      <c r="F437">
        <v>4812755.5999999996</v>
      </c>
      <c r="G437">
        <v>0</v>
      </c>
      <c r="L437" t="s">
        <v>8</v>
      </c>
      <c r="M437" t="s">
        <v>7</v>
      </c>
      <c r="N437" t="s">
        <v>8</v>
      </c>
      <c r="P437">
        <f t="shared" si="974"/>
        <v>0.79375000000000151</v>
      </c>
      <c r="Q437">
        <f t="shared" si="975"/>
        <v>3820124.7575000068</v>
      </c>
      <c r="R437">
        <f t="shared" si="976"/>
        <v>-219070949.43665877</v>
      </c>
      <c r="S437">
        <f t="shared" si="977"/>
        <v>-2190.7094943665875</v>
      </c>
      <c r="T437">
        <f t="shared" si="978"/>
        <v>-2.1907094943665877</v>
      </c>
    </row>
    <row r="438" spans="1:20" x14ac:dyDescent="0.25">
      <c r="A438" s="5">
        <v>44155</v>
      </c>
      <c r="B438">
        <v>4.0890000000000003E-2</v>
      </c>
      <c r="C438">
        <v>4.3999999999999997E-2</v>
      </c>
      <c r="D438">
        <v>4.0890000000000003E-2</v>
      </c>
      <c r="E438">
        <v>4.2110000000000002E-2</v>
      </c>
      <c r="F438">
        <v>3396109.7</v>
      </c>
      <c r="G438">
        <v>0</v>
      </c>
      <c r="L438" t="s">
        <v>8</v>
      </c>
      <c r="M438" t="s">
        <v>7</v>
      </c>
      <c r="N438" t="s">
        <v>8</v>
      </c>
      <c r="P438">
        <f t="shared" si="974"/>
        <v>-0.21543408360128558</v>
      </c>
      <c r="Q438">
        <f t="shared" si="975"/>
        <v>-731637.78102893697</v>
      </c>
      <c r="R438">
        <f t="shared" si="976"/>
        <v>-222891074.19415876</v>
      </c>
      <c r="S438">
        <f t="shared" si="977"/>
        <v>-2228.9107419415877</v>
      </c>
      <c r="T438">
        <f t="shared" si="978"/>
        <v>-2.2289107419415877</v>
      </c>
    </row>
    <row r="439" spans="1:20" x14ac:dyDescent="0.25">
      <c r="A439" s="5">
        <v>44154</v>
      </c>
      <c r="B439">
        <v>4.1660000000000003E-2</v>
      </c>
      <c r="C439">
        <v>4.2070000000000003E-2</v>
      </c>
      <c r="D439">
        <v>4.0079999999999998E-2</v>
      </c>
      <c r="E439">
        <v>4.0669999999999998E-2</v>
      </c>
      <c r="F439">
        <v>1988565.9</v>
      </c>
      <c r="G439">
        <v>0</v>
      </c>
      <c r="L439" t="s">
        <v>7</v>
      </c>
      <c r="M439" t="s">
        <v>7</v>
      </c>
      <c r="N439" t="s">
        <v>8</v>
      </c>
      <c r="P439">
        <f t="shared" si="974"/>
        <v>-0.40703517587939841</v>
      </c>
      <c r="Q439">
        <f t="shared" si="975"/>
        <v>-809416.27085427416</v>
      </c>
      <c r="R439">
        <f t="shared" si="976"/>
        <v>-222159436.41312984</v>
      </c>
      <c r="S439">
        <f t="shared" si="977"/>
        <v>-2221.5943641312983</v>
      </c>
      <c r="T439">
        <f t="shared" si="978"/>
        <v>-2.2215943641312985</v>
      </c>
    </row>
    <row r="440" spans="1:20" x14ac:dyDescent="0.25">
      <c r="A440" s="5">
        <v>44153</v>
      </c>
      <c r="B440">
        <v>4.2779999999999999E-2</v>
      </c>
      <c r="C440">
        <v>4.2999999999999997E-2</v>
      </c>
      <c r="D440">
        <v>4.0030000000000003E-2</v>
      </c>
      <c r="E440">
        <v>4.1660000000000003E-2</v>
      </c>
      <c r="F440">
        <v>3008182.8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9.7643097643099724E-2</v>
      </c>
      <c r="Q440">
        <f t="shared" si="975"/>
        <v>293728.28686869313</v>
      </c>
      <c r="R440">
        <f t="shared" si="976"/>
        <v>-221350020.14227557</v>
      </c>
      <c r="S440">
        <f t="shared" si="977"/>
        <v>-2213.5002014227557</v>
      </c>
      <c r="T440">
        <f t="shared" si="978"/>
        <v>-2.2135002014227556</v>
      </c>
    </row>
    <row r="441" spans="1:20" x14ac:dyDescent="0.25">
      <c r="A441" s="5">
        <v>44152</v>
      </c>
      <c r="B441">
        <v>4.2090000000000002E-2</v>
      </c>
      <c r="C441">
        <v>4.3290000000000002E-2</v>
      </c>
      <c r="D441">
        <v>4.1529999999999997E-2</v>
      </c>
      <c r="E441">
        <v>4.2770000000000002E-2</v>
      </c>
      <c r="F441">
        <v>5395779.9000000004</v>
      </c>
      <c r="G441">
        <v>0</v>
      </c>
      <c r="L441" t="s">
        <v>7</v>
      </c>
      <c r="M441" t="s">
        <v>7</v>
      </c>
      <c r="N441" t="s">
        <v>8</v>
      </c>
      <c r="P441">
        <f t="shared" si="974"/>
        <v>0.40909090909091106</v>
      </c>
      <c r="Q441">
        <f t="shared" si="975"/>
        <v>2207364.5045454651</v>
      </c>
      <c r="R441">
        <f t="shared" si="976"/>
        <v>-221643748.42914426</v>
      </c>
      <c r="S441">
        <f t="shared" si="977"/>
        <v>-2216.4374842914426</v>
      </c>
      <c r="T441">
        <f t="shared" si="978"/>
        <v>-2.2164374842914425</v>
      </c>
    </row>
    <row r="442" spans="1:20" x14ac:dyDescent="0.25">
      <c r="A442" s="5">
        <v>44151</v>
      </c>
      <c r="B442">
        <v>4.2500000000000003E-2</v>
      </c>
      <c r="C442">
        <v>4.589E-2</v>
      </c>
      <c r="D442">
        <v>4.156E-2</v>
      </c>
      <c r="E442">
        <v>4.2189999999999998E-2</v>
      </c>
      <c r="F442">
        <v>6815070.9000000004</v>
      </c>
      <c r="G442">
        <v>0</v>
      </c>
      <c r="L442" t="s">
        <v>8</v>
      </c>
      <c r="M442" t="s">
        <v>7</v>
      </c>
      <c r="N442" t="s">
        <v>8</v>
      </c>
      <c r="P442">
        <f t="shared" si="974"/>
        <v>-0.70900692840646717</v>
      </c>
      <c r="Q442">
        <f t="shared" si="975"/>
        <v>-4831932.4856812982</v>
      </c>
      <c r="R442">
        <f t="shared" si="976"/>
        <v>-223851112.93368974</v>
      </c>
      <c r="S442">
        <f t="shared" si="977"/>
        <v>-2238.5111293368973</v>
      </c>
      <c r="T442">
        <f t="shared" si="978"/>
        <v>-2.2385111293368971</v>
      </c>
    </row>
    <row r="443" spans="1:20" x14ac:dyDescent="0.25">
      <c r="A443" s="5">
        <v>44150</v>
      </c>
      <c r="B443">
        <v>4.1759999999999999E-2</v>
      </c>
      <c r="C443">
        <v>4.3979999999999998E-2</v>
      </c>
      <c r="D443">
        <v>4.1200000000000001E-2</v>
      </c>
      <c r="E443">
        <v>4.2610000000000002E-2</v>
      </c>
      <c r="F443">
        <v>3895994</v>
      </c>
      <c r="G443">
        <v>0</v>
      </c>
      <c r="L443" t="s">
        <v>8</v>
      </c>
      <c r="M443" t="s">
        <v>7</v>
      </c>
      <c r="N443" t="s">
        <v>8</v>
      </c>
      <c r="P443">
        <f t="shared" si="974"/>
        <v>1.4388489208635015E-2</v>
      </c>
      <c r="Q443">
        <f t="shared" si="975"/>
        <v>56057.467625906764</v>
      </c>
      <c r="R443">
        <f t="shared" si="976"/>
        <v>-219019180.44800845</v>
      </c>
      <c r="S443">
        <f t="shared" si="977"/>
        <v>-2190.1918044800846</v>
      </c>
      <c r="T443">
        <f t="shared" si="978"/>
        <v>-2.1901918044800848</v>
      </c>
    </row>
    <row r="444" spans="1:20" x14ac:dyDescent="0.25">
      <c r="A444" s="5">
        <v>44149</v>
      </c>
      <c r="B444">
        <v>4.3639999999999998E-2</v>
      </c>
      <c r="C444">
        <v>4.376E-2</v>
      </c>
      <c r="D444">
        <v>4.0500000000000001E-2</v>
      </c>
      <c r="E444">
        <v>4.1770000000000002E-2</v>
      </c>
      <c r="F444">
        <v>2481372.5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-0.22085889570552106</v>
      </c>
      <c r="Q444">
        <f t="shared" si="975"/>
        <v>-548033.19018404803</v>
      </c>
      <c r="R444">
        <f t="shared" si="976"/>
        <v>-219075237.91563436</v>
      </c>
      <c r="S444">
        <f t="shared" si="977"/>
        <v>-2190.7523791563435</v>
      </c>
      <c r="T444">
        <f t="shared" si="978"/>
        <v>-2.1907523791563435</v>
      </c>
    </row>
    <row r="445" spans="1:20" x14ac:dyDescent="0.25">
      <c r="A445" s="5">
        <v>44148</v>
      </c>
      <c r="B445">
        <v>4.027E-2</v>
      </c>
      <c r="C445">
        <v>4.3900000000000002E-2</v>
      </c>
      <c r="D445">
        <v>4.0250000000000001E-2</v>
      </c>
      <c r="E445">
        <v>4.3639999999999998E-2</v>
      </c>
      <c r="F445">
        <v>3043623.7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0.85753424657534072</v>
      </c>
      <c r="Q445">
        <f t="shared" si="975"/>
        <v>2610011.5564383511</v>
      </c>
      <c r="R445">
        <f t="shared" si="976"/>
        <v>-218527204.72545031</v>
      </c>
      <c r="S445">
        <f t="shared" si="977"/>
        <v>-2185.2720472545029</v>
      </c>
      <c r="T445">
        <f t="shared" si="978"/>
        <v>-2.1852720472545029</v>
      </c>
    </row>
    <row r="446" spans="1:20" x14ac:dyDescent="0.25">
      <c r="A446" s="5">
        <v>44147</v>
      </c>
      <c r="B446">
        <v>4.1209999999999997E-2</v>
      </c>
      <c r="C446">
        <v>4.215E-2</v>
      </c>
      <c r="D446">
        <v>3.9039999999999998E-2</v>
      </c>
      <c r="E446">
        <v>4.0070000000000001E-2</v>
      </c>
      <c r="F446">
        <v>4452243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-0.3376205787781334</v>
      </c>
      <c r="Q446">
        <f t="shared" si="975"/>
        <v>-1503168.8585208929</v>
      </c>
      <c r="R446">
        <f t="shared" si="976"/>
        <v>-221137216.28188866</v>
      </c>
      <c r="S446">
        <f t="shared" si="977"/>
        <v>-2211.3721628188869</v>
      </c>
      <c r="T446">
        <f t="shared" si="978"/>
        <v>-2.2113721628188867</v>
      </c>
    </row>
    <row r="447" spans="1:20" x14ac:dyDescent="0.25">
      <c r="A447" s="5">
        <v>44146</v>
      </c>
      <c r="B447">
        <v>4.5469999999999997E-2</v>
      </c>
      <c r="C447">
        <v>4.5530000000000001E-2</v>
      </c>
      <c r="D447">
        <v>4.1119999999999997E-2</v>
      </c>
      <c r="E447">
        <v>4.1279999999999997E-2</v>
      </c>
      <c r="F447">
        <v>5020058.9000000004</v>
      </c>
      <c r="G447">
        <v>0</v>
      </c>
      <c r="L447" t="s">
        <v>7</v>
      </c>
      <c r="M447" t="s">
        <v>8</v>
      </c>
      <c r="N447" t="s">
        <v>8</v>
      </c>
      <c r="P447">
        <f t="shared" si="974"/>
        <v>-0.92743764172335585</v>
      </c>
      <c r="Q447">
        <f t="shared" si="975"/>
        <v>-4655791.5875283442</v>
      </c>
      <c r="R447">
        <f t="shared" si="976"/>
        <v>-219634047.42336777</v>
      </c>
      <c r="S447">
        <f t="shared" si="977"/>
        <v>-2196.3404742336775</v>
      </c>
      <c r="T447">
        <f t="shared" si="978"/>
        <v>-2.1963404742336774</v>
      </c>
    </row>
    <row r="448" spans="1:20" x14ac:dyDescent="0.25">
      <c r="A448" s="5">
        <v>44145</v>
      </c>
      <c r="B448">
        <v>4.4679999999999997E-2</v>
      </c>
      <c r="C448">
        <v>4.7890000000000002E-2</v>
      </c>
      <c r="D448">
        <v>4.4589999999999998E-2</v>
      </c>
      <c r="E448">
        <v>4.5310000000000003E-2</v>
      </c>
      <c r="F448">
        <v>5806663.9000000004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-0.56363636363636094</v>
      </c>
      <c r="Q448">
        <f t="shared" si="975"/>
        <v>-3272846.9254545299</v>
      </c>
      <c r="R448">
        <f t="shared" si="976"/>
        <v>-214978255.83583942</v>
      </c>
      <c r="S448">
        <f t="shared" si="977"/>
        <v>-2149.782558358394</v>
      </c>
      <c r="T448">
        <f t="shared" si="978"/>
        <v>-2.1497825583583938</v>
      </c>
    </row>
    <row r="449" spans="1:20" x14ac:dyDescent="0.25">
      <c r="A449" s="5">
        <v>44144</v>
      </c>
      <c r="B449">
        <v>4.2130000000000001E-2</v>
      </c>
      <c r="C449">
        <v>4.4909999999999999E-2</v>
      </c>
      <c r="D449">
        <v>4.0009999999999997E-2</v>
      </c>
      <c r="E449">
        <v>4.4499999999999998E-2</v>
      </c>
      <c r="F449">
        <v>5187072.5999999996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0.83265306122448957</v>
      </c>
      <c r="Q449">
        <f t="shared" si="975"/>
        <v>4319031.8791836724</v>
      </c>
      <c r="R449">
        <f t="shared" si="976"/>
        <v>-211705408.91038489</v>
      </c>
      <c r="S449">
        <f t="shared" si="977"/>
        <v>-2117.054089103849</v>
      </c>
      <c r="T449">
        <f t="shared" si="978"/>
        <v>-2.1170540891038492</v>
      </c>
    </row>
    <row r="450" spans="1:20" x14ac:dyDescent="0.25">
      <c r="A450" s="5">
        <v>44143</v>
      </c>
      <c r="B450">
        <v>3.7900000000000003E-2</v>
      </c>
      <c r="C450">
        <v>4.2999999999999997E-2</v>
      </c>
      <c r="D450">
        <v>3.7330000000000002E-2</v>
      </c>
      <c r="E450">
        <v>4.2450000000000002E-2</v>
      </c>
      <c r="F450">
        <v>4581427.2000000002</v>
      </c>
      <c r="G450">
        <v>0</v>
      </c>
      <c r="L450" t="s">
        <v>7</v>
      </c>
      <c r="M450" t="s">
        <v>8</v>
      </c>
      <c r="N450" t="s">
        <v>8</v>
      </c>
      <c r="P450">
        <f t="shared" si="974"/>
        <v>0.80599647266314089</v>
      </c>
      <c r="Q450">
        <f t="shared" si="975"/>
        <v>3692614.1629629703</v>
      </c>
      <c r="R450">
        <f t="shared" si="976"/>
        <v>-216024440.78956857</v>
      </c>
      <c r="S450">
        <f t="shared" si="977"/>
        <v>-2160.2444078956855</v>
      </c>
      <c r="T450">
        <f t="shared" si="978"/>
        <v>-2.1602444078956857</v>
      </c>
    </row>
    <row r="451" spans="1:20" x14ac:dyDescent="0.25">
      <c r="A451" s="5">
        <v>44142</v>
      </c>
      <c r="B451">
        <v>4.1520000000000001E-2</v>
      </c>
      <c r="C451">
        <v>4.3439999999999999E-2</v>
      </c>
      <c r="D451">
        <v>3.6310000000000002E-2</v>
      </c>
      <c r="E451">
        <v>3.7960000000000001E-2</v>
      </c>
      <c r="F451">
        <v>5336567.4000000004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-0.53716690042075754</v>
      </c>
      <c r="Q451">
        <f t="shared" si="975"/>
        <v>-2866627.3691444611</v>
      </c>
      <c r="R451">
        <f t="shared" si="976"/>
        <v>-219717054.95253155</v>
      </c>
      <c r="S451">
        <f t="shared" si="977"/>
        <v>-2197.1705495253154</v>
      </c>
      <c r="T451">
        <f t="shared" si="978"/>
        <v>-2.1971705495253153</v>
      </c>
    </row>
    <row r="452" spans="1:20" x14ac:dyDescent="0.25">
      <c r="A452" s="5">
        <v>44141</v>
      </c>
      <c r="B452">
        <v>3.8559999999999997E-2</v>
      </c>
      <c r="C452">
        <v>4.2340000000000003E-2</v>
      </c>
      <c r="D452">
        <v>3.7990000000000003E-2</v>
      </c>
      <c r="E452">
        <v>4.1520000000000001E-2</v>
      </c>
      <c r="F452">
        <v>3339752.4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0.62298850574712583</v>
      </c>
      <c r="Q452">
        <f t="shared" si="975"/>
        <v>2080627.3572413772</v>
      </c>
      <c r="R452">
        <f t="shared" si="976"/>
        <v>-216850427.58338708</v>
      </c>
      <c r="S452">
        <f t="shared" si="977"/>
        <v>-2168.5042758338709</v>
      </c>
      <c r="T452">
        <f t="shared" si="978"/>
        <v>-2.1685042758338708</v>
      </c>
    </row>
    <row r="453" spans="1:20" x14ac:dyDescent="0.25">
      <c r="A453" s="5">
        <v>44140</v>
      </c>
      <c r="B453">
        <v>3.7589999999999998E-2</v>
      </c>
      <c r="C453">
        <v>3.8929999999999999E-2</v>
      </c>
      <c r="D453">
        <v>3.569E-2</v>
      </c>
      <c r="E453">
        <v>3.8330000000000003E-2</v>
      </c>
      <c r="F453">
        <v>5144972.5</v>
      </c>
      <c r="G453">
        <v>0</v>
      </c>
      <c r="L453" t="s">
        <v>7</v>
      </c>
      <c r="M453" t="s">
        <v>8</v>
      </c>
      <c r="N453" t="s">
        <v>7</v>
      </c>
      <c r="P453">
        <f t="shared" si="974"/>
        <v>0.62962962962963187</v>
      </c>
      <c r="Q453">
        <f t="shared" si="975"/>
        <v>3239427.1296296413</v>
      </c>
      <c r="R453">
        <f t="shared" si="976"/>
        <v>-218931054.94062844</v>
      </c>
      <c r="S453">
        <f t="shared" si="977"/>
        <v>-2189.3105494062843</v>
      </c>
      <c r="T453">
        <f t="shared" si="978"/>
        <v>-2.1893105494062843</v>
      </c>
    </row>
    <row r="454" spans="1:20" x14ac:dyDescent="0.25">
      <c r="A454" s="5">
        <v>44139</v>
      </c>
      <c r="B454">
        <v>3.4939999999999999E-2</v>
      </c>
      <c r="C454">
        <v>4.0340000000000001E-2</v>
      </c>
      <c r="D454">
        <v>3.4169999999999999E-2</v>
      </c>
      <c r="E454">
        <v>3.755E-2</v>
      </c>
      <c r="F454">
        <v>7698197.0999999996</v>
      </c>
      <c r="G454">
        <v>0</v>
      </c>
      <c r="L454" t="s">
        <v>8</v>
      </c>
      <c r="M454" t="s">
        <v>8</v>
      </c>
      <c r="N454" t="s">
        <v>7</v>
      </c>
      <c r="P454">
        <f t="shared" ref="P454:P517" si="979">IF(C454=D454,0,((E454-D454)-(C454-E454))/(C454-D454))</f>
        <v>9.5623987034035671E-2</v>
      </c>
      <c r="Q454">
        <f t="shared" ref="Q454:Q517" si="980">F454*P454</f>
        <v>736132.29967585101</v>
      </c>
      <c r="R454">
        <f t="shared" ref="R454:R517" si="981">R455+Q454</f>
        <v>-222170482.07025808</v>
      </c>
      <c r="S454">
        <f t="shared" ref="S454:S517" si="982">R454/100000</f>
        <v>-2221.7048207025809</v>
      </c>
      <c r="T454">
        <f t="shared" ref="T454:T517" si="983">S454/1000</f>
        <v>-2.2217048207025809</v>
      </c>
    </row>
    <row r="455" spans="1:20" x14ac:dyDescent="0.25">
      <c r="A455" s="5">
        <v>44138</v>
      </c>
      <c r="B455">
        <v>3.5150000000000001E-2</v>
      </c>
      <c r="C455">
        <v>3.5319999999999997E-2</v>
      </c>
      <c r="D455">
        <v>3.1E-2</v>
      </c>
      <c r="E455">
        <v>3.4889999999999997E-2</v>
      </c>
      <c r="F455">
        <v>3213183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0.80092592592592593</v>
      </c>
      <c r="Q455">
        <f t="shared" si="980"/>
        <v>2573521.5694444445</v>
      </c>
      <c r="R455">
        <f t="shared" si="981"/>
        <v>-222906614.36993393</v>
      </c>
      <c r="S455">
        <f t="shared" si="982"/>
        <v>-2229.0661436993391</v>
      </c>
      <c r="T455">
        <f t="shared" si="983"/>
        <v>-2.2290661436993391</v>
      </c>
    </row>
    <row r="456" spans="1:20" x14ac:dyDescent="0.25">
      <c r="A456" s="5">
        <v>44137</v>
      </c>
      <c r="B456">
        <v>3.6909999999999998E-2</v>
      </c>
      <c r="C456">
        <v>3.7609999999999998E-2</v>
      </c>
      <c r="D456">
        <v>3.4500000000000003E-2</v>
      </c>
      <c r="E456">
        <v>3.4950000000000002E-2</v>
      </c>
      <c r="F456">
        <v>1912768.9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-0.71061093247588436</v>
      </c>
      <c r="Q456">
        <f t="shared" si="980"/>
        <v>-1359234.4916398716</v>
      </c>
      <c r="R456">
        <f t="shared" si="981"/>
        <v>-225480135.93937838</v>
      </c>
      <c r="S456">
        <f t="shared" si="982"/>
        <v>-2254.801359393784</v>
      </c>
      <c r="T456">
        <f t="shared" si="983"/>
        <v>-2.2548013593937841</v>
      </c>
    </row>
    <row r="457" spans="1:20" x14ac:dyDescent="0.25">
      <c r="A457" s="5">
        <v>44136</v>
      </c>
      <c r="B457">
        <v>3.4770000000000002E-2</v>
      </c>
      <c r="C457">
        <v>3.6999999999999998E-2</v>
      </c>
      <c r="D457">
        <v>3.4610000000000002E-2</v>
      </c>
      <c r="E457">
        <v>3.678E-2</v>
      </c>
      <c r="F457">
        <v>1508591.1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0.81589958158995957</v>
      </c>
      <c r="Q457">
        <f t="shared" si="980"/>
        <v>1230858.847280337</v>
      </c>
      <c r="R457">
        <f t="shared" si="981"/>
        <v>-224120901.4477385</v>
      </c>
      <c r="S457">
        <f t="shared" si="982"/>
        <v>-2241.2090144773852</v>
      </c>
      <c r="T457">
        <f t="shared" si="983"/>
        <v>-2.2412090144773851</v>
      </c>
    </row>
    <row r="458" spans="1:20" x14ac:dyDescent="0.25">
      <c r="A458" s="5">
        <v>44135</v>
      </c>
      <c r="B458">
        <v>3.7409999999999999E-2</v>
      </c>
      <c r="C458">
        <v>3.7819999999999999E-2</v>
      </c>
      <c r="D458">
        <v>3.4669999999999999E-2</v>
      </c>
      <c r="E458">
        <v>3.4930000000000003E-2</v>
      </c>
      <c r="F458">
        <v>1527743.8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-0.83492063492063284</v>
      </c>
      <c r="Q458">
        <f t="shared" si="980"/>
        <v>-1275544.8234920604</v>
      </c>
      <c r="R458">
        <f t="shared" si="981"/>
        <v>-225351760.29501882</v>
      </c>
      <c r="S458">
        <f t="shared" si="982"/>
        <v>-2253.5176029501881</v>
      </c>
      <c r="T458">
        <f t="shared" si="983"/>
        <v>-2.253517602950188</v>
      </c>
    </row>
    <row r="459" spans="1:20" x14ac:dyDescent="0.25">
      <c r="A459" s="5">
        <v>44134</v>
      </c>
      <c r="B459">
        <v>3.6850000000000001E-2</v>
      </c>
      <c r="C459">
        <v>3.9E-2</v>
      </c>
      <c r="D459">
        <v>3.4090000000000002E-2</v>
      </c>
      <c r="E459">
        <v>3.7769999999999998E-2</v>
      </c>
      <c r="F459">
        <v>2825745.4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0.49898167006109878</v>
      </c>
      <c r="Q459">
        <f t="shared" si="980"/>
        <v>1409995.1588594676</v>
      </c>
      <c r="R459">
        <f t="shared" si="981"/>
        <v>-224076215.47152677</v>
      </c>
      <c r="S459">
        <f t="shared" si="982"/>
        <v>-2240.7621547152676</v>
      </c>
      <c r="T459">
        <f t="shared" si="983"/>
        <v>-2.2407621547152674</v>
      </c>
    </row>
    <row r="460" spans="1:20" x14ac:dyDescent="0.25">
      <c r="A460" s="5">
        <v>44133</v>
      </c>
      <c r="B460">
        <v>3.8179999999999999E-2</v>
      </c>
      <c r="C460">
        <v>3.8399999999999997E-2</v>
      </c>
      <c r="D460">
        <v>3.5549999999999998E-2</v>
      </c>
      <c r="E460">
        <v>3.6850000000000001E-2</v>
      </c>
      <c r="F460">
        <v>2103752.6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-8.7719298245611727E-2</v>
      </c>
      <c r="Q460">
        <f t="shared" si="980"/>
        <v>-184539.70175438112</v>
      </c>
      <c r="R460">
        <f t="shared" si="981"/>
        <v>-225486210.63038623</v>
      </c>
      <c r="S460">
        <f t="shared" si="982"/>
        <v>-2254.8621063038622</v>
      </c>
      <c r="T460">
        <f t="shared" si="983"/>
        <v>-2.2548621063038623</v>
      </c>
    </row>
    <row r="461" spans="1:20" x14ac:dyDescent="0.25">
      <c r="A461" s="5">
        <v>44132</v>
      </c>
      <c r="B461">
        <v>3.9649999999999998E-2</v>
      </c>
      <c r="C461">
        <v>4.0649999999999999E-2</v>
      </c>
      <c r="D461">
        <v>3.6659999999999998E-2</v>
      </c>
      <c r="E461">
        <v>3.8179999999999999E-2</v>
      </c>
      <c r="F461">
        <v>3753795.1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-0.23809523809523794</v>
      </c>
      <c r="Q461">
        <f t="shared" si="980"/>
        <v>-893760.73809523752</v>
      </c>
      <c r="R461">
        <f t="shared" si="981"/>
        <v>-225301670.92863184</v>
      </c>
      <c r="S461">
        <f t="shared" si="982"/>
        <v>-2253.0167092863185</v>
      </c>
      <c r="T461">
        <f t="shared" si="983"/>
        <v>-2.2530167092863183</v>
      </c>
    </row>
    <row r="462" spans="1:20" x14ac:dyDescent="0.25">
      <c r="A462" s="5">
        <v>44131</v>
      </c>
      <c r="B462">
        <v>4.1730000000000003E-2</v>
      </c>
      <c r="C462">
        <v>4.2250000000000003E-2</v>
      </c>
      <c r="D462">
        <v>3.9289999999999999E-2</v>
      </c>
      <c r="E462">
        <v>3.9550000000000002E-2</v>
      </c>
      <c r="F462">
        <v>4435460.9000000004</v>
      </c>
      <c r="G462">
        <v>0</v>
      </c>
      <c r="L462" t="s">
        <v>7</v>
      </c>
      <c r="M462" t="s">
        <v>7</v>
      </c>
      <c r="N462" t="s">
        <v>8</v>
      </c>
      <c r="P462">
        <f t="shared" si="979"/>
        <v>-0.82432432432432234</v>
      </c>
      <c r="Q462">
        <f t="shared" si="980"/>
        <v>-3656258.3094594511</v>
      </c>
      <c r="R462">
        <f t="shared" si="981"/>
        <v>-224407910.19053662</v>
      </c>
      <c r="S462">
        <f t="shared" si="982"/>
        <v>-2244.0791019053663</v>
      </c>
      <c r="T462">
        <f t="shared" si="983"/>
        <v>-2.2440791019053665</v>
      </c>
    </row>
    <row r="463" spans="1:20" x14ac:dyDescent="0.25">
      <c r="A463" s="5">
        <v>44130</v>
      </c>
      <c r="B463">
        <v>4.1090000000000002E-2</v>
      </c>
      <c r="C463">
        <v>4.5150000000000003E-2</v>
      </c>
      <c r="D463">
        <v>4.0099999999999997E-2</v>
      </c>
      <c r="E463">
        <v>4.199E-2</v>
      </c>
      <c r="F463">
        <v>7078520.2000000002</v>
      </c>
      <c r="G463">
        <v>0</v>
      </c>
      <c r="L463" t="s">
        <v>7</v>
      </c>
      <c r="M463" t="s">
        <v>7</v>
      </c>
      <c r="N463" t="s">
        <v>8</v>
      </c>
      <c r="P463">
        <f t="shared" si="979"/>
        <v>-0.25148514851485126</v>
      </c>
      <c r="Q463">
        <f t="shared" si="980"/>
        <v>-1780142.7037623748</v>
      </c>
      <c r="R463">
        <f t="shared" si="981"/>
        <v>-220751651.88107717</v>
      </c>
      <c r="S463">
        <f t="shared" si="982"/>
        <v>-2207.5165188107717</v>
      </c>
      <c r="T463">
        <f t="shared" si="983"/>
        <v>-2.2075165188107717</v>
      </c>
    </row>
    <row r="464" spans="1:20" x14ac:dyDescent="0.25">
      <c r="A464" s="5">
        <v>44129</v>
      </c>
      <c r="B464">
        <v>4.2180000000000002E-2</v>
      </c>
      <c r="C464">
        <v>4.2380000000000001E-2</v>
      </c>
      <c r="D464">
        <v>4.0570000000000002E-2</v>
      </c>
      <c r="E464">
        <v>4.0930000000000001E-2</v>
      </c>
      <c r="F464">
        <v>2171007.7000000002</v>
      </c>
      <c r="G464">
        <v>0</v>
      </c>
      <c r="L464" t="s">
        <v>7</v>
      </c>
      <c r="M464" t="s">
        <v>7</v>
      </c>
      <c r="N464" t="s">
        <v>8</v>
      </c>
      <c r="P464">
        <f t="shared" si="979"/>
        <v>-0.6022099447513819</v>
      </c>
      <c r="Q464">
        <f t="shared" si="980"/>
        <v>-1307402.4270718249</v>
      </c>
      <c r="R464">
        <f t="shared" si="981"/>
        <v>-218971509.17731479</v>
      </c>
      <c r="S464">
        <f t="shared" si="982"/>
        <v>-2189.7150917731478</v>
      </c>
      <c r="T464">
        <f t="shared" si="983"/>
        <v>-2.1897150917731478</v>
      </c>
    </row>
    <row r="465" spans="1:20" x14ac:dyDescent="0.25">
      <c r="A465" s="5">
        <v>44128</v>
      </c>
      <c r="B465">
        <v>4.2540000000000001E-2</v>
      </c>
      <c r="C465">
        <v>4.3819999999999998E-2</v>
      </c>
      <c r="D465">
        <v>4.2000000000000003E-2</v>
      </c>
      <c r="E465">
        <v>4.231E-2</v>
      </c>
      <c r="F465">
        <v>2571077.5</v>
      </c>
      <c r="G465">
        <v>0</v>
      </c>
      <c r="L465" t="s">
        <v>7</v>
      </c>
      <c r="M465" t="s">
        <v>7</v>
      </c>
      <c r="N465" t="s">
        <v>8</v>
      </c>
      <c r="P465">
        <f t="shared" si="979"/>
        <v>-0.65934065934066088</v>
      </c>
      <c r="Q465">
        <f t="shared" si="980"/>
        <v>-1695215.934065938</v>
      </c>
      <c r="R465">
        <f t="shared" si="981"/>
        <v>-217664106.75024295</v>
      </c>
      <c r="S465">
        <f t="shared" si="982"/>
        <v>-2176.6410675024295</v>
      </c>
      <c r="T465">
        <f t="shared" si="983"/>
        <v>-2.1766410675024295</v>
      </c>
    </row>
    <row r="466" spans="1:20" x14ac:dyDescent="0.25">
      <c r="A466" s="5">
        <v>44127</v>
      </c>
      <c r="B466">
        <v>4.2970000000000001E-2</v>
      </c>
      <c r="C466">
        <v>4.4470000000000003E-2</v>
      </c>
      <c r="D466">
        <v>4.2360000000000002E-2</v>
      </c>
      <c r="E466">
        <v>4.2529999999999998E-2</v>
      </c>
      <c r="F466">
        <v>3830724</v>
      </c>
      <c r="G466">
        <v>0</v>
      </c>
      <c r="L466" t="s">
        <v>7</v>
      </c>
      <c r="M466" t="s">
        <v>7</v>
      </c>
      <c r="N466" t="s">
        <v>8</v>
      </c>
      <c r="P466">
        <f t="shared" si="979"/>
        <v>-0.83886255924170949</v>
      </c>
      <c r="Q466">
        <f t="shared" si="980"/>
        <v>-3213450.9383886382</v>
      </c>
      <c r="R466">
        <f t="shared" si="981"/>
        <v>-215968890.81617701</v>
      </c>
      <c r="S466">
        <f t="shared" si="982"/>
        <v>-2159.6889081617701</v>
      </c>
      <c r="T466">
        <f t="shared" si="983"/>
        <v>-2.1596889081617703</v>
      </c>
    </row>
    <row r="467" spans="1:20" x14ac:dyDescent="0.25">
      <c r="A467" s="5">
        <v>44126</v>
      </c>
      <c r="B467">
        <v>4.3060000000000001E-2</v>
      </c>
      <c r="C467">
        <v>4.5109999999999997E-2</v>
      </c>
      <c r="D467">
        <v>4.2299999999999997E-2</v>
      </c>
      <c r="E467">
        <v>4.2939999999999999E-2</v>
      </c>
      <c r="F467">
        <v>21513050.100000001</v>
      </c>
      <c r="G467">
        <v>0</v>
      </c>
      <c r="L467" t="s">
        <v>7</v>
      </c>
      <c r="M467" t="s">
        <v>7</v>
      </c>
      <c r="N467" t="s">
        <v>8</v>
      </c>
      <c r="P467">
        <f t="shared" si="979"/>
        <v>-0.54448398576512336</v>
      </c>
      <c r="Q467">
        <f t="shared" si="980"/>
        <v>-11713511.264412787</v>
      </c>
      <c r="R467">
        <f t="shared" si="981"/>
        <v>-212755439.87778836</v>
      </c>
      <c r="S467">
        <f t="shared" si="982"/>
        <v>-2127.5543987778838</v>
      </c>
      <c r="T467">
        <f t="shared" si="983"/>
        <v>-2.1275543987778835</v>
      </c>
    </row>
    <row r="468" spans="1:20" x14ac:dyDescent="0.25">
      <c r="A468" s="5">
        <v>44125</v>
      </c>
      <c r="B468">
        <v>4.428E-2</v>
      </c>
      <c r="C468">
        <v>4.478E-2</v>
      </c>
      <c r="D468">
        <v>4.2619999999999998E-2</v>
      </c>
      <c r="E468">
        <v>4.3130000000000002E-2</v>
      </c>
      <c r="F468">
        <v>24590933.300000001</v>
      </c>
      <c r="G468">
        <v>0</v>
      </c>
      <c r="L468" t="s">
        <v>7</v>
      </c>
      <c r="M468" t="s">
        <v>7</v>
      </c>
      <c r="N468" t="s">
        <v>8</v>
      </c>
      <c r="P468">
        <f t="shared" si="979"/>
        <v>-0.52777777777777501</v>
      </c>
      <c r="Q468">
        <f t="shared" si="980"/>
        <v>-12978548.130555488</v>
      </c>
      <c r="R468">
        <f t="shared" si="981"/>
        <v>-201041928.61337557</v>
      </c>
      <c r="S468">
        <f t="shared" si="982"/>
        <v>-2010.4192861337558</v>
      </c>
      <c r="T468">
        <f t="shared" si="983"/>
        <v>-2.010419286133756</v>
      </c>
    </row>
    <row r="469" spans="1:20" x14ac:dyDescent="0.25">
      <c r="A469" s="5">
        <v>44124</v>
      </c>
      <c r="B469">
        <v>4.8180000000000001E-2</v>
      </c>
      <c r="C469">
        <v>4.8219999999999999E-2</v>
      </c>
      <c r="D469">
        <v>4.335E-2</v>
      </c>
      <c r="E469">
        <v>4.428E-2</v>
      </c>
      <c r="F469">
        <v>45103475.100000001</v>
      </c>
      <c r="G469">
        <v>0</v>
      </c>
      <c r="L469" t="s">
        <v>7</v>
      </c>
      <c r="M469" t="s">
        <v>7</v>
      </c>
      <c r="N469" t="s">
        <v>8</v>
      </c>
      <c r="P469">
        <f t="shared" si="979"/>
        <v>-0.61806981519507176</v>
      </c>
      <c r="Q469">
        <f t="shared" si="980"/>
        <v>-27877096.519712523</v>
      </c>
      <c r="R469">
        <f t="shared" si="981"/>
        <v>-188063380.48282009</v>
      </c>
      <c r="S469">
        <f t="shared" si="982"/>
        <v>-1880.6338048282009</v>
      </c>
      <c r="T469">
        <f t="shared" si="983"/>
        <v>-1.880633804828201</v>
      </c>
    </row>
    <row r="470" spans="1:20" x14ac:dyDescent="0.25">
      <c r="A470" s="5">
        <v>44123</v>
      </c>
      <c r="B470">
        <v>4.888E-2</v>
      </c>
      <c r="C470">
        <v>5.5590000000000001E-2</v>
      </c>
      <c r="D470">
        <v>4.7539999999999999E-2</v>
      </c>
      <c r="E470">
        <v>4.7969999999999999E-2</v>
      </c>
      <c r="F470">
        <v>86766102.099999994</v>
      </c>
      <c r="G470">
        <v>0</v>
      </c>
      <c r="L470" t="s">
        <v>8</v>
      </c>
      <c r="M470" t="s">
        <v>8</v>
      </c>
      <c r="N470" t="s">
        <v>8</v>
      </c>
      <c r="P470">
        <f t="shared" si="979"/>
        <v>-0.89316770186335415</v>
      </c>
      <c r="Q470">
        <f t="shared" si="980"/>
        <v>-77496680.012298137</v>
      </c>
      <c r="R470">
        <f t="shared" si="981"/>
        <v>-160186283.96310759</v>
      </c>
      <c r="S470">
        <f t="shared" si="982"/>
        <v>-1601.8628396310758</v>
      </c>
      <c r="T470">
        <f t="shared" si="983"/>
        <v>-1.6018628396310757</v>
      </c>
    </row>
    <row r="471" spans="1:20" x14ac:dyDescent="0.25">
      <c r="A471" s="5">
        <v>44122</v>
      </c>
      <c r="B471">
        <v>4.3900000000000002E-2</v>
      </c>
      <c r="C471">
        <v>5.2999999999999999E-2</v>
      </c>
      <c r="D471">
        <v>4.3099999999999999E-2</v>
      </c>
      <c r="E471">
        <v>4.888E-2</v>
      </c>
      <c r="F471">
        <v>145258853.40000001</v>
      </c>
      <c r="G471">
        <v>0</v>
      </c>
      <c r="L471" t="s">
        <v>8</v>
      </c>
      <c r="M471" t="s">
        <v>8</v>
      </c>
      <c r="N471" t="s">
        <v>8</v>
      </c>
      <c r="P471">
        <f t="shared" si="979"/>
        <v>0.16767676767676787</v>
      </c>
      <c r="Q471">
        <f t="shared" si="980"/>
        <v>24356535.014545482</v>
      </c>
      <c r="R471">
        <f t="shared" si="981"/>
        <v>-82689603.950809449</v>
      </c>
      <c r="S471">
        <f t="shared" si="982"/>
        <v>-826.89603950809453</v>
      </c>
      <c r="T471">
        <f t="shared" si="983"/>
        <v>-0.82689603950809454</v>
      </c>
    </row>
    <row r="472" spans="1:20" x14ac:dyDescent="0.25">
      <c r="A472" s="5">
        <v>44121</v>
      </c>
      <c r="B472">
        <v>4.1820000000000003E-2</v>
      </c>
      <c r="C472">
        <v>4.4139999999999999E-2</v>
      </c>
      <c r="D472">
        <v>4.1209999999999997E-2</v>
      </c>
      <c r="E472">
        <v>4.3920000000000001E-2</v>
      </c>
      <c r="F472">
        <v>92064460.099999994</v>
      </c>
      <c r="G472">
        <v>0</v>
      </c>
      <c r="L472" t="s">
        <v>7</v>
      </c>
      <c r="M472" t="s">
        <v>7</v>
      </c>
      <c r="N472" t="s">
        <v>8</v>
      </c>
      <c r="P472">
        <f t="shared" si="979"/>
        <v>0.84982935153583772</v>
      </c>
      <c r="Q472">
        <f t="shared" si="980"/>
        <v>78239080.426280007</v>
      </c>
      <c r="R472">
        <f t="shared" si="981"/>
        <v>-107046138.96535493</v>
      </c>
      <c r="S472">
        <f t="shared" si="982"/>
        <v>-1070.4613896535493</v>
      </c>
      <c r="T472">
        <f t="shared" si="983"/>
        <v>-1.0704613896535493</v>
      </c>
    </row>
    <row r="473" spans="1:20" x14ac:dyDescent="0.25">
      <c r="A473" s="5">
        <v>44120</v>
      </c>
      <c r="B473">
        <v>4.342E-2</v>
      </c>
      <c r="C473">
        <v>4.3999999999999997E-2</v>
      </c>
      <c r="D473">
        <v>4.147E-2</v>
      </c>
      <c r="E473">
        <v>4.181E-2</v>
      </c>
      <c r="F473">
        <v>39222631.899999999</v>
      </c>
      <c r="G473">
        <v>0</v>
      </c>
      <c r="L473" t="s">
        <v>8</v>
      </c>
      <c r="M473" t="s">
        <v>7</v>
      </c>
      <c r="N473" t="s">
        <v>8</v>
      </c>
      <c r="P473">
        <f t="shared" si="979"/>
        <v>-0.73122529644268741</v>
      </c>
      <c r="Q473">
        <f t="shared" si="980"/>
        <v>-28680580.638339907</v>
      </c>
      <c r="R473">
        <f t="shared" si="981"/>
        <v>-185285219.39163494</v>
      </c>
      <c r="S473">
        <f t="shared" si="982"/>
        <v>-1852.8521939163495</v>
      </c>
      <c r="T473">
        <f t="shared" si="983"/>
        <v>-1.8528521939163496</v>
      </c>
    </row>
    <row r="474" spans="1:20" x14ac:dyDescent="0.25">
      <c r="A474" s="5">
        <v>44119</v>
      </c>
      <c r="B474">
        <v>4.0730000000000002E-2</v>
      </c>
      <c r="C474">
        <v>4.3999999999999997E-2</v>
      </c>
      <c r="D474">
        <v>3.9660000000000001E-2</v>
      </c>
      <c r="E474">
        <v>4.3540000000000002E-2</v>
      </c>
      <c r="F474">
        <v>12892782.9</v>
      </c>
      <c r="G474">
        <v>0</v>
      </c>
      <c r="L474" t="s">
        <v>8</v>
      </c>
      <c r="M474" t="s">
        <v>7</v>
      </c>
      <c r="N474" t="s">
        <v>8</v>
      </c>
      <c r="P474">
        <f t="shared" si="979"/>
        <v>0.78801843317972553</v>
      </c>
      <c r="Q474">
        <f t="shared" si="980"/>
        <v>10159750.580184359</v>
      </c>
      <c r="R474">
        <f t="shared" si="981"/>
        <v>-156604638.75329503</v>
      </c>
      <c r="S474">
        <f t="shared" si="982"/>
        <v>-1566.0463875329503</v>
      </c>
      <c r="T474">
        <f t="shared" si="983"/>
        <v>-1.5660463875329504</v>
      </c>
    </row>
    <row r="475" spans="1:20" x14ac:dyDescent="0.25">
      <c r="A475" s="5">
        <v>44118</v>
      </c>
      <c r="B475">
        <v>4.1029999999999997E-2</v>
      </c>
      <c r="C475">
        <v>4.1570000000000003E-2</v>
      </c>
      <c r="D475">
        <v>3.9129999999999998E-2</v>
      </c>
      <c r="E475">
        <v>4.1009999999999998E-2</v>
      </c>
      <c r="F475">
        <v>2109142.1</v>
      </c>
      <c r="G475">
        <v>0</v>
      </c>
      <c r="L475" t="s">
        <v>7</v>
      </c>
      <c r="M475" t="s">
        <v>7</v>
      </c>
      <c r="N475" t="s">
        <v>8</v>
      </c>
      <c r="P475">
        <f t="shared" si="979"/>
        <v>0.54098360655737388</v>
      </c>
      <c r="Q475">
        <f t="shared" si="980"/>
        <v>1141011.2999999933</v>
      </c>
      <c r="R475">
        <f t="shared" si="981"/>
        <v>-166764389.3334794</v>
      </c>
      <c r="S475">
        <f t="shared" si="982"/>
        <v>-1667.643893334794</v>
      </c>
      <c r="T475">
        <f t="shared" si="983"/>
        <v>-1.6676438933347941</v>
      </c>
    </row>
    <row r="476" spans="1:20" x14ac:dyDescent="0.25">
      <c r="A476" s="5">
        <v>44117</v>
      </c>
      <c r="B476">
        <v>4.2610000000000002E-2</v>
      </c>
      <c r="C476">
        <v>4.3060000000000001E-2</v>
      </c>
      <c r="D476">
        <v>4.052E-2</v>
      </c>
      <c r="E476">
        <v>4.1279999999999997E-2</v>
      </c>
      <c r="F476">
        <v>1983959.6</v>
      </c>
      <c r="G476">
        <v>0</v>
      </c>
      <c r="L476" t="s">
        <v>7</v>
      </c>
      <c r="M476" t="s">
        <v>8</v>
      </c>
      <c r="N476" t="s">
        <v>8</v>
      </c>
      <c r="P476">
        <f t="shared" si="979"/>
        <v>-0.40157480314960897</v>
      </c>
      <c r="Q476">
        <f t="shared" si="980"/>
        <v>-796708.18582677701</v>
      </c>
      <c r="R476">
        <f t="shared" si="981"/>
        <v>-167905400.63347939</v>
      </c>
      <c r="S476">
        <f t="shared" si="982"/>
        <v>-1679.0540063347939</v>
      </c>
      <c r="T476">
        <f t="shared" si="983"/>
        <v>-1.6790540063347938</v>
      </c>
    </row>
    <row r="477" spans="1:20" x14ac:dyDescent="0.25">
      <c r="A477" s="5">
        <v>44116</v>
      </c>
      <c r="B477">
        <v>4.2840000000000003E-2</v>
      </c>
      <c r="C477">
        <v>4.4609999999999997E-2</v>
      </c>
      <c r="D477">
        <v>4.1689999999999998E-2</v>
      </c>
      <c r="E477">
        <v>4.283E-2</v>
      </c>
      <c r="F477">
        <v>3228043.1</v>
      </c>
      <c r="G477">
        <v>0</v>
      </c>
      <c r="L477" t="s">
        <v>8</v>
      </c>
      <c r="M477" t="s">
        <v>8</v>
      </c>
      <c r="N477" t="s">
        <v>8</v>
      </c>
      <c r="P477">
        <f t="shared" si="979"/>
        <v>-0.21917808219177909</v>
      </c>
      <c r="Q477">
        <f t="shared" si="980"/>
        <v>-707516.29589040542</v>
      </c>
      <c r="R477">
        <f t="shared" si="981"/>
        <v>-167108692.44765261</v>
      </c>
      <c r="S477">
        <f t="shared" si="982"/>
        <v>-1671.0869244765261</v>
      </c>
      <c r="T477">
        <f t="shared" si="983"/>
        <v>-1.6710869244765261</v>
      </c>
    </row>
    <row r="478" spans="1:20" x14ac:dyDescent="0.25">
      <c r="A478" s="5">
        <v>44115</v>
      </c>
      <c r="B478">
        <v>4.233E-2</v>
      </c>
      <c r="C478">
        <v>4.3400000000000001E-2</v>
      </c>
      <c r="D478">
        <v>4.0469999999999999E-2</v>
      </c>
      <c r="E478">
        <v>4.2860000000000002E-2</v>
      </c>
      <c r="F478">
        <v>2690289.2</v>
      </c>
      <c r="G478">
        <v>0</v>
      </c>
      <c r="L478" t="s">
        <v>7</v>
      </c>
      <c r="M478" t="s">
        <v>8</v>
      </c>
      <c r="N478" t="s">
        <v>8</v>
      </c>
      <c r="P478">
        <f t="shared" si="979"/>
        <v>0.63139931740614441</v>
      </c>
      <c r="Q478">
        <f t="shared" si="980"/>
        <v>1698646.7645051226</v>
      </c>
      <c r="R478">
        <f t="shared" si="981"/>
        <v>-166401176.15176222</v>
      </c>
      <c r="S478">
        <f t="shared" si="982"/>
        <v>-1664.0117615176221</v>
      </c>
      <c r="T478">
        <f t="shared" si="983"/>
        <v>-1.664011761517622</v>
      </c>
    </row>
    <row r="479" spans="1:20" x14ac:dyDescent="0.25">
      <c r="A479" s="5">
        <v>44114</v>
      </c>
      <c r="B479">
        <v>4.5510000000000002E-2</v>
      </c>
      <c r="C479">
        <v>4.6449999999999998E-2</v>
      </c>
      <c r="D479">
        <v>4.2419999999999999E-2</v>
      </c>
      <c r="E479">
        <v>4.2419999999999999E-2</v>
      </c>
      <c r="F479">
        <v>4114277</v>
      </c>
      <c r="G479">
        <v>0</v>
      </c>
      <c r="L479" t="s">
        <v>7</v>
      </c>
      <c r="M479" t="s">
        <v>8</v>
      </c>
      <c r="N479" t="s">
        <v>8</v>
      </c>
      <c r="P479">
        <f t="shared" si="979"/>
        <v>-1</v>
      </c>
      <c r="Q479">
        <f t="shared" si="980"/>
        <v>-4114277</v>
      </c>
      <c r="R479">
        <f t="shared" si="981"/>
        <v>-168099822.91626734</v>
      </c>
      <c r="S479">
        <f t="shared" si="982"/>
        <v>-1680.9982291626734</v>
      </c>
      <c r="T479">
        <f t="shared" si="983"/>
        <v>-1.6809982291626735</v>
      </c>
    </row>
    <row r="480" spans="1:20" x14ac:dyDescent="0.25">
      <c r="A480" s="5">
        <v>44113</v>
      </c>
      <c r="B480">
        <v>4.224E-2</v>
      </c>
      <c r="C480">
        <v>4.8169999999999998E-2</v>
      </c>
      <c r="D480">
        <v>4.1209999999999997E-2</v>
      </c>
      <c r="E480">
        <v>4.5539999999999997E-2</v>
      </c>
      <c r="F480">
        <v>3897823</v>
      </c>
      <c r="G480">
        <v>0</v>
      </c>
      <c r="L480" t="s">
        <v>8</v>
      </c>
      <c r="M480" t="s">
        <v>8</v>
      </c>
      <c r="N480" t="s">
        <v>8</v>
      </c>
      <c r="P480">
        <f t="shared" si="979"/>
        <v>0.24425287356321837</v>
      </c>
      <c r="Q480">
        <f t="shared" si="980"/>
        <v>952054.46839080448</v>
      </c>
      <c r="R480">
        <f t="shared" si="981"/>
        <v>-163985545.91626734</v>
      </c>
      <c r="S480">
        <f t="shared" si="982"/>
        <v>-1639.8554591626732</v>
      </c>
      <c r="T480">
        <f t="shared" si="983"/>
        <v>-1.6398554591626733</v>
      </c>
    </row>
    <row r="481" spans="1:20" x14ac:dyDescent="0.25">
      <c r="A481" s="5">
        <v>44112</v>
      </c>
      <c r="B481">
        <v>4.258E-2</v>
      </c>
      <c r="C481">
        <v>4.3450000000000003E-2</v>
      </c>
      <c r="D481">
        <v>4.011E-2</v>
      </c>
      <c r="E481">
        <v>4.224E-2</v>
      </c>
      <c r="F481">
        <v>2954284.3</v>
      </c>
      <c r="G481">
        <v>0</v>
      </c>
      <c r="L481" t="s">
        <v>7</v>
      </c>
      <c r="M481" t="s">
        <v>8</v>
      </c>
      <c r="N481" t="s">
        <v>8</v>
      </c>
      <c r="P481">
        <f t="shared" si="979"/>
        <v>0.27544910179640614</v>
      </c>
      <c r="Q481">
        <f t="shared" si="980"/>
        <v>813754.95688622445</v>
      </c>
      <c r="R481">
        <f t="shared" si="981"/>
        <v>-164937600.38465813</v>
      </c>
      <c r="S481">
        <f t="shared" si="982"/>
        <v>-1649.3760038465812</v>
      </c>
      <c r="T481">
        <f t="shared" si="983"/>
        <v>-1.6493760038465812</v>
      </c>
    </row>
    <row r="482" spans="1:20" x14ac:dyDescent="0.25">
      <c r="A482" s="5">
        <v>44111</v>
      </c>
      <c r="B482">
        <v>4.2700000000000002E-2</v>
      </c>
      <c r="C482">
        <v>4.7480000000000001E-2</v>
      </c>
      <c r="D482">
        <v>4.1669999999999999E-2</v>
      </c>
      <c r="E482">
        <v>4.265E-2</v>
      </c>
      <c r="F482">
        <v>7368453.0999999996</v>
      </c>
      <c r="G482">
        <v>0</v>
      </c>
      <c r="L482" t="s">
        <v>7</v>
      </c>
      <c r="M482" t="s">
        <v>8</v>
      </c>
      <c r="N482" t="s">
        <v>8</v>
      </c>
      <c r="P482">
        <f t="shared" si="979"/>
        <v>-0.66265060240963813</v>
      </c>
      <c r="Q482">
        <f t="shared" si="980"/>
        <v>-4882709.8855421655</v>
      </c>
      <c r="R482">
        <f t="shared" si="981"/>
        <v>-165751355.34154436</v>
      </c>
      <c r="S482">
        <f t="shared" si="982"/>
        <v>-1657.5135534154435</v>
      </c>
      <c r="T482">
        <f t="shared" si="983"/>
        <v>-1.6575135534154435</v>
      </c>
    </row>
    <row r="483" spans="1:20" x14ac:dyDescent="0.25">
      <c r="A483" s="5">
        <v>44110</v>
      </c>
      <c r="B483">
        <v>4.1529999999999997E-2</v>
      </c>
      <c r="C483">
        <v>4.7980000000000002E-2</v>
      </c>
      <c r="D483">
        <v>4.1070000000000002E-2</v>
      </c>
      <c r="E483">
        <v>4.2700000000000002E-2</v>
      </c>
      <c r="F483">
        <v>10296487.699999999</v>
      </c>
      <c r="G483">
        <v>0</v>
      </c>
      <c r="L483" t="s">
        <v>8</v>
      </c>
      <c r="M483" t="s">
        <v>8</v>
      </c>
      <c r="N483" t="s">
        <v>8</v>
      </c>
      <c r="P483">
        <f t="shared" si="979"/>
        <v>-0.52821997105644003</v>
      </c>
      <c r="Q483">
        <f t="shared" si="980"/>
        <v>-5438810.4348769905</v>
      </c>
      <c r="R483">
        <f t="shared" si="981"/>
        <v>-160868645.45600221</v>
      </c>
      <c r="S483">
        <f t="shared" si="982"/>
        <v>-1608.686454560022</v>
      </c>
      <c r="T483">
        <f t="shared" si="983"/>
        <v>-1.6086864545600219</v>
      </c>
    </row>
    <row r="484" spans="1:20" x14ac:dyDescent="0.25">
      <c r="A484" s="5">
        <v>44109</v>
      </c>
      <c r="B484">
        <v>4.052E-2</v>
      </c>
      <c r="C484">
        <v>4.3069999999999997E-2</v>
      </c>
      <c r="D484">
        <v>4.052E-2</v>
      </c>
      <c r="E484">
        <v>4.1480000000000003E-2</v>
      </c>
      <c r="F484">
        <v>2426955.2000000002</v>
      </c>
      <c r="G484">
        <v>0</v>
      </c>
      <c r="L484" t="s">
        <v>8</v>
      </c>
      <c r="M484" t="s">
        <v>8</v>
      </c>
      <c r="N484" t="s">
        <v>7</v>
      </c>
      <c r="P484">
        <f t="shared" si="979"/>
        <v>-0.24705882352940883</v>
      </c>
      <c r="Q484">
        <f t="shared" si="980"/>
        <v>-599600.69647058111</v>
      </c>
      <c r="R484">
        <f t="shared" si="981"/>
        <v>-155429835.02112523</v>
      </c>
      <c r="S484">
        <f t="shared" si="982"/>
        <v>-1554.2983502112522</v>
      </c>
      <c r="T484">
        <f t="shared" si="983"/>
        <v>-1.5542983502112522</v>
      </c>
    </row>
    <row r="485" spans="1:20" x14ac:dyDescent="0.25">
      <c r="A485" s="5">
        <v>44108</v>
      </c>
      <c r="B485">
        <v>4.02E-2</v>
      </c>
      <c r="C485">
        <v>4.052E-2</v>
      </c>
      <c r="D485">
        <v>3.9570000000000001E-2</v>
      </c>
      <c r="E485">
        <v>4.0250000000000001E-2</v>
      </c>
      <c r="F485">
        <v>473521.6</v>
      </c>
      <c r="G485">
        <v>0</v>
      </c>
      <c r="L485" t="s">
        <v>8</v>
      </c>
      <c r="M485" t="s">
        <v>8</v>
      </c>
      <c r="N485" t="s">
        <v>7</v>
      </c>
      <c r="P485">
        <f t="shared" si="979"/>
        <v>0.43157894736842195</v>
      </c>
      <c r="Q485">
        <f t="shared" si="980"/>
        <v>204361.95368421095</v>
      </c>
      <c r="R485">
        <f t="shared" si="981"/>
        <v>-154830234.32465464</v>
      </c>
      <c r="S485">
        <f t="shared" si="982"/>
        <v>-1548.3023432465463</v>
      </c>
      <c r="T485">
        <f t="shared" si="983"/>
        <v>-1.5483023432465464</v>
      </c>
    </row>
    <row r="486" spans="1:20" x14ac:dyDescent="0.25">
      <c r="A486" s="5">
        <v>44107</v>
      </c>
      <c r="B486">
        <v>3.9550000000000002E-2</v>
      </c>
      <c r="C486">
        <v>4.1259999999999998E-2</v>
      </c>
      <c r="D486">
        <v>3.9370000000000002E-2</v>
      </c>
      <c r="E486">
        <v>3.9910000000000001E-2</v>
      </c>
      <c r="F486">
        <v>1462262.5</v>
      </c>
      <c r="G486">
        <v>0</v>
      </c>
      <c r="L486" t="s">
        <v>8</v>
      </c>
      <c r="M486" t="s">
        <v>8</v>
      </c>
      <c r="N486" t="s">
        <v>7</v>
      </c>
      <c r="P486">
        <f t="shared" si="979"/>
        <v>-0.42857142857142855</v>
      </c>
      <c r="Q486">
        <f t="shared" si="980"/>
        <v>-626683.92857142852</v>
      </c>
      <c r="R486">
        <f t="shared" si="981"/>
        <v>-155034596.27833885</v>
      </c>
      <c r="S486">
        <f t="shared" si="982"/>
        <v>-1550.3459627833886</v>
      </c>
      <c r="T486">
        <f t="shared" si="983"/>
        <v>-1.5503459627833887</v>
      </c>
    </row>
    <row r="487" spans="1:20" x14ac:dyDescent="0.25">
      <c r="A487" s="5">
        <v>44106</v>
      </c>
      <c r="B487">
        <v>4.0500000000000001E-2</v>
      </c>
      <c r="C487">
        <v>4.0890000000000003E-2</v>
      </c>
      <c r="D487">
        <v>3.8440000000000002E-2</v>
      </c>
      <c r="E487">
        <v>3.9539999999999999E-2</v>
      </c>
      <c r="F487">
        <v>730158.2</v>
      </c>
      <c r="G487">
        <v>0</v>
      </c>
      <c r="L487" t="s">
        <v>7</v>
      </c>
      <c r="M487" t="s">
        <v>8</v>
      </c>
      <c r="N487" t="s">
        <v>7</v>
      </c>
      <c r="P487">
        <f t="shared" si="979"/>
        <v>-0.1020408163265335</v>
      </c>
      <c r="Q487">
        <f t="shared" si="980"/>
        <v>-74505.938775512303</v>
      </c>
      <c r="R487">
        <f t="shared" si="981"/>
        <v>-154407912.34976742</v>
      </c>
      <c r="S487">
        <f t="shared" si="982"/>
        <v>-1544.0791234976741</v>
      </c>
      <c r="T487">
        <f t="shared" si="983"/>
        <v>-1.5440791234976741</v>
      </c>
    </row>
    <row r="488" spans="1:20" x14ac:dyDescent="0.25">
      <c r="A488" s="5">
        <v>44105</v>
      </c>
      <c r="B488">
        <v>4.0829999999999998E-2</v>
      </c>
      <c r="C488">
        <v>4.5199999999999997E-2</v>
      </c>
      <c r="D488">
        <v>3.9750000000000001E-2</v>
      </c>
      <c r="E488">
        <v>4.0579999999999998E-2</v>
      </c>
      <c r="F488">
        <v>2849293.3</v>
      </c>
      <c r="G488">
        <v>0</v>
      </c>
      <c r="L488" t="s">
        <v>8</v>
      </c>
      <c r="M488" t="s">
        <v>8</v>
      </c>
      <c r="N488" t="s">
        <v>7</v>
      </c>
      <c r="P488">
        <f t="shared" si="979"/>
        <v>-0.69541284403669801</v>
      </c>
      <c r="Q488">
        <f t="shared" si="980"/>
        <v>-1981435.1572477084</v>
      </c>
      <c r="R488">
        <f t="shared" si="981"/>
        <v>-154333406.41099191</v>
      </c>
      <c r="S488">
        <f t="shared" si="982"/>
        <v>-1543.3340641099192</v>
      </c>
      <c r="T488">
        <f t="shared" si="983"/>
        <v>-1.5433340641099191</v>
      </c>
    </row>
    <row r="489" spans="1:20" x14ac:dyDescent="0.25">
      <c r="A489" s="5">
        <v>44104</v>
      </c>
      <c r="B489">
        <v>4.0090000000000001E-2</v>
      </c>
      <c r="C489">
        <v>4.1279999999999997E-2</v>
      </c>
      <c r="D489">
        <v>3.9010000000000003E-2</v>
      </c>
      <c r="E489">
        <v>4.0829999999999998E-2</v>
      </c>
      <c r="F489">
        <v>1186091.2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0.60352422907488978</v>
      </c>
      <c r="Q489">
        <f t="shared" si="980"/>
        <v>715834.77709251083</v>
      </c>
      <c r="R489">
        <f t="shared" si="981"/>
        <v>-152351971.25374418</v>
      </c>
      <c r="S489">
        <f t="shared" si="982"/>
        <v>-1523.5197125374418</v>
      </c>
      <c r="T489">
        <f t="shared" si="983"/>
        <v>-1.5235197125374418</v>
      </c>
    </row>
    <row r="490" spans="1:20" x14ac:dyDescent="0.25">
      <c r="A490" s="5">
        <v>44103</v>
      </c>
      <c r="B490">
        <v>4.0370000000000003E-2</v>
      </c>
      <c r="C490">
        <v>4.0849999999999997E-2</v>
      </c>
      <c r="D490">
        <v>3.8609999999999998E-2</v>
      </c>
      <c r="E490">
        <v>4.0099999999999997E-2</v>
      </c>
      <c r="F490">
        <v>522389.6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0.33035714285714196</v>
      </c>
      <c r="Q490">
        <f t="shared" si="980"/>
        <v>172575.13571428525</v>
      </c>
      <c r="R490">
        <f t="shared" si="981"/>
        <v>-153067806.0308367</v>
      </c>
      <c r="S490">
        <f t="shared" si="982"/>
        <v>-1530.6780603083671</v>
      </c>
      <c r="T490">
        <f t="shared" si="983"/>
        <v>-1.5306780603083672</v>
      </c>
    </row>
    <row r="491" spans="1:20" x14ac:dyDescent="0.25">
      <c r="A491" s="5">
        <v>44102</v>
      </c>
      <c r="B491">
        <v>4.0189999999999997E-2</v>
      </c>
      <c r="C491">
        <v>4.1360000000000001E-2</v>
      </c>
      <c r="D491">
        <v>3.9480000000000001E-2</v>
      </c>
      <c r="E491">
        <v>4.0599999999999997E-2</v>
      </c>
      <c r="F491">
        <v>1412926.8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0.19148936170212358</v>
      </c>
      <c r="Q491">
        <f t="shared" si="980"/>
        <v>270560.451063824</v>
      </c>
      <c r="R491">
        <f t="shared" si="981"/>
        <v>-153240381.16655099</v>
      </c>
      <c r="S491">
        <f t="shared" si="982"/>
        <v>-1532.4038116655099</v>
      </c>
      <c r="T491">
        <f t="shared" si="983"/>
        <v>-1.5324038116655099</v>
      </c>
    </row>
    <row r="492" spans="1:20" x14ac:dyDescent="0.25">
      <c r="A492" s="5">
        <v>44101</v>
      </c>
      <c r="B492">
        <v>4.1329999999999999E-2</v>
      </c>
      <c r="C492">
        <v>4.2189999999999998E-2</v>
      </c>
      <c r="D492">
        <v>3.8989999999999997E-2</v>
      </c>
      <c r="E492">
        <v>3.977E-2</v>
      </c>
      <c r="F492">
        <v>1803691.9</v>
      </c>
      <c r="G492">
        <v>0</v>
      </c>
      <c r="L492" t="s">
        <v>8</v>
      </c>
      <c r="M492" t="s">
        <v>8</v>
      </c>
      <c r="N492" t="s">
        <v>7</v>
      </c>
      <c r="P492">
        <f t="shared" si="979"/>
        <v>-0.5124999999999984</v>
      </c>
      <c r="Q492">
        <f t="shared" si="980"/>
        <v>-924392.09874999709</v>
      </c>
      <c r="R492">
        <f t="shared" si="981"/>
        <v>-153510941.61761481</v>
      </c>
      <c r="S492">
        <f t="shared" si="982"/>
        <v>-1535.109416176148</v>
      </c>
      <c r="T492">
        <f t="shared" si="983"/>
        <v>-1.535109416176148</v>
      </c>
    </row>
    <row r="493" spans="1:20" x14ac:dyDescent="0.25">
      <c r="A493" s="5">
        <v>44100</v>
      </c>
      <c r="B493">
        <v>3.9919999999999997E-2</v>
      </c>
      <c r="C493">
        <v>4.1459999999999997E-2</v>
      </c>
      <c r="D493">
        <v>3.9320000000000001E-2</v>
      </c>
      <c r="E493">
        <v>4.1149999999999999E-2</v>
      </c>
      <c r="F493">
        <v>1609819.4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0.71028037383177722</v>
      </c>
      <c r="Q493">
        <f t="shared" si="980"/>
        <v>1143423.1252336472</v>
      </c>
      <c r="R493">
        <f t="shared" si="981"/>
        <v>-152586549.51886481</v>
      </c>
      <c r="S493">
        <f t="shared" si="982"/>
        <v>-1525.8654951886481</v>
      </c>
      <c r="T493">
        <f t="shared" si="983"/>
        <v>-1.5258654951886481</v>
      </c>
    </row>
    <row r="494" spans="1:20" x14ac:dyDescent="0.25">
      <c r="A494" s="5">
        <v>44099</v>
      </c>
      <c r="B494">
        <v>3.8589999999999999E-2</v>
      </c>
      <c r="C494">
        <v>4.0280000000000003E-2</v>
      </c>
      <c r="D494">
        <v>3.7569999999999999E-2</v>
      </c>
      <c r="E494">
        <v>3.9629999999999999E-2</v>
      </c>
      <c r="F494">
        <v>2323009.1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0.52029520295202669</v>
      </c>
      <c r="Q494">
        <f t="shared" si="980"/>
        <v>1208650.4911439049</v>
      </c>
      <c r="R494">
        <f t="shared" si="981"/>
        <v>-153729972.64409846</v>
      </c>
      <c r="S494">
        <f t="shared" si="982"/>
        <v>-1537.2997264409846</v>
      </c>
      <c r="T494">
        <f t="shared" si="983"/>
        <v>-1.5372997264409847</v>
      </c>
    </row>
    <row r="495" spans="1:20" x14ac:dyDescent="0.25">
      <c r="A495" s="5">
        <v>44098</v>
      </c>
      <c r="B495">
        <v>3.4849999999999999E-2</v>
      </c>
      <c r="C495">
        <v>3.866E-2</v>
      </c>
      <c r="D495">
        <v>3.4849999999999999E-2</v>
      </c>
      <c r="E495">
        <v>3.8580000000000003E-2</v>
      </c>
      <c r="F495">
        <v>1736002.7</v>
      </c>
      <c r="G495">
        <v>0</v>
      </c>
      <c r="L495" t="s">
        <v>7</v>
      </c>
      <c r="M495" t="s">
        <v>8</v>
      </c>
      <c r="N495" t="s">
        <v>7</v>
      </c>
      <c r="P495">
        <f t="shared" si="979"/>
        <v>0.95800524934383369</v>
      </c>
      <c r="Q495">
        <f t="shared" si="980"/>
        <v>1663099.6994750684</v>
      </c>
      <c r="R495">
        <f t="shared" si="981"/>
        <v>-154938623.13524237</v>
      </c>
      <c r="S495">
        <f t="shared" si="982"/>
        <v>-1549.3862313524237</v>
      </c>
      <c r="T495">
        <f t="shared" si="983"/>
        <v>-1.5493862313524236</v>
      </c>
    </row>
    <row r="496" spans="1:20" x14ac:dyDescent="0.25">
      <c r="A496" s="5">
        <v>44097</v>
      </c>
      <c r="B496">
        <v>3.6639999999999999E-2</v>
      </c>
      <c r="C496">
        <v>3.8469999999999997E-2</v>
      </c>
      <c r="D496">
        <v>3.449E-2</v>
      </c>
      <c r="E496">
        <v>3.5200000000000002E-2</v>
      </c>
      <c r="F496">
        <v>2437081.6</v>
      </c>
      <c r="G496">
        <v>0</v>
      </c>
      <c r="L496" t="s">
        <v>8</v>
      </c>
      <c r="M496" t="s">
        <v>8</v>
      </c>
      <c r="N496" t="s">
        <v>7</v>
      </c>
      <c r="P496">
        <f t="shared" si="979"/>
        <v>-0.64321608040200862</v>
      </c>
      <c r="Q496">
        <f t="shared" si="980"/>
        <v>-1567570.0743718559</v>
      </c>
      <c r="R496">
        <f t="shared" si="981"/>
        <v>-156601722.83471745</v>
      </c>
      <c r="S496">
        <f t="shared" si="982"/>
        <v>-1566.0172283471745</v>
      </c>
      <c r="T496">
        <f t="shared" si="983"/>
        <v>-1.5660172283471745</v>
      </c>
    </row>
    <row r="497" spans="1:20" x14ac:dyDescent="0.25">
      <c r="A497" s="5">
        <v>44096</v>
      </c>
      <c r="B497">
        <v>3.4619999999999998E-2</v>
      </c>
      <c r="C497">
        <v>3.7159999999999999E-2</v>
      </c>
      <c r="D497">
        <v>3.4000000000000002E-2</v>
      </c>
      <c r="E497">
        <v>3.6580000000000001E-2</v>
      </c>
      <c r="F497">
        <v>1672035.8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0.63291139240506467</v>
      </c>
      <c r="Q497">
        <f t="shared" si="980"/>
        <v>1058250.5063291162</v>
      </c>
      <c r="R497">
        <f t="shared" si="981"/>
        <v>-155034152.76034561</v>
      </c>
      <c r="S497">
        <f t="shared" si="982"/>
        <v>-1550.3415276034561</v>
      </c>
      <c r="T497">
        <f t="shared" si="983"/>
        <v>-1.5503415276034562</v>
      </c>
    </row>
    <row r="498" spans="1:20" x14ac:dyDescent="0.25">
      <c r="A498" s="5">
        <v>44095</v>
      </c>
      <c r="B498">
        <v>3.9469999999999998E-2</v>
      </c>
      <c r="C498">
        <v>4.2000000000000003E-2</v>
      </c>
      <c r="D498">
        <v>3.2399999999999998E-2</v>
      </c>
      <c r="E498">
        <v>3.4790000000000001E-2</v>
      </c>
      <c r="F498">
        <v>5402431.2999999998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-0.50208333333333288</v>
      </c>
      <c r="Q498">
        <f t="shared" si="980"/>
        <v>-2712470.7152083307</v>
      </c>
      <c r="R498">
        <f t="shared" si="981"/>
        <v>-156092403.26667473</v>
      </c>
      <c r="S498">
        <f t="shared" si="982"/>
        <v>-1560.9240326667473</v>
      </c>
      <c r="T498">
        <f t="shared" si="983"/>
        <v>-1.5609240326667473</v>
      </c>
    </row>
    <row r="499" spans="1:20" x14ac:dyDescent="0.25">
      <c r="A499" s="5">
        <v>44094</v>
      </c>
      <c r="B499">
        <v>4.0750000000000001E-2</v>
      </c>
      <c r="C499">
        <v>4.2750000000000003E-2</v>
      </c>
      <c r="D499">
        <v>3.9100000000000003E-2</v>
      </c>
      <c r="E499">
        <v>3.9780000000000003E-2</v>
      </c>
      <c r="F499">
        <v>2532821.7999999998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-0.62739726027397258</v>
      </c>
      <c r="Q499">
        <f t="shared" si="980"/>
        <v>-1589085.4580821916</v>
      </c>
      <c r="R499">
        <f t="shared" si="981"/>
        <v>-153379932.55146641</v>
      </c>
      <c r="S499">
        <f t="shared" si="982"/>
        <v>-1533.7993255146641</v>
      </c>
      <c r="T499">
        <f t="shared" si="983"/>
        <v>-1.533799325514664</v>
      </c>
    </row>
    <row r="500" spans="1:20" x14ac:dyDescent="0.25">
      <c r="A500" s="5">
        <v>44093</v>
      </c>
      <c r="B500">
        <v>4.1119999999999997E-2</v>
      </c>
      <c r="C500">
        <v>4.1500000000000002E-2</v>
      </c>
      <c r="D500">
        <v>4.0009999999999997E-2</v>
      </c>
      <c r="E500">
        <v>4.0730000000000002E-2</v>
      </c>
      <c r="F500">
        <v>910473</v>
      </c>
      <c r="G500">
        <v>0</v>
      </c>
      <c r="L500" t="s">
        <v>7</v>
      </c>
      <c r="M500" t="s">
        <v>7</v>
      </c>
      <c r="N500" t="s">
        <v>8</v>
      </c>
      <c r="P500">
        <f t="shared" si="979"/>
        <v>-3.3557046979861956E-2</v>
      </c>
      <c r="Q500">
        <f t="shared" si="980"/>
        <v>-30552.785234895855</v>
      </c>
      <c r="R500">
        <f t="shared" si="981"/>
        <v>-151790847.09338421</v>
      </c>
      <c r="S500">
        <f t="shared" si="982"/>
        <v>-1517.908470933842</v>
      </c>
      <c r="T500">
        <f t="shared" si="983"/>
        <v>-1.517908470933842</v>
      </c>
    </row>
    <row r="501" spans="1:20" x14ac:dyDescent="0.25">
      <c r="A501" s="5">
        <v>44092</v>
      </c>
      <c r="B501">
        <v>4.2860000000000002E-2</v>
      </c>
      <c r="C501">
        <v>4.5999999999999999E-2</v>
      </c>
      <c r="D501">
        <v>4.104E-2</v>
      </c>
      <c r="E501">
        <v>4.1099999999999998E-2</v>
      </c>
      <c r="F501">
        <v>2116305.7000000002</v>
      </c>
      <c r="G501">
        <v>0</v>
      </c>
      <c r="L501" t="s">
        <v>7</v>
      </c>
      <c r="M501" t="s">
        <v>7</v>
      </c>
      <c r="N501" t="s">
        <v>8</v>
      </c>
      <c r="P501">
        <f t="shared" si="979"/>
        <v>-0.97580645161290425</v>
      </c>
      <c r="Q501">
        <f t="shared" si="980"/>
        <v>-2065104.7556451636</v>
      </c>
      <c r="R501">
        <f t="shared" si="981"/>
        <v>-151760294.30814931</v>
      </c>
      <c r="S501">
        <f t="shared" si="982"/>
        <v>-1517.6029430814931</v>
      </c>
      <c r="T501">
        <f t="shared" si="983"/>
        <v>-1.517602943081493</v>
      </c>
    </row>
    <row r="502" spans="1:20" x14ac:dyDescent="0.25">
      <c r="A502" s="5">
        <v>44091</v>
      </c>
      <c r="B502">
        <v>4.4540000000000003E-2</v>
      </c>
      <c r="C502">
        <v>4.5999999999999999E-2</v>
      </c>
      <c r="D502">
        <v>4.1950000000000001E-2</v>
      </c>
      <c r="E502">
        <v>4.308E-2</v>
      </c>
      <c r="F502">
        <v>2710627.2</v>
      </c>
      <c r="G502">
        <v>0</v>
      </c>
      <c r="L502" t="s">
        <v>7</v>
      </c>
      <c r="M502" t="s">
        <v>7</v>
      </c>
      <c r="N502" t="s">
        <v>8</v>
      </c>
      <c r="P502">
        <f t="shared" si="979"/>
        <v>-0.44197530864197548</v>
      </c>
      <c r="Q502">
        <f t="shared" si="980"/>
        <v>-1198030.2933333339</v>
      </c>
      <c r="R502">
        <f t="shared" si="981"/>
        <v>-149695189.55250415</v>
      </c>
      <c r="S502">
        <f t="shared" si="982"/>
        <v>-1496.9518955250414</v>
      </c>
      <c r="T502">
        <f t="shared" si="983"/>
        <v>-1.4969518955250414</v>
      </c>
    </row>
    <row r="503" spans="1:20" x14ac:dyDescent="0.25">
      <c r="A503" s="5">
        <v>44090</v>
      </c>
      <c r="B503">
        <v>4.2340000000000003E-2</v>
      </c>
      <c r="C503">
        <v>4.6530000000000002E-2</v>
      </c>
      <c r="D503">
        <v>4.0800000000000003E-2</v>
      </c>
      <c r="E503">
        <v>4.487E-2</v>
      </c>
      <c r="F503">
        <v>5311377.0999999996</v>
      </c>
      <c r="G503">
        <v>0</v>
      </c>
      <c r="L503" t="s">
        <v>8</v>
      </c>
      <c r="M503" t="s">
        <v>7</v>
      </c>
      <c r="N503" t="s">
        <v>8</v>
      </c>
      <c r="P503">
        <f t="shared" si="979"/>
        <v>0.42059336823734655</v>
      </c>
      <c r="Q503">
        <f t="shared" si="980"/>
        <v>2233929.9844677099</v>
      </c>
      <c r="R503">
        <f t="shared" si="981"/>
        <v>-148497159.25917083</v>
      </c>
      <c r="S503">
        <f t="shared" si="982"/>
        <v>-1484.9715925917083</v>
      </c>
      <c r="T503">
        <f t="shared" si="983"/>
        <v>-1.4849715925917082</v>
      </c>
    </row>
    <row r="504" spans="1:20" x14ac:dyDescent="0.25">
      <c r="A504" s="5">
        <v>44089</v>
      </c>
      <c r="B504">
        <v>4.3310000000000001E-2</v>
      </c>
      <c r="C504">
        <v>4.36E-2</v>
      </c>
      <c r="D504">
        <v>4.1009999999999998E-2</v>
      </c>
      <c r="E504">
        <v>4.2349999999999999E-2</v>
      </c>
      <c r="F504">
        <v>1404554.2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3.4749034749034645E-2</v>
      </c>
      <c r="Q504">
        <f t="shared" si="980"/>
        <v>48806.902702702551</v>
      </c>
      <c r="R504">
        <f t="shared" si="981"/>
        <v>-150731089.24363855</v>
      </c>
      <c r="S504">
        <f t="shared" si="982"/>
        <v>-1507.3108924363855</v>
      </c>
      <c r="T504">
        <f t="shared" si="983"/>
        <v>-1.5073108924363856</v>
      </c>
    </row>
    <row r="505" spans="1:20" x14ac:dyDescent="0.25">
      <c r="A505" s="5">
        <v>44088</v>
      </c>
      <c r="B505">
        <v>4.2659999999999997E-2</v>
      </c>
      <c r="C505">
        <v>4.6179999999999999E-2</v>
      </c>
      <c r="D505">
        <v>4.1739999999999999E-2</v>
      </c>
      <c r="E505">
        <v>4.3310000000000001E-2</v>
      </c>
      <c r="F505">
        <v>2704360.4</v>
      </c>
      <c r="G505">
        <v>0</v>
      </c>
      <c r="L505" t="s">
        <v>8</v>
      </c>
      <c r="M505" t="s">
        <v>7</v>
      </c>
      <c r="N505" t="s">
        <v>8</v>
      </c>
      <c r="P505">
        <f t="shared" si="979"/>
        <v>-0.29279279279279186</v>
      </c>
      <c r="Q505">
        <f t="shared" si="980"/>
        <v>-791817.23423423164</v>
      </c>
      <c r="R505">
        <f t="shared" si="981"/>
        <v>-150779896.14634123</v>
      </c>
      <c r="S505">
        <f t="shared" si="982"/>
        <v>-1507.7989614634123</v>
      </c>
      <c r="T505">
        <f t="shared" si="983"/>
        <v>-1.5077989614634122</v>
      </c>
    </row>
    <row r="506" spans="1:20" x14ac:dyDescent="0.25">
      <c r="A506" s="5">
        <v>44087</v>
      </c>
      <c r="B506">
        <v>4.7019999999999999E-2</v>
      </c>
      <c r="C506">
        <v>4.7440000000000003E-2</v>
      </c>
      <c r="D506">
        <v>4.0379999999999999E-2</v>
      </c>
      <c r="E506">
        <v>4.267E-2</v>
      </c>
      <c r="F506">
        <v>3288058.9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-0.35127478753541103</v>
      </c>
      <c r="Q506">
        <f t="shared" si="980"/>
        <v>-1155012.1915014172</v>
      </c>
      <c r="R506">
        <f t="shared" si="981"/>
        <v>-149988078.91210699</v>
      </c>
      <c r="S506">
        <f t="shared" si="982"/>
        <v>-1499.8807891210699</v>
      </c>
      <c r="T506">
        <f t="shared" si="983"/>
        <v>-1.4998807891210699</v>
      </c>
    </row>
    <row r="507" spans="1:20" x14ac:dyDescent="0.25">
      <c r="A507" s="5">
        <v>44086</v>
      </c>
      <c r="B507">
        <v>4.5069999999999999E-2</v>
      </c>
      <c r="C507">
        <v>4.7399999999999998E-2</v>
      </c>
      <c r="D507">
        <v>4.3499999999999997E-2</v>
      </c>
      <c r="E507">
        <v>4.7100000000000003E-2</v>
      </c>
      <c r="F507">
        <v>3745042.6</v>
      </c>
      <c r="G507">
        <v>0</v>
      </c>
      <c r="L507" t="s">
        <v>8</v>
      </c>
      <c r="M507" t="s">
        <v>7</v>
      </c>
      <c r="N507" t="s">
        <v>8</v>
      </c>
      <c r="P507">
        <f t="shared" si="979"/>
        <v>0.84615384615384892</v>
      </c>
      <c r="Q507">
        <f t="shared" si="980"/>
        <v>3168882.2000000104</v>
      </c>
      <c r="R507">
        <f t="shared" si="981"/>
        <v>-148833066.72060558</v>
      </c>
      <c r="S507">
        <f t="shared" si="982"/>
        <v>-1488.3306672060558</v>
      </c>
      <c r="T507">
        <f t="shared" si="983"/>
        <v>-1.4883306672060557</v>
      </c>
    </row>
    <row r="508" spans="1:20" x14ac:dyDescent="0.25">
      <c r="A508" s="5">
        <v>44085</v>
      </c>
      <c r="B508">
        <v>4.8469999999999999E-2</v>
      </c>
      <c r="C508">
        <v>5.0139999999999997E-2</v>
      </c>
      <c r="D508">
        <v>4.3299999999999998E-2</v>
      </c>
      <c r="E508">
        <v>4.5060000000000003E-2</v>
      </c>
      <c r="F508">
        <v>7492689.5999999996</v>
      </c>
      <c r="G508">
        <v>0</v>
      </c>
      <c r="L508" t="s">
        <v>7</v>
      </c>
      <c r="M508" t="s">
        <v>7</v>
      </c>
      <c r="N508" t="s">
        <v>8</v>
      </c>
      <c r="P508">
        <f t="shared" si="979"/>
        <v>-0.48538011695906291</v>
      </c>
      <c r="Q508">
        <f t="shared" si="980"/>
        <v>-3636802.554385954</v>
      </c>
      <c r="R508">
        <f t="shared" si="981"/>
        <v>-152001948.9206056</v>
      </c>
      <c r="S508">
        <f t="shared" si="982"/>
        <v>-1520.0194892060561</v>
      </c>
      <c r="T508">
        <f t="shared" si="983"/>
        <v>-1.5200194892060561</v>
      </c>
    </row>
    <row r="509" spans="1:20" x14ac:dyDescent="0.25">
      <c r="A509" s="5">
        <v>44084</v>
      </c>
      <c r="B509">
        <v>4.0779999999999997E-2</v>
      </c>
      <c r="C509">
        <v>5.4170000000000003E-2</v>
      </c>
      <c r="D509">
        <v>4.0779999999999997E-2</v>
      </c>
      <c r="E509">
        <v>4.8140000000000002E-2</v>
      </c>
      <c r="F509">
        <v>14349519.699999999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9.932785660941032E-2</v>
      </c>
      <c r="Q509">
        <f t="shared" si="980"/>
        <v>1425307.0351755086</v>
      </c>
      <c r="R509">
        <f t="shared" si="981"/>
        <v>-148365146.36621964</v>
      </c>
      <c r="S509">
        <f t="shared" si="982"/>
        <v>-1483.6514636621964</v>
      </c>
      <c r="T509">
        <f t="shared" si="983"/>
        <v>-1.4836514636621965</v>
      </c>
    </row>
    <row r="510" spans="1:20" x14ac:dyDescent="0.25">
      <c r="A510" s="5">
        <v>44083</v>
      </c>
      <c r="B510">
        <v>3.9829999999999997E-2</v>
      </c>
      <c r="C510">
        <v>4.2520000000000002E-2</v>
      </c>
      <c r="D510">
        <v>3.6999999999999998E-2</v>
      </c>
      <c r="E510">
        <v>4.0779999999999997E-2</v>
      </c>
      <c r="F510">
        <v>2453013.7000000002</v>
      </c>
      <c r="G510">
        <v>0</v>
      </c>
      <c r="L510" t="s">
        <v>7</v>
      </c>
      <c r="M510" t="s">
        <v>7</v>
      </c>
      <c r="N510" t="s">
        <v>7</v>
      </c>
      <c r="P510">
        <f t="shared" si="979"/>
        <v>0.36956521739130282</v>
      </c>
      <c r="Q510">
        <f t="shared" si="980"/>
        <v>906548.54130434419</v>
      </c>
      <c r="R510">
        <f t="shared" si="981"/>
        <v>-149790453.40139514</v>
      </c>
      <c r="S510">
        <f t="shared" si="982"/>
        <v>-1497.9045340139514</v>
      </c>
      <c r="T510">
        <f t="shared" si="983"/>
        <v>-1.4979045340139514</v>
      </c>
    </row>
    <row r="511" spans="1:20" x14ac:dyDescent="0.25">
      <c r="A511" s="5">
        <v>44082</v>
      </c>
      <c r="B511">
        <v>4.1480000000000003E-2</v>
      </c>
      <c r="C511">
        <v>4.2509999999999999E-2</v>
      </c>
      <c r="D511">
        <v>3.8190000000000002E-2</v>
      </c>
      <c r="E511">
        <v>3.9829999999999997E-2</v>
      </c>
      <c r="F511">
        <v>2293805.1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-0.24074074074074231</v>
      </c>
      <c r="Q511">
        <f t="shared" si="980"/>
        <v>-552212.33888889255</v>
      </c>
      <c r="R511">
        <f t="shared" si="981"/>
        <v>-150697001.94269949</v>
      </c>
      <c r="S511">
        <f t="shared" si="982"/>
        <v>-1506.9700194269949</v>
      </c>
      <c r="T511">
        <f t="shared" si="983"/>
        <v>-1.5069700194269948</v>
      </c>
    </row>
    <row r="512" spans="1:20" x14ac:dyDescent="0.25">
      <c r="A512" s="5">
        <v>44081</v>
      </c>
      <c r="B512">
        <v>4.2099999999999999E-2</v>
      </c>
      <c r="C512">
        <v>4.3029999999999999E-2</v>
      </c>
      <c r="D512">
        <v>3.7620000000000001E-2</v>
      </c>
      <c r="E512">
        <v>4.1489999999999999E-2</v>
      </c>
      <c r="F512">
        <v>2439284.9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0.43068391866913114</v>
      </c>
      <c r="Q512">
        <f t="shared" si="980"/>
        <v>1050560.7794824396</v>
      </c>
      <c r="R512">
        <f t="shared" si="981"/>
        <v>-150144789.60381061</v>
      </c>
      <c r="S512">
        <f t="shared" si="982"/>
        <v>-1501.4478960381061</v>
      </c>
      <c r="T512">
        <f t="shared" si="983"/>
        <v>-1.5014478960381061</v>
      </c>
    </row>
    <row r="513" spans="1:20" x14ac:dyDescent="0.25">
      <c r="A513" s="5">
        <v>44080</v>
      </c>
      <c r="B513">
        <v>3.9379999999999998E-2</v>
      </c>
      <c r="C513">
        <v>4.3490000000000001E-2</v>
      </c>
      <c r="D513">
        <v>3.807E-2</v>
      </c>
      <c r="E513">
        <v>4.2560000000000001E-2</v>
      </c>
      <c r="F513">
        <v>2314488.7000000002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0.65682656826568264</v>
      </c>
      <c r="Q513">
        <f t="shared" si="980"/>
        <v>1520217.6701107011</v>
      </c>
      <c r="R513">
        <f t="shared" si="981"/>
        <v>-151195350.38329306</v>
      </c>
      <c r="S513">
        <f t="shared" si="982"/>
        <v>-1511.9535038329307</v>
      </c>
      <c r="T513">
        <f t="shared" si="983"/>
        <v>-1.5119535038329306</v>
      </c>
    </row>
    <row r="514" spans="1:20" x14ac:dyDescent="0.25">
      <c r="A514" s="5">
        <v>44079</v>
      </c>
      <c r="B514">
        <v>4.5469999999999997E-2</v>
      </c>
      <c r="C514">
        <v>4.6129999999999997E-2</v>
      </c>
      <c r="D514">
        <v>3.6609999999999997E-2</v>
      </c>
      <c r="E514">
        <v>3.9260000000000003E-2</v>
      </c>
      <c r="F514">
        <v>5208256.3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-0.4432773109243684</v>
      </c>
      <c r="Q514">
        <f t="shared" si="980"/>
        <v>-2308701.8472689004</v>
      </c>
      <c r="R514">
        <f t="shared" si="981"/>
        <v>-152715568.05340376</v>
      </c>
      <c r="S514">
        <f t="shared" si="982"/>
        <v>-1527.1556805340376</v>
      </c>
      <c r="T514">
        <f t="shared" si="983"/>
        <v>-1.5271556805340376</v>
      </c>
    </row>
    <row r="515" spans="1:20" x14ac:dyDescent="0.25">
      <c r="A515" s="5">
        <v>44078</v>
      </c>
      <c r="B515">
        <v>4.3900000000000002E-2</v>
      </c>
      <c r="C515">
        <v>4.7960000000000003E-2</v>
      </c>
      <c r="D515">
        <v>4.1880000000000001E-2</v>
      </c>
      <c r="E515">
        <v>4.5249999999999999E-2</v>
      </c>
      <c r="F515">
        <v>3565638.4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0.10855263157894633</v>
      </c>
      <c r="Q515">
        <f t="shared" si="980"/>
        <v>387059.43157894368</v>
      </c>
      <c r="R515">
        <f t="shared" si="981"/>
        <v>-150406866.20613486</v>
      </c>
      <c r="S515">
        <f t="shared" si="982"/>
        <v>-1504.0686620613485</v>
      </c>
      <c r="T515">
        <f t="shared" si="983"/>
        <v>-1.5040686620613486</v>
      </c>
    </row>
    <row r="516" spans="1:20" x14ac:dyDescent="0.25">
      <c r="A516" s="5">
        <v>44077</v>
      </c>
      <c r="B516">
        <v>5.4789999999999998E-2</v>
      </c>
      <c r="C516">
        <v>5.5590000000000001E-2</v>
      </c>
      <c r="D516">
        <v>4.3779999999999999E-2</v>
      </c>
      <c r="E516">
        <v>4.4339999999999997E-2</v>
      </c>
      <c r="F516">
        <v>4731376.7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-0.9051651143099072</v>
      </c>
      <c r="Q516">
        <f t="shared" si="980"/>
        <v>-4282677.1314987317</v>
      </c>
      <c r="R516">
        <f t="shared" si="981"/>
        <v>-150793925.63771379</v>
      </c>
      <c r="S516">
        <f t="shared" si="982"/>
        <v>-1507.939256377138</v>
      </c>
      <c r="T516">
        <f t="shared" si="983"/>
        <v>-1.5079392563771381</v>
      </c>
    </row>
    <row r="517" spans="1:20" x14ac:dyDescent="0.25">
      <c r="A517" s="5">
        <v>44076</v>
      </c>
      <c r="B517">
        <v>5.6680000000000001E-2</v>
      </c>
      <c r="C517">
        <v>5.731E-2</v>
      </c>
      <c r="D517">
        <v>5.321E-2</v>
      </c>
      <c r="E517">
        <v>5.5230000000000001E-2</v>
      </c>
      <c r="F517">
        <v>2419043.9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-1.463414634146282E-2</v>
      </c>
      <c r="Q517">
        <f t="shared" si="980"/>
        <v>-35400.642439022951</v>
      </c>
      <c r="R517">
        <f t="shared" si="981"/>
        <v>-146511248.50621507</v>
      </c>
      <c r="S517">
        <f t="shared" si="982"/>
        <v>-1465.1124850621507</v>
      </c>
      <c r="T517">
        <f t="shared" si="983"/>
        <v>-1.4651124850621506</v>
      </c>
    </row>
    <row r="518" spans="1:20" x14ac:dyDescent="0.25">
      <c r="A518" s="5">
        <v>44075</v>
      </c>
      <c r="B518">
        <v>6.089E-2</v>
      </c>
      <c r="C518">
        <v>6.1409999999999999E-2</v>
      </c>
      <c r="D518">
        <v>5.6500000000000002E-2</v>
      </c>
      <c r="E518">
        <v>5.6500000000000002E-2</v>
      </c>
      <c r="F518">
        <v>3601484.2</v>
      </c>
      <c r="G518">
        <v>0</v>
      </c>
      <c r="L518" t="s">
        <v>7</v>
      </c>
      <c r="M518" t="s">
        <v>8</v>
      </c>
      <c r="N518" t="s">
        <v>7</v>
      </c>
      <c r="P518">
        <f t="shared" ref="P518:P581" si="984">IF(C518=D518,0,((E518-D518)-(C518-E518))/(C518-D518))</f>
        <v>-1</v>
      </c>
      <c r="Q518">
        <f t="shared" ref="Q518:Q581" si="985">F518*P518</f>
        <v>-3601484.2</v>
      </c>
      <c r="R518">
        <f t="shared" ref="R518:R581" si="986">R519+Q518</f>
        <v>-146475847.86377603</v>
      </c>
      <c r="S518">
        <f t="shared" ref="S518:S581" si="987">R518/100000</f>
        <v>-1464.7584786377604</v>
      </c>
      <c r="T518">
        <f t="shared" ref="T518:T581" si="988">S518/1000</f>
        <v>-1.4647584786377603</v>
      </c>
    </row>
    <row r="519" spans="1:20" x14ac:dyDescent="0.25">
      <c r="A519" s="5">
        <v>44074</v>
      </c>
      <c r="B519">
        <v>5.9229999999999998E-2</v>
      </c>
      <c r="C519">
        <v>6.2E-2</v>
      </c>
      <c r="D519">
        <v>5.8160000000000003E-2</v>
      </c>
      <c r="E519">
        <v>6.0970000000000003E-2</v>
      </c>
      <c r="F519">
        <v>5115048.5999999996</v>
      </c>
      <c r="G519">
        <v>0</v>
      </c>
      <c r="L519" t="s">
        <v>8</v>
      </c>
      <c r="M519" t="s">
        <v>8</v>
      </c>
      <c r="N519" t="s">
        <v>7</v>
      </c>
      <c r="P519">
        <f t="shared" si="984"/>
        <v>0.46354166666666813</v>
      </c>
      <c r="Q519">
        <f t="shared" si="985"/>
        <v>2371038.1531250072</v>
      </c>
      <c r="R519">
        <f t="shared" si="986"/>
        <v>-142874363.66377604</v>
      </c>
      <c r="S519">
        <f t="shared" si="987"/>
        <v>-1428.7436366377603</v>
      </c>
      <c r="T519">
        <f t="shared" si="988"/>
        <v>-1.4287436366377604</v>
      </c>
    </row>
    <row r="520" spans="1:20" x14ac:dyDescent="0.25">
      <c r="A520" s="5">
        <v>44073</v>
      </c>
      <c r="B520">
        <v>5.9900000000000002E-2</v>
      </c>
      <c r="C520">
        <v>6.1960000000000001E-2</v>
      </c>
      <c r="D520">
        <v>5.9029999999999999E-2</v>
      </c>
      <c r="E520">
        <v>5.9069999999999998E-2</v>
      </c>
      <c r="F520">
        <v>2166094.7999999998</v>
      </c>
      <c r="G520">
        <v>0</v>
      </c>
      <c r="L520" t="s">
        <v>8</v>
      </c>
      <c r="M520" t="s">
        <v>7</v>
      </c>
      <c r="N520" t="s">
        <v>7</v>
      </c>
      <c r="P520">
        <f t="shared" si="984"/>
        <v>-0.97269624573378954</v>
      </c>
      <c r="Q520">
        <f t="shared" si="985"/>
        <v>-2106952.2798634837</v>
      </c>
      <c r="R520">
        <f t="shared" si="986"/>
        <v>-145245401.81690106</v>
      </c>
      <c r="S520">
        <f t="shared" si="987"/>
        <v>-1452.4540181690106</v>
      </c>
      <c r="T520">
        <f t="shared" si="988"/>
        <v>-1.4524540181690107</v>
      </c>
    </row>
    <row r="521" spans="1:20" x14ac:dyDescent="0.25">
      <c r="A521" s="5">
        <v>44072</v>
      </c>
      <c r="B521">
        <v>5.7790000000000001E-2</v>
      </c>
      <c r="C521">
        <v>6.1800000000000001E-2</v>
      </c>
      <c r="D521">
        <v>5.7410000000000003E-2</v>
      </c>
      <c r="E521">
        <v>5.9889999999999999E-2</v>
      </c>
      <c r="F521">
        <v>4468457.0999999996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0.12984054669703743</v>
      </c>
      <c r="Q521">
        <f t="shared" si="985"/>
        <v>580186.91275625839</v>
      </c>
      <c r="R521">
        <f t="shared" si="986"/>
        <v>-143138449.53703758</v>
      </c>
      <c r="S521">
        <f t="shared" si="987"/>
        <v>-1431.3844953703758</v>
      </c>
      <c r="T521">
        <f t="shared" si="988"/>
        <v>-1.4313844953703758</v>
      </c>
    </row>
    <row r="522" spans="1:20" x14ac:dyDescent="0.25">
      <c r="A522" s="5">
        <v>44071</v>
      </c>
      <c r="B522">
        <v>5.5849999999999997E-2</v>
      </c>
      <c r="C522">
        <v>5.8500000000000003E-2</v>
      </c>
      <c r="D522">
        <v>5.4120000000000001E-2</v>
      </c>
      <c r="E522">
        <v>5.7930000000000002E-2</v>
      </c>
      <c r="F522">
        <v>2345928.6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0.7397260273972599</v>
      </c>
      <c r="Q522">
        <f t="shared" si="985"/>
        <v>1735344.4438356156</v>
      </c>
      <c r="R522">
        <f t="shared" si="986"/>
        <v>-143718636.44979385</v>
      </c>
      <c r="S522">
        <f t="shared" si="987"/>
        <v>-1437.1863644979385</v>
      </c>
      <c r="T522">
        <f t="shared" si="988"/>
        <v>-1.4371863644979386</v>
      </c>
    </row>
    <row r="523" spans="1:20" x14ac:dyDescent="0.25">
      <c r="A523" s="5">
        <v>44070</v>
      </c>
      <c r="B523">
        <v>5.849E-2</v>
      </c>
      <c r="C523">
        <v>5.8889999999999998E-2</v>
      </c>
      <c r="D523">
        <v>5.3179999999999998E-2</v>
      </c>
      <c r="E523">
        <v>5.5489999999999998E-2</v>
      </c>
      <c r="F523">
        <v>3058010.5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-0.19089316987740818</v>
      </c>
      <c r="Q523">
        <f t="shared" si="985"/>
        <v>-583753.31786339788</v>
      </c>
      <c r="R523">
        <f t="shared" si="986"/>
        <v>-145453980.89362946</v>
      </c>
      <c r="S523">
        <f t="shared" si="987"/>
        <v>-1454.5398089362945</v>
      </c>
      <c r="T523">
        <f t="shared" si="988"/>
        <v>-1.4545398089362946</v>
      </c>
    </row>
    <row r="524" spans="1:20" x14ac:dyDescent="0.25">
      <c r="A524" s="5">
        <v>44069</v>
      </c>
      <c r="B524">
        <v>5.7919999999999999E-2</v>
      </c>
      <c r="C524">
        <v>6.0069999999999998E-2</v>
      </c>
      <c r="D524">
        <v>5.7000000000000002E-2</v>
      </c>
      <c r="E524">
        <v>5.8189999999999999E-2</v>
      </c>
      <c r="F524">
        <v>2581143.2000000002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-0.22475570032573419</v>
      </c>
      <c r="Q524">
        <f t="shared" si="985"/>
        <v>-580126.64755700668</v>
      </c>
      <c r="R524">
        <f t="shared" si="986"/>
        <v>-144870227.57576606</v>
      </c>
      <c r="S524">
        <f t="shared" si="987"/>
        <v>-1448.7022757576606</v>
      </c>
      <c r="T524">
        <f t="shared" si="988"/>
        <v>-1.4487022757576606</v>
      </c>
    </row>
    <row r="525" spans="1:20" x14ac:dyDescent="0.25">
      <c r="A525" s="5">
        <v>44068</v>
      </c>
      <c r="B525">
        <v>6.2759999999999996E-2</v>
      </c>
      <c r="C525">
        <v>6.2890000000000001E-2</v>
      </c>
      <c r="D525">
        <v>5.3800000000000001E-2</v>
      </c>
      <c r="E525">
        <v>5.8259999999999999E-2</v>
      </c>
      <c r="F525">
        <v>6048152.7000000002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-1.8701870187019083E-2</v>
      </c>
      <c r="Q525">
        <f t="shared" si="985"/>
        <v>-113111.76666666898</v>
      </c>
      <c r="R525">
        <f t="shared" si="986"/>
        <v>-144290100.92820904</v>
      </c>
      <c r="S525">
        <f t="shared" si="987"/>
        <v>-1442.9010092820904</v>
      </c>
      <c r="T525">
        <f t="shared" si="988"/>
        <v>-1.4429010092820904</v>
      </c>
    </row>
    <row r="526" spans="1:20" x14ac:dyDescent="0.25">
      <c r="A526" s="5">
        <v>44067</v>
      </c>
      <c r="B526">
        <v>6.2289999999999998E-2</v>
      </c>
      <c r="C526">
        <v>6.4219999999999999E-2</v>
      </c>
      <c r="D526">
        <v>5.9749999999999998E-2</v>
      </c>
      <c r="E526">
        <v>6.2649999999999997E-2</v>
      </c>
      <c r="F526">
        <v>9600157</v>
      </c>
      <c r="G526">
        <v>0</v>
      </c>
      <c r="L526" t="s">
        <v>7</v>
      </c>
      <c r="M526" t="s">
        <v>7</v>
      </c>
      <c r="N526" t="s">
        <v>7</v>
      </c>
      <c r="P526">
        <f t="shared" si="984"/>
        <v>0.29753914988814256</v>
      </c>
      <c r="Q526">
        <f t="shared" si="985"/>
        <v>2856422.5525727011</v>
      </c>
      <c r="R526">
        <f t="shared" si="986"/>
        <v>-144176989.16154236</v>
      </c>
      <c r="S526">
        <f t="shared" si="987"/>
        <v>-1441.7698916154236</v>
      </c>
      <c r="T526">
        <f t="shared" si="988"/>
        <v>-1.4417698916154236</v>
      </c>
    </row>
    <row r="527" spans="1:20" x14ac:dyDescent="0.25">
      <c r="A527" s="5">
        <v>44066</v>
      </c>
      <c r="B527">
        <v>6.4399999999999999E-2</v>
      </c>
      <c r="C527">
        <v>7.5469999999999995E-2</v>
      </c>
      <c r="D527">
        <v>5.901E-2</v>
      </c>
      <c r="E527">
        <v>6.2289999999999998E-2</v>
      </c>
      <c r="F527">
        <v>28484886.399999999</v>
      </c>
      <c r="G527">
        <v>0</v>
      </c>
      <c r="L527" t="s">
        <v>8</v>
      </c>
      <c r="M527" t="s">
        <v>8</v>
      </c>
      <c r="N527" t="s">
        <v>7</v>
      </c>
      <c r="P527">
        <f t="shared" si="984"/>
        <v>-0.60145808019441083</v>
      </c>
      <c r="Q527">
        <f t="shared" si="985"/>
        <v>-17132465.088699881</v>
      </c>
      <c r="R527">
        <f t="shared" si="986"/>
        <v>-147033411.71411505</v>
      </c>
      <c r="S527">
        <f t="shared" si="987"/>
        <v>-1470.3341171411505</v>
      </c>
      <c r="T527">
        <f t="shared" si="988"/>
        <v>-1.4703341171411506</v>
      </c>
    </row>
    <row r="528" spans="1:20" x14ac:dyDescent="0.25">
      <c r="A528" s="5">
        <v>44065</v>
      </c>
      <c r="B528">
        <v>5.8119999999999998E-2</v>
      </c>
      <c r="C528">
        <v>6.4899999999999999E-2</v>
      </c>
      <c r="D528">
        <v>5.5359999999999999E-2</v>
      </c>
      <c r="E528">
        <v>6.4399999999999999E-2</v>
      </c>
      <c r="F528">
        <v>4140037.5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0.89517819706498947</v>
      </c>
      <c r="Q528">
        <f t="shared" si="985"/>
        <v>3706071.3050314463</v>
      </c>
      <c r="R528">
        <f t="shared" si="986"/>
        <v>-129900946.62541516</v>
      </c>
      <c r="S528">
        <f t="shared" si="987"/>
        <v>-1299.0094662541517</v>
      </c>
      <c r="T528">
        <f t="shared" si="988"/>
        <v>-1.2990094662541516</v>
      </c>
    </row>
    <row r="529" spans="1:20" x14ac:dyDescent="0.25">
      <c r="A529" s="5">
        <v>44064</v>
      </c>
      <c r="B529">
        <v>6.4729999999999996E-2</v>
      </c>
      <c r="C529">
        <v>6.6540000000000002E-2</v>
      </c>
      <c r="D529">
        <v>5.7930000000000002E-2</v>
      </c>
      <c r="E529">
        <v>5.808E-2</v>
      </c>
      <c r="F529">
        <v>4789587.0999999996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-0.96515679442508773</v>
      </c>
      <c r="Q529">
        <f t="shared" si="985"/>
        <v>-4622702.5320557514</v>
      </c>
      <c r="R529">
        <f t="shared" si="986"/>
        <v>-133607017.93044661</v>
      </c>
      <c r="S529">
        <f t="shared" si="987"/>
        <v>-1336.0701793044661</v>
      </c>
      <c r="T529">
        <f t="shared" si="988"/>
        <v>-1.336070179304466</v>
      </c>
    </row>
    <row r="530" spans="1:20" x14ac:dyDescent="0.25">
      <c r="A530" s="5">
        <v>44063</v>
      </c>
      <c r="B530">
        <v>5.9380000000000002E-2</v>
      </c>
      <c r="C530">
        <v>6.6540000000000002E-2</v>
      </c>
      <c r="D530">
        <v>5.8599999999999999E-2</v>
      </c>
      <c r="E530">
        <v>6.4670000000000005E-2</v>
      </c>
      <c r="F530">
        <v>4769707.8</v>
      </c>
      <c r="G530">
        <v>0</v>
      </c>
      <c r="L530" t="s">
        <v>8</v>
      </c>
      <c r="M530" t="s">
        <v>7</v>
      </c>
      <c r="N530" t="s">
        <v>7</v>
      </c>
      <c r="P530">
        <f t="shared" si="984"/>
        <v>0.52896725440806147</v>
      </c>
      <c r="Q530">
        <f t="shared" si="985"/>
        <v>2523019.2392947152</v>
      </c>
      <c r="R530">
        <f t="shared" si="986"/>
        <v>-128984315.39839086</v>
      </c>
      <c r="S530">
        <f t="shared" si="987"/>
        <v>-1289.8431539839087</v>
      </c>
      <c r="T530">
        <f t="shared" si="988"/>
        <v>-1.2898431539839086</v>
      </c>
    </row>
    <row r="531" spans="1:20" x14ac:dyDescent="0.25">
      <c r="A531" s="5">
        <v>44062</v>
      </c>
      <c r="B531">
        <v>6.1019999999999998E-2</v>
      </c>
      <c r="C531">
        <v>6.2670000000000003E-2</v>
      </c>
      <c r="D531">
        <v>5.663E-2</v>
      </c>
      <c r="E531">
        <v>5.8950000000000002E-2</v>
      </c>
      <c r="F531">
        <v>5035957.2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-0.23178807947019828</v>
      </c>
      <c r="Q531">
        <f t="shared" si="985"/>
        <v>-1167274.8476821173</v>
      </c>
      <c r="R531">
        <f t="shared" si="986"/>
        <v>-131507334.63768558</v>
      </c>
      <c r="S531">
        <f t="shared" si="987"/>
        <v>-1315.0733463768559</v>
      </c>
      <c r="T531">
        <f t="shared" si="988"/>
        <v>-1.3150733463768558</v>
      </c>
    </row>
    <row r="532" spans="1:20" x14ac:dyDescent="0.25">
      <c r="A532" s="5">
        <v>44061</v>
      </c>
      <c r="B532">
        <v>6.4030000000000004E-2</v>
      </c>
      <c r="C532">
        <v>6.6110000000000002E-2</v>
      </c>
      <c r="D532">
        <v>6.028E-2</v>
      </c>
      <c r="E532">
        <v>6.1400000000000003E-2</v>
      </c>
      <c r="F532">
        <v>4230575.0999999996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-0.61578044596912429</v>
      </c>
      <c r="Q532">
        <f t="shared" si="985"/>
        <v>-2605105.4217838724</v>
      </c>
      <c r="R532">
        <f t="shared" si="986"/>
        <v>-130340059.79000346</v>
      </c>
      <c r="S532">
        <f t="shared" si="987"/>
        <v>-1303.4005979000347</v>
      </c>
      <c r="T532">
        <f t="shared" si="988"/>
        <v>-1.3034005979000347</v>
      </c>
    </row>
    <row r="533" spans="1:20" x14ac:dyDescent="0.25">
      <c r="A533" s="5">
        <v>44060</v>
      </c>
      <c r="B533">
        <v>6.9959999999999994E-2</v>
      </c>
      <c r="C533">
        <v>7.0309999999999997E-2</v>
      </c>
      <c r="D533">
        <v>6.2019999999999999E-2</v>
      </c>
      <c r="E533">
        <v>6.4030000000000004E-2</v>
      </c>
      <c r="F533">
        <v>9375614.8000000007</v>
      </c>
      <c r="G533">
        <v>0</v>
      </c>
      <c r="L533" t="s">
        <v>7</v>
      </c>
      <c r="M533" t="s">
        <v>7</v>
      </c>
      <c r="N533" t="s">
        <v>8</v>
      </c>
      <c r="P533">
        <f t="shared" si="984"/>
        <v>-0.51507840772014346</v>
      </c>
      <c r="Q533">
        <f t="shared" si="985"/>
        <v>-4829176.7425814113</v>
      </c>
      <c r="R533">
        <f t="shared" si="986"/>
        <v>-127734954.36821958</v>
      </c>
      <c r="S533">
        <f t="shared" si="987"/>
        <v>-1277.3495436821959</v>
      </c>
      <c r="T533">
        <f t="shared" si="988"/>
        <v>-1.2773495436821958</v>
      </c>
    </row>
    <row r="534" spans="1:20" x14ac:dyDescent="0.25">
      <c r="A534" s="5">
        <v>44059</v>
      </c>
      <c r="B534">
        <v>6.6750000000000004E-2</v>
      </c>
      <c r="C534">
        <v>6.9970000000000004E-2</v>
      </c>
      <c r="D534">
        <v>6.59E-2</v>
      </c>
      <c r="E534">
        <v>6.9970000000000004E-2</v>
      </c>
      <c r="F534">
        <v>8913139.6999999993</v>
      </c>
      <c r="G534">
        <v>0</v>
      </c>
      <c r="L534" t="s">
        <v>7</v>
      </c>
      <c r="M534" t="s">
        <v>8</v>
      </c>
      <c r="N534" t="s">
        <v>8</v>
      </c>
      <c r="P534">
        <f t="shared" si="984"/>
        <v>1</v>
      </c>
      <c r="Q534">
        <f t="shared" si="985"/>
        <v>8913139.6999999993</v>
      </c>
      <c r="R534">
        <f t="shared" si="986"/>
        <v>-122905777.62563817</v>
      </c>
      <c r="S534">
        <f t="shared" si="987"/>
        <v>-1229.0577762563817</v>
      </c>
      <c r="T534">
        <f t="shared" si="988"/>
        <v>-1.2290577762563817</v>
      </c>
    </row>
    <row r="535" spans="1:20" x14ac:dyDescent="0.25">
      <c r="A535" s="5">
        <v>44058</v>
      </c>
      <c r="B535">
        <v>6.9360000000000005E-2</v>
      </c>
      <c r="C535">
        <v>6.9760000000000003E-2</v>
      </c>
      <c r="D535">
        <v>6.5420000000000006E-2</v>
      </c>
      <c r="E535">
        <v>6.6930000000000003E-2</v>
      </c>
      <c r="F535">
        <v>6928276.7999999998</v>
      </c>
      <c r="G535">
        <v>0</v>
      </c>
      <c r="L535" t="s">
        <v>7</v>
      </c>
      <c r="M535" t="s">
        <v>8</v>
      </c>
      <c r="N535" t="s">
        <v>8</v>
      </c>
      <c r="P535">
        <f t="shared" si="984"/>
        <v>-0.30414746543778864</v>
      </c>
      <c r="Q535">
        <f t="shared" si="985"/>
        <v>-2107217.8285714327</v>
      </c>
      <c r="R535">
        <f t="shared" si="986"/>
        <v>-131818917.32563818</v>
      </c>
      <c r="S535">
        <f t="shared" si="987"/>
        <v>-1318.1891732563818</v>
      </c>
      <c r="T535">
        <f t="shared" si="988"/>
        <v>-1.3181891732563817</v>
      </c>
    </row>
    <row r="536" spans="1:20" x14ac:dyDescent="0.25">
      <c r="A536" s="5">
        <v>44057</v>
      </c>
      <c r="B536">
        <v>7.2550000000000003E-2</v>
      </c>
      <c r="C536">
        <v>7.8979999999999995E-2</v>
      </c>
      <c r="D536">
        <v>6.7140000000000005E-2</v>
      </c>
      <c r="E536">
        <v>6.9250000000000006E-2</v>
      </c>
      <c r="F536">
        <v>25329634.199999999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-0.64358108108108059</v>
      </c>
      <c r="Q536">
        <f t="shared" si="985"/>
        <v>-16301673.361824311</v>
      </c>
      <c r="R536">
        <f t="shared" si="986"/>
        <v>-129711699.49706674</v>
      </c>
      <c r="S536">
        <f t="shared" si="987"/>
        <v>-1297.1169949706673</v>
      </c>
      <c r="T536">
        <f t="shared" si="988"/>
        <v>-1.2971169949706673</v>
      </c>
    </row>
    <row r="537" spans="1:20" x14ac:dyDescent="0.25">
      <c r="A537" s="5">
        <v>44056</v>
      </c>
      <c r="B537">
        <v>5.8209999999999998E-2</v>
      </c>
      <c r="C537">
        <v>7.6990000000000003E-2</v>
      </c>
      <c r="D537">
        <v>5.4769999999999999E-2</v>
      </c>
      <c r="E537">
        <v>7.2040000000000007E-2</v>
      </c>
      <c r="F537">
        <v>29693345.399999999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0.55445544554455484</v>
      </c>
      <c r="Q537">
        <f t="shared" si="985"/>
        <v>16463637.053465357</v>
      </c>
      <c r="R537">
        <f t="shared" si="986"/>
        <v>-113410026.13524242</v>
      </c>
      <c r="S537">
        <f t="shared" si="987"/>
        <v>-1134.1002613524242</v>
      </c>
      <c r="T537">
        <f t="shared" si="988"/>
        <v>-1.1341002613524243</v>
      </c>
    </row>
    <row r="538" spans="1:20" x14ac:dyDescent="0.25">
      <c r="A538" s="5">
        <v>44055</v>
      </c>
      <c r="B538">
        <v>5.4859999999999999E-2</v>
      </c>
      <c r="C538">
        <v>5.9990000000000002E-2</v>
      </c>
      <c r="D538">
        <v>5.2819999999999999E-2</v>
      </c>
      <c r="E538">
        <v>5.8169999999999999E-2</v>
      </c>
      <c r="F538">
        <v>6165590.4000000004</v>
      </c>
      <c r="G538">
        <v>0</v>
      </c>
      <c r="L538" t="s">
        <v>7</v>
      </c>
      <c r="M538" t="s">
        <v>7</v>
      </c>
      <c r="N538" t="s">
        <v>7</v>
      </c>
      <c r="P538">
        <f t="shared" si="984"/>
        <v>0.49232914923291449</v>
      </c>
      <c r="Q538">
        <f t="shared" si="985"/>
        <v>3035499.8761506253</v>
      </c>
      <c r="R538">
        <f t="shared" si="986"/>
        <v>-129873663.18870777</v>
      </c>
      <c r="S538">
        <f t="shared" si="987"/>
        <v>-1298.7366318870777</v>
      </c>
      <c r="T538">
        <f t="shared" si="988"/>
        <v>-1.2987366318870777</v>
      </c>
    </row>
    <row r="539" spans="1:20" x14ac:dyDescent="0.25">
      <c r="A539" s="5">
        <v>44054</v>
      </c>
      <c r="B539">
        <v>5.8999999999999997E-2</v>
      </c>
      <c r="C539">
        <v>6.1990000000000003E-2</v>
      </c>
      <c r="D539">
        <v>5.2970000000000003E-2</v>
      </c>
      <c r="E539">
        <v>5.4859999999999999E-2</v>
      </c>
      <c r="F539">
        <v>9230384.4000000004</v>
      </c>
      <c r="G539">
        <v>0</v>
      </c>
      <c r="L539" t="s">
        <v>8</v>
      </c>
      <c r="M539" t="s">
        <v>8</v>
      </c>
      <c r="N539" t="s">
        <v>7</v>
      </c>
      <c r="P539">
        <f t="shared" si="984"/>
        <v>-0.58093126385809402</v>
      </c>
      <c r="Q539">
        <f t="shared" si="985"/>
        <v>-5362218.8753880346</v>
      </c>
      <c r="R539">
        <f t="shared" si="986"/>
        <v>-132909163.06485839</v>
      </c>
      <c r="S539">
        <f t="shared" si="987"/>
        <v>-1329.091630648584</v>
      </c>
      <c r="T539">
        <f t="shared" si="988"/>
        <v>-1.329091630648584</v>
      </c>
    </row>
    <row r="540" spans="1:20" x14ac:dyDescent="0.25">
      <c r="A540" s="5">
        <v>44053</v>
      </c>
      <c r="B540">
        <v>5.6829999999999999E-2</v>
      </c>
      <c r="C540">
        <v>5.96E-2</v>
      </c>
      <c r="D540">
        <v>5.28E-2</v>
      </c>
      <c r="E540">
        <v>5.885E-2</v>
      </c>
      <c r="F540">
        <v>9820404.9000000004</v>
      </c>
      <c r="G540">
        <v>0</v>
      </c>
      <c r="L540" t="s">
        <v>8</v>
      </c>
      <c r="M540" t="s">
        <v>8</v>
      </c>
      <c r="N540" t="s">
        <v>7</v>
      </c>
      <c r="P540">
        <f t="shared" si="984"/>
        <v>0.77941176470588214</v>
      </c>
      <c r="Q540">
        <f t="shared" si="985"/>
        <v>7654139.113235292</v>
      </c>
      <c r="R540">
        <f t="shared" si="986"/>
        <v>-127546944.18947035</v>
      </c>
      <c r="S540">
        <f t="shared" si="987"/>
        <v>-1275.4694418947036</v>
      </c>
      <c r="T540">
        <f t="shared" si="988"/>
        <v>-1.2754694418947035</v>
      </c>
    </row>
    <row r="541" spans="1:20" x14ac:dyDescent="0.25">
      <c r="A541" s="5">
        <v>44052</v>
      </c>
      <c r="B541">
        <v>5.4550000000000001E-2</v>
      </c>
      <c r="C541">
        <v>5.7970000000000001E-2</v>
      </c>
      <c r="D541">
        <v>5.407E-2</v>
      </c>
      <c r="E541">
        <v>5.6829999999999999E-2</v>
      </c>
      <c r="F541">
        <v>7335748.7999999998</v>
      </c>
      <c r="G541">
        <v>0</v>
      </c>
      <c r="L541" t="s">
        <v>8</v>
      </c>
      <c r="M541" t="s">
        <v>8</v>
      </c>
      <c r="N541" t="s">
        <v>7</v>
      </c>
      <c r="P541">
        <f t="shared" si="984"/>
        <v>0.41538461538461441</v>
      </c>
      <c r="Q541">
        <f t="shared" si="985"/>
        <v>3047157.1938461466</v>
      </c>
      <c r="R541">
        <f t="shared" si="986"/>
        <v>-135201083.30270565</v>
      </c>
      <c r="S541">
        <f t="shared" si="987"/>
        <v>-1352.0108330270564</v>
      </c>
      <c r="T541">
        <f t="shared" si="988"/>
        <v>-1.3520108330270564</v>
      </c>
    </row>
    <row r="542" spans="1:20" x14ac:dyDescent="0.25">
      <c r="A542" s="5">
        <v>44051</v>
      </c>
      <c r="B542">
        <v>5.1040000000000002E-2</v>
      </c>
      <c r="C542">
        <v>5.6489999999999999E-2</v>
      </c>
      <c r="D542">
        <v>5.0610000000000002E-2</v>
      </c>
      <c r="E542">
        <v>5.4780000000000002E-2</v>
      </c>
      <c r="F542">
        <v>10699466.9</v>
      </c>
      <c r="G542">
        <v>0</v>
      </c>
      <c r="L542" t="s">
        <v>8</v>
      </c>
      <c r="M542" t="s">
        <v>8</v>
      </c>
      <c r="N542" t="s">
        <v>7</v>
      </c>
      <c r="P542">
        <f t="shared" si="984"/>
        <v>0.41836734693877642</v>
      </c>
      <c r="Q542">
        <f t="shared" si="985"/>
        <v>4476307.5806122543</v>
      </c>
      <c r="R542">
        <f t="shared" si="986"/>
        <v>-138248240.49655178</v>
      </c>
      <c r="S542">
        <f t="shared" si="987"/>
        <v>-1382.4824049655178</v>
      </c>
      <c r="T542">
        <f t="shared" si="988"/>
        <v>-1.3824824049655178</v>
      </c>
    </row>
    <row r="543" spans="1:20" x14ac:dyDescent="0.25">
      <c r="A543" s="5">
        <v>44050</v>
      </c>
      <c r="B543">
        <v>5.0990000000000001E-2</v>
      </c>
      <c r="C543">
        <v>5.425E-2</v>
      </c>
      <c r="D543">
        <v>4.9180000000000001E-2</v>
      </c>
      <c r="E543">
        <v>5.0790000000000002E-2</v>
      </c>
      <c r="F543">
        <v>8647744.3000000007</v>
      </c>
      <c r="G543">
        <v>0</v>
      </c>
      <c r="L543" t="s">
        <v>8</v>
      </c>
      <c r="M543" t="s">
        <v>8</v>
      </c>
      <c r="N543" t="s">
        <v>7</v>
      </c>
      <c r="P543">
        <f t="shared" si="984"/>
        <v>-0.36489151873767223</v>
      </c>
      <c r="Q543">
        <f t="shared" si="985"/>
        <v>-3155488.5512820487</v>
      </c>
      <c r="R543">
        <f t="shared" si="986"/>
        <v>-142724548.07716402</v>
      </c>
      <c r="S543">
        <f t="shared" si="987"/>
        <v>-1427.2454807716401</v>
      </c>
      <c r="T543">
        <f t="shared" si="988"/>
        <v>-1.4272454807716402</v>
      </c>
    </row>
    <row r="544" spans="1:20" x14ac:dyDescent="0.25">
      <c r="A544" s="5">
        <v>44049</v>
      </c>
      <c r="B544">
        <v>4.9509999999999998E-2</v>
      </c>
      <c r="C544">
        <v>5.1299999999999998E-2</v>
      </c>
      <c r="D544">
        <v>4.8649999999999999E-2</v>
      </c>
      <c r="E544">
        <v>5.0990000000000001E-2</v>
      </c>
      <c r="F544">
        <v>5782676.5</v>
      </c>
      <c r="G544">
        <v>0</v>
      </c>
      <c r="L544" t="s">
        <v>8</v>
      </c>
      <c r="M544" t="s">
        <v>7</v>
      </c>
      <c r="N544" t="s">
        <v>7</v>
      </c>
      <c r="P544">
        <f t="shared" si="984"/>
        <v>0.76603773584905821</v>
      </c>
      <c r="Q544">
        <f t="shared" si="985"/>
        <v>4429748.4132075561</v>
      </c>
      <c r="R544">
        <f t="shared" si="986"/>
        <v>-139569059.52588198</v>
      </c>
      <c r="S544">
        <f t="shared" si="987"/>
        <v>-1395.6905952588197</v>
      </c>
      <c r="T544">
        <f t="shared" si="988"/>
        <v>-1.3956905952588197</v>
      </c>
    </row>
    <row r="545" spans="1:20" x14ac:dyDescent="0.25">
      <c r="A545" s="5">
        <v>44048</v>
      </c>
      <c r="B545">
        <v>5.0389999999999997E-2</v>
      </c>
      <c r="C545">
        <v>5.0560000000000001E-2</v>
      </c>
      <c r="D545">
        <v>4.8570000000000002E-2</v>
      </c>
      <c r="E545">
        <v>4.931E-2</v>
      </c>
      <c r="F545">
        <v>4252369.8</v>
      </c>
      <c r="G545">
        <v>0</v>
      </c>
      <c r="L545" t="s">
        <v>8</v>
      </c>
      <c r="M545" t="s">
        <v>7</v>
      </c>
      <c r="N545" t="s">
        <v>7</v>
      </c>
      <c r="P545">
        <f t="shared" si="984"/>
        <v>-0.25628140703517782</v>
      </c>
      <c r="Q545">
        <f t="shared" si="985"/>
        <v>-1089803.3155778977</v>
      </c>
      <c r="R545">
        <f t="shared" si="986"/>
        <v>-143998807.93908954</v>
      </c>
      <c r="S545">
        <f t="shared" si="987"/>
        <v>-1439.9880793908953</v>
      </c>
      <c r="T545">
        <f t="shared" si="988"/>
        <v>-1.4399880793908952</v>
      </c>
    </row>
    <row r="546" spans="1:20" x14ac:dyDescent="0.25">
      <c r="A546" s="5">
        <v>44047</v>
      </c>
      <c r="B546">
        <v>4.8829999999999998E-2</v>
      </c>
      <c r="C546">
        <v>5.0700000000000002E-2</v>
      </c>
      <c r="D546">
        <v>4.8489999999999998E-2</v>
      </c>
      <c r="E546">
        <v>5.0549999999999998E-2</v>
      </c>
      <c r="F546">
        <v>4598120.7</v>
      </c>
      <c r="G546">
        <v>0</v>
      </c>
      <c r="L546" t="s">
        <v>8</v>
      </c>
      <c r="M546" t="s">
        <v>7</v>
      </c>
      <c r="N546" t="s">
        <v>7</v>
      </c>
      <c r="P546">
        <f t="shared" si="984"/>
        <v>0.86425339366515475</v>
      </c>
      <c r="Q546">
        <f t="shared" si="985"/>
        <v>3973941.419456997</v>
      </c>
      <c r="R546">
        <f t="shared" si="986"/>
        <v>-142909004.62351164</v>
      </c>
      <c r="S546">
        <f t="shared" si="987"/>
        <v>-1429.0900462351165</v>
      </c>
      <c r="T546">
        <f t="shared" si="988"/>
        <v>-1.4290900462351164</v>
      </c>
    </row>
    <row r="547" spans="1:20" x14ac:dyDescent="0.25">
      <c r="A547" s="5">
        <v>44046</v>
      </c>
      <c r="B547">
        <v>5.0459999999999998E-2</v>
      </c>
      <c r="C547">
        <v>5.049E-2</v>
      </c>
      <c r="D547">
        <v>4.6580000000000003E-2</v>
      </c>
      <c r="E547">
        <v>4.8570000000000002E-2</v>
      </c>
      <c r="F547">
        <v>5116981</v>
      </c>
      <c r="G547">
        <v>0</v>
      </c>
      <c r="L547" t="s">
        <v>8</v>
      </c>
      <c r="M547" t="s">
        <v>7</v>
      </c>
      <c r="N547" t="s">
        <v>7</v>
      </c>
      <c r="P547">
        <f t="shared" si="984"/>
        <v>1.7902813299232909E-2</v>
      </c>
      <c r="Q547">
        <f t="shared" si="985"/>
        <v>91608.355498722114</v>
      </c>
      <c r="R547">
        <f t="shared" si="986"/>
        <v>-146882946.04296863</v>
      </c>
      <c r="S547">
        <f t="shared" si="987"/>
        <v>-1468.8294604296864</v>
      </c>
      <c r="T547">
        <f t="shared" si="988"/>
        <v>-1.4688294604296863</v>
      </c>
    </row>
    <row r="548" spans="1:20" x14ac:dyDescent="0.25">
      <c r="A548" s="5">
        <v>44045</v>
      </c>
      <c r="B548">
        <v>4.9090000000000002E-2</v>
      </c>
      <c r="C548">
        <v>5.194E-2</v>
      </c>
      <c r="D548">
        <v>4.5260000000000002E-2</v>
      </c>
      <c r="E548">
        <v>5.0459999999999998E-2</v>
      </c>
      <c r="F548">
        <v>7391928.2000000002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0.55688622754490946</v>
      </c>
      <c r="Q548">
        <f t="shared" si="985"/>
        <v>4116463.0095808329</v>
      </c>
      <c r="R548">
        <f t="shared" si="986"/>
        <v>-146974554.39846736</v>
      </c>
      <c r="S548">
        <f t="shared" si="987"/>
        <v>-1469.7455439846735</v>
      </c>
      <c r="T548">
        <f t="shared" si="988"/>
        <v>-1.4697455439846736</v>
      </c>
    </row>
    <row r="549" spans="1:20" x14ac:dyDescent="0.25">
      <c r="A549" s="5">
        <v>44044</v>
      </c>
      <c r="B549">
        <v>4.9599999999999998E-2</v>
      </c>
      <c r="C549">
        <v>5.0479999999999997E-2</v>
      </c>
      <c r="D549">
        <v>4.8480000000000002E-2</v>
      </c>
      <c r="E549">
        <v>4.9090000000000002E-2</v>
      </c>
      <c r="F549">
        <v>5389436</v>
      </c>
      <c r="G549">
        <v>0</v>
      </c>
      <c r="L549" t="s">
        <v>7</v>
      </c>
      <c r="M549" t="s">
        <v>7</v>
      </c>
      <c r="N549" t="s">
        <v>8</v>
      </c>
      <c r="P549">
        <f t="shared" si="984"/>
        <v>-0.38999999999999901</v>
      </c>
      <c r="Q549">
        <f t="shared" si="985"/>
        <v>-2101880.0399999949</v>
      </c>
      <c r="R549">
        <f t="shared" si="986"/>
        <v>-151091017.40804818</v>
      </c>
      <c r="S549">
        <f t="shared" si="987"/>
        <v>-1510.9101740804817</v>
      </c>
      <c r="T549">
        <f t="shared" si="988"/>
        <v>-1.5109101740804818</v>
      </c>
    </row>
    <row r="550" spans="1:20" x14ac:dyDescent="0.25">
      <c r="A550" s="5">
        <v>44043</v>
      </c>
      <c r="B550">
        <v>5.0229999999999997E-2</v>
      </c>
      <c r="C550">
        <v>5.1999999999999998E-2</v>
      </c>
      <c r="D550">
        <v>4.9599999999999998E-2</v>
      </c>
      <c r="E550">
        <v>4.9599999999999998E-2</v>
      </c>
      <c r="F550">
        <v>2329783.7999999998</v>
      </c>
      <c r="G550">
        <v>0</v>
      </c>
      <c r="L550" t="s">
        <v>7</v>
      </c>
      <c r="M550" t="s">
        <v>7</v>
      </c>
      <c r="N550" t="s">
        <v>8</v>
      </c>
      <c r="P550">
        <f t="shared" si="984"/>
        <v>-1</v>
      </c>
      <c r="Q550">
        <f t="shared" si="985"/>
        <v>-2329783.7999999998</v>
      </c>
      <c r="R550">
        <f t="shared" si="986"/>
        <v>-148989137.36804819</v>
      </c>
      <c r="S550">
        <f t="shared" si="987"/>
        <v>-1489.8913736804818</v>
      </c>
      <c r="T550">
        <f t="shared" si="988"/>
        <v>-1.4898913736804817</v>
      </c>
    </row>
    <row r="551" spans="1:20" x14ac:dyDescent="0.25">
      <c r="A551" s="5">
        <v>44042</v>
      </c>
      <c r="B551">
        <v>4.9529999999999998E-2</v>
      </c>
      <c r="C551">
        <v>5.1339999999999997E-2</v>
      </c>
      <c r="D551">
        <v>4.9299999999999997E-2</v>
      </c>
      <c r="E551">
        <v>5.0099999999999999E-2</v>
      </c>
      <c r="F551">
        <v>3321264.5</v>
      </c>
      <c r="G551">
        <v>0</v>
      </c>
      <c r="L551" t="s">
        <v>7</v>
      </c>
      <c r="M551" t="s">
        <v>7</v>
      </c>
      <c r="N551" t="s">
        <v>8</v>
      </c>
      <c r="P551">
        <f t="shared" si="984"/>
        <v>-0.21568627450980193</v>
      </c>
      <c r="Q551">
        <f t="shared" si="985"/>
        <v>-716351.16666666011</v>
      </c>
      <c r="R551">
        <f t="shared" si="986"/>
        <v>-146659353.56804818</v>
      </c>
      <c r="S551">
        <f t="shared" si="987"/>
        <v>-1466.5935356804819</v>
      </c>
      <c r="T551">
        <f t="shared" si="988"/>
        <v>-1.4665935356804818</v>
      </c>
    </row>
    <row r="552" spans="1:20" x14ac:dyDescent="0.25">
      <c r="A552" s="5">
        <v>44041</v>
      </c>
      <c r="B552">
        <v>5.2440000000000001E-2</v>
      </c>
      <c r="C552">
        <v>5.3199999999999997E-2</v>
      </c>
      <c r="D552">
        <v>4.9270000000000001E-2</v>
      </c>
      <c r="E552">
        <v>4.9570000000000003E-2</v>
      </c>
      <c r="F552">
        <v>3267617.1</v>
      </c>
      <c r="G552">
        <v>0</v>
      </c>
      <c r="L552" t="s">
        <v>7</v>
      </c>
      <c r="M552" t="s">
        <v>7</v>
      </c>
      <c r="N552" t="s">
        <v>8</v>
      </c>
      <c r="P552">
        <f t="shared" si="984"/>
        <v>-0.84732824427480813</v>
      </c>
      <c r="Q552">
        <f t="shared" si="985"/>
        <v>-2768744.2603053404</v>
      </c>
      <c r="R552">
        <f t="shared" si="986"/>
        <v>-145943002.40138152</v>
      </c>
      <c r="S552">
        <f t="shared" si="987"/>
        <v>-1459.4300240138152</v>
      </c>
      <c r="T552">
        <f t="shared" si="988"/>
        <v>-1.4594300240138152</v>
      </c>
    </row>
    <row r="553" spans="1:20" x14ac:dyDescent="0.25">
      <c r="A553" s="5">
        <v>44040</v>
      </c>
      <c r="B553">
        <v>4.8419999999999998E-2</v>
      </c>
      <c r="C553">
        <v>5.2880000000000003E-2</v>
      </c>
      <c r="D553">
        <v>4.7530000000000003E-2</v>
      </c>
      <c r="E553">
        <v>5.2440000000000001E-2</v>
      </c>
      <c r="F553">
        <v>5133164.0999999996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0.8355140186915877</v>
      </c>
      <c r="Q553">
        <f t="shared" si="985"/>
        <v>4288830.5657943869</v>
      </c>
      <c r="R553">
        <f t="shared" si="986"/>
        <v>-143174258.14107618</v>
      </c>
      <c r="S553">
        <f t="shared" si="987"/>
        <v>-1431.7425814107619</v>
      </c>
      <c r="T553">
        <f t="shared" si="988"/>
        <v>-1.4317425814107618</v>
      </c>
    </row>
    <row r="554" spans="1:20" x14ac:dyDescent="0.25">
      <c r="A554" s="5">
        <v>44039</v>
      </c>
      <c r="B554">
        <v>5.0729999999999997E-2</v>
      </c>
      <c r="C554">
        <v>5.178E-2</v>
      </c>
      <c r="D554">
        <v>4.752E-2</v>
      </c>
      <c r="E554">
        <v>4.8419999999999998E-2</v>
      </c>
      <c r="F554">
        <v>5736730.4000000004</v>
      </c>
      <c r="G554">
        <v>0</v>
      </c>
      <c r="L554" t="s">
        <v>8</v>
      </c>
      <c r="M554" t="s">
        <v>7</v>
      </c>
      <c r="N554" t="s">
        <v>8</v>
      </c>
      <c r="P554">
        <f t="shared" si="984"/>
        <v>-0.57746478873239526</v>
      </c>
      <c r="Q554">
        <f t="shared" si="985"/>
        <v>-3312759.8084507096</v>
      </c>
      <c r="R554">
        <f t="shared" si="986"/>
        <v>-147463088.70687056</v>
      </c>
      <c r="S554">
        <f t="shared" si="987"/>
        <v>-1474.6308870687055</v>
      </c>
      <c r="T554">
        <f t="shared" si="988"/>
        <v>-1.4746308870687055</v>
      </c>
    </row>
    <row r="555" spans="1:20" x14ac:dyDescent="0.25">
      <c r="A555" s="5">
        <v>44038</v>
      </c>
      <c r="B555">
        <v>5.2880000000000003E-2</v>
      </c>
      <c r="C555">
        <v>5.296E-2</v>
      </c>
      <c r="D555">
        <v>4.8050000000000002E-2</v>
      </c>
      <c r="E555">
        <v>5.0540000000000002E-2</v>
      </c>
      <c r="F555">
        <v>6005497.4000000004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1.4256619144602984E-2</v>
      </c>
      <c r="Q555">
        <f t="shared" si="985"/>
        <v>85618.089205703451</v>
      </c>
      <c r="R555">
        <f t="shared" si="986"/>
        <v>-144150328.89841986</v>
      </c>
      <c r="S555">
        <f t="shared" si="987"/>
        <v>-1441.5032889841987</v>
      </c>
      <c r="T555">
        <f t="shared" si="988"/>
        <v>-1.4415032889841988</v>
      </c>
    </row>
    <row r="556" spans="1:20" x14ac:dyDescent="0.25">
      <c r="A556" s="5">
        <v>44037</v>
      </c>
      <c r="B556">
        <v>5.2729999999999999E-2</v>
      </c>
      <c r="C556">
        <v>5.4730000000000001E-2</v>
      </c>
      <c r="D556">
        <v>5.219E-2</v>
      </c>
      <c r="E556">
        <v>5.289E-2</v>
      </c>
      <c r="F556">
        <v>5028572.9000000004</v>
      </c>
      <c r="G556">
        <v>0</v>
      </c>
      <c r="L556" t="s">
        <v>7</v>
      </c>
      <c r="M556" t="s">
        <v>7</v>
      </c>
      <c r="N556" t="s">
        <v>8</v>
      </c>
      <c r="P556">
        <f t="shared" si="984"/>
        <v>-0.44881889763779603</v>
      </c>
      <c r="Q556">
        <f t="shared" si="985"/>
        <v>-2256918.5456692954</v>
      </c>
      <c r="R556">
        <f t="shared" si="986"/>
        <v>-144235946.98762557</v>
      </c>
      <c r="S556">
        <f t="shared" si="987"/>
        <v>-1442.3594698762556</v>
      </c>
      <c r="T556">
        <f t="shared" si="988"/>
        <v>-1.4423594698762556</v>
      </c>
    </row>
    <row r="557" spans="1:20" x14ac:dyDescent="0.25">
      <c r="A557" s="5">
        <v>44036</v>
      </c>
      <c r="B557">
        <v>5.527E-2</v>
      </c>
      <c r="C557">
        <v>5.527E-2</v>
      </c>
      <c r="D557">
        <v>5.228E-2</v>
      </c>
      <c r="E557">
        <v>5.2729999999999999E-2</v>
      </c>
      <c r="F557">
        <v>4869889.0999999996</v>
      </c>
      <c r="G557">
        <v>0</v>
      </c>
      <c r="L557" t="s">
        <v>7</v>
      </c>
      <c r="M557" t="s">
        <v>7</v>
      </c>
      <c r="N557" t="s">
        <v>8</v>
      </c>
      <c r="P557">
        <f t="shared" si="984"/>
        <v>-0.69899665551839529</v>
      </c>
      <c r="Q557">
        <f t="shared" si="985"/>
        <v>-3404036.193645488</v>
      </c>
      <c r="R557">
        <f t="shared" si="986"/>
        <v>-141979028.44195628</v>
      </c>
      <c r="S557">
        <f t="shared" si="987"/>
        <v>-1419.7902844195628</v>
      </c>
      <c r="T557">
        <f t="shared" si="988"/>
        <v>-1.4197902844195629</v>
      </c>
    </row>
    <row r="558" spans="1:20" x14ac:dyDescent="0.25">
      <c r="A558" s="5">
        <v>44035</v>
      </c>
      <c r="B558">
        <v>5.5410000000000001E-2</v>
      </c>
      <c r="C558">
        <v>5.6829999999999999E-2</v>
      </c>
      <c r="D558">
        <v>5.4030000000000002E-2</v>
      </c>
      <c r="E558">
        <v>5.5199999999999999E-2</v>
      </c>
      <c r="F558">
        <v>6352402.9000000004</v>
      </c>
      <c r="G558">
        <v>0</v>
      </c>
      <c r="L558" t="s">
        <v>7</v>
      </c>
      <c r="M558" t="s">
        <v>7</v>
      </c>
      <c r="N558" t="s">
        <v>8</v>
      </c>
      <c r="P558">
        <f t="shared" si="984"/>
        <v>-0.1642857142857152</v>
      </c>
      <c r="Q558">
        <f t="shared" si="985"/>
        <v>-1043609.0478571487</v>
      </c>
      <c r="R558">
        <f t="shared" si="986"/>
        <v>-138574992.2483108</v>
      </c>
      <c r="S558">
        <f t="shared" si="987"/>
        <v>-1385.7499224831081</v>
      </c>
      <c r="T558">
        <f t="shared" si="988"/>
        <v>-1.385749922483108</v>
      </c>
    </row>
    <row r="559" spans="1:20" x14ac:dyDescent="0.25">
      <c r="A559" s="5">
        <v>44034</v>
      </c>
      <c r="B559">
        <v>5.5030000000000003E-2</v>
      </c>
      <c r="C559">
        <v>5.8590000000000003E-2</v>
      </c>
      <c r="D559">
        <v>5.4019999999999999E-2</v>
      </c>
      <c r="E559">
        <v>5.5399999999999998E-2</v>
      </c>
      <c r="F559">
        <v>9205675.1999999993</v>
      </c>
      <c r="G559">
        <v>0</v>
      </c>
      <c r="L559" t="s">
        <v>8</v>
      </c>
      <c r="M559" t="s">
        <v>7</v>
      </c>
      <c r="N559" t="s">
        <v>8</v>
      </c>
      <c r="P559">
        <f t="shared" si="984"/>
        <v>-0.39606126914660922</v>
      </c>
      <c r="Q559">
        <f t="shared" si="985"/>
        <v>-3646011.4030634654</v>
      </c>
      <c r="R559">
        <f t="shared" si="986"/>
        <v>-137531383.20045367</v>
      </c>
      <c r="S559">
        <f t="shared" si="987"/>
        <v>-1375.3138320045366</v>
      </c>
      <c r="T559">
        <f t="shared" si="988"/>
        <v>-1.3753138320045366</v>
      </c>
    </row>
    <row r="560" spans="1:20" x14ac:dyDescent="0.25">
      <c r="A560" s="5">
        <v>44033</v>
      </c>
      <c r="B560">
        <v>5.6899999999999999E-2</v>
      </c>
      <c r="C560">
        <v>5.8500000000000003E-2</v>
      </c>
      <c r="D560">
        <v>5.4330000000000003E-2</v>
      </c>
      <c r="E560">
        <v>5.5190000000000003E-2</v>
      </c>
      <c r="F560">
        <v>4269148.5</v>
      </c>
      <c r="G560">
        <v>0</v>
      </c>
      <c r="L560" t="s">
        <v>7</v>
      </c>
      <c r="M560" t="s">
        <v>7</v>
      </c>
      <c r="N560" t="s">
        <v>8</v>
      </c>
      <c r="P560">
        <f t="shared" si="984"/>
        <v>-0.58752997601918477</v>
      </c>
      <c r="Q560">
        <f t="shared" si="985"/>
        <v>-2508252.7158273389</v>
      </c>
      <c r="R560">
        <f t="shared" si="986"/>
        <v>-133885371.79739021</v>
      </c>
      <c r="S560">
        <f t="shared" si="987"/>
        <v>-1338.8537179739021</v>
      </c>
      <c r="T560">
        <f t="shared" si="988"/>
        <v>-1.3388537179739022</v>
      </c>
    </row>
    <row r="561" spans="1:104" x14ac:dyDescent="0.25">
      <c r="A561" s="5">
        <v>44032</v>
      </c>
      <c r="B561">
        <v>5.6689999999999997E-2</v>
      </c>
      <c r="C561">
        <v>5.9499999999999997E-2</v>
      </c>
      <c r="D561">
        <v>5.5320000000000001E-2</v>
      </c>
      <c r="E561">
        <v>5.6959999999999997E-2</v>
      </c>
      <c r="F561">
        <v>9159876</v>
      </c>
      <c r="G561">
        <v>0</v>
      </c>
      <c r="L561" t="s">
        <v>7</v>
      </c>
      <c r="M561" t="s">
        <v>7</v>
      </c>
      <c r="N561" t="s">
        <v>8</v>
      </c>
      <c r="P561">
        <f t="shared" si="984"/>
        <v>-0.21531100478469037</v>
      </c>
      <c r="Q561">
        <f t="shared" si="985"/>
        <v>-1972222.1052631706</v>
      </c>
      <c r="R561">
        <f t="shared" si="986"/>
        <v>-131377119.08156286</v>
      </c>
      <c r="S561">
        <f t="shared" si="987"/>
        <v>-1313.7711908156286</v>
      </c>
      <c r="T561">
        <f t="shared" si="988"/>
        <v>-1.3137711908156287</v>
      </c>
      <c r="CZ561" t="s">
        <v>7</v>
      </c>
    </row>
    <row r="562" spans="1:104" x14ac:dyDescent="0.25">
      <c r="A562" s="5">
        <v>44031</v>
      </c>
      <c r="B562">
        <v>5.9540000000000003E-2</v>
      </c>
      <c r="C562">
        <v>5.9790000000000003E-2</v>
      </c>
      <c r="D562">
        <v>5.6000000000000001E-2</v>
      </c>
      <c r="E562">
        <v>5.67E-2</v>
      </c>
      <c r="F562">
        <v>5629366.5999999996</v>
      </c>
      <c r="G562">
        <v>0</v>
      </c>
      <c r="L562" t="s">
        <v>7</v>
      </c>
      <c r="M562" t="s">
        <v>7</v>
      </c>
      <c r="N562" t="s">
        <v>8</v>
      </c>
      <c r="P562">
        <f t="shared" si="984"/>
        <v>-0.63060686015831191</v>
      </c>
      <c r="Q562">
        <f t="shared" si="985"/>
        <v>-3549917.1963060717</v>
      </c>
      <c r="R562">
        <f t="shared" si="986"/>
        <v>-129404896.97629969</v>
      </c>
      <c r="S562">
        <f t="shared" si="987"/>
        <v>-1294.0489697629969</v>
      </c>
      <c r="T562">
        <f t="shared" si="988"/>
        <v>-1.2940489697629969</v>
      </c>
      <c r="CZ562" t="s">
        <v>7</v>
      </c>
    </row>
    <row r="563" spans="1:104" x14ac:dyDescent="0.25">
      <c r="A563" s="5">
        <v>44030</v>
      </c>
      <c r="B563">
        <v>6.1530000000000001E-2</v>
      </c>
      <c r="C563">
        <v>6.1969999999999997E-2</v>
      </c>
      <c r="D563">
        <v>5.7579999999999999E-2</v>
      </c>
      <c r="E563">
        <v>5.9540000000000003E-2</v>
      </c>
      <c r="F563">
        <v>5277481.4000000004</v>
      </c>
      <c r="G563">
        <v>0</v>
      </c>
      <c r="L563" t="s">
        <v>7</v>
      </c>
      <c r="M563" t="s">
        <v>7</v>
      </c>
      <c r="N563" t="s">
        <v>8</v>
      </c>
      <c r="P563">
        <f t="shared" si="984"/>
        <v>-0.10706150341685455</v>
      </c>
      <c r="Q563">
        <f t="shared" si="985"/>
        <v>-565015.09293848637</v>
      </c>
      <c r="R563">
        <f t="shared" si="986"/>
        <v>-125854979.77999362</v>
      </c>
      <c r="S563">
        <f t="shared" si="987"/>
        <v>-1258.5497977999362</v>
      </c>
      <c r="T563">
        <f t="shared" si="988"/>
        <v>-1.2585497977999363</v>
      </c>
      <c r="CZ563" t="s">
        <v>7</v>
      </c>
    </row>
    <row r="564" spans="1:104" x14ac:dyDescent="0.25">
      <c r="A564" s="5">
        <v>44029</v>
      </c>
      <c r="B564">
        <v>6.4369999999999997E-2</v>
      </c>
      <c r="C564">
        <v>6.4369999999999997E-2</v>
      </c>
      <c r="D564">
        <v>5.9240000000000001E-2</v>
      </c>
      <c r="E564">
        <v>6.1530000000000001E-2</v>
      </c>
      <c r="F564">
        <v>6557765.2999999998</v>
      </c>
      <c r="G564">
        <v>0</v>
      </c>
      <c r="L564" t="s">
        <v>7</v>
      </c>
      <c r="M564" t="s">
        <v>8</v>
      </c>
      <c r="N564" t="s">
        <v>8</v>
      </c>
      <c r="P564">
        <f t="shared" si="984"/>
        <v>-0.10721247563352737</v>
      </c>
      <c r="Q564">
        <f t="shared" si="985"/>
        <v>-703074.25243664125</v>
      </c>
      <c r="R564">
        <f t="shared" si="986"/>
        <v>-125289964.68705514</v>
      </c>
      <c r="S564">
        <f t="shared" si="987"/>
        <v>-1252.8996468705514</v>
      </c>
      <c r="T564">
        <f t="shared" si="988"/>
        <v>-1.2528996468705513</v>
      </c>
    </row>
    <row r="565" spans="1:104" x14ac:dyDescent="0.25">
      <c r="A565" s="5">
        <v>44028</v>
      </c>
      <c r="B565">
        <v>5.7829999999999999E-2</v>
      </c>
      <c r="C565">
        <v>6.8879999999999997E-2</v>
      </c>
      <c r="D565">
        <v>5.7160000000000002E-2</v>
      </c>
      <c r="E565">
        <v>6.4589999999999995E-2</v>
      </c>
      <c r="F565">
        <v>22859221.600000001</v>
      </c>
      <c r="G565">
        <v>0</v>
      </c>
      <c r="L565" t="s">
        <v>8</v>
      </c>
      <c r="M565" t="s">
        <v>8</v>
      </c>
      <c r="N565" t="s">
        <v>8</v>
      </c>
      <c r="P565">
        <f t="shared" si="984"/>
        <v>0.26791808873720063</v>
      </c>
      <c r="Q565">
        <f t="shared" si="985"/>
        <v>6124398.961092134</v>
      </c>
      <c r="R565">
        <f t="shared" si="986"/>
        <v>-124586890.4346185</v>
      </c>
      <c r="S565">
        <f t="shared" si="987"/>
        <v>-1245.868904346185</v>
      </c>
      <c r="T565">
        <f t="shared" si="988"/>
        <v>-1.245868904346185</v>
      </c>
    </row>
    <row r="566" spans="1:104" x14ac:dyDescent="0.25">
      <c r="A566" s="5">
        <v>44027</v>
      </c>
      <c r="B566">
        <v>5.5320000000000001E-2</v>
      </c>
      <c r="C566">
        <v>6.232E-2</v>
      </c>
      <c r="D566">
        <v>5.4730000000000001E-2</v>
      </c>
      <c r="E566">
        <v>5.7610000000000001E-2</v>
      </c>
      <c r="F566">
        <v>8784817.3000000007</v>
      </c>
      <c r="G566">
        <v>0</v>
      </c>
      <c r="L566" t="s">
        <v>8</v>
      </c>
      <c r="M566" t="s">
        <v>8</v>
      </c>
      <c r="N566" t="s">
        <v>7</v>
      </c>
      <c r="P566">
        <f t="shared" si="984"/>
        <v>-0.24110671936758873</v>
      </c>
      <c r="Q566">
        <f t="shared" si="985"/>
        <v>-2118078.4794466388</v>
      </c>
      <c r="R566">
        <f t="shared" si="986"/>
        <v>-130711289.39571063</v>
      </c>
      <c r="S566">
        <f t="shared" si="987"/>
        <v>-1307.1128939571063</v>
      </c>
      <c r="T566">
        <f t="shared" si="988"/>
        <v>-1.3071128939571062</v>
      </c>
    </row>
    <row r="567" spans="1:104" x14ac:dyDescent="0.25">
      <c r="A567" s="5">
        <v>44026</v>
      </c>
      <c r="B567">
        <v>5.6000000000000001E-2</v>
      </c>
      <c r="C567">
        <v>5.7939999999999998E-2</v>
      </c>
      <c r="D567">
        <v>5.287E-2</v>
      </c>
      <c r="E567">
        <v>5.5320000000000001E-2</v>
      </c>
      <c r="F567">
        <v>5230143.7</v>
      </c>
      <c r="G567">
        <v>0</v>
      </c>
      <c r="L567" t="s">
        <v>7</v>
      </c>
      <c r="M567" t="s">
        <v>8</v>
      </c>
      <c r="N567" t="s">
        <v>7</v>
      </c>
      <c r="P567">
        <f t="shared" si="984"/>
        <v>-3.3530571992109785E-2</v>
      </c>
      <c r="Q567">
        <f t="shared" si="985"/>
        <v>-175369.70986192944</v>
      </c>
      <c r="R567">
        <f t="shared" si="986"/>
        <v>-128593210.916264</v>
      </c>
      <c r="S567">
        <f t="shared" si="987"/>
        <v>-1285.93210916264</v>
      </c>
      <c r="T567">
        <f t="shared" si="988"/>
        <v>-1.2859321091626401</v>
      </c>
    </row>
    <row r="568" spans="1:104" x14ac:dyDescent="0.25">
      <c r="A568" s="5">
        <v>44025</v>
      </c>
      <c r="B568">
        <v>5.2699999999999997E-2</v>
      </c>
      <c r="C568">
        <v>6.1719999999999997E-2</v>
      </c>
      <c r="D568">
        <v>5.2440000000000001E-2</v>
      </c>
      <c r="E568">
        <v>5.6099999999999997E-2</v>
      </c>
      <c r="F568">
        <v>14131645.9</v>
      </c>
      <c r="G568">
        <v>0</v>
      </c>
      <c r="L568" t="s">
        <v>8</v>
      </c>
      <c r="M568" t="s">
        <v>8</v>
      </c>
      <c r="N568" t="s">
        <v>7</v>
      </c>
      <c r="P568">
        <f t="shared" si="984"/>
        <v>-0.21120689655172459</v>
      </c>
      <c r="Q568">
        <f t="shared" si="985"/>
        <v>-2984701.073706903</v>
      </c>
      <c r="R568">
        <f t="shared" si="986"/>
        <v>-128417841.20640206</v>
      </c>
      <c r="S568">
        <f t="shared" si="987"/>
        <v>-1284.1784120640207</v>
      </c>
      <c r="T568">
        <f t="shared" si="988"/>
        <v>-1.2841784120640207</v>
      </c>
    </row>
    <row r="569" spans="1:104" x14ac:dyDescent="0.25">
      <c r="A569" s="5">
        <v>44024</v>
      </c>
      <c r="B569">
        <v>5.135E-2</v>
      </c>
      <c r="C569">
        <v>5.3199999999999997E-2</v>
      </c>
      <c r="D569">
        <v>5.0999999999999997E-2</v>
      </c>
      <c r="E569">
        <v>5.2699999999999997E-2</v>
      </c>
      <c r="F569">
        <v>3956042.4</v>
      </c>
      <c r="G569">
        <v>0</v>
      </c>
      <c r="L569" t="s">
        <v>8</v>
      </c>
      <c r="M569" t="s">
        <v>8</v>
      </c>
      <c r="N569" t="s">
        <v>7</v>
      </c>
      <c r="P569">
        <f t="shared" si="984"/>
        <v>0.54545454545454519</v>
      </c>
      <c r="Q569">
        <f t="shared" si="985"/>
        <v>2157841.3090909082</v>
      </c>
      <c r="R569">
        <f t="shared" si="986"/>
        <v>-125433140.13269515</v>
      </c>
      <c r="S569">
        <f t="shared" si="987"/>
        <v>-1254.3314013269514</v>
      </c>
      <c r="T569">
        <f t="shared" si="988"/>
        <v>-1.2543314013269515</v>
      </c>
    </row>
    <row r="570" spans="1:104" x14ac:dyDescent="0.25">
      <c r="A570" s="5">
        <v>44023</v>
      </c>
      <c r="B570">
        <v>5.126E-2</v>
      </c>
      <c r="C570">
        <v>5.1889999999999999E-2</v>
      </c>
      <c r="D570">
        <v>0.05</v>
      </c>
      <c r="E570">
        <v>5.135E-2</v>
      </c>
      <c r="F570">
        <v>3743634.9</v>
      </c>
      <c r="G570">
        <v>0</v>
      </c>
      <c r="L570" t="s">
        <v>7</v>
      </c>
      <c r="M570" t="s">
        <v>8</v>
      </c>
      <c r="N570" t="s">
        <v>7</v>
      </c>
      <c r="P570">
        <f t="shared" si="984"/>
        <v>0.42857142857142855</v>
      </c>
      <c r="Q570">
        <f t="shared" si="985"/>
        <v>1604414.9571428569</v>
      </c>
      <c r="R570">
        <f t="shared" si="986"/>
        <v>-127590981.44178607</v>
      </c>
      <c r="S570">
        <f t="shared" si="987"/>
        <v>-1275.9098144178606</v>
      </c>
      <c r="T570">
        <f t="shared" si="988"/>
        <v>-1.2759098144178607</v>
      </c>
    </row>
    <row r="571" spans="1:104" x14ac:dyDescent="0.25">
      <c r="A571" s="5">
        <v>44022</v>
      </c>
      <c r="B571">
        <v>5.0659999999999997E-2</v>
      </c>
      <c r="C571">
        <v>5.2159999999999998E-2</v>
      </c>
      <c r="D571">
        <v>4.9160000000000002E-2</v>
      </c>
      <c r="E571">
        <v>5.1110000000000003E-2</v>
      </c>
      <c r="F571">
        <v>3143361.5</v>
      </c>
      <c r="G571">
        <v>0</v>
      </c>
      <c r="L571" t="s">
        <v>7</v>
      </c>
      <c r="M571" t="s">
        <v>8</v>
      </c>
      <c r="N571" t="s">
        <v>7</v>
      </c>
      <c r="P571">
        <f t="shared" si="984"/>
        <v>0.3000000000000021</v>
      </c>
      <c r="Q571">
        <f t="shared" si="985"/>
        <v>943008.45000000659</v>
      </c>
      <c r="R571">
        <f t="shared" si="986"/>
        <v>-129195396.39892893</v>
      </c>
      <c r="S571">
        <f t="shared" si="987"/>
        <v>-1291.9539639892892</v>
      </c>
      <c r="T571">
        <f t="shared" si="988"/>
        <v>-1.2919539639892892</v>
      </c>
    </row>
    <row r="572" spans="1:104" x14ac:dyDescent="0.25">
      <c r="A572" s="5">
        <v>44021</v>
      </c>
      <c r="B572">
        <v>5.0860000000000002E-2</v>
      </c>
      <c r="C572">
        <v>5.45E-2</v>
      </c>
      <c r="D572">
        <v>4.8599999999999997E-2</v>
      </c>
      <c r="E572">
        <v>5.0659999999999997E-2</v>
      </c>
      <c r="F572">
        <v>8079127.7999999998</v>
      </c>
      <c r="G572">
        <v>0</v>
      </c>
      <c r="L572" t="s">
        <v>8</v>
      </c>
      <c r="M572" t="s">
        <v>8</v>
      </c>
      <c r="N572" t="s">
        <v>7</v>
      </c>
      <c r="P572">
        <f t="shared" si="984"/>
        <v>-0.30169491525423781</v>
      </c>
      <c r="Q572">
        <f t="shared" si="985"/>
        <v>-2437431.7769491565</v>
      </c>
      <c r="R572">
        <f t="shared" si="986"/>
        <v>-130138404.84892893</v>
      </c>
      <c r="S572">
        <f t="shared" si="987"/>
        <v>-1301.3840484892892</v>
      </c>
      <c r="T572">
        <f t="shared" si="988"/>
        <v>-1.3013840484892891</v>
      </c>
    </row>
    <row r="573" spans="1:104" x14ac:dyDescent="0.25">
      <c r="A573" s="5">
        <v>44020</v>
      </c>
      <c r="B573">
        <v>4.981E-2</v>
      </c>
      <c r="C573">
        <v>5.2049999999999999E-2</v>
      </c>
      <c r="D573">
        <v>4.9250000000000002E-2</v>
      </c>
      <c r="E573">
        <v>5.0860000000000002E-2</v>
      </c>
      <c r="F573">
        <v>4432742</v>
      </c>
      <c r="G573">
        <v>0</v>
      </c>
      <c r="L573" t="s">
        <v>8</v>
      </c>
      <c r="M573" t="s">
        <v>8</v>
      </c>
      <c r="N573" t="s">
        <v>7</v>
      </c>
      <c r="P573">
        <f t="shared" si="984"/>
        <v>0.15000000000000149</v>
      </c>
      <c r="Q573">
        <f t="shared" si="985"/>
        <v>664911.30000000657</v>
      </c>
      <c r="R573">
        <f t="shared" si="986"/>
        <v>-127700973.07197978</v>
      </c>
      <c r="S573">
        <f t="shared" si="987"/>
        <v>-1277.0097307197977</v>
      </c>
      <c r="T573">
        <f t="shared" si="988"/>
        <v>-1.2770097307197978</v>
      </c>
    </row>
    <row r="574" spans="1:104" x14ac:dyDescent="0.25">
      <c r="A574" s="5">
        <v>44019</v>
      </c>
      <c r="B574">
        <v>4.9919999999999999E-2</v>
      </c>
      <c r="C574">
        <v>5.0750000000000003E-2</v>
      </c>
      <c r="D574">
        <v>4.8829999999999998E-2</v>
      </c>
      <c r="E574">
        <v>4.9820000000000003E-2</v>
      </c>
      <c r="F574">
        <v>3732440.1</v>
      </c>
      <c r="G574">
        <v>0</v>
      </c>
      <c r="L574" t="s">
        <v>8</v>
      </c>
      <c r="M574" t="s">
        <v>8</v>
      </c>
      <c r="N574" t="s">
        <v>7</v>
      </c>
      <c r="P574">
        <f t="shared" si="984"/>
        <v>3.1250000000002262E-2</v>
      </c>
      <c r="Q574">
        <f t="shared" si="985"/>
        <v>116638.75312500844</v>
      </c>
      <c r="R574">
        <f t="shared" si="986"/>
        <v>-128365884.37197979</v>
      </c>
      <c r="S574">
        <f t="shared" si="987"/>
        <v>-1283.6588437197979</v>
      </c>
      <c r="T574">
        <f t="shared" si="988"/>
        <v>-1.283658843719798</v>
      </c>
    </row>
    <row r="575" spans="1:104" x14ac:dyDescent="0.25">
      <c r="A575" s="5">
        <v>44018</v>
      </c>
      <c r="B575">
        <v>4.6789999999999998E-2</v>
      </c>
      <c r="C575">
        <v>5.0380000000000001E-2</v>
      </c>
      <c r="D575">
        <v>4.6460000000000001E-2</v>
      </c>
      <c r="E575">
        <v>4.9950000000000001E-2</v>
      </c>
      <c r="F575">
        <v>9747150.6999999993</v>
      </c>
      <c r="G575">
        <v>0</v>
      </c>
      <c r="L575" t="s">
        <v>8</v>
      </c>
      <c r="M575" t="s">
        <v>8</v>
      </c>
      <c r="N575" t="s">
        <v>7</v>
      </c>
      <c r="P575">
        <f t="shared" si="984"/>
        <v>0.78061224489795922</v>
      </c>
      <c r="Q575">
        <f t="shared" si="985"/>
        <v>7608745.1892857142</v>
      </c>
      <c r="R575">
        <f t="shared" si="986"/>
        <v>-128482523.1251048</v>
      </c>
      <c r="S575">
        <f t="shared" si="987"/>
        <v>-1284.8252312510481</v>
      </c>
      <c r="T575">
        <f t="shared" si="988"/>
        <v>-1.284825231251048</v>
      </c>
    </row>
    <row r="576" spans="1:104" x14ac:dyDescent="0.25">
      <c r="A576" s="5">
        <v>44017</v>
      </c>
      <c r="B576">
        <v>4.8860000000000001E-2</v>
      </c>
      <c r="C576">
        <v>4.9279999999999997E-2</v>
      </c>
      <c r="D576">
        <v>4.6429999999999999E-2</v>
      </c>
      <c r="E576">
        <v>4.6789999999999998E-2</v>
      </c>
      <c r="F576">
        <v>3680156.1</v>
      </c>
      <c r="G576">
        <v>0</v>
      </c>
      <c r="L576" t="s">
        <v>7</v>
      </c>
      <c r="M576" t="s">
        <v>8</v>
      </c>
      <c r="N576" t="s">
        <v>7</v>
      </c>
      <c r="P576">
        <f t="shared" si="984"/>
        <v>-0.74736842105263201</v>
      </c>
      <c r="Q576">
        <f t="shared" si="985"/>
        <v>-2750432.4536842122</v>
      </c>
      <c r="R576">
        <f t="shared" si="986"/>
        <v>-136091268.31439051</v>
      </c>
      <c r="S576">
        <f t="shared" si="987"/>
        <v>-1360.912683143905</v>
      </c>
      <c r="T576">
        <f t="shared" si="988"/>
        <v>-1.3609126831439051</v>
      </c>
    </row>
    <row r="577" spans="1:20" x14ac:dyDescent="0.25">
      <c r="A577" s="5">
        <v>44016</v>
      </c>
      <c r="B577">
        <v>4.861E-2</v>
      </c>
      <c r="C577">
        <v>5.1999999999999998E-2</v>
      </c>
      <c r="D577">
        <v>4.8000000000000001E-2</v>
      </c>
      <c r="E577">
        <v>4.904E-2</v>
      </c>
      <c r="F577">
        <v>6033319.5</v>
      </c>
      <c r="G577">
        <v>0</v>
      </c>
      <c r="L577" t="s">
        <v>7</v>
      </c>
      <c r="M577" t="s">
        <v>8</v>
      </c>
      <c r="N577" t="s">
        <v>7</v>
      </c>
      <c r="P577">
        <f t="shared" si="984"/>
        <v>-0.47999999999999993</v>
      </c>
      <c r="Q577">
        <f t="shared" si="985"/>
        <v>-2895993.3599999994</v>
      </c>
      <c r="R577">
        <f t="shared" si="986"/>
        <v>-133340835.8607063</v>
      </c>
      <c r="S577">
        <f t="shared" si="987"/>
        <v>-1333.4083586070631</v>
      </c>
      <c r="T577">
        <f t="shared" si="988"/>
        <v>-1.3334083586070631</v>
      </c>
    </row>
    <row r="578" spans="1:20" x14ac:dyDescent="0.25">
      <c r="A578" s="5">
        <v>44015</v>
      </c>
      <c r="B578">
        <v>4.691E-2</v>
      </c>
      <c r="C578">
        <v>5.3019999999999998E-2</v>
      </c>
      <c r="D578">
        <v>4.6699999999999998E-2</v>
      </c>
      <c r="E578">
        <v>4.861E-2</v>
      </c>
      <c r="F578">
        <v>13142583.199999999</v>
      </c>
      <c r="G578">
        <v>0</v>
      </c>
      <c r="L578" t="s">
        <v>8</v>
      </c>
      <c r="M578" t="s">
        <v>8</v>
      </c>
      <c r="N578" t="s">
        <v>7</v>
      </c>
      <c r="P578">
        <f t="shared" si="984"/>
        <v>-0.39556962025316383</v>
      </c>
      <c r="Q578">
        <f t="shared" si="985"/>
        <v>-5198806.6455696104</v>
      </c>
      <c r="R578">
        <f t="shared" si="986"/>
        <v>-130444842.5007063</v>
      </c>
      <c r="S578">
        <f t="shared" si="987"/>
        <v>-1304.448425007063</v>
      </c>
      <c r="T578">
        <f t="shared" si="988"/>
        <v>-1.3044484250070629</v>
      </c>
    </row>
    <row r="579" spans="1:20" x14ac:dyDescent="0.25">
      <c r="A579" s="5">
        <v>44014</v>
      </c>
      <c r="B579">
        <v>4.6089999999999999E-2</v>
      </c>
      <c r="C579">
        <v>5.1999999999999998E-2</v>
      </c>
      <c r="D579">
        <v>4.4150000000000002E-2</v>
      </c>
      <c r="E579">
        <v>4.691E-2</v>
      </c>
      <c r="F579">
        <v>15748744</v>
      </c>
      <c r="G579">
        <v>0</v>
      </c>
      <c r="L579" t="s">
        <v>8</v>
      </c>
      <c r="M579" t="s">
        <v>8</v>
      </c>
      <c r="N579" t="s">
        <v>7</v>
      </c>
      <c r="P579">
        <f t="shared" si="984"/>
        <v>-0.29681528662420381</v>
      </c>
      <c r="Q579">
        <f t="shared" si="985"/>
        <v>-4674467.9643312097</v>
      </c>
      <c r="R579">
        <f t="shared" si="986"/>
        <v>-125246035.85513669</v>
      </c>
      <c r="S579">
        <f t="shared" si="987"/>
        <v>-1252.4603585513669</v>
      </c>
      <c r="T579">
        <f t="shared" si="988"/>
        <v>-1.2524603585513669</v>
      </c>
    </row>
    <row r="580" spans="1:20" x14ac:dyDescent="0.25">
      <c r="A580" s="5">
        <v>44013</v>
      </c>
      <c r="B580">
        <v>4.6089999999999999E-2</v>
      </c>
      <c r="C580">
        <v>4.6629999999999998E-2</v>
      </c>
      <c r="D580">
        <v>4.5019999999999998E-2</v>
      </c>
      <c r="E580">
        <v>4.5969999999999997E-2</v>
      </c>
      <c r="F580">
        <v>2309921.4</v>
      </c>
      <c r="G580">
        <v>0</v>
      </c>
      <c r="L580" t="s">
        <v>7</v>
      </c>
      <c r="M580" t="s">
        <v>7</v>
      </c>
      <c r="N580" t="s">
        <v>7</v>
      </c>
      <c r="P580">
        <f t="shared" si="984"/>
        <v>0.18012422360248356</v>
      </c>
      <c r="Q580">
        <f t="shared" si="985"/>
        <v>416072.79875776183</v>
      </c>
      <c r="R580">
        <f t="shared" si="986"/>
        <v>-120571567.89080548</v>
      </c>
      <c r="S580">
        <f t="shared" si="987"/>
        <v>-1205.7156789080548</v>
      </c>
      <c r="T580">
        <f t="shared" si="988"/>
        <v>-1.2057156789080548</v>
      </c>
    </row>
    <row r="581" spans="1:20" x14ac:dyDescent="0.25">
      <c r="A581" s="5">
        <v>44012</v>
      </c>
      <c r="B581">
        <v>4.6859999999999999E-2</v>
      </c>
      <c r="C581">
        <v>4.7E-2</v>
      </c>
      <c r="D581">
        <v>4.4839999999999998E-2</v>
      </c>
      <c r="E581">
        <v>4.5999999999999999E-2</v>
      </c>
      <c r="F581">
        <v>2799507.8</v>
      </c>
      <c r="G581">
        <v>0</v>
      </c>
      <c r="L581" t="s">
        <v>7</v>
      </c>
      <c r="M581" t="s">
        <v>7</v>
      </c>
      <c r="N581" t="s">
        <v>7</v>
      </c>
      <c r="P581">
        <f t="shared" si="984"/>
        <v>7.4074074074074195E-2</v>
      </c>
      <c r="Q581">
        <f t="shared" si="985"/>
        <v>207370.94814814848</v>
      </c>
      <c r="R581">
        <f t="shared" si="986"/>
        <v>-120987640.68956324</v>
      </c>
      <c r="S581">
        <f t="shared" si="987"/>
        <v>-1209.8764068956325</v>
      </c>
      <c r="T581">
        <f t="shared" si="988"/>
        <v>-1.2098764068956325</v>
      </c>
    </row>
    <row r="582" spans="1:20" x14ac:dyDescent="0.25">
      <c r="A582" s="5">
        <v>44011</v>
      </c>
      <c r="B582">
        <v>4.7129999999999998E-2</v>
      </c>
      <c r="C582">
        <v>4.7359999999999999E-2</v>
      </c>
      <c r="D582">
        <v>4.3999999999999997E-2</v>
      </c>
      <c r="E582">
        <v>4.6699999999999998E-2</v>
      </c>
      <c r="F582">
        <v>4057022.7</v>
      </c>
      <c r="G582">
        <v>0</v>
      </c>
      <c r="L582" t="s">
        <v>7</v>
      </c>
      <c r="M582" t="s">
        <v>7</v>
      </c>
      <c r="N582" t="s">
        <v>7</v>
      </c>
      <c r="P582">
        <f t="shared" ref="P582:P645" si="989">IF(C582=D582,0,((E582-D582)-(C582-E582))/(C582-D582))</f>
        <v>0.60714285714285687</v>
      </c>
      <c r="Q582">
        <f t="shared" ref="Q582:Q645" si="990">F582*P582</f>
        <v>2463192.3535714275</v>
      </c>
      <c r="R582">
        <f t="shared" ref="R582:R645" si="991">R583+Q582</f>
        <v>-121195011.63771139</v>
      </c>
      <c r="S582">
        <f t="shared" ref="S582:S645" si="992">R582/100000</f>
        <v>-1211.950116377114</v>
      </c>
      <c r="T582">
        <f t="shared" ref="T582:T645" si="993">S582/1000</f>
        <v>-1.211950116377114</v>
      </c>
    </row>
    <row r="583" spans="1:20" x14ac:dyDescent="0.25">
      <c r="A583" s="5">
        <v>44010</v>
      </c>
      <c r="B583">
        <v>4.6030000000000001E-2</v>
      </c>
      <c r="C583">
        <v>4.8129999999999999E-2</v>
      </c>
      <c r="D583">
        <v>4.4569999999999999E-2</v>
      </c>
      <c r="E583">
        <v>4.7169999999999997E-2</v>
      </c>
      <c r="F583">
        <v>2542586.2000000002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0.46067415730336947</v>
      </c>
      <c r="Q583">
        <f t="shared" si="990"/>
        <v>1171303.7550561766</v>
      </c>
      <c r="R583">
        <f t="shared" si="991"/>
        <v>-123658203.99128282</v>
      </c>
      <c r="S583">
        <f t="shared" si="992"/>
        <v>-1236.5820399128281</v>
      </c>
      <c r="T583">
        <f t="shared" si="993"/>
        <v>-1.2365820399128282</v>
      </c>
    </row>
    <row r="584" spans="1:20" x14ac:dyDescent="0.25">
      <c r="A584" s="5">
        <v>44009</v>
      </c>
      <c r="B584">
        <v>4.8480000000000002E-2</v>
      </c>
      <c r="C584">
        <v>4.947E-2</v>
      </c>
      <c r="D584">
        <v>4.4049999999999999E-2</v>
      </c>
      <c r="E584">
        <v>4.6030000000000001E-2</v>
      </c>
      <c r="F584">
        <v>3644319.3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-0.26937269372693645</v>
      </c>
      <c r="Q584">
        <f t="shared" si="990"/>
        <v>-981680.10664206336</v>
      </c>
      <c r="R584">
        <f t="shared" si="991"/>
        <v>-124829507.74633899</v>
      </c>
      <c r="S584">
        <f t="shared" si="992"/>
        <v>-1248.29507746339</v>
      </c>
      <c r="T584">
        <f t="shared" si="993"/>
        <v>-1.2482950774633901</v>
      </c>
    </row>
    <row r="585" spans="1:20" x14ac:dyDescent="0.25">
      <c r="A585" s="5">
        <v>44008</v>
      </c>
      <c r="B585">
        <v>5.2609999999999997E-2</v>
      </c>
      <c r="C585">
        <v>5.2630000000000003E-2</v>
      </c>
      <c r="D585">
        <v>4.7759999999999997E-2</v>
      </c>
      <c r="E585">
        <v>4.8460000000000003E-2</v>
      </c>
      <c r="F585">
        <v>3988257</v>
      </c>
      <c r="G585">
        <v>0</v>
      </c>
      <c r="L585" t="s">
        <v>7</v>
      </c>
      <c r="M585" t="s">
        <v>7</v>
      </c>
      <c r="N585" t="s">
        <v>7</v>
      </c>
      <c r="P585">
        <f t="shared" si="989"/>
        <v>-0.71252566735112721</v>
      </c>
      <c r="Q585">
        <f t="shared" si="990"/>
        <v>-2841735.4804928047</v>
      </c>
      <c r="R585">
        <f t="shared" si="991"/>
        <v>-123847827.63969693</v>
      </c>
      <c r="S585">
        <f t="shared" si="992"/>
        <v>-1238.4782763969692</v>
      </c>
      <c r="T585">
        <f t="shared" si="993"/>
        <v>-1.2384782763969693</v>
      </c>
    </row>
    <row r="586" spans="1:20" x14ac:dyDescent="0.25">
      <c r="A586" s="5">
        <v>44007</v>
      </c>
      <c r="B586">
        <v>5.3900000000000003E-2</v>
      </c>
      <c r="C586">
        <v>5.4239999999999997E-2</v>
      </c>
      <c r="D586">
        <v>5.0999999999999997E-2</v>
      </c>
      <c r="E586">
        <v>5.2630000000000003E-2</v>
      </c>
      <c r="F586">
        <v>2704384.2</v>
      </c>
      <c r="G586">
        <v>0</v>
      </c>
      <c r="L586" t="s">
        <v>7</v>
      </c>
      <c r="M586" t="s">
        <v>7</v>
      </c>
      <c r="N586" t="s">
        <v>7</v>
      </c>
      <c r="P586">
        <f t="shared" si="989"/>
        <v>6.1728395061768715E-3</v>
      </c>
      <c r="Q586">
        <f t="shared" si="990"/>
        <v>16693.729629640537</v>
      </c>
      <c r="R586">
        <f t="shared" si="991"/>
        <v>-121006092.15920413</v>
      </c>
      <c r="S586">
        <f t="shared" si="992"/>
        <v>-1210.0609215920413</v>
      </c>
      <c r="T586">
        <f t="shared" si="993"/>
        <v>-1.2100609215920413</v>
      </c>
    </row>
    <row r="587" spans="1:20" x14ac:dyDescent="0.25">
      <c r="A587" s="5">
        <v>44006</v>
      </c>
      <c r="B587">
        <v>5.4989999999999997E-2</v>
      </c>
      <c r="C587">
        <v>5.6000000000000001E-2</v>
      </c>
      <c r="D587">
        <v>5.2839999999999998E-2</v>
      </c>
      <c r="E587">
        <v>5.3900000000000003E-2</v>
      </c>
      <c r="F587">
        <v>2265984.4</v>
      </c>
      <c r="G587">
        <v>0</v>
      </c>
      <c r="L587" t="s">
        <v>7</v>
      </c>
      <c r="M587" t="s">
        <v>7</v>
      </c>
      <c r="N587" t="s">
        <v>7</v>
      </c>
      <c r="P587">
        <f t="shared" si="989"/>
        <v>-0.32911392405063017</v>
      </c>
      <c r="Q587">
        <f t="shared" si="990"/>
        <v>-745767.0177215127</v>
      </c>
      <c r="R587">
        <f t="shared" si="991"/>
        <v>-121022785.88883376</v>
      </c>
      <c r="S587">
        <f t="shared" si="992"/>
        <v>-1210.2278588883376</v>
      </c>
      <c r="T587">
        <f t="shared" si="993"/>
        <v>-1.2102278588883375</v>
      </c>
    </row>
    <row r="588" spans="1:20" x14ac:dyDescent="0.25">
      <c r="A588" s="5">
        <v>44005</v>
      </c>
      <c r="B588">
        <v>5.5480000000000002E-2</v>
      </c>
      <c r="C588">
        <v>5.6180000000000001E-2</v>
      </c>
      <c r="D588">
        <v>5.45E-2</v>
      </c>
      <c r="E588">
        <v>5.5E-2</v>
      </c>
      <c r="F588">
        <v>2952173.4</v>
      </c>
      <c r="G588">
        <v>0</v>
      </c>
      <c r="L588" t="s">
        <v>7</v>
      </c>
      <c r="M588" t="s">
        <v>7</v>
      </c>
      <c r="N588" t="s">
        <v>7</v>
      </c>
      <c r="P588">
        <f t="shared" si="989"/>
        <v>-0.40476190476190455</v>
      </c>
      <c r="Q588">
        <f t="shared" si="990"/>
        <v>-1194927.3285714278</v>
      </c>
      <c r="R588">
        <f t="shared" si="991"/>
        <v>-120277018.87111224</v>
      </c>
      <c r="S588">
        <f t="shared" si="992"/>
        <v>-1202.7701887111225</v>
      </c>
      <c r="T588">
        <f t="shared" si="993"/>
        <v>-1.2027701887111224</v>
      </c>
    </row>
    <row r="589" spans="1:20" x14ac:dyDescent="0.25">
      <c r="A589" s="5">
        <v>44004</v>
      </c>
      <c r="B589">
        <v>5.4440000000000002E-2</v>
      </c>
      <c r="C589">
        <v>5.595E-2</v>
      </c>
      <c r="D589">
        <v>5.4280000000000002E-2</v>
      </c>
      <c r="E589">
        <v>5.5480000000000002E-2</v>
      </c>
      <c r="F589">
        <v>2622551.7999999998</v>
      </c>
      <c r="G589">
        <v>0</v>
      </c>
      <c r="L589" t="s">
        <v>7</v>
      </c>
      <c r="M589" t="s">
        <v>7</v>
      </c>
      <c r="N589" t="s">
        <v>7</v>
      </c>
      <c r="P589">
        <f t="shared" si="989"/>
        <v>0.43712574850299546</v>
      </c>
      <c r="Q589">
        <f t="shared" si="990"/>
        <v>1146384.9185628779</v>
      </c>
      <c r="R589">
        <f t="shared" si="991"/>
        <v>-119082091.54254082</v>
      </c>
      <c r="S589">
        <f t="shared" si="992"/>
        <v>-1190.8209154254082</v>
      </c>
      <c r="T589">
        <f t="shared" si="993"/>
        <v>-1.1908209154254081</v>
      </c>
    </row>
    <row r="590" spans="1:20" x14ac:dyDescent="0.25">
      <c r="A590" s="5">
        <v>44003</v>
      </c>
      <c r="B590">
        <v>5.7110000000000001E-2</v>
      </c>
      <c r="C590">
        <v>5.7880000000000001E-2</v>
      </c>
      <c r="D590">
        <v>5.4330000000000003E-2</v>
      </c>
      <c r="E590">
        <v>5.4339999999999999E-2</v>
      </c>
      <c r="F590">
        <v>2958225.3</v>
      </c>
      <c r="G590">
        <v>0</v>
      </c>
      <c r="L590" t="s">
        <v>7</v>
      </c>
      <c r="M590" t="s">
        <v>7</v>
      </c>
      <c r="N590" t="s">
        <v>7</v>
      </c>
      <c r="P590">
        <f t="shared" si="989"/>
        <v>-0.99436619718310082</v>
      </c>
      <c r="Q590">
        <f t="shared" si="990"/>
        <v>-2941559.2419718374</v>
      </c>
      <c r="R590">
        <f t="shared" si="991"/>
        <v>-120228476.46110369</v>
      </c>
      <c r="S590">
        <f t="shared" si="992"/>
        <v>-1202.284764611037</v>
      </c>
      <c r="T590">
        <f t="shared" si="993"/>
        <v>-1.2022847646110371</v>
      </c>
    </row>
    <row r="591" spans="1:20" x14ac:dyDescent="0.25">
      <c r="A591" s="5">
        <v>44002</v>
      </c>
      <c r="B591">
        <v>5.4469999999999998E-2</v>
      </c>
      <c r="C591">
        <v>5.9900000000000002E-2</v>
      </c>
      <c r="D591">
        <v>5.4089999999999999E-2</v>
      </c>
      <c r="E591">
        <v>5.6849999999999998E-2</v>
      </c>
      <c r="F591">
        <v>3988689.7</v>
      </c>
      <c r="G591">
        <v>0</v>
      </c>
      <c r="L591" t="s">
        <v>8</v>
      </c>
      <c r="M591" t="s">
        <v>7</v>
      </c>
      <c r="N591" t="s">
        <v>7</v>
      </c>
      <c r="P591">
        <f t="shared" si="989"/>
        <v>-4.9913941480207467E-2</v>
      </c>
      <c r="Q591">
        <f t="shared" si="990"/>
        <v>-199091.22426850628</v>
      </c>
      <c r="R591">
        <f t="shared" si="991"/>
        <v>-117286917.21913186</v>
      </c>
      <c r="S591">
        <f t="shared" si="992"/>
        <v>-1172.8691721913185</v>
      </c>
      <c r="T591">
        <f t="shared" si="993"/>
        <v>-1.1728691721913185</v>
      </c>
    </row>
    <row r="592" spans="1:20" x14ac:dyDescent="0.25">
      <c r="A592" s="5">
        <v>44001</v>
      </c>
      <c r="B592">
        <v>5.4510000000000003E-2</v>
      </c>
      <c r="C592">
        <v>5.8000000000000003E-2</v>
      </c>
      <c r="D592">
        <v>5.2999999999999999E-2</v>
      </c>
      <c r="E592">
        <v>5.4440000000000002E-2</v>
      </c>
      <c r="F592">
        <v>4904504.8</v>
      </c>
      <c r="G592">
        <v>0</v>
      </c>
      <c r="L592" t="s">
        <v>7</v>
      </c>
      <c r="M592" t="s">
        <v>7</v>
      </c>
      <c r="N592" t="s">
        <v>7</v>
      </c>
      <c r="P592">
        <f t="shared" si="989"/>
        <v>-0.42399999999999899</v>
      </c>
      <c r="Q592">
        <f t="shared" si="990"/>
        <v>-2079510.0351999949</v>
      </c>
      <c r="R592">
        <f t="shared" si="991"/>
        <v>-117087825.99486335</v>
      </c>
      <c r="S592">
        <f t="shared" si="992"/>
        <v>-1170.8782599486335</v>
      </c>
      <c r="T592">
        <f t="shared" si="993"/>
        <v>-1.1708782599486336</v>
      </c>
    </row>
    <row r="593" spans="1:20" x14ac:dyDescent="0.25">
      <c r="A593" s="5">
        <v>44000</v>
      </c>
      <c r="B593">
        <v>5.5289999999999999E-2</v>
      </c>
      <c r="C593">
        <v>5.5350000000000003E-2</v>
      </c>
      <c r="D593">
        <v>5.3990000000000003E-2</v>
      </c>
      <c r="E593">
        <v>5.4510000000000003E-2</v>
      </c>
      <c r="F593">
        <v>2909822.4</v>
      </c>
      <c r="G593">
        <v>0</v>
      </c>
      <c r="L593" t="s">
        <v>7</v>
      </c>
      <c r="M593" t="s">
        <v>7</v>
      </c>
      <c r="N593" t="s">
        <v>7</v>
      </c>
      <c r="P593">
        <f t="shared" si="989"/>
        <v>-0.23529411764705943</v>
      </c>
      <c r="Q593">
        <f t="shared" si="990"/>
        <v>-684664.09411764878</v>
      </c>
      <c r="R593">
        <f t="shared" si="991"/>
        <v>-115008315.95966335</v>
      </c>
      <c r="S593">
        <f t="shared" si="992"/>
        <v>-1150.0831595966335</v>
      </c>
      <c r="T593">
        <f t="shared" si="993"/>
        <v>-1.1500831595966337</v>
      </c>
    </row>
    <row r="594" spans="1:20" x14ac:dyDescent="0.25">
      <c r="A594" s="5">
        <v>43999</v>
      </c>
      <c r="B594">
        <v>5.7110000000000001E-2</v>
      </c>
      <c r="C594">
        <v>5.8000000000000003E-2</v>
      </c>
      <c r="D594">
        <v>5.3800000000000001E-2</v>
      </c>
      <c r="E594">
        <v>5.5309999999999998E-2</v>
      </c>
      <c r="F594">
        <v>2574247.2000000002</v>
      </c>
      <c r="G594">
        <v>0</v>
      </c>
      <c r="L594" t="s">
        <v>7</v>
      </c>
      <c r="M594" t="s">
        <v>7</v>
      </c>
      <c r="N594" t="s">
        <v>7</v>
      </c>
      <c r="P594">
        <f t="shared" si="989"/>
        <v>-0.28095238095238256</v>
      </c>
      <c r="Q594">
        <f t="shared" si="990"/>
        <v>-723240.8800000042</v>
      </c>
      <c r="R594">
        <f t="shared" si="991"/>
        <v>-114323651.8655457</v>
      </c>
      <c r="S594">
        <f t="shared" si="992"/>
        <v>-1143.2365186554571</v>
      </c>
      <c r="T594">
        <f t="shared" si="993"/>
        <v>-1.1432365186554572</v>
      </c>
    </row>
    <row r="595" spans="1:20" x14ac:dyDescent="0.25">
      <c r="A595" s="5">
        <v>43998</v>
      </c>
      <c r="B595">
        <v>5.6259999999999998E-2</v>
      </c>
      <c r="C595">
        <v>5.8860000000000003E-2</v>
      </c>
      <c r="D595">
        <v>5.525E-2</v>
      </c>
      <c r="E595">
        <v>5.7239999999999999E-2</v>
      </c>
      <c r="F595">
        <v>3156464.3</v>
      </c>
      <c r="G595">
        <v>0</v>
      </c>
      <c r="L595" t="s">
        <v>8</v>
      </c>
      <c r="M595" t="s">
        <v>7</v>
      </c>
      <c r="N595" t="s">
        <v>7</v>
      </c>
      <c r="P595">
        <f t="shared" si="989"/>
        <v>0.10249307479224241</v>
      </c>
      <c r="Q595">
        <f t="shared" si="990"/>
        <v>323515.73157894309</v>
      </c>
      <c r="R595">
        <f t="shared" si="991"/>
        <v>-113600410.98554569</v>
      </c>
      <c r="S595">
        <f t="shared" si="992"/>
        <v>-1136.004109855457</v>
      </c>
      <c r="T595">
        <f t="shared" si="993"/>
        <v>-1.136004109855457</v>
      </c>
    </row>
    <row r="596" spans="1:20" x14ac:dyDescent="0.25">
      <c r="A596" s="5">
        <v>43997</v>
      </c>
      <c r="B596">
        <v>5.6460000000000003E-2</v>
      </c>
      <c r="C596">
        <v>5.6710000000000003E-2</v>
      </c>
      <c r="D596">
        <v>5.2019999999999997E-2</v>
      </c>
      <c r="E596">
        <v>5.6279999999999997E-2</v>
      </c>
      <c r="F596">
        <v>3555363.8</v>
      </c>
      <c r="G596">
        <v>0</v>
      </c>
      <c r="L596" t="s">
        <v>7</v>
      </c>
      <c r="M596" t="s">
        <v>7</v>
      </c>
      <c r="N596" t="s">
        <v>7</v>
      </c>
      <c r="P596">
        <f t="shared" si="989"/>
        <v>0.81663113006396326</v>
      </c>
      <c r="Q596">
        <f t="shared" si="990"/>
        <v>2903420.7577825063</v>
      </c>
      <c r="R596">
        <f t="shared" si="991"/>
        <v>-113923926.71712464</v>
      </c>
      <c r="S596">
        <f t="shared" si="992"/>
        <v>-1139.2392671712464</v>
      </c>
      <c r="T596">
        <f t="shared" si="993"/>
        <v>-1.1392392671712464</v>
      </c>
    </row>
    <row r="597" spans="1:20" x14ac:dyDescent="0.25">
      <c r="A597" s="5">
        <v>43996</v>
      </c>
      <c r="B597">
        <v>6.0760000000000002E-2</v>
      </c>
      <c r="C597">
        <v>6.1010000000000002E-2</v>
      </c>
      <c r="D597">
        <v>5.6000000000000001E-2</v>
      </c>
      <c r="E597">
        <v>5.6550000000000003E-2</v>
      </c>
      <c r="F597">
        <v>2893912.5</v>
      </c>
      <c r="G597">
        <v>0</v>
      </c>
      <c r="L597" t="s">
        <v>7</v>
      </c>
      <c r="M597" t="s">
        <v>8</v>
      </c>
      <c r="N597" t="s">
        <v>7</v>
      </c>
      <c r="P597">
        <f t="shared" si="989"/>
        <v>-0.78043912175648633</v>
      </c>
      <c r="Q597">
        <f t="shared" si="990"/>
        <v>-2258522.5299401176</v>
      </c>
      <c r="R597">
        <f t="shared" si="991"/>
        <v>-116827347.47490714</v>
      </c>
      <c r="S597">
        <f t="shared" si="992"/>
        <v>-1168.2734747490715</v>
      </c>
      <c r="T597">
        <f t="shared" si="993"/>
        <v>-1.1682734747490715</v>
      </c>
    </row>
    <row r="598" spans="1:20" x14ac:dyDescent="0.25">
      <c r="A598" s="5">
        <v>43995</v>
      </c>
      <c r="B598">
        <v>5.978E-2</v>
      </c>
      <c r="C598">
        <v>6.1550000000000001E-2</v>
      </c>
      <c r="D598">
        <v>5.7340000000000002E-2</v>
      </c>
      <c r="E598">
        <v>6.0760000000000002E-2</v>
      </c>
      <c r="F598">
        <v>6440711.5999999996</v>
      </c>
      <c r="G598">
        <v>0</v>
      </c>
      <c r="L598" t="s">
        <v>7</v>
      </c>
      <c r="M598" t="s">
        <v>8</v>
      </c>
      <c r="N598" t="s">
        <v>7</v>
      </c>
      <c r="P598">
        <f t="shared" si="989"/>
        <v>0.62470308788598605</v>
      </c>
      <c r="Q598">
        <f t="shared" si="990"/>
        <v>4023532.4247030895</v>
      </c>
      <c r="R598">
        <f t="shared" si="991"/>
        <v>-114568824.94496703</v>
      </c>
      <c r="S598">
        <f t="shared" si="992"/>
        <v>-1145.6882494496704</v>
      </c>
      <c r="T598">
        <f t="shared" si="993"/>
        <v>-1.1456882494496703</v>
      </c>
    </row>
    <row r="599" spans="1:20" x14ac:dyDescent="0.25">
      <c r="A599" s="5">
        <v>43994</v>
      </c>
      <c r="B599">
        <v>5.4719999999999998E-2</v>
      </c>
      <c r="C599">
        <v>6.4990000000000006E-2</v>
      </c>
      <c r="D599">
        <v>5.4350000000000002E-2</v>
      </c>
      <c r="E599">
        <v>5.9929999999999997E-2</v>
      </c>
      <c r="F599">
        <v>7896275.7999999998</v>
      </c>
      <c r="G599">
        <v>0</v>
      </c>
      <c r="L599" t="s">
        <v>8</v>
      </c>
      <c r="M599" t="s">
        <v>8</v>
      </c>
      <c r="N599" t="s">
        <v>7</v>
      </c>
      <c r="P599">
        <f t="shared" si="989"/>
        <v>4.8872180451126464E-2</v>
      </c>
      <c r="Q599">
        <f t="shared" si="990"/>
        <v>385908.21578946296</v>
      </c>
      <c r="R599">
        <f t="shared" si="991"/>
        <v>-118592357.36967012</v>
      </c>
      <c r="S599">
        <f t="shared" si="992"/>
        <v>-1185.9235736967012</v>
      </c>
      <c r="T599">
        <f t="shared" si="993"/>
        <v>-1.1859235736967011</v>
      </c>
    </row>
    <row r="600" spans="1:20" x14ac:dyDescent="0.25">
      <c r="A600" s="5">
        <v>43993</v>
      </c>
      <c r="B600">
        <v>6.0940000000000001E-2</v>
      </c>
      <c r="C600">
        <v>6.2120000000000002E-2</v>
      </c>
      <c r="D600">
        <v>5.3499999999999999E-2</v>
      </c>
      <c r="E600">
        <v>5.4719999999999998E-2</v>
      </c>
      <c r="F600">
        <v>3911944.9</v>
      </c>
      <c r="G600">
        <v>0</v>
      </c>
      <c r="L600" t="s">
        <v>7</v>
      </c>
      <c r="M600" t="s">
        <v>7</v>
      </c>
      <c r="N600" t="s">
        <v>7</v>
      </c>
      <c r="P600">
        <f t="shared" si="989"/>
        <v>-0.71693735498839939</v>
      </c>
      <c r="Q600">
        <f t="shared" si="990"/>
        <v>-2804619.4294663584</v>
      </c>
      <c r="R600">
        <f t="shared" si="991"/>
        <v>-118978265.58545959</v>
      </c>
      <c r="S600">
        <f t="shared" si="992"/>
        <v>-1189.782655854596</v>
      </c>
      <c r="T600">
        <f t="shared" si="993"/>
        <v>-1.1897826558545961</v>
      </c>
    </row>
    <row r="601" spans="1:20" x14ac:dyDescent="0.25">
      <c r="A601" s="5">
        <v>43992</v>
      </c>
      <c r="B601">
        <v>6.0900000000000003E-2</v>
      </c>
      <c r="C601">
        <v>6.2480000000000001E-2</v>
      </c>
      <c r="D601">
        <v>5.8500000000000003E-2</v>
      </c>
      <c r="E601">
        <v>6.0940000000000001E-2</v>
      </c>
      <c r="F601">
        <v>3396552.5</v>
      </c>
      <c r="G601">
        <v>0</v>
      </c>
      <c r="L601" t="s">
        <v>7</v>
      </c>
      <c r="M601" t="s">
        <v>8</v>
      </c>
      <c r="N601" t="s">
        <v>7</v>
      </c>
      <c r="P601">
        <f t="shared" si="989"/>
        <v>0.22613065326633131</v>
      </c>
      <c r="Q601">
        <f t="shared" si="990"/>
        <v>768064.63567839074</v>
      </c>
      <c r="R601">
        <f t="shared" si="991"/>
        <v>-116173646.15599324</v>
      </c>
      <c r="S601">
        <f t="shared" si="992"/>
        <v>-1161.7364615599324</v>
      </c>
      <c r="T601">
        <f t="shared" si="993"/>
        <v>-1.1617364615599324</v>
      </c>
    </row>
    <row r="602" spans="1:20" x14ac:dyDescent="0.25">
      <c r="A602" s="5">
        <v>43991</v>
      </c>
      <c r="B602">
        <v>5.9799999999999999E-2</v>
      </c>
      <c r="C602">
        <v>6.2489999999999997E-2</v>
      </c>
      <c r="D602">
        <v>5.8500000000000003E-2</v>
      </c>
      <c r="E602">
        <v>6.1170000000000002E-2</v>
      </c>
      <c r="F602">
        <v>2755866.1</v>
      </c>
      <c r="G602">
        <v>0</v>
      </c>
      <c r="L602" t="s">
        <v>7</v>
      </c>
      <c r="M602" t="s">
        <v>8</v>
      </c>
      <c r="N602" t="s">
        <v>7</v>
      </c>
      <c r="P602">
        <f t="shared" si="989"/>
        <v>0.33834586466165567</v>
      </c>
      <c r="Q602">
        <f t="shared" si="990"/>
        <v>932435.89849624492</v>
      </c>
      <c r="R602">
        <f t="shared" si="991"/>
        <v>-116941710.79167163</v>
      </c>
      <c r="S602">
        <f t="shared" si="992"/>
        <v>-1169.4171079167163</v>
      </c>
      <c r="T602">
        <f t="shared" si="993"/>
        <v>-1.1694171079167164</v>
      </c>
    </row>
    <row r="603" spans="1:20" x14ac:dyDescent="0.25">
      <c r="A603" s="5">
        <v>43990</v>
      </c>
      <c r="B603">
        <v>6.0720000000000003E-2</v>
      </c>
      <c r="C603">
        <v>6.2799999999999995E-2</v>
      </c>
      <c r="D603">
        <v>5.9729999999999998E-2</v>
      </c>
      <c r="E603">
        <v>6.0170000000000001E-2</v>
      </c>
      <c r="F603">
        <v>2145025.4</v>
      </c>
      <c r="G603">
        <v>0</v>
      </c>
      <c r="L603" t="s">
        <v>8</v>
      </c>
      <c r="M603" t="s">
        <v>8</v>
      </c>
      <c r="N603" t="s">
        <v>7</v>
      </c>
      <c r="P603">
        <f t="shared" si="989"/>
        <v>-0.71335504885993262</v>
      </c>
      <c r="Q603">
        <f t="shared" si="990"/>
        <v>-1530164.6990227965</v>
      </c>
      <c r="R603">
        <f t="shared" si="991"/>
        <v>-117874146.69016787</v>
      </c>
      <c r="S603">
        <f t="shared" si="992"/>
        <v>-1178.7414669016787</v>
      </c>
      <c r="T603">
        <f t="shared" si="993"/>
        <v>-1.1787414669016787</v>
      </c>
    </row>
    <row r="604" spans="1:20" x14ac:dyDescent="0.25">
      <c r="A604" s="5">
        <v>43989</v>
      </c>
      <c r="B604">
        <v>5.9139999999999998E-2</v>
      </c>
      <c r="C604">
        <v>6.0789999999999997E-2</v>
      </c>
      <c r="D604">
        <v>5.7009999999999998E-2</v>
      </c>
      <c r="E604">
        <v>6.0720000000000003E-2</v>
      </c>
      <c r="F604">
        <v>1925931.3</v>
      </c>
      <c r="G604">
        <v>0</v>
      </c>
      <c r="L604" t="s">
        <v>7</v>
      </c>
      <c r="M604" t="s">
        <v>8</v>
      </c>
      <c r="N604" t="s">
        <v>7</v>
      </c>
      <c r="P604">
        <f t="shared" si="989"/>
        <v>0.96296296296296624</v>
      </c>
      <c r="Q604">
        <f t="shared" si="990"/>
        <v>1854600.5111111174</v>
      </c>
      <c r="R604">
        <f t="shared" si="991"/>
        <v>-116343981.99114507</v>
      </c>
      <c r="S604">
        <f t="shared" si="992"/>
        <v>-1163.4398199114507</v>
      </c>
      <c r="T604">
        <f t="shared" si="993"/>
        <v>-1.1634398199114508</v>
      </c>
    </row>
    <row r="605" spans="1:20" x14ac:dyDescent="0.25">
      <c r="A605" s="5">
        <v>43988</v>
      </c>
      <c r="B605">
        <v>5.9990000000000002E-2</v>
      </c>
      <c r="C605">
        <v>6.0479999999999999E-2</v>
      </c>
      <c r="D605">
        <v>5.8400000000000001E-2</v>
      </c>
      <c r="E605">
        <v>5.8729999999999997E-2</v>
      </c>
      <c r="F605">
        <v>863865.5</v>
      </c>
      <c r="G605">
        <v>0</v>
      </c>
      <c r="L605" t="s">
        <v>7</v>
      </c>
      <c r="M605" t="s">
        <v>8</v>
      </c>
      <c r="N605" t="s">
        <v>7</v>
      </c>
      <c r="P605">
        <f t="shared" si="989"/>
        <v>-0.68269230769231037</v>
      </c>
      <c r="Q605">
        <f t="shared" si="990"/>
        <v>-589754.33173077158</v>
      </c>
      <c r="R605">
        <f t="shared" si="991"/>
        <v>-118198582.50225618</v>
      </c>
      <c r="S605">
        <f t="shared" si="992"/>
        <v>-1181.9858250225618</v>
      </c>
      <c r="T605">
        <f t="shared" si="993"/>
        <v>-1.1819858250225619</v>
      </c>
    </row>
    <row r="606" spans="1:20" x14ac:dyDescent="0.25">
      <c r="A606" s="5">
        <v>43987</v>
      </c>
      <c r="B606">
        <v>6.1490000000000003E-2</v>
      </c>
      <c r="C606">
        <v>6.2010000000000003E-2</v>
      </c>
      <c r="D606">
        <v>5.8439999999999999E-2</v>
      </c>
      <c r="E606">
        <v>6.003E-2</v>
      </c>
      <c r="F606">
        <v>2628487.4</v>
      </c>
      <c r="G606">
        <v>0</v>
      </c>
      <c r="L606" t="s">
        <v>7</v>
      </c>
      <c r="M606" t="s">
        <v>8</v>
      </c>
      <c r="N606" t="s">
        <v>7</v>
      </c>
      <c r="P606">
        <f t="shared" si="989"/>
        <v>-0.10924369747899189</v>
      </c>
      <c r="Q606">
        <f t="shared" si="990"/>
        <v>-287145.68235294195</v>
      </c>
      <c r="R606">
        <f t="shared" si="991"/>
        <v>-117608828.17052542</v>
      </c>
      <c r="S606">
        <f t="shared" si="992"/>
        <v>-1176.0882817052541</v>
      </c>
      <c r="T606">
        <f t="shared" si="993"/>
        <v>-1.176088281705254</v>
      </c>
    </row>
    <row r="607" spans="1:20" x14ac:dyDescent="0.25">
      <c r="A607" s="5">
        <v>43986</v>
      </c>
      <c r="B607">
        <v>6.2140000000000001E-2</v>
      </c>
      <c r="C607">
        <v>6.3930000000000001E-2</v>
      </c>
      <c r="D607">
        <v>6.0470000000000003E-2</v>
      </c>
      <c r="E607">
        <v>6.1519999999999998E-2</v>
      </c>
      <c r="F607">
        <v>3476143.5</v>
      </c>
      <c r="G607">
        <v>0</v>
      </c>
      <c r="L607" t="s">
        <v>7</v>
      </c>
      <c r="M607" t="s">
        <v>8</v>
      </c>
      <c r="N607" t="s">
        <v>7</v>
      </c>
      <c r="P607">
        <f t="shared" si="989"/>
        <v>-0.3930635838150312</v>
      </c>
      <c r="Q607">
        <f t="shared" si="990"/>
        <v>-1366345.4219653259</v>
      </c>
      <c r="R607">
        <f t="shared" si="991"/>
        <v>-117321682.48817247</v>
      </c>
      <c r="S607">
        <f t="shared" si="992"/>
        <v>-1173.2168248817247</v>
      </c>
      <c r="T607">
        <f t="shared" si="993"/>
        <v>-1.1732168248817247</v>
      </c>
    </row>
    <row r="608" spans="1:20" x14ac:dyDescent="0.25">
      <c r="A608" s="5">
        <v>43985</v>
      </c>
      <c r="B608">
        <v>5.953E-2</v>
      </c>
      <c r="C608">
        <v>6.6879999999999995E-2</v>
      </c>
      <c r="D608">
        <v>5.901E-2</v>
      </c>
      <c r="E608">
        <v>6.2600000000000003E-2</v>
      </c>
      <c r="F608">
        <v>9050940.8000000007</v>
      </c>
      <c r="G608">
        <v>0</v>
      </c>
      <c r="L608" t="s">
        <v>8</v>
      </c>
      <c r="M608" t="s">
        <v>8</v>
      </c>
      <c r="N608" t="s">
        <v>7</v>
      </c>
      <c r="P608">
        <f t="shared" si="989"/>
        <v>-8.7674714104191823E-2</v>
      </c>
      <c r="Q608">
        <f t="shared" si="990"/>
        <v>-793538.6470139653</v>
      </c>
      <c r="R608">
        <f t="shared" si="991"/>
        <v>-115955337.06620714</v>
      </c>
      <c r="S608">
        <f t="shared" si="992"/>
        <v>-1159.5533706620713</v>
      </c>
      <c r="T608">
        <f t="shared" si="993"/>
        <v>-1.1595533706620713</v>
      </c>
    </row>
    <row r="609" spans="1:20" x14ac:dyDescent="0.25">
      <c r="A609" s="5">
        <v>43984</v>
      </c>
      <c r="B609">
        <v>5.8310000000000001E-2</v>
      </c>
      <c r="C609">
        <v>6.1679999999999999E-2</v>
      </c>
      <c r="D609">
        <v>5.6009999999999997E-2</v>
      </c>
      <c r="E609">
        <v>5.953E-2</v>
      </c>
      <c r="F609">
        <v>5777954.2999999998</v>
      </c>
      <c r="G609">
        <v>0</v>
      </c>
      <c r="L609" t="s">
        <v>8</v>
      </c>
      <c r="M609" t="s">
        <v>8</v>
      </c>
      <c r="N609" t="s">
        <v>7</v>
      </c>
      <c r="P609">
        <f t="shared" si="989"/>
        <v>0.24162257495590878</v>
      </c>
      <c r="Q609">
        <f t="shared" si="990"/>
        <v>1396084.1959435653</v>
      </c>
      <c r="R609">
        <f t="shared" si="991"/>
        <v>-115161798.41919318</v>
      </c>
      <c r="S609">
        <f t="shared" si="992"/>
        <v>-1151.6179841919318</v>
      </c>
      <c r="T609">
        <f t="shared" si="993"/>
        <v>-1.1516179841919318</v>
      </c>
    </row>
    <row r="610" spans="1:20" x14ac:dyDescent="0.25">
      <c r="A610" s="5">
        <v>43983</v>
      </c>
      <c r="B610">
        <v>5.8310000000000001E-2</v>
      </c>
      <c r="C610">
        <v>6.019E-2</v>
      </c>
      <c r="D610">
        <v>5.534E-2</v>
      </c>
      <c r="E610">
        <v>5.8310000000000001E-2</v>
      </c>
      <c r="F610">
        <v>5602373.2000000002</v>
      </c>
      <c r="G610">
        <v>0</v>
      </c>
      <c r="L610" t="s">
        <v>7</v>
      </c>
      <c r="M610" t="s">
        <v>8</v>
      </c>
      <c r="N610" t="s">
        <v>7</v>
      </c>
      <c r="P610">
        <f t="shared" si="989"/>
        <v>0.22474226804123726</v>
      </c>
      <c r="Q610">
        <f t="shared" si="990"/>
        <v>1259090.0593814442</v>
      </c>
      <c r="R610">
        <f t="shared" si="991"/>
        <v>-116557882.61513674</v>
      </c>
      <c r="S610">
        <f t="shared" si="992"/>
        <v>-1165.5788261513674</v>
      </c>
      <c r="T610">
        <f t="shared" si="993"/>
        <v>-1.1655788261513673</v>
      </c>
    </row>
    <row r="611" spans="1:20" x14ac:dyDescent="0.25">
      <c r="A611" s="5">
        <v>43982</v>
      </c>
      <c r="B611">
        <v>6.1510000000000002E-2</v>
      </c>
      <c r="C611">
        <v>6.2909999999999994E-2</v>
      </c>
      <c r="D611">
        <v>5.8180000000000003E-2</v>
      </c>
      <c r="E611">
        <v>5.849E-2</v>
      </c>
      <c r="F611">
        <v>3559279.3</v>
      </c>
      <c r="G611">
        <v>0</v>
      </c>
      <c r="L611" t="s">
        <v>8</v>
      </c>
      <c r="M611" t="s">
        <v>8</v>
      </c>
      <c r="N611" t="s">
        <v>7</v>
      </c>
      <c r="P611">
        <f t="shared" si="989"/>
        <v>-0.86892177589852082</v>
      </c>
      <c r="Q611">
        <f t="shared" si="990"/>
        <v>-3092735.290274844</v>
      </c>
      <c r="R611">
        <f t="shared" si="991"/>
        <v>-117816972.67451818</v>
      </c>
      <c r="S611">
        <f t="shared" si="992"/>
        <v>-1178.1697267451818</v>
      </c>
      <c r="T611">
        <f t="shared" si="993"/>
        <v>-1.1781697267451818</v>
      </c>
    </row>
    <row r="612" spans="1:20" x14ac:dyDescent="0.25">
      <c r="A612" s="5">
        <v>43981</v>
      </c>
      <c r="B612">
        <v>6.361E-2</v>
      </c>
      <c r="C612">
        <v>6.6970000000000002E-2</v>
      </c>
      <c r="D612">
        <v>4.99E-2</v>
      </c>
      <c r="E612">
        <v>6.1510000000000002E-2</v>
      </c>
      <c r="F612">
        <v>9143227</v>
      </c>
      <c r="G612">
        <v>0</v>
      </c>
      <c r="L612" t="s">
        <v>7</v>
      </c>
      <c r="M612" t="s">
        <v>7</v>
      </c>
      <c r="N612" t="s">
        <v>7</v>
      </c>
      <c r="P612">
        <f t="shared" si="989"/>
        <v>0.36028119507908624</v>
      </c>
      <c r="Q612">
        <f t="shared" si="990"/>
        <v>3294132.7504393682</v>
      </c>
      <c r="R612">
        <f t="shared" si="991"/>
        <v>-114724237.38424334</v>
      </c>
      <c r="S612">
        <f t="shared" si="992"/>
        <v>-1147.2423738424334</v>
      </c>
      <c r="T612">
        <f t="shared" si="993"/>
        <v>-1.1472423738424333</v>
      </c>
    </row>
    <row r="613" spans="1:20" x14ac:dyDescent="0.25">
      <c r="A613" s="5">
        <v>43980</v>
      </c>
      <c r="B613">
        <v>6.3130000000000006E-2</v>
      </c>
      <c r="C613">
        <v>6.5089999999999995E-2</v>
      </c>
      <c r="D613">
        <v>6.2609999999999999E-2</v>
      </c>
      <c r="E613">
        <v>6.361E-2</v>
      </c>
      <c r="F613">
        <v>4746054.4000000004</v>
      </c>
      <c r="G613">
        <v>0</v>
      </c>
      <c r="L613" t="s">
        <v>7</v>
      </c>
      <c r="M613" t="s">
        <v>7</v>
      </c>
      <c r="N613" t="s">
        <v>7</v>
      </c>
      <c r="P613">
        <f t="shared" si="989"/>
        <v>-0.19354838709677222</v>
      </c>
      <c r="Q613">
        <f t="shared" si="990"/>
        <v>-918591.17419353907</v>
      </c>
      <c r="R613">
        <f t="shared" si="991"/>
        <v>-118018370.1346827</v>
      </c>
      <c r="S613">
        <f t="shared" si="992"/>
        <v>-1180.1837013468271</v>
      </c>
      <c r="T613">
        <f t="shared" si="993"/>
        <v>-1.180183701346827</v>
      </c>
    </row>
    <row r="614" spans="1:20" x14ac:dyDescent="0.25">
      <c r="A614" s="5">
        <v>43979</v>
      </c>
      <c r="B614">
        <v>6.7309999999999995E-2</v>
      </c>
      <c r="C614">
        <v>6.8110000000000004E-2</v>
      </c>
      <c r="D614">
        <v>6.2700000000000006E-2</v>
      </c>
      <c r="E614">
        <v>6.3119999999999996E-2</v>
      </c>
      <c r="F614">
        <v>5589902.0999999996</v>
      </c>
      <c r="G614">
        <v>0</v>
      </c>
      <c r="L614" t="s">
        <v>7</v>
      </c>
      <c r="M614" t="s">
        <v>7</v>
      </c>
      <c r="N614" t="s">
        <v>7</v>
      </c>
      <c r="P614">
        <f t="shared" si="989"/>
        <v>-0.84473197781885767</v>
      </c>
      <c r="Q614">
        <f t="shared" si="990"/>
        <v>-4721969.0567467855</v>
      </c>
      <c r="R614">
        <f t="shared" si="991"/>
        <v>-117099778.96048915</v>
      </c>
      <c r="S614">
        <f t="shared" si="992"/>
        <v>-1170.9977896048915</v>
      </c>
      <c r="T614">
        <f t="shared" si="993"/>
        <v>-1.1709977896048915</v>
      </c>
    </row>
    <row r="615" spans="1:20" x14ac:dyDescent="0.25">
      <c r="A615" s="5">
        <v>43978</v>
      </c>
      <c r="B615">
        <v>6.9819999999999993E-2</v>
      </c>
      <c r="C615">
        <v>7.0580000000000004E-2</v>
      </c>
      <c r="D615">
        <v>6.6250000000000003E-2</v>
      </c>
      <c r="E615">
        <v>6.7309999999999995E-2</v>
      </c>
      <c r="F615">
        <v>5352417.5999999996</v>
      </c>
      <c r="G615">
        <v>0</v>
      </c>
      <c r="L615" t="s">
        <v>7</v>
      </c>
      <c r="M615" t="s">
        <v>7</v>
      </c>
      <c r="N615" t="s">
        <v>8</v>
      </c>
      <c r="P615">
        <f t="shared" si="989"/>
        <v>-0.51039260969977307</v>
      </c>
      <c r="Q615">
        <f t="shared" si="990"/>
        <v>-2731834.3870669957</v>
      </c>
      <c r="R615">
        <f t="shared" si="991"/>
        <v>-112377809.90374237</v>
      </c>
      <c r="S615">
        <f t="shared" si="992"/>
        <v>-1123.7780990374238</v>
      </c>
      <c r="T615">
        <f t="shared" si="993"/>
        <v>-1.1237780990374238</v>
      </c>
    </row>
    <row r="616" spans="1:20" x14ac:dyDescent="0.25">
      <c r="A616" s="5">
        <v>43977</v>
      </c>
      <c r="B616">
        <v>7.2789999999999994E-2</v>
      </c>
      <c r="C616">
        <v>7.2900000000000006E-2</v>
      </c>
      <c r="D616">
        <v>6.9379999999999997E-2</v>
      </c>
      <c r="E616">
        <v>7.0050000000000001E-2</v>
      </c>
      <c r="F616">
        <v>3711209.1</v>
      </c>
      <c r="G616">
        <v>0</v>
      </c>
      <c r="L616" t="s">
        <v>7</v>
      </c>
      <c r="M616" t="s">
        <v>7</v>
      </c>
      <c r="N616" t="s">
        <v>8</v>
      </c>
      <c r="P616">
        <f t="shared" si="989"/>
        <v>-0.61931818181818055</v>
      </c>
      <c r="Q616">
        <f t="shared" si="990"/>
        <v>-2298419.2721590861</v>
      </c>
      <c r="R616">
        <f t="shared" si="991"/>
        <v>-109645975.51667538</v>
      </c>
      <c r="S616">
        <f t="shared" si="992"/>
        <v>-1096.4597551667539</v>
      </c>
      <c r="T616">
        <f t="shared" si="993"/>
        <v>-1.0964597551667539</v>
      </c>
    </row>
    <row r="617" spans="1:20" x14ac:dyDescent="0.25">
      <c r="A617" s="5">
        <v>43976</v>
      </c>
      <c r="B617">
        <v>6.9040000000000004E-2</v>
      </c>
      <c r="C617">
        <v>7.4249999999999997E-2</v>
      </c>
      <c r="D617">
        <v>6.8349999999999994E-2</v>
      </c>
      <c r="E617">
        <v>7.2419999999999998E-2</v>
      </c>
      <c r="F617">
        <v>3912254</v>
      </c>
      <c r="G617">
        <v>0</v>
      </c>
      <c r="L617" t="s">
        <v>7</v>
      </c>
      <c r="M617" t="s">
        <v>7</v>
      </c>
      <c r="N617" t="s">
        <v>8</v>
      </c>
      <c r="P617">
        <f t="shared" si="989"/>
        <v>0.37966101694915338</v>
      </c>
      <c r="Q617">
        <f t="shared" si="990"/>
        <v>1485330.3322033931</v>
      </c>
      <c r="R617">
        <f t="shared" si="991"/>
        <v>-107347556.2445163</v>
      </c>
      <c r="S617">
        <f t="shared" si="992"/>
        <v>-1073.475562445163</v>
      </c>
      <c r="T617">
        <f t="shared" si="993"/>
        <v>-1.0734755624451628</v>
      </c>
    </row>
    <row r="618" spans="1:20" x14ac:dyDescent="0.25">
      <c r="A618" s="5">
        <v>43975</v>
      </c>
      <c r="B618">
        <v>7.0970000000000005E-2</v>
      </c>
      <c r="C618">
        <v>7.7490000000000003E-2</v>
      </c>
      <c r="D618">
        <v>6.8629999999999997E-2</v>
      </c>
      <c r="E618">
        <v>6.8659999999999999E-2</v>
      </c>
      <c r="F618">
        <v>6453310.2000000002</v>
      </c>
      <c r="G618">
        <v>0</v>
      </c>
      <c r="L618" t="s">
        <v>8</v>
      </c>
      <c r="M618" t="s">
        <v>7</v>
      </c>
      <c r="N618" t="s">
        <v>8</v>
      </c>
      <c r="P618">
        <f t="shared" si="989"/>
        <v>-0.99322799097065417</v>
      </c>
      <c r="Q618">
        <f t="shared" si="990"/>
        <v>-6409608.3250564309</v>
      </c>
      <c r="R618">
        <f t="shared" si="991"/>
        <v>-108832886.57671969</v>
      </c>
      <c r="S618">
        <f t="shared" si="992"/>
        <v>-1088.3288657671969</v>
      </c>
      <c r="T618">
        <f t="shared" si="993"/>
        <v>-1.088328865767197</v>
      </c>
    </row>
    <row r="619" spans="1:20" x14ac:dyDescent="0.25">
      <c r="A619" s="5">
        <v>43974</v>
      </c>
      <c r="B619">
        <v>7.1540000000000006E-2</v>
      </c>
      <c r="C619">
        <v>7.22E-2</v>
      </c>
      <c r="D619">
        <v>7.0550000000000002E-2</v>
      </c>
      <c r="E619">
        <v>7.0970000000000005E-2</v>
      </c>
      <c r="F619">
        <v>3133292.1</v>
      </c>
      <c r="G619">
        <v>0</v>
      </c>
      <c r="L619" t="s">
        <v>8</v>
      </c>
      <c r="M619" t="s">
        <v>7</v>
      </c>
      <c r="N619" t="s">
        <v>8</v>
      </c>
      <c r="P619">
        <f t="shared" si="989"/>
        <v>-0.49090909090908602</v>
      </c>
      <c r="Q619">
        <f t="shared" si="990"/>
        <v>-1538161.576363621</v>
      </c>
      <c r="R619">
        <f t="shared" si="991"/>
        <v>-102423278.25166325</v>
      </c>
      <c r="S619">
        <f t="shared" si="992"/>
        <v>-1024.2327825166326</v>
      </c>
      <c r="T619">
        <f t="shared" si="993"/>
        <v>-1.0242327825166326</v>
      </c>
    </row>
    <row r="620" spans="1:20" x14ac:dyDescent="0.25">
      <c r="A620" s="5">
        <v>43973</v>
      </c>
      <c r="B620">
        <v>6.9639999999999994E-2</v>
      </c>
      <c r="C620">
        <v>7.3480000000000004E-2</v>
      </c>
      <c r="D620">
        <v>6.8129999999999996E-2</v>
      </c>
      <c r="E620">
        <v>7.1540000000000006E-2</v>
      </c>
      <c r="F620">
        <v>3989803.5</v>
      </c>
      <c r="G620">
        <v>0</v>
      </c>
      <c r="L620" t="s">
        <v>8</v>
      </c>
      <c r="M620" t="s">
        <v>7</v>
      </c>
      <c r="N620" t="s">
        <v>8</v>
      </c>
      <c r="P620">
        <f t="shared" si="989"/>
        <v>0.27476635514018893</v>
      </c>
      <c r="Q620">
        <f t="shared" si="990"/>
        <v>1096263.7654205689</v>
      </c>
      <c r="R620">
        <f t="shared" si="991"/>
        <v>-100885116.67529963</v>
      </c>
      <c r="S620">
        <f t="shared" si="992"/>
        <v>-1008.8511667529963</v>
      </c>
      <c r="T620">
        <f t="shared" si="993"/>
        <v>-1.0088511667529962</v>
      </c>
    </row>
    <row r="621" spans="1:20" x14ac:dyDescent="0.25">
      <c r="A621" s="5">
        <v>43972</v>
      </c>
      <c r="B621">
        <v>7.2599999999999998E-2</v>
      </c>
      <c r="C621">
        <v>7.5800000000000006E-2</v>
      </c>
      <c r="D621">
        <v>6.7100000000000007E-2</v>
      </c>
      <c r="E621">
        <v>6.9639999999999994E-2</v>
      </c>
      <c r="F621">
        <v>7900241.5</v>
      </c>
      <c r="G621">
        <v>0</v>
      </c>
      <c r="L621" t="s">
        <v>7</v>
      </c>
      <c r="M621" t="s">
        <v>7</v>
      </c>
      <c r="N621" t="s">
        <v>8</v>
      </c>
      <c r="P621">
        <f t="shared" si="989"/>
        <v>-0.41609195402299154</v>
      </c>
      <c r="Q621">
        <f t="shared" si="990"/>
        <v>-3287226.9229885298</v>
      </c>
      <c r="R621">
        <f t="shared" si="991"/>
        <v>-101981380.4407202</v>
      </c>
      <c r="S621">
        <f t="shared" si="992"/>
        <v>-1019.813804407202</v>
      </c>
      <c r="T621">
        <f t="shared" si="993"/>
        <v>-1.019813804407202</v>
      </c>
    </row>
    <row r="622" spans="1:20" x14ac:dyDescent="0.25">
      <c r="A622" s="5">
        <v>43971</v>
      </c>
      <c r="B622">
        <v>7.5459999999999999E-2</v>
      </c>
      <c r="C622">
        <v>7.5499999999999998E-2</v>
      </c>
      <c r="D622">
        <v>7.0999999999999994E-2</v>
      </c>
      <c r="E622">
        <v>7.3069999999999996E-2</v>
      </c>
      <c r="F622">
        <v>4077754.2</v>
      </c>
      <c r="G622">
        <v>0</v>
      </c>
      <c r="L622" t="s">
        <v>7</v>
      </c>
      <c r="M622" t="s">
        <v>8</v>
      </c>
      <c r="N622" t="s">
        <v>8</v>
      </c>
      <c r="P622">
        <f t="shared" si="989"/>
        <v>-7.9999999999999752E-2</v>
      </c>
      <c r="Q622">
        <f t="shared" si="990"/>
        <v>-326220.33599999902</v>
      </c>
      <c r="R622">
        <f t="shared" si="991"/>
        <v>-98694153.517731667</v>
      </c>
      <c r="S622">
        <f t="shared" si="992"/>
        <v>-986.94153517731661</v>
      </c>
      <c r="T622">
        <f t="shared" si="993"/>
        <v>-0.98694153517731664</v>
      </c>
    </row>
    <row r="623" spans="1:20" x14ac:dyDescent="0.25">
      <c r="A623" s="5">
        <v>43970</v>
      </c>
      <c r="B623">
        <v>7.3779999999999998E-2</v>
      </c>
      <c r="C623">
        <v>7.5749999999999998E-2</v>
      </c>
      <c r="D623">
        <v>7.2900000000000006E-2</v>
      </c>
      <c r="E623">
        <v>7.5300000000000006E-2</v>
      </c>
      <c r="F623">
        <v>4082454.3</v>
      </c>
      <c r="G623">
        <v>0</v>
      </c>
      <c r="L623" t="s">
        <v>7</v>
      </c>
      <c r="M623" t="s">
        <v>8</v>
      </c>
      <c r="N623" t="s">
        <v>8</v>
      </c>
      <c r="P623">
        <f t="shared" si="989"/>
        <v>0.68421052631579404</v>
      </c>
      <c r="Q623">
        <f t="shared" si="990"/>
        <v>2793258.2052631765</v>
      </c>
      <c r="R623">
        <f t="shared" si="991"/>
        <v>-98367933.181731671</v>
      </c>
      <c r="S623">
        <f t="shared" si="992"/>
        <v>-983.67933181731667</v>
      </c>
      <c r="T623">
        <f t="shared" si="993"/>
        <v>-0.9836793318173167</v>
      </c>
    </row>
    <row r="624" spans="1:20" x14ac:dyDescent="0.25">
      <c r="A624" s="5">
        <v>43969</v>
      </c>
      <c r="B624">
        <v>7.4370000000000006E-2</v>
      </c>
      <c r="C624">
        <v>7.5929999999999997E-2</v>
      </c>
      <c r="D624">
        <v>7.2700000000000001E-2</v>
      </c>
      <c r="E624">
        <v>7.3770000000000002E-2</v>
      </c>
      <c r="F624">
        <v>4313673.5999999996</v>
      </c>
      <c r="G624">
        <v>0</v>
      </c>
      <c r="L624" t="s">
        <v>7</v>
      </c>
      <c r="M624" t="s">
        <v>8</v>
      </c>
      <c r="N624" t="s">
        <v>8</v>
      </c>
      <c r="P624">
        <f t="shared" si="989"/>
        <v>-0.33746130030959592</v>
      </c>
      <c r="Q624">
        <f t="shared" si="990"/>
        <v>-1455697.9021671757</v>
      </c>
      <c r="R624">
        <f t="shared" si="991"/>
        <v>-101161191.38699485</v>
      </c>
      <c r="S624">
        <f t="shared" si="992"/>
        <v>-1011.6119138699486</v>
      </c>
      <c r="T624">
        <f t="shared" si="993"/>
        <v>-1.0116119138699486</v>
      </c>
    </row>
    <row r="625" spans="1:20" x14ac:dyDescent="0.25">
      <c r="A625" s="5">
        <v>43968</v>
      </c>
      <c r="B625">
        <v>7.4560000000000001E-2</v>
      </c>
      <c r="C625">
        <v>7.6090000000000005E-2</v>
      </c>
      <c r="D625">
        <v>7.3830000000000007E-2</v>
      </c>
      <c r="E625">
        <v>7.4370000000000006E-2</v>
      </c>
      <c r="F625">
        <v>3580965.3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-0.52212389380531044</v>
      </c>
      <c r="Q625">
        <f t="shared" si="990"/>
        <v>-1869707.5460177015</v>
      </c>
      <c r="R625">
        <f t="shared" si="991"/>
        <v>-99705493.484827682</v>
      </c>
      <c r="S625">
        <f t="shared" si="992"/>
        <v>-997.05493484827684</v>
      </c>
      <c r="T625">
        <f t="shared" si="993"/>
        <v>-0.9970549348482769</v>
      </c>
    </row>
    <row r="626" spans="1:20" x14ac:dyDescent="0.25">
      <c r="A626" s="5">
        <v>43967</v>
      </c>
      <c r="B626">
        <v>7.4139999999999998E-2</v>
      </c>
      <c r="C626">
        <v>7.6289999999999997E-2</v>
      </c>
      <c r="D626">
        <v>7.3510000000000006E-2</v>
      </c>
      <c r="E626">
        <v>7.46E-2</v>
      </c>
      <c r="F626">
        <v>3213065.1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-0.21582733812949831</v>
      </c>
      <c r="Q626">
        <f t="shared" si="990"/>
        <v>-693467.28776979027</v>
      </c>
      <c r="R626">
        <f t="shared" si="991"/>
        <v>-97835785.938809976</v>
      </c>
      <c r="S626">
        <f t="shared" si="992"/>
        <v>-978.35785938809977</v>
      </c>
      <c r="T626">
        <f t="shared" si="993"/>
        <v>-0.97835785938809972</v>
      </c>
    </row>
    <row r="627" spans="1:20" x14ac:dyDescent="0.25">
      <c r="A627" s="5">
        <v>43966</v>
      </c>
      <c r="B627">
        <v>7.4090000000000003E-2</v>
      </c>
      <c r="C627">
        <v>7.9200000000000007E-2</v>
      </c>
      <c r="D627">
        <v>7.2929999999999995E-2</v>
      </c>
      <c r="E627">
        <v>7.4139999999999998E-2</v>
      </c>
      <c r="F627">
        <v>9035204.3000000007</v>
      </c>
      <c r="G627">
        <v>0</v>
      </c>
      <c r="L627" t="s">
        <v>8</v>
      </c>
      <c r="M627" t="s">
        <v>8</v>
      </c>
      <c r="N627" t="s">
        <v>8</v>
      </c>
      <c r="P627">
        <f t="shared" si="989"/>
        <v>-0.61403508771929804</v>
      </c>
      <c r="Q627">
        <f t="shared" si="990"/>
        <v>-5547932.4649122795</v>
      </c>
      <c r="R627">
        <f t="shared" si="991"/>
        <v>-97142318.651040182</v>
      </c>
      <c r="S627">
        <f t="shared" si="992"/>
        <v>-971.42318651040182</v>
      </c>
      <c r="T627">
        <f t="shared" si="993"/>
        <v>-0.97142318651040183</v>
      </c>
    </row>
    <row r="628" spans="1:20" x14ac:dyDescent="0.25">
      <c r="A628" s="5">
        <v>43965</v>
      </c>
      <c r="B628">
        <v>7.2789999999999994E-2</v>
      </c>
      <c r="C628">
        <v>7.571E-2</v>
      </c>
      <c r="D628">
        <v>7.2279999999999997E-2</v>
      </c>
      <c r="E628">
        <v>7.3940000000000006E-2</v>
      </c>
      <c r="F628">
        <v>7014991</v>
      </c>
      <c r="G628">
        <v>0</v>
      </c>
      <c r="L628" t="s">
        <v>7</v>
      </c>
      <c r="M628" t="s">
        <v>7</v>
      </c>
      <c r="N628" t="s">
        <v>8</v>
      </c>
      <c r="P628">
        <f t="shared" si="989"/>
        <v>-3.2069970845476685E-2</v>
      </c>
      <c r="Q628">
        <f t="shared" si="990"/>
        <v>-224970.55685128135</v>
      </c>
      <c r="R628">
        <f t="shared" si="991"/>
        <v>-91594386.186127901</v>
      </c>
      <c r="S628">
        <f t="shared" si="992"/>
        <v>-915.94386186127906</v>
      </c>
      <c r="T628">
        <f t="shared" si="993"/>
        <v>-0.91594386186127907</v>
      </c>
    </row>
    <row r="629" spans="1:20" x14ac:dyDescent="0.25">
      <c r="A629" s="5">
        <v>43964</v>
      </c>
      <c r="B629">
        <v>7.5200000000000003E-2</v>
      </c>
      <c r="C629">
        <v>7.5969999999999996E-2</v>
      </c>
      <c r="D629">
        <v>7.2459999999999997E-2</v>
      </c>
      <c r="E629">
        <v>7.2599999999999998E-2</v>
      </c>
      <c r="F629">
        <v>8961044.9000000004</v>
      </c>
      <c r="G629">
        <v>0</v>
      </c>
      <c r="L629" t="s">
        <v>7</v>
      </c>
      <c r="M629" t="s">
        <v>7</v>
      </c>
      <c r="N629" t="s">
        <v>8</v>
      </c>
      <c r="P629">
        <f t="shared" si="989"/>
        <v>-0.92022792022791955</v>
      </c>
      <c r="Q629">
        <f t="shared" si="990"/>
        <v>-8246203.7113960059</v>
      </c>
      <c r="R629">
        <f t="shared" si="991"/>
        <v>-91369415.629276618</v>
      </c>
      <c r="S629">
        <f t="shared" si="992"/>
        <v>-913.69415629276614</v>
      </c>
      <c r="T629">
        <f t="shared" si="993"/>
        <v>-0.91369415629276618</v>
      </c>
    </row>
    <row r="630" spans="1:20" x14ac:dyDescent="0.25">
      <c r="A630" s="5">
        <v>43963</v>
      </c>
      <c r="B630">
        <v>7.4590000000000004E-2</v>
      </c>
      <c r="C630">
        <v>7.7499999999999999E-2</v>
      </c>
      <c r="D630">
        <v>7.1830000000000005E-2</v>
      </c>
      <c r="E630">
        <v>7.5340000000000004E-2</v>
      </c>
      <c r="F630">
        <v>6697614.9000000004</v>
      </c>
      <c r="G630">
        <v>0</v>
      </c>
      <c r="L630" t="s">
        <v>7</v>
      </c>
      <c r="M630" t="s">
        <v>7</v>
      </c>
      <c r="N630" t="s">
        <v>8</v>
      </c>
      <c r="P630">
        <f t="shared" si="989"/>
        <v>0.23809523809523903</v>
      </c>
      <c r="Q630">
        <f t="shared" si="990"/>
        <v>1594670.2142857206</v>
      </c>
      <c r="R630">
        <f t="shared" si="991"/>
        <v>-83123211.91788061</v>
      </c>
      <c r="S630">
        <f t="shared" si="992"/>
        <v>-831.2321191788061</v>
      </c>
      <c r="T630">
        <f t="shared" si="993"/>
        <v>-0.83123211917880613</v>
      </c>
    </row>
    <row r="631" spans="1:20" x14ac:dyDescent="0.25">
      <c r="A631" s="5">
        <v>43962</v>
      </c>
      <c r="B631">
        <v>7.1989999999999998E-2</v>
      </c>
      <c r="C631">
        <v>7.7840000000000006E-2</v>
      </c>
      <c r="D631">
        <v>6.9099999999999995E-2</v>
      </c>
      <c r="E631">
        <v>7.4480000000000005E-2</v>
      </c>
      <c r="F631">
        <v>10405776.9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0.23112128146453148</v>
      </c>
      <c r="Q631">
        <f t="shared" si="990"/>
        <v>2404996.4917620202</v>
      </c>
      <c r="R631">
        <f t="shared" si="991"/>
        <v>-84717882.132166326</v>
      </c>
      <c r="S631">
        <f t="shared" si="992"/>
        <v>-847.17882132166324</v>
      </c>
      <c r="T631">
        <f t="shared" si="993"/>
        <v>-0.84717882132166322</v>
      </c>
    </row>
    <row r="632" spans="1:20" x14ac:dyDescent="0.25">
      <c r="A632" s="5">
        <v>43961</v>
      </c>
      <c r="B632">
        <v>7.6499999999999999E-2</v>
      </c>
      <c r="C632">
        <v>7.7609999999999998E-2</v>
      </c>
      <c r="D632">
        <v>6.5290000000000001E-2</v>
      </c>
      <c r="E632">
        <v>7.1989999999999998E-2</v>
      </c>
      <c r="F632">
        <v>19485099.800000001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8.7662337662337483E-2</v>
      </c>
      <c r="Q632">
        <f t="shared" si="990"/>
        <v>1708109.3980519446</v>
      </c>
      <c r="R632">
        <f t="shared" si="991"/>
        <v>-87122878.623928353</v>
      </c>
      <c r="S632">
        <f t="shared" si="992"/>
        <v>-871.22878623928352</v>
      </c>
      <c r="T632">
        <f t="shared" si="993"/>
        <v>-0.87122878623928357</v>
      </c>
    </row>
    <row r="633" spans="1:20" x14ac:dyDescent="0.25">
      <c r="A633" s="5">
        <v>43960</v>
      </c>
      <c r="B633">
        <v>7.4499999999999997E-2</v>
      </c>
      <c r="C633">
        <v>8.0479999999999996E-2</v>
      </c>
      <c r="D633">
        <v>7.3499999999999996E-2</v>
      </c>
      <c r="E633">
        <v>7.6499999999999999E-2</v>
      </c>
      <c r="F633">
        <v>9059490.3000000007</v>
      </c>
      <c r="G633">
        <v>0</v>
      </c>
      <c r="L633" t="s">
        <v>7</v>
      </c>
      <c r="M633" t="s">
        <v>7</v>
      </c>
      <c r="N633" t="s">
        <v>8</v>
      </c>
      <c r="P633">
        <f t="shared" si="989"/>
        <v>-0.14040114613180441</v>
      </c>
      <c r="Q633">
        <f t="shared" si="990"/>
        <v>-1271962.8214899646</v>
      </c>
      <c r="R633">
        <f t="shared" si="991"/>
        <v>-88830988.021980301</v>
      </c>
      <c r="S633">
        <f t="shared" si="992"/>
        <v>-888.30988021980295</v>
      </c>
      <c r="T633">
        <f t="shared" si="993"/>
        <v>-0.88830988021980295</v>
      </c>
    </row>
    <row r="634" spans="1:20" x14ac:dyDescent="0.25">
      <c r="A634" s="5">
        <v>43959</v>
      </c>
      <c r="B634">
        <v>7.1340000000000001E-2</v>
      </c>
      <c r="C634">
        <v>8.1930000000000003E-2</v>
      </c>
      <c r="D634">
        <v>7.0349999999999996E-2</v>
      </c>
      <c r="E634">
        <v>7.467E-2</v>
      </c>
      <c r="F634">
        <v>20825450.899999999</v>
      </c>
      <c r="G634">
        <v>0</v>
      </c>
      <c r="L634" t="s">
        <v>8</v>
      </c>
      <c r="M634" t="s">
        <v>7</v>
      </c>
      <c r="N634" t="s">
        <v>8</v>
      </c>
      <c r="P634">
        <f t="shared" si="989"/>
        <v>-0.25388601036269398</v>
      </c>
      <c r="Q634">
        <f t="shared" si="990"/>
        <v>-5287290.6430051746</v>
      </c>
      <c r="R634">
        <f t="shared" si="991"/>
        <v>-87559025.200490341</v>
      </c>
      <c r="S634">
        <f t="shared" si="992"/>
        <v>-875.59025200490339</v>
      </c>
      <c r="T634">
        <f t="shared" si="993"/>
        <v>-0.87559025200490337</v>
      </c>
    </row>
    <row r="635" spans="1:20" x14ac:dyDescent="0.25">
      <c r="A635" s="5">
        <v>43958</v>
      </c>
      <c r="B635">
        <v>7.7149999999999996E-2</v>
      </c>
      <c r="C635">
        <v>7.8299999999999995E-2</v>
      </c>
      <c r="D635">
        <v>6.9370000000000001E-2</v>
      </c>
      <c r="E635">
        <v>7.1550000000000002E-2</v>
      </c>
      <c r="F635">
        <v>20710436.199999999</v>
      </c>
      <c r="G635">
        <v>0</v>
      </c>
      <c r="L635" t="s">
        <v>7</v>
      </c>
      <c r="M635" t="s">
        <v>7</v>
      </c>
      <c r="N635" t="s">
        <v>8</v>
      </c>
      <c r="P635">
        <f t="shared" si="989"/>
        <v>-0.51175811870100718</v>
      </c>
      <c r="Q635">
        <f t="shared" si="990"/>
        <v>-10598733.867189236</v>
      </c>
      <c r="R635">
        <f t="shared" si="991"/>
        <v>-82271734.557485163</v>
      </c>
      <c r="S635">
        <f t="shared" si="992"/>
        <v>-822.71734557485161</v>
      </c>
      <c r="T635">
        <f t="shared" si="993"/>
        <v>-0.82271734557485166</v>
      </c>
    </row>
    <row r="636" spans="1:20" x14ac:dyDescent="0.25">
      <c r="A636" s="5">
        <v>43957</v>
      </c>
      <c r="B636">
        <v>7.7259999999999995E-2</v>
      </c>
      <c r="C636">
        <v>7.9299999999999995E-2</v>
      </c>
      <c r="D636">
        <v>7.3969999999999994E-2</v>
      </c>
      <c r="E636">
        <v>7.7170000000000002E-2</v>
      </c>
      <c r="F636">
        <v>89771996</v>
      </c>
      <c r="G636">
        <v>0</v>
      </c>
      <c r="L636" t="s">
        <v>7</v>
      </c>
      <c r="M636" t="s">
        <v>8</v>
      </c>
      <c r="N636" t="s">
        <v>8</v>
      </c>
      <c r="P636">
        <f t="shared" si="989"/>
        <v>0.2007504690431548</v>
      </c>
      <c r="Q636">
        <f t="shared" si="990"/>
        <v>18021770.303940218</v>
      </c>
      <c r="R636">
        <f t="shared" si="991"/>
        <v>-71673000.690295935</v>
      </c>
      <c r="S636">
        <f t="shared" si="992"/>
        <v>-716.7300069029593</v>
      </c>
      <c r="T636">
        <f t="shared" si="993"/>
        <v>-0.71673000690295929</v>
      </c>
    </row>
    <row r="637" spans="1:20" x14ac:dyDescent="0.25">
      <c r="A637" s="5">
        <v>43956</v>
      </c>
      <c r="B637">
        <v>7.0300000000000001E-2</v>
      </c>
      <c r="C637">
        <v>8.412E-2</v>
      </c>
      <c r="D637">
        <v>7.0129999999999998E-2</v>
      </c>
      <c r="E637">
        <v>7.7229999999999993E-2</v>
      </c>
      <c r="F637">
        <v>130054829.90000001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1.5010721944245027E-2</v>
      </c>
      <c r="Q637">
        <f t="shared" si="990"/>
        <v>1952216.8891349845</v>
      </c>
      <c r="R637">
        <f t="shared" si="991"/>
        <v>-89694770.994236156</v>
      </c>
      <c r="S637">
        <f t="shared" si="992"/>
        <v>-896.9477099423616</v>
      </c>
      <c r="T637">
        <f t="shared" si="993"/>
        <v>-0.89694770994236162</v>
      </c>
    </row>
    <row r="638" spans="1:20" x14ac:dyDescent="0.25">
      <c r="A638" s="5">
        <v>43955</v>
      </c>
      <c r="B638">
        <v>6.6989999999999994E-2</v>
      </c>
      <c r="C638">
        <v>7.4700000000000003E-2</v>
      </c>
      <c r="D638">
        <v>0.06</v>
      </c>
      <c r="E638">
        <v>7.0330000000000004E-2</v>
      </c>
      <c r="F638">
        <v>60281135.100000001</v>
      </c>
      <c r="G638">
        <v>0</v>
      </c>
      <c r="L638" t="s">
        <v>7</v>
      </c>
      <c r="M638" t="s">
        <v>7</v>
      </c>
      <c r="N638" t="s">
        <v>7</v>
      </c>
      <c r="P638">
        <f t="shared" si="989"/>
        <v>0.40544217687074863</v>
      </c>
      <c r="Q638">
        <f t="shared" si="990"/>
        <v>24440514.639183693</v>
      </c>
      <c r="R638">
        <f t="shared" si="991"/>
        <v>-91646987.883371145</v>
      </c>
      <c r="S638">
        <f t="shared" si="992"/>
        <v>-916.46987883371139</v>
      </c>
      <c r="T638">
        <f t="shared" si="993"/>
        <v>-0.91646987883371134</v>
      </c>
    </row>
    <row r="639" spans="1:20" x14ac:dyDescent="0.25">
      <c r="A639" s="5">
        <v>43954</v>
      </c>
      <c r="B639">
        <v>7.4340000000000003E-2</v>
      </c>
      <c r="C639">
        <v>7.51E-2</v>
      </c>
      <c r="D639">
        <v>6.5350000000000005E-2</v>
      </c>
      <c r="E639">
        <v>6.6960000000000006E-2</v>
      </c>
      <c r="F639">
        <v>37762096.200000003</v>
      </c>
      <c r="G639">
        <v>0</v>
      </c>
      <c r="L639" t="s">
        <v>7</v>
      </c>
      <c r="M639" t="s">
        <v>7</v>
      </c>
      <c r="N639" t="s">
        <v>7</v>
      </c>
      <c r="P639">
        <f t="shared" si="989"/>
        <v>-0.6697435897435895</v>
      </c>
      <c r="Q639">
        <f t="shared" si="990"/>
        <v>-25290921.865230761</v>
      </c>
      <c r="R639">
        <f t="shared" si="991"/>
        <v>-116087502.52255484</v>
      </c>
      <c r="S639">
        <f t="shared" si="992"/>
        <v>-1160.8750252255484</v>
      </c>
      <c r="T639">
        <f t="shared" si="993"/>
        <v>-1.1608750252255484</v>
      </c>
    </row>
    <row r="640" spans="1:20" x14ac:dyDescent="0.25">
      <c r="A640" s="5">
        <v>43953</v>
      </c>
      <c r="B640">
        <v>7.8979999999999995E-2</v>
      </c>
      <c r="C640">
        <v>7.9500000000000001E-2</v>
      </c>
      <c r="D640">
        <v>7.2580000000000006E-2</v>
      </c>
      <c r="E640">
        <v>7.4340000000000003E-2</v>
      </c>
      <c r="F640">
        <v>44841867</v>
      </c>
      <c r="G640">
        <v>0</v>
      </c>
      <c r="L640" t="s">
        <v>7</v>
      </c>
      <c r="M640" t="s">
        <v>7</v>
      </c>
      <c r="N640" t="s">
        <v>8</v>
      </c>
      <c r="P640">
        <f t="shared" si="989"/>
        <v>-0.49132947976878649</v>
      </c>
      <c r="Q640">
        <f t="shared" si="990"/>
        <v>-22032131.184971116</v>
      </c>
      <c r="R640">
        <f t="shared" si="991"/>
        <v>-90796580.657324076</v>
      </c>
      <c r="S640">
        <f t="shared" si="992"/>
        <v>-907.9658065732408</v>
      </c>
      <c r="T640">
        <f t="shared" si="993"/>
        <v>-0.90796580657324077</v>
      </c>
    </row>
    <row r="641" spans="1:20" x14ac:dyDescent="0.25">
      <c r="A641" s="5">
        <v>43952</v>
      </c>
      <c r="B641">
        <v>8.0610000000000001E-2</v>
      </c>
      <c r="C641">
        <v>8.6730000000000002E-2</v>
      </c>
      <c r="D641">
        <v>7.7259999999999995E-2</v>
      </c>
      <c r="E641">
        <v>7.8979999999999995E-2</v>
      </c>
      <c r="F641">
        <v>50308367.200000003</v>
      </c>
      <c r="G641">
        <v>0</v>
      </c>
      <c r="L641" t="s">
        <v>7</v>
      </c>
      <c r="M641" t="s">
        <v>7</v>
      </c>
      <c r="N641" t="s">
        <v>8</v>
      </c>
      <c r="P641">
        <f t="shared" si="989"/>
        <v>-0.63674762407602992</v>
      </c>
      <c r="Q641">
        <f t="shared" si="990"/>
        <v>-32033733.285744477</v>
      </c>
      <c r="R641">
        <f t="shared" si="991"/>
        <v>-68764449.472352967</v>
      </c>
      <c r="S641">
        <f t="shared" si="992"/>
        <v>-687.64449472352965</v>
      </c>
      <c r="T641">
        <f t="shared" si="993"/>
        <v>-0.68764449472352962</v>
      </c>
    </row>
    <row r="642" spans="1:20" x14ac:dyDescent="0.25">
      <c r="A642" s="5">
        <v>43951</v>
      </c>
      <c r="B642">
        <v>8.0530000000000004E-2</v>
      </c>
      <c r="C642">
        <v>9.9900000000000003E-2</v>
      </c>
      <c r="D642">
        <v>7.5149999999999995E-2</v>
      </c>
      <c r="E642">
        <v>8.0689999999999998E-2</v>
      </c>
      <c r="F642">
        <v>212132637.30000001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-0.55232323232323222</v>
      </c>
      <c r="Q642">
        <f t="shared" si="990"/>
        <v>-117165783.91478786</v>
      </c>
      <c r="R642">
        <f t="shared" si="991"/>
        <v>-36730716.186608493</v>
      </c>
      <c r="S642">
        <f t="shared" si="992"/>
        <v>-367.30716186608493</v>
      </c>
      <c r="T642">
        <f t="shared" si="993"/>
        <v>-0.36730716186608492</v>
      </c>
    </row>
    <row r="643" spans="1:20" x14ac:dyDescent="0.25">
      <c r="A643" s="5">
        <v>43950</v>
      </c>
      <c r="B643">
        <v>4.8259999999999997E-2</v>
      </c>
      <c r="C643">
        <v>0.09</v>
      </c>
      <c r="D643">
        <v>4.7719999999999999E-2</v>
      </c>
      <c r="E643">
        <v>8.0670000000000006E-2</v>
      </c>
      <c r="F643">
        <v>144359412.40000001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0.55865657521286705</v>
      </c>
      <c r="Q643">
        <f t="shared" si="990"/>
        <v>80647334.931125894</v>
      </c>
      <c r="R643">
        <f t="shared" si="991"/>
        <v>80435067.728179365</v>
      </c>
      <c r="S643">
        <f t="shared" si="992"/>
        <v>804.35067728179365</v>
      </c>
      <c r="T643">
        <f t="shared" si="993"/>
        <v>0.80435067728179366</v>
      </c>
    </row>
    <row r="644" spans="1:20" x14ac:dyDescent="0.25">
      <c r="A644" s="5">
        <v>43949</v>
      </c>
      <c r="B644">
        <v>4.8160000000000001E-2</v>
      </c>
      <c r="C644">
        <v>4.9000000000000002E-2</v>
      </c>
      <c r="D644">
        <v>4.6289999999999998E-2</v>
      </c>
      <c r="E644">
        <v>4.8379999999999999E-2</v>
      </c>
      <c r="F644">
        <v>3144444.9</v>
      </c>
      <c r="G644">
        <v>0</v>
      </c>
      <c r="L644" t="s">
        <v>7</v>
      </c>
      <c r="M644" t="s">
        <v>8</v>
      </c>
      <c r="N644" t="s">
        <v>7</v>
      </c>
      <c r="P644">
        <f t="shared" si="989"/>
        <v>0.54243542435424241</v>
      </c>
      <c r="Q644">
        <f t="shared" si="990"/>
        <v>1705658.3036900333</v>
      </c>
      <c r="R644">
        <f t="shared" si="991"/>
        <v>-212267.20294652157</v>
      </c>
      <c r="S644">
        <f t="shared" si="992"/>
        <v>-2.1226720294652157</v>
      </c>
      <c r="T644">
        <f t="shared" si="993"/>
        <v>-2.1226720294652158E-3</v>
      </c>
    </row>
    <row r="645" spans="1:20" x14ac:dyDescent="0.25">
      <c r="A645" s="5">
        <v>43948</v>
      </c>
      <c r="B645">
        <v>4.727E-2</v>
      </c>
      <c r="C645">
        <v>4.8160000000000001E-2</v>
      </c>
      <c r="D645">
        <v>4.6010000000000002E-2</v>
      </c>
      <c r="E645">
        <v>4.8160000000000001E-2</v>
      </c>
      <c r="F645">
        <v>2716243.4</v>
      </c>
      <c r="G645">
        <v>0</v>
      </c>
      <c r="L645" t="s">
        <v>7</v>
      </c>
      <c r="M645" t="s">
        <v>8</v>
      </c>
      <c r="N645" t="s">
        <v>7</v>
      </c>
      <c r="P645">
        <f t="shared" si="989"/>
        <v>1</v>
      </c>
      <c r="Q645">
        <f t="shared" si="990"/>
        <v>2716243.4</v>
      </c>
      <c r="R645">
        <f t="shared" si="991"/>
        <v>-1917925.5066365548</v>
      </c>
      <c r="S645">
        <f t="shared" si="992"/>
        <v>-19.179255066365549</v>
      </c>
      <c r="T645">
        <f t="shared" si="993"/>
        <v>-1.9179255066365548E-2</v>
      </c>
    </row>
    <row r="646" spans="1:20" x14ac:dyDescent="0.25">
      <c r="A646" s="5">
        <v>43947</v>
      </c>
      <c r="B646">
        <v>4.7550000000000002E-2</v>
      </c>
      <c r="C646">
        <v>5.0790000000000002E-2</v>
      </c>
      <c r="D646">
        <v>4.6010000000000002E-2</v>
      </c>
      <c r="E646">
        <v>4.7320000000000001E-2</v>
      </c>
      <c r="F646">
        <v>6196147.9000000004</v>
      </c>
      <c r="G646">
        <v>0</v>
      </c>
      <c r="L646" t="s">
        <v>8</v>
      </c>
      <c r="M646" t="s">
        <v>8</v>
      </c>
      <c r="N646" t="s">
        <v>7</v>
      </c>
      <c r="P646">
        <f t="shared" ref="P646:P709" si="994">IF(C646=D646,0,((E646-D646)-(C646-E646))/(C646-D646))</f>
        <v>-0.45188284518828503</v>
      </c>
      <c r="Q646">
        <f t="shared" ref="Q646:Q709" si="995">F646*P646</f>
        <v>-2799932.9422594174</v>
      </c>
      <c r="R646">
        <f t="shared" ref="R646:R709" si="996">R647+Q646</f>
        <v>-4634168.9066365547</v>
      </c>
      <c r="S646">
        <f t="shared" ref="S646:S709" si="997">R646/100000</f>
        <v>-46.341689066365547</v>
      </c>
      <c r="T646">
        <f t="shared" ref="T646:T709" si="998">S646/1000</f>
        <v>-4.6341689066365543E-2</v>
      </c>
    </row>
    <row r="647" spans="1:20" x14ac:dyDescent="0.25">
      <c r="A647" s="5">
        <v>43946</v>
      </c>
      <c r="B647">
        <v>4.6179999999999999E-2</v>
      </c>
      <c r="C647">
        <v>4.9000000000000002E-2</v>
      </c>
      <c r="D647">
        <v>4.5100000000000001E-2</v>
      </c>
      <c r="E647">
        <v>4.7550000000000002E-2</v>
      </c>
      <c r="F647">
        <v>4822309.7</v>
      </c>
      <c r="G647">
        <v>0</v>
      </c>
      <c r="L647" t="s">
        <v>8</v>
      </c>
      <c r="M647" t="s">
        <v>8</v>
      </c>
      <c r="N647" t="s">
        <v>7</v>
      </c>
      <c r="P647">
        <f t="shared" si="994"/>
        <v>0.25641025641025661</v>
      </c>
      <c r="Q647">
        <f t="shared" si="995"/>
        <v>1236489.6666666677</v>
      </c>
      <c r="R647">
        <f t="shared" si="996"/>
        <v>-1834235.9643771376</v>
      </c>
      <c r="S647">
        <f t="shared" si="997"/>
        <v>-18.342359643771378</v>
      </c>
      <c r="T647">
        <f t="shared" si="998"/>
        <v>-1.8342359643771379E-2</v>
      </c>
    </row>
    <row r="648" spans="1:20" x14ac:dyDescent="0.25">
      <c r="A648" s="5">
        <v>43945</v>
      </c>
      <c r="B648">
        <v>4.4010000000000001E-2</v>
      </c>
      <c r="C648">
        <v>4.6800000000000001E-2</v>
      </c>
      <c r="D648">
        <v>4.3929999999999997E-2</v>
      </c>
      <c r="E648">
        <v>4.6269999999999999E-2</v>
      </c>
      <c r="F648">
        <v>4576960.8</v>
      </c>
      <c r="G648">
        <v>0</v>
      </c>
      <c r="L648" t="s">
        <v>8</v>
      </c>
      <c r="M648" t="s">
        <v>8</v>
      </c>
      <c r="N648" t="s">
        <v>7</v>
      </c>
      <c r="P648">
        <f t="shared" si="994"/>
        <v>0.63066202090592205</v>
      </c>
      <c r="Q648">
        <f t="shared" si="995"/>
        <v>2886515.3477351856</v>
      </c>
      <c r="R648">
        <f t="shared" si="996"/>
        <v>-3070725.6310438053</v>
      </c>
      <c r="S648">
        <f t="shared" si="997"/>
        <v>-30.707256310438051</v>
      </c>
      <c r="T648">
        <f t="shared" si="998"/>
        <v>-3.0707256310438052E-2</v>
      </c>
    </row>
    <row r="649" spans="1:20" x14ac:dyDescent="0.25">
      <c r="A649" s="5">
        <v>43944</v>
      </c>
      <c r="B649">
        <v>4.4659999999999998E-2</v>
      </c>
      <c r="C649">
        <v>4.5179999999999998E-2</v>
      </c>
      <c r="D649">
        <v>4.2139999999999997E-2</v>
      </c>
      <c r="E649">
        <v>4.4159999999999998E-2</v>
      </c>
      <c r="F649">
        <v>9602057.8000000007</v>
      </c>
      <c r="G649">
        <v>0</v>
      </c>
      <c r="L649" t="s">
        <v>7</v>
      </c>
      <c r="M649" t="s">
        <v>8</v>
      </c>
      <c r="N649" t="s">
        <v>7</v>
      </c>
      <c r="P649">
        <f t="shared" si="994"/>
        <v>0.32894736842105282</v>
      </c>
      <c r="Q649">
        <f t="shared" si="995"/>
        <v>3158571.6447368441</v>
      </c>
      <c r="R649">
        <f t="shared" si="996"/>
        <v>-5957240.9787789909</v>
      </c>
      <c r="S649">
        <f t="shared" si="997"/>
        <v>-59.572409787789908</v>
      </c>
      <c r="T649">
        <f t="shared" si="998"/>
        <v>-5.9572409787789909E-2</v>
      </c>
    </row>
    <row r="650" spans="1:20" x14ac:dyDescent="0.25">
      <c r="A650" s="5">
        <v>43943</v>
      </c>
      <c r="B650">
        <v>4.249E-2</v>
      </c>
      <c r="C650">
        <v>4.6960000000000002E-2</v>
      </c>
      <c r="D650">
        <v>4.2000000000000003E-2</v>
      </c>
      <c r="E650">
        <v>4.4549999999999999E-2</v>
      </c>
      <c r="F650">
        <v>17754715.699999999</v>
      </c>
      <c r="G650">
        <v>0</v>
      </c>
      <c r="L650" t="s">
        <v>8</v>
      </c>
      <c r="M650" t="s">
        <v>8</v>
      </c>
      <c r="N650" t="s">
        <v>7</v>
      </c>
      <c r="P650">
        <f t="shared" si="994"/>
        <v>2.8225806451611758E-2</v>
      </c>
      <c r="Q650">
        <f t="shared" si="995"/>
        <v>501141.16895159252</v>
      </c>
      <c r="R650">
        <f t="shared" si="996"/>
        <v>-9115812.623515835</v>
      </c>
      <c r="S650">
        <f t="shared" si="997"/>
        <v>-91.158126235158349</v>
      </c>
      <c r="T650">
        <f t="shared" si="998"/>
        <v>-9.1158126235158343E-2</v>
      </c>
    </row>
    <row r="651" spans="1:20" x14ac:dyDescent="0.25">
      <c r="A651" s="5">
        <v>43942</v>
      </c>
      <c r="B651">
        <v>3.7749999999999999E-2</v>
      </c>
      <c r="C651">
        <v>4.3999999999999997E-2</v>
      </c>
      <c r="D651">
        <v>3.7620000000000001E-2</v>
      </c>
      <c r="E651">
        <v>4.249E-2</v>
      </c>
      <c r="F651">
        <v>10693823</v>
      </c>
      <c r="G651">
        <v>0</v>
      </c>
      <c r="L651" t="s">
        <v>8</v>
      </c>
      <c r="M651" t="s">
        <v>8</v>
      </c>
      <c r="N651" t="s">
        <v>7</v>
      </c>
      <c r="P651">
        <f t="shared" si="994"/>
        <v>0.5266457680250789</v>
      </c>
      <c r="Q651">
        <f t="shared" si="995"/>
        <v>5631856.6269592531</v>
      </c>
      <c r="R651">
        <f t="shared" si="996"/>
        <v>-9616953.7924674284</v>
      </c>
      <c r="S651">
        <f t="shared" si="997"/>
        <v>-96.169537924674287</v>
      </c>
      <c r="T651">
        <f t="shared" si="998"/>
        <v>-9.6169537924674281E-2</v>
      </c>
    </row>
    <row r="652" spans="1:20" x14ac:dyDescent="0.25">
      <c r="A652" s="5">
        <v>43941</v>
      </c>
      <c r="B652">
        <v>4.0039999999999999E-2</v>
      </c>
      <c r="C652">
        <v>4.1000000000000002E-2</v>
      </c>
      <c r="D652">
        <v>3.7260000000000001E-2</v>
      </c>
      <c r="E652">
        <v>3.789E-2</v>
      </c>
      <c r="F652">
        <v>2627852.4</v>
      </c>
      <c r="G652">
        <v>0</v>
      </c>
      <c r="L652" t="s">
        <v>7</v>
      </c>
      <c r="M652" t="s">
        <v>8</v>
      </c>
      <c r="N652" t="s">
        <v>7</v>
      </c>
      <c r="P652">
        <f t="shared" si="994"/>
        <v>-0.66310160427807563</v>
      </c>
      <c r="Q652">
        <f t="shared" si="995"/>
        <v>-1742533.1422459912</v>
      </c>
      <c r="R652">
        <f t="shared" si="996"/>
        <v>-15248810.419426681</v>
      </c>
      <c r="S652">
        <f t="shared" si="997"/>
        <v>-152.48810419426681</v>
      </c>
      <c r="T652">
        <f t="shared" si="998"/>
        <v>-0.15248810419426681</v>
      </c>
    </row>
    <row r="653" spans="1:20" x14ac:dyDescent="0.25">
      <c r="A653" s="5">
        <v>43940</v>
      </c>
      <c r="B653">
        <v>4.1399999999999999E-2</v>
      </c>
      <c r="C653">
        <v>4.1689999999999998E-2</v>
      </c>
      <c r="D653">
        <v>3.925E-2</v>
      </c>
      <c r="E653">
        <v>4.0039999999999999E-2</v>
      </c>
      <c r="F653">
        <v>3090349.3</v>
      </c>
      <c r="G653">
        <v>0</v>
      </c>
      <c r="L653" t="s">
        <v>7</v>
      </c>
      <c r="M653" t="s">
        <v>8</v>
      </c>
      <c r="N653" t="s">
        <v>7</v>
      </c>
      <c r="P653">
        <f t="shared" si="994"/>
        <v>-0.35245901639344279</v>
      </c>
      <c r="Q653">
        <f t="shared" si="995"/>
        <v>-1089221.4745901644</v>
      </c>
      <c r="R653">
        <f t="shared" si="996"/>
        <v>-13506277.27718069</v>
      </c>
      <c r="S653">
        <f t="shared" si="997"/>
        <v>-135.06277277180689</v>
      </c>
      <c r="T653">
        <f t="shared" si="998"/>
        <v>-0.13506277277180689</v>
      </c>
    </row>
    <row r="654" spans="1:20" x14ac:dyDescent="0.25">
      <c r="A654" s="5">
        <v>43939</v>
      </c>
      <c r="B654">
        <v>4.0750000000000001E-2</v>
      </c>
      <c r="C654">
        <v>4.1939999999999998E-2</v>
      </c>
      <c r="D654">
        <v>4.0419999999999998E-2</v>
      </c>
      <c r="E654">
        <v>4.1399999999999999E-2</v>
      </c>
      <c r="F654">
        <v>3368644.3</v>
      </c>
      <c r="G654">
        <v>0</v>
      </c>
      <c r="L654" t="s">
        <v>8</v>
      </c>
      <c r="M654" t="s">
        <v>8</v>
      </c>
      <c r="N654" t="s">
        <v>7</v>
      </c>
      <c r="P654">
        <f t="shared" si="994"/>
        <v>0.2894736842105281</v>
      </c>
      <c r="Q654">
        <f t="shared" si="995"/>
        <v>975133.87631579547</v>
      </c>
      <c r="R654">
        <f t="shared" si="996"/>
        <v>-12417055.802590527</v>
      </c>
      <c r="S654">
        <f t="shared" si="997"/>
        <v>-124.17055802590527</v>
      </c>
      <c r="T654">
        <f t="shared" si="998"/>
        <v>-0.12417055802590526</v>
      </c>
    </row>
    <row r="655" spans="1:20" x14ac:dyDescent="0.25">
      <c r="A655" s="5">
        <v>43938</v>
      </c>
      <c r="B655">
        <v>4.1700000000000001E-2</v>
      </c>
      <c r="C655">
        <v>4.2290000000000001E-2</v>
      </c>
      <c r="D655">
        <v>4.0419999999999998E-2</v>
      </c>
      <c r="E655">
        <v>4.0669999999999998E-2</v>
      </c>
      <c r="F655">
        <v>3148626.7</v>
      </c>
      <c r="G655">
        <v>0</v>
      </c>
      <c r="L655" t="s">
        <v>8</v>
      </c>
      <c r="M655" t="s">
        <v>8</v>
      </c>
      <c r="N655" t="s">
        <v>7</v>
      </c>
      <c r="P655">
        <f t="shared" si="994"/>
        <v>-0.73262032085561524</v>
      </c>
      <c r="Q655">
        <f t="shared" si="995"/>
        <v>-2306747.9032085571</v>
      </c>
      <c r="R655">
        <f t="shared" si="996"/>
        <v>-13392189.678906322</v>
      </c>
      <c r="S655">
        <f t="shared" si="997"/>
        <v>-133.92189678906323</v>
      </c>
      <c r="T655">
        <f t="shared" si="998"/>
        <v>-0.13392189678906322</v>
      </c>
    </row>
    <row r="656" spans="1:20" x14ac:dyDescent="0.25">
      <c r="A656" s="5">
        <v>43937</v>
      </c>
      <c r="B656">
        <v>3.7990000000000003E-2</v>
      </c>
      <c r="C656">
        <v>4.2999999999999997E-2</v>
      </c>
      <c r="D656">
        <v>3.6760000000000001E-2</v>
      </c>
      <c r="E656">
        <v>4.1700000000000001E-2</v>
      </c>
      <c r="F656">
        <v>3841507.2</v>
      </c>
      <c r="G656">
        <v>0</v>
      </c>
      <c r="L656" t="s">
        <v>7</v>
      </c>
      <c r="M656" t="s">
        <v>8</v>
      </c>
      <c r="N656" t="s">
        <v>7</v>
      </c>
      <c r="P656">
        <f t="shared" si="994"/>
        <v>0.58333333333333448</v>
      </c>
      <c r="Q656">
        <f t="shared" si="995"/>
        <v>2240879.2000000044</v>
      </c>
      <c r="R656">
        <f t="shared" si="996"/>
        <v>-11085441.775697764</v>
      </c>
      <c r="S656">
        <f t="shared" si="997"/>
        <v>-110.85441775697764</v>
      </c>
      <c r="T656">
        <f t="shared" si="998"/>
        <v>-0.11085441775697764</v>
      </c>
    </row>
    <row r="657" spans="1:20" x14ac:dyDescent="0.25">
      <c r="A657" s="5">
        <v>43936</v>
      </c>
      <c r="B657">
        <v>4.0599999999999997E-2</v>
      </c>
      <c r="C657">
        <v>4.2000000000000003E-2</v>
      </c>
      <c r="D657">
        <v>3.7650000000000003E-2</v>
      </c>
      <c r="E657">
        <v>3.7990000000000003E-2</v>
      </c>
      <c r="F657">
        <v>1922630.9</v>
      </c>
      <c r="G657">
        <v>0</v>
      </c>
      <c r="L657" t="s">
        <v>7</v>
      </c>
      <c r="M657" t="s">
        <v>8</v>
      </c>
      <c r="N657" t="s">
        <v>7</v>
      </c>
      <c r="P657">
        <f t="shared" si="994"/>
        <v>-0.84367816091954018</v>
      </c>
      <c r="Q657">
        <f t="shared" si="995"/>
        <v>-1622081.7018390803</v>
      </c>
      <c r="R657">
        <f t="shared" si="996"/>
        <v>-13326320.975697769</v>
      </c>
      <c r="S657">
        <f t="shared" si="997"/>
        <v>-133.26320975697769</v>
      </c>
      <c r="T657">
        <f t="shared" si="998"/>
        <v>-0.1332632097569777</v>
      </c>
    </row>
    <row r="658" spans="1:20" x14ac:dyDescent="0.25">
      <c r="A658" s="5">
        <v>43935</v>
      </c>
      <c r="B658">
        <v>4.052E-2</v>
      </c>
      <c r="C658">
        <v>4.2189999999999998E-2</v>
      </c>
      <c r="D658">
        <v>4.0050000000000002E-2</v>
      </c>
      <c r="E658">
        <v>4.0430000000000001E-2</v>
      </c>
      <c r="F658">
        <v>3844193.2</v>
      </c>
      <c r="G658">
        <v>0</v>
      </c>
      <c r="L658" t="s">
        <v>8</v>
      </c>
      <c r="M658" t="s">
        <v>8</v>
      </c>
      <c r="N658" t="s">
        <v>7</v>
      </c>
      <c r="P658">
        <f t="shared" si="994"/>
        <v>-0.644859813084113</v>
      </c>
      <c r="Q658">
        <f t="shared" si="995"/>
        <v>-2478965.7084112181</v>
      </c>
      <c r="R658">
        <f t="shared" si="996"/>
        <v>-11704239.273858689</v>
      </c>
      <c r="S658">
        <f t="shared" si="997"/>
        <v>-117.04239273858688</v>
      </c>
      <c r="T658">
        <f t="shared" si="998"/>
        <v>-0.11704239273858688</v>
      </c>
    </row>
    <row r="659" spans="1:20" x14ac:dyDescent="0.25">
      <c r="A659" s="5">
        <v>43934</v>
      </c>
      <c r="B659">
        <v>3.8769999999999999E-2</v>
      </c>
      <c r="C659">
        <v>4.1610000000000001E-2</v>
      </c>
      <c r="D659">
        <v>3.6330000000000001E-2</v>
      </c>
      <c r="E659">
        <v>4.0599999999999997E-2</v>
      </c>
      <c r="F659">
        <v>9191353.0999999996</v>
      </c>
      <c r="G659">
        <v>0</v>
      </c>
      <c r="L659" t="s">
        <v>7</v>
      </c>
      <c r="M659" t="s">
        <v>8</v>
      </c>
      <c r="N659" t="s">
        <v>7</v>
      </c>
      <c r="P659">
        <f t="shared" si="994"/>
        <v>0.61742424242424088</v>
      </c>
      <c r="Q659">
        <f t="shared" si="995"/>
        <v>5674964.2246211972</v>
      </c>
      <c r="R659">
        <f t="shared" si="996"/>
        <v>-9225273.5654474702</v>
      </c>
      <c r="S659">
        <f t="shared" si="997"/>
        <v>-92.252735654474705</v>
      </c>
      <c r="T659">
        <f t="shared" si="998"/>
        <v>-9.2252735654474699E-2</v>
      </c>
    </row>
    <row r="660" spans="1:20" x14ac:dyDescent="0.25">
      <c r="A660" s="5">
        <v>43933</v>
      </c>
      <c r="B660">
        <v>3.73E-2</v>
      </c>
      <c r="C660">
        <v>4.197E-2</v>
      </c>
      <c r="D660">
        <v>3.6720000000000003E-2</v>
      </c>
      <c r="E660">
        <v>3.8789999999999998E-2</v>
      </c>
      <c r="F660">
        <v>7216149.5999999996</v>
      </c>
      <c r="G660">
        <v>0</v>
      </c>
      <c r="L660" t="s">
        <v>8</v>
      </c>
      <c r="M660" t="s">
        <v>8</v>
      </c>
      <c r="N660" t="s">
        <v>7</v>
      </c>
      <c r="P660">
        <f t="shared" si="994"/>
        <v>-0.21142857142857283</v>
      </c>
      <c r="Q660">
        <f t="shared" si="995"/>
        <v>-1525700.2011428671</v>
      </c>
      <c r="R660">
        <f t="shared" si="996"/>
        <v>-14900237.790068667</v>
      </c>
      <c r="S660">
        <f t="shared" si="997"/>
        <v>-149.00237790068667</v>
      </c>
      <c r="T660">
        <f t="shared" si="998"/>
        <v>-0.14900237790068666</v>
      </c>
    </row>
    <row r="661" spans="1:20" x14ac:dyDescent="0.25">
      <c r="A661" s="5">
        <v>43932</v>
      </c>
      <c r="B661">
        <v>3.8100000000000002E-2</v>
      </c>
      <c r="C661">
        <v>3.9530000000000003E-2</v>
      </c>
      <c r="D661">
        <v>3.6089999999999997E-2</v>
      </c>
      <c r="E661">
        <v>3.73E-2</v>
      </c>
      <c r="F661">
        <v>2633294.5</v>
      </c>
      <c r="G661">
        <v>0</v>
      </c>
      <c r="L661" t="s">
        <v>8</v>
      </c>
      <c r="M661" t="s">
        <v>7</v>
      </c>
      <c r="N661" t="s">
        <v>7</v>
      </c>
      <c r="P661">
        <f t="shared" si="994"/>
        <v>-0.29651162790697627</v>
      </c>
      <c r="Q661">
        <f t="shared" si="995"/>
        <v>-780802.43895348709</v>
      </c>
      <c r="R661">
        <f t="shared" si="996"/>
        <v>-13374537.588925801</v>
      </c>
      <c r="S661">
        <f t="shared" si="997"/>
        <v>-133.74537588925801</v>
      </c>
      <c r="T661">
        <f t="shared" si="998"/>
        <v>-0.133745375889258</v>
      </c>
    </row>
    <row r="662" spans="1:20" x14ac:dyDescent="0.25">
      <c r="A662" s="5">
        <v>43931</v>
      </c>
      <c r="B662">
        <v>4.3139999999999998E-2</v>
      </c>
      <c r="C662">
        <v>4.3430000000000003E-2</v>
      </c>
      <c r="D662">
        <v>3.6209999999999999E-2</v>
      </c>
      <c r="E662">
        <v>3.8100000000000002E-2</v>
      </c>
      <c r="F662">
        <v>5897249.2999999998</v>
      </c>
      <c r="G662">
        <v>0</v>
      </c>
      <c r="L662" t="s">
        <v>7</v>
      </c>
      <c r="M662" t="s">
        <v>7</v>
      </c>
      <c r="N662" t="s">
        <v>7</v>
      </c>
      <c r="P662">
        <f t="shared" si="994"/>
        <v>-0.47645429362880842</v>
      </c>
      <c r="Q662">
        <f t="shared" si="995"/>
        <v>-2809769.7495844848</v>
      </c>
      <c r="R662">
        <f t="shared" si="996"/>
        <v>-12593735.149972314</v>
      </c>
      <c r="S662">
        <f t="shared" si="997"/>
        <v>-125.93735149972314</v>
      </c>
      <c r="T662">
        <f t="shared" si="998"/>
        <v>-0.12593735149972313</v>
      </c>
    </row>
    <row r="663" spans="1:20" x14ac:dyDescent="0.25">
      <c r="A663" s="5">
        <v>43930</v>
      </c>
      <c r="B663">
        <v>4.3810000000000002E-2</v>
      </c>
      <c r="C663">
        <v>4.5269999999999998E-2</v>
      </c>
      <c r="D663">
        <v>4.199E-2</v>
      </c>
      <c r="E663">
        <v>4.3279999999999999E-2</v>
      </c>
      <c r="F663">
        <v>3575106.8</v>
      </c>
      <c r="G663">
        <v>0</v>
      </c>
      <c r="L663" t="s">
        <v>8</v>
      </c>
      <c r="M663" t="s">
        <v>7</v>
      </c>
      <c r="N663" t="s">
        <v>7</v>
      </c>
      <c r="P663">
        <f t="shared" si="994"/>
        <v>-0.21341463414634135</v>
      </c>
      <c r="Q663">
        <f t="shared" si="995"/>
        <v>-762980.10975609708</v>
      </c>
      <c r="R663">
        <f t="shared" si="996"/>
        <v>-9783965.4003878292</v>
      </c>
      <c r="S663">
        <f t="shared" si="997"/>
        <v>-97.839654003878294</v>
      </c>
      <c r="T663">
        <f t="shared" si="998"/>
        <v>-9.7839654003878299E-2</v>
      </c>
    </row>
    <row r="664" spans="1:20" x14ac:dyDescent="0.25">
      <c r="A664" s="5">
        <v>43929</v>
      </c>
      <c r="B664">
        <v>4.3299999999999998E-2</v>
      </c>
      <c r="C664">
        <v>4.6989999999999997E-2</v>
      </c>
      <c r="D664">
        <v>4.1820000000000003E-2</v>
      </c>
      <c r="E664">
        <v>4.3810000000000002E-2</v>
      </c>
      <c r="F664">
        <v>9489845.6999999993</v>
      </c>
      <c r="G664">
        <v>0</v>
      </c>
      <c r="L664" t="s">
        <v>7</v>
      </c>
      <c r="M664" t="s">
        <v>7</v>
      </c>
      <c r="N664" t="s">
        <v>7</v>
      </c>
      <c r="P664">
        <f t="shared" si="994"/>
        <v>-0.23017408123791064</v>
      </c>
      <c r="Q664">
        <f t="shared" si="995"/>
        <v>-2184316.5150870369</v>
      </c>
      <c r="R664">
        <f t="shared" si="996"/>
        <v>-9020985.290631732</v>
      </c>
      <c r="S664">
        <f t="shared" si="997"/>
        <v>-90.209852906317323</v>
      </c>
      <c r="T664">
        <f t="shared" si="998"/>
        <v>-9.020985290631732E-2</v>
      </c>
    </row>
    <row r="665" spans="1:20" x14ac:dyDescent="0.25">
      <c r="A665" s="5">
        <v>43928</v>
      </c>
      <c r="B665">
        <v>4.088E-2</v>
      </c>
      <c r="C665">
        <v>8.9990000000000001E-2</v>
      </c>
      <c r="D665">
        <v>4.088E-2</v>
      </c>
      <c r="E665">
        <v>4.317E-2</v>
      </c>
      <c r="F665">
        <v>7539833.9000000004</v>
      </c>
      <c r="G665">
        <v>0</v>
      </c>
      <c r="P665">
        <f t="shared" si="994"/>
        <v>-0.90673997149256769</v>
      </c>
      <c r="Q665">
        <f t="shared" si="995"/>
        <v>-6836668.7755446956</v>
      </c>
      <c r="R665">
        <f t="shared" si="996"/>
        <v>-6836668.7755446956</v>
      </c>
      <c r="S665">
        <f t="shared" si="997"/>
        <v>-68.366687755446961</v>
      </c>
      <c r="T665">
        <f t="shared" si="998"/>
        <v>-6.8366687755446964E-2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MJ721" sqref="MJ72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$A$720</v>
      </c>
      <c r="D111" s="1" t="str">
        <f>ADDRESS(C121-1,D121,1,1)</f>
        <v>$MJ$720</v>
      </c>
      <c r="E111"/>
    </row>
    <row r="112" spans="1:5" x14ac:dyDescent="0.25">
      <c r="A112" s="7">
        <v>12164.144957890772</v>
      </c>
      <c r="C112" s="1" t="str">
        <f>ADDRESS(C121,1,1,1)</f>
        <v>$A$721</v>
      </c>
      <c r="D112" s="1" t="str">
        <f>ADDRESS(C121,D121-1,1,1)</f>
        <v>$MI$721</v>
      </c>
      <c r="E112"/>
    </row>
    <row r="113" spans="1:5" x14ac:dyDescent="0.25">
      <c r="A113" s="7">
        <v>11925.63231165762</v>
      </c>
      <c r="C113" s="1" t="str">
        <f>ADDRESS(C121+1,1,1,1)</f>
        <v>$A$722</v>
      </c>
      <c r="D113" s="1" t="str">
        <f>ADDRESS(C121-1,D121+1,1,1)</f>
        <v>$MK$720</v>
      </c>
    </row>
    <row r="114" spans="1:5" x14ac:dyDescent="0.25">
      <c r="A114" s="7">
        <v>11691.796383978059</v>
      </c>
      <c r="C114" s="1" t="str">
        <f>ADDRESS(C121,D121,1,1)</f>
        <v>$MJ$721</v>
      </c>
      <c r="D114" s="1" t="str">
        <f>ADDRESS(C121+1,D121+1,1,1)</f>
        <v>$MK$722</v>
      </c>
    </row>
    <row r="115" spans="1:5" x14ac:dyDescent="0.25">
      <c r="A115" s="7">
        <v>11462.545474488292</v>
      </c>
      <c r="C115" s="1" t="str">
        <f>ADDRESS(C121+1,D121,1,1)</f>
        <v>$MJ$722</v>
      </c>
    </row>
    <row r="116" spans="1:5" x14ac:dyDescent="0.25">
      <c r="A116" s="7">
        <v>11237.789680870874</v>
      </c>
      <c r="C116" s="1">
        <f>C117-1</f>
        <v>720</v>
      </c>
    </row>
    <row r="117" spans="1:5" x14ac:dyDescent="0.25">
      <c r="A117" s="7">
        <v>11017.440863598895</v>
      </c>
      <c r="C117" s="1">
        <f>C121</f>
        <v>721</v>
      </c>
      <c r="D117" s="1">
        <f>D121</f>
        <v>348</v>
      </c>
    </row>
    <row r="118" spans="1:5" x14ac:dyDescent="0.25">
      <c r="A118" s="7">
        <v>10801.412611371465</v>
      </c>
      <c r="C118" s="1">
        <f>C117+1</f>
        <v>722</v>
      </c>
      <c r="D118" s="1">
        <f>D117+1</f>
        <v>349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721</v>
      </c>
      <c r="D121" s="19">
        <v>348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R721</v>
      </c>
      <c r="D123" s="1" t="str">
        <f>"C"&amp;D121</f>
        <v>C348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7.0400701055846782E-2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 t="s">
        <v>34</v>
      </c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223" x14ac:dyDescent="0.25">
      <c r="A641" s="7">
        <v>0.34323433454431179</v>
      </c>
      <c r="B641"/>
      <c r="C641"/>
      <c r="D641"/>
      <c r="E641"/>
      <c r="F641" s="27" t="s">
        <v>7</v>
      </c>
    </row>
    <row r="642" spans="1:223" x14ac:dyDescent="0.25">
      <c r="A642" s="7">
        <v>0.33650424955324681</v>
      </c>
      <c r="B642"/>
      <c r="C642"/>
      <c r="D642"/>
      <c r="E642"/>
      <c r="F642" s="27" t="s">
        <v>7</v>
      </c>
    </row>
    <row r="643" spans="1:223" x14ac:dyDescent="0.25">
      <c r="A643" s="7">
        <v>0.3299061270129871</v>
      </c>
      <c r="B643"/>
      <c r="C643"/>
      <c r="D643"/>
      <c r="E643"/>
      <c r="F643" s="27" t="s">
        <v>7</v>
      </c>
    </row>
    <row r="644" spans="1:223" x14ac:dyDescent="0.25">
      <c r="A644" s="7">
        <v>0.32343737942449713</v>
      </c>
      <c r="B644"/>
      <c r="C644"/>
      <c r="D644"/>
      <c r="E644"/>
      <c r="F644" s="27" t="s">
        <v>7</v>
      </c>
    </row>
    <row r="645" spans="1:223" x14ac:dyDescent="0.25">
      <c r="A645" s="7">
        <v>0.31709547002401678</v>
      </c>
      <c r="B645"/>
      <c r="C645"/>
      <c r="D645"/>
      <c r="E645"/>
      <c r="F645" s="27" t="s">
        <v>7</v>
      </c>
      <c r="GC645" s="27" t="s">
        <v>8</v>
      </c>
    </row>
    <row r="646" spans="1:223" x14ac:dyDescent="0.25">
      <c r="A646" s="7">
        <v>0.31087791178825175</v>
      </c>
      <c r="B646"/>
      <c r="C646"/>
      <c r="D646"/>
      <c r="E646"/>
      <c r="F646" s="27" t="s">
        <v>7</v>
      </c>
      <c r="GC646" s="27" t="s">
        <v>8</v>
      </c>
      <c r="GD646" s="27" t="s">
        <v>7</v>
      </c>
    </row>
    <row r="647" spans="1:223" x14ac:dyDescent="0.25">
      <c r="A647" s="7">
        <v>0.30478226645907036</v>
      </c>
      <c r="B647"/>
      <c r="C647"/>
      <c r="D647"/>
      <c r="E647"/>
      <c r="F647" s="27" t="s">
        <v>7</v>
      </c>
      <c r="GC647" s="27" t="s">
        <v>8</v>
      </c>
      <c r="GD647" s="27" t="s">
        <v>7</v>
      </c>
    </row>
    <row r="648" spans="1:223" x14ac:dyDescent="0.25">
      <c r="A648" s="7">
        <v>0.29880614358732388</v>
      </c>
      <c r="B648"/>
      <c r="C648"/>
      <c r="D648"/>
      <c r="E648"/>
      <c r="F648" s="27" t="s">
        <v>7</v>
      </c>
      <c r="GC648" s="27" t="s">
        <v>8</v>
      </c>
      <c r="GD648" s="27" t="s">
        <v>7</v>
      </c>
    </row>
    <row r="649" spans="1:223" x14ac:dyDescent="0.25">
      <c r="A649" s="7">
        <v>0.2929471995954156</v>
      </c>
      <c r="B649"/>
      <c r="C649"/>
      <c r="D649"/>
      <c r="E649"/>
      <c r="F649" s="27" t="s">
        <v>7</v>
      </c>
      <c r="GC649" s="27" t="s">
        <v>8</v>
      </c>
      <c r="GD649" s="27" t="s">
        <v>7</v>
      </c>
    </row>
    <row r="650" spans="1:223" x14ac:dyDescent="0.25">
      <c r="A650" s="7">
        <v>0.28720313685825055</v>
      </c>
      <c r="B650"/>
      <c r="C650"/>
      <c r="D650"/>
      <c r="E650"/>
      <c r="F650" s="27" t="s">
        <v>7</v>
      </c>
      <c r="GC650" s="27" t="s">
        <v>8</v>
      </c>
      <c r="GD650" s="27" t="s">
        <v>7</v>
      </c>
    </row>
    <row r="651" spans="1:223" x14ac:dyDescent="0.25">
      <c r="A651" s="7">
        <v>0.28157170280220645</v>
      </c>
      <c r="B651"/>
      <c r="C651"/>
      <c r="D651"/>
      <c r="E651"/>
      <c r="F651" s="27" t="s">
        <v>7</v>
      </c>
      <c r="GC651" s="27" t="s">
        <v>8</v>
      </c>
      <c r="GD651" s="27" t="s">
        <v>7</v>
      </c>
    </row>
    <row r="652" spans="1:223" x14ac:dyDescent="0.25">
      <c r="A652" s="7">
        <v>0.27605068902177105</v>
      </c>
      <c r="B652"/>
      <c r="C652"/>
      <c r="D652"/>
      <c r="E652"/>
      <c r="F652" s="27" t="s">
        <v>7</v>
      </c>
      <c r="GC652" s="27" t="s">
        <v>8</v>
      </c>
      <c r="GD652" s="27" t="s">
        <v>7</v>
      </c>
    </row>
    <row r="653" spans="1:223" x14ac:dyDescent="0.25">
      <c r="A653" s="7">
        <v>0.27063793041350104</v>
      </c>
      <c r="B653"/>
      <c r="C653"/>
      <c r="D653"/>
      <c r="E653"/>
      <c r="F653" s="27" t="s">
        <v>7</v>
      </c>
      <c r="GC653" s="27" t="s">
        <v>8</v>
      </c>
      <c r="GD653" s="27" t="s">
        <v>7</v>
      </c>
    </row>
    <row r="654" spans="1:223" x14ac:dyDescent="0.25">
      <c r="A654" s="7">
        <v>0.26533130432696184</v>
      </c>
      <c r="B654"/>
      <c r="C654"/>
      <c r="D654"/>
      <c r="E654"/>
      <c r="F654" s="27" t="s">
        <v>7</v>
      </c>
      <c r="GC654" s="27" t="s">
        <v>8</v>
      </c>
      <c r="GD654" s="27" t="s">
        <v>7</v>
      </c>
    </row>
    <row r="655" spans="1:223" x14ac:dyDescent="0.25">
      <c r="A655" s="7">
        <v>0.26012872973231554</v>
      </c>
      <c r="B655"/>
      <c r="C655"/>
      <c r="D655"/>
      <c r="E655"/>
      <c r="F655" s="27" t="s">
        <v>7</v>
      </c>
      <c r="GC655" s="27" t="s">
        <v>8</v>
      </c>
      <c r="GD655" s="27" t="s">
        <v>7</v>
      </c>
    </row>
    <row r="656" spans="1:223" x14ac:dyDescent="0.25">
      <c r="A656" s="7">
        <v>0.25502816640423093</v>
      </c>
      <c r="B656"/>
      <c r="C656"/>
      <c r="D656"/>
      <c r="E656"/>
      <c r="F656" s="27" t="s">
        <v>7</v>
      </c>
      <c r="GC656" s="27" t="s">
        <v>8</v>
      </c>
      <c r="GD656" s="27" t="s">
        <v>7</v>
      </c>
      <c r="HO656" s="27" t="s">
        <v>8</v>
      </c>
    </row>
    <row r="657" spans="1:318" x14ac:dyDescent="0.25">
      <c r="A657" s="7">
        <v>0.25002761412179503</v>
      </c>
      <c r="B657"/>
      <c r="C657"/>
      <c r="D657"/>
      <c r="E657"/>
      <c r="F657" s="27" t="s">
        <v>7</v>
      </c>
      <c r="GC657" s="27" t="s">
        <v>8</v>
      </c>
      <c r="GD657" s="27" t="s">
        <v>7</v>
      </c>
      <c r="HO657" s="27" t="s">
        <v>8</v>
      </c>
      <c r="HP657" s="27" t="s">
        <v>7</v>
      </c>
    </row>
    <row r="658" spans="1:318" x14ac:dyDescent="0.25">
      <c r="A658" s="7">
        <v>0.24512511188411276</v>
      </c>
      <c r="B658"/>
      <c r="C658"/>
      <c r="D658"/>
      <c r="E658"/>
      <c r="F658" s="27" t="s">
        <v>7</v>
      </c>
      <c r="GC658" s="27" t="s">
        <v>8</v>
      </c>
      <c r="GD658" s="27" t="s">
        <v>7</v>
      </c>
      <c r="HO658" s="27" t="s">
        <v>8</v>
      </c>
      <c r="HP658" s="27" t="s">
        <v>7</v>
      </c>
    </row>
    <row r="659" spans="1:318" x14ac:dyDescent="0.25">
      <c r="A659" s="7">
        <v>0.24031873714128701</v>
      </c>
      <c r="B659"/>
      <c r="C659"/>
      <c r="D659"/>
      <c r="E659"/>
      <c r="F659" s="27" t="s">
        <v>7</v>
      </c>
      <c r="GC659" s="27" t="s">
        <v>8</v>
      </c>
      <c r="GD659" s="27" t="s">
        <v>7</v>
      </c>
      <c r="HO659" s="27" t="s">
        <v>8</v>
      </c>
      <c r="HP659" s="27" t="s">
        <v>7</v>
      </c>
    </row>
    <row r="660" spans="1:318" x14ac:dyDescent="0.25">
      <c r="A660" s="7">
        <v>0.23560660504047748</v>
      </c>
      <c r="B660"/>
      <c r="C660"/>
      <c r="D660"/>
      <c r="E660"/>
      <c r="F660" s="27" t="s">
        <v>7</v>
      </c>
      <c r="GC660" s="27" t="s">
        <v>8</v>
      </c>
      <c r="GD660" s="27" t="s">
        <v>7</v>
      </c>
      <c r="HO660" s="27" t="s">
        <v>8</v>
      </c>
      <c r="HP660" s="27" t="s">
        <v>7</v>
      </c>
    </row>
    <row r="661" spans="1:318" x14ac:dyDescent="0.25">
      <c r="A661" s="7">
        <v>0.23098686768674265</v>
      </c>
      <c r="B661"/>
      <c r="C661"/>
      <c r="D661"/>
      <c r="E661"/>
      <c r="F661" s="27" t="s">
        <v>7</v>
      </c>
      <c r="GC661" s="27" t="s">
        <v>8</v>
      </c>
      <c r="GD661" s="27" t="s">
        <v>7</v>
      </c>
      <c r="HO661" s="27" t="s">
        <v>8</v>
      </c>
      <c r="HP661" s="27" t="s">
        <v>7</v>
      </c>
    </row>
    <row r="662" spans="1:318" x14ac:dyDescent="0.25">
      <c r="A662" s="7">
        <v>0.22645771341837515</v>
      </c>
      <c r="B662"/>
      <c r="C662"/>
      <c r="D662"/>
      <c r="E662"/>
      <c r="F662" s="27" t="s">
        <v>7</v>
      </c>
      <c r="GC662" s="27" t="s">
        <v>8</v>
      </c>
      <c r="GD662" s="27" t="s">
        <v>7</v>
      </c>
      <c r="GG662" s="27" t="s">
        <v>8</v>
      </c>
      <c r="HO662" s="27" t="s">
        <v>8</v>
      </c>
      <c r="HP662" s="27" t="s">
        <v>7</v>
      </c>
    </row>
    <row r="663" spans="1:318" x14ac:dyDescent="0.25">
      <c r="A663" s="7">
        <v>0.22201736609644623</v>
      </c>
      <c r="B663"/>
      <c r="C663"/>
      <c r="D663"/>
      <c r="E663"/>
      <c r="F663" s="27" t="s">
        <v>7</v>
      </c>
      <c r="GC663" s="27" t="s">
        <v>8</v>
      </c>
      <c r="GD663" s="27" t="s">
        <v>7</v>
      </c>
      <c r="GE663" s="27" t="s">
        <v>8</v>
      </c>
      <c r="GG663" s="27" t="s">
        <v>8</v>
      </c>
      <c r="GH663" s="27" t="s">
        <v>7</v>
      </c>
      <c r="HO663" s="27" t="s">
        <v>8</v>
      </c>
      <c r="HP663" s="27" t="s">
        <v>7</v>
      </c>
      <c r="KC663" s="27" t="s">
        <v>8</v>
      </c>
    </row>
    <row r="664" spans="1:318" x14ac:dyDescent="0.25">
      <c r="A664" s="7">
        <v>0.21766408440828061</v>
      </c>
      <c r="B664"/>
      <c r="C664"/>
      <c r="D664"/>
      <c r="E664"/>
      <c r="F664" s="27" t="s">
        <v>7</v>
      </c>
      <c r="GC664" s="27" t="s">
        <v>8</v>
      </c>
      <c r="GD664" s="27" t="s">
        <v>7</v>
      </c>
      <c r="GE664" s="27" t="s">
        <v>8</v>
      </c>
      <c r="GF664" s="27" t="s">
        <v>7</v>
      </c>
      <c r="GG664" s="27" t="s">
        <v>8</v>
      </c>
      <c r="GH664" s="27" t="s">
        <v>7</v>
      </c>
      <c r="HO664" s="27" t="s">
        <v>8</v>
      </c>
      <c r="HP664" s="27" t="s">
        <v>7</v>
      </c>
      <c r="HQ664" s="27" t="s">
        <v>8</v>
      </c>
      <c r="KC664" s="27" t="s">
        <v>8</v>
      </c>
      <c r="KD664" s="27" t="s">
        <v>7</v>
      </c>
      <c r="LE664" s="27" t="s">
        <v>8</v>
      </c>
    </row>
    <row r="665" spans="1:318" x14ac:dyDescent="0.25">
      <c r="A665" s="7">
        <v>0.21339616118458882</v>
      </c>
      <c r="B665"/>
      <c r="C665"/>
      <c r="D665"/>
      <c r="E665"/>
      <c r="F665" s="27" t="s">
        <v>7</v>
      </c>
      <c r="GC665" s="27" t="s">
        <v>8</v>
      </c>
      <c r="GD665" s="27" t="s">
        <v>7</v>
      </c>
      <c r="GE665" s="27" t="s">
        <v>8</v>
      </c>
      <c r="GF665" s="27" t="s">
        <v>7</v>
      </c>
      <c r="GG665" s="27" t="s">
        <v>8</v>
      </c>
      <c r="GH665" s="27" t="s">
        <v>7</v>
      </c>
      <c r="GK665" s="27" t="s">
        <v>8</v>
      </c>
      <c r="HO665" s="27" t="s">
        <v>8</v>
      </c>
      <c r="HP665" s="27" t="s">
        <v>7</v>
      </c>
      <c r="HQ665" s="27" t="s">
        <v>8</v>
      </c>
      <c r="HR665" s="27" t="s">
        <v>7</v>
      </c>
      <c r="HS665" s="27" t="s">
        <v>8</v>
      </c>
      <c r="KC665" s="27" t="s">
        <v>8</v>
      </c>
      <c r="KD665" s="27" t="s">
        <v>7</v>
      </c>
      <c r="LE665" s="27" t="s">
        <v>8</v>
      </c>
      <c r="LF665" s="27" t="s">
        <v>7</v>
      </c>
    </row>
    <row r="666" spans="1:318" x14ac:dyDescent="0.25">
      <c r="A666" s="7">
        <v>0.20921192272998904</v>
      </c>
      <c r="B666"/>
      <c r="C666"/>
      <c r="D666"/>
      <c r="E666"/>
      <c r="F666" s="27" t="s">
        <v>7</v>
      </c>
      <c r="GC666" s="27" t="s">
        <v>8</v>
      </c>
      <c r="GD666" s="27" t="s">
        <v>7</v>
      </c>
      <c r="GE666" s="27" t="s">
        <v>8</v>
      </c>
      <c r="GF666" s="27" t="s">
        <v>7</v>
      </c>
      <c r="GG666" s="27" t="s">
        <v>8</v>
      </c>
      <c r="GH666" s="27" t="s">
        <v>7</v>
      </c>
      <c r="GI666" s="27" t="s">
        <v>8</v>
      </c>
      <c r="GK666" s="27" t="s">
        <v>8</v>
      </c>
      <c r="GL666" s="27" t="s">
        <v>7</v>
      </c>
      <c r="HO666" s="27" t="s">
        <v>8</v>
      </c>
      <c r="HP666" s="27" t="s">
        <v>7</v>
      </c>
      <c r="HQ666" s="27" t="s">
        <v>8</v>
      </c>
      <c r="HR666" s="27" t="s">
        <v>7</v>
      </c>
      <c r="HS666" s="27" t="s">
        <v>8</v>
      </c>
      <c r="HT666" s="27" t="s">
        <v>7</v>
      </c>
      <c r="KC666" s="27" t="s">
        <v>8</v>
      </c>
      <c r="KD666" s="27" t="s">
        <v>7</v>
      </c>
      <c r="LE666" s="27" t="s">
        <v>8</v>
      </c>
      <c r="LF666" s="27" t="s">
        <v>7</v>
      </c>
    </row>
    <row r="667" spans="1:318" x14ac:dyDescent="0.25">
      <c r="A667" s="7">
        <v>0.20510972816665593</v>
      </c>
      <c r="B667"/>
      <c r="C667"/>
      <c r="D667"/>
      <c r="E667"/>
      <c r="F667" s="27" t="s">
        <v>7</v>
      </c>
      <c r="FS667" s="27" t="s">
        <v>8</v>
      </c>
      <c r="GC667" s="27" t="s">
        <v>8</v>
      </c>
      <c r="GD667" s="27" t="s">
        <v>7</v>
      </c>
      <c r="GE667" s="27" t="s">
        <v>8</v>
      </c>
      <c r="GF667" s="27" t="s">
        <v>7</v>
      </c>
      <c r="GG667" s="27" t="s">
        <v>8</v>
      </c>
      <c r="GH667" s="27" t="s">
        <v>7</v>
      </c>
      <c r="GI667" s="27" t="s">
        <v>8</v>
      </c>
      <c r="GJ667" s="27" t="s">
        <v>7</v>
      </c>
      <c r="GK667" s="27" t="s">
        <v>8</v>
      </c>
      <c r="GL667" s="27" t="s">
        <v>7</v>
      </c>
      <c r="GU667" s="27" t="s">
        <v>8</v>
      </c>
      <c r="HO667" s="27" t="s">
        <v>8</v>
      </c>
      <c r="HP667" s="27" t="s">
        <v>7</v>
      </c>
      <c r="HQ667" s="27" t="s">
        <v>8</v>
      </c>
      <c r="HR667" s="27" t="s">
        <v>7</v>
      </c>
      <c r="HS667" s="27" t="s">
        <v>8</v>
      </c>
      <c r="HT667" s="27" t="s">
        <v>7</v>
      </c>
      <c r="KC667" s="27" t="s">
        <v>8</v>
      </c>
      <c r="KD667" s="27" t="s">
        <v>7</v>
      </c>
      <c r="LE667" s="27" t="s">
        <v>8</v>
      </c>
      <c r="LF667" s="27" t="s">
        <v>7</v>
      </c>
    </row>
    <row r="668" spans="1:318" x14ac:dyDescent="0.25">
      <c r="A668" s="7">
        <v>0.20108796879083912</v>
      </c>
      <c r="B668"/>
      <c r="C668"/>
      <c r="D668"/>
      <c r="E668"/>
      <c r="F668" s="27" t="s">
        <v>7</v>
      </c>
      <c r="FS668" s="27" t="s">
        <v>8</v>
      </c>
      <c r="FT668" s="27" t="s">
        <v>7</v>
      </c>
      <c r="GC668" s="27" t="s">
        <v>8</v>
      </c>
      <c r="GD668" s="27" t="s">
        <v>7</v>
      </c>
      <c r="GE668" s="27" t="s">
        <v>8</v>
      </c>
      <c r="GF668" s="27" t="s">
        <v>7</v>
      </c>
      <c r="GG668" s="27" t="s">
        <v>8</v>
      </c>
      <c r="GH668" s="27" t="s">
        <v>7</v>
      </c>
      <c r="GI668" s="27" t="s">
        <v>8</v>
      </c>
      <c r="GJ668" s="27" t="s">
        <v>7</v>
      </c>
      <c r="GK668" s="27" t="s">
        <v>8</v>
      </c>
      <c r="GL668" s="27" t="s">
        <v>7</v>
      </c>
      <c r="GU668" s="27" t="s">
        <v>8</v>
      </c>
      <c r="GV668" s="27" t="s">
        <v>7</v>
      </c>
      <c r="HO668" s="27" t="s">
        <v>8</v>
      </c>
      <c r="HP668" s="27" t="s">
        <v>7</v>
      </c>
      <c r="HQ668" s="27" t="s">
        <v>8</v>
      </c>
      <c r="HR668" s="27" t="s">
        <v>7</v>
      </c>
      <c r="HS668" s="27" t="s">
        <v>8</v>
      </c>
      <c r="HT668" s="27" t="s">
        <v>7</v>
      </c>
      <c r="KC668" s="27" t="s">
        <v>8</v>
      </c>
      <c r="KD668" s="27" t="s">
        <v>7</v>
      </c>
      <c r="LE668" s="27" t="s">
        <v>8</v>
      </c>
      <c r="LF668" s="27" t="s">
        <v>7</v>
      </c>
    </row>
    <row r="669" spans="1:318" x14ac:dyDescent="0.25">
      <c r="A669" s="7">
        <v>0.19714506744199917</v>
      </c>
      <c r="B669"/>
      <c r="C669"/>
      <c r="D669"/>
      <c r="E669"/>
      <c r="F669" s="27" t="s">
        <v>7</v>
      </c>
      <c r="FS669" s="27" t="s">
        <v>8</v>
      </c>
      <c r="FT669" s="27" t="s">
        <v>7</v>
      </c>
      <c r="FY669" s="27" t="s">
        <v>8</v>
      </c>
      <c r="GC669" s="27" t="s">
        <v>8</v>
      </c>
      <c r="GD669" s="27" t="s">
        <v>7</v>
      </c>
      <c r="GE669" s="27" t="s">
        <v>8</v>
      </c>
      <c r="GF669" s="27" t="s">
        <v>7</v>
      </c>
      <c r="GH669" s="27" t="s">
        <v>7</v>
      </c>
      <c r="GI669" s="27" t="s">
        <v>8</v>
      </c>
      <c r="GJ669" s="27" t="s">
        <v>7</v>
      </c>
      <c r="GK669" s="27" t="s">
        <v>8</v>
      </c>
      <c r="GL669" s="27" t="s">
        <v>7</v>
      </c>
      <c r="GU669" s="27" t="s">
        <v>8</v>
      </c>
      <c r="GV669" s="27" t="s">
        <v>7</v>
      </c>
      <c r="HO669" s="27" t="s">
        <v>8</v>
      </c>
      <c r="HP669" s="27" t="s">
        <v>7</v>
      </c>
      <c r="HQ669" s="27" t="s">
        <v>8</v>
      </c>
      <c r="HR669" s="27" t="s">
        <v>7</v>
      </c>
      <c r="HS669" s="27" t="s">
        <v>8</v>
      </c>
      <c r="HT669" s="27" t="s">
        <v>7</v>
      </c>
      <c r="KC669" s="27" t="s">
        <v>8</v>
      </c>
      <c r="KD669" s="27" t="s">
        <v>7</v>
      </c>
      <c r="LE669" s="27" t="s">
        <v>8</v>
      </c>
      <c r="LF669" s="27" t="s">
        <v>7</v>
      </c>
    </row>
    <row r="670" spans="1:318" x14ac:dyDescent="0.25">
      <c r="A670" s="7">
        <v>0.19327947788431293</v>
      </c>
      <c r="B670"/>
      <c r="C670"/>
      <c r="D670"/>
      <c r="E670"/>
      <c r="F670" s="27" t="s">
        <v>7</v>
      </c>
      <c r="FS670" s="27" t="s">
        <v>8</v>
      </c>
      <c r="FT670" s="27" t="s">
        <v>7</v>
      </c>
      <c r="FY670" s="27" t="s">
        <v>8</v>
      </c>
      <c r="FZ670" s="27" t="s">
        <v>7</v>
      </c>
      <c r="GC670" s="27" t="s">
        <v>8</v>
      </c>
      <c r="GD670" s="27" t="s">
        <v>7</v>
      </c>
      <c r="GE670" s="27" t="s">
        <v>8</v>
      </c>
      <c r="GH670" s="27" t="s">
        <v>7</v>
      </c>
      <c r="GI670" s="27" t="s">
        <v>8</v>
      </c>
      <c r="GJ670" s="27" t="s">
        <v>7</v>
      </c>
      <c r="GK670" s="27" t="s">
        <v>8</v>
      </c>
      <c r="GL670" s="27" t="s">
        <v>7</v>
      </c>
      <c r="GU670" s="27" t="s">
        <v>8</v>
      </c>
      <c r="GV670" s="27" t="s">
        <v>7</v>
      </c>
      <c r="GY670" s="27" t="s">
        <v>8</v>
      </c>
      <c r="HO670" s="27" t="s">
        <v>8</v>
      </c>
      <c r="HP670" s="27" t="s">
        <v>7</v>
      </c>
      <c r="HQ670" s="27" t="s">
        <v>8</v>
      </c>
      <c r="HR670" s="27" t="s">
        <v>7</v>
      </c>
      <c r="HS670" s="27" t="s">
        <v>8</v>
      </c>
      <c r="HT670" s="27" t="s">
        <v>7</v>
      </c>
      <c r="KC670" s="27" t="s">
        <v>8</v>
      </c>
      <c r="KD670" s="27" t="s">
        <v>7</v>
      </c>
      <c r="LE670" s="27" t="s">
        <v>8</v>
      </c>
      <c r="LF670" s="27" t="s">
        <v>7</v>
      </c>
    </row>
    <row r="671" spans="1:318" x14ac:dyDescent="0.25">
      <c r="A671" s="7">
        <v>0.18948968420030682</v>
      </c>
      <c r="B671"/>
      <c r="C671"/>
      <c r="D671"/>
      <c r="E671"/>
      <c r="F671" s="27" t="s">
        <v>7</v>
      </c>
      <c r="EY671" s="27" t="s">
        <v>8</v>
      </c>
      <c r="FS671" s="27" t="s">
        <v>8</v>
      </c>
      <c r="FT671" s="27" t="s">
        <v>7</v>
      </c>
      <c r="FY671" s="27" t="s">
        <v>8</v>
      </c>
      <c r="FZ671" s="27" t="s">
        <v>7</v>
      </c>
      <c r="GA671" s="27" t="s">
        <v>8</v>
      </c>
      <c r="GC671" s="27" t="s">
        <v>8</v>
      </c>
      <c r="GD671" s="27" t="s">
        <v>7</v>
      </c>
      <c r="GH671" s="27" t="s">
        <v>7</v>
      </c>
      <c r="GI671" s="27" t="s">
        <v>8</v>
      </c>
      <c r="GJ671" s="27" t="s">
        <v>7</v>
      </c>
      <c r="GK671" s="27" t="s">
        <v>8</v>
      </c>
      <c r="GL671" s="27" t="s">
        <v>7</v>
      </c>
      <c r="GU671" s="27" t="s">
        <v>8</v>
      </c>
      <c r="GV671" s="27" t="s">
        <v>7</v>
      </c>
      <c r="GY671" s="27" t="s">
        <v>8</v>
      </c>
      <c r="GZ671" s="27" t="s">
        <v>7</v>
      </c>
      <c r="HO671" s="27" t="s">
        <v>8</v>
      </c>
      <c r="HP671" s="27" t="s">
        <v>7</v>
      </c>
      <c r="HQ671" s="27" t="s">
        <v>8</v>
      </c>
      <c r="HR671" s="27" t="s">
        <v>7</v>
      </c>
      <c r="HS671" s="27" t="s">
        <v>8</v>
      </c>
      <c r="HT671" s="27" t="s">
        <v>7</v>
      </c>
      <c r="KC671" s="27" t="s">
        <v>8</v>
      </c>
      <c r="KD671" s="27" t="s">
        <v>7</v>
      </c>
      <c r="LA671" s="27" t="s">
        <v>8</v>
      </c>
      <c r="LE671" s="27" t="s">
        <v>8</v>
      </c>
      <c r="LF671" s="27" t="s">
        <v>7</v>
      </c>
    </row>
    <row r="672" spans="1:318" x14ac:dyDescent="0.25">
      <c r="A672" s="7">
        <v>0.18577420019637925</v>
      </c>
      <c r="B672"/>
      <c r="C672"/>
      <c r="D672"/>
      <c r="E672"/>
      <c r="F672" s="27" t="s">
        <v>7</v>
      </c>
      <c r="EY672" s="27" t="s">
        <v>8</v>
      </c>
      <c r="EZ672" s="27" t="s">
        <v>7</v>
      </c>
      <c r="FS672" s="27" t="s">
        <v>8</v>
      </c>
      <c r="FT672" s="27" t="s">
        <v>7</v>
      </c>
      <c r="FY672" s="27" t="s">
        <v>8</v>
      </c>
      <c r="FZ672" s="27" t="s">
        <v>7</v>
      </c>
      <c r="GA672" s="27" t="s">
        <v>8</v>
      </c>
      <c r="GB672" s="27" t="s">
        <v>7</v>
      </c>
      <c r="GC672" s="27" t="s">
        <v>8</v>
      </c>
      <c r="GH672" s="27" t="s">
        <v>7</v>
      </c>
      <c r="GJ672" s="27" t="s">
        <v>7</v>
      </c>
      <c r="GK672" s="27" t="s">
        <v>8</v>
      </c>
      <c r="GL672" s="27" t="s">
        <v>7</v>
      </c>
      <c r="GU672" s="27" t="s">
        <v>8</v>
      </c>
      <c r="GV672" s="27" t="s">
        <v>7</v>
      </c>
      <c r="GY672" s="27" t="s">
        <v>8</v>
      </c>
      <c r="GZ672" s="27" t="s">
        <v>7</v>
      </c>
      <c r="HO672" s="27" t="s">
        <v>8</v>
      </c>
      <c r="HP672" s="27" t="s">
        <v>7</v>
      </c>
      <c r="HQ672" s="27" t="s">
        <v>8</v>
      </c>
      <c r="HR672" s="27" t="s">
        <v>7</v>
      </c>
      <c r="HS672" s="27" t="s">
        <v>8</v>
      </c>
      <c r="HT672" s="27" t="s">
        <v>7</v>
      </c>
      <c r="KC672" s="27" t="s">
        <v>8</v>
      </c>
      <c r="KD672" s="27" t="s">
        <v>7</v>
      </c>
      <c r="KM672" s="27" t="s">
        <v>8</v>
      </c>
      <c r="LA672" s="27" t="s">
        <v>8</v>
      </c>
      <c r="LB672" s="27" t="s">
        <v>7</v>
      </c>
      <c r="LE672" s="27" t="s">
        <v>8</v>
      </c>
      <c r="LF672" s="27" t="s">
        <v>7</v>
      </c>
    </row>
    <row r="673" spans="1:334" x14ac:dyDescent="0.25">
      <c r="A673" s="7">
        <v>0.18213156881997963</v>
      </c>
      <c r="B673"/>
      <c r="C673"/>
      <c r="D673"/>
      <c r="E673"/>
      <c r="F673" s="27" t="s">
        <v>7</v>
      </c>
      <c r="EY673" s="27" t="s">
        <v>8</v>
      </c>
      <c r="EZ673" s="27" t="s">
        <v>7</v>
      </c>
      <c r="FS673" s="27" t="s">
        <v>8</v>
      </c>
      <c r="FT673" s="27" t="s">
        <v>7</v>
      </c>
      <c r="FY673" s="27" t="s">
        <v>8</v>
      </c>
      <c r="FZ673" s="27" t="s">
        <v>7</v>
      </c>
      <c r="GA673" s="27" t="s">
        <v>8</v>
      </c>
      <c r="GB673" s="27" t="s">
        <v>7</v>
      </c>
      <c r="GC673" s="27" t="s">
        <v>8</v>
      </c>
      <c r="GJ673" s="27" t="s">
        <v>7</v>
      </c>
      <c r="GL673" s="27" t="s">
        <v>7</v>
      </c>
      <c r="GS673" s="27" t="s">
        <v>8</v>
      </c>
      <c r="GU673" s="27" t="s">
        <v>8</v>
      </c>
      <c r="GV673" s="27" t="s">
        <v>7</v>
      </c>
      <c r="GY673" s="27" t="s">
        <v>8</v>
      </c>
      <c r="GZ673" s="27" t="s">
        <v>7</v>
      </c>
      <c r="HO673" s="27" t="s">
        <v>8</v>
      </c>
      <c r="HP673" s="27" t="s">
        <v>7</v>
      </c>
      <c r="HQ673" s="27" t="s">
        <v>8</v>
      </c>
      <c r="HR673" s="27" t="s">
        <v>7</v>
      </c>
      <c r="HS673" s="27" t="s">
        <v>8</v>
      </c>
      <c r="HT673" s="27" t="s">
        <v>7</v>
      </c>
      <c r="JC673" s="27" t="s">
        <v>8</v>
      </c>
      <c r="KC673" s="27" t="s">
        <v>8</v>
      </c>
      <c r="KD673" s="27" t="s">
        <v>7</v>
      </c>
      <c r="KM673" s="27" t="s">
        <v>8</v>
      </c>
      <c r="KN673" s="27" t="s">
        <v>7</v>
      </c>
      <c r="LA673" s="27" t="s">
        <v>8</v>
      </c>
      <c r="LB673" s="27" t="s">
        <v>7</v>
      </c>
      <c r="LE673" s="27" t="s">
        <v>8</v>
      </c>
      <c r="LF673" s="27" t="s">
        <v>7</v>
      </c>
    </row>
    <row r="674" spans="1:334" x14ac:dyDescent="0.25">
      <c r="A674" s="7">
        <v>0.17856036158821534</v>
      </c>
      <c r="B674"/>
      <c r="C674"/>
      <c r="D674"/>
      <c r="E674"/>
      <c r="F674" s="27" t="s">
        <v>7</v>
      </c>
      <c r="EY674" s="27" t="s">
        <v>8</v>
      </c>
      <c r="EZ674" s="27" t="s">
        <v>7</v>
      </c>
      <c r="FO674" s="27" t="s">
        <v>8</v>
      </c>
      <c r="FS674" s="27" t="s">
        <v>8</v>
      </c>
      <c r="FT674" s="27" t="s">
        <v>7</v>
      </c>
      <c r="FY674" s="27" t="s">
        <v>8</v>
      </c>
      <c r="FZ674" s="27" t="s">
        <v>7</v>
      </c>
      <c r="GA674" s="27" t="s">
        <v>8</v>
      </c>
      <c r="GB674" s="27" t="s">
        <v>7</v>
      </c>
      <c r="GC674" s="27" t="s">
        <v>8</v>
      </c>
      <c r="GL674" s="27" t="s">
        <v>7</v>
      </c>
      <c r="GS674" s="27" t="s">
        <v>8</v>
      </c>
      <c r="GT674" s="27" t="s">
        <v>7</v>
      </c>
      <c r="GU674" s="27" t="s">
        <v>8</v>
      </c>
      <c r="GV674" s="27" t="s">
        <v>7</v>
      </c>
      <c r="GY674" s="27" t="s">
        <v>8</v>
      </c>
      <c r="GZ674" s="27" t="s">
        <v>7</v>
      </c>
      <c r="HO674" s="27" t="s">
        <v>8</v>
      </c>
      <c r="HP674" s="27" t="s">
        <v>7</v>
      </c>
      <c r="HQ674" s="27" t="s">
        <v>8</v>
      </c>
      <c r="HR674" s="27" t="s">
        <v>7</v>
      </c>
      <c r="HS674" s="27" t="s">
        <v>8</v>
      </c>
      <c r="HT674" s="27" t="s">
        <v>7</v>
      </c>
      <c r="JC674" s="27" t="s">
        <v>8</v>
      </c>
      <c r="JD674" s="27" t="s">
        <v>7</v>
      </c>
      <c r="JE674" s="27" t="s">
        <v>8</v>
      </c>
      <c r="KC674" s="27" t="s">
        <v>8</v>
      </c>
      <c r="KD674" s="27" t="s">
        <v>7</v>
      </c>
      <c r="KM674" s="27" t="s">
        <v>8</v>
      </c>
      <c r="KN674" s="27" t="s">
        <v>7</v>
      </c>
      <c r="LA674" s="27" t="s">
        <v>8</v>
      </c>
      <c r="LB674" s="27" t="s">
        <v>7</v>
      </c>
      <c r="LE674" s="27" t="s">
        <v>8</v>
      </c>
      <c r="LF674" s="27" t="s">
        <v>7</v>
      </c>
    </row>
    <row r="675" spans="1:334" x14ac:dyDescent="0.25">
      <c r="A675" s="7">
        <v>0.17505917802766208</v>
      </c>
      <c r="B675"/>
      <c r="C675"/>
      <c r="D675"/>
      <c r="E675"/>
      <c r="F675" s="27" t="s">
        <v>7</v>
      </c>
      <c r="EY675" s="27" t="s">
        <v>8</v>
      </c>
      <c r="EZ675" s="27" t="s">
        <v>7</v>
      </c>
      <c r="FO675" s="27" t="s">
        <v>8</v>
      </c>
      <c r="FP675" s="27" t="s">
        <v>7</v>
      </c>
      <c r="FS675" s="27" t="s">
        <v>8</v>
      </c>
      <c r="FT675" s="27" t="s">
        <v>7</v>
      </c>
      <c r="FU675" s="27" t="s">
        <v>8</v>
      </c>
      <c r="FY675" s="27" t="s">
        <v>8</v>
      </c>
      <c r="FZ675" s="27" t="s">
        <v>7</v>
      </c>
      <c r="GA675" s="27" t="s">
        <v>8</v>
      </c>
      <c r="GB675" s="27" t="s">
        <v>7</v>
      </c>
      <c r="GC675" s="27" t="s">
        <v>8</v>
      </c>
      <c r="GL675" s="27" t="s">
        <v>7</v>
      </c>
      <c r="GS675" s="27" t="s">
        <v>8</v>
      </c>
      <c r="GT675" s="27" t="s">
        <v>7</v>
      </c>
      <c r="GU675" s="27" t="s">
        <v>8</v>
      </c>
      <c r="GV675" s="27" t="s">
        <v>7</v>
      </c>
      <c r="GY675" s="27" t="s">
        <v>8</v>
      </c>
      <c r="GZ675" s="27" t="s">
        <v>7</v>
      </c>
      <c r="HO675" s="27" t="s">
        <v>8</v>
      </c>
      <c r="HP675" s="27" t="s">
        <v>7</v>
      </c>
      <c r="HQ675" s="27" t="s">
        <v>8</v>
      </c>
      <c r="HR675" s="27" t="s">
        <v>7</v>
      </c>
      <c r="HS675" s="27" t="s">
        <v>8</v>
      </c>
      <c r="HT675" s="27" t="s">
        <v>7</v>
      </c>
      <c r="JC675" s="27" t="s">
        <v>8</v>
      </c>
      <c r="JD675" s="27" t="s">
        <v>7</v>
      </c>
      <c r="JE675" s="27" t="s">
        <v>8</v>
      </c>
      <c r="JF675" s="27" t="s">
        <v>7</v>
      </c>
      <c r="KC675" s="27" t="s">
        <v>8</v>
      </c>
      <c r="KD675" s="27" t="s">
        <v>7</v>
      </c>
      <c r="KM675" s="27" t="s">
        <v>8</v>
      </c>
      <c r="KN675" s="27" t="s">
        <v>7</v>
      </c>
      <c r="LA675" s="27" t="s">
        <v>8</v>
      </c>
      <c r="LB675" s="27" t="s">
        <v>7</v>
      </c>
      <c r="LE675" s="27" t="s">
        <v>8</v>
      </c>
      <c r="LF675" s="27" t="s">
        <v>7</v>
      </c>
    </row>
    <row r="676" spans="1:334" x14ac:dyDescent="0.25">
      <c r="A676" s="7">
        <v>0.17162664512515888</v>
      </c>
      <c r="B676"/>
      <c r="C676"/>
      <c r="D676"/>
      <c r="E676"/>
      <c r="F676" s="27" t="s">
        <v>7</v>
      </c>
      <c r="EY676" s="27" t="s">
        <v>8</v>
      </c>
      <c r="EZ676" s="27" t="s">
        <v>7</v>
      </c>
      <c r="FO676" s="27" t="s">
        <v>8</v>
      </c>
      <c r="FP676" s="27" t="s">
        <v>7</v>
      </c>
      <c r="FS676" s="27" t="s">
        <v>8</v>
      </c>
      <c r="FT676" s="27" t="s">
        <v>7</v>
      </c>
      <c r="FU676" s="27" t="s">
        <v>8</v>
      </c>
      <c r="FV676" s="27" t="s">
        <v>7</v>
      </c>
      <c r="FW676" s="27" t="s">
        <v>8</v>
      </c>
      <c r="FY676" s="27" t="s">
        <v>8</v>
      </c>
      <c r="FZ676" s="27" t="s">
        <v>7</v>
      </c>
      <c r="GB676" s="27" t="s">
        <v>7</v>
      </c>
      <c r="GC676" s="27" t="s">
        <v>8</v>
      </c>
      <c r="GL676" s="27" t="s">
        <v>7</v>
      </c>
      <c r="GM676" s="27" t="s">
        <v>8</v>
      </c>
      <c r="GS676" s="27" t="s">
        <v>8</v>
      </c>
      <c r="GT676" s="27" t="s">
        <v>7</v>
      </c>
      <c r="GU676" s="27" t="s">
        <v>8</v>
      </c>
      <c r="GV676" s="27" t="s">
        <v>7</v>
      </c>
      <c r="GY676" s="27" t="s">
        <v>8</v>
      </c>
      <c r="GZ676" s="27" t="s">
        <v>7</v>
      </c>
      <c r="HO676" s="27" t="s">
        <v>8</v>
      </c>
      <c r="HP676" s="27" t="s">
        <v>7</v>
      </c>
      <c r="HQ676" s="27" t="s">
        <v>8</v>
      </c>
      <c r="HR676" s="27" t="s">
        <v>7</v>
      </c>
      <c r="HS676" s="27" t="s">
        <v>8</v>
      </c>
      <c r="HT676" s="27" t="s">
        <v>7</v>
      </c>
      <c r="HU676" s="27" t="s">
        <v>8</v>
      </c>
      <c r="HW676" s="27" t="s">
        <v>8</v>
      </c>
      <c r="JC676" s="27" t="s">
        <v>8</v>
      </c>
      <c r="JD676" s="27" t="s">
        <v>7</v>
      </c>
      <c r="JE676" s="27" t="s">
        <v>8</v>
      </c>
      <c r="JF676" s="27" t="s">
        <v>7</v>
      </c>
      <c r="KC676" s="27" t="s">
        <v>8</v>
      </c>
      <c r="KD676" s="27" t="s">
        <v>7</v>
      </c>
      <c r="KG676" s="27" t="s">
        <v>8</v>
      </c>
      <c r="KM676" s="27" t="s">
        <v>8</v>
      </c>
      <c r="KN676" s="27" t="s">
        <v>7</v>
      </c>
      <c r="KW676" s="27" t="s">
        <v>8</v>
      </c>
      <c r="LA676" s="27" t="s">
        <v>8</v>
      </c>
      <c r="LB676" s="27" t="s">
        <v>7</v>
      </c>
      <c r="LE676" s="27" t="s">
        <v>8</v>
      </c>
      <c r="LF676" s="27" t="s">
        <v>7</v>
      </c>
    </row>
    <row r="677" spans="1:334" x14ac:dyDescent="0.25">
      <c r="A677" s="7">
        <v>0.16826141678937145</v>
      </c>
      <c r="B677"/>
      <c r="C677"/>
      <c r="D677"/>
      <c r="E677"/>
      <c r="F677" s="27" t="s">
        <v>7</v>
      </c>
      <c r="EY677" s="27" t="s">
        <v>8</v>
      </c>
      <c r="EZ677" s="27" t="s">
        <v>7</v>
      </c>
      <c r="FO677" s="27" t="s">
        <v>8</v>
      </c>
      <c r="FP677" s="27" t="s">
        <v>7</v>
      </c>
      <c r="FS677" s="27" t="s">
        <v>8</v>
      </c>
      <c r="FT677" s="27" t="s">
        <v>7</v>
      </c>
      <c r="FU677" s="27" t="s">
        <v>8</v>
      </c>
      <c r="FV677" s="27" t="s">
        <v>7</v>
      </c>
      <c r="FW677" s="27" t="s">
        <v>8</v>
      </c>
      <c r="FX677" s="27" t="s">
        <v>7</v>
      </c>
      <c r="FY677" s="27" t="s">
        <v>8</v>
      </c>
      <c r="GB677" s="27" t="s">
        <v>7</v>
      </c>
      <c r="GC677" s="27" t="s">
        <v>8</v>
      </c>
      <c r="GL677" s="27" t="s">
        <v>7</v>
      </c>
      <c r="GM677" s="27" t="s">
        <v>8</v>
      </c>
      <c r="GN677" s="27" t="s">
        <v>7</v>
      </c>
      <c r="GS677" s="27" t="s">
        <v>8</v>
      </c>
      <c r="GT677" s="27" t="s">
        <v>7</v>
      </c>
      <c r="GU677" s="27" t="s">
        <v>8</v>
      </c>
      <c r="GV677" s="27" t="s">
        <v>7</v>
      </c>
      <c r="GY677" s="27" t="s">
        <v>8</v>
      </c>
      <c r="GZ677" s="27" t="s">
        <v>7</v>
      </c>
      <c r="HO677" s="27" t="s">
        <v>8</v>
      </c>
      <c r="HP677" s="27" t="s">
        <v>7</v>
      </c>
      <c r="HQ677" s="27" t="s">
        <v>8</v>
      </c>
      <c r="HR677" s="27" t="s">
        <v>7</v>
      </c>
      <c r="HS677" s="27" t="s">
        <v>8</v>
      </c>
      <c r="HT677" s="27" t="s">
        <v>7</v>
      </c>
      <c r="HU677" s="27" t="s">
        <v>8</v>
      </c>
      <c r="HV677" s="27" t="s">
        <v>7</v>
      </c>
      <c r="HW677" s="27" t="s">
        <v>8</v>
      </c>
      <c r="HX677" s="27" t="s">
        <v>7</v>
      </c>
      <c r="JC677" s="27" t="s">
        <v>8</v>
      </c>
      <c r="JD677" s="27" t="s">
        <v>7</v>
      </c>
      <c r="JE677" s="27" t="s">
        <v>8</v>
      </c>
      <c r="JF677" s="27" t="s">
        <v>7</v>
      </c>
      <c r="KC677" s="27" t="s">
        <v>8</v>
      </c>
      <c r="KD677" s="27" t="s">
        <v>7</v>
      </c>
      <c r="KG677" s="27" t="s">
        <v>8</v>
      </c>
      <c r="KH677" s="27" t="s">
        <v>7</v>
      </c>
      <c r="KM677" s="27" t="s">
        <v>8</v>
      </c>
      <c r="KN677" s="27" t="s">
        <v>7</v>
      </c>
      <c r="KW677" s="27" t="s">
        <v>8</v>
      </c>
      <c r="KX677" s="27" t="s">
        <v>7</v>
      </c>
      <c r="LA677" s="27" t="s">
        <v>8</v>
      </c>
      <c r="LB677" s="27" t="s">
        <v>7</v>
      </c>
      <c r="LC677" s="27" t="s">
        <v>8</v>
      </c>
      <c r="LE677" s="27" t="s">
        <v>8</v>
      </c>
      <c r="LF677" s="27" t="s">
        <v>7</v>
      </c>
    </row>
    <row r="678" spans="1:334" x14ac:dyDescent="0.25">
      <c r="A678" s="7">
        <v>0.16496217332291319</v>
      </c>
      <c r="B678"/>
      <c r="C678"/>
      <c r="D678"/>
      <c r="E678"/>
      <c r="F678" s="27" t="s">
        <v>7</v>
      </c>
      <c r="EY678" s="27" t="s">
        <v>8</v>
      </c>
      <c r="EZ678" s="27" t="s">
        <v>7</v>
      </c>
      <c r="FO678" s="27" t="s">
        <v>8</v>
      </c>
      <c r="FP678" s="27" t="s">
        <v>7</v>
      </c>
      <c r="FS678" s="27" t="s">
        <v>8</v>
      </c>
      <c r="FT678" s="27" t="s">
        <v>7</v>
      </c>
      <c r="FU678" s="27" t="s">
        <v>8</v>
      </c>
      <c r="FV678" s="27" t="s">
        <v>7</v>
      </c>
      <c r="FW678" s="27" t="s">
        <v>8</v>
      </c>
      <c r="FX678" s="27" t="s">
        <v>7</v>
      </c>
      <c r="FY678" s="27" t="s">
        <v>8</v>
      </c>
      <c r="GB678" s="27" t="s">
        <v>7</v>
      </c>
      <c r="GL678" s="27" t="s">
        <v>7</v>
      </c>
      <c r="GM678" s="27" t="s">
        <v>8</v>
      </c>
      <c r="GN678" s="27" t="s">
        <v>7</v>
      </c>
      <c r="GS678" s="27" t="s">
        <v>8</v>
      </c>
      <c r="GT678" s="27" t="s">
        <v>7</v>
      </c>
      <c r="GU678" s="27" t="s">
        <v>8</v>
      </c>
      <c r="GV678" s="27" t="s">
        <v>7</v>
      </c>
      <c r="GW678" s="27" t="s">
        <v>8</v>
      </c>
      <c r="GY678" s="27" t="s">
        <v>8</v>
      </c>
      <c r="GZ678" s="27" t="s">
        <v>7</v>
      </c>
      <c r="HO678" s="27" t="s">
        <v>8</v>
      </c>
      <c r="HP678" s="27" t="s">
        <v>7</v>
      </c>
      <c r="HQ678" s="27" t="s">
        <v>8</v>
      </c>
      <c r="HR678" s="27" t="s">
        <v>7</v>
      </c>
      <c r="HS678" s="27" t="s">
        <v>8</v>
      </c>
      <c r="HT678" s="27" t="s">
        <v>7</v>
      </c>
      <c r="HU678" s="27" t="s">
        <v>8</v>
      </c>
      <c r="HV678" s="27" t="s">
        <v>7</v>
      </c>
      <c r="HW678" s="27" t="s">
        <v>8</v>
      </c>
      <c r="HX678" s="27" t="s">
        <v>7</v>
      </c>
      <c r="JA678" s="27" t="s">
        <v>8</v>
      </c>
      <c r="JC678" s="27" t="s">
        <v>8</v>
      </c>
      <c r="JD678" s="27" t="s">
        <v>7</v>
      </c>
      <c r="JE678" s="27" t="s">
        <v>8</v>
      </c>
      <c r="JF678" s="27" t="s">
        <v>7</v>
      </c>
      <c r="JG678" s="27" t="s">
        <v>8</v>
      </c>
      <c r="JI678" s="27" t="s">
        <v>8</v>
      </c>
      <c r="KC678" s="27" t="s">
        <v>8</v>
      </c>
      <c r="KD678" s="27" t="s">
        <v>7</v>
      </c>
      <c r="KE678" s="27" t="s">
        <v>8</v>
      </c>
      <c r="KG678" s="27" t="s">
        <v>8</v>
      </c>
      <c r="KH678" s="27" t="s">
        <v>7</v>
      </c>
      <c r="KM678" s="27" t="s">
        <v>8</v>
      </c>
      <c r="KN678" s="27" t="s">
        <v>7</v>
      </c>
      <c r="KO678" s="27" t="s">
        <v>8</v>
      </c>
      <c r="KW678" s="27" t="s">
        <v>8</v>
      </c>
      <c r="KX678" s="27" t="s">
        <v>7</v>
      </c>
      <c r="LA678" s="27" t="s">
        <v>8</v>
      </c>
      <c r="LB678" s="27" t="s">
        <v>7</v>
      </c>
      <c r="LC678" s="27" t="s">
        <v>8</v>
      </c>
      <c r="LD678" s="27" t="s">
        <v>7</v>
      </c>
      <c r="LE678" s="27" t="s">
        <v>8</v>
      </c>
      <c r="LF678" s="27" t="s">
        <v>7</v>
      </c>
    </row>
    <row r="679" spans="1:334" x14ac:dyDescent="0.25">
      <c r="A679" s="7">
        <v>0.16172762090481685</v>
      </c>
      <c r="B679"/>
      <c r="C679"/>
      <c r="D679"/>
      <c r="E679"/>
      <c r="F679" s="27" t="s">
        <v>7</v>
      </c>
      <c r="EY679" s="27" t="s">
        <v>8</v>
      </c>
      <c r="EZ679" s="27" t="s">
        <v>7</v>
      </c>
      <c r="FO679" s="27" t="s">
        <v>8</v>
      </c>
      <c r="FP679" s="27" t="s">
        <v>7</v>
      </c>
      <c r="FQ679" s="27" t="s">
        <v>8</v>
      </c>
      <c r="FS679" s="27" t="s">
        <v>8</v>
      </c>
      <c r="FT679" s="27" t="s">
        <v>7</v>
      </c>
      <c r="FU679" s="27" t="s">
        <v>8</v>
      </c>
      <c r="FV679" s="27" t="s">
        <v>7</v>
      </c>
      <c r="FW679" s="27" t="s">
        <v>8</v>
      </c>
      <c r="FX679" s="27" t="s">
        <v>7</v>
      </c>
      <c r="FY679" s="27" t="s">
        <v>8</v>
      </c>
      <c r="GL679" s="27" t="s">
        <v>7</v>
      </c>
      <c r="GM679" s="27" t="s">
        <v>8</v>
      </c>
      <c r="GN679" s="27" t="s">
        <v>7</v>
      </c>
      <c r="GS679" s="27" t="s">
        <v>8</v>
      </c>
      <c r="GT679" s="27" t="s">
        <v>7</v>
      </c>
      <c r="GV679" s="27" t="s">
        <v>7</v>
      </c>
      <c r="GW679" s="27" t="s">
        <v>8</v>
      </c>
      <c r="GX679" s="27" t="s">
        <v>7</v>
      </c>
      <c r="GY679" s="27" t="s">
        <v>8</v>
      </c>
      <c r="GZ679" s="27" t="s">
        <v>7</v>
      </c>
      <c r="HO679" s="27" t="s">
        <v>8</v>
      </c>
      <c r="HP679" s="27" t="s">
        <v>7</v>
      </c>
      <c r="HQ679" s="27" t="s">
        <v>8</v>
      </c>
      <c r="HR679" s="27" t="s">
        <v>7</v>
      </c>
      <c r="HS679" s="27" t="s">
        <v>8</v>
      </c>
      <c r="HT679" s="27" t="s">
        <v>7</v>
      </c>
      <c r="HU679" s="27" t="s">
        <v>8</v>
      </c>
      <c r="HV679" s="27" t="s">
        <v>7</v>
      </c>
      <c r="HW679" s="27" t="s">
        <v>8</v>
      </c>
      <c r="HX679" s="27" t="s">
        <v>7</v>
      </c>
      <c r="JA679" s="27" t="s">
        <v>8</v>
      </c>
      <c r="JB679" s="27" t="s">
        <v>7</v>
      </c>
      <c r="JC679" s="27" t="s">
        <v>8</v>
      </c>
      <c r="JD679" s="27" t="s">
        <v>7</v>
      </c>
      <c r="JE679" s="27" t="s">
        <v>8</v>
      </c>
      <c r="JF679" s="27" t="s">
        <v>7</v>
      </c>
      <c r="JG679" s="27" t="s">
        <v>8</v>
      </c>
      <c r="JH679" s="27" t="s">
        <v>7</v>
      </c>
      <c r="JI679" s="27" t="s">
        <v>8</v>
      </c>
      <c r="JJ679" s="27" t="s">
        <v>7</v>
      </c>
      <c r="KC679" s="27" t="s">
        <v>8</v>
      </c>
      <c r="KD679" s="27" t="s">
        <v>7</v>
      </c>
      <c r="KE679" s="27" t="s">
        <v>8</v>
      </c>
      <c r="KF679" s="27" t="s">
        <v>7</v>
      </c>
      <c r="KG679" s="27" t="s">
        <v>8</v>
      </c>
      <c r="KH679" s="27" t="s">
        <v>7</v>
      </c>
      <c r="KM679" s="27" t="s">
        <v>8</v>
      </c>
      <c r="KN679" s="27" t="s">
        <v>7</v>
      </c>
      <c r="KO679" s="27" t="s">
        <v>8</v>
      </c>
      <c r="KP679" s="27" t="s">
        <v>7</v>
      </c>
      <c r="KW679" s="27" t="s">
        <v>8</v>
      </c>
      <c r="KX679" s="27" t="s">
        <v>7</v>
      </c>
      <c r="LA679" s="27" t="s">
        <v>8</v>
      </c>
      <c r="LB679" s="27" t="s">
        <v>7</v>
      </c>
      <c r="LC679" s="27" t="s">
        <v>8</v>
      </c>
      <c r="LD679" s="27" t="s">
        <v>7</v>
      </c>
      <c r="LE679" s="27" t="s">
        <v>8</v>
      </c>
      <c r="LF679" s="27" t="s">
        <v>7</v>
      </c>
    </row>
    <row r="680" spans="1:334" x14ac:dyDescent="0.25">
      <c r="A680" s="7">
        <v>0.15855649108315376</v>
      </c>
      <c r="B680"/>
      <c r="C680"/>
      <c r="D680"/>
      <c r="E680"/>
      <c r="F680" s="27" t="s">
        <v>7</v>
      </c>
      <c r="EY680" s="27" t="s">
        <v>8</v>
      </c>
      <c r="EZ680" s="27" t="s">
        <v>7</v>
      </c>
      <c r="FO680" s="27" t="s">
        <v>8</v>
      </c>
      <c r="FP680" s="27" t="s">
        <v>7</v>
      </c>
      <c r="FQ680" s="27" t="s">
        <v>8</v>
      </c>
      <c r="FR680" s="27" t="s">
        <v>7</v>
      </c>
      <c r="FS680" s="27" t="s">
        <v>8</v>
      </c>
      <c r="FT680" s="27" t="s">
        <v>7</v>
      </c>
      <c r="FU680" s="27" t="s">
        <v>8</v>
      </c>
      <c r="FV680" s="27" t="s">
        <v>7</v>
      </c>
      <c r="FW680" s="27" t="s">
        <v>8</v>
      </c>
      <c r="FX680" s="27" t="s">
        <v>7</v>
      </c>
      <c r="GL680" s="27" t="s">
        <v>7</v>
      </c>
      <c r="GM680" s="27" t="s">
        <v>8</v>
      </c>
      <c r="GN680" s="27" t="s">
        <v>7</v>
      </c>
      <c r="GQ680" s="27" t="s">
        <v>8</v>
      </c>
      <c r="GS680" s="27" t="s">
        <v>8</v>
      </c>
      <c r="GV680" s="27" t="s">
        <v>7</v>
      </c>
      <c r="GW680" s="27" t="s">
        <v>8</v>
      </c>
      <c r="GX680" s="27" t="s">
        <v>7</v>
      </c>
      <c r="GY680" s="27" t="s">
        <v>8</v>
      </c>
      <c r="GZ680" s="27" t="s">
        <v>7</v>
      </c>
      <c r="HO680" s="27" t="s">
        <v>8</v>
      </c>
      <c r="HP680" s="27" t="s">
        <v>7</v>
      </c>
      <c r="HQ680" s="27" t="s">
        <v>8</v>
      </c>
      <c r="HR680" s="27" t="s">
        <v>7</v>
      </c>
      <c r="HS680" s="27" t="s">
        <v>8</v>
      </c>
      <c r="HT680" s="27" t="s">
        <v>7</v>
      </c>
      <c r="HU680" s="27" t="s">
        <v>8</v>
      </c>
      <c r="HV680" s="27" t="s">
        <v>7</v>
      </c>
      <c r="HW680" s="27" t="s">
        <v>8</v>
      </c>
      <c r="HX680" s="27" t="s">
        <v>7</v>
      </c>
      <c r="JA680" s="27" t="s">
        <v>8</v>
      </c>
      <c r="JB680" s="27" t="s">
        <v>7</v>
      </c>
      <c r="JC680" s="27" t="s">
        <v>8</v>
      </c>
      <c r="JD680" s="27" t="s">
        <v>7</v>
      </c>
      <c r="JE680" s="27" t="s">
        <v>8</v>
      </c>
      <c r="JF680" s="27" t="s">
        <v>7</v>
      </c>
      <c r="JG680" s="27" t="s">
        <v>8</v>
      </c>
      <c r="JH680" s="27" t="s">
        <v>7</v>
      </c>
      <c r="JI680" s="27" t="s">
        <v>8</v>
      </c>
      <c r="JJ680" s="27" t="s">
        <v>7</v>
      </c>
      <c r="KC680" s="27" t="s">
        <v>8</v>
      </c>
      <c r="KD680" s="27" t="s">
        <v>7</v>
      </c>
      <c r="KE680" s="27" t="s">
        <v>8</v>
      </c>
      <c r="KF680" s="27" t="s">
        <v>7</v>
      </c>
      <c r="KG680" s="27" t="s">
        <v>8</v>
      </c>
      <c r="KH680" s="27" t="s">
        <v>7</v>
      </c>
      <c r="KM680" s="27" t="s">
        <v>8</v>
      </c>
      <c r="KN680" s="27" t="s">
        <v>7</v>
      </c>
      <c r="KO680" s="27" t="s">
        <v>8</v>
      </c>
      <c r="KP680" s="27" t="s">
        <v>7</v>
      </c>
      <c r="KW680" s="27" t="s">
        <v>8</v>
      </c>
      <c r="KX680" s="27" t="s">
        <v>7</v>
      </c>
      <c r="KY680" s="27" t="s">
        <v>8</v>
      </c>
      <c r="LA680" s="27" t="s">
        <v>8</v>
      </c>
      <c r="LB680" s="27" t="s">
        <v>7</v>
      </c>
      <c r="LC680" s="27" t="s">
        <v>8</v>
      </c>
      <c r="LD680" s="27" t="s">
        <v>7</v>
      </c>
      <c r="LE680" s="27" t="s">
        <v>8</v>
      </c>
      <c r="LF680" s="27" t="s">
        <v>7</v>
      </c>
    </row>
    <row r="681" spans="1:334" x14ac:dyDescent="0.25">
      <c r="A681" s="7">
        <v>0.15544754027760171</v>
      </c>
      <c r="B681"/>
      <c r="C681"/>
      <c r="D681"/>
      <c r="E681"/>
      <c r="F681" s="27" t="s">
        <v>7</v>
      </c>
      <c r="EY681" s="27" t="s">
        <v>8</v>
      </c>
      <c r="EZ681" s="27" t="s">
        <v>7</v>
      </c>
      <c r="FO681" s="27" t="s">
        <v>8</v>
      </c>
      <c r="FP681" s="27" t="s">
        <v>7</v>
      </c>
      <c r="FQ681" s="27" t="s">
        <v>8</v>
      </c>
      <c r="FR681" s="27" t="s">
        <v>7</v>
      </c>
      <c r="FS681" s="27" t="s">
        <v>8</v>
      </c>
      <c r="FT681" s="27" t="s">
        <v>7</v>
      </c>
      <c r="FU681" s="27" t="s">
        <v>8</v>
      </c>
      <c r="FV681" s="27" t="s">
        <v>7</v>
      </c>
      <c r="GL681" s="27" t="s">
        <v>7</v>
      </c>
      <c r="GM681" s="27" t="s">
        <v>8</v>
      </c>
      <c r="GN681" s="27" t="s">
        <v>7</v>
      </c>
      <c r="GQ681" s="27" t="s">
        <v>8</v>
      </c>
      <c r="GR681" s="27" t="s">
        <v>7</v>
      </c>
      <c r="GS681" s="27" t="s">
        <v>8</v>
      </c>
      <c r="GV681" s="27" t="s">
        <v>7</v>
      </c>
      <c r="GW681" s="27" t="s">
        <v>8</v>
      </c>
      <c r="GX681" s="27" t="s">
        <v>7</v>
      </c>
      <c r="GY681" s="27" t="s">
        <v>8</v>
      </c>
      <c r="GZ681" s="27" t="s">
        <v>7</v>
      </c>
      <c r="HO681" s="27" t="s">
        <v>8</v>
      </c>
      <c r="HP681" s="27" t="s">
        <v>7</v>
      </c>
      <c r="HQ681" s="27" t="s">
        <v>8</v>
      </c>
      <c r="HR681" s="27" t="s">
        <v>7</v>
      </c>
      <c r="HS681" s="27" t="s">
        <v>8</v>
      </c>
      <c r="HT681" s="27" t="s">
        <v>7</v>
      </c>
      <c r="HU681" s="27" t="s">
        <v>8</v>
      </c>
      <c r="HV681" s="27" t="s">
        <v>7</v>
      </c>
      <c r="HW681" s="27" t="s">
        <v>8</v>
      </c>
      <c r="HX681" s="27" t="s">
        <v>7</v>
      </c>
      <c r="JA681" s="27" t="s">
        <v>8</v>
      </c>
      <c r="JB681" s="27" t="s">
        <v>7</v>
      </c>
      <c r="JC681" s="27" t="s">
        <v>8</v>
      </c>
      <c r="JD681" s="27" t="s">
        <v>7</v>
      </c>
      <c r="JE681" s="27" t="s">
        <v>8</v>
      </c>
      <c r="JF681" s="27" t="s">
        <v>7</v>
      </c>
      <c r="JG681" s="27" t="s">
        <v>8</v>
      </c>
      <c r="JH681" s="27" t="s">
        <v>7</v>
      </c>
      <c r="JI681" s="27" t="s">
        <v>8</v>
      </c>
      <c r="JJ681" s="27" t="s">
        <v>7</v>
      </c>
      <c r="KC681" s="27" t="s">
        <v>8</v>
      </c>
      <c r="KD681" s="27" t="s">
        <v>7</v>
      </c>
      <c r="KE681" s="27" t="s">
        <v>8</v>
      </c>
      <c r="KF681" s="27" t="s">
        <v>7</v>
      </c>
      <c r="KG681" s="27" t="s">
        <v>8</v>
      </c>
      <c r="KH681" s="27" t="s">
        <v>7</v>
      </c>
      <c r="KM681" s="27" t="s">
        <v>8</v>
      </c>
      <c r="KN681" s="27" t="s">
        <v>7</v>
      </c>
      <c r="KO681" s="27" t="s">
        <v>8</v>
      </c>
      <c r="KP681" s="27" t="s">
        <v>7</v>
      </c>
      <c r="KW681" s="27" t="s">
        <v>8</v>
      </c>
      <c r="KX681" s="27" t="s">
        <v>7</v>
      </c>
      <c r="KY681" s="27" t="s">
        <v>8</v>
      </c>
      <c r="KZ681" s="27" t="s">
        <v>7</v>
      </c>
      <c r="LA681" s="27" t="s">
        <v>8</v>
      </c>
      <c r="LB681" s="27" t="s">
        <v>7</v>
      </c>
      <c r="LC681" s="27" t="s">
        <v>8</v>
      </c>
      <c r="LD681" s="27" t="s">
        <v>7</v>
      </c>
      <c r="LE681" s="27" t="s">
        <v>8</v>
      </c>
      <c r="LF681" s="27" t="s">
        <v>7</v>
      </c>
    </row>
    <row r="682" spans="1:334" x14ac:dyDescent="0.25">
      <c r="A682" s="7">
        <v>0.15239954929176638</v>
      </c>
      <c r="B682"/>
      <c r="C682"/>
      <c r="D682"/>
      <c r="E682"/>
      <c r="F682" s="27" t="s">
        <v>7</v>
      </c>
      <c r="EY682" s="27" t="s">
        <v>8</v>
      </c>
      <c r="EZ682" s="27" t="s">
        <v>7</v>
      </c>
      <c r="FO682" s="27" t="s">
        <v>8</v>
      </c>
      <c r="FP682" s="27" t="s">
        <v>7</v>
      </c>
      <c r="FQ682" s="27" t="s">
        <v>8</v>
      </c>
      <c r="FR682" s="27" t="s">
        <v>7</v>
      </c>
      <c r="FS682" s="27" t="s">
        <v>8</v>
      </c>
      <c r="FT682" s="27" t="s">
        <v>7</v>
      </c>
      <c r="FU682" s="27" t="s">
        <v>8</v>
      </c>
      <c r="GL682" s="27" t="s">
        <v>7</v>
      </c>
      <c r="GM682" s="27" t="s">
        <v>8</v>
      </c>
      <c r="GN682" s="27" t="s">
        <v>7</v>
      </c>
      <c r="GQ682" s="27" t="s">
        <v>8</v>
      </c>
      <c r="GR682" s="27" t="s">
        <v>7</v>
      </c>
      <c r="GS682" s="27" t="s">
        <v>8</v>
      </c>
      <c r="GV682" s="27" t="s">
        <v>7</v>
      </c>
      <c r="GW682" s="27" t="s">
        <v>8</v>
      </c>
      <c r="GX682" s="27" t="s">
        <v>7</v>
      </c>
      <c r="GY682" s="27" t="s">
        <v>8</v>
      </c>
      <c r="GZ682" s="27" t="s">
        <v>7</v>
      </c>
      <c r="HO682" s="27" t="s">
        <v>8</v>
      </c>
      <c r="HP682" s="27" t="s">
        <v>7</v>
      </c>
      <c r="HQ682" s="27" t="s">
        <v>8</v>
      </c>
      <c r="HR682" s="27" t="s">
        <v>7</v>
      </c>
      <c r="HS682" s="27" t="s">
        <v>8</v>
      </c>
      <c r="HT682" s="27" t="s">
        <v>7</v>
      </c>
      <c r="HU682" s="27" t="s">
        <v>8</v>
      </c>
      <c r="HV682" s="27" t="s">
        <v>7</v>
      </c>
      <c r="HW682" s="27" t="s">
        <v>8</v>
      </c>
      <c r="HX682" s="27" t="s">
        <v>7</v>
      </c>
      <c r="IW682" s="27" t="s">
        <v>8</v>
      </c>
      <c r="JA682" s="27" t="s">
        <v>8</v>
      </c>
      <c r="JB682" s="27" t="s">
        <v>7</v>
      </c>
      <c r="JC682" s="27" t="s">
        <v>8</v>
      </c>
      <c r="JD682" s="27" t="s">
        <v>7</v>
      </c>
      <c r="JE682" s="27" t="s">
        <v>8</v>
      </c>
      <c r="JF682" s="27" t="s">
        <v>7</v>
      </c>
      <c r="JG682" s="27" t="s">
        <v>8</v>
      </c>
      <c r="JH682" s="27" t="s">
        <v>7</v>
      </c>
      <c r="JI682" s="27" t="s">
        <v>8</v>
      </c>
      <c r="JJ682" s="27" t="s">
        <v>7</v>
      </c>
      <c r="JO682" s="27" t="s">
        <v>8</v>
      </c>
      <c r="JQ682" s="27" t="s">
        <v>8</v>
      </c>
      <c r="KC682" s="27" t="s">
        <v>8</v>
      </c>
      <c r="KD682" s="27" t="s">
        <v>7</v>
      </c>
      <c r="KE682" s="27" t="s">
        <v>8</v>
      </c>
      <c r="KF682" s="27" t="s">
        <v>7</v>
      </c>
      <c r="KG682" s="27" t="s">
        <v>8</v>
      </c>
      <c r="KH682" s="27" t="s">
        <v>7</v>
      </c>
      <c r="KI682" s="27" t="s">
        <v>8</v>
      </c>
      <c r="KM682" s="27" t="s">
        <v>8</v>
      </c>
      <c r="KN682" s="27" t="s">
        <v>7</v>
      </c>
      <c r="KO682" s="27" t="s">
        <v>8</v>
      </c>
      <c r="KP682" s="27" t="s">
        <v>7</v>
      </c>
      <c r="KW682" s="27" t="s">
        <v>8</v>
      </c>
      <c r="KX682" s="27" t="s">
        <v>7</v>
      </c>
      <c r="KY682" s="27" t="s">
        <v>8</v>
      </c>
      <c r="KZ682" s="27" t="s">
        <v>7</v>
      </c>
      <c r="LA682" s="27" t="s">
        <v>8</v>
      </c>
      <c r="LB682" s="27" t="s">
        <v>7</v>
      </c>
      <c r="LC682" s="27" t="s">
        <v>8</v>
      </c>
      <c r="LD682" s="27" t="s">
        <v>7</v>
      </c>
      <c r="LE682" s="27" t="s">
        <v>8</v>
      </c>
      <c r="LF682" s="27" t="s">
        <v>7</v>
      </c>
    </row>
    <row r="683" spans="1:334" x14ac:dyDescent="0.25">
      <c r="A683" s="7">
        <v>0.14941132283506509</v>
      </c>
      <c r="B683"/>
      <c r="C683"/>
      <c r="D683"/>
      <c r="E683"/>
      <c r="F683" s="27" t="s">
        <v>7</v>
      </c>
      <c r="EY683" s="27" t="s">
        <v>8</v>
      </c>
      <c r="EZ683" s="27" t="s">
        <v>7</v>
      </c>
      <c r="FO683" s="27" t="s">
        <v>8</v>
      </c>
      <c r="FP683" s="27" t="s">
        <v>7</v>
      </c>
      <c r="FQ683" s="27" t="s">
        <v>8</v>
      </c>
      <c r="FR683" s="27" t="s">
        <v>7</v>
      </c>
      <c r="FS683" s="27" t="s">
        <v>8</v>
      </c>
      <c r="FT683" s="27" t="s">
        <v>7</v>
      </c>
      <c r="FU683" s="27" t="s">
        <v>8</v>
      </c>
      <c r="GL683" s="27" t="s">
        <v>7</v>
      </c>
      <c r="GM683" s="27" t="s">
        <v>8</v>
      </c>
      <c r="GN683" s="27" t="s">
        <v>7</v>
      </c>
      <c r="GQ683" s="27" t="s">
        <v>8</v>
      </c>
      <c r="GR683" s="27" t="s">
        <v>7</v>
      </c>
      <c r="GS683" s="27" t="s">
        <v>8</v>
      </c>
      <c r="GV683" s="27" t="s">
        <v>7</v>
      </c>
      <c r="GW683" s="27" t="s">
        <v>8</v>
      </c>
      <c r="GX683" s="27" t="s">
        <v>7</v>
      </c>
      <c r="GY683" s="27" t="s">
        <v>8</v>
      </c>
      <c r="GZ683" s="27" t="s">
        <v>7</v>
      </c>
      <c r="HO683" s="27" t="s">
        <v>8</v>
      </c>
      <c r="HP683" s="27" t="s">
        <v>7</v>
      </c>
      <c r="HQ683" s="27" t="s">
        <v>8</v>
      </c>
      <c r="HR683" s="27" t="s">
        <v>7</v>
      </c>
      <c r="HS683" s="27" t="s">
        <v>8</v>
      </c>
      <c r="HT683" s="27" t="s">
        <v>7</v>
      </c>
      <c r="HV683" s="27" t="s">
        <v>7</v>
      </c>
      <c r="HW683" s="27" t="s">
        <v>8</v>
      </c>
      <c r="HX683" s="27" t="s">
        <v>7</v>
      </c>
      <c r="IW683" s="27" t="s">
        <v>8</v>
      </c>
      <c r="IX683" s="27" t="s">
        <v>7</v>
      </c>
      <c r="JA683" s="27" t="s">
        <v>8</v>
      </c>
      <c r="JB683" s="27" t="s">
        <v>7</v>
      </c>
      <c r="JC683" s="27" t="s">
        <v>8</v>
      </c>
      <c r="JD683" s="27" t="s">
        <v>7</v>
      </c>
      <c r="JF683" s="27" t="s">
        <v>7</v>
      </c>
      <c r="JG683" s="27" t="s">
        <v>8</v>
      </c>
      <c r="JH683" s="27" t="s">
        <v>7</v>
      </c>
      <c r="JI683" s="27" t="s">
        <v>8</v>
      </c>
      <c r="JJ683" s="27" t="s">
        <v>7</v>
      </c>
      <c r="JO683" s="27" t="s">
        <v>8</v>
      </c>
      <c r="JP683" s="27" t="s">
        <v>7</v>
      </c>
      <c r="JQ683" s="27" t="s">
        <v>8</v>
      </c>
      <c r="JR683" s="27" t="s">
        <v>7</v>
      </c>
      <c r="KC683" s="27" t="s">
        <v>8</v>
      </c>
      <c r="KD683" s="27" t="s">
        <v>7</v>
      </c>
      <c r="KE683" s="27" t="s">
        <v>8</v>
      </c>
      <c r="KF683" s="27" t="s">
        <v>7</v>
      </c>
      <c r="KG683" s="27" t="s">
        <v>8</v>
      </c>
      <c r="KH683" s="27" t="s">
        <v>7</v>
      </c>
      <c r="KI683" s="27" t="s">
        <v>8</v>
      </c>
      <c r="KJ683" s="27" t="s">
        <v>7</v>
      </c>
      <c r="KM683" s="27" t="s">
        <v>8</v>
      </c>
      <c r="KN683" s="27" t="s">
        <v>7</v>
      </c>
      <c r="KO683" s="27" t="s">
        <v>8</v>
      </c>
      <c r="KP683" s="27" t="s">
        <v>7</v>
      </c>
      <c r="KS683" s="27" t="s">
        <v>8</v>
      </c>
      <c r="KW683" s="27" t="s">
        <v>8</v>
      </c>
      <c r="KX683" s="27" t="s">
        <v>7</v>
      </c>
      <c r="KY683" s="27" t="s">
        <v>8</v>
      </c>
      <c r="KZ683" s="27" t="s">
        <v>7</v>
      </c>
      <c r="LA683" s="27" t="s">
        <v>8</v>
      </c>
      <c r="LB683" s="27" t="s">
        <v>7</v>
      </c>
      <c r="LC683" s="27" t="s">
        <v>8</v>
      </c>
      <c r="LD683" s="27" t="s">
        <v>7</v>
      </c>
      <c r="LE683" s="27" t="s">
        <v>8</v>
      </c>
      <c r="LF683" s="27" t="s">
        <v>7</v>
      </c>
      <c r="LG683" s="27" t="s">
        <v>8</v>
      </c>
    </row>
    <row r="684" spans="1:334" x14ac:dyDescent="0.25">
      <c r="A684" s="7">
        <v>0.14648168905398537</v>
      </c>
      <c r="B684"/>
      <c r="C684"/>
      <c r="D684"/>
      <c r="E684"/>
      <c r="F684" s="27" t="s">
        <v>7</v>
      </c>
      <c r="EY684" s="27" t="s">
        <v>8</v>
      </c>
      <c r="EZ684" s="27" t="s">
        <v>7</v>
      </c>
      <c r="FO684" s="27" t="s">
        <v>8</v>
      </c>
      <c r="FP684" s="27" t="s">
        <v>7</v>
      </c>
      <c r="FQ684" s="27" t="s">
        <v>8</v>
      </c>
      <c r="FR684" s="27" t="s">
        <v>7</v>
      </c>
      <c r="FS684" s="27" t="s">
        <v>8</v>
      </c>
      <c r="FT684" s="27" t="s">
        <v>7</v>
      </c>
      <c r="FU684" s="27" t="s">
        <v>8</v>
      </c>
      <c r="GL684" s="27" t="s">
        <v>7</v>
      </c>
      <c r="GM684" s="27" t="s">
        <v>8</v>
      </c>
      <c r="GN684" s="27" t="s">
        <v>7</v>
      </c>
      <c r="GQ684" s="27" t="s">
        <v>8</v>
      </c>
      <c r="GR684" s="27" t="s">
        <v>7</v>
      </c>
      <c r="GS684" s="27" t="s">
        <v>8</v>
      </c>
      <c r="GV684" s="27" t="s">
        <v>7</v>
      </c>
      <c r="GW684" s="27" t="s">
        <v>8</v>
      </c>
      <c r="GX684" s="27" t="s">
        <v>7</v>
      </c>
      <c r="GY684" s="27" t="s">
        <v>8</v>
      </c>
      <c r="GZ684" s="27" t="s">
        <v>7</v>
      </c>
      <c r="HO684" s="27" t="s">
        <v>8</v>
      </c>
      <c r="HP684" s="27" t="s">
        <v>7</v>
      </c>
      <c r="HQ684" s="27" t="s">
        <v>8</v>
      </c>
      <c r="HR684" s="27" t="s">
        <v>7</v>
      </c>
      <c r="HS684" s="27" t="s">
        <v>8</v>
      </c>
      <c r="HV684" s="27" t="s">
        <v>7</v>
      </c>
      <c r="HW684" s="27" t="s">
        <v>8</v>
      </c>
      <c r="HX684" s="27" t="s">
        <v>7</v>
      </c>
      <c r="IW684" s="27" t="s">
        <v>8</v>
      </c>
      <c r="IX684" s="27" t="s">
        <v>7</v>
      </c>
      <c r="JA684" s="27" t="s">
        <v>8</v>
      </c>
      <c r="JB684" s="27" t="s">
        <v>7</v>
      </c>
      <c r="JC684" s="27" t="s">
        <v>8</v>
      </c>
      <c r="JF684" s="27" t="s">
        <v>7</v>
      </c>
      <c r="JH684" s="27" t="s">
        <v>7</v>
      </c>
      <c r="JI684" s="27" t="s">
        <v>8</v>
      </c>
      <c r="JJ684" s="27" t="s">
        <v>7</v>
      </c>
      <c r="JO684" s="27" t="s">
        <v>8</v>
      </c>
      <c r="JP684" s="27" t="s">
        <v>7</v>
      </c>
      <c r="JQ684" s="27" t="s">
        <v>8</v>
      </c>
      <c r="JR684" s="27" t="s">
        <v>7</v>
      </c>
      <c r="KC684" s="27" t="s">
        <v>8</v>
      </c>
      <c r="KD684" s="27" t="s">
        <v>7</v>
      </c>
      <c r="KE684" s="27" t="s">
        <v>8</v>
      </c>
      <c r="KF684" s="27" t="s">
        <v>7</v>
      </c>
      <c r="KG684" s="27" t="s">
        <v>8</v>
      </c>
      <c r="KH684" s="27" t="s">
        <v>7</v>
      </c>
      <c r="KI684" s="27" t="s">
        <v>8</v>
      </c>
      <c r="KJ684" s="27" t="s">
        <v>7</v>
      </c>
      <c r="KK684" s="27" t="s">
        <v>8</v>
      </c>
      <c r="KM684" s="27" t="s">
        <v>8</v>
      </c>
      <c r="KN684" s="27" t="s">
        <v>7</v>
      </c>
      <c r="KO684" s="27" t="s">
        <v>8</v>
      </c>
      <c r="KP684" s="27" t="s">
        <v>7</v>
      </c>
      <c r="KS684" s="27" t="s">
        <v>8</v>
      </c>
      <c r="KT684" s="27" t="s">
        <v>7</v>
      </c>
      <c r="KW684" s="27" t="s">
        <v>8</v>
      </c>
      <c r="KX684" s="27" t="s">
        <v>7</v>
      </c>
      <c r="KY684" s="27" t="s">
        <v>8</v>
      </c>
      <c r="KZ684" s="27" t="s">
        <v>7</v>
      </c>
      <c r="LA684" s="27" t="s">
        <v>8</v>
      </c>
      <c r="LB684" s="27" t="s">
        <v>7</v>
      </c>
      <c r="LC684" s="27" t="s">
        <v>8</v>
      </c>
      <c r="LD684" s="27" t="s">
        <v>7</v>
      </c>
      <c r="LF684" s="27" t="s">
        <v>7</v>
      </c>
      <c r="LG684" s="27" t="s">
        <v>8</v>
      </c>
      <c r="LH684" s="27" t="s">
        <v>7</v>
      </c>
      <c r="LI684" s="27" t="s">
        <v>8</v>
      </c>
    </row>
    <row r="685" spans="1:334" x14ac:dyDescent="0.25">
      <c r="A685" s="7">
        <v>0.14360949907253467</v>
      </c>
      <c r="B685"/>
      <c r="C685"/>
      <c r="D685"/>
      <c r="E685"/>
      <c r="F685" s="27" t="s">
        <v>7</v>
      </c>
      <c r="EY685" s="27" t="s">
        <v>8</v>
      </c>
      <c r="EZ685" s="27" t="s">
        <v>7</v>
      </c>
      <c r="FM685" s="27" t="s">
        <v>8</v>
      </c>
      <c r="FO685" s="27" t="s">
        <v>8</v>
      </c>
      <c r="FP685" s="27" t="s">
        <v>7</v>
      </c>
      <c r="FQ685" s="27" t="s">
        <v>8</v>
      </c>
      <c r="FR685" s="27" t="s">
        <v>7</v>
      </c>
      <c r="FS685" s="27" t="s">
        <v>8</v>
      </c>
      <c r="FT685" s="27" t="s">
        <v>7</v>
      </c>
      <c r="FU685" s="27" t="s">
        <v>8</v>
      </c>
      <c r="GL685" s="27" t="s">
        <v>7</v>
      </c>
      <c r="GM685" s="27" t="s">
        <v>8</v>
      </c>
      <c r="GN685" s="27" t="s">
        <v>7</v>
      </c>
      <c r="GQ685" s="27" t="s">
        <v>8</v>
      </c>
      <c r="GR685" s="27" t="s">
        <v>7</v>
      </c>
      <c r="GS685" s="27" t="s">
        <v>8</v>
      </c>
      <c r="GV685" s="27" t="s">
        <v>7</v>
      </c>
      <c r="GW685" s="27" t="s">
        <v>8</v>
      </c>
      <c r="GX685" s="27" t="s">
        <v>7</v>
      </c>
      <c r="GY685" s="27" t="s">
        <v>8</v>
      </c>
      <c r="GZ685" s="27" t="s">
        <v>7</v>
      </c>
      <c r="HO685" s="27" t="s">
        <v>8</v>
      </c>
      <c r="HP685" s="27" t="s">
        <v>7</v>
      </c>
      <c r="HQ685" s="27" t="s">
        <v>8</v>
      </c>
      <c r="HR685" s="27" t="s">
        <v>7</v>
      </c>
      <c r="HS685" s="27" t="s">
        <v>8</v>
      </c>
      <c r="HV685" s="27" t="s">
        <v>7</v>
      </c>
      <c r="HW685" s="27" t="s">
        <v>8</v>
      </c>
      <c r="HX685" s="27" t="s">
        <v>7</v>
      </c>
      <c r="IW685" s="27" t="s">
        <v>8</v>
      </c>
      <c r="IX685" s="27" t="s">
        <v>7</v>
      </c>
      <c r="JA685" s="27" t="s">
        <v>8</v>
      </c>
      <c r="JB685" s="27" t="s">
        <v>7</v>
      </c>
      <c r="JC685" s="27" t="s">
        <v>8</v>
      </c>
      <c r="JH685" s="27" t="s">
        <v>7</v>
      </c>
      <c r="JJ685" s="27" t="s">
        <v>7</v>
      </c>
      <c r="JO685" s="27" t="s">
        <v>8</v>
      </c>
      <c r="JP685" s="27" t="s">
        <v>7</v>
      </c>
      <c r="JQ685" s="27" t="s">
        <v>8</v>
      </c>
      <c r="JR685" s="27" t="s">
        <v>7</v>
      </c>
      <c r="KC685" s="27" t="s">
        <v>8</v>
      </c>
      <c r="KD685" s="27" t="s">
        <v>7</v>
      </c>
      <c r="KE685" s="27" t="s">
        <v>8</v>
      </c>
      <c r="KF685" s="27" t="s">
        <v>7</v>
      </c>
      <c r="KG685" s="27" t="s">
        <v>8</v>
      </c>
      <c r="KH685" s="27" t="s">
        <v>7</v>
      </c>
      <c r="KI685" s="27" t="s">
        <v>8</v>
      </c>
      <c r="KJ685" s="27" t="s">
        <v>7</v>
      </c>
      <c r="KK685" s="27" t="s">
        <v>8</v>
      </c>
      <c r="KL685" s="27" t="s">
        <v>7</v>
      </c>
      <c r="KM685" s="27" t="s">
        <v>8</v>
      </c>
      <c r="KN685" s="27" t="s">
        <v>7</v>
      </c>
      <c r="KO685" s="27" t="s">
        <v>8</v>
      </c>
      <c r="KP685" s="27" t="s">
        <v>7</v>
      </c>
      <c r="KQ685" s="27" t="s">
        <v>8</v>
      </c>
      <c r="KS685" s="27" t="s">
        <v>8</v>
      </c>
      <c r="KT685" s="27" t="s">
        <v>7</v>
      </c>
      <c r="KW685" s="27" t="s">
        <v>8</v>
      </c>
      <c r="KX685" s="27" t="s">
        <v>7</v>
      </c>
      <c r="KY685" s="27" t="s">
        <v>8</v>
      </c>
      <c r="KZ685" s="27" t="s">
        <v>7</v>
      </c>
      <c r="LA685" s="27" t="s">
        <v>8</v>
      </c>
      <c r="LB685" s="27" t="s">
        <v>7</v>
      </c>
      <c r="LC685" s="27" t="s">
        <v>8</v>
      </c>
      <c r="LF685" s="27" t="s">
        <v>7</v>
      </c>
      <c r="LG685" s="27" t="s">
        <v>8</v>
      </c>
      <c r="LH685" s="27" t="s">
        <v>7</v>
      </c>
      <c r="LI685" s="27" t="s">
        <v>8</v>
      </c>
      <c r="LJ685" s="27" t="s">
        <v>7</v>
      </c>
      <c r="LU685" s="27" t="s">
        <v>8</v>
      </c>
    </row>
    <row r="686" spans="1:334" x14ac:dyDescent="0.25">
      <c r="A686" s="7">
        <v>0.14079362654170066</v>
      </c>
      <c r="B686"/>
      <c r="C686"/>
      <c r="D686"/>
      <c r="E686"/>
      <c r="F686" s="27" t="s">
        <v>7</v>
      </c>
      <c r="EY686" s="27" t="s">
        <v>8</v>
      </c>
      <c r="EZ686" s="27" t="s">
        <v>7</v>
      </c>
      <c r="FM686" s="27" t="s">
        <v>8</v>
      </c>
      <c r="FN686" s="27" t="s">
        <v>7</v>
      </c>
      <c r="FO686" s="27" t="s">
        <v>8</v>
      </c>
      <c r="FP686" s="27" t="s">
        <v>7</v>
      </c>
      <c r="FQ686" s="27" t="s">
        <v>8</v>
      </c>
      <c r="FR686" s="27" t="s">
        <v>7</v>
      </c>
      <c r="FS686" s="27" t="s">
        <v>8</v>
      </c>
      <c r="FT686" s="27" t="s">
        <v>7</v>
      </c>
      <c r="GL686" s="27" t="s">
        <v>7</v>
      </c>
      <c r="GM686" s="27" t="s">
        <v>8</v>
      </c>
      <c r="GN686" s="27" t="s">
        <v>7</v>
      </c>
      <c r="GQ686" s="27" t="s">
        <v>8</v>
      </c>
      <c r="GR686" s="27" t="s">
        <v>7</v>
      </c>
      <c r="GS686" s="27" t="s">
        <v>8</v>
      </c>
      <c r="GV686" s="27" t="s">
        <v>7</v>
      </c>
      <c r="GW686" s="27" t="s">
        <v>8</v>
      </c>
      <c r="GX686" s="27" t="s">
        <v>7</v>
      </c>
      <c r="GY686" s="27" t="s">
        <v>8</v>
      </c>
      <c r="GZ686" s="27" t="s">
        <v>7</v>
      </c>
      <c r="HO686" s="27" t="s">
        <v>8</v>
      </c>
      <c r="HP686" s="27" t="s">
        <v>7</v>
      </c>
      <c r="HQ686" s="27" t="s">
        <v>8</v>
      </c>
      <c r="HR686" s="27" t="s">
        <v>7</v>
      </c>
      <c r="HV686" s="27" t="s">
        <v>7</v>
      </c>
      <c r="HW686" s="27" t="s">
        <v>8</v>
      </c>
      <c r="HX686" s="27" t="s">
        <v>7</v>
      </c>
      <c r="HY686" s="27" t="s">
        <v>8</v>
      </c>
      <c r="IU686" s="27" t="s">
        <v>8</v>
      </c>
      <c r="IW686" s="27" t="s">
        <v>8</v>
      </c>
      <c r="IX686" s="27" t="s">
        <v>7</v>
      </c>
      <c r="JA686" s="27" t="s">
        <v>8</v>
      </c>
      <c r="JB686" s="27" t="s">
        <v>7</v>
      </c>
      <c r="JC686" s="27" t="s">
        <v>8</v>
      </c>
      <c r="JJ686" s="27" t="s">
        <v>7</v>
      </c>
      <c r="JO686" s="27" t="s">
        <v>8</v>
      </c>
      <c r="JP686" s="27" t="s">
        <v>7</v>
      </c>
      <c r="JQ686" s="27" t="s">
        <v>8</v>
      </c>
      <c r="JR686" s="27" t="s">
        <v>7</v>
      </c>
      <c r="KC686" s="27" t="s">
        <v>8</v>
      </c>
      <c r="KD686" s="27" t="s">
        <v>7</v>
      </c>
      <c r="KE686" s="27" t="s">
        <v>8</v>
      </c>
      <c r="KF686" s="27" t="s">
        <v>7</v>
      </c>
      <c r="KH686" s="27" t="s">
        <v>7</v>
      </c>
      <c r="KJ686" s="27" t="s">
        <v>7</v>
      </c>
      <c r="KK686" s="27" t="s">
        <v>8</v>
      </c>
      <c r="KL686" s="27" t="s">
        <v>7</v>
      </c>
      <c r="KM686" s="27" t="s">
        <v>8</v>
      </c>
      <c r="KN686" s="27" t="s">
        <v>7</v>
      </c>
      <c r="KO686" s="27" t="s">
        <v>8</v>
      </c>
      <c r="KP686" s="27" t="s">
        <v>7</v>
      </c>
      <c r="KQ686" s="27" t="s">
        <v>8</v>
      </c>
      <c r="KR686" s="27" t="s">
        <v>7</v>
      </c>
      <c r="KS686" s="27" t="s">
        <v>8</v>
      </c>
      <c r="KT686" s="27" t="s">
        <v>7</v>
      </c>
      <c r="KU686" s="27" t="s">
        <v>8</v>
      </c>
      <c r="KW686" s="27" t="s">
        <v>8</v>
      </c>
      <c r="KX686" s="27" t="s">
        <v>7</v>
      </c>
      <c r="KY686" s="27" t="s">
        <v>8</v>
      </c>
      <c r="KZ686" s="27" t="s">
        <v>7</v>
      </c>
      <c r="LA686" s="27" t="s">
        <v>8</v>
      </c>
      <c r="LB686" s="27" t="s">
        <v>7</v>
      </c>
      <c r="LC686" s="27" t="s">
        <v>8</v>
      </c>
      <c r="LF686" s="27" t="s">
        <v>7</v>
      </c>
      <c r="LG686" s="27" t="s">
        <v>8</v>
      </c>
      <c r="LH686" s="27" t="s">
        <v>7</v>
      </c>
      <c r="LI686" s="27" t="s">
        <v>8</v>
      </c>
      <c r="LJ686" s="27" t="s">
        <v>7</v>
      </c>
      <c r="LU686" s="27" t="s">
        <v>8</v>
      </c>
      <c r="LV686" s="27" t="s">
        <v>7</v>
      </c>
    </row>
    <row r="687" spans="1:334" x14ac:dyDescent="0.25">
      <c r="A687" s="7">
        <v>0.13803296719774574</v>
      </c>
      <c r="B687"/>
      <c r="C687"/>
      <c r="D687"/>
      <c r="E687"/>
      <c r="F687" s="27" t="s">
        <v>7</v>
      </c>
      <c r="EY687" s="27" t="s">
        <v>8</v>
      </c>
      <c r="EZ687" s="27" t="s">
        <v>7</v>
      </c>
      <c r="FM687" s="27" t="s">
        <v>8</v>
      </c>
      <c r="FN687" s="27" t="s">
        <v>7</v>
      </c>
      <c r="FO687" s="27" t="s">
        <v>8</v>
      </c>
      <c r="FP687" s="27" t="s">
        <v>7</v>
      </c>
      <c r="FQ687" s="27" t="s">
        <v>8</v>
      </c>
      <c r="FR687" s="27" t="s">
        <v>7</v>
      </c>
      <c r="GL687" s="27" t="s">
        <v>7</v>
      </c>
      <c r="GN687" s="27" t="s">
        <v>7</v>
      </c>
      <c r="GQ687" s="27" t="s">
        <v>8</v>
      </c>
      <c r="GR687" s="27" t="s">
        <v>7</v>
      </c>
      <c r="GV687" s="27" t="s">
        <v>7</v>
      </c>
      <c r="GX687" s="27" t="s">
        <v>7</v>
      </c>
      <c r="GY687" s="27" t="s">
        <v>8</v>
      </c>
      <c r="GZ687" s="27" t="s">
        <v>7</v>
      </c>
      <c r="HA687" s="27" t="s">
        <v>8</v>
      </c>
      <c r="HO687" s="27" t="s">
        <v>8</v>
      </c>
      <c r="HP687" s="27" t="s">
        <v>7</v>
      </c>
      <c r="HQ687" s="27" t="s">
        <v>8</v>
      </c>
      <c r="HV687" s="27" t="s">
        <v>7</v>
      </c>
      <c r="HW687" s="27" t="s">
        <v>8</v>
      </c>
      <c r="HX687" s="27" t="s">
        <v>7</v>
      </c>
      <c r="HY687" s="27" t="s">
        <v>8</v>
      </c>
      <c r="HZ687" s="27" t="s">
        <v>7</v>
      </c>
      <c r="IU687" s="27" t="s">
        <v>8</v>
      </c>
      <c r="IV687" s="27" t="s">
        <v>7</v>
      </c>
      <c r="IW687" s="27" t="s">
        <v>8</v>
      </c>
      <c r="IX687" s="27" t="s">
        <v>7</v>
      </c>
      <c r="IY687" s="27" t="s">
        <v>8</v>
      </c>
      <c r="JA687" s="27" t="s">
        <v>8</v>
      </c>
      <c r="JB687" s="27" t="s">
        <v>7</v>
      </c>
      <c r="JJ687" s="27" t="s">
        <v>7</v>
      </c>
      <c r="JO687" s="27" t="s">
        <v>8</v>
      </c>
      <c r="JP687" s="27" t="s">
        <v>7</v>
      </c>
      <c r="JQ687" s="27" t="s">
        <v>8</v>
      </c>
      <c r="JR687" s="27" t="s">
        <v>7</v>
      </c>
      <c r="KC687" s="27" t="s">
        <v>8</v>
      </c>
      <c r="KD687" s="27" t="s">
        <v>7</v>
      </c>
      <c r="KE687" s="27" t="s">
        <v>8</v>
      </c>
      <c r="KJ687" s="27" t="s">
        <v>7</v>
      </c>
      <c r="KK687" s="27" t="s">
        <v>8</v>
      </c>
      <c r="KL687" s="27" t="s">
        <v>7</v>
      </c>
      <c r="KM687" s="27" t="s">
        <v>8</v>
      </c>
      <c r="KN687" s="27" t="s">
        <v>7</v>
      </c>
      <c r="KP687" s="27" t="s">
        <v>7</v>
      </c>
      <c r="KQ687" s="27" t="s">
        <v>8</v>
      </c>
      <c r="KR687" s="27" t="s">
        <v>7</v>
      </c>
      <c r="KS687" s="27" t="s">
        <v>8</v>
      </c>
      <c r="KT687" s="27" t="s">
        <v>7</v>
      </c>
      <c r="KU687" s="27" t="s">
        <v>8</v>
      </c>
      <c r="KV687" s="27" t="s">
        <v>7</v>
      </c>
      <c r="KW687" s="27" t="s">
        <v>8</v>
      </c>
      <c r="KX687" s="27" t="s">
        <v>7</v>
      </c>
      <c r="KY687" s="27" t="s">
        <v>8</v>
      </c>
      <c r="KZ687" s="27" t="s">
        <v>7</v>
      </c>
      <c r="LA687" s="27" t="s">
        <v>8</v>
      </c>
      <c r="LB687" s="27" t="s">
        <v>7</v>
      </c>
      <c r="LF687" s="27" t="s">
        <v>7</v>
      </c>
      <c r="LG687" s="27" t="s">
        <v>8</v>
      </c>
      <c r="LH687" s="27" t="s">
        <v>7</v>
      </c>
      <c r="LI687" s="27" t="s">
        <v>8</v>
      </c>
      <c r="LJ687" s="27" t="s">
        <v>7</v>
      </c>
      <c r="LK687" s="27" t="s">
        <v>8</v>
      </c>
      <c r="LU687" s="27" t="s">
        <v>8</v>
      </c>
      <c r="LV687" s="27" t="s">
        <v>7</v>
      </c>
    </row>
    <row r="688" spans="1:334" x14ac:dyDescent="0.25">
      <c r="A688" s="7">
        <v>0.1353264384291625</v>
      </c>
      <c r="B688"/>
      <c r="C688"/>
      <c r="D688"/>
      <c r="E688"/>
      <c r="F688" s="27" t="s">
        <v>7</v>
      </c>
      <c r="EY688" s="27" t="s">
        <v>8</v>
      </c>
      <c r="EZ688" s="27" t="s">
        <v>7</v>
      </c>
      <c r="FM688" s="27" t="s">
        <v>8</v>
      </c>
      <c r="FN688" s="27" t="s">
        <v>7</v>
      </c>
      <c r="FO688" s="27" t="s">
        <v>8</v>
      </c>
      <c r="FP688" s="27" t="s">
        <v>7</v>
      </c>
      <c r="GN688" s="27" t="s">
        <v>7</v>
      </c>
      <c r="GQ688" s="27" t="s">
        <v>8</v>
      </c>
      <c r="GX688" s="27" t="s">
        <v>7</v>
      </c>
      <c r="GY688" s="27" t="s">
        <v>8</v>
      </c>
      <c r="GZ688" s="27" t="s">
        <v>7</v>
      </c>
      <c r="HA688" s="27" t="s">
        <v>8</v>
      </c>
      <c r="HB688" s="27" t="s">
        <v>7</v>
      </c>
      <c r="HO688" s="27" t="s">
        <v>8</v>
      </c>
      <c r="HP688" s="27" t="s">
        <v>7</v>
      </c>
      <c r="HQ688" s="27" t="s">
        <v>8</v>
      </c>
      <c r="HV688" s="27" t="s">
        <v>7</v>
      </c>
      <c r="HW688" s="27" t="s">
        <v>8</v>
      </c>
      <c r="HX688" s="27" t="s">
        <v>7</v>
      </c>
      <c r="HY688" s="27" t="s">
        <v>8</v>
      </c>
      <c r="HZ688" s="27" t="s">
        <v>7</v>
      </c>
      <c r="IU688" s="27" t="s">
        <v>8</v>
      </c>
      <c r="IV688" s="27" t="s">
        <v>7</v>
      </c>
      <c r="IW688" s="27" t="s">
        <v>8</v>
      </c>
      <c r="IX688" s="27" t="s">
        <v>7</v>
      </c>
      <c r="IY688" s="27" t="s">
        <v>8</v>
      </c>
      <c r="IZ688" s="27" t="s">
        <v>7</v>
      </c>
      <c r="JA688" s="27" t="s">
        <v>8</v>
      </c>
      <c r="JJ688" s="27" t="s">
        <v>7</v>
      </c>
      <c r="JO688" s="27" t="s">
        <v>8</v>
      </c>
      <c r="JP688" s="27" t="s">
        <v>7</v>
      </c>
      <c r="JQ688" s="27" t="s">
        <v>8</v>
      </c>
      <c r="JR688" s="27" t="s">
        <v>7</v>
      </c>
      <c r="KC688" s="27" t="s">
        <v>8</v>
      </c>
      <c r="KD688" s="27" t="s">
        <v>7</v>
      </c>
      <c r="KJ688" s="27" t="s">
        <v>7</v>
      </c>
      <c r="KK688" s="27" t="s">
        <v>8</v>
      </c>
      <c r="KL688" s="27" t="s">
        <v>7</v>
      </c>
      <c r="KP688" s="27" t="s">
        <v>7</v>
      </c>
      <c r="KR688" s="27" t="s">
        <v>7</v>
      </c>
      <c r="KT688" s="27" t="s">
        <v>7</v>
      </c>
      <c r="KU688" s="27" t="s">
        <v>8</v>
      </c>
      <c r="KV688" s="27" t="s">
        <v>7</v>
      </c>
      <c r="KW688" s="27" t="s">
        <v>8</v>
      </c>
      <c r="KX688" s="27" t="s">
        <v>7</v>
      </c>
      <c r="KY688" s="27" t="s">
        <v>8</v>
      </c>
      <c r="KZ688" s="27" t="s">
        <v>7</v>
      </c>
      <c r="LA688" s="27" t="s">
        <v>8</v>
      </c>
      <c r="LF688" s="27" t="s">
        <v>7</v>
      </c>
      <c r="LG688" s="27" t="s">
        <v>8</v>
      </c>
      <c r="LH688" s="27" t="s">
        <v>7</v>
      </c>
      <c r="LI688" s="27" t="s">
        <v>8</v>
      </c>
      <c r="LJ688" s="27" t="s">
        <v>7</v>
      </c>
      <c r="LK688" s="27" t="s">
        <v>8</v>
      </c>
      <c r="LL688" s="27" t="s">
        <v>7</v>
      </c>
      <c r="LU688" s="27" t="s">
        <v>8</v>
      </c>
      <c r="LV688" s="27" t="s">
        <v>7</v>
      </c>
    </row>
    <row r="689" spans="1:344" x14ac:dyDescent="0.25">
      <c r="A689" s="7">
        <v>0.13267297885212009</v>
      </c>
      <c r="B689"/>
      <c r="C689"/>
      <c r="D689"/>
      <c r="E689"/>
      <c r="F689" s="27" t="s">
        <v>7</v>
      </c>
      <c r="EY689" s="27" t="s">
        <v>8</v>
      </c>
      <c r="EZ689" s="27" t="s">
        <v>7</v>
      </c>
      <c r="FM689" s="27" t="s">
        <v>8</v>
      </c>
      <c r="FN689" s="27" t="s">
        <v>7</v>
      </c>
      <c r="FO689" s="27" t="s">
        <v>8</v>
      </c>
      <c r="GN689" s="27" t="s">
        <v>7</v>
      </c>
      <c r="GO689" s="27" t="s">
        <v>8</v>
      </c>
      <c r="GQ689" s="27" t="s">
        <v>8</v>
      </c>
      <c r="GX689" s="27" t="s">
        <v>7</v>
      </c>
      <c r="GY689" s="27" t="s">
        <v>8</v>
      </c>
      <c r="GZ689" s="27" t="s">
        <v>7</v>
      </c>
      <c r="HA689" s="27" t="s">
        <v>8</v>
      </c>
      <c r="HB689" s="27" t="s">
        <v>7</v>
      </c>
      <c r="HO689" s="27" t="s">
        <v>8</v>
      </c>
      <c r="HP689" s="27" t="s">
        <v>7</v>
      </c>
      <c r="HQ689" s="27" t="s">
        <v>8</v>
      </c>
      <c r="HV689" s="27" t="s">
        <v>7</v>
      </c>
      <c r="HW689" s="27" t="s">
        <v>8</v>
      </c>
      <c r="HX689" s="27" t="s">
        <v>7</v>
      </c>
      <c r="HY689" s="27" t="s">
        <v>8</v>
      </c>
      <c r="HZ689" s="27" t="s">
        <v>7</v>
      </c>
      <c r="IC689" s="27" t="s">
        <v>8</v>
      </c>
      <c r="IU689" s="27" t="s">
        <v>8</v>
      </c>
      <c r="IV689" s="27" t="s">
        <v>7</v>
      </c>
      <c r="IW689" s="27" t="s">
        <v>8</v>
      </c>
      <c r="IX689" s="27" t="s">
        <v>7</v>
      </c>
      <c r="IY689" s="27" t="s">
        <v>8</v>
      </c>
      <c r="IZ689" s="27" t="s">
        <v>7</v>
      </c>
      <c r="JA689" s="27" t="s">
        <v>8</v>
      </c>
      <c r="JJ689" s="27" t="s">
        <v>7</v>
      </c>
      <c r="JK689" s="27" t="s">
        <v>8</v>
      </c>
      <c r="JO689" s="27" t="s">
        <v>8</v>
      </c>
      <c r="JP689" s="27" t="s">
        <v>7</v>
      </c>
      <c r="JQ689" s="27" t="s">
        <v>8</v>
      </c>
      <c r="JR689" s="27" t="s">
        <v>7</v>
      </c>
      <c r="JS689" s="27" t="s">
        <v>8</v>
      </c>
      <c r="KA689" s="27" t="s">
        <v>8</v>
      </c>
      <c r="KC689" s="27" t="s">
        <v>8</v>
      </c>
      <c r="KJ689" s="27" t="s">
        <v>7</v>
      </c>
      <c r="KK689" s="27" t="s">
        <v>8</v>
      </c>
      <c r="KT689" s="27" t="s">
        <v>7</v>
      </c>
      <c r="KU689" s="27" t="s">
        <v>8</v>
      </c>
      <c r="KV689" s="27" t="s">
        <v>7</v>
      </c>
      <c r="KW689" s="27" t="s">
        <v>8</v>
      </c>
      <c r="KX689" s="27" t="s">
        <v>7</v>
      </c>
      <c r="KZ689" s="27" t="s">
        <v>7</v>
      </c>
      <c r="LA689" s="27" t="s">
        <v>8</v>
      </c>
      <c r="LF689" s="27" t="s">
        <v>7</v>
      </c>
      <c r="LG689" s="27" t="s">
        <v>8</v>
      </c>
      <c r="LH689" s="27" t="s">
        <v>7</v>
      </c>
      <c r="LI689" s="27" t="s">
        <v>8</v>
      </c>
      <c r="LJ689" s="27" t="s">
        <v>7</v>
      </c>
      <c r="LK689" s="27" t="s">
        <v>8</v>
      </c>
      <c r="LL689" s="27" t="s">
        <v>7</v>
      </c>
      <c r="LM689" s="27" t="s">
        <v>8</v>
      </c>
      <c r="LU689" s="27" t="s">
        <v>8</v>
      </c>
      <c r="LV689" s="27" t="s">
        <v>7</v>
      </c>
    </row>
    <row r="690" spans="1:344" x14ac:dyDescent="0.25">
      <c r="A690" s="7">
        <v>0.13007154789423539</v>
      </c>
      <c r="B690"/>
      <c r="C690"/>
      <c r="D690"/>
      <c r="E690"/>
      <c r="F690" s="27" t="s">
        <v>7</v>
      </c>
      <c r="EY690" s="27" t="s">
        <v>8</v>
      </c>
      <c r="EZ690" s="27" t="s">
        <v>7</v>
      </c>
      <c r="FM690" s="27" t="s">
        <v>8</v>
      </c>
      <c r="FN690" s="27" t="s">
        <v>7</v>
      </c>
      <c r="FO690" s="27" t="s">
        <v>8</v>
      </c>
      <c r="GN690" s="27" t="s">
        <v>7</v>
      </c>
      <c r="GO690" s="27" t="s">
        <v>8</v>
      </c>
      <c r="GP690" s="27" t="s">
        <v>7</v>
      </c>
      <c r="GQ690" s="27" t="s">
        <v>8</v>
      </c>
      <c r="GX690" s="27" t="s">
        <v>7</v>
      </c>
      <c r="GY690" s="27" t="s">
        <v>8</v>
      </c>
      <c r="GZ690" s="27" t="s">
        <v>7</v>
      </c>
      <c r="HA690" s="27" t="s">
        <v>8</v>
      </c>
      <c r="HB690" s="27" t="s">
        <v>7</v>
      </c>
      <c r="HO690" s="27" t="s">
        <v>8</v>
      </c>
      <c r="HP690" s="27" t="s">
        <v>7</v>
      </c>
      <c r="HV690" s="27" t="s">
        <v>7</v>
      </c>
      <c r="HW690" s="27" t="s">
        <v>8</v>
      </c>
      <c r="HX690" s="27" t="s">
        <v>7</v>
      </c>
      <c r="HY690" s="27" t="s">
        <v>8</v>
      </c>
      <c r="HZ690" s="27" t="s">
        <v>7</v>
      </c>
      <c r="IC690" s="27" t="s">
        <v>8</v>
      </c>
      <c r="ID690" s="27" t="s">
        <v>7</v>
      </c>
      <c r="IU690" s="27" t="s">
        <v>8</v>
      </c>
      <c r="IV690" s="27" t="s">
        <v>7</v>
      </c>
      <c r="IW690" s="27" t="s">
        <v>8</v>
      </c>
      <c r="IX690" s="27" t="s">
        <v>7</v>
      </c>
      <c r="IY690" s="27" t="s">
        <v>8</v>
      </c>
      <c r="IZ690" s="27" t="s">
        <v>7</v>
      </c>
      <c r="JA690" s="27" t="s">
        <v>8</v>
      </c>
      <c r="JJ690" s="27" t="s">
        <v>7</v>
      </c>
      <c r="JK690" s="27" t="s">
        <v>8</v>
      </c>
      <c r="JL690" s="27" t="s">
        <v>7</v>
      </c>
      <c r="JM690" s="27" t="s">
        <v>8</v>
      </c>
      <c r="JO690" s="27" t="s">
        <v>8</v>
      </c>
      <c r="JP690" s="27" t="s">
        <v>7</v>
      </c>
      <c r="JR690" s="27" t="s">
        <v>7</v>
      </c>
      <c r="JS690" s="27" t="s">
        <v>8</v>
      </c>
      <c r="JT690" s="27" t="s">
        <v>7</v>
      </c>
      <c r="KA690" s="27" t="s">
        <v>8</v>
      </c>
      <c r="KB690" s="27" t="s">
        <v>7</v>
      </c>
      <c r="KC690" s="27" t="s">
        <v>8</v>
      </c>
      <c r="KJ690" s="27" t="s">
        <v>7</v>
      </c>
      <c r="KK690" s="27" t="s">
        <v>8</v>
      </c>
      <c r="KT690" s="27" t="s">
        <v>7</v>
      </c>
      <c r="KV690" s="27" t="s">
        <v>7</v>
      </c>
      <c r="KW690" s="27" t="s">
        <v>8</v>
      </c>
      <c r="KZ690" s="27" t="s">
        <v>7</v>
      </c>
      <c r="LF690" s="27" t="s">
        <v>7</v>
      </c>
      <c r="LG690" s="27" t="s">
        <v>8</v>
      </c>
      <c r="LH690" s="27" t="s">
        <v>7</v>
      </c>
      <c r="LI690" s="27" t="s">
        <v>8</v>
      </c>
      <c r="LJ690" s="27" t="s">
        <v>7</v>
      </c>
      <c r="LL690" s="27" t="s">
        <v>7</v>
      </c>
      <c r="LM690" s="27" t="s">
        <v>8</v>
      </c>
      <c r="LN690" s="27" t="s">
        <v>7</v>
      </c>
      <c r="LU690" s="27" t="s">
        <v>8</v>
      </c>
      <c r="LV690" s="27" t="s">
        <v>7</v>
      </c>
    </row>
    <row r="691" spans="1:344" x14ac:dyDescent="0.25">
      <c r="A691" s="7">
        <v>0.12752112538650529</v>
      </c>
      <c r="B691"/>
      <c r="C691"/>
      <c r="D691"/>
      <c r="E691"/>
      <c r="F691" s="27" t="s">
        <v>7</v>
      </c>
      <c r="EY691" s="27" t="s">
        <v>8</v>
      </c>
      <c r="EZ691" s="27" t="s">
        <v>7</v>
      </c>
      <c r="FM691" s="27" t="s">
        <v>8</v>
      </c>
      <c r="FN691" s="27" t="s">
        <v>7</v>
      </c>
      <c r="FO691" s="27" t="s">
        <v>8</v>
      </c>
      <c r="GN691" s="27" t="s">
        <v>7</v>
      </c>
      <c r="GO691" s="27" t="s">
        <v>8</v>
      </c>
      <c r="GP691" s="27" t="s">
        <v>7</v>
      </c>
      <c r="GQ691" s="27" t="s">
        <v>8</v>
      </c>
      <c r="GX691" s="27" t="s">
        <v>7</v>
      </c>
      <c r="GY691" s="27" t="s">
        <v>8</v>
      </c>
      <c r="GZ691" s="27" t="s">
        <v>7</v>
      </c>
      <c r="HB691" s="27" t="s">
        <v>7</v>
      </c>
      <c r="HO691" s="27" t="s">
        <v>8</v>
      </c>
      <c r="HV691" s="27" t="s">
        <v>7</v>
      </c>
      <c r="HW691" s="27" t="s">
        <v>8</v>
      </c>
      <c r="HX691" s="27" t="s">
        <v>7</v>
      </c>
      <c r="HY691" s="27" t="s">
        <v>8</v>
      </c>
      <c r="HZ691" s="27" t="s">
        <v>7</v>
      </c>
      <c r="IC691" s="27" t="s">
        <v>8</v>
      </c>
      <c r="ID691" s="27" t="s">
        <v>7</v>
      </c>
      <c r="II691" s="27" t="s">
        <v>8</v>
      </c>
      <c r="IU691" s="27" t="s">
        <v>8</v>
      </c>
      <c r="IV691" s="27" t="s">
        <v>7</v>
      </c>
      <c r="IW691" s="27" t="s">
        <v>8</v>
      </c>
      <c r="IX691" s="27" t="s">
        <v>7</v>
      </c>
      <c r="IY691" s="27" t="s">
        <v>8</v>
      </c>
      <c r="IZ691" s="27" t="s">
        <v>7</v>
      </c>
      <c r="JA691" s="27" t="s">
        <v>8</v>
      </c>
      <c r="JJ691" s="27" t="s">
        <v>7</v>
      </c>
      <c r="JK691" s="27" t="s">
        <v>8</v>
      </c>
      <c r="JL691" s="27" t="s">
        <v>7</v>
      </c>
      <c r="JM691" s="27" t="s">
        <v>8</v>
      </c>
      <c r="JN691" s="27" t="s">
        <v>7</v>
      </c>
      <c r="JO691" s="27" t="s">
        <v>8</v>
      </c>
      <c r="JR691" s="27" t="s">
        <v>7</v>
      </c>
      <c r="JS691" s="27" t="s">
        <v>8</v>
      </c>
      <c r="JT691" s="27" t="s">
        <v>7</v>
      </c>
      <c r="KA691" s="27" t="s">
        <v>8</v>
      </c>
      <c r="KB691" s="27" t="s">
        <v>7</v>
      </c>
      <c r="KC691" s="27" t="s">
        <v>8</v>
      </c>
      <c r="KJ691" s="27" t="s">
        <v>7</v>
      </c>
      <c r="KK691" s="27" t="s">
        <v>8</v>
      </c>
      <c r="KV691" s="27" t="s">
        <v>7</v>
      </c>
      <c r="LF691" s="27" t="s">
        <v>7</v>
      </c>
      <c r="LG691" s="27" t="s">
        <v>8</v>
      </c>
      <c r="LH691" s="27" t="s">
        <v>7</v>
      </c>
      <c r="LI691" s="27" t="s">
        <v>8</v>
      </c>
      <c r="LL691" s="27" t="s">
        <v>7</v>
      </c>
      <c r="LM691" s="27" t="s">
        <v>8</v>
      </c>
      <c r="LN691" s="27" t="s">
        <v>7</v>
      </c>
      <c r="LS691" s="27" t="s">
        <v>8</v>
      </c>
      <c r="LU691" s="27" t="s">
        <v>8</v>
      </c>
      <c r="LV691" s="27" t="s">
        <v>7</v>
      </c>
    </row>
    <row r="692" spans="1:344" x14ac:dyDescent="0.25">
      <c r="A692" s="7">
        <v>0.12502071116324048</v>
      </c>
      <c r="B692"/>
      <c r="C692"/>
      <c r="D692"/>
      <c r="E692"/>
      <c r="F692" s="27" t="s">
        <v>7</v>
      </c>
      <c r="EY692" s="27" t="s">
        <v>8</v>
      </c>
      <c r="EZ692" s="27" t="s">
        <v>7</v>
      </c>
      <c r="FA692" s="27" t="s">
        <v>8</v>
      </c>
      <c r="FM692" s="27" t="s">
        <v>8</v>
      </c>
      <c r="FN692" s="27" t="s">
        <v>7</v>
      </c>
      <c r="FO692" s="27" t="s">
        <v>8</v>
      </c>
      <c r="GN692" s="27" t="s">
        <v>7</v>
      </c>
      <c r="GO692" s="27" t="s">
        <v>8</v>
      </c>
      <c r="GP692" s="27" t="s">
        <v>7</v>
      </c>
      <c r="GQ692" s="27" t="s">
        <v>8</v>
      </c>
      <c r="GX692" s="27" t="s">
        <v>7</v>
      </c>
      <c r="GY692" s="27" t="s">
        <v>8</v>
      </c>
      <c r="HB692" s="27" t="s">
        <v>7</v>
      </c>
      <c r="HO692" s="27" t="s">
        <v>8</v>
      </c>
      <c r="HV692" s="27" t="s">
        <v>7</v>
      </c>
      <c r="HX692" s="27" t="s">
        <v>7</v>
      </c>
      <c r="HY692" s="27" t="s">
        <v>8</v>
      </c>
      <c r="HZ692" s="27" t="s">
        <v>7</v>
      </c>
      <c r="IC692" s="27" t="s">
        <v>8</v>
      </c>
      <c r="ID692" s="27" t="s">
        <v>7</v>
      </c>
      <c r="II692" s="27" t="s">
        <v>8</v>
      </c>
      <c r="IJ692" s="27" t="s">
        <v>7</v>
      </c>
      <c r="IU692" s="27" t="s">
        <v>8</v>
      </c>
      <c r="IV692" s="27" t="s">
        <v>7</v>
      </c>
      <c r="IW692" s="27" t="s">
        <v>8</v>
      </c>
      <c r="IX692" s="27" t="s">
        <v>7</v>
      </c>
      <c r="IY692" s="27" t="s">
        <v>8</v>
      </c>
      <c r="IZ692" s="27" t="s">
        <v>7</v>
      </c>
      <c r="JA692" s="27" t="s">
        <v>8</v>
      </c>
      <c r="JJ692" s="27" t="s">
        <v>7</v>
      </c>
      <c r="JK692" s="27" t="s">
        <v>8</v>
      </c>
      <c r="JL692" s="27" t="s">
        <v>7</v>
      </c>
      <c r="JM692" s="27" t="s">
        <v>8</v>
      </c>
      <c r="JN692" s="27" t="s">
        <v>7</v>
      </c>
      <c r="JO692" s="27" t="s">
        <v>8</v>
      </c>
      <c r="JR692" s="27" t="s">
        <v>7</v>
      </c>
      <c r="JS692" s="27" t="s">
        <v>8</v>
      </c>
      <c r="JT692" s="27" t="s">
        <v>7</v>
      </c>
      <c r="JW692" s="27" t="s">
        <v>8</v>
      </c>
      <c r="JY692" s="27" t="s">
        <v>8</v>
      </c>
      <c r="KA692" s="27" t="s">
        <v>8</v>
      </c>
      <c r="KB692" s="27" t="s">
        <v>7</v>
      </c>
      <c r="KC692" s="27" t="s">
        <v>8</v>
      </c>
      <c r="KJ692" s="27" t="s">
        <v>7</v>
      </c>
      <c r="KK692" s="27" t="s">
        <v>8</v>
      </c>
      <c r="LF692" s="27" t="s">
        <v>7</v>
      </c>
      <c r="LH692" s="27" t="s">
        <v>7</v>
      </c>
      <c r="LI692" s="27" t="s">
        <v>8</v>
      </c>
      <c r="LL692" s="27" t="s">
        <v>7</v>
      </c>
      <c r="LM692" s="27" t="s">
        <v>8</v>
      </c>
      <c r="LN692" s="27" t="s">
        <v>7</v>
      </c>
      <c r="LS692" s="27" t="s">
        <v>8</v>
      </c>
      <c r="LT692" s="27" t="s">
        <v>7</v>
      </c>
      <c r="LU692" s="27" t="s">
        <v>8</v>
      </c>
      <c r="LV692" s="27" t="s">
        <v>7</v>
      </c>
    </row>
    <row r="693" spans="1:344" x14ac:dyDescent="0.25">
      <c r="A693" s="7">
        <v>0.1225693246698436</v>
      </c>
      <c r="B693"/>
      <c r="C693"/>
      <c r="D693"/>
      <c r="E693"/>
      <c r="F693" s="27" t="s">
        <v>7</v>
      </c>
      <c r="EY693" s="27" t="s">
        <v>8</v>
      </c>
      <c r="EZ693" s="27" t="s">
        <v>7</v>
      </c>
      <c r="FA693" s="27" t="s">
        <v>8</v>
      </c>
      <c r="FB693" s="27" t="s">
        <v>7</v>
      </c>
      <c r="FM693" s="27" t="s">
        <v>8</v>
      </c>
      <c r="FN693" s="27" t="s">
        <v>7</v>
      </c>
      <c r="FO693" s="27" t="s">
        <v>8</v>
      </c>
      <c r="GN693" s="27" t="s">
        <v>7</v>
      </c>
      <c r="GO693" s="27" t="s">
        <v>8</v>
      </c>
      <c r="GP693" s="27" t="s">
        <v>7</v>
      </c>
      <c r="GQ693" s="27" t="s">
        <v>8</v>
      </c>
      <c r="GX693" s="27" t="s">
        <v>7</v>
      </c>
      <c r="GY693" s="27" t="s">
        <v>8</v>
      </c>
      <c r="HB693" s="27" t="s">
        <v>7</v>
      </c>
      <c r="HO693" s="27" t="s">
        <v>8</v>
      </c>
      <c r="HX693" s="27" t="s">
        <v>7</v>
      </c>
      <c r="HY693" s="27" t="s">
        <v>8</v>
      </c>
      <c r="HZ693" s="27" t="s">
        <v>7</v>
      </c>
      <c r="IC693" s="27" t="s">
        <v>8</v>
      </c>
      <c r="ID693" s="27" t="s">
        <v>7</v>
      </c>
      <c r="II693" s="27" t="s">
        <v>8</v>
      </c>
      <c r="IJ693" s="27" t="s">
        <v>7</v>
      </c>
      <c r="IU693" s="27" t="s">
        <v>8</v>
      </c>
      <c r="IV693" s="27" t="s">
        <v>7</v>
      </c>
      <c r="IW693" s="27" t="s">
        <v>8</v>
      </c>
      <c r="IX693" s="27" t="s">
        <v>7</v>
      </c>
      <c r="IY693" s="27" t="s">
        <v>8</v>
      </c>
      <c r="IZ693" s="27" t="s">
        <v>7</v>
      </c>
      <c r="JJ693" s="27" t="s">
        <v>7</v>
      </c>
      <c r="JK693" s="27" t="s">
        <v>8</v>
      </c>
      <c r="JL693" s="27" t="s">
        <v>7</v>
      </c>
      <c r="JM693" s="27" t="s">
        <v>8</v>
      </c>
      <c r="JN693" s="27" t="s">
        <v>7</v>
      </c>
      <c r="JO693" s="27" t="s">
        <v>8</v>
      </c>
      <c r="JR693" s="27" t="s">
        <v>7</v>
      </c>
      <c r="JS693" s="27" t="s">
        <v>8</v>
      </c>
      <c r="JT693" s="27" t="s">
        <v>7</v>
      </c>
      <c r="JU693" s="27" t="s">
        <v>8</v>
      </c>
      <c r="JW693" s="27" t="s">
        <v>8</v>
      </c>
      <c r="JX693" s="27" t="s">
        <v>7</v>
      </c>
      <c r="JY693" s="27" t="s">
        <v>8</v>
      </c>
      <c r="JZ693" s="27" t="s">
        <v>7</v>
      </c>
      <c r="KA693" s="27" t="s">
        <v>8</v>
      </c>
      <c r="KB693" s="27" t="s">
        <v>7</v>
      </c>
      <c r="KC693" s="27" t="s">
        <v>8</v>
      </c>
      <c r="KJ693" s="27" t="s">
        <v>7</v>
      </c>
      <c r="LH693" s="27" t="s">
        <v>7</v>
      </c>
      <c r="LL693" s="27" t="s">
        <v>7</v>
      </c>
      <c r="LM693" s="27" t="s">
        <v>8</v>
      </c>
      <c r="LN693" s="27" t="s">
        <v>7</v>
      </c>
      <c r="LO693" s="27" t="s">
        <v>8</v>
      </c>
      <c r="LS693" s="27" t="s">
        <v>8</v>
      </c>
      <c r="LT693" s="27" t="s">
        <v>7</v>
      </c>
      <c r="LU693" s="27" t="s">
        <v>8</v>
      </c>
      <c r="LV693" s="27" t="s">
        <v>7</v>
      </c>
      <c r="LW693" s="27" t="s">
        <v>8</v>
      </c>
    </row>
    <row r="694" spans="1:344" x14ac:dyDescent="0.25">
      <c r="A694" s="7">
        <v>0.12016600457827803</v>
      </c>
      <c r="B694"/>
      <c r="C694"/>
      <c r="D694"/>
      <c r="E694"/>
      <c r="F694" s="27" t="s">
        <v>7</v>
      </c>
      <c r="EY694" s="27" t="s">
        <v>8</v>
      </c>
      <c r="EZ694" s="27" t="s">
        <v>7</v>
      </c>
      <c r="FA694" s="27" t="s">
        <v>8</v>
      </c>
      <c r="FB694" s="27" t="s">
        <v>7</v>
      </c>
      <c r="FM694" s="27" t="s">
        <v>8</v>
      </c>
      <c r="FN694" s="27" t="s">
        <v>7</v>
      </c>
      <c r="GN694" s="27" t="s">
        <v>7</v>
      </c>
      <c r="GO694" s="27" t="s">
        <v>8</v>
      </c>
      <c r="GP694" s="27" t="s">
        <v>7</v>
      </c>
      <c r="GQ694" s="27" t="s">
        <v>8</v>
      </c>
      <c r="GX694" s="27" t="s">
        <v>7</v>
      </c>
      <c r="HB694" s="27" t="s">
        <v>7</v>
      </c>
      <c r="HO694" s="27" t="s">
        <v>8</v>
      </c>
      <c r="HX694" s="27" t="s">
        <v>7</v>
      </c>
      <c r="HY694" s="27" t="s">
        <v>8</v>
      </c>
      <c r="HZ694" s="27" t="s">
        <v>7</v>
      </c>
      <c r="IA694" s="27" t="s">
        <v>8</v>
      </c>
      <c r="IC694" s="27" t="s">
        <v>8</v>
      </c>
      <c r="ID694" s="27" t="s">
        <v>7</v>
      </c>
      <c r="II694" s="27" t="s">
        <v>8</v>
      </c>
      <c r="IJ694" s="27" t="s">
        <v>7</v>
      </c>
      <c r="IU694" s="27" t="s">
        <v>8</v>
      </c>
      <c r="IV694" s="27" t="s">
        <v>7</v>
      </c>
      <c r="IW694" s="27" t="s">
        <v>8</v>
      </c>
      <c r="IX694" s="27" t="s">
        <v>7</v>
      </c>
      <c r="IY694" s="27" t="s">
        <v>8</v>
      </c>
      <c r="JJ694" s="27" t="s">
        <v>7</v>
      </c>
      <c r="JK694" s="27" t="s">
        <v>8</v>
      </c>
      <c r="JL694" s="27" t="s">
        <v>7</v>
      </c>
      <c r="JM694" s="27" t="s">
        <v>8</v>
      </c>
      <c r="JN694" s="27" t="s">
        <v>7</v>
      </c>
      <c r="JO694" s="27" t="s">
        <v>8</v>
      </c>
      <c r="JR694" s="27" t="s">
        <v>7</v>
      </c>
      <c r="JS694" s="27" t="s">
        <v>8</v>
      </c>
      <c r="JT694" s="27" t="s">
        <v>7</v>
      </c>
      <c r="JU694" s="27" t="s">
        <v>8</v>
      </c>
      <c r="JV694" s="27" t="s">
        <v>7</v>
      </c>
      <c r="JW694" s="27" t="s">
        <v>8</v>
      </c>
      <c r="JX694" s="27" t="s">
        <v>7</v>
      </c>
      <c r="JY694" s="27" t="s">
        <v>8</v>
      </c>
      <c r="JZ694" s="27" t="s">
        <v>7</v>
      </c>
      <c r="KA694" s="27" t="s">
        <v>8</v>
      </c>
      <c r="KB694" s="27" t="s">
        <v>7</v>
      </c>
      <c r="LL694" s="27" t="s">
        <v>7</v>
      </c>
      <c r="LM694" s="27" t="s">
        <v>8</v>
      </c>
      <c r="LN694" s="27" t="s">
        <v>7</v>
      </c>
      <c r="LO694" s="27" t="s">
        <v>8</v>
      </c>
      <c r="LP694" s="27" t="s">
        <v>7</v>
      </c>
      <c r="LQ694" s="27" t="s">
        <v>8</v>
      </c>
      <c r="LS694" s="27" t="s">
        <v>8</v>
      </c>
      <c r="LT694" s="27" t="s">
        <v>7</v>
      </c>
      <c r="LV694" s="27" t="s">
        <v>7</v>
      </c>
      <c r="LW694" s="27" t="s">
        <v>8</v>
      </c>
      <c r="LX694" s="27" t="s">
        <v>7</v>
      </c>
    </row>
    <row r="695" spans="1:344" x14ac:dyDescent="0.25">
      <c r="A695" s="7">
        <v>0.1178098084100765</v>
      </c>
      <c r="B695"/>
      <c r="C695"/>
      <c r="D695"/>
      <c r="E695"/>
      <c r="F695" s="27" t="s">
        <v>7</v>
      </c>
      <c r="EY695" s="27" t="s">
        <v>8</v>
      </c>
      <c r="EZ695" s="27" t="s">
        <v>7</v>
      </c>
      <c r="FA695" s="27" t="s">
        <v>8</v>
      </c>
      <c r="FB695" s="27" t="s">
        <v>7</v>
      </c>
      <c r="FK695" s="27" t="s">
        <v>8</v>
      </c>
      <c r="FM695" s="27" t="s">
        <v>8</v>
      </c>
      <c r="GN695" s="27" t="s">
        <v>7</v>
      </c>
      <c r="GO695" s="27" t="s">
        <v>8</v>
      </c>
      <c r="GP695" s="27" t="s">
        <v>7</v>
      </c>
      <c r="GQ695" s="27" t="s">
        <v>8</v>
      </c>
      <c r="HB695" s="27" t="s">
        <v>7</v>
      </c>
      <c r="HO695" s="27" t="s">
        <v>8</v>
      </c>
      <c r="HX695" s="27" t="s">
        <v>7</v>
      </c>
      <c r="HY695" s="27" t="s">
        <v>8</v>
      </c>
      <c r="HZ695" s="27" t="s">
        <v>7</v>
      </c>
      <c r="IA695" s="27" t="s">
        <v>8</v>
      </c>
      <c r="IB695" s="27" t="s">
        <v>7</v>
      </c>
      <c r="IC695" s="27" t="s">
        <v>8</v>
      </c>
      <c r="ID695" s="27" t="s">
        <v>7</v>
      </c>
      <c r="IE695" s="27" t="s">
        <v>8</v>
      </c>
      <c r="II695" s="27" t="s">
        <v>8</v>
      </c>
      <c r="IJ695" s="27" t="s">
        <v>7</v>
      </c>
      <c r="IU695" s="27" t="s">
        <v>8</v>
      </c>
      <c r="IV695" s="27" t="s">
        <v>7</v>
      </c>
      <c r="IW695" s="27" t="s">
        <v>8</v>
      </c>
      <c r="IX695" s="27" t="s">
        <v>7</v>
      </c>
      <c r="JJ695" s="27" t="s">
        <v>7</v>
      </c>
      <c r="JK695" s="27" t="s">
        <v>8</v>
      </c>
      <c r="JL695" s="27" t="s">
        <v>7</v>
      </c>
      <c r="JN695" s="27" t="s">
        <v>7</v>
      </c>
      <c r="JO695" s="27" t="s">
        <v>8</v>
      </c>
      <c r="JR695" s="27" t="s">
        <v>7</v>
      </c>
      <c r="JS695" s="27" t="s">
        <v>8</v>
      </c>
      <c r="JT695" s="27" t="s">
        <v>7</v>
      </c>
      <c r="JU695" s="27" t="s">
        <v>8</v>
      </c>
      <c r="JV695" s="27" t="s">
        <v>7</v>
      </c>
      <c r="JW695" s="27" t="s">
        <v>8</v>
      </c>
      <c r="JX695" s="27" t="s">
        <v>7</v>
      </c>
      <c r="JY695" s="27" t="s">
        <v>8</v>
      </c>
      <c r="JZ695" s="27" t="s">
        <v>7</v>
      </c>
      <c r="KA695" s="27" t="s">
        <v>8</v>
      </c>
      <c r="LL695" s="27" t="s">
        <v>7</v>
      </c>
      <c r="LM695" s="27" t="s">
        <v>8</v>
      </c>
      <c r="LN695" s="27" t="s">
        <v>7</v>
      </c>
      <c r="LO695" s="27" t="s">
        <v>8</v>
      </c>
      <c r="LP695" s="27" t="s">
        <v>7</v>
      </c>
      <c r="LQ695" s="27" t="s">
        <v>8</v>
      </c>
      <c r="LR695" s="27" t="s">
        <v>7</v>
      </c>
      <c r="LS695" s="27" t="s">
        <v>8</v>
      </c>
      <c r="LV695" s="27" t="s">
        <v>7</v>
      </c>
      <c r="LW695" s="27" t="s">
        <v>8</v>
      </c>
      <c r="LX695" s="27" t="s">
        <v>7</v>
      </c>
    </row>
    <row r="696" spans="1:344" x14ac:dyDescent="0.25">
      <c r="A696" s="7">
        <v>0.11549981216674166</v>
      </c>
      <c r="B696"/>
      <c r="C696"/>
      <c r="D696"/>
      <c r="E696"/>
      <c r="F696" s="27" t="s">
        <v>7</v>
      </c>
      <c r="EY696" s="27" t="s">
        <v>8</v>
      </c>
      <c r="EZ696" s="27" t="s">
        <v>7</v>
      </c>
      <c r="FA696" s="27" t="s">
        <v>8</v>
      </c>
      <c r="FB696" s="27" t="s">
        <v>7</v>
      </c>
      <c r="FK696" s="27" t="s">
        <v>8</v>
      </c>
      <c r="FL696" s="27" t="s">
        <v>7</v>
      </c>
      <c r="FM696" s="27" t="s">
        <v>8</v>
      </c>
      <c r="GN696" s="27" t="s">
        <v>7</v>
      </c>
      <c r="GO696" s="27" t="s">
        <v>8</v>
      </c>
      <c r="GP696" s="27" t="s">
        <v>7</v>
      </c>
      <c r="GQ696" s="27" t="s">
        <v>8</v>
      </c>
      <c r="HB696" s="27" t="s">
        <v>7</v>
      </c>
      <c r="HO696" s="27" t="s">
        <v>8</v>
      </c>
      <c r="HX696" s="27" t="s">
        <v>7</v>
      </c>
      <c r="HY696" s="27" t="s">
        <v>8</v>
      </c>
      <c r="HZ696" s="27" t="s">
        <v>7</v>
      </c>
      <c r="IA696" s="27" t="s">
        <v>8</v>
      </c>
      <c r="IB696" s="27" t="s">
        <v>7</v>
      </c>
      <c r="IC696" s="27" t="s">
        <v>8</v>
      </c>
      <c r="ID696" s="27" t="s">
        <v>7</v>
      </c>
      <c r="IE696" s="27" t="s">
        <v>8</v>
      </c>
      <c r="IF696" s="27" t="s">
        <v>7</v>
      </c>
      <c r="II696" s="27" t="s">
        <v>8</v>
      </c>
      <c r="IJ696" s="27" t="s">
        <v>7</v>
      </c>
      <c r="IU696" s="27" t="s">
        <v>8</v>
      </c>
      <c r="IV696" s="27" t="s">
        <v>7</v>
      </c>
      <c r="IW696" s="27" t="s">
        <v>8</v>
      </c>
      <c r="JJ696" s="27" t="s">
        <v>7</v>
      </c>
      <c r="JK696" s="27" t="s">
        <v>8</v>
      </c>
      <c r="JN696" s="27" t="s">
        <v>7</v>
      </c>
      <c r="JO696" s="27" t="s">
        <v>8</v>
      </c>
      <c r="JR696" s="27" t="s">
        <v>7</v>
      </c>
      <c r="JS696" s="27" t="s">
        <v>8</v>
      </c>
      <c r="JT696" s="27" t="s">
        <v>7</v>
      </c>
      <c r="JU696" s="27" t="s">
        <v>8</v>
      </c>
      <c r="JV696" s="27" t="s">
        <v>7</v>
      </c>
      <c r="JW696" s="27" t="s">
        <v>8</v>
      </c>
      <c r="JX696" s="27" t="s">
        <v>7</v>
      </c>
      <c r="JY696" s="27" t="s">
        <v>8</v>
      </c>
      <c r="JZ696" s="27" t="s">
        <v>7</v>
      </c>
      <c r="KA696" s="27" t="s">
        <v>8</v>
      </c>
      <c r="LL696" s="27" t="s">
        <v>7</v>
      </c>
      <c r="LN696" s="27" t="s">
        <v>7</v>
      </c>
      <c r="LO696" s="27" t="s">
        <v>8</v>
      </c>
      <c r="LP696" s="27" t="s">
        <v>7</v>
      </c>
      <c r="LQ696" s="27" t="s">
        <v>8</v>
      </c>
      <c r="LR696" s="27" t="s">
        <v>7</v>
      </c>
      <c r="LS696" s="27" t="s">
        <v>8</v>
      </c>
      <c r="LV696" s="27" t="s">
        <v>7</v>
      </c>
      <c r="LX696" s="27" t="s">
        <v>7</v>
      </c>
    </row>
    <row r="697" spans="1:344" x14ac:dyDescent="0.25">
      <c r="A697" s="7">
        <v>0.11323510996739378</v>
      </c>
      <c r="B697"/>
      <c r="C697"/>
      <c r="D697"/>
      <c r="E697"/>
      <c r="F697" s="27" t="s">
        <v>7</v>
      </c>
      <c r="EY697" s="27" t="s">
        <v>8</v>
      </c>
      <c r="EZ697" s="27" t="s">
        <v>7</v>
      </c>
      <c r="FA697" s="27" t="s">
        <v>8</v>
      </c>
      <c r="FB697" s="27" t="s">
        <v>7</v>
      </c>
      <c r="FC697" s="27" t="s">
        <v>8</v>
      </c>
      <c r="FI697" s="27" t="s">
        <v>8</v>
      </c>
      <c r="FK697" s="27" t="s">
        <v>8</v>
      </c>
      <c r="FL697" s="27" t="s">
        <v>7</v>
      </c>
      <c r="FM697" s="27" t="s">
        <v>8</v>
      </c>
      <c r="GN697" s="27" t="s">
        <v>7</v>
      </c>
      <c r="GO697" s="27" t="s">
        <v>8</v>
      </c>
      <c r="GP697" s="27" t="s">
        <v>7</v>
      </c>
      <c r="GQ697" s="27" t="s">
        <v>8</v>
      </c>
      <c r="HB697" s="27" t="s">
        <v>7</v>
      </c>
      <c r="HO697" s="27" t="s">
        <v>8</v>
      </c>
      <c r="HX697" s="27" t="s">
        <v>7</v>
      </c>
      <c r="HY697" s="27" t="s">
        <v>8</v>
      </c>
      <c r="HZ697" s="27" t="s">
        <v>7</v>
      </c>
      <c r="IA697" s="27" t="s">
        <v>8</v>
      </c>
      <c r="IB697" s="27" t="s">
        <v>7</v>
      </c>
      <c r="ID697" s="27" t="s">
        <v>7</v>
      </c>
      <c r="IE697" s="27" t="s">
        <v>8</v>
      </c>
      <c r="IF697" s="27" t="s">
        <v>7</v>
      </c>
      <c r="IG697" s="27" t="s">
        <v>8</v>
      </c>
      <c r="II697" s="27" t="s">
        <v>8</v>
      </c>
      <c r="IJ697" s="27" t="s">
        <v>7</v>
      </c>
      <c r="IQ697" s="27" t="s">
        <v>8</v>
      </c>
      <c r="IU697" s="27" t="s">
        <v>8</v>
      </c>
      <c r="IV697" s="27" t="s">
        <v>7</v>
      </c>
      <c r="IW697" s="27" t="s">
        <v>8</v>
      </c>
      <c r="JJ697" s="27" t="s">
        <v>7</v>
      </c>
      <c r="JN697" s="27" t="s">
        <v>7</v>
      </c>
      <c r="JR697" s="27" t="s">
        <v>7</v>
      </c>
      <c r="JS697" s="27" t="s">
        <v>8</v>
      </c>
      <c r="JT697" s="27" t="s">
        <v>7</v>
      </c>
      <c r="JU697" s="27" t="s">
        <v>8</v>
      </c>
      <c r="JV697" s="27" t="s">
        <v>7</v>
      </c>
      <c r="JW697" s="27" t="s">
        <v>8</v>
      </c>
      <c r="JX697" s="27" t="s">
        <v>7</v>
      </c>
      <c r="JY697" s="27" t="s">
        <v>8</v>
      </c>
      <c r="JZ697" s="27" t="s">
        <v>7</v>
      </c>
      <c r="KA697" s="27" t="s">
        <v>8</v>
      </c>
      <c r="LN697" s="27" t="s">
        <v>7</v>
      </c>
      <c r="LO697" s="27" t="s">
        <v>8</v>
      </c>
      <c r="LP697" s="27" t="s">
        <v>7</v>
      </c>
      <c r="LR697" s="27" t="s">
        <v>7</v>
      </c>
      <c r="LS697" s="27" t="s">
        <v>8</v>
      </c>
      <c r="LX697" s="27" t="s">
        <v>7</v>
      </c>
    </row>
    <row r="698" spans="1:344" x14ac:dyDescent="0.25">
      <c r="A698" s="7">
        <v>0.11101481369352331</v>
      </c>
      <c r="B698"/>
      <c r="C698"/>
      <c r="D698"/>
      <c r="E698"/>
      <c r="F698" s="27" t="s">
        <v>7</v>
      </c>
      <c r="EY698" s="27" t="s">
        <v>8</v>
      </c>
      <c r="EZ698" s="27" t="s">
        <v>7</v>
      </c>
      <c r="FA698" s="27" t="s">
        <v>8</v>
      </c>
      <c r="FB698" s="27" t="s">
        <v>7</v>
      </c>
      <c r="FC698" s="27" t="s">
        <v>8</v>
      </c>
      <c r="FD698" s="27" t="s">
        <v>7</v>
      </c>
      <c r="FI698" s="27" t="s">
        <v>8</v>
      </c>
      <c r="FJ698" s="27" t="s">
        <v>7</v>
      </c>
      <c r="FK698" s="27" t="s">
        <v>8</v>
      </c>
      <c r="FL698" s="27" t="s">
        <v>7</v>
      </c>
      <c r="FM698" s="27" t="s">
        <v>8</v>
      </c>
      <c r="GN698" s="27" t="s">
        <v>7</v>
      </c>
      <c r="GO698" s="27" t="s">
        <v>8</v>
      </c>
      <c r="GP698" s="27" t="s">
        <v>7</v>
      </c>
      <c r="GQ698" s="27" t="s">
        <v>8</v>
      </c>
      <c r="HB698" s="27" t="s">
        <v>7</v>
      </c>
      <c r="HO698" s="27" t="s">
        <v>8</v>
      </c>
      <c r="HX698" s="27" t="s">
        <v>7</v>
      </c>
      <c r="HY698" s="27" t="s">
        <v>8</v>
      </c>
      <c r="HZ698" s="27" t="s">
        <v>7</v>
      </c>
      <c r="IA698" s="27" t="s">
        <v>8</v>
      </c>
      <c r="ID698" s="27" t="s">
        <v>7</v>
      </c>
      <c r="IF698" s="27" t="s">
        <v>7</v>
      </c>
      <c r="IG698" s="27" t="s">
        <v>8</v>
      </c>
      <c r="IH698" s="27" t="s">
        <v>7</v>
      </c>
      <c r="II698" s="27" t="s">
        <v>8</v>
      </c>
      <c r="IJ698" s="27" t="s">
        <v>7</v>
      </c>
      <c r="IQ698" s="27" t="s">
        <v>8</v>
      </c>
      <c r="IR698" s="27" t="s">
        <v>7</v>
      </c>
      <c r="IU698" s="27" t="s">
        <v>8</v>
      </c>
      <c r="IV698" s="27" t="s">
        <v>7</v>
      </c>
      <c r="JR698" s="27" t="s">
        <v>7</v>
      </c>
      <c r="JS698" s="27" t="s">
        <v>8</v>
      </c>
      <c r="JT698" s="27" t="s">
        <v>7</v>
      </c>
      <c r="JV698" s="27" t="s">
        <v>7</v>
      </c>
      <c r="JW698" s="27" t="s">
        <v>8</v>
      </c>
      <c r="JX698" s="27" t="s">
        <v>7</v>
      </c>
      <c r="JY698" s="27" t="s">
        <v>8</v>
      </c>
      <c r="JZ698" s="27" t="s">
        <v>7</v>
      </c>
      <c r="LN698" s="27" t="s">
        <v>7</v>
      </c>
      <c r="LO698" s="27" t="s">
        <v>8</v>
      </c>
      <c r="LR698" s="27" t="s">
        <v>7</v>
      </c>
      <c r="LX698" s="27" t="s">
        <v>7</v>
      </c>
      <c r="LY698" s="27" t="s">
        <v>8</v>
      </c>
    </row>
    <row r="699" spans="1:344" x14ac:dyDescent="0.25">
      <c r="A699" s="7">
        <v>0.10883805264070913</v>
      </c>
      <c r="B699"/>
      <c r="C699"/>
      <c r="D699"/>
      <c r="E699"/>
      <c r="F699" s="27" t="s">
        <v>7</v>
      </c>
      <c r="EY699" s="27" t="s">
        <v>8</v>
      </c>
      <c r="EZ699" s="27" t="s">
        <v>7</v>
      </c>
      <c r="FA699" s="27" t="s">
        <v>8</v>
      </c>
      <c r="FB699" s="27" t="s">
        <v>7</v>
      </c>
      <c r="FC699" s="27" t="s">
        <v>8</v>
      </c>
      <c r="FD699" s="27" t="s">
        <v>7</v>
      </c>
      <c r="FI699" s="27" t="s">
        <v>8</v>
      </c>
      <c r="FJ699" s="27" t="s">
        <v>7</v>
      </c>
      <c r="FK699" s="27" t="s">
        <v>8</v>
      </c>
      <c r="FL699" s="27" t="s">
        <v>7</v>
      </c>
      <c r="FM699" s="27" t="s">
        <v>8</v>
      </c>
      <c r="GN699" s="27" t="s">
        <v>7</v>
      </c>
      <c r="GO699" s="27" t="s">
        <v>8</v>
      </c>
      <c r="GP699" s="27" t="s">
        <v>7</v>
      </c>
      <c r="GQ699" s="27" t="s">
        <v>8</v>
      </c>
      <c r="HB699" s="27" t="s">
        <v>7</v>
      </c>
      <c r="HO699" s="27" t="s">
        <v>8</v>
      </c>
      <c r="HX699" s="27" t="s">
        <v>7</v>
      </c>
      <c r="HY699" s="27" t="s">
        <v>8</v>
      </c>
      <c r="HZ699" s="27" t="s">
        <v>7</v>
      </c>
      <c r="IA699" s="27" t="s">
        <v>8</v>
      </c>
      <c r="IF699" s="27" t="s">
        <v>7</v>
      </c>
      <c r="IG699" s="27" t="s">
        <v>8</v>
      </c>
      <c r="IH699" s="27" t="s">
        <v>7</v>
      </c>
      <c r="II699" s="27" t="s">
        <v>8</v>
      </c>
      <c r="IJ699" s="27" t="s">
        <v>7</v>
      </c>
      <c r="IQ699" s="27" t="s">
        <v>8</v>
      </c>
      <c r="IR699" s="27" t="s">
        <v>7</v>
      </c>
      <c r="IU699" s="27" t="s">
        <v>8</v>
      </c>
      <c r="JR699" s="27" t="s">
        <v>7</v>
      </c>
      <c r="JS699" s="27" t="s">
        <v>8</v>
      </c>
      <c r="JV699" s="27" t="s">
        <v>7</v>
      </c>
      <c r="JX699" s="27" t="s">
        <v>7</v>
      </c>
      <c r="LN699" s="27" t="s">
        <v>7</v>
      </c>
      <c r="LX699" s="27" t="s">
        <v>7</v>
      </c>
      <c r="LY699" s="27" t="s">
        <v>8</v>
      </c>
      <c r="LZ699" s="27" t="s">
        <v>7</v>
      </c>
    </row>
    <row r="700" spans="1:344" x14ac:dyDescent="0.25">
      <c r="A700" s="7">
        <v>0.10670397317716582</v>
      </c>
      <c r="B700"/>
      <c r="C700"/>
      <c r="D700"/>
      <c r="E700"/>
      <c r="F700" s="27" t="s">
        <v>7</v>
      </c>
      <c r="EY700" s="27" t="s">
        <v>8</v>
      </c>
      <c r="EZ700" s="27" t="s">
        <v>7</v>
      </c>
      <c r="FA700" s="27" t="s">
        <v>8</v>
      </c>
      <c r="FB700" s="27" t="s">
        <v>7</v>
      </c>
      <c r="FC700" s="27" t="s">
        <v>8</v>
      </c>
      <c r="FD700" s="27" t="s">
        <v>7</v>
      </c>
      <c r="FG700" s="27" t="s">
        <v>8</v>
      </c>
      <c r="FI700" s="27" t="s">
        <v>8</v>
      </c>
      <c r="FJ700" s="27" t="s">
        <v>7</v>
      </c>
      <c r="FK700" s="27" t="s">
        <v>8</v>
      </c>
      <c r="FL700" s="27" t="s">
        <v>7</v>
      </c>
      <c r="FM700" s="27" t="s">
        <v>8</v>
      </c>
      <c r="GN700" s="27" t="s">
        <v>7</v>
      </c>
      <c r="GP700" s="27" t="s">
        <v>7</v>
      </c>
      <c r="HB700" s="27" t="s">
        <v>7</v>
      </c>
      <c r="HO700" s="27" t="s">
        <v>8</v>
      </c>
      <c r="HX700" s="27" t="s">
        <v>7</v>
      </c>
      <c r="HY700" s="27" t="s">
        <v>8</v>
      </c>
      <c r="HZ700" s="27" t="s">
        <v>7</v>
      </c>
      <c r="IA700" s="27" t="s">
        <v>8</v>
      </c>
      <c r="IF700" s="27" t="s">
        <v>7</v>
      </c>
      <c r="IH700" s="27" t="s">
        <v>7</v>
      </c>
      <c r="II700" s="27" t="s">
        <v>8</v>
      </c>
      <c r="IJ700" s="27" t="s">
        <v>7</v>
      </c>
      <c r="IQ700" s="27" t="s">
        <v>8</v>
      </c>
      <c r="IR700" s="27" t="s">
        <v>7</v>
      </c>
      <c r="IU700" s="27" t="s">
        <v>8</v>
      </c>
      <c r="JR700" s="27" t="s">
        <v>7</v>
      </c>
      <c r="LX700" s="27" t="s">
        <v>7</v>
      </c>
      <c r="LY700" s="27" t="s">
        <v>8</v>
      </c>
      <c r="LZ700" s="27" t="s">
        <v>7</v>
      </c>
      <c r="MC700" s="27" t="s">
        <v>8</v>
      </c>
      <c r="ME700" s="27" t="s">
        <v>8</v>
      </c>
    </row>
    <row r="701" spans="1:344" x14ac:dyDescent="0.25">
      <c r="A701" s="7">
        <v>0.1046117384089861</v>
      </c>
      <c r="B701"/>
      <c r="C701"/>
      <c r="D701"/>
      <c r="E701"/>
      <c r="F701" s="27" t="s">
        <v>7</v>
      </c>
      <c r="EY701" s="27" t="s">
        <v>8</v>
      </c>
      <c r="EZ701" s="27" t="s">
        <v>7</v>
      </c>
      <c r="FA701" s="27" t="s">
        <v>8</v>
      </c>
      <c r="FB701" s="27" t="s">
        <v>7</v>
      </c>
      <c r="FC701" s="27" t="s">
        <v>8</v>
      </c>
      <c r="FD701" s="27" t="s">
        <v>7</v>
      </c>
      <c r="FG701" s="27" t="s">
        <v>8</v>
      </c>
      <c r="FH701" s="27" t="s">
        <v>7</v>
      </c>
      <c r="FI701" s="27" t="s">
        <v>8</v>
      </c>
      <c r="FJ701" s="27" t="s">
        <v>7</v>
      </c>
      <c r="FK701" s="27" t="s">
        <v>8</v>
      </c>
      <c r="FL701" s="27" t="s">
        <v>7</v>
      </c>
      <c r="HB701" s="27" t="s">
        <v>7</v>
      </c>
      <c r="HO701" s="27" t="s">
        <v>8</v>
      </c>
      <c r="HX701" s="27" t="s">
        <v>7</v>
      </c>
      <c r="HY701" s="27" t="s">
        <v>8</v>
      </c>
      <c r="HZ701" s="27" t="s">
        <v>7</v>
      </c>
      <c r="IH701" s="27" t="s">
        <v>7</v>
      </c>
      <c r="II701" s="27" t="s">
        <v>8</v>
      </c>
      <c r="IJ701" s="27" t="s">
        <v>7</v>
      </c>
      <c r="IO701" s="27" t="s">
        <v>8</v>
      </c>
      <c r="IQ701" s="27" t="s">
        <v>8</v>
      </c>
      <c r="IR701" s="27" t="s">
        <v>7</v>
      </c>
      <c r="IS701" s="27" t="s">
        <v>8</v>
      </c>
      <c r="IU701" s="27" t="s">
        <v>8</v>
      </c>
      <c r="LX701" s="27" t="s">
        <v>7</v>
      </c>
      <c r="LY701" s="27" t="s">
        <v>8</v>
      </c>
      <c r="LZ701" s="27" t="s">
        <v>7</v>
      </c>
      <c r="MA701" s="27" t="s">
        <v>8</v>
      </c>
      <c r="MC701" s="27" t="s">
        <v>8</v>
      </c>
      <c r="MD701" s="27" t="s">
        <v>7</v>
      </c>
      <c r="ME701" s="27" t="s">
        <v>8</v>
      </c>
      <c r="MF701" s="27" t="s">
        <v>7</v>
      </c>
    </row>
    <row r="702" spans="1:344" x14ac:dyDescent="0.25">
      <c r="A702" s="7">
        <v>0.10256052785194716</v>
      </c>
      <c r="B702"/>
      <c r="C702"/>
      <c r="D702"/>
      <c r="E702"/>
      <c r="F702" s="27" t="s">
        <v>7</v>
      </c>
      <c r="EY702" s="27" t="s">
        <v>8</v>
      </c>
      <c r="EZ702" s="27" t="s">
        <v>7</v>
      </c>
      <c r="FA702" s="27" t="s">
        <v>8</v>
      </c>
      <c r="FB702" s="27" t="s">
        <v>7</v>
      </c>
      <c r="FC702" s="27" t="s">
        <v>8</v>
      </c>
      <c r="FD702" s="27" t="s">
        <v>7</v>
      </c>
      <c r="FG702" s="27" t="s">
        <v>8</v>
      </c>
      <c r="FH702" s="27" t="s">
        <v>7</v>
      </c>
      <c r="FI702" s="27" t="s">
        <v>8</v>
      </c>
      <c r="FJ702" s="27" t="s">
        <v>7</v>
      </c>
      <c r="FK702" s="27" t="s">
        <v>8</v>
      </c>
      <c r="HB702" s="27" t="s">
        <v>7</v>
      </c>
      <c r="HO702" s="27" t="s">
        <v>8</v>
      </c>
      <c r="HX702" s="27" t="s">
        <v>7</v>
      </c>
      <c r="HY702" s="27" t="s">
        <v>8</v>
      </c>
      <c r="IH702" s="27" t="s">
        <v>7</v>
      </c>
      <c r="II702" s="27" t="s">
        <v>8</v>
      </c>
      <c r="IJ702" s="27" t="s">
        <v>7</v>
      </c>
      <c r="IO702" s="27" t="s">
        <v>8</v>
      </c>
      <c r="IP702" s="27" t="s">
        <v>7</v>
      </c>
      <c r="IQ702" s="27" t="s">
        <v>8</v>
      </c>
      <c r="IR702" s="27" t="s">
        <v>7</v>
      </c>
      <c r="IS702" s="27" t="s">
        <v>8</v>
      </c>
      <c r="IT702" s="27" t="s">
        <v>7</v>
      </c>
      <c r="IU702" s="27" t="s">
        <v>8</v>
      </c>
      <c r="LX702" s="27" t="s">
        <v>7</v>
      </c>
      <c r="LY702" s="27" t="s">
        <v>8</v>
      </c>
      <c r="LZ702" s="27" t="s">
        <v>7</v>
      </c>
      <c r="MA702" s="27" t="s">
        <v>8</v>
      </c>
      <c r="MB702" s="27" t="s">
        <v>7</v>
      </c>
      <c r="MC702" s="27" t="s">
        <v>8</v>
      </c>
      <c r="MD702" s="27" t="s">
        <v>7</v>
      </c>
      <c r="ME702" s="27" t="s">
        <v>8</v>
      </c>
      <c r="MF702" s="27" t="s">
        <v>7</v>
      </c>
    </row>
    <row r="703" spans="1:344" x14ac:dyDescent="0.25">
      <c r="A703" s="7">
        <v>0.10054953710975212</v>
      </c>
      <c r="B703"/>
      <c r="C703"/>
      <c r="D703"/>
      <c r="E703"/>
      <c r="F703" s="27" t="s">
        <v>7</v>
      </c>
      <c r="EY703" s="27" t="s">
        <v>8</v>
      </c>
      <c r="EZ703" s="27" t="s">
        <v>7</v>
      </c>
      <c r="FA703" s="27" t="s">
        <v>8</v>
      </c>
      <c r="FB703" s="27" t="s">
        <v>7</v>
      </c>
      <c r="FD703" s="27" t="s">
        <v>7</v>
      </c>
      <c r="FG703" s="27" t="s">
        <v>8</v>
      </c>
      <c r="FH703" s="27" t="s">
        <v>7</v>
      </c>
      <c r="FI703" s="27" t="s">
        <v>8</v>
      </c>
      <c r="FJ703" s="27" t="s">
        <v>7</v>
      </c>
      <c r="FK703" s="27" t="s">
        <v>8</v>
      </c>
      <c r="HB703" s="27" t="s">
        <v>7</v>
      </c>
      <c r="HC703" s="27" t="s">
        <v>8</v>
      </c>
      <c r="HO703" s="27" t="s">
        <v>8</v>
      </c>
      <c r="HX703" s="27" t="s">
        <v>7</v>
      </c>
      <c r="HY703" s="27" t="s">
        <v>8</v>
      </c>
      <c r="IH703" s="27" t="s">
        <v>7</v>
      </c>
      <c r="II703" s="27" t="s">
        <v>8</v>
      </c>
      <c r="IJ703" s="27" t="s">
        <v>7</v>
      </c>
      <c r="IO703" s="27" t="s">
        <v>8</v>
      </c>
      <c r="IP703" s="27" t="s">
        <v>7</v>
      </c>
      <c r="IQ703" s="27" t="s">
        <v>8</v>
      </c>
      <c r="IR703" s="27" t="s">
        <v>7</v>
      </c>
      <c r="IS703" s="27" t="s">
        <v>8</v>
      </c>
      <c r="IT703" s="27" t="s">
        <v>7</v>
      </c>
      <c r="IU703" s="27" t="s">
        <v>8</v>
      </c>
      <c r="LX703" s="27" t="s">
        <v>7</v>
      </c>
      <c r="LY703" s="27" t="s">
        <v>8</v>
      </c>
      <c r="LZ703" s="27" t="s">
        <v>7</v>
      </c>
      <c r="MA703" s="27" t="s">
        <v>8</v>
      </c>
      <c r="MB703" s="27" t="s">
        <v>7</v>
      </c>
      <c r="MC703" s="27" t="s">
        <v>8</v>
      </c>
      <c r="MD703" s="27" t="s">
        <v>7</v>
      </c>
      <c r="ME703" s="27" t="s">
        <v>8</v>
      </c>
      <c r="MF703" s="27" t="s">
        <v>7</v>
      </c>
    </row>
    <row r="704" spans="1:344" x14ac:dyDescent="0.25">
      <c r="A704" s="7">
        <v>9.8577977558580512E-2</v>
      </c>
      <c r="B704"/>
      <c r="C704"/>
      <c r="D704"/>
      <c r="E704"/>
      <c r="F704" s="27" t="s">
        <v>7</v>
      </c>
      <c r="S704" s="27" t="s">
        <v>8</v>
      </c>
      <c r="EY704" s="27" t="s">
        <v>8</v>
      </c>
      <c r="EZ704" s="27" t="s">
        <v>7</v>
      </c>
      <c r="FA704" s="27" t="s">
        <v>8</v>
      </c>
      <c r="FD704" s="27" t="s">
        <v>7</v>
      </c>
      <c r="FG704" s="27" t="s">
        <v>8</v>
      </c>
      <c r="FH704" s="27" t="s">
        <v>7</v>
      </c>
      <c r="FI704" s="27" t="s">
        <v>8</v>
      </c>
      <c r="FJ704" s="27" t="s">
        <v>7</v>
      </c>
      <c r="FK704" s="27" t="s">
        <v>8</v>
      </c>
      <c r="HB704" s="27" t="s">
        <v>7</v>
      </c>
      <c r="HC704" s="27" t="s">
        <v>8</v>
      </c>
      <c r="HD704" s="27" t="s">
        <v>7</v>
      </c>
      <c r="HO704" s="27" t="s">
        <v>8</v>
      </c>
      <c r="HX704" s="27" t="s">
        <v>7</v>
      </c>
      <c r="HY704" s="27" t="s">
        <v>8</v>
      </c>
      <c r="IH704" s="27" t="s">
        <v>7</v>
      </c>
      <c r="II704" s="27" t="s">
        <v>8</v>
      </c>
      <c r="IJ704" s="27" t="s">
        <v>7</v>
      </c>
      <c r="IO704" s="27" t="s">
        <v>8</v>
      </c>
      <c r="IP704" s="27" t="s">
        <v>7</v>
      </c>
      <c r="IQ704" s="27" t="s">
        <v>8</v>
      </c>
      <c r="IR704" s="27" t="s">
        <v>7</v>
      </c>
      <c r="IS704" s="27" t="s">
        <v>8</v>
      </c>
      <c r="IT704" s="27" t="s">
        <v>7</v>
      </c>
      <c r="IU704" s="27" t="s">
        <v>8</v>
      </c>
      <c r="LX704" s="27" t="s">
        <v>7</v>
      </c>
      <c r="LY704" s="27" t="s">
        <v>8</v>
      </c>
      <c r="LZ704" s="27" t="s">
        <v>7</v>
      </c>
      <c r="MA704" s="27" t="s">
        <v>8</v>
      </c>
      <c r="MB704" s="27" t="s">
        <v>7</v>
      </c>
      <c r="MD704" s="27" t="s">
        <v>7</v>
      </c>
      <c r="ME704" s="27" t="s">
        <v>8</v>
      </c>
      <c r="MF704" s="27" t="s">
        <v>7</v>
      </c>
    </row>
    <row r="705" spans="1:348" x14ac:dyDescent="0.25">
      <c r="A705" s="7">
        <v>9.6645076037824032E-2</v>
      </c>
      <c r="B705"/>
      <c r="C705"/>
      <c r="D705"/>
      <c r="E705"/>
      <c r="F705" s="27" t="s">
        <v>7</v>
      </c>
      <c r="S705" s="27" t="s">
        <v>8</v>
      </c>
      <c r="T705" s="27" t="s">
        <v>7</v>
      </c>
      <c r="EY705" s="27" t="s">
        <v>8</v>
      </c>
      <c r="EZ705" s="27" t="s">
        <v>7</v>
      </c>
      <c r="FD705" s="27" t="s">
        <v>7</v>
      </c>
      <c r="FG705" s="27" t="s">
        <v>8</v>
      </c>
      <c r="FH705" s="27" t="s">
        <v>7</v>
      </c>
      <c r="FI705" s="27" t="s">
        <v>8</v>
      </c>
      <c r="FJ705" s="27" t="s">
        <v>7</v>
      </c>
      <c r="FK705" s="27" t="s">
        <v>8</v>
      </c>
      <c r="HB705" s="27" t="s">
        <v>7</v>
      </c>
      <c r="HC705" s="27" t="s">
        <v>8</v>
      </c>
      <c r="HD705" s="27" t="s">
        <v>7</v>
      </c>
      <c r="HG705" s="27" t="s">
        <v>8</v>
      </c>
      <c r="HM705" s="27" t="s">
        <v>8</v>
      </c>
      <c r="HO705" s="27" t="s">
        <v>8</v>
      </c>
      <c r="HX705" s="27" t="s">
        <v>7</v>
      </c>
      <c r="HY705" s="27" t="s">
        <v>8</v>
      </c>
      <c r="IH705" s="27" t="s">
        <v>7</v>
      </c>
      <c r="II705" s="27" t="s">
        <v>8</v>
      </c>
      <c r="IJ705" s="27" t="s">
        <v>7</v>
      </c>
      <c r="IO705" s="27" t="s">
        <v>8</v>
      </c>
      <c r="IP705" s="27" t="s">
        <v>7</v>
      </c>
      <c r="IQ705" s="27" t="s">
        <v>8</v>
      </c>
      <c r="IR705" s="27" t="s">
        <v>7</v>
      </c>
      <c r="IT705" s="27" t="s">
        <v>7</v>
      </c>
      <c r="IU705" s="27" t="s">
        <v>8</v>
      </c>
      <c r="LX705" s="27" t="s">
        <v>7</v>
      </c>
      <c r="LY705" s="27" t="s">
        <v>8</v>
      </c>
      <c r="LZ705" s="27" t="s">
        <v>7</v>
      </c>
      <c r="MA705" s="27" t="s">
        <v>8</v>
      </c>
      <c r="MD705" s="27" t="s">
        <v>7</v>
      </c>
      <c r="MF705" s="27" t="s">
        <v>7</v>
      </c>
    </row>
    <row r="706" spans="1:348" x14ac:dyDescent="0.25">
      <c r="A706" s="7">
        <v>9.4750074546886304E-2</v>
      </c>
      <c r="B706"/>
      <c r="C706"/>
      <c r="D706"/>
      <c r="E706"/>
      <c r="F706" s="27" t="s">
        <v>7</v>
      </c>
      <c r="S706" s="27" t="s">
        <v>8</v>
      </c>
      <c r="T706" s="27" t="s">
        <v>7</v>
      </c>
      <c r="EY706" s="27" t="s">
        <v>8</v>
      </c>
      <c r="FD706" s="27" t="s">
        <v>7</v>
      </c>
      <c r="FG706" s="27" t="s">
        <v>8</v>
      </c>
      <c r="FH706" s="27" t="s">
        <v>7</v>
      </c>
      <c r="FI706" s="27" t="s">
        <v>8</v>
      </c>
      <c r="FJ706" s="27" t="s">
        <v>7</v>
      </c>
      <c r="FK706" s="27" t="s">
        <v>8</v>
      </c>
      <c r="HB706" s="27" t="s">
        <v>7</v>
      </c>
      <c r="HC706" s="27" t="s">
        <v>8</v>
      </c>
      <c r="HD706" s="27" t="s">
        <v>7</v>
      </c>
      <c r="HG706" s="27" t="s">
        <v>8</v>
      </c>
      <c r="HH706" s="27" t="s">
        <v>7</v>
      </c>
      <c r="HM706" s="27" t="s">
        <v>8</v>
      </c>
      <c r="HN706" s="27" t="s">
        <v>7</v>
      </c>
      <c r="HO706" s="27" t="s">
        <v>8</v>
      </c>
      <c r="HX706" s="27" t="s">
        <v>7</v>
      </c>
      <c r="HY706" s="27" t="s">
        <v>8</v>
      </c>
      <c r="IH706" s="27" t="s">
        <v>7</v>
      </c>
      <c r="II706" s="27" t="s">
        <v>8</v>
      </c>
      <c r="IJ706" s="27" t="s">
        <v>7</v>
      </c>
      <c r="IO706" s="27" t="s">
        <v>8</v>
      </c>
      <c r="IP706" s="27" t="s">
        <v>7</v>
      </c>
      <c r="IQ706" s="27" t="s">
        <v>8</v>
      </c>
      <c r="IT706" s="27" t="s">
        <v>7</v>
      </c>
      <c r="IU706" s="27" t="s">
        <v>8</v>
      </c>
      <c r="LX706" s="27" t="s">
        <v>7</v>
      </c>
      <c r="LY706" s="27" t="s">
        <v>8</v>
      </c>
      <c r="LZ706" s="27" t="s">
        <v>7</v>
      </c>
      <c r="MA706" s="27" t="s">
        <v>8</v>
      </c>
      <c r="MF706" s="27" t="s">
        <v>7</v>
      </c>
    </row>
    <row r="707" spans="1:348" x14ac:dyDescent="0.25">
      <c r="A707" s="7">
        <v>9.2892229947927743E-2</v>
      </c>
      <c r="B707"/>
      <c r="C707"/>
      <c r="D707"/>
      <c r="E707"/>
      <c r="F707" s="27" t="s">
        <v>7</v>
      </c>
      <c r="S707" s="27" t="s">
        <v>8</v>
      </c>
      <c r="T707" s="27" t="s">
        <v>7</v>
      </c>
      <c r="EY707" s="27" t="s">
        <v>8</v>
      </c>
      <c r="FD707" s="27" t="s">
        <v>7</v>
      </c>
      <c r="FG707" s="27" t="s">
        <v>8</v>
      </c>
      <c r="FH707" s="27" t="s">
        <v>7</v>
      </c>
      <c r="FI707" s="27" t="s">
        <v>8</v>
      </c>
      <c r="FJ707" s="27" t="s">
        <v>7</v>
      </c>
      <c r="HB707" s="27" t="s">
        <v>7</v>
      </c>
      <c r="HC707" s="27" t="s">
        <v>8</v>
      </c>
      <c r="HD707" s="27" t="s">
        <v>7</v>
      </c>
      <c r="HG707" s="27" t="s">
        <v>8</v>
      </c>
      <c r="HH707" s="27" t="s">
        <v>7</v>
      </c>
      <c r="HK707" s="27" t="s">
        <v>8</v>
      </c>
      <c r="HM707" s="27" t="s">
        <v>8</v>
      </c>
      <c r="HN707" s="27" t="s">
        <v>7</v>
      </c>
      <c r="HO707" s="27" t="s">
        <v>8</v>
      </c>
      <c r="HX707" s="27" t="s">
        <v>7</v>
      </c>
      <c r="HY707" s="27" t="s">
        <v>8</v>
      </c>
      <c r="IH707" s="27" t="s">
        <v>7</v>
      </c>
      <c r="II707" s="27" t="s">
        <v>8</v>
      </c>
      <c r="IJ707" s="27" t="s">
        <v>7</v>
      </c>
      <c r="IO707" s="27" t="s">
        <v>8</v>
      </c>
      <c r="IP707" s="27" t="s">
        <v>7</v>
      </c>
      <c r="IQ707" s="27" t="s">
        <v>8</v>
      </c>
      <c r="IT707" s="27" t="s">
        <v>7</v>
      </c>
      <c r="LX707" s="27" t="s">
        <v>7</v>
      </c>
      <c r="LZ707" s="27" t="s">
        <v>7</v>
      </c>
      <c r="MA707" s="27" t="s">
        <v>8</v>
      </c>
      <c r="MF707" s="27" t="s">
        <v>7</v>
      </c>
    </row>
    <row r="708" spans="1:348" x14ac:dyDescent="0.25">
      <c r="A708" s="7">
        <v>9.1070813674438963E-2</v>
      </c>
      <c r="B708"/>
      <c r="C708"/>
      <c r="D708"/>
      <c r="E708"/>
      <c r="F708" s="27" t="s">
        <v>7</v>
      </c>
      <c r="S708" s="27" t="s">
        <v>8</v>
      </c>
      <c r="T708" s="27" t="s">
        <v>7</v>
      </c>
      <c r="EY708" s="27" t="s">
        <v>8</v>
      </c>
      <c r="FD708" s="27" t="s">
        <v>7</v>
      </c>
      <c r="FE708" s="27" t="s">
        <v>8</v>
      </c>
      <c r="FG708" s="27" t="s">
        <v>8</v>
      </c>
      <c r="FH708" s="27" t="s">
        <v>7</v>
      </c>
      <c r="FI708" s="27" t="s">
        <v>8</v>
      </c>
      <c r="HB708" s="27" t="s">
        <v>7</v>
      </c>
      <c r="HC708" s="27" t="s">
        <v>8</v>
      </c>
      <c r="HD708" s="27" t="s">
        <v>7</v>
      </c>
      <c r="HG708" s="27" t="s">
        <v>8</v>
      </c>
      <c r="HH708" s="27" t="s">
        <v>7</v>
      </c>
      <c r="HK708" s="27" t="s">
        <v>8</v>
      </c>
      <c r="HL708" s="27" t="s">
        <v>7</v>
      </c>
      <c r="HM708" s="27" t="s">
        <v>8</v>
      </c>
      <c r="HN708" s="27" t="s">
        <v>7</v>
      </c>
      <c r="HO708" s="27" t="s">
        <v>8</v>
      </c>
      <c r="HX708" s="27" t="s">
        <v>7</v>
      </c>
      <c r="HY708" s="27" t="s">
        <v>8</v>
      </c>
      <c r="IH708" s="27" t="s">
        <v>7</v>
      </c>
      <c r="II708" s="27" t="s">
        <v>8</v>
      </c>
      <c r="IJ708" s="27" t="s">
        <v>7</v>
      </c>
      <c r="IM708" s="27" t="s">
        <v>8</v>
      </c>
      <c r="IO708" s="27" t="s">
        <v>8</v>
      </c>
      <c r="IP708" s="27" t="s">
        <v>7</v>
      </c>
      <c r="IQ708" s="27" t="s">
        <v>8</v>
      </c>
      <c r="LZ708" s="27" t="s">
        <v>7</v>
      </c>
      <c r="MF708" s="27" t="s">
        <v>7</v>
      </c>
    </row>
    <row r="709" spans="1:348" x14ac:dyDescent="0.25">
      <c r="A709" s="7">
        <v>8.9285111445528392E-2</v>
      </c>
      <c r="B709"/>
      <c r="C709"/>
      <c r="D709"/>
      <c r="E709"/>
      <c r="F709" s="27" t="s">
        <v>7</v>
      </c>
      <c r="S709" s="27" t="s">
        <v>8</v>
      </c>
      <c r="T709" s="27" t="s">
        <v>7</v>
      </c>
      <c r="EY709" s="27" t="s">
        <v>8</v>
      </c>
      <c r="FD709" s="27" t="s">
        <v>7</v>
      </c>
      <c r="FE709" s="27" t="s">
        <v>8</v>
      </c>
      <c r="FF709" s="27" t="s">
        <v>7</v>
      </c>
      <c r="FG709" s="27" t="s">
        <v>8</v>
      </c>
      <c r="FH709" s="27" t="s">
        <v>7</v>
      </c>
      <c r="FI709" s="27" t="s">
        <v>8</v>
      </c>
      <c r="HB709" s="27" t="s">
        <v>7</v>
      </c>
      <c r="HC709" s="27" t="s">
        <v>8</v>
      </c>
      <c r="HD709" s="27" t="s">
        <v>7</v>
      </c>
      <c r="HG709" s="27" t="s">
        <v>8</v>
      </c>
      <c r="HH709" s="27" t="s">
        <v>7</v>
      </c>
      <c r="HI709" s="27" t="s">
        <v>8</v>
      </c>
      <c r="HK709" s="27" t="s">
        <v>8</v>
      </c>
      <c r="HL709" s="27" t="s">
        <v>7</v>
      </c>
      <c r="HM709" s="27" t="s">
        <v>8</v>
      </c>
      <c r="HN709" s="27" t="s">
        <v>7</v>
      </c>
      <c r="HO709" s="27" t="s">
        <v>8</v>
      </c>
      <c r="HX709" s="27" t="s">
        <v>7</v>
      </c>
      <c r="HY709" s="27" t="s">
        <v>8</v>
      </c>
      <c r="IH709" s="27" t="s">
        <v>7</v>
      </c>
      <c r="II709" s="27" t="s">
        <v>8</v>
      </c>
      <c r="IJ709" s="27" t="s">
        <v>7</v>
      </c>
      <c r="IK709" s="27" t="s">
        <v>8</v>
      </c>
      <c r="IM709" s="27" t="s">
        <v>8</v>
      </c>
      <c r="IN709" s="27" t="s">
        <v>7</v>
      </c>
      <c r="IO709" s="27" t="s">
        <v>8</v>
      </c>
      <c r="IP709" s="27" t="s">
        <v>7</v>
      </c>
      <c r="IQ709" s="27" t="s">
        <v>8</v>
      </c>
      <c r="MF709" s="27" t="s">
        <v>7</v>
      </c>
    </row>
    <row r="710" spans="1:348" x14ac:dyDescent="0.25">
      <c r="A710" s="7">
        <v>8.7534422985812155E-2</v>
      </c>
      <c r="B710"/>
      <c r="C710"/>
      <c r="D710"/>
      <c r="E710"/>
      <c r="F710" s="27" t="s">
        <v>7</v>
      </c>
      <c r="S710" s="27" t="s">
        <v>8</v>
      </c>
      <c r="T710" s="27" t="s">
        <v>7</v>
      </c>
      <c r="EY710" s="27" t="s">
        <v>8</v>
      </c>
      <c r="FD710" s="27" t="s">
        <v>7</v>
      </c>
      <c r="FE710" s="27" t="s">
        <v>8</v>
      </c>
      <c r="FF710" s="27" t="s">
        <v>7</v>
      </c>
      <c r="FG710" s="27" t="s">
        <v>8</v>
      </c>
      <c r="FH710" s="27" t="s">
        <v>7</v>
      </c>
      <c r="FI710" s="27" t="s">
        <v>8</v>
      </c>
      <c r="HB710" s="27" t="s">
        <v>7</v>
      </c>
      <c r="HC710" s="27" t="s">
        <v>8</v>
      </c>
      <c r="HD710" s="27" t="s">
        <v>7</v>
      </c>
      <c r="HG710" s="27" t="s">
        <v>8</v>
      </c>
      <c r="HH710" s="27" t="s">
        <v>7</v>
      </c>
      <c r="HI710" s="27" t="s">
        <v>8</v>
      </c>
      <c r="HJ710" s="27" t="s">
        <v>7</v>
      </c>
      <c r="HK710" s="27" t="s">
        <v>8</v>
      </c>
      <c r="HL710" s="27" t="s">
        <v>7</v>
      </c>
      <c r="HM710" s="27" t="s">
        <v>8</v>
      </c>
      <c r="HN710" s="27" t="s">
        <v>7</v>
      </c>
      <c r="HO710" s="27" t="s">
        <v>8</v>
      </c>
      <c r="HX710" s="27" t="s">
        <v>7</v>
      </c>
      <c r="HY710" s="27" t="s">
        <v>8</v>
      </c>
      <c r="IH710" s="27" t="s">
        <v>7</v>
      </c>
      <c r="II710" s="27" t="s">
        <v>8</v>
      </c>
      <c r="IJ710" s="27" t="s">
        <v>7</v>
      </c>
      <c r="IK710" s="27" t="s">
        <v>8</v>
      </c>
      <c r="IL710" s="27" t="s">
        <v>7</v>
      </c>
      <c r="IM710" s="27" t="s">
        <v>8</v>
      </c>
      <c r="IN710" s="27" t="s">
        <v>7</v>
      </c>
      <c r="IO710" s="27" t="s">
        <v>8</v>
      </c>
      <c r="IP710" s="27" t="s">
        <v>7</v>
      </c>
      <c r="IQ710" s="27" t="s">
        <v>8</v>
      </c>
      <c r="MF710" s="27" t="s">
        <v>7</v>
      </c>
    </row>
    <row r="711" spans="1:348" x14ac:dyDescent="0.25">
      <c r="A711" s="7">
        <v>8.5818061750796232E-2</v>
      </c>
      <c r="B711"/>
      <c r="C711"/>
      <c r="D711"/>
      <c r="E711"/>
      <c r="F711" s="27" t="s">
        <v>7</v>
      </c>
      <c r="S711" s="27" t="s">
        <v>8</v>
      </c>
      <c r="T711" s="27" t="s">
        <v>7</v>
      </c>
      <c r="EY711" s="27" t="s">
        <v>8</v>
      </c>
      <c r="FD711" s="27" t="s">
        <v>7</v>
      </c>
      <c r="FE711" s="27" t="s">
        <v>8</v>
      </c>
      <c r="FF711" s="27" t="s">
        <v>7</v>
      </c>
      <c r="FG711" s="27" t="s">
        <v>8</v>
      </c>
      <c r="FH711" s="27" t="s">
        <v>7</v>
      </c>
      <c r="FI711" s="27" t="s">
        <v>8</v>
      </c>
      <c r="HB711" s="27" t="s">
        <v>7</v>
      </c>
      <c r="HC711" s="27" t="s">
        <v>8</v>
      </c>
      <c r="HD711" s="27" t="s">
        <v>7</v>
      </c>
      <c r="HG711" s="27" t="s">
        <v>8</v>
      </c>
      <c r="HH711" s="27" t="s">
        <v>7</v>
      </c>
      <c r="HI711" s="27" t="s">
        <v>8</v>
      </c>
      <c r="HJ711" s="27" t="s">
        <v>7</v>
      </c>
      <c r="HK711" s="27" t="s">
        <v>8</v>
      </c>
      <c r="HL711" s="27" t="s">
        <v>7</v>
      </c>
      <c r="HM711" s="27" t="s">
        <v>8</v>
      </c>
      <c r="HN711" s="27" t="s">
        <v>7</v>
      </c>
      <c r="HO711" s="27" t="s">
        <v>8</v>
      </c>
      <c r="HX711" s="27" t="s">
        <v>7</v>
      </c>
      <c r="HY711" s="27" t="s">
        <v>8</v>
      </c>
      <c r="IH711" s="27" t="s">
        <v>7</v>
      </c>
      <c r="II711" s="27" t="s">
        <v>8</v>
      </c>
      <c r="IJ711" s="27" t="s">
        <v>7</v>
      </c>
      <c r="IK711" s="27" t="s">
        <v>8</v>
      </c>
      <c r="IL711" s="27" t="s">
        <v>7</v>
      </c>
      <c r="IM711" s="27" t="s">
        <v>8</v>
      </c>
      <c r="IN711" s="27" t="s">
        <v>7</v>
      </c>
      <c r="IP711" s="27" t="s">
        <v>7</v>
      </c>
      <c r="MF711" s="27" t="s">
        <v>7</v>
      </c>
    </row>
    <row r="712" spans="1:348" x14ac:dyDescent="0.25">
      <c r="A712" s="7">
        <v>8.4135354657643366E-2</v>
      </c>
      <c r="B712"/>
      <c r="C712"/>
      <c r="D712"/>
      <c r="E712"/>
      <c r="F712" s="27" t="s">
        <v>7</v>
      </c>
      <c r="S712" s="27" t="s">
        <v>8</v>
      </c>
      <c r="T712" s="27" t="s">
        <v>7</v>
      </c>
      <c r="EY712" s="27" t="s">
        <v>8</v>
      </c>
      <c r="FD712" s="27" t="s">
        <v>7</v>
      </c>
      <c r="FE712" s="27" t="s">
        <v>8</v>
      </c>
      <c r="FF712" s="27" t="s">
        <v>7</v>
      </c>
      <c r="FG712" s="27" t="s">
        <v>8</v>
      </c>
      <c r="FH712" s="27" t="s">
        <v>7</v>
      </c>
      <c r="FI712" s="27" t="s">
        <v>8</v>
      </c>
      <c r="HB712" s="27" t="s">
        <v>7</v>
      </c>
      <c r="HC712" s="27" t="s">
        <v>8</v>
      </c>
      <c r="HD712" s="27" t="s">
        <v>7</v>
      </c>
      <c r="HG712" s="27" t="s">
        <v>8</v>
      </c>
      <c r="HH712" s="27" t="s">
        <v>7</v>
      </c>
      <c r="HI712" s="27" t="s">
        <v>8</v>
      </c>
      <c r="HJ712" s="27" t="s">
        <v>7</v>
      </c>
      <c r="HK712" s="27" t="s">
        <v>8</v>
      </c>
      <c r="HL712" s="27" t="s">
        <v>7</v>
      </c>
      <c r="HM712" s="27" t="s">
        <v>8</v>
      </c>
      <c r="HN712" s="27" t="s">
        <v>7</v>
      </c>
      <c r="HO712" s="27" t="s">
        <v>8</v>
      </c>
      <c r="HX712" s="27" t="s">
        <v>7</v>
      </c>
      <c r="HY712" s="27" t="s">
        <v>8</v>
      </c>
      <c r="IH712" s="27" t="s">
        <v>7</v>
      </c>
      <c r="II712" s="27" t="s">
        <v>8</v>
      </c>
      <c r="IJ712" s="27" t="s">
        <v>7</v>
      </c>
      <c r="IK712" s="27" t="s">
        <v>8</v>
      </c>
      <c r="IL712" s="27" t="s">
        <v>7</v>
      </c>
      <c r="MF712" s="27" t="s">
        <v>7</v>
      </c>
    </row>
    <row r="713" spans="1:348" x14ac:dyDescent="0.25">
      <c r="A713" s="7">
        <v>8.248564182121898E-2</v>
      </c>
      <c r="B713"/>
      <c r="C713"/>
      <c r="D713"/>
      <c r="E713"/>
      <c r="F713" s="27" t="s">
        <v>7</v>
      </c>
      <c r="S713" s="27" t="s">
        <v>8</v>
      </c>
      <c r="T713" s="27" t="s">
        <v>7</v>
      </c>
      <c r="U713" s="27" t="s">
        <v>8</v>
      </c>
      <c r="EW713" s="27" t="s">
        <v>8</v>
      </c>
      <c r="EY713" s="27" t="s">
        <v>8</v>
      </c>
      <c r="FD713" s="27" t="s">
        <v>7</v>
      </c>
      <c r="FE713" s="27" t="s">
        <v>8</v>
      </c>
      <c r="FF713" s="27" t="s">
        <v>7</v>
      </c>
      <c r="FG713" s="27" t="s">
        <v>8</v>
      </c>
      <c r="FH713" s="27" t="s">
        <v>7</v>
      </c>
      <c r="FI713" s="27" t="s">
        <v>8</v>
      </c>
      <c r="HB713" s="27" t="s">
        <v>7</v>
      </c>
      <c r="HC713" s="27" t="s">
        <v>8</v>
      </c>
      <c r="HD713" s="27" t="s">
        <v>7</v>
      </c>
      <c r="HG713" s="27" t="s">
        <v>8</v>
      </c>
      <c r="HH713" s="27" t="s">
        <v>7</v>
      </c>
      <c r="HI713" s="27" t="s">
        <v>8</v>
      </c>
      <c r="HJ713" s="27" t="s">
        <v>7</v>
      </c>
      <c r="HK713" s="27" t="s">
        <v>8</v>
      </c>
      <c r="HL713" s="27" t="s">
        <v>7</v>
      </c>
      <c r="HM713" s="27" t="s">
        <v>8</v>
      </c>
      <c r="HN713" s="27" t="s">
        <v>7</v>
      </c>
      <c r="HO713" s="27" t="s">
        <v>8</v>
      </c>
      <c r="HX713" s="27" t="s">
        <v>7</v>
      </c>
      <c r="IH713" s="27" t="s">
        <v>7</v>
      </c>
      <c r="II713" s="27" t="s">
        <v>8</v>
      </c>
      <c r="IJ713" s="27" t="s">
        <v>7</v>
      </c>
      <c r="IK713" s="27" t="s">
        <v>8</v>
      </c>
      <c r="MF713" s="27" t="s">
        <v>7</v>
      </c>
    </row>
    <row r="714" spans="1:348" x14ac:dyDescent="0.25">
      <c r="A714" s="7">
        <v>8.0868276295312735E-2</v>
      </c>
      <c r="B714"/>
      <c r="C714"/>
      <c r="D714"/>
      <c r="E714"/>
      <c r="F714" s="27" t="s">
        <v>7</v>
      </c>
      <c r="S714" s="27" t="s">
        <v>8</v>
      </c>
      <c r="T714" s="27" t="s">
        <v>7</v>
      </c>
      <c r="U714" s="27" t="s">
        <v>8</v>
      </c>
      <c r="V714" s="27" t="s">
        <v>7</v>
      </c>
      <c r="W714" s="27" t="s">
        <v>8</v>
      </c>
      <c r="EW714" s="27" t="s">
        <v>8</v>
      </c>
      <c r="EX714" s="27" t="s">
        <v>7</v>
      </c>
      <c r="EY714" s="27" t="s">
        <v>8</v>
      </c>
      <c r="FD714" s="27" t="s">
        <v>7</v>
      </c>
      <c r="FE714" s="27" t="s">
        <v>8</v>
      </c>
      <c r="FF714" s="27" t="s">
        <v>7</v>
      </c>
      <c r="FG714" s="27" t="s">
        <v>8</v>
      </c>
      <c r="FH714" s="27" t="s">
        <v>7</v>
      </c>
      <c r="FI714" s="27" t="s">
        <v>8</v>
      </c>
      <c r="HB714" s="27" t="s">
        <v>7</v>
      </c>
      <c r="HC714" s="27" t="s">
        <v>8</v>
      </c>
      <c r="HD714" s="27" t="s">
        <v>7</v>
      </c>
      <c r="HG714" s="27" t="s">
        <v>8</v>
      </c>
      <c r="HH714" s="27" t="s">
        <v>7</v>
      </c>
      <c r="HI714" s="27" t="s">
        <v>8</v>
      </c>
      <c r="HJ714" s="27" t="s">
        <v>7</v>
      </c>
      <c r="HK714" s="27" t="s">
        <v>8</v>
      </c>
      <c r="HL714" s="27" t="s">
        <v>7</v>
      </c>
      <c r="HM714" s="27" t="s">
        <v>8</v>
      </c>
      <c r="HN714" s="27" t="s">
        <v>7</v>
      </c>
      <c r="HO714" s="27" t="s">
        <v>8</v>
      </c>
      <c r="IH714" s="27" t="s">
        <v>7</v>
      </c>
      <c r="II714" s="27" t="s">
        <v>8</v>
      </c>
      <c r="IJ714" s="18" t="s">
        <v>7</v>
      </c>
      <c r="IK714" s="27" t="s">
        <v>8</v>
      </c>
      <c r="MF714" s="27" t="s">
        <v>7</v>
      </c>
      <c r="MG714" s="27" t="s">
        <v>8</v>
      </c>
    </row>
    <row r="715" spans="1:348" x14ac:dyDescent="0.25">
      <c r="A715" s="7">
        <v>7.9282623818934056E-2</v>
      </c>
      <c r="B715"/>
      <c r="C715"/>
      <c r="D715"/>
      <c r="E715"/>
      <c r="F715" s="27" t="s">
        <v>7</v>
      </c>
      <c r="S715" s="27" t="s">
        <v>8</v>
      </c>
      <c r="T715" s="27" t="s">
        <v>7</v>
      </c>
      <c r="U715" s="27" t="s">
        <v>8</v>
      </c>
      <c r="V715" s="27" t="s">
        <v>7</v>
      </c>
      <c r="W715" s="27" t="s">
        <v>8</v>
      </c>
      <c r="X715" s="27" t="s">
        <v>7</v>
      </c>
      <c r="EW715" s="27" t="s">
        <v>8</v>
      </c>
      <c r="EX715" s="27" t="s">
        <v>7</v>
      </c>
      <c r="EY715" s="27" t="s">
        <v>8</v>
      </c>
      <c r="FD715" s="27" t="s">
        <v>7</v>
      </c>
      <c r="FE715" s="27" t="s">
        <v>8</v>
      </c>
      <c r="FF715" s="27" t="s">
        <v>7</v>
      </c>
      <c r="FG715" s="27" t="s">
        <v>8</v>
      </c>
      <c r="FH715" s="27" t="s">
        <v>7</v>
      </c>
      <c r="FI715" s="27" t="s">
        <v>8</v>
      </c>
      <c r="HB715" s="27" t="s">
        <v>7</v>
      </c>
      <c r="HC715" s="27" t="s">
        <v>8</v>
      </c>
      <c r="HD715" s="27" t="s">
        <v>7</v>
      </c>
      <c r="HE715" s="27" t="s">
        <v>8</v>
      </c>
      <c r="HG715" s="27" t="s">
        <v>8</v>
      </c>
      <c r="HH715" s="27" t="s">
        <v>7</v>
      </c>
      <c r="HI715" s="27" t="s">
        <v>8</v>
      </c>
      <c r="HJ715" s="27" t="s">
        <v>7</v>
      </c>
      <c r="HL715" s="27" t="s">
        <v>7</v>
      </c>
      <c r="HM715" s="27" t="s">
        <v>8</v>
      </c>
      <c r="HN715" s="27" t="s">
        <v>7</v>
      </c>
      <c r="HO715" s="27" t="s">
        <v>8</v>
      </c>
      <c r="IH715" s="27" t="s">
        <v>7</v>
      </c>
      <c r="IJ715" s="27" t="s">
        <v>7</v>
      </c>
      <c r="IK715" s="27" t="s">
        <v>8</v>
      </c>
      <c r="MF715" s="27" t="s">
        <v>7</v>
      </c>
      <c r="MG715" s="27" t="s">
        <v>8</v>
      </c>
      <c r="MH715" s="27" t="s">
        <v>7</v>
      </c>
    </row>
    <row r="716" spans="1:348" x14ac:dyDescent="0.25">
      <c r="A716" s="7">
        <v>7.7728062567582412E-2</v>
      </c>
      <c r="B716"/>
      <c r="C716"/>
      <c r="D716"/>
      <c r="E716"/>
      <c r="F716" s="27" t="s">
        <v>7</v>
      </c>
      <c r="S716" s="27" t="s">
        <v>8</v>
      </c>
      <c r="T716" s="27" t="s">
        <v>7</v>
      </c>
      <c r="U716" s="27" t="s">
        <v>8</v>
      </c>
      <c r="V716" s="27" t="s">
        <v>7</v>
      </c>
      <c r="W716" s="27" t="s">
        <v>8</v>
      </c>
      <c r="X716" s="27" t="s">
        <v>7</v>
      </c>
      <c r="Y716" s="27" t="s">
        <v>8</v>
      </c>
      <c r="AA716" s="27" t="s">
        <v>8</v>
      </c>
      <c r="BG716" s="27" t="s">
        <v>8</v>
      </c>
      <c r="EU716" s="27" t="s">
        <v>8</v>
      </c>
      <c r="EW716" s="27" t="s">
        <v>8</v>
      </c>
      <c r="EX716" s="27" t="s">
        <v>7</v>
      </c>
      <c r="EY716" s="27" t="s">
        <v>8</v>
      </c>
      <c r="FD716" s="27" t="s">
        <v>7</v>
      </c>
      <c r="FE716" s="27" t="s">
        <v>8</v>
      </c>
      <c r="FF716" s="27" t="s">
        <v>7</v>
      </c>
      <c r="FG716" s="27" t="s">
        <v>8</v>
      </c>
      <c r="FH716" s="27" t="s">
        <v>7</v>
      </c>
      <c r="FI716" s="27" t="s">
        <v>8</v>
      </c>
      <c r="HB716" s="27" t="s">
        <v>7</v>
      </c>
      <c r="HC716" s="27" t="s">
        <v>8</v>
      </c>
      <c r="HD716" s="27" t="s">
        <v>7</v>
      </c>
      <c r="HE716" s="27" t="s">
        <v>8</v>
      </c>
      <c r="HF716" s="27" t="s">
        <v>7</v>
      </c>
      <c r="HG716" s="27" t="s">
        <v>8</v>
      </c>
      <c r="HH716" s="27" t="s">
        <v>7</v>
      </c>
      <c r="HI716" s="27" t="s">
        <v>8</v>
      </c>
      <c r="HL716" s="27" t="s">
        <v>7</v>
      </c>
      <c r="HM716" s="27" t="s">
        <v>8</v>
      </c>
      <c r="HN716" s="27" t="s">
        <v>7</v>
      </c>
      <c r="HO716" s="27" t="s">
        <v>8</v>
      </c>
      <c r="IJ716" s="27" t="s">
        <v>7</v>
      </c>
      <c r="IK716" s="27" t="s">
        <v>8</v>
      </c>
      <c r="MF716" s="27" t="s">
        <v>7</v>
      </c>
      <c r="MG716" s="27" t="s">
        <v>8</v>
      </c>
      <c r="MH716" s="27" t="s">
        <v>7</v>
      </c>
      <c r="MI716" s="27" t="s">
        <v>8</v>
      </c>
    </row>
    <row r="717" spans="1:348" x14ac:dyDescent="0.25">
      <c r="A717" s="7">
        <v>7.6203982909394521E-2</v>
      </c>
      <c r="B717"/>
      <c r="C717"/>
      <c r="D717"/>
      <c r="E717"/>
      <c r="F717" s="27" t="s">
        <v>7</v>
      </c>
      <c r="S717" s="27" t="s">
        <v>8</v>
      </c>
      <c r="T717" s="27" t="s">
        <v>7</v>
      </c>
      <c r="U717" s="27" t="s">
        <v>8</v>
      </c>
      <c r="V717" s="27" t="s">
        <v>7</v>
      </c>
      <c r="W717" s="27" t="s">
        <v>8</v>
      </c>
      <c r="X717" s="27" t="s">
        <v>7</v>
      </c>
      <c r="Y717" s="27" t="s">
        <v>8</v>
      </c>
      <c r="Z717" s="27" t="s">
        <v>7</v>
      </c>
      <c r="AA717" s="27" t="s">
        <v>8</v>
      </c>
      <c r="AB717" s="27" t="s">
        <v>7</v>
      </c>
      <c r="AC717" s="27" t="s">
        <v>8</v>
      </c>
      <c r="BG717" s="27" t="s">
        <v>8</v>
      </c>
      <c r="BH717" s="27" t="s">
        <v>7</v>
      </c>
      <c r="EU717" s="27" t="s">
        <v>8</v>
      </c>
      <c r="EV717" s="27" t="s">
        <v>7</v>
      </c>
      <c r="EW717" s="27" t="s">
        <v>8</v>
      </c>
      <c r="EX717" s="27" t="s">
        <v>7</v>
      </c>
      <c r="EY717" s="27" t="s">
        <v>8</v>
      </c>
      <c r="FD717" s="27" t="s">
        <v>7</v>
      </c>
      <c r="FE717" s="27" t="s">
        <v>8</v>
      </c>
      <c r="FF717" s="27" t="s">
        <v>7</v>
      </c>
      <c r="FG717" s="27" t="s">
        <v>8</v>
      </c>
      <c r="FH717" s="27" t="s">
        <v>7</v>
      </c>
      <c r="FI717" s="27" t="s">
        <v>8</v>
      </c>
      <c r="HB717" s="27" t="s">
        <v>7</v>
      </c>
      <c r="HC717" s="27" t="s">
        <v>8</v>
      </c>
      <c r="HD717" s="27" t="s">
        <v>7</v>
      </c>
      <c r="HE717" s="27" t="s">
        <v>8</v>
      </c>
      <c r="HF717" s="27" t="s">
        <v>7</v>
      </c>
      <c r="HG717" s="27" t="s">
        <v>8</v>
      </c>
      <c r="HH717" s="27" t="s">
        <v>7</v>
      </c>
      <c r="HI717" s="27" t="s">
        <v>8</v>
      </c>
      <c r="HL717" s="27" t="s">
        <v>7</v>
      </c>
      <c r="HM717" s="27" t="s">
        <v>8</v>
      </c>
      <c r="HN717" s="27" t="s">
        <v>7</v>
      </c>
      <c r="HO717" s="27" t="s">
        <v>8</v>
      </c>
      <c r="IJ717" s="27" t="s">
        <v>7</v>
      </c>
      <c r="IK717" s="27" t="s">
        <v>8</v>
      </c>
      <c r="MF717" s="27" t="s">
        <v>7</v>
      </c>
      <c r="MG717" s="27" t="s">
        <v>8</v>
      </c>
      <c r="MH717" s="27" t="s">
        <v>7</v>
      </c>
      <c r="MI717" s="27" t="s">
        <v>8</v>
      </c>
      <c r="MJ717" s="27" t="s">
        <v>7</v>
      </c>
    </row>
    <row r="718" spans="1:348" x14ac:dyDescent="0.25">
      <c r="A718" s="7">
        <v>7.4709787166073058E-2</v>
      </c>
      <c r="B718"/>
      <c r="C718"/>
      <c r="D718"/>
      <c r="E718"/>
      <c r="F718" s="27" t="s">
        <v>7</v>
      </c>
      <c r="S718" s="27" t="s">
        <v>8</v>
      </c>
      <c r="T718" s="27" t="s">
        <v>7</v>
      </c>
      <c r="U718" s="27" t="s">
        <v>8</v>
      </c>
      <c r="V718" s="27" t="s">
        <v>7</v>
      </c>
      <c r="W718" s="27" t="s">
        <v>8</v>
      </c>
      <c r="X718" s="27" t="s">
        <v>7</v>
      </c>
      <c r="Y718" s="27" t="s">
        <v>8</v>
      </c>
      <c r="Z718" s="27" t="s">
        <v>7</v>
      </c>
      <c r="AA718" s="27" t="s">
        <v>8</v>
      </c>
      <c r="AB718" s="27" t="s">
        <v>7</v>
      </c>
      <c r="AC718" s="27" t="s">
        <v>8</v>
      </c>
      <c r="AD718" s="27" t="s">
        <v>7</v>
      </c>
      <c r="BG718" s="27" t="s">
        <v>8</v>
      </c>
      <c r="BH718" s="27" t="s">
        <v>7</v>
      </c>
      <c r="BK718" s="27" t="s">
        <v>8</v>
      </c>
      <c r="EU718" s="27" t="s">
        <v>8</v>
      </c>
      <c r="EV718" s="27" t="s">
        <v>7</v>
      </c>
      <c r="EW718" s="27" t="s">
        <v>8</v>
      </c>
      <c r="EX718" s="27" t="s">
        <v>7</v>
      </c>
      <c r="EY718" s="27" t="s">
        <v>8</v>
      </c>
      <c r="FD718" s="27" t="s">
        <v>7</v>
      </c>
      <c r="FE718" s="27" t="s">
        <v>8</v>
      </c>
      <c r="FF718" s="27" t="s">
        <v>7</v>
      </c>
      <c r="FG718" s="27" t="s">
        <v>8</v>
      </c>
      <c r="FH718" s="27" t="s">
        <v>7</v>
      </c>
      <c r="HB718" s="27" t="s">
        <v>7</v>
      </c>
      <c r="HC718" s="27" t="s">
        <v>8</v>
      </c>
      <c r="HD718" s="27" t="s">
        <v>7</v>
      </c>
      <c r="HE718" s="27" t="s">
        <v>8</v>
      </c>
      <c r="HF718" s="27" t="s">
        <v>7</v>
      </c>
      <c r="HG718" s="27" t="s">
        <v>8</v>
      </c>
      <c r="HH718" s="27" t="s">
        <v>7</v>
      </c>
      <c r="HI718" s="27" t="s">
        <v>8</v>
      </c>
      <c r="HL718" s="27" t="s">
        <v>7</v>
      </c>
      <c r="HM718" s="27" t="s">
        <v>8</v>
      </c>
      <c r="HN718" s="27" t="s">
        <v>7</v>
      </c>
      <c r="HO718" s="27" t="s">
        <v>8</v>
      </c>
      <c r="IJ718" s="27" t="s">
        <v>7</v>
      </c>
      <c r="IK718" s="27" t="s">
        <v>8</v>
      </c>
      <c r="MF718" s="27" t="s">
        <v>7</v>
      </c>
      <c r="MG718" s="27" t="s">
        <v>8</v>
      </c>
      <c r="MH718" s="27" t="s">
        <v>7</v>
      </c>
      <c r="MI718" s="27" t="s">
        <v>8</v>
      </c>
      <c r="MJ718" s="27" t="s">
        <v>7</v>
      </c>
    </row>
    <row r="719" spans="1:348" x14ac:dyDescent="0.25">
      <c r="A719" s="7">
        <v>7.3244889378503E-2</v>
      </c>
      <c r="B719"/>
      <c r="C719"/>
      <c r="D719"/>
      <c r="E719"/>
      <c r="F719" s="27" t="s">
        <v>7</v>
      </c>
      <c r="S719" s="27" t="s">
        <v>8</v>
      </c>
      <c r="T719" s="27" t="s">
        <v>7</v>
      </c>
      <c r="U719" s="27" t="s">
        <v>8</v>
      </c>
      <c r="V719" s="27" t="s">
        <v>7</v>
      </c>
      <c r="W719" s="27" t="s">
        <v>8</v>
      </c>
      <c r="X719" s="27" t="s">
        <v>7</v>
      </c>
      <c r="Y719" s="27" t="s">
        <v>8</v>
      </c>
      <c r="Z719" s="27" t="s">
        <v>7</v>
      </c>
      <c r="AB719" s="27" t="s">
        <v>7</v>
      </c>
      <c r="AC719" s="27" t="s">
        <v>8</v>
      </c>
      <c r="AD719" s="27" t="s">
        <v>7</v>
      </c>
      <c r="BG719" s="27" t="s">
        <v>8</v>
      </c>
      <c r="BH719" s="27" t="s">
        <v>7</v>
      </c>
      <c r="BK719" s="27" t="s">
        <v>8</v>
      </c>
      <c r="BL719" s="27" t="s">
        <v>7</v>
      </c>
      <c r="EO719" s="27" t="s">
        <v>8</v>
      </c>
      <c r="EU719" s="27" t="s">
        <v>8</v>
      </c>
      <c r="EV719" s="27" t="s">
        <v>7</v>
      </c>
      <c r="EW719" s="27" t="s">
        <v>8</v>
      </c>
      <c r="EX719" s="27" t="s">
        <v>7</v>
      </c>
      <c r="EY719" s="27" t="s">
        <v>8</v>
      </c>
      <c r="FD719" s="27" t="s">
        <v>7</v>
      </c>
      <c r="FE719" s="27" t="s">
        <v>8</v>
      </c>
      <c r="FF719" s="27" t="s">
        <v>7</v>
      </c>
      <c r="FG719" s="27" t="s">
        <v>8</v>
      </c>
      <c r="HB719" s="27" t="s">
        <v>7</v>
      </c>
      <c r="HC719" s="27" t="s">
        <v>8</v>
      </c>
      <c r="HD719" s="27" t="s">
        <v>7</v>
      </c>
      <c r="HE719" s="27" t="s">
        <v>8</v>
      </c>
      <c r="HF719" s="27" t="s">
        <v>7</v>
      </c>
      <c r="HG719" s="27" t="s">
        <v>8</v>
      </c>
      <c r="HH719" s="27" t="s">
        <v>7</v>
      </c>
      <c r="HI719" s="27" t="s">
        <v>8</v>
      </c>
      <c r="HL719" s="27" t="s">
        <v>7</v>
      </c>
      <c r="HN719" s="27" t="s">
        <v>7</v>
      </c>
      <c r="HO719" s="27" t="s">
        <v>8</v>
      </c>
      <c r="IJ719" s="27" t="s">
        <v>7</v>
      </c>
      <c r="MF719" s="27" t="s">
        <v>7</v>
      </c>
      <c r="MG719" s="27" t="s">
        <v>8</v>
      </c>
      <c r="MH719" s="27" t="s">
        <v>7</v>
      </c>
      <c r="MI719" s="27" t="s">
        <v>8</v>
      </c>
      <c r="MJ719" s="27" t="s">
        <v>7</v>
      </c>
    </row>
    <row r="720" spans="1:348" x14ac:dyDescent="0.25">
      <c r="A720" s="7">
        <v>7.1808715076963722E-2</v>
      </c>
      <c r="B720"/>
      <c r="C720"/>
      <c r="D720"/>
      <c r="E720"/>
      <c r="F720" s="27" t="s">
        <v>7</v>
      </c>
      <c r="S720" s="27" t="s">
        <v>8</v>
      </c>
      <c r="T720" s="27" t="s">
        <v>7</v>
      </c>
      <c r="U720" s="27" t="s">
        <v>8</v>
      </c>
      <c r="V720" s="27" t="s">
        <v>7</v>
      </c>
      <c r="W720" s="27" t="s">
        <v>8</v>
      </c>
      <c r="X720" s="27" t="s">
        <v>7</v>
      </c>
      <c r="Y720" s="27" t="s">
        <v>8</v>
      </c>
      <c r="AB720" s="27" t="s">
        <v>7</v>
      </c>
      <c r="AC720" s="27" t="s">
        <v>8</v>
      </c>
      <c r="AD720" s="27" t="s">
        <v>7</v>
      </c>
      <c r="BG720" s="27" t="s">
        <v>8</v>
      </c>
      <c r="BH720" s="27" t="s">
        <v>7</v>
      </c>
      <c r="BK720" s="27" t="s">
        <v>8</v>
      </c>
      <c r="BL720" s="27" t="s">
        <v>7</v>
      </c>
      <c r="EO720" s="27" t="s">
        <v>8</v>
      </c>
      <c r="EP720" s="27" t="s">
        <v>7</v>
      </c>
      <c r="EU720" s="27" t="s">
        <v>8</v>
      </c>
      <c r="EV720" s="27" t="s">
        <v>7</v>
      </c>
      <c r="EW720" s="27" t="s">
        <v>8</v>
      </c>
      <c r="EX720" s="27" t="s">
        <v>7</v>
      </c>
      <c r="EY720" s="27" t="s">
        <v>8</v>
      </c>
      <c r="FD720" s="27" t="s">
        <v>7</v>
      </c>
      <c r="FE720" s="27" t="s">
        <v>8</v>
      </c>
      <c r="FF720" s="27" t="s">
        <v>7</v>
      </c>
      <c r="FG720" s="27" t="s">
        <v>8</v>
      </c>
      <c r="HB720" s="27" t="s">
        <v>7</v>
      </c>
      <c r="HC720" s="27" t="s">
        <v>8</v>
      </c>
      <c r="HD720" s="27" t="s">
        <v>7</v>
      </c>
      <c r="HE720" s="27" t="s">
        <v>8</v>
      </c>
      <c r="HF720" s="27" t="s">
        <v>7</v>
      </c>
      <c r="HG720" s="27" t="s">
        <v>8</v>
      </c>
      <c r="HH720" s="27" t="s">
        <v>7</v>
      </c>
      <c r="HI720" s="27" t="s">
        <v>8</v>
      </c>
      <c r="HN720" s="27" t="s">
        <v>7</v>
      </c>
      <c r="HO720" s="27" t="s">
        <v>8</v>
      </c>
      <c r="MF720" s="27" t="s">
        <v>7</v>
      </c>
      <c r="MG720" s="27" t="s">
        <v>8</v>
      </c>
      <c r="MH720" s="27" t="s">
        <v>7</v>
      </c>
      <c r="MI720" s="27" t="s">
        <v>8</v>
      </c>
      <c r="MJ720" s="27" t="s">
        <v>7</v>
      </c>
    </row>
    <row r="721" spans="1:348" x14ac:dyDescent="0.25">
      <c r="A721" s="7">
        <v>7.0400701055846782E-2</v>
      </c>
      <c r="B721"/>
      <c r="C721"/>
      <c r="D721"/>
      <c r="E721"/>
      <c r="F721" s="27" t="s">
        <v>7</v>
      </c>
      <c r="S721" s="27" t="s">
        <v>8</v>
      </c>
      <c r="T721" s="27" t="s">
        <v>7</v>
      </c>
      <c r="U721" s="27" t="s">
        <v>8</v>
      </c>
      <c r="V721" s="27" t="s">
        <v>7</v>
      </c>
      <c r="X721" s="27" t="s">
        <v>7</v>
      </c>
      <c r="Y721" s="27" t="s">
        <v>8</v>
      </c>
      <c r="AB721" s="27" t="s">
        <v>7</v>
      </c>
      <c r="AC721" s="27" t="s">
        <v>8</v>
      </c>
      <c r="AD721" s="27" t="s">
        <v>7</v>
      </c>
      <c r="BG721" s="27" t="s">
        <v>8</v>
      </c>
      <c r="BH721" s="27" t="s">
        <v>7</v>
      </c>
      <c r="BK721" s="27" t="s">
        <v>8</v>
      </c>
      <c r="BL721" s="27" t="s">
        <v>7</v>
      </c>
      <c r="EO721" s="27" t="s">
        <v>8</v>
      </c>
      <c r="EP721" s="27" t="s">
        <v>7</v>
      </c>
      <c r="EU721" s="27" t="s">
        <v>8</v>
      </c>
      <c r="EV721" s="27" t="s">
        <v>7</v>
      </c>
      <c r="EW721" s="27" t="s">
        <v>8</v>
      </c>
      <c r="EX721" s="27" t="s">
        <v>7</v>
      </c>
      <c r="EY721" s="27" t="s">
        <v>8</v>
      </c>
      <c r="FD721" s="27" t="s">
        <v>7</v>
      </c>
      <c r="FF721" s="27" t="s">
        <v>7</v>
      </c>
      <c r="HB721" s="27" t="s">
        <v>7</v>
      </c>
      <c r="HC721" s="27" t="s">
        <v>8</v>
      </c>
      <c r="HD721" s="27" t="s">
        <v>7</v>
      </c>
      <c r="HE721" s="27" t="s">
        <v>8</v>
      </c>
      <c r="HF721" s="27" t="s">
        <v>7</v>
      </c>
      <c r="HG721" s="27" t="s">
        <v>8</v>
      </c>
      <c r="HH721" s="27" t="s">
        <v>7</v>
      </c>
      <c r="HN721" s="27" t="s">
        <v>7</v>
      </c>
      <c r="HO721" s="27" t="s">
        <v>8</v>
      </c>
      <c r="MF721" s="27" t="s">
        <v>7</v>
      </c>
      <c r="MG721" s="27" t="s">
        <v>8</v>
      </c>
      <c r="MH721" s="27" t="s">
        <v>7</v>
      </c>
      <c r="MI721" s="27" t="s">
        <v>8</v>
      </c>
      <c r="MJ721" s="27" t="s">
        <v>7</v>
      </c>
    </row>
    <row r="722" spans="1:348" x14ac:dyDescent="0.25">
      <c r="A722" s="7">
        <v>6.9020295152790956E-2</v>
      </c>
      <c r="B722"/>
      <c r="C722"/>
      <c r="D722"/>
      <c r="E722"/>
      <c r="F722" s="27" t="s">
        <v>7</v>
      </c>
      <c r="S722" s="27" t="s">
        <v>8</v>
      </c>
      <c r="T722" s="27" t="s">
        <v>7</v>
      </c>
      <c r="U722" s="27" t="s">
        <v>8</v>
      </c>
      <c r="X722" s="27" t="s">
        <v>7</v>
      </c>
      <c r="Y722" s="27" t="s">
        <v>8</v>
      </c>
      <c r="AB722" s="27" t="s">
        <v>7</v>
      </c>
      <c r="AC722" s="27" t="s">
        <v>8</v>
      </c>
      <c r="AD722" s="27" t="s">
        <v>7</v>
      </c>
      <c r="BG722" s="27" t="s">
        <v>8</v>
      </c>
      <c r="BH722" s="27" t="s">
        <v>7</v>
      </c>
      <c r="BK722" s="27" t="s">
        <v>8</v>
      </c>
      <c r="BL722" s="27" t="s">
        <v>7</v>
      </c>
      <c r="DW722" s="27" t="s">
        <v>8</v>
      </c>
      <c r="EE722" s="27" t="s">
        <v>8</v>
      </c>
      <c r="EO722" s="27" t="s">
        <v>8</v>
      </c>
      <c r="EP722" s="27" t="s">
        <v>7</v>
      </c>
      <c r="ES722" s="27" t="s">
        <v>8</v>
      </c>
      <c r="EU722" s="27" t="s">
        <v>8</v>
      </c>
      <c r="EV722" s="27" t="s">
        <v>7</v>
      </c>
      <c r="EW722" s="27" t="s">
        <v>8</v>
      </c>
      <c r="EX722" s="27" t="s">
        <v>7</v>
      </c>
      <c r="EY722" s="27" t="s">
        <v>8</v>
      </c>
      <c r="HB722" s="27" t="s">
        <v>7</v>
      </c>
      <c r="HD722" s="27" t="s">
        <v>7</v>
      </c>
      <c r="HE722" s="27" t="s">
        <v>8</v>
      </c>
      <c r="HF722" s="27" t="s">
        <v>7</v>
      </c>
      <c r="HG722" s="27" t="s">
        <v>8</v>
      </c>
      <c r="HN722" s="27" t="s">
        <v>7</v>
      </c>
      <c r="HO722" s="27" t="s">
        <v>8</v>
      </c>
      <c r="MF722" s="27" t="s">
        <v>7</v>
      </c>
      <c r="MG722" s="27" t="s">
        <v>8</v>
      </c>
      <c r="MH722" s="27" t="s">
        <v>7</v>
      </c>
      <c r="MI722" s="27" t="s">
        <v>8</v>
      </c>
    </row>
    <row r="723" spans="1:348" x14ac:dyDescent="0.25">
      <c r="A723" s="7">
        <v>6.7666956032147993E-2</v>
      </c>
      <c r="B723"/>
      <c r="C723"/>
      <c r="D723"/>
      <c r="E723"/>
      <c r="F723" s="27" t="s">
        <v>7</v>
      </c>
      <c r="S723" s="27" t="s">
        <v>8</v>
      </c>
      <c r="T723" s="27" t="s">
        <v>7</v>
      </c>
      <c r="U723" s="27" t="s">
        <v>8</v>
      </c>
      <c r="X723" s="27" t="s">
        <v>7</v>
      </c>
      <c r="Y723" s="27" t="s">
        <v>8</v>
      </c>
      <c r="AB723" s="27" t="s">
        <v>7</v>
      </c>
      <c r="AD723" s="27" t="s">
        <v>7</v>
      </c>
      <c r="AY723" s="27" t="s">
        <v>8</v>
      </c>
      <c r="BG723" s="27" t="s">
        <v>8</v>
      </c>
      <c r="BH723" s="27" t="s">
        <v>7</v>
      </c>
      <c r="BK723" s="27" t="s">
        <v>8</v>
      </c>
      <c r="BL723" s="27" t="s">
        <v>7</v>
      </c>
      <c r="DW723" s="27" t="s">
        <v>8</v>
      </c>
      <c r="DX723" s="27" t="s">
        <v>7</v>
      </c>
      <c r="EE723" s="27" t="s">
        <v>8</v>
      </c>
      <c r="EF723" s="27" t="s">
        <v>7</v>
      </c>
      <c r="EM723" s="27" t="s">
        <v>8</v>
      </c>
      <c r="EO723" s="27" t="s">
        <v>8</v>
      </c>
      <c r="EP723" s="27" t="s">
        <v>7</v>
      </c>
      <c r="ES723" s="27" t="s">
        <v>8</v>
      </c>
      <c r="ET723" s="27" t="s">
        <v>7</v>
      </c>
      <c r="EU723" s="27" t="s">
        <v>8</v>
      </c>
      <c r="EV723" s="27" t="s">
        <v>7</v>
      </c>
      <c r="EX723" s="27" t="s">
        <v>7</v>
      </c>
      <c r="EY723" s="27" t="s">
        <v>8</v>
      </c>
      <c r="HD723" s="27" t="s">
        <v>7</v>
      </c>
      <c r="HE723" s="27" t="s">
        <v>8</v>
      </c>
      <c r="HF723" s="27" t="s">
        <v>7</v>
      </c>
      <c r="HN723" s="27" t="s">
        <v>7</v>
      </c>
      <c r="HO723" s="27" t="s">
        <v>8</v>
      </c>
      <c r="MF723" s="27" t="s">
        <v>7</v>
      </c>
      <c r="MG723" s="27" t="s">
        <v>8</v>
      </c>
      <c r="MH723" s="27" t="s">
        <v>7</v>
      </c>
      <c r="MI723" s="27" t="s">
        <v>8</v>
      </c>
    </row>
    <row r="724" spans="1:348" x14ac:dyDescent="0.25">
      <c r="A724" s="7">
        <v>6.6340152972694105E-2</v>
      </c>
      <c r="B724"/>
      <c r="C724"/>
      <c r="D724"/>
      <c r="E724"/>
      <c r="F724" s="27" t="s">
        <v>7</v>
      </c>
      <c r="S724" s="27" t="s">
        <v>8</v>
      </c>
      <c r="T724" s="27" t="s">
        <v>7</v>
      </c>
      <c r="U724" s="27" t="s">
        <v>8</v>
      </c>
      <c r="X724" s="27" t="s">
        <v>7</v>
      </c>
      <c r="AD724" s="27" t="s">
        <v>7</v>
      </c>
      <c r="AG724" s="27" t="s">
        <v>8</v>
      </c>
      <c r="AY724" s="27" t="s">
        <v>8</v>
      </c>
      <c r="AZ724" s="27" t="s">
        <v>7</v>
      </c>
      <c r="BG724" s="27" t="s">
        <v>8</v>
      </c>
      <c r="BH724" s="27" t="s">
        <v>7</v>
      </c>
      <c r="BI724" s="27" t="s">
        <v>8</v>
      </c>
      <c r="BK724" s="27" t="s">
        <v>8</v>
      </c>
      <c r="BL724" s="27" t="s">
        <v>7</v>
      </c>
      <c r="DW724" s="27" t="s">
        <v>8</v>
      </c>
      <c r="DX724" s="27" t="s">
        <v>7</v>
      </c>
      <c r="EE724" s="27" t="s">
        <v>8</v>
      </c>
      <c r="EF724" s="27" t="s">
        <v>7</v>
      </c>
      <c r="EM724" s="27" t="s">
        <v>8</v>
      </c>
      <c r="EN724" s="27" t="s">
        <v>7</v>
      </c>
      <c r="EO724" s="27" t="s">
        <v>8</v>
      </c>
      <c r="EP724" s="27" t="s">
        <v>7</v>
      </c>
      <c r="ES724" s="27" t="s">
        <v>8</v>
      </c>
      <c r="ET724" s="27" t="s">
        <v>7</v>
      </c>
      <c r="EU724" s="27" t="s">
        <v>8</v>
      </c>
      <c r="EX724" s="27" t="s">
        <v>7</v>
      </c>
      <c r="EY724" s="27" t="s">
        <v>8</v>
      </c>
      <c r="HD724" s="27" t="s">
        <v>7</v>
      </c>
      <c r="HE724" s="27" t="s">
        <v>8</v>
      </c>
      <c r="HN724" s="27" t="s">
        <v>7</v>
      </c>
      <c r="MF724" s="27" t="s">
        <v>7</v>
      </c>
      <c r="MH724" s="27" t="s">
        <v>7</v>
      </c>
      <c r="MI724" s="27" t="s">
        <v>8</v>
      </c>
    </row>
    <row r="725" spans="1:348" x14ac:dyDescent="0.25">
      <c r="A725" s="7">
        <v>6.5039365659504023E-2</v>
      </c>
      <c r="B725"/>
      <c r="C725"/>
      <c r="D725"/>
      <c r="E725"/>
      <c r="F725" s="27" t="s">
        <v>7</v>
      </c>
      <c r="S725" s="27" t="s">
        <v>8</v>
      </c>
      <c r="T725" s="27" t="s">
        <v>7</v>
      </c>
      <c r="U725" s="27" t="s">
        <v>8</v>
      </c>
      <c r="AD725" s="27" t="s">
        <v>7</v>
      </c>
      <c r="AG725" s="27" t="s">
        <v>8</v>
      </c>
      <c r="AH725" s="27" t="s">
        <v>7</v>
      </c>
      <c r="AY725" s="27" t="s">
        <v>8</v>
      </c>
      <c r="AZ725" s="27" t="s">
        <v>7</v>
      </c>
      <c r="BG725" s="27" t="s">
        <v>8</v>
      </c>
      <c r="BH725" s="27" t="s">
        <v>7</v>
      </c>
      <c r="BI725" s="27" t="s">
        <v>8</v>
      </c>
      <c r="BJ725" s="27" t="s">
        <v>7</v>
      </c>
      <c r="BK725" s="27" t="s">
        <v>8</v>
      </c>
      <c r="BL725" s="27" t="s">
        <v>7</v>
      </c>
      <c r="DW725" s="27" t="s">
        <v>8</v>
      </c>
      <c r="DX725" s="27" t="s">
        <v>7</v>
      </c>
      <c r="EE725" s="27" t="s">
        <v>8</v>
      </c>
      <c r="EF725" s="27" t="s">
        <v>7</v>
      </c>
      <c r="EM725" s="27" t="s">
        <v>8</v>
      </c>
      <c r="EN725" s="27" t="s">
        <v>7</v>
      </c>
      <c r="EO725" s="27" t="s">
        <v>8</v>
      </c>
      <c r="EP725" s="27" t="s">
        <v>7</v>
      </c>
      <c r="ES725" s="27" t="s">
        <v>8</v>
      </c>
      <c r="ET725" s="27" t="s">
        <v>7</v>
      </c>
      <c r="EU725" s="27" t="s">
        <v>8</v>
      </c>
      <c r="EX725" s="27" t="s">
        <v>7</v>
      </c>
      <c r="HD725" s="27" t="s">
        <v>7</v>
      </c>
      <c r="HE725" s="27" t="s">
        <v>8</v>
      </c>
      <c r="MH725" s="27" t="s">
        <v>7</v>
      </c>
      <c r="MI725" s="27" t="s">
        <v>8</v>
      </c>
    </row>
    <row r="726" spans="1:348" x14ac:dyDescent="0.25">
      <c r="A726" s="7">
        <v>6.3764083979905906E-2</v>
      </c>
      <c r="B726"/>
      <c r="C726"/>
      <c r="D726"/>
      <c r="E726"/>
      <c r="F726" s="27" t="s">
        <v>7</v>
      </c>
      <c r="S726" s="27" t="s">
        <v>8</v>
      </c>
      <c r="T726" s="27" t="s">
        <v>7</v>
      </c>
      <c r="U726" s="27" t="s">
        <v>8</v>
      </c>
      <c r="AD726" s="27" t="s">
        <v>7</v>
      </c>
      <c r="AG726" s="27" t="s">
        <v>8</v>
      </c>
      <c r="AH726" s="27" t="s">
        <v>7</v>
      </c>
      <c r="AK726" s="27" t="s">
        <v>8</v>
      </c>
      <c r="AY726" s="27" t="s">
        <v>8</v>
      </c>
      <c r="AZ726" s="27" t="s">
        <v>7</v>
      </c>
      <c r="BG726" s="27" t="s">
        <v>8</v>
      </c>
      <c r="BH726" s="27" t="s">
        <v>7</v>
      </c>
      <c r="BI726" s="27" t="s">
        <v>8</v>
      </c>
      <c r="BJ726" s="27" t="s">
        <v>7</v>
      </c>
      <c r="BK726" s="27" t="s">
        <v>8</v>
      </c>
      <c r="BL726" s="27" t="s">
        <v>7</v>
      </c>
      <c r="DW726" s="27" t="s">
        <v>8</v>
      </c>
      <c r="DX726" s="27" t="s">
        <v>7</v>
      </c>
      <c r="EE726" s="27" t="s">
        <v>8</v>
      </c>
      <c r="EF726" s="27" t="s">
        <v>7</v>
      </c>
      <c r="EM726" s="27" t="s">
        <v>8</v>
      </c>
      <c r="EN726" s="27" t="s">
        <v>7</v>
      </c>
      <c r="EO726" s="27" t="s">
        <v>8</v>
      </c>
      <c r="EP726" s="27" t="s">
        <v>7</v>
      </c>
      <c r="ES726" s="27" t="s">
        <v>8</v>
      </c>
      <c r="ET726" s="27" t="s">
        <v>7</v>
      </c>
      <c r="EU726" s="27" t="s">
        <v>8</v>
      </c>
      <c r="HD726" s="27" t="s">
        <v>7</v>
      </c>
      <c r="HE726" s="27" t="s">
        <v>8</v>
      </c>
      <c r="MH726" s="27" t="s">
        <v>7</v>
      </c>
    </row>
    <row r="727" spans="1:348" x14ac:dyDescent="0.25">
      <c r="A727" s="7">
        <v>6.251380782343717E-2</v>
      </c>
      <c r="B727"/>
      <c r="C727"/>
      <c r="D727"/>
      <c r="E727"/>
      <c r="F727" s="27" t="s">
        <v>7</v>
      </c>
      <c r="S727" s="27" t="s">
        <v>8</v>
      </c>
      <c r="T727" s="27" t="s">
        <v>7</v>
      </c>
      <c r="U727" s="27" t="s">
        <v>8</v>
      </c>
      <c r="AD727" s="27" t="s">
        <v>7</v>
      </c>
      <c r="AE727" s="27" t="s">
        <v>8</v>
      </c>
      <c r="AG727" s="27" t="s">
        <v>8</v>
      </c>
      <c r="AH727" s="27" t="s">
        <v>7</v>
      </c>
      <c r="AI727" s="27" t="s">
        <v>8</v>
      </c>
      <c r="AK727" s="27" t="s">
        <v>8</v>
      </c>
      <c r="AL727" s="27" t="s">
        <v>7</v>
      </c>
      <c r="AY727" s="27" t="s">
        <v>8</v>
      </c>
      <c r="AZ727" s="27" t="s">
        <v>7</v>
      </c>
      <c r="BG727" s="27" t="s">
        <v>8</v>
      </c>
      <c r="BH727" s="27" t="s">
        <v>7</v>
      </c>
      <c r="BI727" s="27" t="s">
        <v>8</v>
      </c>
      <c r="BJ727" s="27" t="s">
        <v>7</v>
      </c>
      <c r="BK727" s="27" t="s">
        <v>8</v>
      </c>
      <c r="BL727" s="27" t="s">
        <v>7</v>
      </c>
      <c r="DW727" s="27" t="s">
        <v>8</v>
      </c>
      <c r="DX727" s="27" t="s">
        <v>7</v>
      </c>
      <c r="EE727" s="27" t="s">
        <v>8</v>
      </c>
      <c r="EF727" s="27" t="s">
        <v>7</v>
      </c>
      <c r="EM727" s="27" t="s">
        <v>8</v>
      </c>
      <c r="EN727" s="27" t="s">
        <v>7</v>
      </c>
      <c r="EO727" s="27" t="s">
        <v>8</v>
      </c>
      <c r="EP727" s="27" t="s">
        <v>7</v>
      </c>
      <c r="ES727" s="27" t="s">
        <v>8</v>
      </c>
      <c r="ET727" s="27" t="s">
        <v>7</v>
      </c>
      <c r="EU727" s="27" t="s">
        <v>8</v>
      </c>
      <c r="HD727" s="27" t="s">
        <v>7</v>
      </c>
      <c r="HE727" s="27" t="s">
        <v>8</v>
      </c>
    </row>
    <row r="728" spans="1:348" x14ac:dyDescent="0.25">
      <c r="A728" s="7">
        <v>6.1288046885722716E-2</v>
      </c>
      <c r="B728"/>
      <c r="C728"/>
      <c r="D728"/>
      <c r="E728"/>
      <c r="F728" s="27" t="s">
        <v>7</v>
      </c>
      <c r="S728" s="27" t="s">
        <v>8</v>
      </c>
      <c r="T728" s="27" t="s">
        <v>7</v>
      </c>
      <c r="U728" s="27" t="s">
        <v>8</v>
      </c>
      <c r="AD728" s="27" t="s">
        <v>7</v>
      </c>
      <c r="AE728" s="27" t="s">
        <v>8</v>
      </c>
      <c r="AF728" s="27" t="s">
        <v>7</v>
      </c>
      <c r="AG728" s="27" t="s">
        <v>8</v>
      </c>
      <c r="AH728" s="27" t="s">
        <v>7</v>
      </c>
      <c r="AI728" s="27" t="s">
        <v>8</v>
      </c>
      <c r="AJ728" s="27" t="s">
        <v>7</v>
      </c>
      <c r="AK728" s="27" t="s">
        <v>8</v>
      </c>
      <c r="AL728" s="27" t="s">
        <v>7</v>
      </c>
      <c r="AW728" s="27" t="s">
        <v>8</v>
      </c>
      <c r="AY728" s="27" t="s">
        <v>8</v>
      </c>
      <c r="AZ728" s="27" t="s">
        <v>7</v>
      </c>
      <c r="BE728" s="27" t="s">
        <v>8</v>
      </c>
      <c r="BG728" s="27" t="s">
        <v>8</v>
      </c>
      <c r="BH728" s="27" t="s">
        <v>7</v>
      </c>
      <c r="BI728" s="27" t="s">
        <v>8</v>
      </c>
      <c r="BJ728" s="27" t="s">
        <v>7</v>
      </c>
      <c r="BK728" s="27" t="s">
        <v>8</v>
      </c>
      <c r="BL728" s="27" t="s">
        <v>7</v>
      </c>
      <c r="BO728" s="27" t="s">
        <v>8</v>
      </c>
      <c r="DW728" s="27" t="s">
        <v>8</v>
      </c>
      <c r="DX728" s="27" t="s">
        <v>7</v>
      </c>
      <c r="EE728" s="27" t="s">
        <v>8</v>
      </c>
      <c r="EF728" s="27" t="s">
        <v>7</v>
      </c>
      <c r="EM728" s="27" t="s">
        <v>8</v>
      </c>
      <c r="EN728" s="27" t="s">
        <v>7</v>
      </c>
      <c r="EO728" s="27" t="s">
        <v>8</v>
      </c>
      <c r="EP728" s="27" t="s">
        <v>7</v>
      </c>
      <c r="ES728" s="27" t="s">
        <v>8</v>
      </c>
      <c r="ET728" s="27" t="s">
        <v>7</v>
      </c>
      <c r="EU728" s="27" t="s">
        <v>8</v>
      </c>
      <c r="HD728" s="27" t="s">
        <v>7</v>
      </c>
      <c r="HE728" s="27" t="s">
        <v>8</v>
      </c>
    </row>
    <row r="729" spans="1:348" x14ac:dyDescent="0.25">
      <c r="A729" s="7">
        <v>6.0086320476198739E-2</v>
      </c>
      <c r="B729"/>
      <c r="C729"/>
      <c r="D729"/>
      <c r="E729"/>
      <c r="F729" s="27" t="s">
        <v>7</v>
      </c>
      <c r="S729" s="27" t="s">
        <v>8</v>
      </c>
      <c r="T729" s="27" t="s">
        <v>7</v>
      </c>
      <c r="AD729" s="27" t="s">
        <v>7</v>
      </c>
      <c r="AE729" s="27" t="s">
        <v>8</v>
      </c>
      <c r="AF729" s="27" t="s">
        <v>7</v>
      </c>
      <c r="AG729" s="27" t="s">
        <v>8</v>
      </c>
      <c r="AH729" s="27" t="s">
        <v>7</v>
      </c>
      <c r="AI729" s="27" t="s">
        <v>8</v>
      </c>
      <c r="AJ729" s="27" t="s">
        <v>7</v>
      </c>
      <c r="AK729" s="27" t="s">
        <v>8</v>
      </c>
      <c r="AL729" s="27" t="s">
        <v>7</v>
      </c>
      <c r="AW729" s="27" t="s">
        <v>8</v>
      </c>
      <c r="AX729" s="27" t="s">
        <v>7</v>
      </c>
      <c r="AY729" s="27" t="s">
        <v>8</v>
      </c>
      <c r="AZ729" s="27" t="s">
        <v>7</v>
      </c>
      <c r="BE729" s="27" t="s">
        <v>8</v>
      </c>
      <c r="BF729" s="27" t="s">
        <v>7</v>
      </c>
      <c r="BG729" s="27" t="s">
        <v>8</v>
      </c>
      <c r="BH729" s="27" t="s">
        <v>7</v>
      </c>
      <c r="BI729" s="27" t="s">
        <v>8</v>
      </c>
      <c r="BJ729" s="27" t="s">
        <v>7</v>
      </c>
      <c r="BK729" s="27" t="s">
        <v>8</v>
      </c>
      <c r="BL729" s="27" t="s">
        <v>7</v>
      </c>
      <c r="BO729" s="27" t="s">
        <v>8</v>
      </c>
      <c r="BP729" s="27" t="s">
        <v>7</v>
      </c>
      <c r="DW729" s="27" t="s">
        <v>8</v>
      </c>
      <c r="DX729" s="27" t="s">
        <v>7</v>
      </c>
      <c r="EE729" s="27" t="s">
        <v>8</v>
      </c>
      <c r="EF729" s="27" t="s">
        <v>7</v>
      </c>
      <c r="EM729" s="27" t="s">
        <v>8</v>
      </c>
      <c r="EN729" s="27" t="s">
        <v>7</v>
      </c>
      <c r="EO729" s="27" t="s">
        <v>8</v>
      </c>
      <c r="EP729" s="27" t="s">
        <v>7</v>
      </c>
      <c r="ES729" s="27" t="s">
        <v>8</v>
      </c>
      <c r="ET729" s="27" t="s">
        <v>7</v>
      </c>
      <c r="EU729" s="27" t="s">
        <v>8</v>
      </c>
      <c r="HD729" s="27" t="s">
        <v>7</v>
      </c>
      <c r="HE729" s="27" t="s">
        <v>8</v>
      </c>
    </row>
    <row r="730" spans="1:348" x14ac:dyDescent="0.25">
      <c r="A730" s="7">
        <v>5.8908157329606609E-2</v>
      </c>
      <c r="B730"/>
      <c r="C730"/>
      <c r="D730"/>
      <c r="E730"/>
      <c r="F730" s="27" t="s">
        <v>7</v>
      </c>
      <c r="S730" s="27" t="s">
        <v>8</v>
      </c>
      <c r="AD730" s="27" t="s">
        <v>7</v>
      </c>
      <c r="AE730" s="27" t="s">
        <v>8</v>
      </c>
      <c r="AF730" s="27" t="s">
        <v>7</v>
      </c>
      <c r="AG730" s="27" t="s">
        <v>8</v>
      </c>
      <c r="AH730" s="27" t="s">
        <v>7</v>
      </c>
      <c r="AI730" s="27" t="s">
        <v>8</v>
      </c>
      <c r="AJ730" s="27" t="s">
        <v>7</v>
      </c>
      <c r="AK730" s="27" t="s">
        <v>8</v>
      </c>
      <c r="AL730" s="27" t="s">
        <v>7</v>
      </c>
      <c r="AO730" s="27" t="s">
        <v>8</v>
      </c>
      <c r="AW730" s="27" t="s">
        <v>8</v>
      </c>
      <c r="AX730" s="27" t="s">
        <v>7</v>
      </c>
      <c r="AY730" s="27" t="s">
        <v>8</v>
      </c>
      <c r="AZ730" s="27" t="s">
        <v>7</v>
      </c>
      <c r="BE730" s="27" t="s">
        <v>8</v>
      </c>
      <c r="BF730" s="27" t="s">
        <v>7</v>
      </c>
      <c r="BG730" s="27" t="s">
        <v>8</v>
      </c>
      <c r="BH730" s="27" t="s">
        <v>7</v>
      </c>
      <c r="BI730" s="27" t="s">
        <v>8</v>
      </c>
      <c r="BJ730" s="27" t="s">
        <v>7</v>
      </c>
      <c r="BK730" s="27" t="s">
        <v>8</v>
      </c>
      <c r="BL730" s="27" t="s">
        <v>7</v>
      </c>
      <c r="BM730" s="27" t="s">
        <v>8</v>
      </c>
      <c r="BO730" s="27" t="s">
        <v>8</v>
      </c>
      <c r="BP730" s="27" t="s">
        <v>7</v>
      </c>
      <c r="DW730" s="27" t="s">
        <v>8</v>
      </c>
      <c r="DX730" s="27" t="s">
        <v>7</v>
      </c>
      <c r="EE730" s="27" t="s">
        <v>8</v>
      </c>
      <c r="EF730" s="27" t="s">
        <v>7</v>
      </c>
      <c r="EM730" s="27" t="s">
        <v>8</v>
      </c>
      <c r="EN730" s="27" t="s">
        <v>7</v>
      </c>
      <c r="EO730" s="27" t="s">
        <v>8</v>
      </c>
      <c r="EP730" s="27" t="s">
        <v>7</v>
      </c>
      <c r="ES730" s="27" t="s">
        <v>8</v>
      </c>
      <c r="ET730" s="27" t="s">
        <v>7</v>
      </c>
      <c r="EU730" s="27" t="s">
        <v>8</v>
      </c>
      <c r="HD730" s="27" t="s">
        <v>7</v>
      </c>
      <c r="HE730" s="27" t="s">
        <v>8</v>
      </c>
    </row>
    <row r="731" spans="1:348" x14ac:dyDescent="0.25">
      <c r="A731" s="7">
        <v>5.7753095421182947E-2</v>
      </c>
      <c r="B731"/>
      <c r="C731"/>
      <c r="D731"/>
      <c r="E731"/>
      <c r="F731" s="27" t="s">
        <v>7</v>
      </c>
      <c r="S731" s="27" t="s">
        <v>8</v>
      </c>
      <c r="AD731" s="27" t="s">
        <v>7</v>
      </c>
      <c r="AE731" s="27" t="s">
        <v>8</v>
      </c>
      <c r="AF731" s="27" t="s">
        <v>7</v>
      </c>
      <c r="AG731" s="27" t="s">
        <v>8</v>
      </c>
      <c r="AH731" s="27" t="s">
        <v>7</v>
      </c>
      <c r="AJ731" s="27" t="s">
        <v>7</v>
      </c>
      <c r="AK731" s="27" t="s">
        <v>8</v>
      </c>
      <c r="AL731" s="27" t="s">
        <v>7</v>
      </c>
      <c r="AM731" s="27" t="s">
        <v>8</v>
      </c>
      <c r="AO731" s="27" t="s">
        <v>8</v>
      </c>
      <c r="AP731" s="27" t="s">
        <v>7</v>
      </c>
      <c r="AW731" s="27" t="s">
        <v>8</v>
      </c>
      <c r="AX731" s="27" t="s">
        <v>7</v>
      </c>
      <c r="AY731" s="27" t="s">
        <v>8</v>
      </c>
      <c r="AZ731" s="27" t="s">
        <v>7</v>
      </c>
      <c r="BA731" s="27" t="s">
        <v>8</v>
      </c>
      <c r="BE731" s="27" t="s">
        <v>8</v>
      </c>
      <c r="BF731" s="27" t="s">
        <v>7</v>
      </c>
      <c r="BG731" s="27" t="s">
        <v>8</v>
      </c>
      <c r="BH731" s="27" t="s">
        <v>7</v>
      </c>
      <c r="BJ731" s="27" t="s">
        <v>7</v>
      </c>
      <c r="BK731" s="27" t="s">
        <v>8</v>
      </c>
      <c r="BL731" s="27" t="s">
        <v>7</v>
      </c>
      <c r="BM731" s="27" t="s">
        <v>8</v>
      </c>
      <c r="BN731" s="27" t="s">
        <v>7</v>
      </c>
      <c r="BO731" s="27" t="s">
        <v>8</v>
      </c>
      <c r="BP731" s="27" t="s">
        <v>7</v>
      </c>
      <c r="DS731" s="27" t="s">
        <v>8</v>
      </c>
      <c r="DW731" s="27" t="s">
        <v>8</v>
      </c>
      <c r="DX731" s="27" t="s">
        <v>7</v>
      </c>
      <c r="EE731" s="27" t="s">
        <v>8</v>
      </c>
      <c r="EF731" s="27" t="s">
        <v>7</v>
      </c>
      <c r="EM731" s="27" t="s">
        <v>8</v>
      </c>
      <c r="EN731" s="27" t="s">
        <v>7</v>
      </c>
      <c r="EO731" s="27" t="s">
        <v>8</v>
      </c>
      <c r="EP731" s="27" t="s">
        <v>7</v>
      </c>
      <c r="EQ731" s="27" t="s">
        <v>8</v>
      </c>
      <c r="ES731" s="27" t="s">
        <v>8</v>
      </c>
      <c r="ET731" s="27" t="s">
        <v>7</v>
      </c>
      <c r="EU731" s="27" t="s">
        <v>8</v>
      </c>
      <c r="HD731" s="27" t="s">
        <v>7</v>
      </c>
      <c r="HE731" s="27" t="s">
        <v>8</v>
      </c>
    </row>
    <row r="732" spans="1:348" x14ac:dyDescent="0.25">
      <c r="A732" s="7">
        <v>5.6620681785473484E-2</v>
      </c>
      <c r="B732"/>
      <c r="C732"/>
      <c r="D732"/>
      <c r="E732"/>
      <c r="F732" s="27" t="s">
        <v>7</v>
      </c>
      <c r="S732" s="27" t="s">
        <v>8</v>
      </c>
      <c r="AD732" s="27" t="s">
        <v>7</v>
      </c>
      <c r="AE732" s="27" t="s">
        <v>8</v>
      </c>
      <c r="AF732" s="27" t="s">
        <v>7</v>
      </c>
      <c r="AG732" s="27" t="s">
        <v>8</v>
      </c>
      <c r="AJ732" s="27" t="s">
        <v>7</v>
      </c>
      <c r="AK732" s="27" t="s">
        <v>8</v>
      </c>
      <c r="AL732" s="27" t="s">
        <v>7</v>
      </c>
      <c r="AM732" s="27" t="s">
        <v>8</v>
      </c>
      <c r="AN732" s="27" t="s">
        <v>7</v>
      </c>
      <c r="AO732" s="27" t="s">
        <v>8</v>
      </c>
      <c r="AP732" s="27" t="s">
        <v>7</v>
      </c>
      <c r="AW732" s="27" t="s">
        <v>8</v>
      </c>
      <c r="AX732" s="27" t="s">
        <v>7</v>
      </c>
      <c r="AY732" s="27" t="s">
        <v>8</v>
      </c>
      <c r="AZ732" s="27" t="s">
        <v>7</v>
      </c>
      <c r="BA732" s="27" t="s">
        <v>8</v>
      </c>
      <c r="BB732" s="27" t="s">
        <v>7</v>
      </c>
      <c r="BE732" s="27" t="s">
        <v>8</v>
      </c>
      <c r="BF732" s="27" t="s">
        <v>7</v>
      </c>
      <c r="BG732" s="27" t="s">
        <v>8</v>
      </c>
      <c r="BJ732" s="27" t="s">
        <v>7</v>
      </c>
      <c r="BK732" s="27" t="s">
        <v>8</v>
      </c>
      <c r="BL732" s="27" t="s">
        <v>7</v>
      </c>
      <c r="BM732" s="27" t="s">
        <v>8</v>
      </c>
      <c r="BN732" s="27" t="s">
        <v>7</v>
      </c>
      <c r="BO732" s="27" t="s">
        <v>8</v>
      </c>
      <c r="BP732" s="27" t="s">
        <v>7</v>
      </c>
      <c r="DS732" s="27" t="s">
        <v>8</v>
      </c>
      <c r="DT732" s="27" t="s">
        <v>7</v>
      </c>
      <c r="DW732" s="27" t="s">
        <v>8</v>
      </c>
      <c r="DX732" s="27" t="s">
        <v>7</v>
      </c>
      <c r="EE732" s="27" t="s">
        <v>8</v>
      </c>
      <c r="EF732" s="27" t="s">
        <v>7</v>
      </c>
      <c r="EM732" s="27" t="s">
        <v>8</v>
      </c>
      <c r="EN732" s="27" t="s">
        <v>7</v>
      </c>
      <c r="EO732" s="27" t="s">
        <v>8</v>
      </c>
      <c r="EP732" s="27" t="s">
        <v>7</v>
      </c>
      <c r="EQ732" s="27" t="s">
        <v>8</v>
      </c>
      <c r="ER732" s="27" t="s">
        <v>7</v>
      </c>
      <c r="ES732" s="27" t="s">
        <v>8</v>
      </c>
      <c r="ET732" s="27" t="s">
        <v>7</v>
      </c>
      <c r="HD732" s="27" t="s">
        <v>7</v>
      </c>
      <c r="HE732" s="27" t="s">
        <v>8</v>
      </c>
    </row>
    <row r="733" spans="1:348" x14ac:dyDescent="0.25">
      <c r="A733" s="7">
        <v>5.5510472338699497E-2</v>
      </c>
      <c r="B733"/>
      <c r="C733"/>
      <c r="D733"/>
      <c r="E733"/>
      <c r="F733" s="27" t="s">
        <v>7</v>
      </c>
      <c r="S733" s="27" t="s">
        <v>8</v>
      </c>
      <c r="AD733" s="27" t="s">
        <v>7</v>
      </c>
      <c r="AE733" s="27" t="s">
        <v>8</v>
      </c>
      <c r="AF733" s="27" t="s">
        <v>7</v>
      </c>
      <c r="AJ733" s="27" t="s">
        <v>7</v>
      </c>
      <c r="AK733" s="27" t="s">
        <v>8</v>
      </c>
      <c r="AL733" s="27" t="s">
        <v>7</v>
      </c>
      <c r="AM733" s="27" t="s">
        <v>8</v>
      </c>
      <c r="AN733" s="27" t="s">
        <v>7</v>
      </c>
      <c r="AO733" s="27" t="s">
        <v>8</v>
      </c>
      <c r="AP733" s="27" t="s">
        <v>7</v>
      </c>
      <c r="AW733" s="27" t="s">
        <v>8</v>
      </c>
      <c r="AX733" s="27" t="s">
        <v>7</v>
      </c>
      <c r="AY733" s="27" t="s">
        <v>8</v>
      </c>
      <c r="AZ733" s="27" t="s">
        <v>7</v>
      </c>
      <c r="BA733" s="27" t="s">
        <v>8</v>
      </c>
      <c r="BB733" s="27" t="s">
        <v>7</v>
      </c>
      <c r="BE733" s="27" t="s">
        <v>8</v>
      </c>
      <c r="BF733" s="27" t="s">
        <v>7</v>
      </c>
      <c r="BG733" s="27" t="s">
        <v>8</v>
      </c>
      <c r="BJ733" s="27" t="s">
        <v>7</v>
      </c>
      <c r="BL733" s="27" t="s">
        <v>7</v>
      </c>
      <c r="BM733" s="27" t="s">
        <v>8</v>
      </c>
      <c r="BN733" s="27" t="s">
        <v>7</v>
      </c>
      <c r="BO733" s="27" t="s">
        <v>8</v>
      </c>
      <c r="BP733" s="27" t="s">
        <v>7</v>
      </c>
      <c r="CQ733" s="27" t="s">
        <v>8</v>
      </c>
      <c r="DS733" s="27" t="s">
        <v>8</v>
      </c>
      <c r="DT733" s="27" t="s">
        <v>7</v>
      </c>
      <c r="DW733" s="27" t="s">
        <v>8</v>
      </c>
      <c r="DX733" s="27" t="s">
        <v>7</v>
      </c>
      <c r="EE733" s="27" t="s">
        <v>8</v>
      </c>
      <c r="EF733" s="27" t="s">
        <v>7</v>
      </c>
      <c r="EK733" s="27" t="s">
        <v>8</v>
      </c>
      <c r="EM733" s="27" t="s">
        <v>8</v>
      </c>
      <c r="EN733" s="27" t="s">
        <v>7</v>
      </c>
      <c r="EO733" s="27" t="s">
        <v>8</v>
      </c>
      <c r="EP733" s="27" t="s">
        <v>7</v>
      </c>
      <c r="EQ733" s="27" t="s">
        <v>8</v>
      </c>
      <c r="ER733" s="27" t="s">
        <v>7</v>
      </c>
      <c r="ES733" s="27" t="s">
        <v>8</v>
      </c>
      <c r="HD733" s="27" t="s">
        <v>7</v>
      </c>
      <c r="HE733" s="27" t="s">
        <v>8</v>
      </c>
    </row>
    <row r="734" spans="1:348" x14ac:dyDescent="0.25">
      <c r="A734" s="7">
        <v>5.4422031704607354E-2</v>
      </c>
      <c r="B734"/>
      <c r="C734"/>
      <c r="D734"/>
      <c r="E734"/>
      <c r="F734" s="27" t="s">
        <v>7</v>
      </c>
      <c r="S734" s="27" t="s">
        <v>8</v>
      </c>
      <c r="AD734" s="27" t="s">
        <v>7</v>
      </c>
      <c r="AE734" s="27" t="s">
        <v>8</v>
      </c>
      <c r="AJ734" s="27" t="s">
        <v>7</v>
      </c>
      <c r="AL734" s="27" t="s">
        <v>7</v>
      </c>
      <c r="AM734" s="27" t="s">
        <v>8</v>
      </c>
      <c r="AN734" s="27" t="s">
        <v>7</v>
      </c>
      <c r="AO734" s="27" t="s">
        <v>8</v>
      </c>
      <c r="AP734" s="27" t="s">
        <v>7</v>
      </c>
      <c r="AU734" s="27" t="s">
        <v>8</v>
      </c>
      <c r="AW734" s="27" t="s">
        <v>8</v>
      </c>
      <c r="AX734" s="27" t="s">
        <v>7</v>
      </c>
      <c r="AY734" s="27" t="s">
        <v>8</v>
      </c>
      <c r="AZ734" s="27" t="s">
        <v>7</v>
      </c>
      <c r="BB734" s="27" t="s">
        <v>7</v>
      </c>
      <c r="BE734" s="27" t="s">
        <v>8</v>
      </c>
      <c r="BF734" s="27" t="s">
        <v>7</v>
      </c>
      <c r="BG734" s="27" t="s">
        <v>8</v>
      </c>
      <c r="BL734" s="27" t="s">
        <v>7</v>
      </c>
      <c r="BN734" s="27" t="s">
        <v>7</v>
      </c>
      <c r="BO734" s="27" t="s">
        <v>8</v>
      </c>
      <c r="BP734" s="27" t="s">
        <v>7</v>
      </c>
      <c r="CQ734" s="27" t="s">
        <v>8</v>
      </c>
      <c r="CR734" s="27" t="s">
        <v>7</v>
      </c>
      <c r="DS734" s="27" t="s">
        <v>8</v>
      </c>
      <c r="DT734" s="27" t="s">
        <v>7</v>
      </c>
      <c r="DW734" s="27" t="s">
        <v>8</v>
      </c>
      <c r="DX734" s="27" t="s">
        <v>7</v>
      </c>
      <c r="EE734" s="27" t="s">
        <v>8</v>
      </c>
      <c r="EF734" s="27" t="s">
        <v>7</v>
      </c>
      <c r="EK734" s="27" t="s">
        <v>8</v>
      </c>
      <c r="EL734" s="27" t="s">
        <v>7</v>
      </c>
      <c r="EM734" s="27" t="s">
        <v>8</v>
      </c>
      <c r="EN734" s="27" t="s">
        <v>7</v>
      </c>
      <c r="EO734" s="27" t="s">
        <v>8</v>
      </c>
      <c r="EP734" s="27" t="s">
        <v>7</v>
      </c>
      <c r="EQ734" s="27" t="s">
        <v>8</v>
      </c>
      <c r="ER734" s="27" t="s">
        <v>7</v>
      </c>
      <c r="ES734" s="27" t="s">
        <v>8</v>
      </c>
      <c r="HD734" s="27" t="s">
        <v>7</v>
      </c>
      <c r="HE734" s="27" t="s">
        <v>8</v>
      </c>
    </row>
    <row r="735" spans="1:348" x14ac:dyDescent="0.25">
      <c r="A735" s="7">
        <v>5.3354933043732705E-2</v>
      </c>
      <c r="B735"/>
      <c r="C735"/>
      <c r="D735"/>
      <c r="E735"/>
      <c r="F735" s="27" t="s">
        <v>7</v>
      </c>
      <c r="S735" s="27" t="s">
        <v>8</v>
      </c>
      <c r="AD735" s="27" t="s">
        <v>7</v>
      </c>
      <c r="AE735" s="27" t="s">
        <v>8</v>
      </c>
      <c r="AL735" s="27" t="s">
        <v>7</v>
      </c>
      <c r="AM735" s="27" t="s">
        <v>8</v>
      </c>
      <c r="AN735" s="27" t="s">
        <v>7</v>
      </c>
      <c r="AP735" s="27" t="s">
        <v>7</v>
      </c>
      <c r="AU735" s="27" t="s">
        <v>8</v>
      </c>
      <c r="AV735" s="27" t="s">
        <v>7</v>
      </c>
      <c r="AW735" s="27" t="s">
        <v>8</v>
      </c>
      <c r="AX735" s="27" t="s">
        <v>7</v>
      </c>
      <c r="BB735" s="27" t="s">
        <v>7</v>
      </c>
      <c r="BE735" s="27" t="s">
        <v>8</v>
      </c>
      <c r="BF735" s="27" t="s">
        <v>7</v>
      </c>
      <c r="BN735" s="27" t="s">
        <v>7</v>
      </c>
      <c r="BP735" s="27" t="s">
        <v>7</v>
      </c>
      <c r="BU735" s="27" t="s">
        <v>8</v>
      </c>
      <c r="CQ735" s="27" t="s">
        <v>8</v>
      </c>
      <c r="CR735" s="27" t="s">
        <v>7</v>
      </c>
      <c r="DS735" s="27" t="s">
        <v>8</v>
      </c>
      <c r="DT735" s="27" t="s">
        <v>7</v>
      </c>
      <c r="DW735" s="27" t="s">
        <v>8</v>
      </c>
      <c r="DX735" s="27" t="s">
        <v>7</v>
      </c>
      <c r="EE735" s="27" t="s">
        <v>8</v>
      </c>
      <c r="EF735" s="27" t="s">
        <v>7</v>
      </c>
      <c r="EK735" s="27" t="s">
        <v>8</v>
      </c>
      <c r="EL735" s="27" t="s">
        <v>7</v>
      </c>
      <c r="EM735" s="27" t="s">
        <v>8</v>
      </c>
      <c r="EN735" s="27" t="s">
        <v>7</v>
      </c>
      <c r="EO735" s="27" t="s">
        <v>8</v>
      </c>
      <c r="EP735" s="27" t="s">
        <v>7</v>
      </c>
      <c r="EQ735" s="27" t="s">
        <v>8</v>
      </c>
      <c r="ER735" s="27" t="s">
        <v>7</v>
      </c>
      <c r="HD735" s="27" t="s">
        <v>7</v>
      </c>
      <c r="HE735" s="27" t="s">
        <v>8</v>
      </c>
    </row>
    <row r="736" spans="1:348" x14ac:dyDescent="0.25">
      <c r="A736" s="7">
        <v>5.2308757886012455E-2</v>
      </c>
      <c r="B736"/>
      <c r="C736"/>
      <c r="D736"/>
      <c r="E736"/>
      <c r="F736" s="27" t="s">
        <v>7</v>
      </c>
      <c r="S736" s="27" t="s">
        <v>8</v>
      </c>
      <c r="AD736" s="27" t="s">
        <v>7</v>
      </c>
      <c r="AE736" s="27" t="s">
        <v>8</v>
      </c>
      <c r="AL736" s="27" t="s">
        <v>7</v>
      </c>
      <c r="AP736" s="27" t="s">
        <v>7</v>
      </c>
      <c r="AS736" s="27" t="s">
        <v>8</v>
      </c>
      <c r="AU736" s="27" t="s">
        <v>8</v>
      </c>
      <c r="AV736" s="27" t="s">
        <v>7</v>
      </c>
      <c r="AW736" s="27" t="s">
        <v>8</v>
      </c>
      <c r="BB736" s="27" t="s">
        <v>7</v>
      </c>
      <c r="BC736" s="27" t="s">
        <v>8</v>
      </c>
      <c r="BE736" s="27" t="s">
        <v>8</v>
      </c>
      <c r="BP736" s="27" t="s">
        <v>7</v>
      </c>
      <c r="BU736" s="27" t="s">
        <v>8</v>
      </c>
      <c r="BV736" s="27" t="s">
        <v>7</v>
      </c>
      <c r="CQ736" s="27" t="s">
        <v>8</v>
      </c>
      <c r="CR736" s="27" t="s">
        <v>7</v>
      </c>
      <c r="DS736" s="27" t="s">
        <v>8</v>
      </c>
      <c r="DT736" s="27" t="s">
        <v>7</v>
      </c>
      <c r="DW736" s="27" t="s">
        <v>8</v>
      </c>
      <c r="DX736" s="27" t="s">
        <v>7</v>
      </c>
      <c r="EE736" s="27" t="s">
        <v>8</v>
      </c>
      <c r="EF736" s="27" t="s">
        <v>7</v>
      </c>
      <c r="EK736" s="27" t="s">
        <v>8</v>
      </c>
      <c r="EL736" s="27" t="s">
        <v>7</v>
      </c>
      <c r="EM736" s="27" t="s">
        <v>8</v>
      </c>
      <c r="EN736" s="27" t="s">
        <v>7</v>
      </c>
      <c r="EO736" s="27" t="s">
        <v>8</v>
      </c>
      <c r="EP736" s="27" t="s">
        <v>7</v>
      </c>
      <c r="EQ736" s="27" t="s">
        <v>8</v>
      </c>
      <c r="HD736" s="27" t="s">
        <v>7</v>
      </c>
      <c r="HE736" s="27" t="s">
        <v>8</v>
      </c>
    </row>
    <row r="737" spans="1:213" x14ac:dyDescent="0.25">
      <c r="A737" s="7">
        <v>5.1283095966678877E-2</v>
      </c>
      <c r="B737"/>
      <c r="C737"/>
      <c r="D737"/>
      <c r="E737"/>
      <c r="F737" s="27" t="s">
        <v>7</v>
      </c>
      <c r="S737" s="27" t="s">
        <v>8</v>
      </c>
      <c r="AD737" s="27" t="s">
        <v>7</v>
      </c>
      <c r="AE737" s="27" t="s">
        <v>8</v>
      </c>
      <c r="AP737" s="27" t="s">
        <v>7</v>
      </c>
      <c r="AS737" s="27" t="s">
        <v>8</v>
      </c>
      <c r="AT737" s="27" t="s">
        <v>7</v>
      </c>
      <c r="AU737" s="27" t="s">
        <v>8</v>
      </c>
      <c r="AV737" s="27" t="s">
        <v>7</v>
      </c>
      <c r="AW737" s="27" t="s">
        <v>8</v>
      </c>
      <c r="BB737" s="27" t="s">
        <v>7</v>
      </c>
      <c r="BC737" s="27" t="s">
        <v>8</v>
      </c>
      <c r="BD737" s="27" t="s">
        <v>7</v>
      </c>
      <c r="BE737" s="27" t="s">
        <v>8</v>
      </c>
      <c r="BP737" s="27" t="s">
        <v>7</v>
      </c>
      <c r="BU737" s="27" t="s">
        <v>8</v>
      </c>
      <c r="BV737" s="27" t="s">
        <v>7</v>
      </c>
      <c r="CQ737" s="27" t="s">
        <v>8</v>
      </c>
      <c r="CR737" s="27" t="s">
        <v>7</v>
      </c>
      <c r="DS737" s="27" t="s">
        <v>8</v>
      </c>
      <c r="DT737" s="27" t="s">
        <v>7</v>
      </c>
      <c r="DW737" s="27" t="s">
        <v>8</v>
      </c>
      <c r="DX737" s="27" t="s">
        <v>7</v>
      </c>
      <c r="EE737" s="27" t="s">
        <v>8</v>
      </c>
      <c r="EF737" s="27" t="s">
        <v>7</v>
      </c>
      <c r="EK737" s="27" t="s">
        <v>8</v>
      </c>
      <c r="EL737" s="27" t="s">
        <v>7</v>
      </c>
      <c r="EM737" s="27" t="s">
        <v>8</v>
      </c>
      <c r="EN737" s="27" t="s">
        <v>7</v>
      </c>
      <c r="EO737" s="27" t="s">
        <v>8</v>
      </c>
      <c r="EP737" s="27" t="s">
        <v>7</v>
      </c>
      <c r="HD737" s="27" t="s">
        <v>7</v>
      </c>
      <c r="HE737" s="27" t="s">
        <v>8</v>
      </c>
    </row>
    <row r="738" spans="1:213" x14ac:dyDescent="0.25">
      <c r="A738" s="7">
        <v>5.0277545065371444E-2</v>
      </c>
      <c r="B738"/>
      <c r="C738"/>
      <c r="D738"/>
      <c r="E738"/>
      <c r="F738" s="27" t="s">
        <v>7</v>
      </c>
      <c r="Q738" s="27" t="s">
        <v>8</v>
      </c>
      <c r="S738" s="27" t="s">
        <v>8</v>
      </c>
      <c r="AD738" s="27" t="s">
        <v>7</v>
      </c>
      <c r="AP738" s="27" t="s">
        <v>7</v>
      </c>
      <c r="AS738" s="27" t="s">
        <v>8</v>
      </c>
      <c r="AT738" s="27" t="s">
        <v>7</v>
      </c>
      <c r="AU738" s="27" t="s">
        <v>8</v>
      </c>
      <c r="AV738" s="27" t="s">
        <v>7</v>
      </c>
      <c r="AW738" s="27" t="s">
        <v>8</v>
      </c>
      <c r="BB738" s="27" t="s">
        <v>7</v>
      </c>
      <c r="BC738" s="27" t="s">
        <v>8</v>
      </c>
      <c r="BD738" s="27" t="s">
        <v>7</v>
      </c>
      <c r="BE738" s="27" t="s">
        <v>8</v>
      </c>
      <c r="BP738" s="27" t="s">
        <v>7</v>
      </c>
      <c r="BU738" s="27" t="s">
        <v>8</v>
      </c>
      <c r="BV738" s="27" t="s">
        <v>7</v>
      </c>
      <c r="CQ738" s="27" t="s">
        <v>8</v>
      </c>
      <c r="CR738" s="27" t="s">
        <v>7</v>
      </c>
      <c r="DS738" s="27" t="s">
        <v>8</v>
      </c>
      <c r="DT738" s="27" t="s">
        <v>7</v>
      </c>
      <c r="DW738" s="27" t="s">
        <v>8</v>
      </c>
      <c r="DX738" s="27" t="s">
        <v>7</v>
      </c>
      <c r="EE738" s="27" t="s">
        <v>8</v>
      </c>
      <c r="EF738" s="27" t="s">
        <v>7</v>
      </c>
      <c r="EK738" s="27" t="s">
        <v>8</v>
      </c>
      <c r="EL738" s="27" t="s">
        <v>7</v>
      </c>
      <c r="EM738" s="27" t="s">
        <v>8</v>
      </c>
      <c r="EN738" s="27" t="s">
        <v>7</v>
      </c>
      <c r="EO738" s="27" t="s">
        <v>8</v>
      </c>
      <c r="HD738" s="27" t="s">
        <v>7</v>
      </c>
      <c r="HE738" s="27" t="s">
        <v>8</v>
      </c>
    </row>
    <row r="739" spans="1:213" x14ac:dyDescent="0.25">
      <c r="A739" s="7">
        <v>4.9291710848403378E-2</v>
      </c>
      <c r="B739"/>
      <c r="C739"/>
      <c r="D739"/>
      <c r="E739"/>
      <c r="F739" s="27" t="s">
        <v>7</v>
      </c>
      <c r="Q739" s="27" t="s">
        <v>8</v>
      </c>
      <c r="R739" s="27" t="s">
        <v>7</v>
      </c>
      <c r="S739" s="27" t="s">
        <v>8</v>
      </c>
      <c r="AP739" s="27" t="s">
        <v>7</v>
      </c>
      <c r="AS739" s="27" t="s">
        <v>8</v>
      </c>
      <c r="AT739" s="27" t="s">
        <v>7</v>
      </c>
      <c r="AU739" s="27" t="s">
        <v>8</v>
      </c>
      <c r="AV739" s="27" t="s">
        <v>7</v>
      </c>
      <c r="BB739" s="27" t="s">
        <v>7</v>
      </c>
      <c r="BC739" s="27" t="s">
        <v>8</v>
      </c>
      <c r="BD739" s="27" t="s">
        <v>7</v>
      </c>
      <c r="BE739" s="27" t="s">
        <v>8</v>
      </c>
      <c r="BP739" s="27" t="s">
        <v>7</v>
      </c>
      <c r="BU739" s="27" t="s">
        <v>8</v>
      </c>
      <c r="BV739" s="27" t="s">
        <v>7</v>
      </c>
      <c r="CQ739" s="27" t="s">
        <v>8</v>
      </c>
      <c r="CR739" s="27" t="s">
        <v>7</v>
      </c>
      <c r="DG739" s="27" t="s">
        <v>8</v>
      </c>
      <c r="DS739" s="27" t="s">
        <v>8</v>
      </c>
      <c r="DT739" s="27" t="s">
        <v>7</v>
      </c>
      <c r="DW739" s="27" t="s">
        <v>8</v>
      </c>
      <c r="DX739" s="27" t="s">
        <v>7</v>
      </c>
      <c r="EE739" s="27" t="s">
        <v>8</v>
      </c>
      <c r="EF739" s="27" t="s">
        <v>7</v>
      </c>
      <c r="EI739" s="27" t="s">
        <v>8</v>
      </c>
      <c r="EK739" s="27" t="s">
        <v>8</v>
      </c>
      <c r="EL739" s="27" t="s">
        <v>7</v>
      </c>
      <c r="EM739" s="27" t="s">
        <v>8</v>
      </c>
      <c r="EN739" s="27" t="s">
        <v>7</v>
      </c>
      <c r="EO739" s="27" t="s">
        <v>8</v>
      </c>
      <c r="HD739" s="27" t="s">
        <v>7</v>
      </c>
    </row>
    <row r="740" spans="1:213" x14ac:dyDescent="0.25">
      <c r="A740" s="7">
        <v>4.8325206714120959E-2</v>
      </c>
      <c r="B740"/>
      <c r="C740"/>
      <c r="D740"/>
      <c r="E740"/>
      <c r="F740" s="27" t="s">
        <v>7</v>
      </c>
      <c r="Q740" s="27" t="s">
        <v>8</v>
      </c>
      <c r="R740" s="27" t="s">
        <v>7</v>
      </c>
      <c r="S740" s="27" t="s">
        <v>8</v>
      </c>
      <c r="AP740" s="27" t="s">
        <v>7</v>
      </c>
      <c r="AS740" s="27" t="s">
        <v>8</v>
      </c>
      <c r="AT740" s="27" t="s">
        <v>7</v>
      </c>
      <c r="AU740" s="27" t="s">
        <v>8</v>
      </c>
      <c r="BB740" s="27" t="s">
        <v>7</v>
      </c>
      <c r="BD740" s="27" t="s">
        <v>7</v>
      </c>
      <c r="BE740" s="27" t="s">
        <v>8</v>
      </c>
      <c r="BP740" s="27" t="s">
        <v>7</v>
      </c>
      <c r="BU740" s="27" t="s">
        <v>8</v>
      </c>
      <c r="BV740" s="27" t="s">
        <v>7</v>
      </c>
      <c r="CQ740" s="27" t="s">
        <v>8</v>
      </c>
      <c r="CR740" s="27" t="s">
        <v>7</v>
      </c>
      <c r="DG740" s="27" t="s">
        <v>8</v>
      </c>
      <c r="DH740" s="27" t="s">
        <v>7</v>
      </c>
      <c r="DS740" s="27" t="s">
        <v>8</v>
      </c>
      <c r="DT740" s="27" t="s">
        <v>7</v>
      </c>
      <c r="DW740" s="27" t="s">
        <v>8</v>
      </c>
      <c r="DX740" s="27" t="s">
        <v>7</v>
      </c>
      <c r="EE740" s="27" t="s">
        <v>8</v>
      </c>
      <c r="EF740" s="27" t="s">
        <v>7</v>
      </c>
      <c r="EI740" s="27" t="s">
        <v>8</v>
      </c>
      <c r="EJ740" s="27" t="s">
        <v>7</v>
      </c>
      <c r="EK740" s="27" t="s">
        <v>8</v>
      </c>
      <c r="EL740" s="27" t="s">
        <v>7</v>
      </c>
      <c r="EM740" s="27" t="s">
        <v>8</v>
      </c>
      <c r="EN740" s="27" t="s">
        <v>7</v>
      </c>
      <c r="EO740" s="27" t="s">
        <v>8</v>
      </c>
    </row>
    <row r="741" spans="1:213" x14ac:dyDescent="0.25">
      <c r="A741" s="7">
        <v>4.7377653641295057E-2</v>
      </c>
      <c r="B741"/>
      <c r="C741"/>
      <c r="D741"/>
      <c r="E741"/>
      <c r="F741" s="27" t="s">
        <v>7</v>
      </c>
      <c r="Q741" s="27" t="s">
        <v>8</v>
      </c>
      <c r="R741" s="27" t="s">
        <v>7</v>
      </c>
      <c r="S741" s="27" t="s">
        <v>8</v>
      </c>
      <c r="AP741" s="27" t="s">
        <v>7</v>
      </c>
      <c r="AQ741" s="27" t="s">
        <v>8</v>
      </c>
      <c r="AS741" s="27" t="s">
        <v>8</v>
      </c>
      <c r="AT741" s="27" t="s">
        <v>7</v>
      </c>
      <c r="AU741" s="27" t="s">
        <v>8</v>
      </c>
      <c r="BD741" s="27" t="s">
        <v>7</v>
      </c>
      <c r="BE741" s="27" t="s">
        <v>8</v>
      </c>
      <c r="BP741" s="27" t="s">
        <v>7</v>
      </c>
      <c r="BU741" s="27" t="s">
        <v>8</v>
      </c>
      <c r="BV741" s="27" t="s">
        <v>7</v>
      </c>
      <c r="BW741" s="27" t="s">
        <v>8</v>
      </c>
      <c r="CI741" s="27" t="s">
        <v>8</v>
      </c>
      <c r="CK741" s="27" t="s">
        <v>8</v>
      </c>
      <c r="CQ741" s="27" t="s">
        <v>8</v>
      </c>
      <c r="CR741" s="27" t="s">
        <v>7</v>
      </c>
      <c r="CY741" s="27" t="s">
        <v>8</v>
      </c>
      <c r="DG741" s="27" t="s">
        <v>8</v>
      </c>
      <c r="DH741" s="27" t="s">
        <v>7</v>
      </c>
      <c r="DS741" s="27" t="s">
        <v>8</v>
      </c>
      <c r="DT741" s="27" t="s">
        <v>7</v>
      </c>
      <c r="DU741" s="27" t="s">
        <v>8</v>
      </c>
      <c r="DW741" s="27" t="s">
        <v>8</v>
      </c>
      <c r="DX741" s="27" t="s">
        <v>7</v>
      </c>
      <c r="EE741" s="27" t="s">
        <v>8</v>
      </c>
      <c r="EF741" s="27" t="s">
        <v>7</v>
      </c>
      <c r="EI741" s="27" t="s">
        <v>8</v>
      </c>
      <c r="EJ741" s="27" t="s">
        <v>7</v>
      </c>
      <c r="EK741" s="27" t="s">
        <v>8</v>
      </c>
      <c r="EL741" s="27" t="s">
        <v>7</v>
      </c>
      <c r="EM741" s="27" t="s">
        <v>8</v>
      </c>
      <c r="EN741" s="27" t="s">
        <v>7</v>
      </c>
      <c r="EO741" s="27" t="s">
        <v>8</v>
      </c>
    </row>
    <row r="742" spans="1:213" x14ac:dyDescent="0.25">
      <c r="A742" s="7">
        <v>4.644868004048535E-2</v>
      </c>
      <c r="B742"/>
      <c r="C742"/>
      <c r="D742"/>
      <c r="E742"/>
      <c r="F742" s="27" t="s">
        <v>7</v>
      </c>
      <c r="O742" s="27" t="s">
        <v>8</v>
      </c>
      <c r="Q742" s="27" t="s">
        <v>8</v>
      </c>
      <c r="R742" s="27" t="s">
        <v>7</v>
      </c>
      <c r="AP742" s="27" t="s">
        <v>7</v>
      </c>
      <c r="AQ742" s="27" t="s">
        <v>8</v>
      </c>
      <c r="AR742" s="27" t="s">
        <v>7</v>
      </c>
      <c r="AS742" s="27" t="s">
        <v>8</v>
      </c>
      <c r="AT742" s="27" t="s">
        <v>7</v>
      </c>
      <c r="BD742" s="27" t="s">
        <v>7</v>
      </c>
      <c r="BE742" s="27" t="s">
        <v>8</v>
      </c>
      <c r="BP742" s="27" t="s">
        <v>7</v>
      </c>
      <c r="BU742" s="27" t="s">
        <v>8</v>
      </c>
      <c r="BV742" s="27" t="s">
        <v>7</v>
      </c>
      <c r="BW742" s="27" t="s">
        <v>8</v>
      </c>
      <c r="BX742" s="27" t="s">
        <v>7</v>
      </c>
      <c r="CA742" s="27" t="s">
        <v>8</v>
      </c>
      <c r="CI742" s="27" t="s">
        <v>8</v>
      </c>
      <c r="CJ742" s="27" t="s">
        <v>7</v>
      </c>
      <c r="CK742" s="27" t="s">
        <v>8</v>
      </c>
      <c r="CL742" s="27" t="s">
        <v>7</v>
      </c>
      <c r="CQ742" s="27" t="s">
        <v>8</v>
      </c>
      <c r="CR742" s="27" t="s">
        <v>7</v>
      </c>
      <c r="CY742" s="27" t="s">
        <v>8</v>
      </c>
      <c r="CZ742" s="27" t="s">
        <v>7</v>
      </c>
      <c r="DG742" s="27" t="s">
        <v>8</v>
      </c>
      <c r="DH742" s="27" t="s">
        <v>7</v>
      </c>
      <c r="DI742" s="27" t="s">
        <v>8</v>
      </c>
      <c r="DS742" s="27" t="s">
        <v>8</v>
      </c>
      <c r="DT742" s="27" t="s">
        <v>7</v>
      </c>
      <c r="DU742" s="27" t="s">
        <v>8</v>
      </c>
      <c r="DV742" s="27" t="s">
        <v>7</v>
      </c>
      <c r="DW742" s="27" t="s">
        <v>8</v>
      </c>
      <c r="DX742" s="27" t="s">
        <v>7</v>
      </c>
      <c r="EE742" s="27" t="s">
        <v>8</v>
      </c>
      <c r="EF742" s="27" t="s">
        <v>7</v>
      </c>
      <c r="EG742" s="27" t="s">
        <v>8</v>
      </c>
      <c r="EI742" s="27" t="s">
        <v>8</v>
      </c>
      <c r="EJ742" s="27" t="s">
        <v>7</v>
      </c>
      <c r="EK742" s="27" t="s">
        <v>8</v>
      </c>
      <c r="EL742" s="27" t="s">
        <v>7</v>
      </c>
      <c r="EN742" s="27" t="s">
        <v>7</v>
      </c>
    </row>
    <row r="743" spans="1:213" x14ac:dyDescent="0.25">
      <c r="A743" s="7">
        <v>4.5537921608318974E-2</v>
      </c>
      <c r="B743"/>
      <c r="C743"/>
      <c r="D743"/>
      <c r="E743"/>
      <c r="F743" s="27" t="s">
        <v>7</v>
      </c>
      <c r="O743" s="27" t="s">
        <v>8</v>
      </c>
      <c r="P743" s="27" t="s">
        <v>7</v>
      </c>
      <c r="Q743" s="27" t="s">
        <v>8</v>
      </c>
      <c r="AP743" s="27" t="s">
        <v>7</v>
      </c>
      <c r="AQ743" s="27" t="s">
        <v>8</v>
      </c>
      <c r="AR743" s="27" t="s">
        <v>7</v>
      </c>
      <c r="AS743" s="27" t="s">
        <v>8</v>
      </c>
      <c r="BD743" s="27" t="s">
        <v>7</v>
      </c>
      <c r="BP743" s="27" t="s">
        <v>7</v>
      </c>
      <c r="BU743" s="27" t="s">
        <v>8</v>
      </c>
      <c r="BV743" s="27" t="s">
        <v>7</v>
      </c>
      <c r="BW743" s="27" t="s">
        <v>8</v>
      </c>
      <c r="BX743" s="27" t="s">
        <v>7</v>
      </c>
      <c r="BY743" s="27" t="s">
        <v>8</v>
      </c>
      <c r="CA743" s="27" t="s">
        <v>8</v>
      </c>
      <c r="CB743" s="27" t="s">
        <v>7</v>
      </c>
      <c r="CI743" s="27" t="s">
        <v>8</v>
      </c>
      <c r="CJ743" s="27" t="s">
        <v>7</v>
      </c>
      <c r="CK743" s="27" t="s">
        <v>8</v>
      </c>
      <c r="CL743" s="27" t="s">
        <v>7</v>
      </c>
      <c r="CQ743" s="27" t="s">
        <v>8</v>
      </c>
      <c r="CR743" s="27" t="s">
        <v>7</v>
      </c>
      <c r="CY743" s="27" t="s">
        <v>8</v>
      </c>
      <c r="CZ743" s="27" t="s">
        <v>7</v>
      </c>
      <c r="DC743" s="27" t="s">
        <v>8</v>
      </c>
      <c r="DG743" s="27" t="s">
        <v>8</v>
      </c>
      <c r="DH743" s="27" t="s">
        <v>7</v>
      </c>
      <c r="DI743" s="27" t="s">
        <v>8</v>
      </c>
      <c r="DJ743" s="27" t="s">
        <v>7</v>
      </c>
      <c r="DS743" s="27" t="s">
        <v>8</v>
      </c>
      <c r="DT743" s="27" t="s">
        <v>7</v>
      </c>
      <c r="DU743" s="27" t="s">
        <v>8</v>
      </c>
      <c r="DV743" s="27" t="s">
        <v>7</v>
      </c>
      <c r="DW743" s="27" t="s">
        <v>8</v>
      </c>
      <c r="DX743" s="27" t="s">
        <v>7</v>
      </c>
      <c r="EE743" s="27" t="s">
        <v>8</v>
      </c>
      <c r="EF743" s="27" t="s">
        <v>7</v>
      </c>
      <c r="EG743" s="27" t="s">
        <v>8</v>
      </c>
      <c r="EH743" s="27" t="s">
        <v>7</v>
      </c>
      <c r="EI743" s="27" t="s">
        <v>8</v>
      </c>
      <c r="EJ743" s="27" t="s">
        <v>7</v>
      </c>
      <c r="EK743" s="27" t="s">
        <v>8</v>
      </c>
    </row>
    <row r="744" spans="1:213" x14ac:dyDescent="0.25">
      <c r="A744" s="7">
        <v>4.4645021184626446E-2</v>
      </c>
      <c r="B744"/>
      <c r="C744"/>
      <c r="D744"/>
      <c r="E744"/>
      <c r="F744" s="27" t="s">
        <v>7</v>
      </c>
      <c r="G744" s="27" t="s">
        <v>8</v>
      </c>
      <c r="O744" s="27" t="s">
        <v>8</v>
      </c>
      <c r="P744" s="27" t="s">
        <v>7</v>
      </c>
      <c r="Q744" s="27" t="s">
        <v>8</v>
      </c>
      <c r="AP744" s="27" t="s">
        <v>7</v>
      </c>
      <c r="AR744" s="27" t="s">
        <v>7</v>
      </c>
      <c r="BP744" s="27" t="s">
        <v>7</v>
      </c>
      <c r="BU744" s="27" t="s">
        <v>8</v>
      </c>
      <c r="BV744" s="27" t="s">
        <v>7</v>
      </c>
      <c r="BW744" s="27" t="s">
        <v>8</v>
      </c>
      <c r="BX744" s="27" t="s">
        <v>7</v>
      </c>
      <c r="BY744" s="27" t="s">
        <v>8</v>
      </c>
      <c r="BZ744" s="27" t="s">
        <v>7</v>
      </c>
      <c r="CA744" s="27" t="s">
        <v>8</v>
      </c>
      <c r="CB744" s="27" t="s">
        <v>7</v>
      </c>
      <c r="CG744" s="27" t="s">
        <v>8</v>
      </c>
      <c r="CI744" s="27" t="s">
        <v>8</v>
      </c>
      <c r="CJ744" s="27" t="s">
        <v>7</v>
      </c>
      <c r="CK744" s="27" t="s">
        <v>8</v>
      </c>
      <c r="CL744" s="27" t="s">
        <v>7</v>
      </c>
      <c r="CQ744" s="27" t="s">
        <v>8</v>
      </c>
      <c r="CR744" s="27" t="s">
        <v>7</v>
      </c>
      <c r="CY744" s="27" t="s">
        <v>8</v>
      </c>
      <c r="CZ744" s="27" t="s">
        <v>7</v>
      </c>
      <c r="DC744" s="27" t="s">
        <v>8</v>
      </c>
      <c r="DD744" s="27" t="s">
        <v>7</v>
      </c>
      <c r="DE744" s="27" t="s">
        <v>8</v>
      </c>
      <c r="DG744" s="27" t="s">
        <v>8</v>
      </c>
      <c r="DH744" s="27" t="s">
        <v>7</v>
      </c>
      <c r="DI744" s="27" t="s">
        <v>8</v>
      </c>
      <c r="DJ744" s="27" t="s">
        <v>7</v>
      </c>
      <c r="DS744" s="27" t="s">
        <v>8</v>
      </c>
      <c r="DT744" s="27" t="s">
        <v>7</v>
      </c>
      <c r="DU744" s="27" t="s">
        <v>8</v>
      </c>
      <c r="DV744" s="27" t="s">
        <v>7</v>
      </c>
      <c r="DW744" s="27" t="s">
        <v>8</v>
      </c>
      <c r="DX744" s="27" t="s">
        <v>7</v>
      </c>
      <c r="EE744" s="27" t="s">
        <v>8</v>
      </c>
      <c r="EF744" s="27" t="s">
        <v>7</v>
      </c>
      <c r="EG744" s="27" t="s">
        <v>8</v>
      </c>
      <c r="EH744" s="27" t="s">
        <v>7</v>
      </c>
      <c r="EI744" s="27" t="s">
        <v>8</v>
      </c>
      <c r="EJ744" s="27" t="s">
        <v>7</v>
      </c>
      <c r="EK744" s="27" t="s">
        <v>8</v>
      </c>
    </row>
    <row r="745" spans="1:213" x14ac:dyDescent="0.25">
      <c r="A745" s="7">
        <v>4.3769628612378868E-2</v>
      </c>
      <c r="B745"/>
      <c r="C745"/>
      <c r="D745"/>
      <c r="E745"/>
      <c r="F745" s="27" t="s">
        <v>7</v>
      </c>
      <c r="G745" s="27" t="s">
        <v>8</v>
      </c>
      <c r="H745" s="27" t="s">
        <v>7</v>
      </c>
      <c r="O745" s="27" t="s">
        <v>8</v>
      </c>
      <c r="P745" s="27" t="s">
        <v>7</v>
      </c>
      <c r="Q745" s="27" t="s">
        <v>8</v>
      </c>
      <c r="BP745" s="27" t="s">
        <v>7</v>
      </c>
      <c r="BU745" s="27" t="s">
        <v>8</v>
      </c>
      <c r="BV745" s="27" t="s">
        <v>7</v>
      </c>
      <c r="BX745" s="27" t="s">
        <v>7</v>
      </c>
      <c r="BY745" s="27" t="s">
        <v>8</v>
      </c>
      <c r="BZ745" s="27" t="s">
        <v>7</v>
      </c>
      <c r="CA745" s="27" t="s">
        <v>8</v>
      </c>
      <c r="CB745" s="27" t="s">
        <v>7</v>
      </c>
      <c r="CG745" s="27" t="s">
        <v>8</v>
      </c>
      <c r="CH745" s="27" t="s">
        <v>7</v>
      </c>
      <c r="CI745" s="27" t="s">
        <v>8</v>
      </c>
      <c r="CJ745" s="27" t="s">
        <v>7</v>
      </c>
      <c r="CK745" s="27" t="s">
        <v>8</v>
      </c>
      <c r="CL745" s="27" t="s">
        <v>7</v>
      </c>
      <c r="CM745" s="27" t="s">
        <v>8</v>
      </c>
      <c r="CO745" s="27" t="s">
        <v>8</v>
      </c>
      <c r="CQ745" s="27" t="s">
        <v>8</v>
      </c>
      <c r="CR745" s="27" t="s">
        <v>7</v>
      </c>
      <c r="CY745" s="27" t="s">
        <v>8</v>
      </c>
      <c r="CZ745" s="27" t="s">
        <v>7</v>
      </c>
      <c r="DA745" s="27" t="s">
        <v>8</v>
      </c>
      <c r="DC745" s="27" t="s">
        <v>8</v>
      </c>
      <c r="DD745" s="27" t="s">
        <v>7</v>
      </c>
      <c r="DE745" s="27" t="s">
        <v>8</v>
      </c>
      <c r="DF745" s="27" t="s">
        <v>7</v>
      </c>
      <c r="DG745" s="27" t="s">
        <v>8</v>
      </c>
      <c r="DH745" s="27" t="s">
        <v>7</v>
      </c>
      <c r="DI745" s="27" t="s">
        <v>8</v>
      </c>
      <c r="DJ745" s="27" t="s">
        <v>7</v>
      </c>
      <c r="DK745" s="27" t="s">
        <v>8</v>
      </c>
      <c r="DQ745" s="27" t="s">
        <v>8</v>
      </c>
      <c r="DS745" s="27" t="s">
        <v>8</v>
      </c>
      <c r="DT745" s="27" t="s">
        <v>7</v>
      </c>
      <c r="DU745" s="27" t="s">
        <v>8</v>
      </c>
      <c r="DV745" s="27" t="s">
        <v>7</v>
      </c>
      <c r="DW745" s="27" t="s">
        <v>8</v>
      </c>
      <c r="DX745" s="27" t="s">
        <v>7</v>
      </c>
      <c r="EC745" s="27" t="s">
        <v>8</v>
      </c>
      <c r="EE745" s="27" t="s">
        <v>8</v>
      </c>
      <c r="EF745" s="27" t="s">
        <v>7</v>
      </c>
      <c r="EG745" s="27" t="s">
        <v>8</v>
      </c>
      <c r="EH745" s="27" t="s">
        <v>7</v>
      </c>
      <c r="EI745" s="27" t="s">
        <v>8</v>
      </c>
      <c r="EJ745" s="27" t="s">
        <v>7</v>
      </c>
      <c r="EK745" s="27" t="s">
        <v>8</v>
      </c>
    </row>
    <row r="746" spans="1:213" x14ac:dyDescent="0.25">
      <c r="A746" s="7">
        <v>4.2911400600371442E-2</v>
      </c>
      <c r="B746"/>
      <c r="C746"/>
      <c r="D746"/>
      <c r="E746"/>
      <c r="F746" s="27" t="s">
        <v>7</v>
      </c>
      <c r="G746" s="27" t="s">
        <v>8</v>
      </c>
      <c r="H746" s="27" t="s">
        <v>7</v>
      </c>
      <c r="O746" s="27" t="s">
        <v>8</v>
      </c>
      <c r="P746" s="27" t="s">
        <v>7</v>
      </c>
      <c r="BP746" s="27" t="s">
        <v>7</v>
      </c>
      <c r="BQ746" s="27" t="s">
        <v>8</v>
      </c>
      <c r="BU746" s="27" t="s">
        <v>8</v>
      </c>
      <c r="BX746" s="27" t="s">
        <v>7</v>
      </c>
      <c r="BY746" s="27" t="s">
        <v>8</v>
      </c>
      <c r="BZ746" s="27" t="s">
        <v>7</v>
      </c>
      <c r="CA746" s="27" t="s">
        <v>8</v>
      </c>
      <c r="CB746" s="27" t="s">
        <v>7</v>
      </c>
      <c r="CG746" s="27" t="s">
        <v>8</v>
      </c>
      <c r="CH746" s="27" t="s">
        <v>7</v>
      </c>
      <c r="CI746" s="27" t="s">
        <v>8</v>
      </c>
      <c r="CJ746" s="27" t="s">
        <v>7</v>
      </c>
      <c r="CK746" s="27" t="s">
        <v>8</v>
      </c>
      <c r="CL746" s="27" t="s">
        <v>7</v>
      </c>
      <c r="CM746" s="27" t="s">
        <v>8</v>
      </c>
      <c r="CN746" s="27" t="s">
        <v>7</v>
      </c>
      <c r="CO746" s="27" t="s">
        <v>8</v>
      </c>
      <c r="CP746" s="27" t="s">
        <v>7</v>
      </c>
      <c r="CQ746" s="27" t="s">
        <v>8</v>
      </c>
      <c r="CR746" s="27" t="s">
        <v>7</v>
      </c>
      <c r="CW746" s="27" t="s">
        <v>8</v>
      </c>
      <c r="CY746" s="27" t="s">
        <v>8</v>
      </c>
      <c r="CZ746" s="27" t="s">
        <v>7</v>
      </c>
      <c r="DA746" s="27" t="s">
        <v>8</v>
      </c>
      <c r="DB746" s="27" t="s">
        <v>7</v>
      </c>
      <c r="DC746" s="27" t="s">
        <v>8</v>
      </c>
      <c r="DD746" s="27" t="s">
        <v>7</v>
      </c>
      <c r="DE746" s="27" t="s">
        <v>8</v>
      </c>
      <c r="DF746" s="27" t="s">
        <v>7</v>
      </c>
      <c r="DG746" s="27" t="s">
        <v>8</v>
      </c>
      <c r="DH746" s="27" t="s">
        <v>7</v>
      </c>
      <c r="DI746" s="27" t="s">
        <v>8</v>
      </c>
      <c r="DJ746" s="27" t="s">
        <v>7</v>
      </c>
      <c r="DK746" s="27" t="s">
        <v>8</v>
      </c>
      <c r="DL746" s="27" t="s">
        <v>7</v>
      </c>
      <c r="DQ746" s="27" t="s">
        <v>8</v>
      </c>
      <c r="DR746" s="27" t="s">
        <v>7</v>
      </c>
      <c r="DS746" s="27" t="s">
        <v>8</v>
      </c>
      <c r="DT746" s="27" t="s">
        <v>7</v>
      </c>
      <c r="DU746" s="27" t="s">
        <v>8</v>
      </c>
      <c r="DV746" s="27" t="s">
        <v>7</v>
      </c>
      <c r="DW746" s="27" t="s">
        <v>8</v>
      </c>
      <c r="DX746" s="27" t="s">
        <v>7</v>
      </c>
      <c r="EA746" s="27" t="s">
        <v>8</v>
      </c>
      <c r="EC746" s="27" t="s">
        <v>8</v>
      </c>
      <c r="ED746" s="27" t="s">
        <v>7</v>
      </c>
      <c r="EE746" s="27" t="s">
        <v>8</v>
      </c>
      <c r="EF746" s="27" t="s">
        <v>7</v>
      </c>
      <c r="EG746" s="27" t="s">
        <v>8</v>
      </c>
      <c r="EH746" s="27" t="s">
        <v>7</v>
      </c>
      <c r="EI746" s="27" t="s">
        <v>8</v>
      </c>
      <c r="EJ746" s="27" t="s">
        <v>7</v>
      </c>
      <c r="EK746" s="27" t="s">
        <v>8</v>
      </c>
    </row>
    <row r="747" spans="1:213" x14ac:dyDescent="0.25">
      <c r="A747" s="7">
        <v>4.2070000588599457E-2</v>
      </c>
      <c r="B747"/>
      <c r="C747"/>
      <c r="D747"/>
      <c r="E747"/>
      <c r="F747" s="27" t="s">
        <v>7</v>
      </c>
      <c r="H747" s="27" t="s">
        <v>7</v>
      </c>
      <c r="K747" s="27" t="s">
        <v>8</v>
      </c>
      <c r="M747" s="27" t="s">
        <v>8</v>
      </c>
      <c r="O747" s="27" t="s">
        <v>8</v>
      </c>
      <c r="BP747" s="27" t="s">
        <v>7</v>
      </c>
      <c r="BQ747" s="27" t="s">
        <v>8</v>
      </c>
      <c r="BR747" s="27" t="s">
        <v>7</v>
      </c>
      <c r="BS747" s="27" t="s">
        <v>8</v>
      </c>
      <c r="BU747" s="27" t="s">
        <v>8</v>
      </c>
      <c r="BX747" s="27" t="s">
        <v>7</v>
      </c>
      <c r="BY747" s="27" t="s">
        <v>8</v>
      </c>
      <c r="BZ747" s="27" t="s">
        <v>7</v>
      </c>
      <c r="CA747" s="27" t="s">
        <v>8</v>
      </c>
      <c r="CB747" s="27" t="s">
        <v>7</v>
      </c>
      <c r="CE747" s="27" t="s">
        <v>8</v>
      </c>
      <c r="CG747" s="27" t="s">
        <v>8</v>
      </c>
      <c r="CH747" s="27" t="s">
        <v>7</v>
      </c>
      <c r="CI747" s="27" t="s">
        <v>8</v>
      </c>
      <c r="CJ747" s="27" t="s">
        <v>7</v>
      </c>
      <c r="CK747" s="27" t="s">
        <v>8</v>
      </c>
      <c r="CL747" s="27" t="s">
        <v>7</v>
      </c>
      <c r="CM747" s="27" t="s">
        <v>8</v>
      </c>
      <c r="CN747" s="27" t="s">
        <v>7</v>
      </c>
      <c r="CO747" s="27" t="s">
        <v>8</v>
      </c>
      <c r="CP747" s="27" t="s">
        <v>7</v>
      </c>
      <c r="CQ747" s="27" t="s">
        <v>8</v>
      </c>
      <c r="CR747" s="27" t="s">
        <v>7</v>
      </c>
      <c r="CW747" s="27" t="s">
        <v>8</v>
      </c>
      <c r="CX747" s="27" t="s">
        <v>7</v>
      </c>
      <c r="CY747" s="27" t="s">
        <v>8</v>
      </c>
      <c r="CZ747" s="27" t="s">
        <v>7</v>
      </c>
      <c r="DA747" s="27" t="s">
        <v>8</v>
      </c>
      <c r="DB747" s="27" t="s">
        <v>7</v>
      </c>
      <c r="DC747" s="27" t="s">
        <v>8</v>
      </c>
      <c r="DD747" s="27" t="s">
        <v>7</v>
      </c>
      <c r="DE747" s="27" t="s">
        <v>8</v>
      </c>
      <c r="DF747" s="27" t="s">
        <v>7</v>
      </c>
      <c r="DG747" s="27" t="s">
        <v>8</v>
      </c>
      <c r="DH747" s="27" t="s">
        <v>7</v>
      </c>
      <c r="DI747" s="27" t="s">
        <v>8</v>
      </c>
      <c r="DJ747" s="27" t="s">
        <v>7</v>
      </c>
      <c r="DK747" s="27" t="s">
        <v>8</v>
      </c>
      <c r="DL747" s="27" t="s">
        <v>7</v>
      </c>
      <c r="DM747" s="27" t="s">
        <v>8</v>
      </c>
      <c r="DQ747" s="27" t="s">
        <v>8</v>
      </c>
      <c r="DR747" s="27" t="s">
        <v>7</v>
      </c>
      <c r="DS747" s="27" t="s">
        <v>8</v>
      </c>
      <c r="DT747" s="27" t="s">
        <v>7</v>
      </c>
      <c r="DU747" s="27" t="s">
        <v>8</v>
      </c>
      <c r="DV747" s="27" t="s">
        <v>7</v>
      </c>
      <c r="DW747" s="27" t="s">
        <v>8</v>
      </c>
      <c r="DX747" s="27" t="s">
        <v>7</v>
      </c>
      <c r="EA747" s="27" t="s">
        <v>8</v>
      </c>
      <c r="EB747" s="27" t="s">
        <v>7</v>
      </c>
      <c r="EC747" s="27" t="s">
        <v>8</v>
      </c>
      <c r="ED747" s="27" t="s">
        <v>7</v>
      </c>
      <c r="EE747" s="27" t="s">
        <v>8</v>
      </c>
      <c r="EF747" s="27" t="s">
        <v>7</v>
      </c>
      <c r="EG747" s="27" t="s">
        <v>8</v>
      </c>
      <c r="EH747" s="27" t="s">
        <v>7</v>
      </c>
      <c r="EJ747" s="27" t="s">
        <v>7</v>
      </c>
    </row>
    <row r="748" spans="1:213" x14ac:dyDescent="0.25">
      <c r="A748" s="7">
        <v>4.1245098616273977E-2</v>
      </c>
      <c r="B748"/>
      <c r="C748"/>
      <c r="D748"/>
      <c r="E748"/>
      <c r="H748" s="27" t="s">
        <v>7</v>
      </c>
      <c r="I748" s="27" t="s">
        <v>8</v>
      </c>
      <c r="K748" s="27" t="s">
        <v>8</v>
      </c>
      <c r="L748" s="27" t="s">
        <v>7</v>
      </c>
      <c r="M748" s="27" t="s">
        <v>8</v>
      </c>
      <c r="N748" s="27" t="s">
        <v>7</v>
      </c>
      <c r="O748" s="27" t="s">
        <v>8</v>
      </c>
      <c r="BP748" s="27" t="s">
        <v>7</v>
      </c>
      <c r="BQ748" s="27" t="s">
        <v>8</v>
      </c>
      <c r="BR748" s="27" t="s">
        <v>7</v>
      </c>
      <c r="BS748" s="27" t="s">
        <v>8</v>
      </c>
      <c r="BT748" s="27" t="s">
        <v>7</v>
      </c>
      <c r="BU748" s="27" t="s">
        <v>8</v>
      </c>
      <c r="BX748" s="27" t="s">
        <v>7</v>
      </c>
      <c r="BY748" s="27" t="s">
        <v>8</v>
      </c>
      <c r="BZ748" s="27" t="s">
        <v>7</v>
      </c>
      <c r="CB748" s="27" t="s">
        <v>7</v>
      </c>
      <c r="CE748" s="27" t="s">
        <v>8</v>
      </c>
      <c r="CF748" s="27" t="s">
        <v>7</v>
      </c>
      <c r="CG748" s="27" t="s">
        <v>8</v>
      </c>
      <c r="CH748" s="27" t="s">
        <v>7</v>
      </c>
      <c r="CI748" s="27" t="s">
        <v>8</v>
      </c>
      <c r="CJ748" s="27" t="s">
        <v>7</v>
      </c>
      <c r="CK748" s="27" t="s">
        <v>8</v>
      </c>
      <c r="CL748" s="27" t="s">
        <v>7</v>
      </c>
      <c r="CN748" s="27" t="s">
        <v>7</v>
      </c>
      <c r="CO748" s="27" t="s">
        <v>8</v>
      </c>
      <c r="CP748" s="27" t="s">
        <v>7</v>
      </c>
      <c r="CR748" s="27" t="s">
        <v>7</v>
      </c>
      <c r="CW748" s="27" t="s">
        <v>8</v>
      </c>
      <c r="CX748" s="27" t="s">
        <v>7</v>
      </c>
      <c r="CY748" s="27" t="s">
        <v>8</v>
      </c>
      <c r="CZ748" s="27" t="s">
        <v>7</v>
      </c>
      <c r="DA748" s="27" t="s">
        <v>8</v>
      </c>
      <c r="DB748" s="27" t="s">
        <v>7</v>
      </c>
      <c r="DD748" s="27" t="s">
        <v>7</v>
      </c>
      <c r="DE748" s="27" t="s">
        <v>8</v>
      </c>
      <c r="DF748" s="27" t="s">
        <v>7</v>
      </c>
      <c r="DH748" s="27" t="s">
        <v>7</v>
      </c>
      <c r="DI748" s="27" t="s">
        <v>8</v>
      </c>
      <c r="DJ748" s="27" t="s">
        <v>7</v>
      </c>
      <c r="DL748" s="27" t="s">
        <v>7</v>
      </c>
      <c r="DM748" s="27" t="s">
        <v>8</v>
      </c>
      <c r="DN748" s="27" t="s">
        <v>7</v>
      </c>
      <c r="DQ748" s="27" t="s">
        <v>8</v>
      </c>
      <c r="DR748" s="27" t="s">
        <v>7</v>
      </c>
      <c r="DS748" s="27" t="s">
        <v>8</v>
      </c>
      <c r="DT748" s="27" t="s">
        <v>7</v>
      </c>
      <c r="DU748" s="27" t="s">
        <v>8</v>
      </c>
      <c r="DV748" s="27" t="s">
        <v>7</v>
      </c>
      <c r="DW748" s="27" t="s">
        <v>8</v>
      </c>
      <c r="DX748" s="27" t="s">
        <v>7</v>
      </c>
      <c r="EA748" s="27" t="s">
        <v>8</v>
      </c>
      <c r="EB748" s="27" t="s">
        <v>7</v>
      </c>
      <c r="EC748" s="27" t="s">
        <v>8</v>
      </c>
      <c r="ED748" s="27" t="s">
        <v>7</v>
      </c>
      <c r="EE748" s="27" t="s">
        <v>8</v>
      </c>
      <c r="EF748" s="27" t="s">
        <v>7</v>
      </c>
      <c r="EG748" s="27" t="s">
        <v>8</v>
      </c>
    </row>
    <row r="749" spans="1:213" x14ac:dyDescent="0.25">
      <c r="A749" s="7">
        <v>4.043637119242547E-2</v>
      </c>
      <c r="B749"/>
      <c r="C749"/>
      <c r="D749"/>
      <c r="E749"/>
      <c r="H749" s="27" t="s">
        <v>7</v>
      </c>
      <c r="I749" s="27" t="s">
        <v>8</v>
      </c>
      <c r="J749" s="27" t="s">
        <v>7</v>
      </c>
      <c r="K749" s="27" t="s">
        <v>8</v>
      </c>
      <c r="L749" s="27" t="s">
        <v>7</v>
      </c>
      <c r="M749" s="27" t="s">
        <v>8</v>
      </c>
      <c r="N749" s="27" t="s">
        <v>7</v>
      </c>
      <c r="O749" s="27" t="s">
        <v>8</v>
      </c>
      <c r="BP749" s="27" t="s">
        <v>7</v>
      </c>
      <c r="BQ749" s="27" t="s">
        <v>8</v>
      </c>
      <c r="BR749" s="27" t="s">
        <v>7</v>
      </c>
      <c r="BS749" s="27" t="s">
        <v>8</v>
      </c>
      <c r="BT749" s="27" t="s">
        <v>7</v>
      </c>
      <c r="BU749" s="27" t="s">
        <v>8</v>
      </c>
      <c r="BX749" s="27" t="s">
        <v>7</v>
      </c>
      <c r="CB749" s="27" t="s">
        <v>7</v>
      </c>
      <c r="CE749" s="27" t="s">
        <v>8</v>
      </c>
      <c r="CF749" s="27" t="s">
        <v>7</v>
      </c>
      <c r="CG749" s="27" t="s">
        <v>8</v>
      </c>
      <c r="CH749" s="27" t="s">
        <v>7</v>
      </c>
      <c r="CI749" s="27" t="s">
        <v>8</v>
      </c>
      <c r="CJ749" s="27" t="s">
        <v>7</v>
      </c>
      <c r="CN749" s="27" t="s">
        <v>7</v>
      </c>
      <c r="CO749" s="27" t="s">
        <v>8</v>
      </c>
      <c r="CR749" s="27" t="s">
        <v>7</v>
      </c>
      <c r="CW749" s="27" t="s">
        <v>8</v>
      </c>
      <c r="CX749" s="27" t="s">
        <v>7</v>
      </c>
      <c r="CY749" s="27" t="s">
        <v>8</v>
      </c>
      <c r="CZ749" s="27" t="s">
        <v>7</v>
      </c>
      <c r="DA749" s="27" t="s">
        <v>8</v>
      </c>
      <c r="DD749" s="27" t="s">
        <v>7</v>
      </c>
      <c r="DH749" s="27" t="s">
        <v>7</v>
      </c>
      <c r="DI749" s="27" t="s">
        <v>8</v>
      </c>
      <c r="DL749" s="27" t="s">
        <v>7</v>
      </c>
      <c r="DM749" s="27" t="s">
        <v>8</v>
      </c>
      <c r="DN749" s="27" t="s">
        <v>7</v>
      </c>
      <c r="DO749" s="27" t="s">
        <v>8</v>
      </c>
      <c r="DQ749" s="27" t="s">
        <v>8</v>
      </c>
      <c r="DR749" s="27" t="s">
        <v>7</v>
      </c>
      <c r="DS749" s="27" t="s">
        <v>8</v>
      </c>
      <c r="DT749" s="27" t="s">
        <v>7</v>
      </c>
      <c r="DU749" s="27" t="s">
        <v>8</v>
      </c>
      <c r="DV749" s="27" t="s">
        <v>7</v>
      </c>
      <c r="DW749" s="27" t="s">
        <v>8</v>
      </c>
      <c r="DX749" s="27" t="s">
        <v>7</v>
      </c>
      <c r="EA749" s="27" t="s">
        <v>8</v>
      </c>
      <c r="EB749" s="27" t="s">
        <v>7</v>
      </c>
      <c r="EC749" s="27" t="s">
        <v>8</v>
      </c>
      <c r="ED749" s="27" t="s">
        <v>7</v>
      </c>
      <c r="EE749" s="27" t="s">
        <v>8</v>
      </c>
      <c r="EF749" s="27" t="s">
        <v>7</v>
      </c>
      <c r="EG749" s="27" t="s">
        <v>8</v>
      </c>
    </row>
    <row r="750" spans="1:213" x14ac:dyDescent="0.25">
      <c r="A750" s="7">
        <v>3.9643501169044582E-2</v>
      </c>
      <c r="B750"/>
      <c r="C750"/>
      <c r="D750"/>
      <c r="E750"/>
      <c r="H750" s="27" t="s">
        <v>7</v>
      </c>
      <c r="I750" s="27" t="s">
        <v>8</v>
      </c>
      <c r="J750" s="27" t="s">
        <v>7</v>
      </c>
      <c r="K750" s="27" t="s">
        <v>8</v>
      </c>
      <c r="L750" s="27" t="s">
        <v>7</v>
      </c>
      <c r="M750" s="27" t="s">
        <v>8</v>
      </c>
      <c r="N750" s="27" t="s">
        <v>7</v>
      </c>
      <c r="O750" s="27" t="s">
        <v>8</v>
      </c>
      <c r="BP750" s="27" t="s">
        <v>7</v>
      </c>
      <c r="BQ750" s="27" t="s">
        <v>8</v>
      </c>
      <c r="BR750" s="27" t="s">
        <v>7</v>
      </c>
      <c r="BS750" s="27" t="s">
        <v>8</v>
      </c>
      <c r="BT750" s="27" t="s">
        <v>7</v>
      </c>
      <c r="BU750" s="27" t="s">
        <v>8</v>
      </c>
      <c r="CB750" s="27" t="s">
        <v>7</v>
      </c>
      <c r="CE750" s="27" t="s">
        <v>8</v>
      </c>
      <c r="CF750" s="27" t="s">
        <v>7</v>
      </c>
      <c r="CG750" s="27" t="s">
        <v>8</v>
      </c>
      <c r="CH750" s="27" t="s">
        <v>7</v>
      </c>
      <c r="CI750" s="27" t="s">
        <v>8</v>
      </c>
      <c r="CN750" s="27" t="s">
        <v>7</v>
      </c>
      <c r="CR750" s="27" t="s">
        <v>7</v>
      </c>
      <c r="CU750" s="27" t="s">
        <v>8</v>
      </c>
      <c r="CW750" s="27" t="s">
        <v>8</v>
      </c>
      <c r="CX750" s="27" t="s">
        <v>7</v>
      </c>
      <c r="CY750" s="27" t="s">
        <v>8</v>
      </c>
      <c r="CZ750" s="27" t="s">
        <v>7</v>
      </c>
      <c r="DH750" s="27" t="s">
        <v>7</v>
      </c>
      <c r="DI750" s="27" t="s">
        <v>8</v>
      </c>
      <c r="DL750" s="27" t="s">
        <v>7</v>
      </c>
      <c r="DN750" s="27" t="s">
        <v>7</v>
      </c>
      <c r="DO750" s="27" t="s">
        <v>8</v>
      </c>
      <c r="DP750" s="27" t="s">
        <v>7</v>
      </c>
      <c r="DQ750" s="27" t="s">
        <v>8</v>
      </c>
      <c r="DR750" s="27" t="s">
        <v>7</v>
      </c>
      <c r="DS750" s="27" t="s">
        <v>8</v>
      </c>
      <c r="DT750" s="27" t="s">
        <v>7</v>
      </c>
      <c r="DU750" s="27" t="s">
        <v>8</v>
      </c>
      <c r="DV750" s="27" t="s">
        <v>7</v>
      </c>
      <c r="DW750" s="27" t="s">
        <v>8</v>
      </c>
      <c r="DX750" s="27" t="s">
        <v>7</v>
      </c>
      <c r="EA750" s="27" t="s">
        <v>8</v>
      </c>
      <c r="EB750" s="27" t="s">
        <v>7</v>
      </c>
      <c r="EC750" s="27" t="s">
        <v>8</v>
      </c>
      <c r="ED750" s="27" t="s">
        <v>7</v>
      </c>
      <c r="EE750" s="27" t="s">
        <v>8</v>
      </c>
      <c r="EF750" s="27" t="s">
        <v>7</v>
      </c>
      <c r="EG750" s="27" t="s">
        <v>8</v>
      </c>
    </row>
    <row r="751" spans="1:213" x14ac:dyDescent="0.25">
      <c r="A751" s="7">
        <v>3.8866177616710372E-2</v>
      </c>
      <c r="B751"/>
      <c r="C751"/>
      <c r="D751"/>
      <c r="E751"/>
      <c r="H751" s="27" t="s">
        <v>7</v>
      </c>
      <c r="I751" s="27" t="s">
        <v>8</v>
      </c>
      <c r="J751" s="27" t="s">
        <v>7</v>
      </c>
      <c r="K751" s="27" t="s">
        <v>8</v>
      </c>
      <c r="L751" s="27" t="s">
        <v>7</v>
      </c>
      <c r="M751" s="27" t="s">
        <v>8</v>
      </c>
      <c r="N751" s="27" t="s">
        <v>7</v>
      </c>
      <c r="O751" s="27" t="s">
        <v>8</v>
      </c>
      <c r="BP751" s="27" t="s">
        <v>7</v>
      </c>
      <c r="BQ751" s="27" t="s">
        <v>8</v>
      </c>
      <c r="BR751" s="27" t="s">
        <v>7</v>
      </c>
      <c r="BS751" s="27" t="s">
        <v>8</v>
      </c>
      <c r="BT751" s="27" t="s">
        <v>7</v>
      </c>
      <c r="BU751" s="27" t="s">
        <v>8</v>
      </c>
      <c r="CB751" s="27" t="s">
        <v>7</v>
      </c>
      <c r="CE751" s="27" t="s">
        <v>8</v>
      </c>
      <c r="CF751" s="27" t="s">
        <v>7</v>
      </c>
      <c r="CH751" s="27" t="s">
        <v>7</v>
      </c>
      <c r="CR751" s="27" t="s">
        <v>7</v>
      </c>
      <c r="CU751" s="27" t="s">
        <v>8</v>
      </c>
      <c r="CV751" s="27" t="s">
        <v>7</v>
      </c>
      <c r="CW751" s="27" t="s">
        <v>8</v>
      </c>
      <c r="CX751" s="27" t="s">
        <v>7</v>
      </c>
      <c r="CY751" s="27" t="s">
        <v>8</v>
      </c>
      <c r="DH751" s="27" t="s">
        <v>7</v>
      </c>
      <c r="DI751" s="27" t="s">
        <v>8</v>
      </c>
      <c r="DN751" s="27" t="s">
        <v>7</v>
      </c>
      <c r="DO751" s="27" t="s">
        <v>8</v>
      </c>
      <c r="DP751" s="27" t="s">
        <v>7</v>
      </c>
      <c r="DQ751" s="27" t="s">
        <v>8</v>
      </c>
      <c r="DR751" s="27" t="s">
        <v>7</v>
      </c>
      <c r="DT751" s="27" t="s">
        <v>7</v>
      </c>
      <c r="DU751" s="27" t="s">
        <v>8</v>
      </c>
      <c r="DV751" s="27" t="s">
        <v>7</v>
      </c>
      <c r="DW751" s="27" t="s">
        <v>8</v>
      </c>
      <c r="DX751" s="27" t="s">
        <v>7</v>
      </c>
      <c r="DY751" s="27" t="s">
        <v>8</v>
      </c>
      <c r="EA751" s="27" t="s">
        <v>8</v>
      </c>
      <c r="EB751" s="27" t="s">
        <v>7</v>
      </c>
      <c r="EC751" s="27" t="s">
        <v>8</v>
      </c>
      <c r="ED751" s="27" t="s">
        <v>7</v>
      </c>
      <c r="EE751" s="27" t="s">
        <v>8</v>
      </c>
      <c r="EF751" s="27" t="s">
        <v>7</v>
      </c>
      <c r="EG751" s="27" t="s">
        <v>8</v>
      </c>
    </row>
    <row r="752" spans="1:213" x14ac:dyDescent="0.25">
      <c r="A752" s="7">
        <v>3.8104095702657229E-2</v>
      </c>
      <c r="B752"/>
      <c r="C752"/>
      <c r="D752"/>
      <c r="E752"/>
      <c r="H752" s="27" t="s">
        <v>7</v>
      </c>
      <c r="I752" s="27" t="s">
        <v>8</v>
      </c>
      <c r="J752" s="27" t="s">
        <v>7</v>
      </c>
      <c r="K752" s="27" t="s">
        <v>8</v>
      </c>
      <c r="L752" s="27" t="s">
        <v>7</v>
      </c>
      <c r="M752" s="27" t="s">
        <v>8</v>
      </c>
      <c r="N752" s="27" t="s">
        <v>7</v>
      </c>
      <c r="O752" s="27" t="s">
        <v>8</v>
      </c>
      <c r="BP752" s="27" t="s">
        <v>7</v>
      </c>
      <c r="BQ752" s="27" t="s">
        <v>8</v>
      </c>
      <c r="BR752" s="27" t="s">
        <v>7</v>
      </c>
      <c r="BT752" s="27" t="s">
        <v>7</v>
      </c>
      <c r="BU752" s="27" t="s">
        <v>8</v>
      </c>
      <c r="CB752" s="27" t="s">
        <v>7</v>
      </c>
      <c r="CC752" s="27" t="s">
        <v>8</v>
      </c>
      <c r="CE752" s="27" t="s">
        <v>8</v>
      </c>
      <c r="CR752" s="27" t="s">
        <v>7</v>
      </c>
      <c r="CU752" s="27" t="s">
        <v>8</v>
      </c>
      <c r="CV752" s="27" t="s">
        <v>7</v>
      </c>
      <c r="CW752" s="27" t="s">
        <v>8</v>
      </c>
      <c r="CX752" s="27" t="s">
        <v>7</v>
      </c>
      <c r="CY752" s="27" t="s">
        <v>8</v>
      </c>
      <c r="DH752" s="27" t="s">
        <v>7</v>
      </c>
      <c r="DI752" s="27" t="s">
        <v>8</v>
      </c>
      <c r="DN752" s="27" t="s">
        <v>7</v>
      </c>
      <c r="DO752" s="27" t="s">
        <v>8</v>
      </c>
      <c r="DP752" s="27" t="s">
        <v>7</v>
      </c>
      <c r="DT752" s="27" t="s">
        <v>7</v>
      </c>
      <c r="DU752" s="27" t="s">
        <v>8</v>
      </c>
      <c r="DV752" s="27" t="s">
        <v>7</v>
      </c>
      <c r="DW752" s="27" t="s">
        <v>8</v>
      </c>
      <c r="DX752" s="27" t="s">
        <v>7</v>
      </c>
      <c r="DY752" s="27" t="s">
        <v>8</v>
      </c>
      <c r="DZ752" s="27" t="s">
        <v>7</v>
      </c>
      <c r="EA752" s="27" t="s">
        <v>8</v>
      </c>
      <c r="EB752" s="27" t="s">
        <v>7</v>
      </c>
      <c r="EC752" s="27" t="s">
        <v>8</v>
      </c>
      <c r="ED752" s="27" t="s">
        <v>7</v>
      </c>
      <c r="EF752" s="27" t="s">
        <v>7</v>
      </c>
      <c r="EG752" s="27" t="s">
        <v>8</v>
      </c>
    </row>
    <row r="753" spans="1:136" x14ac:dyDescent="0.25">
      <c r="A753" s="7">
        <v>3.7356956571232579E-2</v>
      </c>
      <c r="B753"/>
      <c r="C753"/>
      <c r="D753"/>
      <c r="E753"/>
      <c r="H753" s="27" t="s">
        <v>7</v>
      </c>
      <c r="I753" s="27" t="s">
        <v>8</v>
      </c>
      <c r="J753" s="27" t="s">
        <v>7</v>
      </c>
      <c r="K753" s="27" t="s">
        <v>8</v>
      </c>
      <c r="L753" s="27" t="s">
        <v>7</v>
      </c>
      <c r="N753" s="27" t="s">
        <v>7</v>
      </c>
      <c r="BP753" s="27" t="s">
        <v>7</v>
      </c>
      <c r="BQ753" s="27" t="s">
        <v>8</v>
      </c>
      <c r="BT753" s="27" t="s">
        <v>7</v>
      </c>
      <c r="CB753" s="27" t="s">
        <v>7</v>
      </c>
      <c r="CC753" s="27" t="s">
        <v>8</v>
      </c>
      <c r="CD753" s="27" t="s">
        <v>7</v>
      </c>
      <c r="CE753" s="27" t="s">
        <v>8</v>
      </c>
      <c r="CR753" s="27" t="s">
        <v>7</v>
      </c>
      <c r="CS753" s="27" t="s">
        <v>8</v>
      </c>
      <c r="CU753" s="27" t="s">
        <v>8</v>
      </c>
      <c r="CV753" s="27" t="s">
        <v>7</v>
      </c>
      <c r="CW753" s="27" t="s">
        <v>8</v>
      </c>
      <c r="CX753" s="27" t="s">
        <v>7</v>
      </c>
      <c r="DH753" s="27" t="s">
        <v>7</v>
      </c>
      <c r="DI753" s="27" t="s">
        <v>8</v>
      </c>
      <c r="DN753" s="27" t="s">
        <v>7</v>
      </c>
      <c r="DT753" s="27" t="s">
        <v>7</v>
      </c>
      <c r="DU753" s="27" t="s">
        <v>8</v>
      </c>
      <c r="DV753" s="27" t="s">
        <v>7</v>
      </c>
      <c r="DW753" s="27" t="s">
        <v>8</v>
      </c>
      <c r="DX753" s="27" t="s">
        <v>7</v>
      </c>
      <c r="DY753" s="27" t="s">
        <v>8</v>
      </c>
      <c r="DZ753" s="27" t="s">
        <v>7</v>
      </c>
      <c r="EA753" s="27" t="s">
        <v>8</v>
      </c>
      <c r="EB753" s="27" t="s">
        <v>7</v>
      </c>
      <c r="EF753" s="27" t="s">
        <v>7</v>
      </c>
    </row>
    <row r="754" spans="1:136" x14ac:dyDescent="0.25">
      <c r="A754" s="7">
        <v>3.6624467226698605E-2</v>
      </c>
      <c r="B754"/>
      <c r="C754"/>
      <c r="D754"/>
      <c r="E754"/>
      <c r="H754" s="27" t="s">
        <v>7</v>
      </c>
      <c r="J754" s="27" t="s">
        <v>7</v>
      </c>
      <c r="BP754" s="27" t="s">
        <v>7</v>
      </c>
      <c r="CB754" s="27" t="s">
        <v>7</v>
      </c>
      <c r="CC754" s="27" t="s">
        <v>8</v>
      </c>
      <c r="CD754" s="27" t="s">
        <v>7</v>
      </c>
      <c r="CE754" s="27" t="s">
        <v>8</v>
      </c>
      <c r="CR754" s="27" t="s">
        <v>7</v>
      </c>
      <c r="CS754" s="27" t="s">
        <v>8</v>
      </c>
      <c r="CT754" s="27" t="s">
        <v>7</v>
      </c>
      <c r="CU754" s="27" t="s">
        <v>8</v>
      </c>
      <c r="CV754" s="27" t="s">
        <v>7</v>
      </c>
      <c r="CW754" s="27" t="s">
        <v>8</v>
      </c>
      <c r="DH754" s="27" t="s">
        <v>7</v>
      </c>
      <c r="DI754" s="27" t="s">
        <v>8</v>
      </c>
      <c r="DT754" s="27" t="s">
        <v>7</v>
      </c>
      <c r="DV754" s="27" t="s">
        <v>7</v>
      </c>
      <c r="DW754" s="27" t="s">
        <v>8</v>
      </c>
      <c r="DX754" s="27" t="s">
        <v>7</v>
      </c>
      <c r="DZ754" s="27" t="s">
        <v>7</v>
      </c>
    </row>
    <row r="755" spans="1:136" x14ac:dyDescent="0.25">
      <c r="A755" s="7">
        <v>3.5906340418331961E-2</v>
      </c>
      <c r="B755"/>
      <c r="C755"/>
      <c r="D755"/>
      <c r="E755"/>
      <c r="CB755" s="27" t="s">
        <v>7</v>
      </c>
      <c r="CC755" s="27" t="s">
        <v>8</v>
      </c>
      <c r="CD755" s="27" t="s">
        <v>7</v>
      </c>
      <c r="CE755" s="27" t="s">
        <v>8</v>
      </c>
      <c r="CR755" s="27" t="s">
        <v>7</v>
      </c>
      <c r="CS755" s="27" t="s">
        <v>8</v>
      </c>
      <c r="CT755" s="27" t="s">
        <v>7</v>
      </c>
      <c r="CU755" s="27" t="s">
        <v>8</v>
      </c>
      <c r="CV755" s="27" t="s">
        <v>7</v>
      </c>
      <c r="DH755" s="27" t="s">
        <v>7</v>
      </c>
      <c r="DV755" s="27" t="s">
        <v>7</v>
      </c>
      <c r="DW755" s="27" t="s">
        <v>8</v>
      </c>
    </row>
    <row r="756" spans="1:136" x14ac:dyDescent="0.25">
      <c r="A756" s="7">
        <v>3.5202294527776436E-2</v>
      </c>
      <c r="B756"/>
      <c r="C756"/>
      <c r="D756"/>
      <c r="E756"/>
      <c r="CB756" s="27" t="s">
        <v>7</v>
      </c>
      <c r="CC756" s="27" t="s">
        <v>8</v>
      </c>
      <c r="CD756" s="27" t="s">
        <v>7</v>
      </c>
      <c r="CR756" s="27" t="s">
        <v>7</v>
      </c>
      <c r="CS756" s="27" t="s">
        <v>8</v>
      </c>
      <c r="CT756" s="27" t="s">
        <v>7</v>
      </c>
      <c r="CU756" s="27" t="s">
        <v>8</v>
      </c>
      <c r="DV756" s="27" t="s">
        <v>7</v>
      </c>
      <c r="DW756" s="27" t="s">
        <v>8</v>
      </c>
    </row>
    <row r="757" spans="1:136" x14ac:dyDescent="0.25">
      <c r="A757" s="7">
        <v>3.451205345860435E-2</v>
      </c>
      <c r="B757"/>
      <c r="C757"/>
      <c r="D757"/>
      <c r="E757"/>
      <c r="CB757" s="27" t="s">
        <v>7</v>
      </c>
      <c r="CC757" s="27" t="s">
        <v>8</v>
      </c>
      <c r="CR757" s="27" t="s">
        <v>7</v>
      </c>
      <c r="CT757" s="27" t="s">
        <v>7</v>
      </c>
      <c r="CU757" s="27" t="s">
        <v>8</v>
      </c>
      <c r="DV757" s="27" t="s">
        <v>7</v>
      </c>
    </row>
    <row r="758" spans="1:136" x14ac:dyDescent="0.25">
      <c r="A758" s="7">
        <v>3.3835346528043479E-2</v>
      </c>
      <c r="B758"/>
      <c r="C758"/>
      <c r="D758"/>
      <c r="E758"/>
      <c r="CB758" s="27" t="s">
        <v>7</v>
      </c>
      <c r="CC758" s="27" t="s">
        <v>8</v>
      </c>
      <c r="CT758" s="27" t="s">
        <v>7</v>
      </c>
      <c r="CU758" s="27" t="s">
        <v>8</v>
      </c>
    </row>
    <row r="759" spans="1:136" x14ac:dyDescent="0.25">
      <c r="A759" s="7">
        <v>3.3171908360826938E-2</v>
      </c>
      <c r="B759"/>
      <c r="C759"/>
      <c r="D759"/>
      <c r="E759"/>
      <c r="CB759" s="27" t="s">
        <v>7</v>
      </c>
      <c r="CC759" s="27" t="s">
        <v>8</v>
      </c>
      <c r="CT759" s="27" t="s">
        <v>7</v>
      </c>
      <c r="CU759" s="27" t="s">
        <v>8</v>
      </c>
    </row>
    <row r="760" spans="1:136" x14ac:dyDescent="0.25">
      <c r="A760" s="7">
        <v>3.2521478785124451E-2</v>
      </c>
      <c r="B760"/>
      <c r="C760"/>
      <c r="D760"/>
      <c r="E760"/>
      <c r="CB760" s="27" t="s">
        <v>7</v>
      </c>
      <c r="CT760" s="27" t="s">
        <v>7</v>
      </c>
      <c r="CU760" s="27" t="s">
        <v>8</v>
      </c>
    </row>
    <row r="761" spans="1:136" x14ac:dyDescent="0.25">
      <c r="A761" s="7">
        <v>3.1883802730514173E-2</v>
      </c>
      <c r="B761"/>
      <c r="C761"/>
      <c r="D761"/>
      <c r="E761"/>
      <c r="CT761" s="27" t="s">
        <v>7</v>
      </c>
      <c r="CU761" s="27" t="s">
        <v>8</v>
      </c>
    </row>
    <row r="762" spans="1:136" x14ac:dyDescent="0.25">
      <c r="A762" s="7">
        <v>3.1258630127955073E-2</v>
      </c>
      <c r="B762"/>
      <c r="C762"/>
      <c r="D762"/>
      <c r="E762"/>
      <c r="CT762" s="27" t="s">
        <v>7</v>
      </c>
    </row>
    <row r="763" spans="1:136" x14ac:dyDescent="0.25">
      <c r="A763" s="7">
        <v>3.064571581172066E-2</v>
      </c>
      <c r="B763"/>
      <c r="C763"/>
      <c r="D763"/>
      <c r="E763"/>
    </row>
    <row r="764" spans="1:136" x14ac:dyDescent="0.25">
      <c r="A764" s="7">
        <v>3.0044819423255549E-2</v>
      </c>
      <c r="B764"/>
      <c r="C764"/>
      <c r="D764"/>
      <c r="E764"/>
    </row>
    <row r="765" spans="1:136" x14ac:dyDescent="0.25">
      <c r="A765" s="7">
        <v>2.9455705316917203E-2</v>
      </c>
      <c r="B765"/>
      <c r="C765"/>
      <c r="D765"/>
      <c r="E765"/>
    </row>
    <row r="766" spans="1:136" x14ac:dyDescent="0.25">
      <c r="A766" s="7">
        <v>2.8878142467565884E-2</v>
      </c>
      <c r="B766"/>
      <c r="C766"/>
      <c r="D766"/>
      <c r="E766"/>
    </row>
    <row r="767" spans="1:136" x14ac:dyDescent="0.25">
      <c r="A767" s="7">
        <v>2.8311904379966554E-2</v>
      </c>
      <c r="B767"/>
      <c r="C767"/>
      <c r="D767"/>
      <c r="E767"/>
    </row>
    <row r="768" spans="1:136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066" operator="equal">
      <formula>$U$1</formula>
    </cfRule>
    <cfRule type="cellIs" dxfId="89" priority="1067" operator="equal">
      <formula>$S$1</formula>
    </cfRule>
  </conditionalFormatting>
  <conditionalFormatting sqref="D27">
    <cfRule type="cellIs" dxfId="88" priority="1064" operator="equal">
      <formula>$S$1</formula>
    </cfRule>
    <cfRule type="cellIs" dxfId="87" priority="1065" operator="equal">
      <formula>$U$1</formula>
    </cfRule>
  </conditionalFormatting>
  <conditionalFormatting sqref="C164">
    <cfRule type="cellIs" dxfId="86" priority="1062" operator="equal">
      <formula>$U$1</formula>
    </cfRule>
    <cfRule type="cellIs" dxfId="85" priority="1063" operator="equal">
      <formula>$S$1</formula>
    </cfRule>
  </conditionalFormatting>
  <conditionalFormatting sqref="D164">
    <cfRule type="cellIs" dxfId="84" priority="1060" operator="equal">
      <formula>$S$1</formula>
    </cfRule>
    <cfRule type="cellIs" dxfId="83" priority="1061" operator="equal">
      <formula>$U$1</formula>
    </cfRule>
  </conditionalFormatting>
  <conditionalFormatting sqref="C55">
    <cfRule type="cellIs" dxfId="82" priority="1058" operator="equal">
      <formula>$U$1</formula>
    </cfRule>
    <cfRule type="cellIs" dxfId="81" priority="1059" operator="equal">
      <formula>$S$1</formula>
    </cfRule>
  </conditionalFormatting>
  <conditionalFormatting sqref="D55">
    <cfRule type="cellIs" dxfId="80" priority="1056" operator="equal">
      <formula>$S$1</formula>
    </cfRule>
    <cfRule type="cellIs" dxfId="79" priority="1057" operator="equal">
      <formula>$U$1</formula>
    </cfRule>
  </conditionalFormatting>
  <conditionalFormatting sqref="C89">
    <cfRule type="cellIs" dxfId="78" priority="1054" operator="equal">
      <formula>$U$1</formula>
    </cfRule>
    <cfRule type="cellIs" dxfId="77" priority="1055" operator="equal">
      <formula>$S$1</formula>
    </cfRule>
  </conditionalFormatting>
  <conditionalFormatting sqref="D89">
    <cfRule type="cellIs" dxfId="76" priority="1052" operator="equal">
      <formula>$S$1</formula>
    </cfRule>
    <cfRule type="cellIs" dxfId="75" priority="1053" operator="equal">
      <formula>$U$1</formula>
    </cfRule>
  </conditionalFormatting>
  <conditionalFormatting sqref="C136">
    <cfRule type="cellIs" dxfId="74" priority="1050" operator="equal">
      <formula>$U$1</formula>
    </cfRule>
    <cfRule type="cellIs" dxfId="73" priority="1051" operator="equal">
      <formula>$S$1</formula>
    </cfRule>
  </conditionalFormatting>
  <conditionalFormatting sqref="D136">
    <cfRule type="cellIs" dxfId="72" priority="1048" operator="equal">
      <formula>$S$1</formula>
    </cfRule>
    <cfRule type="cellIs" dxfId="71" priority="1049" operator="equal">
      <formula>$U$1</formula>
    </cfRule>
  </conditionalFormatting>
  <conditionalFormatting sqref="C1">
    <cfRule type="cellIs" dxfId="70" priority="104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66" zoomScale="90" zoomScaleNormal="90" workbookViewId="0">
      <pane xSplit="4" topLeftCell="CC1" activePane="topRight" state="frozen"/>
      <selection activeCell="A109" sqref="A109"/>
      <selection pane="topRight" activeCell="FE293" sqref="FE29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$A$292</v>
      </c>
      <c r="D111" s="1" t="str">
        <f>ADDRESS(C121-1,D121,1,1)</f>
        <v>$FE$292</v>
      </c>
      <c r="E111"/>
    </row>
    <row r="112" spans="1:5" x14ac:dyDescent="0.25">
      <c r="A112" s="30">
        <v>515.50191262726139</v>
      </c>
      <c r="C112" s="1" t="str">
        <f>ADDRESS(C121,1,1,1)</f>
        <v>$A$293</v>
      </c>
      <c r="D112" s="1" t="str">
        <f>ADDRESS(C121,D121-1,1,1)</f>
        <v>$FD$293</v>
      </c>
      <c r="E112"/>
    </row>
    <row r="113" spans="1:5" x14ac:dyDescent="0.25">
      <c r="A113" s="30">
        <v>490.95420250215363</v>
      </c>
      <c r="C113" s="1" t="str">
        <f>ADDRESS(C121+1,1,1,1)</f>
        <v>$A$294</v>
      </c>
      <c r="D113" s="1" t="str">
        <f>ADDRESS(C121-1,D121+1,1,1)</f>
        <v>$FF$292</v>
      </c>
    </row>
    <row r="114" spans="1:5" x14ac:dyDescent="0.25">
      <c r="A114" s="30">
        <v>467.57543095443202</v>
      </c>
      <c r="C114" s="1" t="str">
        <f>ADDRESS(C121,D121,1,1)</f>
        <v>$FE$293</v>
      </c>
      <c r="D114" s="1" t="str">
        <f>ADDRESS(C121+1,D121+1,1,1)</f>
        <v>$FF$294</v>
      </c>
    </row>
    <row r="115" spans="1:5" x14ac:dyDescent="0.25">
      <c r="A115" s="30">
        <v>445.30993424231622</v>
      </c>
      <c r="C115" s="1" t="str">
        <f>ADDRESS(C121+1,D121,1,1)</f>
        <v>$FE$294</v>
      </c>
    </row>
    <row r="116" spans="1:5" x14ac:dyDescent="0.25">
      <c r="A116" s="30">
        <v>424.10469927839637</v>
      </c>
      <c r="C116" s="1">
        <f>C117-1</f>
        <v>292</v>
      </c>
    </row>
    <row r="117" spans="1:5" x14ac:dyDescent="0.25">
      <c r="A117" s="30">
        <v>403.9092374079965</v>
      </c>
      <c r="C117" s="1">
        <f>C121</f>
        <v>293</v>
      </c>
      <c r="D117" s="1">
        <f>D121</f>
        <v>161</v>
      </c>
    </row>
    <row r="118" spans="1:5" x14ac:dyDescent="0.25">
      <c r="A118" s="30">
        <v>384.6754641980919</v>
      </c>
      <c r="C118" s="1">
        <f>C117+1</f>
        <v>294</v>
      </c>
      <c r="D118" s="1">
        <f>D117+1</f>
        <v>162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293</v>
      </c>
      <c r="D121" s="19">
        <v>161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R293</v>
      </c>
      <c r="D123" s="1" t="str">
        <f>"C"&amp;D121</f>
        <v>C161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7.5329858090814217E-2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 t="s">
        <v>34</v>
      </c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X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1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147" x14ac:dyDescent="0.25">
      <c r="A257" s="30">
        <v>0.43629668761085438</v>
      </c>
      <c r="B257"/>
      <c r="C257"/>
      <c r="D257"/>
      <c r="E257"/>
      <c r="F257" s="27" t="s">
        <v>7</v>
      </c>
    </row>
    <row r="258" spans="1:147" x14ac:dyDescent="0.25">
      <c r="A258" s="30">
        <v>0.41552065486748019</v>
      </c>
      <c r="B258"/>
      <c r="C258"/>
      <c r="D258"/>
      <c r="E258"/>
      <c r="F258" s="27" t="s">
        <v>7</v>
      </c>
    </row>
    <row r="259" spans="1:147" x14ac:dyDescent="0.25">
      <c r="A259" s="30">
        <v>0.39573395701664765</v>
      </c>
      <c r="B259"/>
      <c r="C259"/>
      <c r="D259"/>
      <c r="E259"/>
      <c r="F259" s="27" t="s">
        <v>7</v>
      </c>
    </row>
    <row r="260" spans="1:147" x14ac:dyDescent="0.25">
      <c r="A260" s="30">
        <v>0.37688948287299762</v>
      </c>
      <c r="B260"/>
      <c r="C260"/>
      <c r="D260"/>
      <c r="E260"/>
      <c r="F260" s="27" t="s">
        <v>7</v>
      </c>
    </row>
    <row r="261" spans="1:147" x14ac:dyDescent="0.25">
      <c r="A261" s="30">
        <v>0.35894236464094997</v>
      </c>
      <c r="B261"/>
      <c r="C261"/>
      <c r="D261"/>
      <c r="E261"/>
      <c r="F261" s="27" t="s">
        <v>7</v>
      </c>
    </row>
    <row r="262" spans="1:147" x14ac:dyDescent="0.25">
      <c r="A262" s="30">
        <v>0.34184987108661891</v>
      </c>
      <c r="B262"/>
      <c r="C262"/>
      <c r="D262"/>
      <c r="E262"/>
      <c r="F262" s="27" t="s">
        <v>7</v>
      </c>
    </row>
    <row r="263" spans="1:147" x14ac:dyDescent="0.25">
      <c r="A263" s="30">
        <v>0.32557130579677979</v>
      </c>
      <c r="B263"/>
      <c r="C263"/>
      <c r="D263"/>
      <c r="E263"/>
      <c r="F263" s="27" t="s">
        <v>7</v>
      </c>
    </row>
    <row r="264" spans="1:147" x14ac:dyDescent="0.25">
      <c r="A264" s="30">
        <v>0.3100679102826473</v>
      </c>
      <c r="B264"/>
      <c r="C264"/>
      <c r="D264"/>
      <c r="E264"/>
      <c r="F264" s="27" t="s">
        <v>7</v>
      </c>
      <c r="BW264" s="27" t="s">
        <v>8</v>
      </c>
    </row>
    <row r="265" spans="1:147" x14ac:dyDescent="0.25">
      <c r="A265" s="30">
        <v>0.2953027716977592</v>
      </c>
      <c r="B265"/>
      <c r="C265"/>
      <c r="D265"/>
      <c r="E265"/>
      <c r="F265" s="27" t="s">
        <v>7</v>
      </c>
      <c r="BW265" s="27" t="s">
        <v>8</v>
      </c>
      <c r="BX265" s="27" t="s">
        <v>7</v>
      </c>
    </row>
    <row r="266" spans="1:147" x14ac:dyDescent="0.25">
      <c r="A266" s="30">
        <v>0.28124073495024676</v>
      </c>
      <c r="B266"/>
      <c r="C266"/>
      <c r="D266"/>
      <c r="E266"/>
      <c r="F266" s="27" t="s">
        <v>7</v>
      </c>
      <c r="BW266" s="27" t="s">
        <v>8</v>
      </c>
      <c r="BX266" s="27" t="s">
        <v>7</v>
      </c>
    </row>
    <row r="267" spans="1:147" x14ac:dyDescent="0.25">
      <c r="A267" s="30">
        <v>0.26784831900023492</v>
      </c>
      <c r="B267"/>
      <c r="C267"/>
      <c r="D267"/>
      <c r="E267"/>
      <c r="F267" s="27" t="s">
        <v>7</v>
      </c>
      <c r="BW267" s="27" t="s">
        <v>8</v>
      </c>
      <c r="BX267" s="27" t="s">
        <v>7</v>
      </c>
    </row>
    <row r="268" spans="1:147" x14ac:dyDescent="0.25">
      <c r="A268" s="30">
        <v>0.25509363714308075</v>
      </c>
      <c r="B268"/>
      <c r="C268"/>
      <c r="D268"/>
      <c r="E268"/>
      <c r="F268" s="27" t="s">
        <v>7</v>
      </c>
      <c r="BW268" s="27" t="s">
        <v>8</v>
      </c>
      <c r="BX268" s="27" t="s">
        <v>7</v>
      </c>
      <c r="CS268" s="31" t="s">
        <v>8</v>
      </c>
    </row>
    <row r="269" spans="1:147" x14ac:dyDescent="0.25">
      <c r="A269" s="30">
        <v>0.24294632108864825</v>
      </c>
      <c r="B269"/>
      <c r="C269"/>
      <c r="D269"/>
      <c r="E269"/>
      <c r="F269" s="27" t="s">
        <v>7</v>
      </c>
      <c r="BW269" s="27" t="s">
        <v>8</v>
      </c>
      <c r="BX269" s="27" t="s">
        <v>7</v>
      </c>
      <c r="CS269" s="27" t="s">
        <v>8</v>
      </c>
      <c r="CT269" s="31" t="s">
        <v>7</v>
      </c>
    </row>
    <row r="270" spans="1:147" x14ac:dyDescent="0.25">
      <c r="A270" s="30">
        <v>0.23137744865585538</v>
      </c>
      <c r="B270"/>
      <c r="C270"/>
      <c r="D270"/>
      <c r="E270"/>
      <c r="F270" s="27" t="s">
        <v>7</v>
      </c>
      <c r="BW270" s="27" t="s">
        <v>8</v>
      </c>
      <c r="BX270" s="27" t="s">
        <v>7</v>
      </c>
      <c r="CS270" s="27" t="s">
        <v>8</v>
      </c>
      <c r="CT270" s="27" t="s">
        <v>7</v>
      </c>
      <c r="CU270" s="31"/>
    </row>
    <row r="271" spans="1:147" x14ac:dyDescent="0.25">
      <c r="A271" s="30">
        <v>0.22035947491033836</v>
      </c>
      <c r="B271"/>
      <c r="C271"/>
      <c r="D271"/>
      <c r="E271"/>
      <c r="F271" s="27" t="s">
        <v>7</v>
      </c>
      <c r="BW271" s="27" t="s">
        <v>8</v>
      </c>
      <c r="BX271" s="27" t="s">
        <v>7</v>
      </c>
      <c r="BY271" s="27" t="s">
        <v>8</v>
      </c>
      <c r="CS271" s="27" t="s">
        <v>8</v>
      </c>
      <c r="CT271" s="27" t="s">
        <v>7</v>
      </c>
      <c r="CV271" s="31"/>
      <c r="EA271" s="27" t="s">
        <v>8</v>
      </c>
    </row>
    <row r="272" spans="1:147" x14ac:dyDescent="0.25">
      <c r="A272" s="30">
        <v>0.20986616658127455</v>
      </c>
      <c r="B272"/>
      <c r="C272"/>
      <c r="D272"/>
      <c r="E272"/>
      <c r="F272" s="27" t="s">
        <v>7</v>
      </c>
      <c r="BW272" s="27" t="s">
        <v>8</v>
      </c>
      <c r="BX272" s="27" t="s">
        <v>7</v>
      </c>
      <c r="BY272" s="27" t="s">
        <v>8</v>
      </c>
      <c r="BZ272" s="27" t="s">
        <v>7</v>
      </c>
      <c r="CS272" s="27" t="s">
        <v>8</v>
      </c>
      <c r="CT272" s="27" t="s">
        <v>7</v>
      </c>
      <c r="CU272" s="27" t="s">
        <v>8</v>
      </c>
      <c r="CW272" s="31" t="s">
        <v>8</v>
      </c>
      <c r="EA272" s="27" t="s">
        <v>8</v>
      </c>
      <c r="EB272" s="27" t="s">
        <v>7</v>
      </c>
      <c r="EQ272" s="27" t="s">
        <v>8</v>
      </c>
    </row>
    <row r="273" spans="1:158" x14ac:dyDescent="0.25">
      <c r="A273" s="30">
        <v>0.19987253960121379</v>
      </c>
      <c r="B273"/>
      <c r="C273"/>
      <c r="D273"/>
      <c r="E273"/>
      <c r="F273" s="27" t="s">
        <v>7</v>
      </c>
      <c r="BS273" s="27" t="s">
        <v>8</v>
      </c>
      <c r="BW273" s="27" t="s">
        <v>8</v>
      </c>
      <c r="BX273" s="27" t="s">
        <v>7</v>
      </c>
      <c r="BY273" s="27" t="s">
        <v>8</v>
      </c>
      <c r="BZ273" s="27" t="s">
        <v>7</v>
      </c>
      <c r="CE273" s="27" t="s">
        <v>8</v>
      </c>
      <c r="CS273" s="27" t="s">
        <v>8</v>
      </c>
      <c r="CT273" s="27" t="s">
        <v>7</v>
      </c>
      <c r="CU273" s="27" t="s">
        <v>8</v>
      </c>
      <c r="CV273" s="27" t="s">
        <v>7</v>
      </c>
      <c r="CW273" s="27" t="s">
        <v>8</v>
      </c>
      <c r="CX273" s="31" t="s">
        <v>7</v>
      </c>
      <c r="EA273" s="27" t="s">
        <v>8</v>
      </c>
      <c r="EB273" s="27" t="s">
        <v>7</v>
      </c>
      <c r="EQ273" s="27" t="s">
        <v>8</v>
      </c>
      <c r="ER273" s="27" t="s">
        <v>7</v>
      </c>
    </row>
    <row r="274" spans="1:158" x14ac:dyDescent="0.25">
      <c r="A274" s="30">
        <v>0.19035479962020352</v>
      </c>
      <c r="B274"/>
      <c r="C274"/>
      <c r="D274"/>
      <c r="E274"/>
      <c r="F274" s="27" t="s">
        <v>7</v>
      </c>
      <c r="BS274" s="27" t="s">
        <v>8</v>
      </c>
      <c r="BT274" s="27" t="s">
        <v>7</v>
      </c>
      <c r="BU274" s="27" t="s">
        <v>8</v>
      </c>
      <c r="BW274" s="27" t="s">
        <v>8</v>
      </c>
      <c r="BX274" s="27" t="s">
        <v>7</v>
      </c>
      <c r="BZ274" s="27" t="s">
        <v>7</v>
      </c>
      <c r="CE274" s="27" t="s">
        <v>8</v>
      </c>
      <c r="CF274" s="27" t="s">
        <v>7</v>
      </c>
      <c r="CG274" s="27" t="s">
        <v>8</v>
      </c>
      <c r="CS274" s="27" t="s">
        <v>8</v>
      </c>
      <c r="CT274" s="27" t="s">
        <v>7</v>
      </c>
      <c r="CU274" s="27" t="s">
        <v>8</v>
      </c>
      <c r="CV274" s="27" t="s">
        <v>7</v>
      </c>
      <c r="CW274" s="27" t="s">
        <v>8</v>
      </c>
      <c r="CX274" s="27" t="s">
        <v>7</v>
      </c>
      <c r="CY274" s="31"/>
      <c r="EA274" s="27" t="s">
        <v>8</v>
      </c>
      <c r="EB274" s="27" t="s">
        <v>7</v>
      </c>
      <c r="EQ274" s="27" t="s">
        <v>8</v>
      </c>
      <c r="ER274" s="27" t="s">
        <v>7</v>
      </c>
    </row>
    <row r="275" spans="1:158" x14ac:dyDescent="0.25">
      <c r="A275" s="30">
        <v>0.18129028535257471</v>
      </c>
      <c r="B275"/>
      <c r="C275"/>
      <c r="D275"/>
      <c r="E275"/>
      <c r="F275" s="27" t="s">
        <v>7</v>
      </c>
      <c r="BE275" s="27" t="s">
        <v>8</v>
      </c>
      <c r="BS275" s="27" t="s">
        <v>8</v>
      </c>
      <c r="BT275" s="27" t="s">
        <v>7</v>
      </c>
      <c r="BU275" s="27" t="s">
        <v>8</v>
      </c>
      <c r="BV275" s="27" t="s">
        <v>7</v>
      </c>
      <c r="BW275" s="27" t="s">
        <v>8</v>
      </c>
      <c r="BZ275" s="27" t="s">
        <v>7</v>
      </c>
      <c r="CE275" s="27" t="s">
        <v>8</v>
      </c>
      <c r="CF275" s="27" t="s">
        <v>7</v>
      </c>
      <c r="CG275" s="27" t="s">
        <v>8</v>
      </c>
      <c r="CH275" s="27" t="s">
        <v>7</v>
      </c>
      <c r="CS275" s="27" t="s">
        <v>8</v>
      </c>
      <c r="CT275" s="27" t="s">
        <v>7</v>
      </c>
      <c r="CU275" s="27" t="s">
        <v>8</v>
      </c>
      <c r="CV275" s="27" t="s">
        <v>7</v>
      </c>
      <c r="CW275" s="27" t="s">
        <v>8</v>
      </c>
      <c r="CX275" s="27" t="s">
        <v>7</v>
      </c>
      <c r="CZ275" s="31"/>
      <c r="DQ275" s="27" t="s">
        <v>8</v>
      </c>
      <c r="EA275" s="27" t="s">
        <v>8</v>
      </c>
      <c r="EB275" s="27" t="s">
        <v>7</v>
      </c>
      <c r="EG275" s="27" t="s">
        <v>8</v>
      </c>
      <c r="EO275" s="27" t="s">
        <v>8</v>
      </c>
      <c r="EQ275" s="27" t="s">
        <v>8</v>
      </c>
      <c r="ER275" s="27" t="s">
        <v>7</v>
      </c>
    </row>
    <row r="276" spans="1:158" x14ac:dyDescent="0.25">
      <c r="A276" s="30">
        <v>0.17265741462149967</v>
      </c>
      <c r="B276"/>
      <c r="C276"/>
      <c r="D276"/>
      <c r="E276"/>
      <c r="F276" s="27" t="s">
        <v>7</v>
      </c>
      <c r="BE276" s="27" t="s">
        <v>8</v>
      </c>
      <c r="BF276" s="27" t="s">
        <v>7</v>
      </c>
      <c r="BQ276" s="27" t="s">
        <v>8</v>
      </c>
      <c r="BS276" s="27" t="s">
        <v>8</v>
      </c>
      <c r="BT276" s="27" t="s">
        <v>7</v>
      </c>
      <c r="BU276" s="27" t="s">
        <v>8</v>
      </c>
      <c r="BV276" s="27" t="s">
        <v>7</v>
      </c>
      <c r="BW276" s="27" t="s">
        <v>8</v>
      </c>
      <c r="BZ276" s="27" t="s">
        <v>7</v>
      </c>
      <c r="CA276" s="27" t="s">
        <v>8</v>
      </c>
      <c r="CE276" s="27" t="s">
        <v>8</v>
      </c>
      <c r="CF276" s="27" t="s">
        <v>7</v>
      </c>
      <c r="CG276" s="27" t="s">
        <v>8</v>
      </c>
      <c r="CH276" s="27" t="s">
        <v>7</v>
      </c>
      <c r="CS276" s="27" t="s">
        <v>8</v>
      </c>
      <c r="CT276" s="27" t="s">
        <v>7</v>
      </c>
      <c r="CU276" s="27" t="s">
        <v>8</v>
      </c>
      <c r="CV276" s="27" t="s">
        <v>7</v>
      </c>
      <c r="CW276" s="27" t="s">
        <v>8</v>
      </c>
      <c r="CX276" s="27" t="s">
        <v>7</v>
      </c>
      <c r="DA276" s="31"/>
      <c r="DQ276" s="27" t="s">
        <v>8</v>
      </c>
      <c r="DR276" s="27" t="s">
        <v>7</v>
      </c>
      <c r="DS276" s="27" t="s">
        <v>8</v>
      </c>
      <c r="DU276" s="27" t="s">
        <v>8</v>
      </c>
      <c r="EA276" s="27" t="s">
        <v>8</v>
      </c>
      <c r="EB276" s="27" t="s">
        <v>7</v>
      </c>
      <c r="EG276" s="27" t="s">
        <v>8</v>
      </c>
      <c r="EH276" s="27" t="s">
        <v>7</v>
      </c>
      <c r="EO276" s="27" t="s">
        <v>8</v>
      </c>
      <c r="EP276" s="27" t="s">
        <v>7</v>
      </c>
      <c r="EQ276" s="27" t="s">
        <v>8</v>
      </c>
      <c r="ER276" s="27" t="s">
        <v>7</v>
      </c>
    </row>
    <row r="277" spans="1:158" x14ac:dyDescent="0.25">
      <c r="A277" s="30">
        <v>0.16443563297285677</v>
      </c>
      <c r="B277"/>
      <c r="C277"/>
      <c r="D277"/>
      <c r="E277"/>
      <c r="F277" s="27" t="s">
        <v>7</v>
      </c>
      <c r="BE277" s="27" t="s">
        <v>8</v>
      </c>
      <c r="BF277" s="27" t="s">
        <v>7</v>
      </c>
      <c r="BQ277" s="27" t="s">
        <v>8</v>
      </c>
      <c r="BR277" s="27" t="s">
        <v>7</v>
      </c>
      <c r="BS277" s="27" t="s">
        <v>8</v>
      </c>
      <c r="BT277" s="27" t="s">
        <v>7</v>
      </c>
      <c r="BU277" s="27" t="s">
        <v>8</v>
      </c>
      <c r="BV277" s="27" t="s">
        <v>7</v>
      </c>
      <c r="BZ277" s="27" t="s">
        <v>7</v>
      </c>
      <c r="CA277" s="27" t="s">
        <v>8</v>
      </c>
      <c r="CB277" s="27" t="s">
        <v>7</v>
      </c>
      <c r="CE277" s="27" t="s">
        <v>8</v>
      </c>
      <c r="CF277" s="27" t="s">
        <v>7</v>
      </c>
      <c r="CG277" s="27" t="s">
        <v>8</v>
      </c>
      <c r="CH277" s="27" t="s">
        <v>7</v>
      </c>
      <c r="CS277" s="27" t="s">
        <v>8</v>
      </c>
      <c r="CT277" s="27" t="s">
        <v>7</v>
      </c>
      <c r="CU277" s="27" t="s">
        <v>8</v>
      </c>
      <c r="CV277" s="27" t="s">
        <v>7</v>
      </c>
      <c r="CW277" s="27" t="s">
        <v>8</v>
      </c>
      <c r="CX277" s="27" t="s">
        <v>7</v>
      </c>
      <c r="CY277" s="27" t="s">
        <v>8</v>
      </c>
      <c r="DB277" s="31"/>
      <c r="DO277" s="27" t="s">
        <v>8</v>
      </c>
      <c r="DQ277" s="27" t="s">
        <v>8</v>
      </c>
      <c r="DR277" s="27" t="s">
        <v>7</v>
      </c>
      <c r="DS277" s="27" t="s">
        <v>8</v>
      </c>
      <c r="DT277" s="27" t="s">
        <v>7</v>
      </c>
      <c r="DU277" s="27" t="s">
        <v>8</v>
      </c>
      <c r="DV277" s="27" t="s">
        <v>7</v>
      </c>
      <c r="EA277" s="27" t="s">
        <v>8</v>
      </c>
      <c r="EB277" s="27" t="s">
        <v>7</v>
      </c>
      <c r="EC277" s="27" t="s">
        <v>8</v>
      </c>
      <c r="EE277" s="27" t="s">
        <v>8</v>
      </c>
      <c r="EG277" s="27" t="s">
        <v>8</v>
      </c>
      <c r="EH277" s="27" t="s">
        <v>7</v>
      </c>
      <c r="EI277" s="27" t="s">
        <v>8</v>
      </c>
      <c r="EK277" s="27" t="s">
        <v>8</v>
      </c>
      <c r="EO277" s="27" t="s">
        <v>8</v>
      </c>
      <c r="EP277" s="27" t="s">
        <v>7</v>
      </c>
      <c r="EQ277" s="27" t="s">
        <v>8</v>
      </c>
      <c r="ER277" s="27" t="s">
        <v>7</v>
      </c>
    </row>
    <row r="278" spans="1:158" x14ac:dyDescent="0.25">
      <c r="A278" s="30">
        <v>0.15660536473605399</v>
      </c>
      <c r="B278"/>
      <c r="C278"/>
      <c r="D278"/>
      <c r="E278"/>
      <c r="F278" s="27" t="s">
        <v>7</v>
      </c>
      <c r="BE278" s="27" t="s">
        <v>8</v>
      </c>
      <c r="BF278" s="27" t="s">
        <v>7</v>
      </c>
      <c r="BQ278" s="27" t="s">
        <v>8</v>
      </c>
      <c r="BR278" s="27" t="s">
        <v>7</v>
      </c>
      <c r="BS278" s="27" t="s">
        <v>8</v>
      </c>
      <c r="BT278" s="27" t="s">
        <v>7</v>
      </c>
      <c r="BU278" s="27" t="s">
        <v>8</v>
      </c>
      <c r="BZ278" s="27" t="s">
        <v>7</v>
      </c>
      <c r="CA278" s="27" t="s">
        <v>8</v>
      </c>
      <c r="CB278" s="27" t="s">
        <v>7</v>
      </c>
      <c r="CE278" s="27" t="s">
        <v>8</v>
      </c>
      <c r="CF278" s="27" t="s">
        <v>7</v>
      </c>
      <c r="CG278" s="27" t="s">
        <v>8</v>
      </c>
      <c r="CH278" s="27" t="s">
        <v>7</v>
      </c>
      <c r="CS278" s="27" t="s">
        <v>8</v>
      </c>
      <c r="CT278" s="27" t="s">
        <v>7</v>
      </c>
      <c r="CU278" s="27" t="s">
        <v>8</v>
      </c>
      <c r="CV278" s="27" t="s">
        <v>7</v>
      </c>
      <c r="CW278" s="27" t="s">
        <v>8</v>
      </c>
      <c r="CX278" s="27" t="s">
        <v>7</v>
      </c>
      <c r="CY278" s="27" t="s">
        <v>8</v>
      </c>
      <c r="CZ278" s="27" t="s">
        <v>7</v>
      </c>
      <c r="DC278" s="31"/>
      <c r="DO278" s="27" t="s">
        <v>8</v>
      </c>
      <c r="DP278" s="27" t="s">
        <v>7</v>
      </c>
      <c r="DQ278" s="27" t="s">
        <v>8</v>
      </c>
      <c r="DR278" s="27" t="s">
        <v>7</v>
      </c>
      <c r="DS278" s="27" t="s">
        <v>8</v>
      </c>
      <c r="DT278" s="27" t="s">
        <v>7</v>
      </c>
      <c r="DU278" s="31" t="s">
        <v>8</v>
      </c>
      <c r="DV278" s="27" t="s">
        <v>7</v>
      </c>
      <c r="EA278" s="27" t="s">
        <v>8</v>
      </c>
      <c r="EB278" s="27" t="s">
        <v>7</v>
      </c>
      <c r="EC278" s="27" t="s">
        <v>8</v>
      </c>
      <c r="ED278" s="27" t="s">
        <v>7</v>
      </c>
      <c r="EE278" s="27" t="s">
        <v>8</v>
      </c>
      <c r="EF278" s="27" t="s">
        <v>7</v>
      </c>
      <c r="EG278" s="27" t="s">
        <v>8</v>
      </c>
      <c r="EH278" s="27" t="s">
        <v>7</v>
      </c>
      <c r="EI278" s="27" t="s">
        <v>8</v>
      </c>
      <c r="EJ278" s="27" t="s">
        <v>7</v>
      </c>
      <c r="EK278" s="27" t="s">
        <v>8</v>
      </c>
      <c r="EL278" s="27" t="s">
        <v>7</v>
      </c>
      <c r="EM278" s="27" t="s">
        <v>8</v>
      </c>
      <c r="EO278" s="27" t="s">
        <v>8</v>
      </c>
      <c r="EP278" s="27" t="s">
        <v>7</v>
      </c>
      <c r="EQ278" s="27" t="s">
        <v>8</v>
      </c>
      <c r="ER278" s="27" t="s">
        <v>7</v>
      </c>
    </row>
    <row r="279" spans="1:158" x14ac:dyDescent="0.25">
      <c r="A279" s="30">
        <v>0.14914796641528946</v>
      </c>
      <c r="B279"/>
      <c r="C279"/>
      <c r="D279"/>
      <c r="E279"/>
      <c r="F279" s="27" t="s">
        <v>7</v>
      </c>
      <c r="BE279" s="27" t="s">
        <v>8</v>
      </c>
      <c r="BF279" s="27" t="s">
        <v>7</v>
      </c>
      <c r="BQ279" s="27" t="s">
        <v>8</v>
      </c>
      <c r="BR279" s="27" t="s">
        <v>7</v>
      </c>
      <c r="BS279" s="27" t="s">
        <v>8</v>
      </c>
      <c r="BT279" s="27" t="s">
        <v>7</v>
      </c>
      <c r="BU279" s="27" t="s">
        <v>8</v>
      </c>
      <c r="BZ279" s="27" t="s">
        <v>7</v>
      </c>
      <c r="CA279" s="27" t="s">
        <v>8</v>
      </c>
      <c r="CB279" s="27" t="s">
        <v>7</v>
      </c>
      <c r="CE279" s="27" t="s">
        <v>8</v>
      </c>
      <c r="CF279" s="27" t="s">
        <v>7</v>
      </c>
      <c r="CG279" s="27" t="s">
        <v>8</v>
      </c>
      <c r="CH279" s="27" t="s">
        <v>7</v>
      </c>
      <c r="CS279" s="27" t="s">
        <v>8</v>
      </c>
      <c r="CT279" s="27" t="s">
        <v>7</v>
      </c>
      <c r="CU279" s="27" t="s">
        <v>8</v>
      </c>
      <c r="CV279" s="27" t="s">
        <v>7</v>
      </c>
      <c r="CW279" s="27" t="s">
        <v>8</v>
      </c>
      <c r="CX279" s="27" t="s">
        <v>7</v>
      </c>
      <c r="CY279" s="27" t="s">
        <v>8</v>
      </c>
      <c r="CZ279" s="27" t="s">
        <v>7</v>
      </c>
      <c r="DD279" s="31"/>
      <c r="DM279" s="27" t="s">
        <v>8</v>
      </c>
      <c r="DO279" s="27" t="s">
        <v>8</v>
      </c>
      <c r="DP279" s="27" t="s">
        <v>7</v>
      </c>
      <c r="DQ279" s="27" t="s">
        <v>8</v>
      </c>
      <c r="DR279" s="27" t="s">
        <v>7</v>
      </c>
      <c r="DT279" s="31" t="s">
        <v>7</v>
      </c>
      <c r="DV279" s="27" t="s">
        <v>7</v>
      </c>
      <c r="DW279" s="27" t="s">
        <v>8</v>
      </c>
      <c r="EA279" s="27" t="s">
        <v>8</v>
      </c>
      <c r="EB279" s="27" t="s">
        <v>7</v>
      </c>
      <c r="EC279" s="27" t="s">
        <v>8</v>
      </c>
      <c r="ED279" s="27" t="s">
        <v>7</v>
      </c>
      <c r="EE279" s="27" t="s">
        <v>8</v>
      </c>
      <c r="EF279" s="27" t="s">
        <v>7</v>
      </c>
      <c r="EG279" s="27" t="s">
        <v>8</v>
      </c>
      <c r="EH279" s="27" t="s">
        <v>7</v>
      </c>
      <c r="EI279" s="27" t="s">
        <v>8</v>
      </c>
      <c r="EJ279" s="27" t="s">
        <v>7</v>
      </c>
      <c r="EK279" s="27" t="s">
        <v>8</v>
      </c>
      <c r="EL279" s="27" t="s">
        <v>7</v>
      </c>
      <c r="EM279" s="27" t="s">
        <v>8</v>
      </c>
      <c r="EN279" s="27" t="s">
        <v>7</v>
      </c>
      <c r="EO279" s="27" t="s">
        <v>8</v>
      </c>
      <c r="EP279" s="27" t="s">
        <v>7</v>
      </c>
      <c r="EQ279" s="27" t="s">
        <v>8</v>
      </c>
      <c r="ER279" s="27" t="s">
        <v>7</v>
      </c>
      <c r="ES279" s="27" t="s">
        <v>8</v>
      </c>
    </row>
    <row r="280" spans="1:158" x14ac:dyDescent="0.25">
      <c r="A280" s="30">
        <v>0.14204568230027562</v>
      </c>
      <c r="B280"/>
      <c r="C280"/>
      <c r="D280"/>
      <c r="E280"/>
      <c r="F280" s="27" t="s">
        <v>7</v>
      </c>
      <c r="BE280" s="27" t="s">
        <v>8</v>
      </c>
      <c r="BF280" s="27" t="s">
        <v>7</v>
      </c>
      <c r="BO280" s="27" t="s">
        <v>8</v>
      </c>
      <c r="BQ280" s="27" t="s">
        <v>8</v>
      </c>
      <c r="BR280" s="27" t="s">
        <v>7</v>
      </c>
      <c r="BS280" s="27" t="s">
        <v>8</v>
      </c>
      <c r="BT280" s="27" t="s">
        <v>7</v>
      </c>
      <c r="BZ280" s="27" t="s">
        <v>7</v>
      </c>
      <c r="CB280" s="27" t="s">
        <v>7</v>
      </c>
      <c r="CE280" s="27" t="s">
        <v>8</v>
      </c>
      <c r="CF280" s="27" t="s">
        <v>7</v>
      </c>
      <c r="CG280" s="27" t="s">
        <v>8</v>
      </c>
      <c r="CH280" s="27" t="s">
        <v>7</v>
      </c>
      <c r="CS280" s="27" t="s">
        <v>8</v>
      </c>
      <c r="CT280" s="27" t="s">
        <v>7</v>
      </c>
      <c r="CU280" s="27" t="s">
        <v>8</v>
      </c>
      <c r="CV280" s="27" t="s">
        <v>7</v>
      </c>
      <c r="CX280" s="27" t="s">
        <v>7</v>
      </c>
      <c r="CY280" s="27" t="s">
        <v>8</v>
      </c>
      <c r="CZ280" s="27" t="s">
        <v>7</v>
      </c>
      <c r="DA280" s="27" t="s">
        <v>8</v>
      </c>
      <c r="DE280" s="31"/>
      <c r="DM280" s="27" t="s">
        <v>8</v>
      </c>
      <c r="DN280" s="27" t="s">
        <v>7</v>
      </c>
      <c r="DO280" s="27" t="s">
        <v>8</v>
      </c>
      <c r="DP280" s="27" t="s">
        <v>7</v>
      </c>
      <c r="DS280" s="31"/>
      <c r="DV280" s="27" t="s">
        <v>7</v>
      </c>
      <c r="DW280" s="27" t="s">
        <v>8</v>
      </c>
      <c r="DX280" s="27" t="s">
        <v>7</v>
      </c>
      <c r="EA280" s="27" t="s">
        <v>8</v>
      </c>
      <c r="EB280" s="27" t="s">
        <v>7</v>
      </c>
      <c r="EC280" s="27" t="s">
        <v>8</v>
      </c>
      <c r="ED280" s="27" t="s">
        <v>7</v>
      </c>
      <c r="EF280" s="27" t="s">
        <v>7</v>
      </c>
      <c r="EG280" s="27" t="s">
        <v>8</v>
      </c>
      <c r="EH280" s="27" t="s">
        <v>7</v>
      </c>
      <c r="EJ280" s="27" t="s">
        <v>7</v>
      </c>
      <c r="EK280" s="27" t="s">
        <v>8</v>
      </c>
      <c r="EL280" s="27" t="s">
        <v>7</v>
      </c>
      <c r="EM280" s="27" t="s">
        <v>8</v>
      </c>
      <c r="EN280" s="27" t="s">
        <v>7</v>
      </c>
      <c r="EO280" s="27" t="s">
        <v>8</v>
      </c>
      <c r="EP280" s="27" t="s">
        <v>7</v>
      </c>
      <c r="ER280" s="27" t="s">
        <v>7</v>
      </c>
      <c r="ES280" s="27" t="s">
        <v>8</v>
      </c>
      <c r="ET280" s="27" t="s">
        <v>7</v>
      </c>
      <c r="EU280" s="27" t="s">
        <v>8</v>
      </c>
      <c r="EW280" s="27" t="s">
        <v>8</v>
      </c>
    </row>
    <row r="281" spans="1:158" x14ac:dyDescent="0.25">
      <c r="A281" s="30">
        <v>0.13528160219073862</v>
      </c>
      <c r="B281"/>
      <c r="C281"/>
      <c r="D281"/>
      <c r="E281"/>
      <c r="F281" s="27" t="s">
        <v>7</v>
      </c>
      <c r="BE281" s="27" t="s">
        <v>8</v>
      </c>
      <c r="BF281" s="27" t="s">
        <v>7</v>
      </c>
      <c r="BO281" s="27" t="s">
        <v>8</v>
      </c>
      <c r="BP281" s="27" t="s">
        <v>7</v>
      </c>
      <c r="BQ281" s="27" t="s">
        <v>8</v>
      </c>
      <c r="BR281" s="27" t="s">
        <v>7</v>
      </c>
      <c r="CB281" s="27" t="s">
        <v>7</v>
      </c>
      <c r="CE281" s="27" t="s">
        <v>8</v>
      </c>
      <c r="CF281" s="27" t="s">
        <v>7</v>
      </c>
      <c r="CG281" s="27" t="s">
        <v>8</v>
      </c>
      <c r="CH281" s="27" t="s">
        <v>7</v>
      </c>
      <c r="CS281" s="27" t="s">
        <v>8</v>
      </c>
      <c r="CT281" s="27" t="s">
        <v>7</v>
      </c>
      <c r="CU281" s="27" t="s">
        <v>8</v>
      </c>
      <c r="CX281" s="27" t="s">
        <v>7</v>
      </c>
      <c r="CY281" s="27" t="s">
        <v>8</v>
      </c>
      <c r="CZ281" s="27" t="s">
        <v>7</v>
      </c>
      <c r="DA281" s="27" t="s">
        <v>8</v>
      </c>
      <c r="DB281" s="27" t="s">
        <v>7</v>
      </c>
      <c r="DF281" s="31"/>
      <c r="DK281" s="27" t="s">
        <v>8</v>
      </c>
      <c r="DM281" s="27" t="s">
        <v>8</v>
      </c>
      <c r="DN281" s="27" t="s">
        <v>7</v>
      </c>
      <c r="DO281" s="27" t="s">
        <v>8</v>
      </c>
      <c r="DR281" s="31"/>
      <c r="DV281" s="27" t="s">
        <v>7</v>
      </c>
      <c r="DW281" s="27" t="s">
        <v>8</v>
      </c>
      <c r="DX281" s="27" t="s">
        <v>7</v>
      </c>
      <c r="EA281" s="27" t="s">
        <v>8</v>
      </c>
      <c r="EB281" s="27" t="s">
        <v>7</v>
      </c>
      <c r="EF281" s="27" t="s">
        <v>7</v>
      </c>
      <c r="EG281" s="27" t="s">
        <v>8</v>
      </c>
      <c r="EJ281" s="27" t="s">
        <v>7</v>
      </c>
      <c r="EK281" s="27" t="s">
        <v>8</v>
      </c>
      <c r="EL281" s="27" t="s">
        <v>7</v>
      </c>
      <c r="EN281" s="27" t="s">
        <v>7</v>
      </c>
      <c r="ER281" s="27" t="s">
        <v>7</v>
      </c>
      <c r="ES281" s="27" t="s">
        <v>8</v>
      </c>
      <c r="ET281" s="27" t="s">
        <v>7</v>
      </c>
      <c r="EU281" s="27" t="s">
        <v>8</v>
      </c>
      <c r="EV281" s="27" t="s">
        <v>7</v>
      </c>
      <c r="EW281" s="27" t="s">
        <v>8</v>
      </c>
      <c r="EX281" s="27" t="s">
        <v>7</v>
      </c>
    </row>
    <row r="282" spans="1:158" x14ac:dyDescent="0.25">
      <c r="A282" s="30">
        <v>0.12883962113403674</v>
      </c>
      <c r="B282"/>
      <c r="C282"/>
      <c r="D282"/>
      <c r="E282"/>
      <c r="F282" s="27" t="s">
        <v>7</v>
      </c>
      <c r="BE282" s="27" t="s">
        <v>8</v>
      </c>
      <c r="BF282" s="27" t="s">
        <v>7</v>
      </c>
      <c r="BO282" s="27" t="s">
        <v>8</v>
      </c>
      <c r="BP282" s="27" t="s">
        <v>7</v>
      </c>
      <c r="BQ282" s="27" t="s">
        <v>8</v>
      </c>
      <c r="CB282" s="27" t="s">
        <v>7</v>
      </c>
      <c r="CC282" s="27" t="s">
        <v>8</v>
      </c>
      <c r="CE282" s="27" t="s">
        <v>8</v>
      </c>
      <c r="CF282" s="27" t="s">
        <v>7</v>
      </c>
      <c r="CG282" s="27" t="s">
        <v>8</v>
      </c>
      <c r="CH282" s="27" t="s">
        <v>7</v>
      </c>
      <c r="CS282" s="27" t="s">
        <v>8</v>
      </c>
      <c r="CT282" s="27" t="s">
        <v>7</v>
      </c>
      <c r="CX282" s="27" t="s">
        <v>7</v>
      </c>
      <c r="CZ282" s="27" t="s">
        <v>7</v>
      </c>
      <c r="DA282" s="27" t="s">
        <v>8</v>
      </c>
      <c r="DB282" s="27" t="s">
        <v>7</v>
      </c>
      <c r="DC282" s="27" t="s">
        <v>8</v>
      </c>
      <c r="DE282" s="27" t="s">
        <v>8</v>
      </c>
      <c r="DG282" s="31"/>
      <c r="DK282" s="27" t="s">
        <v>8</v>
      </c>
      <c r="DL282" s="27" t="s">
        <v>7</v>
      </c>
      <c r="DM282" s="27" t="s">
        <v>8</v>
      </c>
      <c r="DN282" s="27" t="s">
        <v>7</v>
      </c>
      <c r="DO282" s="27" t="s">
        <v>8</v>
      </c>
      <c r="DQ282" s="31"/>
      <c r="DV282" s="27" t="s">
        <v>7</v>
      </c>
      <c r="DW282" s="27" t="s">
        <v>8</v>
      </c>
      <c r="DX282" s="27" t="s">
        <v>7</v>
      </c>
      <c r="DY282" s="27" t="s">
        <v>8</v>
      </c>
      <c r="EA282" s="27" t="s">
        <v>8</v>
      </c>
      <c r="EF282" s="27" t="s">
        <v>7</v>
      </c>
      <c r="EG282" s="27" t="s">
        <v>8</v>
      </c>
      <c r="EJ282" s="27" t="s">
        <v>7</v>
      </c>
      <c r="ER282" s="27" t="s">
        <v>7</v>
      </c>
      <c r="ET282" s="27" t="s">
        <v>7</v>
      </c>
      <c r="EU282" s="27" t="s">
        <v>8</v>
      </c>
      <c r="EV282" s="27" t="s">
        <v>7</v>
      </c>
      <c r="EW282" s="27" t="s">
        <v>8</v>
      </c>
      <c r="EX282" s="27" t="s">
        <v>7</v>
      </c>
    </row>
    <row r="283" spans="1:158" x14ac:dyDescent="0.25">
      <c r="A283" s="30">
        <v>0.12270440108003494</v>
      </c>
      <c r="B283"/>
      <c r="C283"/>
      <c r="D283"/>
      <c r="E283"/>
      <c r="F283" s="27" t="s">
        <v>7</v>
      </c>
      <c r="BE283" s="27" t="s">
        <v>8</v>
      </c>
      <c r="BF283" s="27" t="s">
        <v>7</v>
      </c>
      <c r="BG283" s="27" t="s">
        <v>8</v>
      </c>
      <c r="BO283" s="27" t="s">
        <v>8</v>
      </c>
      <c r="BP283" s="27" t="s">
        <v>7</v>
      </c>
      <c r="CB283" s="27" t="s">
        <v>7</v>
      </c>
      <c r="CC283" s="27" t="s">
        <v>8</v>
      </c>
      <c r="CD283" s="27" t="s">
        <v>7</v>
      </c>
      <c r="CE283" s="27" t="s">
        <v>8</v>
      </c>
      <c r="CF283" s="27" t="s">
        <v>7</v>
      </c>
      <c r="CH283" s="27" t="s">
        <v>7</v>
      </c>
      <c r="CS283" s="27" t="s">
        <v>8</v>
      </c>
      <c r="CZ283" s="27" t="s">
        <v>7</v>
      </c>
      <c r="DA283" s="27" t="s">
        <v>8</v>
      </c>
      <c r="DB283" s="27" t="s">
        <v>7</v>
      </c>
      <c r="DC283" s="27" t="s">
        <v>8</v>
      </c>
      <c r="DD283" s="27" t="s">
        <v>7</v>
      </c>
      <c r="DE283" s="27" t="s">
        <v>8</v>
      </c>
      <c r="DF283" s="27" t="s">
        <v>7</v>
      </c>
      <c r="DH283" s="31"/>
      <c r="DK283" s="27" t="s">
        <v>8</v>
      </c>
      <c r="DL283" s="27" t="s">
        <v>7</v>
      </c>
      <c r="DM283" s="27" t="s">
        <v>8</v>
      </c>
      <c r="DN283" s="27" t="s">
        <v>7</v>
      </c>
      <c r="DP283" s="31"/>
      <c r="DV283" s="27" t="s">
        <v>7</v>
      </c>
      <c r="DW283" s="27" t="s">
        <v>8</v>
      </c>
      <c r="DX283" s="27" t="s">
        <v>7</v>
      </c>
      <c r="DY283" s="27" t="s">
        <v>8</v>
      </c>
      <c r="DZ283" s="27" t="s">
        <v>7</v>
      </c>
      <c r="EA283" s="27" t="s">
        <v>8</v>
      </c>
      <c r="EF283" s="27" t="s">
        <v>7</v>
      </c>
      <c r="ET283" s="27" t="s">
        <v>7</v>
      </c>
      <c r="EV283" s="27" t="s">
        <v>7</v>
      </c>
      <c r="EW283" s="27" t="s">
        <v>8</v>
      </c>
      <c r="EX283" s="27" t="s">
        <v>7</v>
      </c>
    </row>
    <row r="284" spans="1:158" x14ac:dyDescent="0.25">
      <c r="A284" s="30">
        <v>0.11686133436193799</v>
      </c>
      <c r="B284"/>
      <c r="C284"/>
      <c r="D284"/>
      <c r="E284"/>
      <c r="F284" s="27" t="s">
        <v>7</v>
      </c>
      <c r="BE284" s="27" t="s">
        <v>8</v>
      </c>
      <c r="BF284" s="27" t="s">
        <v>7</v>
      </c>
      <c r="BG284" s="27" t="s">
        <v>8</v>
      </c>
      <c r="BH284" s="27" t="s">
        <v>7</v>
      </c>
      <c r="BO284" s="27" t="s">
        <v>8</v>
      </c>
      <c r="CB284" s="27" t="s">
        <v>7</v>
      </c>
      <c r="CC284" s="27" t="s">
        <v>8</v>
      </c>
      <c r="CD284" s="27" t="s">
        <v>7</v>
      </c>
      <c r="CE284" s="27" t="s">
        <v>8</v>
      </c>
      <c r="CH284" s="27" t="s">
        <v>7</v>
      </c>
      <c r="CS284" s="27" t="s">
        <v>8</v>
      </c>
      <c r="CZ284" s="27" t="s">
        <v>7</v>
      </c>
      <c r="DA284" s="27" t="s">
        <v>8</v>
      </c>
      <c r="DB284" s="27" t="s">
        <v>7</v>
      </c>
      <c r="DC284" s="27" t="s">
        <v>8</v>
      </c>
      <c r="DD284" s="27" t="s">
        <v>7</v>
      </c>
      <c r="DE284" s="27" t="s">
        <v>8</v>
      </c>
      <c r="DF284" s="27" t="s">
        <v>7</v>
      </c>
      <c r="DI284" s="31"/>
      <c r="DK284" s="27" t="s">
        <v>8</v>
      </c>
      <c r="DL284" s="27" t="s">
        <v>7</v>
      </c>
      <c r="DM284" s="27" t="s">
        <v>8</v>
      </c>
      <c r="DO284" s="31"/>
      <c r="DV284" s="27" t="s">
        <v>7</v>
      </c>
      <c r="DX284" s="27" t="s">
        <v>7</v>
      </c>
      <c r="DY284" s="27" t="s">
        <v>8</v>
      </c>
      <c r="DZ284" s="27" t="s">
        <v>7</v>
      </c>
      <c r="EA284" s="27" t="s">
        <v>8</v>
      </c>
      <c r="EV284" s="27" t="s">
        <v>7</v>
      </c>
      <c r="EW284" s="27" t="s">
        <v>8</v>
      </c>
      <c r="EX284" s="27" t="s">
        <v>7</v>
      </c>
    </row>
    <row r="285" spans="1:158" x14ac:dyDescent="0.25">
      <c r="A285" s="30">
        <v>0.11129650891613138</v>
      </c>
      <c r="B285"/>
      <c r="C285"/>
      <c r="D285"/>
      <c r="E285"/>
      <c r="F285" s="27" t="s">
        <v>7</v>
      </c>
      <c r="BE285" s="27" t="s">
        <v>8</v>
      </c>
      <c r="BF285" s="27" t="s">
        <v>7</v>
      </c>
      <c r="BG285" s="27" t="s">
        <v>8</v>
      </c>
      <c r="BH285" s="27" t="s">
        <v>7</v>
      </c>
      <c r="BM285" s="27" t="s">
        <v>8</v>
      </c>
      <c r="BO285" s="27" t="s">
        <v>8</v>
      </c>
      <c r="CB285" s="27" t="s">
        <v>7</v>
      </c>
      <c r="CD285" s="27" t="s">
        <v>7</v>
      </c>
      <c r="CE285" s="27" t="s">
        <v>8</v>
      </c>
      <c r="CH285" s="27" t="s">
        <v>7</v>
      </c>
      <c r="CS285" s="27" t="s">
        <v>8</v>
      </c>
      <c r="CZ285" s="27" t="s">
        <v>7</v>
      </c>
      <c r="DA285" s="27" t="s">
        <v>8</v>
      </c>
      <c r="DB285" s="27" t="s">
        <v>7</v>
      </c>
      <c r="DC285" s="27" t="s">
        <v>8</v>
      </c>
      <c r="DD285" s="27" t="s">
        <v>7</v>
      </c>
      <c r="DE285" s="27" t="s">
        <v>8</v>
      </c>
      <c r="DF285" s="27" t="s">
        <v>7</v>
      </c>
      <c r="DI285" s="27" t="s">
        <v>8</v>
      </c>
      <c r="DJ285" s="31"/>
      <c r="DK285" s="27" t="s">
        <v>8</v>
      </c>
      <c r="DL285" s="27" t="s">
        <v>7</v>
      </c>
      <c r="DN285" s="31"/>
      <c r="DX285" s="27" t="s">
        <v>7</v>
      </c>
      <c r="DY285" s="27" t="s">
        <v>8</v>
      </c>
      <c r="DZ285" s="27" t="s">
        <v>7</v>
      </c>
      <c r="EV285" s="27" t="s">
        <v>7</v>
      </c>
      <c r="EX285" s="27" t="s">
        <v>7</v>
      </c>
      <c r="EY285" s="27" t="s">
        <v>8</v>
      </c>
    </row>
    <row r="286" spans="1:158" x14ac:dyDescent="0.25">
      <c r="A286" s="30">
        <v>0.10599667515822032</v>
      </c>
      <c r="B286"/>
      <c r="C286"/>
      <c r="D286"/>
      <c r="E286"/>
      <c r="F286" s="27" t="s">
        <v>7</v>
      </c>
      <c r="BE286" s="27" t="s">
        <v>8</v>
      </c>
      <c r="BF286" s="27" t="s">
        <v>7</v>
      </c>
      <c r="BG286" s="27" t="s">
        <v>8</v>
      </c>
      <c r="BH286" s="27" t="s">
        <v>7</v>
      </c>
      <c r="BK286" s="27" t="s">
        <v>8</v>
      </c>
      <c r="BM286" s="27" t="s">
        <v>8</v>
      </c>
      <c r="BN286" s="27" t="s">
        <v>7</v>
      </c>
      <c r="BO286" s="27" t="s">
        <v>8</v>
      </c>
      <c r="CD286" s="27" t="s">
        <v>7</v>
      </c>
      <c r="CH286" s="27" t="s">
        <v>7</v>
      </c>
      <c r="CS286" s="27" t="s">
        <v>8</v>
      </c>
      <c r="CZ286" s="27" t="s">
        <v>7</v>
      </c>
      <c r="DA286" s="27" t="s">
        <v>8</v>
      </c>
      <c r="DB286" s="27" t="s">
        <v>7</v>
      </c>
      <c r="DD286" s="27" t="s">
        <v>7</v>
      </c>
      <c r="DE286" s="27" t="s">
        <v>8</v>
      </c>
      <c r="DF286" s="27" t="s">
        <v>7</v>
      </c>
      <c r="DI286" s="27" t="s">
        <v>8</v>
      </c>
      <c r="DJ286" s="27" t="s">
        <v>7</v>
      </c>
      <c r="DK286" s="31" t="s">
        <v>8</v>
      </c>
      <c r="DM286" s="31"/>
      <c r="DX286" s="27" t="s">
        <v>7</v>
      </c>
      <c r="EX286" s="27" t="s">
        <v>7</v>
      </c>
      <c r="EY286" s="27" t="s">
        <v>8</v>
      </c>
      <c r="EZ286" s="27" t="s">
        <v>7</v>
      </c>
      <c r="FA286" s="27" t="s">
        <v>8</v>
      </c>
    </row>
    <row r="287" spans="1:158" x14ac:dyDescent="0.25">
      <c r="A287" s="30">
        <v>0.10094921443640027</v>
      </c>
      <c r="B287"/>
      <c r="C287"/>
      <c r="D287"/>
      <c r="E287"/>
      <c r="F287" s="27" t="s">
        <v>7</v>
      </c>
      <c r="BE287" s="27" t="s">
        <v>8</v>
      </c>
      <c r="BF287" s="27" t="s">
        <v>7</v>
      </c>
      <c r="BG287" s="27" t="s">
        <v>8</v>
      </c>
      <c r="BH287" s="27" t="s">
        <v>7</v>
      </c>
      <c r="BK287" s="27" t="s">
        <v>8</v>
      </c>
      <c r="BL287" s="27" t="s">
        <v>7</v>
      </c>
      <c r="BM287" s="27" t="s">
        <v>8</v>
      </c>
      <c r="BN287" s="27" t="s">
        <v>7</v>
      </c>
      <c r="BO287" s="27" t="s">
        <v>8</v>
      </c>
      <c r="CH287" s="27" t="s">
        <v>7</v>
      </c>
      <c r="CI287" s="27" t="s">
        <v>8</v>
      </c>
      <c r="CS287" s="27" t="s">
        <v>8</v>
      </c>
      <c r="CZ287" s="27" t="s">
        <v>7</v>
      </c>
      <c r="DA287" s="27" t="s">
        <v>8</v>
      </c>
      <c r="DD287" s="27" t="s">
        <v>7</v>
      </c>
      <c r="DE287" s="27" t="s">
        <v>8</v>
      </c>
      <c r="DF287" s="27" t="s">
        <v>7</v>
      </c>
      <c r="DG287" s="27" t="s">
        <v>8</v>
      </c>
      <c r="DI287" s="27" t="s">
        <v>8</v>
      </c>
      <c r="DJ287" s="27" t="s">
        <v>7</v>
      </c>
      <c r="DK287" s="27" t="s">
        <v>8</v>
      </c>
      <c r="DL287" s="31"/>
      <c r="EX287" s="27" t="s">
        <v>7</v>
      </c>
      <c r="EY287" s="27" t="s">
        <v>8</v>
      </c>
      <c r="EZ287" s="27" t="s">
        <v>7</v>
      </c>
      <c r="FA287" s="27" t="s">
        <v>8</v>
      </c>
      <c r="FB287" s="27" t="s">
        <v>7</v>
      </c>
    </row>
    <row r="288" spans="1:158" x14ac:dyDescent="0.25">
      <c r="A288" s="30">
        <v>9.6142108987047836E-2</v>
      </c>
      <c r="B288"/>
      <c r="C288"/>
      <c r="D288"/>
      <c r="E288"/>
      <c r="F288" s="27" t="s">
        <v>7</v>
      </c>
      <c r="G288" s="27" t="s">
        <v>8</v>
      </c>
      <c r="BE288" s="27" t="s">
        <v>8</v>
      </c>
      <c r="BF288" s="27" t="s">
        <v>7</v>
      </c>
      <c r="BH288" s="27" t="s">
        <v>7</v>
      </c>
      <c r="BK288" s="27" t="s">
        <v>8</v>
      </c>
      <c r="BL288" s="27" t="s">
        <v>7</v>
      </c>
      <c r="BM288" s="27" t="s">
        <v>8</v>
      </c>
      <c r="BN288" s="27" t="s">
        <v>7</v>
      </c>
      <c r="CH288" s="27" t="s">
        <v>7</v>
      </c>
      <c r="CI288" s="27" t="s">
        <v>8</v>
      </c>
      <c r="CJ288" s="27" t="s">
        <v>7</v>
      </c>
      <c r="CM288" s="27" t="s">
        <v>8</v>
      </c>
      <c r="CQ288" s="27" t="s">
        <v>8</v>
      </c>
      <c r="CS288" s="27" t="s">
        <v>8</v>
      </c>
      <c r="CZ288" s="27" t="s">
        <v>7</v>
      </c>
      <c r="DA288" s="27" t="s">
        <v>8</v>
      </c>
      <c r="DD288" s="27" t="s">
        <v>7</v>
      </c>
      <c r="DE288" s="27" t="s">
        <v>8</v>
      </c>
      <c r="DF288" s="27" t="s">
        <v>7</v>
      </c>
      <c r="DG288" s="27" t="s">
        <v>8</v>
      </c>
      <c r="DH288" s="27" t="s">
        <v>7</v>
      </c>
      <c r="DI288" s="27" t="s">
        <v>8</v>
      </c>
      <c r="DJ288" s="27" t="s">
        <v>7</v>
      </c>
      <c r="DK288" s="31" t="s">
        <v>8</v>
      </c>
      <c r="EX288" s="27" t="s">
        <v>7</v>
      </c>
      <c r="EZ288" s="27" t="s">
        <v>7</v>
      </c>
      <c r="FA288" s="27" t="s">
        <v>8</v>
      </c>
      <c r="FB288" s="27" t="s">
        <v>7</v>
      </c>
    </row>
    <row r="289" spans="1:161" x14ac:dyDescent="0.25">
      <c r="A289" s="30">
        <v>9.1563913320997906E-2</v>
      </c>
      <c r="B289"/>
      <c r="C289"/>
      <c r="D289"/>
      <c r="E289"/>
      <c r="F289" s="27" t="s">
        <v>7</v>
      </c>
      <c r="G289" s="27" t="s">
        <v>8</v>
      </c>
      <c r="H289" s="27" t="s">
        <v>7</v>
      </c>
      <c r="BE289" s="27" t="s">
        <v>8</v>
      </c>
      <c r="BH289" s="27" t="s">
        <v>7</v>
      </c>
      <c r="BI289" s="27" t="s">
        <v>8</v>
      </c>
      <c r="BK289" s="27" t="s">
        <v>8</v>
      </c>
      <c r="BL289" s="27" t="s">
        <v>7</v>
      </c>
      <c r="BM289" s="27" t="s">
        <v>8</v>
      </c>
      <c r="CH289" s="27" t="s">
        <v>7</v>
      </c>
      <c r="CI289" s="27" t="s">
        <v>8</v>
      </c>
      <c r="CJ289" s="27" t="s">
        <v>7</v>
      </c>
      <c r="CM289" s="27" t="s">
        <v>8</v>
      </c>
      <c r="CN289" s="27" t="s">
        <v>7</v>
      </c>
      <c r="CO289" s="27" t="s">
        <v>8</v>
      </c>
      <c r="CQ289" s="27" t="s">
        <v>8</v>
      </c>
      <c r="CR289" s="27" t="s">
        <v>7</v>
      </c>
      <c r="CS289" s="27" t="s">
        <v>8</v>
      </c>
      <c r="CZ289" s="27" t="s">
        <v>7</v>
      </c>
      <c r="DA289" s="27" t="s">
        <v>8</v>
      </c>
      <c r="DD289" s="27" t="s">
        <v>7</v>
      </c>
      <c r="DE289" s="27" t="s">
        <v>8</v>
      </c>
      <c r="DF289" s="27" t="s">
        <v>7</v>
      </c>
      <c r="DG289" s="27" t="s">
        <v>8</v>
      </c>
      <c r="DH289" s="27" t="s">
        <v>7</v>
      </c>
      <c r="DI289" s="27" t="s">
        <v>8</v>
      </c>
      <c r="DJ289" s="31" t="s">
        <v>7</v>
      </c>
      <c r="EZ289" s="27" t="s">
        <v>7</v>
      </c>
      <c r="FB289" s="27" t="s">
        <v>7</v>
      </c>
    </row>
    <row r="290" spans="1:161" x14ac:dyDescent="0.25">
      <c r="A290" s="30">
        <v>8.7203726972378923E-2</v>
      </c>
      <c r="B290"/>
      <c r="C290"/>
      <c r="D290"/>
      <c r="E290"/>
      <c r="F290" s="27" t="s">
        <v>7</v>
      </c>
      <c r="G290" s="27" t="s">
        <v>8</v>
      </c>
      <c r="H290" s="27" t="s">
        <v>7</v>
      </c>
      <c r="BE290" s="27" t="s">
        <v>8</v>
      </c>
      <c r="BH290" s="27" t="s">
        <v>7</v>
      </c>
      <c r="BI290" s="27" t="s">
        <v>8</v>
      </c>
      <c r="BJ290" s="27" t="s">
        <v>7</v>
      </c>
      <c r="BK290" s="27" t="s">
        <v>8</v>
      </c>
      <c r="BL290" s="27" t="s">
        <v>7</v>
      </c>
      <c r="BM290" s="27" t="s">
        <v>8</v>
      </c>
      <c r="CH290" s="27" t="s">
        <v>7</v>
      </c>
      <c r="CI290" s="27" t="s">
        <v>8</v>
      </c>
      <c r="CJ290" s="27" t="s">
        <v>7</v>
      </c>
      <c r="CM290" s="27" t="s">
        <v>8</v>
      </c>
      <c r="CN290" s="27" t="s">
        <v>7</v>
      </c>
      <c r="CO290" s="27" t="s">
        <v>8</v>
      </c>
      <c r="CP290" s="27" t="s">
        <v>7</v>
      </c>
      <c r="CQ290" s="27" t="s">
        <v>8</v>
      </c>
      <c r="CR290" s="27" t="s">
        <v>7</v>
      </c>
      <c r="CS290" s="27" t="s">
        <v>8</v>
      </c>
      <c r="CZ290" s="27" t="s">
        <v>7</v>
      </c>
      <c r="DA290" s="27" t="s">
        <v>8</v>
      </c>
      <c r="DD290" s="27" t="s">
        <v>7</v>
      </c>
      <c r="DE290" s="27" t="s">
        <v>8</v>
      </c>
      <c r="DF290" s="27" t="s">
        <v>7</v>
      </c>
      <c r="DG290" s="27" t="s">
        <v>8</v>
      </c>
      <c r="DH290" s="27" t="s">
        <v>7</v>
      </c>
      <c r="DI290" s="31"/>
      <c r="FB290" s="27" t="s">
        <v>7</v>
      </c>
    </row>
    <row r="291" spans="1:161" x14ac:dyDescent="0.25">
      <c r="A291" s="30">
        <v>8.3051168545122747E-2</v>
      </c>
      <c r="B291"/>
      <c r="C291"/>
      <c r="D291"/>
      <c r="E291"/>
      <c r="F291" s="27" t="s">
        <v>7</v>
      </c>
      <c r="G291" s="27" t="s">
        <v>8</v>
      </c>
      <c r="H291" s="27" t="s">
        <v>7</v>
      </c>
      <c r="I291" s="27" t="s">
        <v>8</v>
      </c>
      <c r="BE291" s="27" t="s">
        <v>8</v>
      </c>
      <c r="BH291" s="27" t="s">
        <v>7</v>
      </c>
      <c r="BI291" s="27" t="s">
        <v>8</v>
      </c>
      <c r="BJ291" s="27" t="s">
        <v>7</v>
      </c>
      <c r="BK291" s="27" t="s">
        <v>8</v>
      </c>
      <c r="BL291" s="27" t="s">
        <v>7</v>
      </c>
      <c r="BM291" s="27" t="s">
        <v>8</v>
      </c>
      <c r="CH291" s="27" t="s">
        <v>7</v>
      </c>
      <c r="CI291" s="27" t="s">
        <v>8</v>
      </c>
      <c r="CJ291" s="27" t="s">
        <v>7</v>
      </c>
      <c r="CM291" s="27" t="s">
        <v>8</v>
      </c>
      <c r="CN291" s="27" t="s">
        <v>7</v>
      </c>
      <c r="CO291" s="27" t="s">
        <v>8</v>
      </c>
      <c r="CP291" s="27" t="s">
        <v>7</v>
      </c>
      <c r="CQ291" s="27" t="s">
        <v>8</v>
      </c>
      <c r="CR291" s="27" t="s">
        <v>7</v>
      </c>
      <c r="CS291" s="27" t="s">
        <v>8</v>
      </c>
      <c r="CZ291" s="27" t="s">
        <v>7</v>
      </c>
      <c r="DD291" s="27" t="s">
        <v>7</v>
      </c>
      <c r="DF291" s="18" t="s">
        <v>7</v>
      </c>
      <c r="DG291" s="27" t="s">
        <v>8</v>
      </c>
      <c r="DH291" s="31"/>
      <c r="FB291" s="27" t="s">
        <v>7</v>
      </c>
    </row>
    <row r="292" spans="1:161" x14ac:dyDescent="0.25">
      <c r="A292" s="30">
        <v>7.9096350995354961E-2</v>
      </c>
      <c r="B292"/>
      <c r="C292"/>
      <c r="D292"/>
      <c r="E292"/>
      <c r="F292" s="27" t="s">
        <v>7</v>
      </c>
      <c r="G292" s="27" t="s">
        <v>8</v>
      </c>
      <c r="H292" s="27" t="s">
        <v>7</v>
      </c>
      <c r="I292" s="27" t="s">
        <v>8</v>
      </c>
      <c r="J292" s="27" t="s">
        <v>7</v>
      </c>
      <c r="K292" s="27" t="s">
        <v>8</v>
      </c>
      <c r="BC292" s="27" t="s">
        <v>8</v>
      </c>
      <c r="BE292" s="27" t="s">
        <v>8</v>
      </c>
      <c r="BH292" s="27" t="s">
        <v>7</v>
      </c>
      <c r="BI292" s="27" t="s">
        <v>8</v>
      </c>
      <c r="BJ292" s="27" t="s">
        <v>7</v>
      </c>
      <c r="BK292" s="27" t="s">
        <v>8</v>
      </c>
      <c r="BL292" s="27" t="s">
        <v>7</v>
      </c>
      <c r="BM292" s="27" t="s">
        <v>8</v>
      </c>
      <c r="CH292" s="27" t="s">
        <v>7</v>
      </c>
      <c r="CI292" s="27" t="s">
        <v>8</v>
      </c>
      <c r="CJ292" s="27" t="s">
        <v>7</v>
      </c>
      <c r="CK292" s="27" t="s">
        <v>8</v>
      </c>
      <c r="CM292" s="27" t="s">
        <v>8</v>
      </c>
      <c r="CN292" s="27" t="s">
        <v>7</v>
      </c>
      <c r="CO292" s="27" t="s">
        <v>8</v>
      </c>
      <c r="CP292" s="27" t="s">
        <v>7</v>
      </c>
      <c r="CQ292" s="27" t="s">
        <v>8</v>
      </c>
      <c r="CR292" s="27" t="s">
        <v>7</v>
      </c>
      <c r="CS292" s="27" t="s">
        <v>8</v>
      </c>
      <c r="DF292" s="27" t="s">
        <v>7</v>
      </c>
      <c r="DG292" s="31" t="s">
        <v>8</v>
      </c>
      <c r="FB292" s="27" t="s">
        <v>7</v>
      </c>
      <c r="FC292" s="27" t="s">
        <v>8</v>
      </c>
    </row>
    <row r="293" spans="1:161" x14ac:dyDescent="0.25">
      <c r="A293" s="30">
        <v>7.5329858090814217E-2</v>
      </c>
      <c r="B293"/>
      <c r="C293"/>
      <c r="D293"/>
      <c r="E293"/>
      <c r="F293" s="27" t="s">
        <v>7</v>
      </c>
      <c r="G293" s="27" t="s">
        <v>8</v>
      </c>
      <c r="H293" s="27" t="s">
        <v>7</v>
      </c>
      <c r="I293" s="27" t="s">
        <v>8</v>
      </c>
      <c r="J293" s="27" t="s">
        <v>7</v>
      </c>
      <c r="K293" s="27" t="s">
        <v>8</v>
      </c>
      <c r="L293" s="27" t="s">
        <v>7</v>
      </c>
      <c r="U293" s="27" t="s">
        <v>8</v>
      </c>
      <c r="W293" s="27" t="s">
        <v>8</v>
      </c>
      <c r="BC293" s="27" t="s">
        <v>8</v>
      </c>
      <c r="BD293" s="27" t="s">
        <v>7</v>
      </c>
      <c r="BE293" s="27" t="s">
        <v>8</v>
      </c>
      <c r="BH293" s="27" t="s">
        <v>7</v>
      </c>
      <c r="BI293" s="27" t="s">
        <v>8</v>
      </c>
      <c r="BJ293" s="27" t="s">
        <v>7</v>
      </c>
      <c r="BK293" s="27" t="s">
        <v>8</v>
      </c>
      <c r="BL293" s="27" t="s">
        <v>7</v>
      </c>
      <c r="CH293" s="27" t="s">
        <v>7</v>
      </c>
      <c r="CI293" s="27" t="s">
        <v>8</v>
      </c>
      <c r="CJ293" s="27" t="s">
        <v>7</v>
      </c>
      <c r="CK293" s="27" t="s">
        <v>8</v>
      </c>
      <c r="CL293" s="27" t="s">
        <v>7</v>
      </c>
      <c r="CM293" s="27" t="s">
        <v>8</v>
      </c>
      <c r="CN293" s="27" t="s">
        <v>7</v>
      </c>
      <c r="CO293" s="27" t="s">
        <v>8</v>
      </c>
      <c r="CP293" s="27" t="s">
        <v>7</v>
      </c>
      <c r="CR293" s="27" t="s">
        <v>7</v>
      </c>
      <c r="CS293" s="27" t="s">
        <v>8</v>
      </c>
      <c r="DF293" s="31" t="s">
        <v>7</v>
      </c>
      <c r="FB293" s="27" t="s">
        <v>7</v>
      </c>
      <c r="FC293" s="27" t="s">
        <v>8</v>
      </c>
      <c r="FD293" s="27" t="s">
        <v>7</v>
      </c>
      <c r="FE293" s="27" t="s">
        <v>8</v>
      </c>
    </row>
    <row r="294" spans="1:161" x14ac:dyDescent="0.25">
      <c r="A294" s="30">
        <v>7.1742721991251604E-2</v>
      </c>
      <c r="B294"/>
      <c r="C294"/>
      <c r="D294"/>
      <c r="E294"/>
      <c r="F294" s="27" t="s">
        <v>7</v>
      </c>
      <c r="G294" s="27" t="s">
        <v>8</v>
      </c>
      <c r="H294" s="27" t="s">
        <v>7</v>
      </c>
      <c r="I294" s="27" t="s">
        <v>8</v>
      </c>
      <c r="J294" s="27" t="s">
        <v>7</v>
      </c>
      <c r="K294" s="27" t="s">
        <v>8</v>
      </c>
      <c r="L294" s="27" t="s">
        <v>7</v>
      </c>
      <c r="U294" s="27" t="s">
        <v>8</v>
      </c>
      <c r="V294" s="27" t="s">
        <v>7</v>
      </c>
      <c r="W294" s="27" t="s">
        <v>8</v>
      </c>
      <c r="X294" s="27" t="s">
        <v>7</v>
      </c>
      <c r="AY294" s="27" t="s">
        <v>8</v>
      </c>
      <c r="BC294" s="27" t="s">
        <v>8</v>
      </c>
      <c r="BD294" s="27" t="s">
        <v>7</v>
      </c>
      <c r="BE294" s="27" t="s">
        <v>8</v>
      </c>
      <c r="BH294" s="27" t="s">
        <v>7</v>
      </c>
      <c r="BJ294" s="27" t="s">
        <v>7</v>
      </c>
      <c r="CH294" s="27" t="s">
        <v>7</v>
      </c>
      <c r="CJ294" s="27" t="s">
        <v>7</v>
      </c>
      <c r="CK294" s="27" t="s">
        <v>8</v>
      </c>
      <c r="CL294" s="27" t="s">
        <v>7</v>
      </c>
      <c r="CM294" s="27" t="s">
        <v>8</v>
      </c>
      <c r="CN294" s="27" t="s">
        <v>7</v>
      </c>
      <c r="CR294" s="27" t="s">
        <v>7</v>
      </c>
      <c r="CS294" s="27" t="s">
        <v>8</v>
      </c>
      <c r="FB294" s="27" t="s">
        <v>7</v>
      </c>
      <c r="FC294" s="27" t="s">
        <v>8</v>
      </c>
      <c r="FD294" s="27" t="s">
        <v>7</v>
      </c>
      <c r="FE294" s="27" t="s">
        <v>8</v>
      </c>
    </row>
    <row r="295" spans="1:161" x14ac:dyDescent="0.25">
      <c r="A295" s="30">
        <v>6.8326401896430078E-2</v>
      </c>
      <c r="B295"/>
      <c r="C295"/>
      <c r="D295"/>
      <c r="E295"/>
      <c r="F295" s="27" t="s">
        <v>7</v>
      </c>
      <c r="G295" s="27" t="s">
        <v>8</v>
      </c>
      <c r="H295" s="27" t="s">
        <v>7</v>
      </c>
      <c r="I295" s="27" t="s">
        <v>8</v>
      </c>
      <c r="J295" s="27" t="s">
        <v>7</v>
      </c>
      <c r="L295" s="27" t="s">
        <v>7</v>
      </c>
      <c r="Q295" s="27" t="s">
        <v>8</v>
      </c>
      <c r="U295" s="27" t="s">
        <v>8</v>
      </c>
      <c r="V295" s="27" t="s">
        <v>7</v>
      </c>
      <c r="W295" s="27" t="s">
        <v>8</v>
      </c>
      <c r="X295" s="27" t="s">
        <v>7</v>
      </c>
      <c r="AQ295" s="27" t="s">
        <v>8</v>
      </c>
      <c r="AS295" s="27" t="s">
        <v>8</v>
      </c>
      <c r="AY295" s="27" t="s">
        <v>8</v>
      </c>
      <c r="AZ295" s="27" t="s">
        <v>7</v>
      </c>
      <c r="BA295" s="27" t="s">
        <v>8</v>
      </c>
      <c r="BC295" s="27" t="s">
        <v>8</v>
      </c>
      <c r="BD295" s="27" t="s">
        <v>7</v>
      </c>
      <c r="BE295" s="27" t="s">
        <v>8</v>
      </c>
      <c r="CJ295" s="27" t="s">
        <v>7</v>
      </c>
      <c r="CK295" s="27" t="s">
        <v>8</v>
      </c>
      <c r="CL295" s="27" t="s">
        <v>7</v>
      </c>
      <c r="CR295" s="27" t="s">
        <v>7</v>
      </c>
      <c r="FB295" s="27" t="s">
        <v>7</v>
      </c>
      <c r="FD295" s="27" t="s">
        <v>7</v>
      </c>
      <c r="FE295" s="27" t="s">
        <v>8</v>
      </c>
    </row>
    <row r="296" spans="1:161" x14ac:dyDescent="0.25">
      <c r="A296" s="30">
        <v>6.5072763710885759E-2</v>
      </c>
      <c r="B296"/>
      <c r="C296"/>
      <c r="D296"/>
      <c r="E296"/>
      <c r="F296" s="27" t="s">
        <v>7</v>
      </c>
      <c r="G296" s="27" t="s">
        <v>8</v>
      </c>
      <c r="H296" s="27" t="s">
        <v>7</v>
      </c>
      <c r="I296" s="27" t="s">
        <v>8</v>
      </c>
      <c r="L296" s="27" t="s">
        <v>7</v>
      </c>
      <c r="M296" s="27" t="s">
        <v>8</v>
      </c>
      <c r="Q296" s="27" t="s">
        <v>8</v>
      </c>
      <c r="R296" s="27" t="s">
        <v>7</v>
      </c>
      <c r="U296" s="27" t="s">
        <v>8</v>
      </c>
      <c r="V296" s="27" t="s">
        <v>7</v>
      </c>
      <c r="W296" s="27" t="s">
        <v>8</v>
      </c>
      <c r="X296" s="27" t="s">
        <v>7</v>
      </c>
      <c r="AQ296" s="27" t="s">
        <v>8</v>
      </c>
      <c r="AR296" s="27" t="s">
        <v>7</v>
      </c>
      <c r="AS296" s="27" t="s">
        <v>8</v>
      </c>
      <c r="AT296" s="27" t="s">
        <v>7</v>
      </c>
      <c r="AW296" s="27" t="s">
        <v>8</v>
      </c>
      <c r="AY296" s="27" t="s">
        <v>8</v>
      </c>
      <c r="AZ296" s="27" t="s">
        <v>7</v>
      </c>
      <c r="BA296" s="27" t="s">
        <v>8</v>
      </c>
      <c r="BB296" s="27" t="s">
        <v>7</v>
      </c>
      <c r="BC296" s="27" t="s">
        <v>8</v>
      </c>
      <c r="BD296" s="27" t="s">
        <v>7</v>
      </c>
      <c r="CJ296" s="27" t="s">
        <v>7</v>
      </c>
      <c r="CK296" s="27" t="s">
        <v>8</v>
      </c>
      <c r="FD296" s="27" t="s">
        <v>7</v>
      </c>
    </row>
    <row r="297" spans="1:161" x14ac:dyDescent="0.25">
      <c r="A297" s="30">
        <v>6.197406067703403E-2</v>
      </c>
      <c r="B297"/>
      <c r="C297"/>
      <c r="D297"/>
      <c r="E297"/>
      <c r="F297" s="27" t="s">
        <v>7</v>
      </c>
      <c r="G297" s="27" t="s">
        <v>8</v>
      </c>
      <c r="H297" s="27" t="s">
        <v>7</v>
      </c>
      <c r="L297" s="27" t="s">
        <v>7</v>
      </c>
      <c r="M297" s="27" t="s">
        <v>8</v>
      </c>
      <c r="N297" s="27" t="s">
        <v>7</v>
      </c>
      <c r="O297" s="27" t="s">
        <v>8</v>
      </c>
      <c r="Q297" s="27" t="s">
        <v>8</v>
      </c>
      <c r="R297" s="27" t="s">
        <v>7</v>
      </c>
      <c r="S297" s="27" t="s">
        <v>8</v>
      </c>
      <c r="U297" s="27" t="s">
        <v>8</v>
      </c>
      <c r="V297" s="27" t="s">
        <v>7</v>
      </c>
      <c r="W297" s="27" t="s">
        <v>8</v>
      </c>
      <c r="X297" s="27" t="s">
        <v>7</v>
      </c>
      <c r="Y297" s="27" t="s">
        <v>8</v>
      </c>
      <c r="AQ297" s="27" t="s">
        <v>8</v>
      </c>
      <c r="AR297" s="27" t="s">
        <v>7</v>
      </c>
      <c r="AS297" s="27" t="s">
        <v>8</v>
      </c>
      <c r="AT297" s="27" t="s">
        <v>7</v>
      </c>
      <c r="AW297" s="27" t="s">
        <v>8</v>
      </c>
      <c r="AX297" s="27" t="s">
        <v>7</v>
      </c>
      <c r="AY297" s="27" t="s">
        <v>8</v>
      </c>
      <c r="AZ297" s="27" t="s">
        <v>7</v>
      </c>
      <c r="BA297" s="27" t="s">
        <v>8</v>
      </c>
      <c r="BB297" s="27" t="s">
        <v>7</v>
      </c>
      <c r="BC297" s="27" t="s">
        <v>8</v>
      </c>
      <c r="CJ297" s="27" t="s">
        <v>7</v>
      </c>
      <c r="CK297" s="27" t="s">
        <v>8</v>
      </c>
    </row>
    <row r="298" spans="1:161" x14ac:dyDescent="0.25">
      <c r="A298" s="30">
        <v>5.9022914930508576E-2</v>
      </c>
      <c r="B298"/>
      <c r="C298"/>
      <c r="D298"/>
      <c r="E298"/>
      <c r="F298" s="27" t="s">
        <v>7</v>
      </c>
      <c r="G298" s="27" t="s">
        <v>8</v>
      </c>
      <c r="L298" s="27" t="s">
        <v>7</v>
      </c>
      <c r="M298" s="27" t="s">
        <v>8</v>
      </c>
      <c r="N298" s="27" t="s">
        <v>7</v>
      </c>
      <c r="O298" s="27" t="s">
        <v>8</v>
      </c>
      <c r="P298" s="27" t="s">
        <v>7</v>
      </c>
      <c r="Q298" s="27" t="s">
        <v>8</v>
      </c>
      <c r="R298" s="27" t="s">
        <v>7</v>
      </c>
      <c r="S298" s="27" t="s">
        <v>8</v>
      </c>
      <c r="T298" s="27" t="s">
        <v>7</v>
      </c>
      <c r="U298" s="27" t="s">
        <v>8</v>
      </c>
      <c r="V298" s="27" t="s">
        <v>7</v>
      </c>
      <c r="W298" s="27" t="s">
        <v>8</v>
      </c>
      <c r="X298" s="27" t="s">
        <v>7</v>
      </c>
      <c r="Y298" s="27" t="s">
        <v>8</v>
      </c>
      <c r="Z298" s="27" t="s">
        <v>7</v>
      </c>
      <c r="AQ298" s="27" t="s">
        <v>8</v>
      </c>
      <c r="AR298" s="27" t="s">
        <v>7</v>
      </c>
      <c r="AS298" s="27" t="s">
        <v>8</v>
      </c>
      <c r="AT298" s="27" t="s">
        <v>7</v>
      </c>
      <c r="AW298" s="27" t="s">
        <v>8</v>
      </c>
      <c r="AX298" s="27" t="s">
        <v>7</v>
      </c>
      <c r="AY298" s="27" t="s">
        <v>8</v>
      </c>
      <c r="AZ298" s="27" t="s">
        <v>7</v>
      </c>
      <c r="BA298" s="27" t="s">
        <v>8</v>
      </c>
      <c r="BB298" s="27" t="s">
        <v>7</v>
      </c>
      <c r="BC298" s="27" t="s">
        <v>8</v>
      </c>
      <c r="CJ298" s="27" t="s">
        <v>7</v>
      </c>
      <c r="CK298" s="27" t="s">
        <v>8</v>
      </c>
    </row>
    <row r="299" spans="1:161" x14ac:dyDescent="0.25">
      <c r="A299" s="30">
        <v>5.6212299933817669E-2</v>
      </c>
      <c r="B299"/>
      <c r="C299"/>
      <c r="D299"/>
      <c r="E299"/>
      <c r="F299" s="27" t="s">
        <v>7</v>
      </c>
      <c r="G299" s="27" t="s">
        <v>8</v>
      </c>
      <c r="L299" s="27" t="s">
        <v>7</v>
      </c>
      <c r="M299" s="27" t="s">
        <v>8</v>
      </c>
      <c r="N299" s="27" t="s">
        <v>7</v>
      </c>
      <c r="O299" s="27" t="s">
        <v>8</v>
      </c>
      <c r="P299" s="27" t="s">
        <v>7</v>
      </c>
      <c r="Q299" s="27" t="s">
        <v>8</v>
      </c>
      <c r="R299" s="27" t="s">
        <v>7</v>
      </c>
      <c r="S299" s="27" t="s">
        <v>8</v>
      </c>
      <c r="T299" s="27" t="s">
        <v>7</v>
      </c>
      <c r="U299" s="27" t="s">
        <v>8</v>
      </c>
      <c r="V299" s="27" t="s">
        <v>7</v>
      </c>
      <c r="X299" s="27" t="s">
        <v>7</v>
      </c>
      <c r="Y299" s="27" t="s">
        <v>8</v>
      </c>
      <c r="Z299" s="27" t="s">
        <v>7</v>
      </c>
      <c r="AM299" s="27" t="s">
        <v>8</v>
      </c>
      <c r="AQ299" s="27" t="s">
        <v>8</v>
      </c>
      <c r="AR299" s="27" t="s">
        <v>7</v>
      </c>
      <c r="AS299" s="27" t="s">
        <v>8</v>
      </c>
      <c r="AT299" s="27" t="s">
        <v>7</v>
      </c>
      <c r="AW299" s="27" t="s">
        <v>8</v>
      </c>
      <c r="AX299" s="27" t="s">
        <v>7</v>
      </c>
      <c r="AY299" s="27" t="s">
        <v>8</v>
      </c>
      <c r="AZ299" s="27" t="s">
        <v>7</v>
      </c>
      <c r="BA299" s="27" t="s">
        <v>8</v>
      </c>
      <c r="BB299" s="27" t="s">
        <v>7</v>
      </c>
      <c r="CJ299" s="27" t="s">
        <v>7</v>
      </c>
      <c r="CK299" s="27" t="s">
        <v>8</v>
      </c>
    </row>
    <row r="300" spans="1:161" x14ac:dyDescent="0.25">
      <c r="A300" s="30">
        <v>5.3535523746492994E-2</v>
      </c>
      <c r="B300"/>
      <c r="C300"/>
      <c r="D300"/>
      <c r="E300"/>
      <c r="F300" s="27" t="s">
        <v>7</v>
      </c>
      <c r="G300" s="27" t="s">
        <v>8</v>
      </c>
      <c r="L300" s="27" t="s">
        <v>7</v>
      </c>
      <c r="M300" s="27" t="s">
        <v>8</v>
      </c>
      <c r="N300" s="27" t="s">
        <v>7</v>
      </c>
      <c r="P300" s="27" t="s">
        <v>7</v>
      </c>
      <c r="Q300" s="27" t="s">
        <v>8</v>
      </c>
      <c r="R300" s="27" t="s">
        <v>7</v>
      </c>
      <c r="S300" s="27" t="s">
        <v>8</v>
      </c>
      <c r="T300" s="27" t="s">
        <v>7</v>
      </c>
      <c r="X300" s="27" t="s">
        <v>7</v>
      </c>
      <c r="Z300" s="27" t="s">
        <v>7</v>
      </c>
      <c r="AA300" s="27" t="s">
        <v>8</v>
      </c>
      <c r="AE300" s="27" t="s">
        <v>8</v>
      </c>
      <c r="AM300" s="27" t="s">
        <v>8</v>
      </c>
      <c r="AN300" s="27" t="s">
        <v>7</v>
      </c>
      <c r="AQ300" s="27" t="s">
        <v>8</v>
      </c>
      <c r="AR300" s="27" t="s">
        <v>7</v>
      </c>
      <c r="AS300" s="27" t="s">
        <v>8</v>
      </c>
      <c r="AT300" s="27" t="s">
        <v>7</v>
      </c>
      <c r="AU300" s="27" t="s">
        <v>8</v>
      </c>
      <c r="AW300" s="27" t="s">
        <v>8</v>
      </c>
      <c r="AX300" s="27" t="s">
        <v>7</v>
      </c>
      <c r="AY300" s="27" t="s">
        <v>8</v>
      </c>
      <c r="AZ300" s="27" t="s">
        <v>7</v>
      </c>
      <c r="BA300" s="27" t="s">
        <v>8</v>
      </c>
      <c r="CJ300" s="27" t="s">
        <v>7</v>
      </c>
      <c r="CK300" s="27" t="s">
        <v>8</v>
      </c>
    </row>
    <row r="301" spans="1:161" x14ac:dyDescent="0.25">
      <c r="A301" s="30">
        <v>5.0986213091898068E-2</v>
      </c>
      <c r="B301"/>
      <c r="C301"/>
      <c r="D301"/>
      <c r="E301"/>
      <c r="F301" s="27" t="s">
        <v>7</v>
      </c>
      <c r="G301" s="27" t="s">
        <v>8</v>
      </c>
      <c r="L301" s="27" t="s">
        <v>7</v>
      </c>
      <c r="P301" s="27" t="s">
        <v>7</v>
      </c>
      <c r="Q301" s="27" t="s">
        <v>8</v>
      </c>
      <c r="R301" s="27" t="s">
        <v>7</v>
      </c>
      <c r="S301" s="27" t="s">
        <v>8</v>
      </c>
      <c r="Z301" s="27" t="s">
        <v>7</v>
      </c>
      <c r="AA301" s="27" t="s">
        <v>8</v>
      </c>
      <c r="AB301" s="27" t="s">
        <v>7</v>
      </c>
      <c r="AE301" s="27" t="s">
        <v>8</v>
      </c>
      <c r="AF301" s="27" t="s">
        <v>7</v>
      </c>
      <c r="AM301" s="27" t="s">
        <v>8</v>
      </c>
      <c r="AN301" s="27" t="s">
        <v>7</v>
      </c>
      <c r="AQ301" s="27" t="s">
        <v>8</v>
      </c>
      <c r="AR301" s="27" t="s">
        <v>7</v>
      </c>
      <c r="AS301" s="27" t="s">
        <v>8</v>
      </c>
      <c r="AT301" s="27" t="s">
        <v>7</v>
      </c>
      <c r="AU301" s="27" t="s">
        <v>8</v>
      </c>
      <c r="AV301" s="27" t="s">
        <v>7</v>
      </c>
      <c r="AW301" s="27" t="s">
        <v>8</v>
      </c>
      <c r="AX301" s="27" t="s">
        <v>7</v>
      </c>
      <c r="AY301" s="27" t="s">
        <v>8</v>
      </c>
      <c r="AZ301" s="27" t="s">
        <v>7</v>
      </c>
      <c r="CJ301" s="27" t="s">
        <v>7</v>
      </c>
    </row>
    <row r="302" spans="1:161" x14ac:dyDescent="0.25">
      <c r="A302" s="30">
        <v>4.8558298182760043E-2</v>
      </c>
      <c r="B302"/>
      <c r="C302"/>
      <c r="D302"/>
      <c r="E302"/>
      <c r="F302" s="27" t="s">
        <v>7</v>
      </c>
      <c r="G302" s="27" t="s">
        <v>8</v>
      </c>
      <c r="P302" s="27" t="s">
        <v>7</v>
      </c>
      <c r="Q302" s="27" t="s">
        <v>8</v>
      </c>
      <c r="R302" s="27" t="s">
        <v>7</v>
      </c>
      <c r="S302" s="27" t="s">
        <v>8</v>
      </c>
      <c r="Z302" s="27" t="s">
        <v>7</v>
      </c>
      <c r="AA302" s="27" t="s">
        <v>8</v>
      </c>
      <c r="AB302" s="27" t="s">
        <v>7</v>
      </c>
      <c r="AE302" s="27" t="s">
        <v>8</v>
      </c>
      <c r="AF302" s="27" t="s">
        <v>7</v>
      </c>
      <c r="AI302" s="27" t="s">
        <v>8</v>
      </c>
      <c r="AM302" s="27" t="s">
        <v>8</v>
      </c>
      <c r="AN302" s="27" t="s">
        <v>7</v>
      </c>
      <c r="AQ302" s="27" t="s">
        <v>8</v>
      </c>
      <c r="AR302" s="27" t="s">
        <v>7</v>
      </c>
      <c r="AS302" s="27" t="s">
        <v>8</v>
      </c>
      <c r="AT302" s="27" t="s">
        <v>7</v>
      </c>
      <c r="AU302" s="27" t="s">
        <v>8</v>
      </c>
      <c r="AV302" s="27" t="s">
        <v>7</v>
      </c>
      <c r="AW302" s="27" t="s">
        <v>8</v>
      </c>
      <c r="AX302" s="27" t="s">
        <v>7</v>
      </c>
      <c r="AY302" s="27" t="s">
        <v>8</v>
      </c>
    </row>
    <row r="303" spans="1:161" x14ac:dyDescent="0.25">
      <c r="A303" s="30">
        <v>4.6245998269295263E-2</v>
      </c>
      <c r="B303"/>
      <c r="C303"/>
      <c r="D303"/>
      <c r="E303"/>
      <c r="F303" s="27" t="s">
        <v>7</v>
      </c>
      <c r="G303" s="27" t="s">
        <v>8</v>
      </c>
      <c r="P303" s="27" t="s">
        <v>7</v>
      </c>
      <c r="Q303" s="27" t="s">
        <v>8</v>
      </c>
      <c r="R303" s="27" t="s">
        <v>7</v>
      </c>
      <c r="Z303" s="27" t="s">
        <v>7</v>
      </c>
      <c r="AA303" s="27" t="s">
        <v>8</v>
      </c>
      <c r="AB303" s="27" t="s">
        <v>7</v>
      </c>
      <c r="AC303" s="27" t="s">
        <v>8</v>
      </c>
      <c r="AE303" s="27" t="s">
        <v>8</v>
      </c>
      <c r="AF303" s="27" t="s">
        <v>7</v>
      </c>
      <c r="AG303" s="27" t="s">
        <v>8</v>
      </c>
      <c r="AI303" s="27" t="s">
        <v>8</v>
      </c>
      <c r="AJ303" s="27" t="s">
        <v>7</v>
      </c>
      <c r="AK303" s="27" t="s">
        <v>8</v>
      </c>
      <c r="AM303" s="27" t="s">
        <v>8</v>
      </c>
      <c r="AN303" s="27" t="s">
        <v>7</v>
      </c>
      <c r="AO303" s="27" t="s">
        <v>8</v>
      </c>
      <c r="AQ303" s="27" t="s">
        <v>8</v>
      </c>
      <c r="AR303" s="27" t="s">
        <v>7</v>
      </c>
      <c r="AS303" s="27" t="s">
        <v>8</v>
      </c>
      <c r="AT303" s="27" t="s">
        <v>7</v>
      </c>
      <c r="AU303" s="27" t="s">
        <v>8</v>
      </c>
      <c r="AV303" s="27" t="s">
        <v>7</v>
      </c>
      <c r="AX303" s="27" t="s">
        <v>7</v>
      </c>
    </row>
    <row r="304" spans="1:161" x14ac:dyDescent="0.25">
      <c r="A304" s="30">
        <v>4.4043807875519279E-2</v>
      </c>
      <c r="B304"/>
      <c r="C304"/>
      <c r="D304"/>
      <c r="E304"/>
      <c r="F304" s="27" t="s">
        <v>7</v>
      </c>
      <c r="G304" s="27" t="s">
        <v>8</v>
      </c>
      <c r="P304" s="27" t="s">
        <v>7</v>
      </c>
      <c r="Z304" s="27" t="s">
        <v>7</v>
      </c>
      <c r="AA304" s="27" t="s">
        <v>8</v>
      </c>
      <c r="AB304" s="27" t="s">
        <v>7</v>
      </c>
      <c r="AC304" s="27" t="s">
        <v>8</v>
      </c>
      <c r="AD304" s="27" t="s">
        <v>7</v>
      </c>
      <c r="AE304" s="27" t="s">
        <v>8</v>
      </c>
      <c r="AF304" s="27" t="s">
        <v>7</v>
      </c>
      <c r="AG304" s="27" t="s">
        <v>8</v>
      </c>
      <c r="AH304" s="27" t="s">
        <v>7</v>
      </c>
      <c r="AI304" s="27" t="s">
        <v>8</v>
      </c>
      <c r="AJ304" s="27" t="s">
        <v>7</v>
      </c>
      <c r="AK304" s="27" t="s">
        <v>8</v>
      </c>
      <c r="AL304" s="27" t="s">
        <v>7</v>
      </c>
      <c r="AM304" s="27" t="s">
        <v>8</v>
      </c>
      <c r="AN304" s="27" t="s">
        <v>7</v>
      </c>
      <c r="AO304" s="27" t="s">
        <v>8</v>
      </c>
      <c r="AP304" s="27" t="s">
        <v>7</v>
      </c>
      <c r="AQ304" s="27" t="s">
        <v>8</v>
      </c>
      <c r="AR304" s="27" t="s">
        <v>7</v>
      </c>
      <c r="AS304" s="27" t="s">
        <v>8</v>
      </c>
      <c r="AT304" s="27" t="s">
        <v>7</v>
      </c>
      <c r="AU304" s="27" t="s">
        <v>8</v>
      </c>
    </row>
    <row r="305" spans="1:47" x14ac:dyDescent="0.25">
      <c r="A305" s="30">
        <v>4.1946483690970725E-2</v>
      </c>
      <c r="B305"/>
      <c r="C305"/>
      <c r="D305"/>
      <c r="E305"/>
      <c r="F305" s="27" t="s">
        <v>7</v>
      </c>
      <c r="G305" s="27" t="s">
        <v>8</v>
      </c>
      <c r="Z305" s="27" t="s">
        <v>7</v>
      </c>
      <c r="AA305" s="27" t="s">
        <v>8</v>
      </c>
      <c r="AB305" s="27" t="s">
        <v>7</v>
      </c>
      <c r="AC305" s="27" t="s">
        <v>8</v>
      </c>
      <c r="AD305" s="27" t="s">
        <v>7</v>
      </c>
      <c r="AE305" s="27" t="s">
        <v>8</v>
      </c>
      <c r="AF305" s="27" t="s">
        <v>7</v>
      </c>
      <c r="AG305" s="27" t="s">
        <v>8</v>
      </c>
      <c r="AH305" s="27" t="s">
        <v>7</v>
      </c>
      <c r="AI305" s="27" t="s">
        <v>8</v>
      </c>
      <c r="AJ305" s="27" t="s">
        <v>7</v>
      </c>
      <c r="AK305" s="27" t="s">
        <v>8</v>
      </c>
      <c r="AL305" s="27" t="s">
        <v>7</v>
      </c>
      <c r="AM305" s="27" t="s">
        <v>8</v>
      </c>
      <c r="AN305" s="27" t="s">
        <v>7</v>
      </c>
      <c r="AO305" s="27" t="s">
        <v>8</v>
      </c>
      <c r="AP305" s="27" t="s">
        <v>7</v>
      </c>
      <c r="AQ305" s="27" t="s">
        <v>8</v>
      </c>
      <c r="AR305" s="27" t="s">
        <v>7</v>
      </c>
      <c r="AS305" s="27" t="s">
        <v>8</v>
      </c>
      <c r="AT305" s="27" t="s">
        <v>7</v>
      </c>
      <c r="AU305" s="27" t="s">
        <v>8</v>
      </c>
    </row>
    <row r="306" spans="1:47" x14ac:dyDescent="0.25">
      <c r="A306" s="30">
        <v>3.9949032086638768E-2</v>
      </c>
      <c r="B306"/>
      <c r="C306"/>
      <c r="D306"/>
      <c r="E306"/>
      <c r="F306" s="27" t="s">
        <v>7</v>
      </c>
      <c r="G306" s="27" t="s">
        <v>8</v>
      </c>
      <c r="Z306" s="27" t="s">
        <v>7</v>
      </c>
      <c r="AA306" s="27" t="s">
        <v>8</v>
      </c>
      <c r="AB306" s="27" t="s">
        <v>7</v>
      </c>
      <c r="AC306" s="27" t="s">
        <v>8</v>
      </c>
      <c r="AD306" s="27" t="s">
        <v>7</v>
      </c>
      <c r="AF306" s="27" t="s">
        <v>7</v>
      </c>
      <c r="AG306" s="27" t="s">
        <v>8</v>
      </c>
      <c r="AH306" s="27" t="s">
        <v>7</v>
      </c>
      <c r="AJ306" s="27" t="s">
        <v>7</v>
      </c>
      <c r="AK306" s="27" t="s">
        <v>8</v>
      </c>
      <c r="AL306" s="27" t="s">
        <v>7</v>
      </c>
      <c r="AM306" s="27" t="s">
        <v>8</v>
      </c>
      <c r="AN306" s="27" t="s">
        <v>7</v>
      </c>
      <c r="AO306" s="27" t="s">
        <v>8</v>
      </c>
      <c r="AP306" s="27" t="s">
        <v>7</v>
      </c>
      <c r="AQ306" s="27" t="s">
        <v>8</v>
      </c>
      <c r="AR306" s="27" t="s">
        <v>7</v>
      </c>
      <c r="AS306" s="27" t="s">
        <v>8</v>
      </c>
      <c r="AT306" s="27" t="s">
        <v>7</v>
      </c>
      <c r="AU306" s="27" t="s">
        <v>8</v>
      </c>
    </row>
    <row r="307" spans="1:47" x14ac:dyDescent="0.25">
      <c r="A307" s="30">
        <v>3.8046697225370241E-2</v>
      </c>
      <c r="B307"/>
      <c r="C307"/>
      <c r="D307"/>
      <c r="E307"/>
      <c r="F307" s="27" t="s">
        <v>7</v>
      </c>
      <c r="G307" s="27" t="s">
        <v>8</v>
      </c>
      <c r="Z307" s="27" t="s">
        <v>7</v>
      </c>
      <c r="AB307" s="27" t="s">
        <v>7</v>
      </c>
      <c r="AC307" s="27" t="s">
        <v>8</v>
      </c>
      <c r="AF307" s="27" t="s">
        <v>7</v>
      </c>
      <c r="AG307" s="27" t="s">
        <v>8</v>
      </c>
      <c r="AJ307" s="27" t="s">
        <v>7</v>
      </c>
      <c r="AK307" s="27" t="s">
        <v>8</v>
      </c>
      <c r="AL307" s="27" t="s">
        <v>7</v>
      </c>
      <c r="AN307" s="27" t="s">
        <v>7</v>
      </c>
      <c r="AO307" s="27" t="s">
        <v>8</v>
      </c>
      <c r="AP307" s="27" t="s">
        <v>7</v>
      </c>
      <c r="AQ307" s="27" t="s">
        <v>8</v>
      </c>
      <c r="AR307" s="27" t="s">
        <v>7</v>
      </c>
      <c r="AS307" s="27" t="s">
        <v>8</v>
      </c>
      <c r="AT307" s="27" t="s">
        <v>7</v>
      </c>
    </row>
    <row r="308" spans="1:47" x14ac:dyDescent="0.25">
      <c r="A308" s="30">
        <v>3.6234949738447833E-2</v>
      </c>
      <c r="B308"/>
      <c r="C308"/>
      <c r="D308"/>
      <c r="E308"/>
      <c r="F308" s="27" t="s">
        <v>7</v>
      </c>
      <c r="AB308" s="27" t="s">
        <v>7</v>
      </c>
      <c r="AC308" s="27" t="s">
        <v>8</v>
      </c>
      <c r="AF308" s="27" t="s">
        <v>7</v>
      </c>
      <c r="AG308" s="27" t="s">
        <v>8</v>
      </c>
      <c r="AJ308" s="27" t="s">
        <v>7</v>
      </c>
      <c r="AN308" s="27" t="s">
        <v>7</v>
      </c>
      <c r="AP308" s="27" t="s">
        <v>7</v>
      </c>
      <c r="AQ308" s="27" t="s">
        <v>8</v>
      </c>
      <c r="AR308" s="27" t="s">
        <v>7</v>
      </c>
    </row>
    <row r="309" spans="1:47" x14ac:dyDescent="0.25">
      <c r="A309" s="30">
        <v>3.4509475941378875E-2</v>
      </c>
      <c r="B309"/>
      <c r="C309"/>
      <c r="D309"/>
      <c r="E309"/>
      <c r="AB309" s="27" t="s">
        <v>7</v>
      </c>
      <c r="AC309" s="27" t="s">
        <v>8</v>
      </c>
      <c r="AF309" s="27" t="s">
        <v>7</v>
      </c>
      <c r="AG309" s="27" t="s">
        <v>8</v>
      </c>
      <c r="AP309" s="27" t="s">
        <v>7</v>
      </c>
    </row>
    <row r="310" spans="1:47" x14ac:dyDescent="0.25">
      <c r="A310" s="30">
        <v>3.286616756321796E-2</v>
      </c>
      <c r="B310"/>
      <c r="C310"/>
      <c r="D310"/>
      <c r="E310"/>
      <c r="AB310" s="27" t="s">
        <v>7</v>
      </c>
      <c r="AF310" s="27" t="s">
        <v>7</v>
      </c>
      <c r="AG310" s="27" t="s">
        <v>8</v>
      </c>
    </row>
    <row r="311" spans="1:47" x14ac:dyDescent="0.25">
      <c r="A311" s="30">
        <v>3.1301111964969472E-2</v>
      </c>
      <c r="B311"/>
      <c r="C311"/>
      <c r="D311"/>
      <c r="E311"/>
      <c r="AF311" s="27" t="s">
        <v>7</v>
      </c>
    </row>
    <row r="312" spans="1:47" x14ac:dyDescent="0.25">
      <c r="A312" s="30">
        <v>2.9810582823780438E-2</v>
      </c>
      <c r="B312"/>
      <c r="C312"/>
      <c r="D312"/>
      <c r="E312"/>
    </row>
    <row r="313" spans="1:47" x14ac:dyDescent="0.25">
      <c r="A313" s="30">
        <v>2.8391031260743264E-2</v>
      </c>
      <c r="B313"/>
      <c r="C313"/>
      <c r="D313"/>
      <c r="E313"/>
    </row>
    <row r="314" spans="1:47" x14ac:dyDescent="0.25">
      <c r="A314" s="30">
        <v>2.7039077391184052E-2</v>
      </c>
      <c r="B314"/>
      <c r="C314"/>
      <c r="D314"/>
      <c r="E314"/>
    </row>
    <row r="315" spans="1:47" x14ac:dyDescent="0.25">
      <c r="A315" s="30">
        <v>2.5751502277318133E-2</v>
      </c>
      <c r="B315"/>
      <c r="C315"/>
      <c r="D315"/>
      <c r="E315"/>
    </row>
    <row r="316" spans="1:47" x14ac:dyDescent="0.25">
      <c r="A316" s="30">
        <v>2.4525240264112496E-2</v>
      </c>
      <c r="B316"/>
      <c r="C316"/>
      <c r="D316"/>
      <c r="E316"/>
    </row>
    <row r="317" spans="1:47" x14ac:dyDescent="0.25">
      <c r="A317" s="30">
        <v>2.3357371680107129E-2</v>
      </c>
      <c r="B317"/>
      <c r="C317"/>
      <c r="D317"/>
      <c r="E317"/>
    </row>
    <row r="318" spans="1:47" x14ac:dyDescent="0.25">
      <c r="A318" s="30">
        <v>2.2245115885816305E-2</v>
      </c>
      <c r="B318"/>
      <c r="C318"/>
      <c r="D318"/>
      <c r="E318"/>
    </row>
    <row r="319" spans="1:47" x14ac:dyDescent="0.25">
      <c r="A319" s="30">
        <v>2.1185824653158377E-2</v>
      </c>
      <c r="B319"/>
      <c r="C319"/>
      <c r="D319"/>
      <c r="E319"/>
    </row>
    <row r="320" spans="1:47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081" operator="equal">
      <formula>$U$1</formula>
    </cfRule>
    <cfRule type="cellIs" dxfId="67" priority="1082" operator="equal">
      <formula>$S$1</formula>
    </cfRule>
  </conditionalFormatting>
  <conditionalFormatting sqref="D136">
    <cfRule type="cellIs" dxfId="66" priority="1079" operator="equal">
      <formula>$S$1</formula>
    </cfRule>
    <cfRule type="cellIs" dxfId="65" priority="1080" operator="equal">
      <formula>$U$1</formula>
    </cfRule>
  </conditionalFormatting>
  <conditionalFormatting sqref="C162">
    <cfRule type="cellIs" dxfId="64" priority="1077" operator="equal">
      <formula>$U$1</formula>
    </cfRule>
    <cfRule type="cellIs" dxfId="63" priority="1078" operator="equal">
      <formula>$S$1</formula>
    </cfRule>
  </conditionalFormatting>
  <conditionalFormatting sqref="D162">
    <cfRule type="cellIs" dxfId="62" priority="1075" operator="equal">
      <formula>$S$1</formula>
    </cfRule>
    <cfRule type="cellIs" dxfId="61" priority="1076" operator="equal">
      <formula>$U$1</formula>
    </cfRule>
  </conditionalFormatting>
  <conditionalFormatting sqref="C187">
    <cfRule type="cellIs" dxfId="60" priority="1073" operator="equal">
      <formula>$U$1</formula>
    </cfRule>
    <cfRule type="cellIs" dxfId="59" priority="1074" operator="equal">
      <formula>$S$1</formula>
    </cfRule>
  </conditionalFormatting>
  <conditionalFormatting sqref="D187">
    <cfRule type="cellIs" dxfId="58" priority="1071" operator="equal">
      <formula>$S$1</formula>
    </cfRule>
    <cfRule type="cellIs" dxfId="57" priority="1072" operator="equal">
      <formula>$U$1</formula>
    </cfRule>
  </conditionalFormatting>
  <conditionalFormatting sqref="C212">
    <cfRule type="cellIs" dxfId="56" priority="1069" operator="equal">
      <formula>$U$1</formula>
    </cfRule>
    <cfRule type="cellIs" dxfId="55" priority="1070" operator="equal">
      <formula>$S$1</formula>
    </cfRule>
  </conditionalFormatting>
  <conditionalFormatting sqref="D212">
    <cfRule type="cellIs" dxfId="54" priority="1067" operator="equal">
      <formula>$S$1</formula>
    </cfRule>
    <cfRule type="cellIs" dxfId="53" priority="1068" operator="equal">
      <formula>$U$1</formula>
    </cfRule>
  </conditionalFormatting>
  <conditionalFormatting sqref="C237">
    <cfRule type="cellIs" dxfId="52" priority="1065" operator="equal">
      <formula>$U$1</formula>
    </cfRule>
    <cfRule type="cellIs" dxfId="51" priority="1066" operator="equal">
      <formula>$S$1</formula>
    </cfRule>
  </conditionalFormatting>
  <conditionalFormatting sqref="D237">
    <cfRule type="cellIs" dxfId="50" priority="1063" operator="equal">
      <formula>$S$1</formula>
    </cfRule>
    <cfRule type="cellIs" dxfId="49" priority="1064" operator="equal">
      <formula>$U$1</formula>
    </cfRule>
  </conditionalFormatting>
  <conditionalFormatting sqref="C106">
    <cfRule type="cellIs" dxfId="48" priority="1061" operator="equal">
      <formula>$U$1</formula>
    </cfRule>
    <cfRule type="cellIs" dxfId="47" priority="1062" operator="equal">
      <formula>$S$1</formula>
    </cfRule>
  </conditionalFormatting>
  <conditionalFormatting sqref="D106">
    <cfRule type="cellIs" dxfId="46" priority="1059" operator="equal">
      <formula>$S$1</formula>
    </cfRule>
    <cfRule type="cellIs" dxfId="45" priority="1060" operator="equal">
      <formula>$U$1</formula>
    </cfRule>
  </conditionalFormatting>
  <conditionalFormatting sqref="C81">
    <cfRule type="cellIs" dxfId="44" priority="1057" operator="equal">
      <formula>$U$1</formula>
    </cfRule>
    <cfRule type="cellIs" dxfId="43" priority="1058" operator="equal">
      <formula>$S$1</formula>
    </cfRule>
  </conditionalFormatting>
  <conditionalFormatting sqref="D81">
    <cfRule type="cellIs" dxfId="42" priority="1055" operator="equal">
      <formula>$S$1</formula>
    </cfRule>
    <cfRule type="cellIs" dxfId="41" priority="1056" operator="equal">
      <formula>$U$1</formula>
    </cfRule>
  </conditionalFormatting>
  <conditionalFormatting sqref="C56">
    <cfRule type="cellIs" dxfId="40" priority="1053" operator="equal">
      <formula>$U$1</formula>
    </cfRule>
    <cfRule type="cellIs" dxfId="39" priority="1054" operator="equal">
      <formula>$S$1</formula>
    </cfRule>
  </conditionalFormatting>
  <conditionalFormatting sqref="D56">
    <cfRule type="cellIs" dxfId="38" priority="1051" operator="equal">
      <formula>$S$1</formula>
    </cfRule>
    <cfRule type="cellIs" dxfId="37" priority="1052" operator="equal">
      <formula>$U$1</formula>
    </cfRule>
  </conditionalFormatting>
  <conditionalFormatting sqref="C31">
    <cfRule type="cellIs" dxfId="36" priority="1049" operator="equal">
      <formula>$U$1</formula>
    </cfRule>
    <cfRule type="cellIs" dxfId="35" priority="1050" operator="equal">
      <formula>$S$1</formula>
    </cfRule>
  </conditionalFormatting>
  <conditionalFormatting sqref="D31">
    <cfRule type="cellIs" dxfId="34" priority="1047" operator="equal">
      <formula>$S$1</formula>
    </cfRule>
    <cfRule type="cellIs" dxfId="33" priority="104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30" zoomScale="90" zoomScaleNormal="90" workbookViewId="0">
      <pane xSplit="4" topLeftCell="G1" activePane="topRight" state="frozen"/>
      <selection activeCell="A109" sqref="A109"/>
      <selection pane="topRight" activeCell="BH150" sqref="BH150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$A$149</v>
      </c>
      <c r="D111" s="1" t="str">
        <f>ADDRESS(C121-1,D121,1,1)</f>
        <v>$BH$149</v>
      </c>
      <c r="E111"/>
    </row>
    <row r="112" spans="1:5" x14ac:dyDescent="0.25">
      <c r="A112" s="30">
        <v>2.3579476910000019</v>
      </c>
      <c r="C112" s="1" t="str">
        <f>ADDRESS(C121,1,1,1)</f>
        <v>$A$150</v>
      </c>
      <c r="D112" s="1" t="str">
        <f>ADDRESS(C121,D121-1,1,1)</f>
        <v>$BG$150</v>
      </c>
      <c r="E112"/>
    </row>
    <row r="113" spans="1:6" x14ac:dyDescent="0.25">
      <c r="A113" s="30">
        <v>2.1435888100000016</v>
      </c>
      <c r="C113" s="1" t="str">
        <f>ADDRESS(C121+1,1,1,1)</f>
        <v>$A$151</v>
      </c>
      <c r="D113" s="1" t="str">
        <f>ADDRESS(C121-1,D121+1,1,1)</f>
        <v>$BI$149</v>
      </c>
    </row>
    <row r="114" spans="1:6" x14ac:dyDescent="0.25">
      <c r="A114" s="30">
        <v>1.9487171000000014</v>
      </c>
      <c r="C114" s="1" t="str">
        <f>ADDRESS(C121,D121,1,1)</f>
        <v>$BH$150</v>
      </c>
      <c r="D114" s="1" t="str">
        <f>ADDRESS(C121+1,D121+1,1,1)</f>
        <v>$BI$151</v>
      </c>
    </row>
    <row r="115" spans="1:6" x14ac:dyDescent="0.25">
      <c r="A115" s="30">
        <v>1.7715610000000011</v>
      </c>
      <c r="C115" s="1" t="str">
        <f>ADDRESS(C121+1,D121,1,1)</f>
        <v>$BH$151</v>
      </c>
    </row>
    <row r="116" spans="1:6" x14ac:dyDescent="0.25">
      <c r="A116" s="30">
        <v>1.6105100000000008</v>
      </c>
      <c r="C116" s="1">
        <f>C117-1</f>
        <v>149</v>
      </c>
    </row>
    <row r="117" spans="1:6" x14ac:dyDescent="0.25">
      <c r="A117" s="30">
        <v>1.4641000000000006</v>
      </c>
      <c r="C117" s="1">
        <f>C121</f>
        <v>150</v>
      </c>
      <c r="D117" s="1">
        <f>D121</f>
        <v>60</v>
      </c>
    </row>
    <row r="118" spans="1:6" x14ac:dyDescent="0.25">
      <c r="A118" s="30">
        <v>1.3310000000000004</v>
      </c>
      <c r="C118" s="1">
        <f>C117+1</f>
        <v>151</v>
      </c>
      <c r="D118" s="1">
        <f>D117+1</f>
        <v>61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150</v>
      </c>
      <c r="D121" s="19">
        <v>60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R150</v>
      </c>
      <c r="D123" s="1" t="str">
        <f>"C"&amp;D121</f>
        <v>C60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6.3039408631284613E-2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60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60" x14ac:dyDescent="0.25">
      <c r="A130" s="30">
        <v>0.42409761837248428</v>
      </c>
      <c r="C130" s="6" t="s">
        <v>34</v>
      </c>
      <c r="D130" s="6"/>
      <c r="E130"/>
      <c r="F130" s="27" t="s">
        <v>7</v>
      </c>
    </row>
    <row r="131" spans="1:60" x14ac:dyDescent="0.25">
      <c r="A131" s="30">
        <v>0.38554328942953109</v>
      </c>
      <c r="E131"/>
      <c r="F131" s="27" t="s">
        <v>7</v>
      </c>
    </row>
    <row r="132" spans="1:60" x14ac:dyDescent="0.25">
      <c r="A132" s="30">
        <v>0.35049389948139187</v>
      </c>
      <c r="C132" s="1" t="s">
        <v>13</v>
      </c>
      <c r="E132"/>
      <c r="F132" s="27" t="s">
        <v>7</v>
      </c>
    </row>
    <row r="133" spans="1:60" x14ac:dyDescent="0.25">
      <c r="A133" s="30">
        <v>0.31863081771035617</v>
      </c>
      <c r="C133" s="1" t="str">
        <f>C122</f>
        <v>O</v>
      </c>
      <c r="E133"/>
      <c r="F133" s="27" t="s">
        <v>7</v>
      </c>
      <c r="AI133" s="27" t="s">
        <v>8</v>
      </c>
    </row>
    <row r="134" spans="1:60" x14ac:dyDescent="0.25">
      <c r="A134" s="30">
        <v>0.28966437973668741</v>
      </c>
      <c r="C134"/>
      <c r="D134"/>
      <c r="E134"/>
      <c r="F134" s="27" t="s">
        <v>7</v>
      </c>
      <c r="AI134" s="27" t="s">
        <v>8</v>
      </c>
      <c r="AJ134" s="27" t="s">
        <v>7</v>
      </c>
    </row>
    <row r="135" spans="1:60" x14ac:dyDescent="0.25">
      <c r="A135" s="30">
        <v>0.2633312543060794</v>
      </c>
      <c r="C135" s="1" t="s">
        <v>14</v>
      </c>
      <c r="E135"/>
      <c r="F135" s="27" t="s">
        <v>7</v>
      </c>
      <c r="AI135" s="27" t="s">
        <v>8</v>
      </c>
      <c r="AJ135" s="27" t="s">
        <v>7</v>
      </c>
    </row>
    <row r="136" spans="1:60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AI136" s="27" t="s">
        <v>8</v>
      </c>
      <c r="AJ136" s="27" t="s">
        <v>7</v>
      </c>
      <c r="AQ136" s="27" t="s">
        <v>8</v>
      </c>
    </row>
    <row r="137" spans="1:60" x14ac:dyDescent="0.25">
      <c r="A137" s="30">
        <v>0.2176291357901482</v>
      </c>
      <c r="E137"/>
      <c r="F137" s="27" t="s">
        <v>7</v>
      </c>
      <c r="AI137" s="27" t="s">
        <v>8</v>
      </c>
      <c r="AJ137" s="27" t="s">
        <v>7</v>
      </c>
      <c r="AQ137" s="27" t="s">
        <v>8</v>
      </c>
      <c r="AR137" s="27" t="s">
        <v>7</v>
      </c>
      <c r="AS137" s="27" t="s">
        <v>8</v>
      </c>
      <c r="BC137" s="27" t="s">
        <v>8</v>
      </c>
      <c r="BG137" s="27" t="s">
        <v>8</v>
      </c>
    </row>
    <row r="138" spans="1:60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AG138" s="27" t="s">
        <v>8</v>
      </c>
      <c r="AI138" s="27" t="s">
        <v>8</v>
      </c>
      <c r="AJ138" s="27" t="s">
        <v>7</v>
      </c>
      <c r="AK138" s="27" t="s">
        <v>8</v>
      </c>
      <c r="AQ138" s="27" t="s">
        <v>8</v>
      </c>
      <c r="AR138" s="27" t="s">
        <v>7</v>
      </c>
      <c r="AS138" s="27" t="s">
        <v>8</v>
      </c>
      <c r="AT138" s="27" t="s">
        <v>7</v>
      </c>
      <c r="AU138" s="27" t="s">
        <v>8</v>
      </c>
      <c r="BC138" s="27" t="s">
        <v>8</v>
      </c>
      <c r="BD138" s="27" t="s">
        <v>7</v>
      </c>
      <c r="BG138" s="27" t="s">
        <v>8</v>
      </c>
      <c r="BH138" s="27" t="s">
        <v>7</v>
      </c>
    </row>
    <row r="139" spans="1:60" x14ac:dyDescent="0.25">
      <c r="A139" s="30">
        <v>0.17985878990921333</v>
      </c>
      <c r="E139"/>
      <c r="F139" s="27" t="s">
        <v>7</v>
      </c>
      <c r="AA139" s="27" t="s">
        <v>8</v>
      </c>
      <c r="AE139" s="27" t="s">
        <v>8</v>
      </c>
      <c r="AG139" s="27" t="s">
        <v>8</v>
      </c>
      <c r="AH139" s="27" t="s">
        <v>7</v>
      </c>
      <c r="AI139" s="27" t="s">
        <v>8</v>
      </c>
      <c r="AJ139" s="27" t="s">
        <v>7</v>
      </c>
      <c r="AK139" s="27" t="s">
        <v>8</v>
      </c>
      <c r="AL139" s="27" t="s">
        <v>7</v>
      </c>
      <c r="AM139" s="27" t="s">
        <v>8</v>
      </c>
      <c r="AQ139" s="27" t="s">
        <v>8</v>
      </c>
      <c r="AR139" s="27" t="s">
        <v>7</v>
      </c>
      <c r="AS139" s="27" t="s">
        <v>8</v>
      </c>
      <c r="AT139" s="27" t="s">
        <v>7</v>
      </c>
      <c r="AU139" s="27" t="s">
        <v>8</v>
      </c>
      <c r="AV139" s="27" t="s">
        <v>7</v>
      </c>
      <c r="BA139" s="27" t="s">
        <v>8</v>
      </c>
      <c r="BC139" s="27" t="s">
        <v>8</v>
      </c>
      <c r="BD139" s="27" t="s">
        <v>7</v>
      </c>
      <c r="BE139" s="27" t="s">
        <v>8</v>
      </c>
      <c r="BG139" s="27" t="s">
        <v>8</v>
      </c>
      <c r="BH139" s="27" t="s">
        <v>7</v>
      </c>
    </row>
    <row r="140" spans="1:60" x14ac:dyDescent="0.25">
      <c r="A140" s="30">
        <v>0.16350799082655756</v>
      </c>
      <c r="C140" s="1">
        <v>0</v>
      </c>
      <c r="E140"/>
      <c r="F140" s="27" t="s">
        <v>7</v>
      </c>
      <c r="AA140" s="27" t="s">
        <v>8</v>
      </c>
      <c r="AB140" s="27" t="s">
        <v>7</v>
      </c>
      <c r="AE140" s="27" t="s">
        <v>8</v>
      </c>
      <c r="AF140" s="27" t="s">
        <v>7</v>
      </c>
      <c r="AG140" s="27" t="s">
        <v>8</v>
      </c>
      <c r="AH140" s="27" t="s">
        <v>7</v>
      </c>
      <c r="AI140" s="27" t="s">
        <v>8</v>
      </c>
      <c r="AJ140" s="27" t="s">
        <v>7</v>
      </c>
      <c r="AK140" s="27" t="s">
        <v>8</v>
      </c>
      <c r="AL140" s="27" t="s">
        <v>7</v>
      </c>
      <c r="AM140" s="27" t="s">
        <v>8</v>
      </c>
      <c r="AN140" s="27" t="s">
        <v>7</v>
      </c>
      <c r="AQ140" s="27" t="s">
        <v>8</v>
      </c>
      <c r="AR140" s="27" t="s">
        <v>7</v>
      </c>
      <c r="AS140" s="27" t="s">
        <v>8</v>
      </c>
      <c r="AT140" s="27" t="s">
        <v>7</v>
      </c>
      <c r="AU140" s="27" t="s">
        <v>8</v>
      </c>
      <c r="AV140" s="27" t="s">
        <v>7</v>
      </c>
      <c r="BA140" s="27" t="s">
        <v>8</v>
      </c>
      <c r="BB140" s="27" t="s">
        <v>7</v>
      </c>
      <c r="BC140" s="27" t="s">
        <v>8</v>
      </c>
      <c r="BD140" s="27" t="s">
        <v>7</v>
      </c>
      <c r="BE140" s="27" t="s">
        <v>8</v>
      </c>
      <c r="BF140" s="27" t="s">
        <v>7</v>
      </c>
      <c r="BG140" s="27" t="s">
        <v>8</v>
      </c>
      <c r="BH140" s="27" t="s">
        <v>7</v>
      </c>
    </row>
    <row r="141" spans="1:60" x14ac:dyDescent="0.25">
      <c r="A141" s="30">
        <v>0.14864362802414322</v>
      </c>
      <c r="C141" s="1">
        <v>1</v>
      </c>
      <c r="E141"/>
      <c r="F141" s="27" t="s">
        <v>7</v>
      </c>
      <c r="AA141" s="27" t="s">
        <v>8</v>
      </c>
      <c r="AB141" s="27" t="s">
        <v>7</v>
      </c>
      <c r="AE141" s="27" t="s">
        <v>8</v>
      </c>
      <c r="AF141" s="27" t="s">
        <v>7</v>
      </c>
      <c r="AG141" s="27" t="s">
        <v>8</v>
      </c>
      <c r="AH141" s="27" t="s">
        <v>7</v>
      </c>
      <c r="AJ141" s="27" t="s">
        <v>7</v>
      </c>
      <c r="AK141" s="27" t="s">
        <v>8</v>
      </c>
      <c r="AL141" s="27" t="s">
        <v>7</v>
      </c>
      <c r="AM141" s="27" t="s">
        <v>8</v>
      </c>
      <c r="AN141" s="27" t="s">
        <v>7</v>
      </c>
      <c r="AQ141" s="27" t="s">
        <v>8</v>
      </c>
      <c r="AR141" s="27" t="s">
        <v>7</v>
      </c>
      <c r="AS141" s="27" t="s">
        <v>8</v>
      </c>
      <c r="AT141" s="27" t="s">
        <v>7</v>
      </c>
      <c r="AV141" s="27" t="s">
        <v>7</v>
      </c>
      <c r="BA141" s="27" t="s">
        <v>8</v>
      </c>
      <c r="BB141" s="27" t="s">
        <v>7</v>
      </c>
      <c r="BC141" s="27" t="s">
        <v>8</v>
      </c>
      <c r="BD141" s="27" t="s">
        <v>7</v>
      </c>
      <c r="BE141" s="27" t="s">
        <v>8</v>
      </c>
      <c r="BF141" s="27" t="s">
        <v>7</v>
      </c>
      <c r="BG141" s="27" t="s">
        <v>8</v>
      </c>
      <c r="BH141" s="27" t="s">
        <v>7</v>
      </c>
    </row>
    <row r="142" spans="1:60" x14ac:dyDescent="0.25">
      <c r="A142" s="30">
        <v>0.13513057093103928</v>
      </c>
      <c r="C142" s="1">
        <v>2</v>
      </c>
      <c r="E142"/>
      <c r="F142" s="27" t="s">
        <v>7</v>
      </c>
      <c r="AA142" s="27" t="s">
        <v>8</v>
      </c>
      <c r="AB142" s="27" t="s">
        <v>7</v>
      </c>
      <c r="AE142" s="27" t="s">
        <v>8</v>
      </c>
      <c r="AF142" s="27" t="s">
        <v>7</v>
      </c>
      <c r="AJ142" s="27" t="s">
        <v>7</v>
      </c>
      <c r="AK142" s="27" t="s">
        <v>8</v>
      </c>
      <c r="AL142" s="27" t="s">
        <v>7</v>
      </c>
      <c r="AM142" s="27" t="s">
        <v>8</v>
      </c>
      <c r="AN142" s="27" t="s">
        <v>7</v>
      </c>
      <c r="AQ142" s="27" t="s">
        <v>8</v>
      </c>
      <c r="AR142" s="27" t="s">
        <v>7</v>
      </c>
      <c r="AV142" s="27" t="s">
        <v>7</v>
      </c>
      <c r="AW142" s="27" t="s">
        <v>8</v>
      </c>
      <c r="BA142" s="27" t="s">
        <v>8</v>
      </c>
      <c r="BB142" s="27" t="s">
        <v>7</v>
      </c>
      <c r="BC142" s="27" t="s">
        <v>8</v>
      </c>
      <c r="BD142" s="27" t="s">
        <v>7</v>
      </c>
      <c r="BE142" s="27" t="s">
        <v>8</v>
      </c>
      <c r="BF142" s="27" t="s">
        <v>7</v>
      </c>
      <c r="BG142" s="27" t="s">
        <v>8</v>
      </c>
      <c r="BH142" s="27" t="s">
        <v>7</v>
      </c>
    </row>
    <row r="143" spans="1:60" x14ac:dyDescent="0.25">
      <c r="A143" s="30">
        <v>0.12284597357367205</v>
      </c>
      <c r="C143" s="1">
        <v>3</v>
      </c>
      <c r="E143"/>
      <c r="F143" s="27" t="s">
        <v>7</v>
      </c>
      <c r="AA143" s="27" t="s">
        <v>8</v>
      </c>
      <c r="AB143" s="27" t="s">
        <v>7</v>
      </c>
      <c r="AE143" s="27" t="s">
        <v>8</v>
      </c>
      <c r="AJ143" s="27" t="s">
        <v>7</v>
      </c>
      <c r="AK143" s="27" t="s">
        <v>8</v>
      </c>
      <c r="AL143" s="27" t="s">
        <v>7</v>
      </c>
      <c r="AN143" s="27" t="s">
        <v>7</v>
      </c>
      <c r="AQ143" s="27" t="s">
        <v>8</v>
      </c>
      <c r="AV143" s="27" t="s">
        <v>7</v>
      </c>
      <c r="AW143" s="27" t="s">
        <v>8</v>
      </c>
      <c r="AX143" s="27" t="s">
        <v>7</v>
      </c>
      <c r="AY143" s="27" t="s">
        <v>8</v>
      </c>
      <c r="BA143" s="27" t="s">
        <v>8</v>
      </c>
      <c r="BB143" s="27" t="s">
        <v>7</v>
      </c>
      <c r="BC143" s="27" t="s">
        <v>8</v>
      </c>
      <c r="BD143" s="27" t="s">
        <v>7</v>
      </c>
      <c r="BF143" s="27" t="s">
        <v>7</v>
      </c>
      <c r="BH143" s="27" t="s">
        <v>7</v>
      </c>
    </row>
    <row r="144" spans="1:60" x14ac:dyDescent="0.25">
      <c r="A144" s="30">
        <v>0.11167815779424731</v>
      </c>
      <c r="C144" s="1">
        <v>4</v>
      </c>
      <c r="E144"/>
      <c r="F144" s="27" t="s">
        <v>7</v>
      </c>
      <c r="AA144" s="27" t="s">
        <v>8</v>
      </c>
      <c r="AB144" s="27" t="s">
        <v>7</v>
      </c>
      <c r="AE144" s="27" t="s">
        <v>8</v>
      </c>
      <c r="AJ144" s="27" t="s">
        <v>7</v>
      </c>
      <c r="AN144" s="27" t="s">
        <v>7</v>
      </c>
      <c r="AQ144" s="27" t="s">
        <v>8</v>
      </c>
      <c r="AV144" s="27" t="s">
        <v>7</v>
      </c>
      <c r="AW144" s="27" t="s">
        <v>8</v>
      </c>
      <c r="AX144" s="27" t="s">
        <v>7</v>
      </c>
      <c r="AY144" s="27" t="s">
        <v>8</v>
      </c>
      <c r="AZ144" s="27" t="s">
        <v>7</v>
      </c>
      <c r="BA144" s="27" t="s">
        <v>8</v>
      </c>
      <c r="BB144" s="27" t="s">
        <v>7</v>
      </c>
      <c r="BH144" s="27" t="s">
        <v>7</v>
      </c>
    </row>
    <row r="145" spans="1:60" x14ac:dyDescent="0.25">
      <c r="A145" s="30">
        <v>0.10152559799477026</v>
      </c>
      <c r="B145"/>
      <c r="C145"/>
      <c r="D145"/>
      <c r="E145"/>
      <c r="F145" s="27" t="s">
        <v>7</v>
      </c>
      <c r="AA145" s="27" t="s">
        <v>8</v>
      </c>
      <c r="AB145" s="27" t="s">
        <v>7</v>
      </c>
      <c r="AC145" s="27" t="s">
        <v>8</v>
      </c>
      <c r="AE145" s="27" t="s">
        <v>8</v>
      </c>
      <c r="AN145" s="27" t="s">
        <v>7</v>
      </c>
      <c r="AQ145" s="27" t="s">
        <v>8</v>
      </c>
      <c r="AV145" s="27" t="s">
        <v>7</v>
      </c>
      <c r="AW145" s="27" t="s">
        <v>8</v>
      </c>
      <c r="AX145" s="27" t="s">
        <v>7</v>
      </c>
      <c r="AY145" s="27" t="s">
        <v>8</v>
      </c>
      <c r="AZ145" s="27" t="s">
        <v>7</v>
      </c>
      <c r="BA145" s="27" t="s">
        <v>8</v>
      </c>
      <c r="BC145" s="31"/>
      <c r="BH145" s="27" t="s">
        <v>7</v>
      </c>
    </row>
    <row r="146" spans="1:60" x14ac:dyDescent="0.25">
      <c r="A146" s="30">
        <v>9.2295998177063854E-2</v>
      </c>
      <c r="B146"/>
      <c r="C146"/>
      <c r="D146"/>
      <c r="E146"/>
      <c r="F146" s="27" t="s">
        <v>7</v>
      </c>
      <c r="G146" s="27" t="s">
        <v>8</v>
      </c>
      <c r="AA146" s="27" t="s">
        <v>8</v>
      </c>
      <c r="AB146" s="27" t="s">
        <v>7</v>
      </c>
      <c r="AC146" s="27" t="s">
        <v>8</v>
      </c>
      <c r="AD146" s="27" t="s">
        <v>7</v>
      </c>
      <c r="AE146" s="27" t="s">
        <v>8</v>
      </c>
      <c r="AN146" s="27" t="s">
        <v>7</v>
      </c>
      <c r="AO146" s="27" t="s">
        <v>8</v>
      </c>
      <c r="AQ146" s="27" t="s">
        <v>8</v>
      </c>
      <c r="AV146" s="27" t="s">
        <v>7</v>
      </c>
      <c r="AW146" s="27" t="s">
        <v>8</v>
      </c>
      <c r="AX146" s="27" t="s">
        <v>7</v>
      </c>
      <c r="AY146" s="27" t="s">
        <v>8</v>
      </c>
      <c r="AZ146" s="27" t="s">
        <v>7</v>
      </c>
      <c r="BA146" s="27" t="s">
        <v>8</v>
      </c>
      <c r="BB146" s="31"/>
      <c r="BH146" s="27" t="s">
        <v>7</v>
      </c>
    </row>
    <row r="147" spans="1:60" x14ac:dyDescent="0.25">
      <c r="A147" s="30">
        <v>8.3905452888239848E-2</v>
      </c>
      <c r="B147"/>
      <c r="C147"/>
      <c r="D147"/>
      <c r="E147"/>
      <c r="F147" s="27" t="s">
        <v>7</v>
      </c>
      <c r="G147" s="27" t="s">
        <v>8</v>
      </c>
      <c r="H147" s="27" t="s">
        <v>7</v>
      </c>
      <c r="I147" s="27" t="s">
        <v>8</v>
      </c>
      <c r="AA147" s="27" t="s">
        <v>8</v>
      </c>
      <c r="AB147" s="27" t="s">
        <v>7</v>
      </c>
      <c r="AC147" s="27" t="s">
        <v>8</v>
      </c>
      <c r="AD147" s="27" t="s">
        <v>7</v>
      </c>
      <c r="AE147" s="27" t="s">
        <v>8</v>
      </c>
      <c r="AN147" s="27" t="s">
        <v>7</v>
      </c>
      <c r="AO147" s="27" t="s">
        <v>8</v>
      </c>
      <c r="AP147" s="27" t="s">
        <v>7</v>
      </c>
      <c r="AQ147" s="27" t="s">
        <v>8</v>
      </c>
      <c r="AV147" s="27" t="s">
        <v>7</v>
      </c>
      <c r="AX147" s="27" t="s">
        <v>7</v>
      </c>
      <c r="AZ147" s="18" t="s">
        <v>7</v>
      </c>
      <c r="BA147" s="31" t="s">
        <v>8</v>
      </c>
      <c r="BH147" s="27" t="s">
        <v>7</v>
      </c>
    </row>
    <row r="148" spans="1:60" x14ac:dyDescent="0.25">
      <c r="A148" s="30">
        <v>7.6277684443854396E-2</v>
      </c>
      <c r="B148"/>
      <c r="C148"/>
      <c r="D148"/>
      <c r="E148"/>
      <c r="F148" s="27" t="s">
        <v>7</v>
      </c>
      <c r="G148" s="27" t="s">
        <v>8</v>
      </c>
      <c r="H148" s="27" t="s">
        <v>7</v>
      </c>
      <c r="I148" s="27" t="s">
        <v>8</v>
      </c>
      <c r="J148" s="27" t="s">
        <v>7</v>
      </c>
      <c r="M148" s="27" t="s">
        <v>8</v>
      </c>
      <c r="AA148" s="27" t="s">
        <v>8</v>
      </c>
      <c r="AB148" s="27" t="s">
        <v>7</v>
      </c>
      <c r="AC148" s="27" t="s">
        <v>8</v>
      </c>
      <c r="AD148" s="27" t="s">
        <v>7</v>
      </c>
      <c r="AN148" s="27" t="s">
        <v>7</v>
      </c>
      <c r="AO148" s="27" t="s">
        <v>8</v>
      </c>
      <c r="AP148" s="27" t="s">
        <v>7</v>
      </c>
      <c r="AQ148" s="27" t="s">
        <v>8</v>
      </c>
      <c r="AZ148" s="31" t="s">
        <v>7</v>
      </c>
      <c r="BH148" s="27" t="s">
        <v>7</v>
      </c>
    </row>
    <row r="149" spans="1:60" x14ac:dyDescent="0.25">
      <c r="A149" s="30">
        <v>6.9343349494413078E-2</v>
      </c>
      <c r="B149"/>
      <c r="C149"/>
      <c r="D149"/>
      <c r="E149"/>
      <c r="F149" s="27" t="s">
        <v>7</v>
      </c>
      <c r="G149" s="27" t="s">
        <v>8</v>
      </c>
      <c r="H149" s="27" t="s">
        <v>7</v>
      </c>
      <c r="I149" s="27" t="s">
        <v>8</v>
      </c>
      <c r="J149" s="27" t="s">
        <v>7</v>
      </c>
      <c r="M149" s="27" t="s">
        <v>8</v>
      </c>
      <c r="N149" s="27" t="s">
        <v>7</v>
      </c>
      <c r="U149" s="27" t="s">
        <v>8</v>
      </c>
      <c r="W149" s="27" t="s">
        <v>8</v>
      </c>
      <c r="Y149" s="27" t="s">
        <v>8</v>
      </c>
      <c r="AA149" s="27" t="s">
        <v>8</v>
      </c>
      <c r="AB149" s="27" t="s">
        <v>7</v>
      </c>
      <c r="AN149" s="27" t="s">
        <v>7</v>
      </c>
      <c r="AP149" s="27" t="s">
        <v>7</v>
      </c>
      <c r="AQ149" s="27" t="s">
        <v>8</v>
      </c>
      <c r="BH149" s="27" t="s">
        <v>7</v>
      </c>
    </row>
    <row r="150" spans="1:60" x14ac:dyDescent="0.25">
      <c r="A150" s="30">
        <v>6.3039408631284613E-2</v>
      </c>
      <c r="B150"/>
      <c r="C150"/>
      <c r="D150"/>
      <c r="E150"/>
      <c r="F150" s="27" t="s">
        <v>7</v>
      </c>
      <c r="G150" s="27" t="s">
        <v>8</v>
      </c>
      <c r="H150" s="27" t="s">
        <v>7</v>
      </c>
      <c r="J150" s="27" t="s">
        <v>7</v>
      </c>
      <c r="K150" s="27" t="s">
        <v>8</v>
      </c>
      <c r="M150" s="27" t="s">
        <v>8</v>
      </c>
      <c r="N150" s="27" t="s">
        <v>7</v>
      </c>
      <c r="U150" s="27" t="s">
        <v>8</v>
      </c>
      <c r="V150" s="27" t="s">
        <v>7</v>
      </c>
      <c r="W150" s="27" t="s">
        <v>8</v>
      </c>
      <c r="X150" s="27" t="s">
        <v>7</v>
      </c>
      <c r="Y150" s="27" t="s">
        <v>8</v>
      </c>
      <c r="Z150" s="27" t="s">
        <v>7</v>
      </c>
      <c r="AA150" s="27" t="s">
        <v>8</v>
      </c>
      <c r="AP150" s="27" t="s">
        <v>7</v>
      </c>
      <c r="AQ150" s="27" t="s">
        <v>8</v>
      </c>
      <c r="BH150" s="27" t="s">
        <v>7</v>
      </c>
    </row>
    <row r="151" spans="1:60" x14ac:dyDescent="0.25">
      <c r="A151" s="30">
        <v>5.7308553301167818E-2</v>
      </c>
      <c r="B151"/>
      <c r="C151"/>
      <c r="D151"/>
      <c r="E151"/>
      <c r="F151" s="27" t="s">
        <v>7</v>
      </c>
      <c r="G151" s="27" t="s">
        <v>8</v>
      </c>
      <c r="J151" s="27" t="s">
        <v>7</v>
      </c>
      <c r="K151" s="27" t="s">
        <v>8</v>
      </c>
      <c r="L151" s="27" t="s">
        <v>7</v>
      </c>
      <c r="M151" s="27" t="s">
        <v>8</v>
      </c>
      <c r="N151" s="27" t="s">
        <v>7</v>
      </c>
      <c r="S151" s="27" t="s">
        <v>8</v>
      </c>
      <c r="U151" s="27" t="s">
        <v>8</v>
      </c>
      <c r="V151" s="27" t="s">
        <v>7</v>
      </c>
      <c r="W151" s="27" t="s">
        <v>8</v>
      </c>
      <c r="X151" s="27" t="s">
        <v>7</v>
      </c>
      <c r="Y151" s="27" t="s">
        <v>8</v>
      </c>
      <c r="Z151" s="27" t="s">
        <v>7</v>
      </c>
      <c r="AA151" s="27" t="s">
        <v>8</v>
      </c>
      <c r="AP151" s="27" t="s">
        <v>7</v>
      </c>
      <c r="AQ151" s="27" t="s">
        <v>8</v>
      </c>
    </row>
    <row r="152" spans="1:60" x14ac:dyDescent="0.25">
      <c r="A152" s="30">
        <v>5.2098684819243464E-2</v>
      </c>
      <c r="B152"/>
      <c r="C152"/>
      <c r="D152"/>
      <c r="E152"/>
      <c r="F152" s="27" t="s">
        <v>7</v>
      </c>
      <c r="G152" s="27" t="s">
        <v>8</v>
      </c>
      <c r="J152" s="27" t="s">
        <v>7</v>
      </c>
      <c r="K152" s="27" t="s">
        <v>8</v>
      </c>
      <c r="L152" s="27" t="s">
        <v>7</v>
      </c>
      <c r="M152" s="27" t="s">
        <v>8</v>
      </c>
      <c r="N152" s="27" t="s">
        <v>7</v>
      </c>
      <c r="O152" s="27" t="s">
        <v>8</v>
      </c>
      <c r="Q152" s="27" t="s">
        <v>8</v>
      </c>
      <c r="S152" s="27" t="s">
        <v>8</v>
      </c>
      <c r="T152" s="27" t="s">
        <v>7</v>
      </c>
      <c r="U152" s="27" t="s">
        <v>8</v>
      </c>
      <c r="V152" s="27" t="s">
        <v>7</v>
      </c>
      <c r="W152" s="27" t="s">
        <v>8</v>
      </c>
      <c r="X152" s="27" t="s">
        <v>7</v>
      </c>
      <c r="Y152" s="27" t="s">
        <v>8</v>
      </c>
      <c r="Z152" s="27" t="s">
        <v>7</v>
      </c>
      <c r="AP152" s="27" t="s">
        <v>7</v>
      </c>
    </row>
    <row r="153" spans="1:60" x14ac:dyDescent="0.25">
      <c r="A153" s="30">
        <v>4.7362440744766775E-2</v>
      </c>
      <c r="B153"/>
      <c r="C153"/>
      <c r="D153"/>
      <c r="E153"/>
      <c r="F153" s="27" t="s">
        <v>7</v>
      </c>
      <c r="G153" s="27" t="s">
        <v>8</v>
      </c>
      <c r="J153" s="27" t="s">
        <v>7</v>
      </c>
      <c r="L153" s="27" t="s">
        <v>7</v>
      </c>
      <c r="N153" s="27" t="s">
        <v>7</v>
      </c>
      <c r="O153" s="27" t="s">
        <v>8</v>
      </c>
      <c r="P153" s="27" t="s">
        <v>7</v>
      </c>
      <c r="Q153" s="27" t="s">
        <v>8</v>
      </c>
      <c r="R153" s="27" t="s">
        <v>7</v>
      </c>
      <c r="S153" s="27" t="s">
        <v>8</v>
      </c>
      <c r="T153" s="27" t="s">
        <v>7</v>
      </c>
      <c r="U153" s="27" t="s">
        <v>8</v>
      </c>
      <c r="V153" s="27" t="s">
        <v>7</v>
      </c>
      <c r="W153" s="27" t="s">
        <v>8</v>
      </c>
      <c r="X153" s="27" t="s">
        <v>7</v>
      </c>
      <c r="Y153" s="27" t="s">
        <v>8</v>
      </c>
    </row>
    <row r="154" spans="1:60" x14ac:dyDescent="0.25">
      <c r="A154" s="30">
        <v>4.3056764313424332E-2</v>
      </c>
      <c r="B154"/>
      <c r="C154"/>
      <c r="D154"/>
      <c r="E154"/>
      <c r="F154" s="27" t="s">
        <v>7</v>
      </c>
      <c r="G154" s="27" t="s">
        <v>8</v>
      </c>
      <c r="N154" s="27" t="s">
        <v>7</v>
      </c>
      <c r="O154" s="27" t="s">
        <v>8</v>
      </c>
      <c r="P154" s="27" t="s">
        <v>7</v>
      </c>
      <c r="Q154" s="27" t="s">
        <v>8</v>
      </c>
      <c r="R154" s="27" t="s">
        <v>7</v>
      </c>
      <c r="S154" s="27" t="s">
        <v>8</v>
      </c>
      <c r="T154" s="27" t="s">
        <v>7</v>
      </c>
      <c r="U154" s="27" t="s">
        <v>8</v>
      </c>
      <c r="V154" s="27" t="s">
        <v>7</v>
      </c>
      <c r="W154" s="27" t="s">
        <v>8</v>
      </c>
      <c r="X154" s="27" t="s">
        <v>7</v>
      </c>
      <c r="Y154" s="27" t="s">
        <v>8</v>
      </c>
    </row>
    <row r="155" spans="1:60" x14ac:dyDescent="0.25">
      <c r="A155" s="30">
        <v>3.9142513012203929E-2</v>
      </c>
      <c r="B155"/>
      <c r="C155"/>
      <c r="D155"/>
      <c r="E155"/>
      <c r="F155" s="27" t="s">
        <v>7</v>
      </c>
      <c r="N155" s="27" t="s">
        <v>7</v>
      </c>
      <c r="P155" s="27" t="s">
        <v>7</v>
      </c>
      <c r="Q155" s="27" t="s">
        <v>8</v>
      </c>
      <c r="R155" s="27" t="s">
        <v>7</v>
      </c>
      <c r="S155" s="27" t="s">
        <v>8</v>
      </c>
      <c r="T155" s="27" t="s">
        <v>7</v>
      </c>
      <c r="U155" s="27" t="s">
        <v>8</v>
      </c>
      <c r="V155" s="27" t="s">
        <v>7</v>
      </c>
      <c r="X155" s="27" t="s">
        <v>7</v>
      </c>
    </row>
    <row r="156" spans="1:60" x14ac:dyDescent="0.25">
      <c r="A156" s="30">
        <v>3.55841027383672E-2</v>
      </c>
      <c r="B156"/>
      <c r="C156"/>
      <c r="D156"/>
      <c r="E156"/>
      <c r="P156" s="27" t="s">
        <v>7</v>
      </c>
      <c r="R156" s="27" t="s">
        <v>7</v>
      </c>
      <c r="S156" s="27" t="s">
        <v>8</v>
      </c>
      <c r="T156" s="27" t="s">
        <v>7</v>
      </c>
    </row>
    <row r="157" spans="1:60" x14ac:dyDescent="0.25">
      <c r="A157" s="30">
        <v>3.2349184307606541E-2</v>
      </c>
      <c r="B157"/>
      <c r="C157"/>
      <c r="D157"/>
      <c r="E157"/>
      <c r="R157" s="27" t="s">
        <v>7</v>
      </c>
    </row>
    <row r="158" spans="1:60" x14ac:dyDescent="0.25">
      <c r="A158" s="30">
        <v>2.9408349370551395E-2</v>
      </c>
      <c r="B158"/>
      <c r="C158"/>
      <c r="D158"/>
      <c r="E158"/>
    </row>
    <row r="159" spans="1:60" x14ac:dyDescent="0.25">
      <c r="A159" s="30">
        <v>2.6734863064137627E-2</v>
      </c>
      <c r="B159"/>
      <c r="C159"/>
      <c r="D159"/>
      <c r="E159"/>
    </row>
    <row r="160" spans="1:60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065" operator="equal">
      <formula>$U$1</formula>
    </cfRule>
    <cfRule type="cellIs" dxfId="30" priority="1066" operator="equal">
      <formula>$S$1</formula>
    </cfRule>
  </conditionalFormatting>
  <conditionalFormatting sqref="D136">
    <cfRule type="cellIs" dxfId="29" priority="1063" operator="equal">
      <formula>$S$1</formula>
    </cfRule>
    <cfRule type="cellIs" dxfId="28" priority="1064" operator="equal">
      <formula>$U$1</formula>
    </cfRule>
  </conditionalFormatting>
  <conditionalFormatting sqref="C102">
    <cfRule type="cellIs" dxfId="27" priority="1061" operator="equal">
      <formula>$U$1</formula>
    </cfRule>
    <cfRule type="cellIs" dxfId="26" priority="1062" operator="equal">
      <formula>$S$1</formula>
    </cfRule>
  </conditionalFormatting>
  <conditionalFormatting sqref="D102">
    <cfRule type="cellIs" dxfId="25" priority="1059" operator="equal">
      <formula>$S$1</formula>
    </cfRule>
    <cfRule type="cellIs" dxfId="24" priority="1060" operator="equal">
      <formula>$U$1</formula>
    </cfRule>
  </conditionalFormatting>
  <conditionalFormatting sqref="C77">
    <cfRule type="cellIs" dxfId="23" priority="1057" operator="equal">
      <formula>$U$1</formula>
    </cfRule>
    <cfRule type="cellIs" dxfId="22" priority="1058" operator="equal">
      <formula>$S$1</formula>
    </cfRule>
  </conditionalFormatting>
  <conditionalFormatting sqref="D77">
    <cfRule type="cellIs" dxfId="21" priority="1055" operator="equal">
      <formula>$S$1</formula>
    </cfRule>
    <cfRule type="cellIs" dxfId="20" priority="1056" operator="equal">
      <formula>$U$1</formula>
    </cfRule>
  </conditionalFormatting>
  <conditionalFormatting sqref="C52">
    <cfRule type="cellIs" dxfId="19" priority="1053" operator="equal">
      <formula>$U$1</formula>
    </cfRule>
    <cfRule type="cellIs" dxfId="18" priority="1054" operator="equal">
      <formula>$S$1</formula>
    </cfRule>
  </conditionalFormatting>
  <conditionalFormatting sqref="D52">
    <cfRule type="cellIs" dxfId="17" priority="1051" operator="equal">
      <formula>$S$1</formula>
    </cfRule>
    <cfRule type="cellIs" dxfId="16" priority="1052" operator="equal">
      <formula>$U$1</formula>
    </cfRule>
  </conditionalFormatting>
  <conditionalFormatting sqref="C26">
    <cfRule type="cellIs" dxfId="15" priority="1049" operator="equal">
      <formula>$U$1</formula>
    </cfRule>
    <cfRule type="cellIs" dxfId="14" priority="1050" operator="equal">
      <formula>$S$1</formula>
    </cfRule>
  </conditionalFormatting>
  <conditionalFormatting sqref="D26">
    <cfRule type="cellIs" dxfId="13" priority="1047" operator="equal">
      <formula>$S$1</formula>
    </cfRule>
    <cfRule type="cellIs" dxfId="12" priority="104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2022-01-28T01:15:33Z</dcterms:modified>
</cp:coreProperties>
</file>