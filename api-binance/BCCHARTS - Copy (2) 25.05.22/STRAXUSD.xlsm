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E1376C4-CA92-4799-B509-7948767F995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16" i="5"/>
  <c r="C116" i="3"/>
  <c r="C118" i="4"/>
  <c r="C116" i="4"/>
  <c r="C122" i="3"/>
  <c r="C133" i="3" s="1"/>
  <c r="C136" i="3" s="1"/>
  <c r="R765" i="1"/>
  <c r="D136" i="5"/>
  <c r="C136" i="5"/>
  <c r="C136" i="4"/>
  <c r="D136" i="4"/>
  <c r="C138" i="5" l="1"/>
  <c r="C138" i="4"/>
  <c r="D136" i="3"/>
  <c r="C138" i="3" s="1"/>
  <c r="R764" i="1"/>
  <c r="S765" i="1"/>
  <c r="T765" i="1" s="1"/>
  <c r="R763" i="1" l="1"/>
  <c r="S764" i="1"/>
  <c r="T764" i="1" s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S759" i="1" l="1"/>
  <c r="T759" i="1" s="1"/>
  <c r="R758" i="1"/>
  <c r="S758" i="1" l="1"/>
  <c r="T758" i="1" s="1"/>
  <c r="R757" i="1"/>
  <c r="S757" i="1" l="1"/>
  <c r="T757" i="1" s="1"/>
  <c r="R756" i="1"/>
  <c r="R755" i="1" l="1"/>
  <c r="S756" i="1"/>
  <c r="T756" i="1" s="1"/>
  <c r="R754" i="1" l="1"/>
  <c r="S755" i="1"/>
  <c r="T755" i="1" s="1"/>
  <c r="R753" i="1" l="1"/>
  <c r="S754" i="1"/>
  <c r="T754" i="1" s="1"/>
  <c r="S753" i="1" l="1"/>
  <c r="T753" i="1" s="1"/>
  <c r="R752" i="1"/>
  <c r="R751" i="1" l="1"/>
  <c r="S752" i="1"/>
  <c r="T752" i="1" s="1"/>
  <c r="R750" i="1" l="1"/>
  <c r="S751" i="1"/>
  <c r="T751" i="1" s="1"/>
  <c r="R749" i="1" l="1"/>
  <c r="S750" i="1"/>
  <c r="T750" i="1" s="1"/>
  <c r="S749" i="1" l="1"/>
  <c r="T749" i="1" s="1"/>
  <c r="R748" i="1"/>
  <c r="R747" i="1" l="1"/>
  <c r="S748" i="1"/>
  <c r="T748" i="1" s="1"/>
  <c r="S747" i="1" l="1"/>
  <c r="T747" i="1" s="1"/>
  <c r="R746" i="1"/>
  <c r="R745" i="1" l="1"/>
  <c r="S746" i="1"/>
  <c r="T746" i="1" s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S737" i="1" l="1"/>
  <c r="T737" i="1" s="1"/>
  <c r="R736" i="1"/>
  <c r="S736" i="1" l="1"/>
  <c r="T736" i="1" s="1"/>
  <c r="R735" i="1"/>
  <c r="S735" i="1" l="1"/>
  <c r="T735" i="1" s="1"/>
  <c r="R734" i="1"/>
  <c r="R733" i="1" l="1"/>
  <c r="S734" i="1"/>
  <c r="T734" i="1" s="1"/>
  <c r="S733" i="1" l="1"/>
  <c r="T733" i="1" s="1"/>
  <c r="R732" i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S727" i="1" l="1"/>
  <c r="T727" i="1" s="1"/>
  <c r="R726" i="1"/>
  <c r="S726" i="1" l="1"/>
  <c r="T726" i="1" s="1"/>
  <c r="R725" i="1"/>
  <c r="S725" i="1" l="1"/>
  <c r="T725" i="1" s="1"/>
  <c r="R724" i="1"/>
  <c r="R723" i="1" l="1"/>
  <c r="S724" i="1"/>
  <c r="T724" i="1" s="1"/>
  <c r="R722" i="1" l="1"/>
  <c r="S723" i="1"/>
  <c r="T723" i="1" s="1"/>
  <c r="S722" i="1" l="1"/>
  <c r="T722" i="1" s="1"/>
  <c r="R721" i="1"/>
  <c r="R720" i="1" l="1"/>
  <c r="S721" i="1"/>
  <c r="T721" i="1" s="1"/>
  <c r="S720" i="1" l="1"/>
  <c r="T720" i="1" s="1"/>
  <c r="R719" i="1"/>
  <c r="R718" i="1" l="1"/>
  <c r="S719" i="1"/>
  <c r="T719" i="1" s="1"/>
  <c r="S718" i="1" l="1"/>
  <c r="T718" i="1" s="1"/>
  <c r="R717" i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S713" i="1" l="1"/>
  <c r="T713" i="1" s="1"/>
  <c r="R712" i="1"/>
  <c r="S712" i="1" l="1"/>
  <c r="T712" i="1" s="1"/>
  <c r="R711" i="1"/>
  <c r="S711" i="1" l="1"/>
  <c r="T711" i="1" s="1"/>
  <c r="R710" i="1"/>
  <c r="R709" i="1" l="1"/>
  <c r="S710" i="1"/>
  <c r="T710" i="1" s="1"/>
  <c r="S709" i="1" l="1"/>
  <c r="T709" i="1" s="1"/>
  <c r="R708" i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S703" i="1" l="1"/>
  <c r="T703" i="1" s="1"/>
  <c r="R702" i="1"/>
  <c r="S702" i="1" l="1"/>
  <c r="T702" i="1" s="1"/>
  <c r="R701" i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S697" i="1" l="1"/>
  <c r="T697" i="1" s="1"/>
  <c r="R696" i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S688" i="1" l="1"/>
  <c r="T688" i="1" s="1"/>
  <c r="R687" i="1"/>
  <c r="S687" i="1" l="1"/>
  <c r="T687" i="1" s="1"/>
  <c r="R686" i="1"/>
  <c r="S686" i="1" l="1"/>
  <c r="T686" i="1" s="1"/>
  <c r="R685" i="1"/>
  <c r="R684" i="1" l="1"/>
  <c r="S685" i="1"/>
  <c r="T685" i="1" s="1"/>
  <c r="R683" i="1" l="1"/>
  <c r="S684" i="1"/>
  <c r="T684" i="1" s="1"/>
  <c r="R682" i="1" l="1"/>
  <c r="S683" i="1"/>
  <c r="T683" i="1" s="1"/>
  <c r="S682" i="1" l="1"/>
  <c r="T682" i="1" s="1"/>
  <c r="R681" i="1"/>
  <c r="S681" i="1" l="1"/>
  <c r="T681" i="1" s="1"/>
  <c r="R680" i="1"/>
  <c r="S680" i="1" l="1"/>
  <c r="T680" i="1" s="1"/>
  <c r="R679" i="1"/>
  <c r="S679" i="1" l="1"/>
  <c r="T679" i="1" s="1"/>
  <c r="R678" i="1"/>
  <c r="S678" i="1" l="1"/>
  <c r="T678" i="1" s="1"/>
  <c r="R677" i="1"/>
  <c r="S677" i="1" l="1"/>
  <c r="T677" i="1" s="1"/>
  <c r="R676" i="1"/>
  <c r="R675" i="1" l="1"/>
  <c r="S676" i="1"/>
  <c r="T676" i="1" s="1"/>
  <c r="S675" i="1" l="1"/>
  <c r="T675" i="1" s="1"/>
  <c r="R674" i="1"/>
  <c r="S674" i="1" l="1"/>
  <c r="T674" i="1" s="1"/>
  <c r="R673" i="1"/>
  <c r="S673" i="1" l="1"/>
  <c r="T673" i="1" s="1"/>
  <c r="R672" i="1"/>
  <c r="R671" i="1" l="1"/>
  <c r="S672" i="1"/>
  <c r="T672" i="1" s="1"/>
  <c r="R670" i="1" l="1"/>
  <c r="S671" i="1"/>
  <c r="T671" i="1" s="1"/>
  <c r="R669" i="1" l="1"/>
  <c r="S670" i="1"/>
  <c r="T670" i="1" s="1"/>
  <c r="S669" i="1" l="1"/>
  <c r="T669" i="1" s="1"/>
  <c r="R668" i="1"/>
  <c r="S668" i="1" l="1"/>
  <c r="T668" i="1" s="1"/>
  <c r="R667" i="1"/>
  <c r="S667" i="1" l="1"/>
  <c r="T667" i="1" s="1"/>
  <c r="R666" i="1"/>
  <c r="S666" i="1" l="1"/>
  <c r="T666" i="1" s="1"/>
  <c r="R665" i="1"/>
  <c r="R664" i="1" l="1"/>
  <c r="S665" i="1"/>
  <c r="T665" i="1" s="1"/>
  <c r="S664" i="1" l="1"/>
  <c r="T664" i="1" s="1"/>
  <c r="R663" i="1"/>
  <c r="R662" i="1" l="1"/>
  <c r="S663" i="1"/>
  <c r="T663" i="1" s="1"/>
  <c r="S662" i="1" l="1"/>
  <c r="T662" i="1" s="1"/>
  <c r="R661" i="1"/>
  <c r="R660" i="1" l="1"/>
  <c r="S661" i="1"/>
  <c r="T661" i="1" s="1"/>
  <c r="S660" i="1" l="1"/>
  <c r="T660" i="1" s="1"/>
  <c r="R659" i="1"/>
  <c r="R658" i="1" l="1"/>
  <c r="S659" i="1"/>
  <c r="T659" i="1" s="1"/>
  <c r="S658" i="1" l="1"/>
  <c r="T658" i="1" s="1"/>
  <c r="R657" i="1"/>
  <c r="S657" i="1" l="1"/>
  <c r="T657" i="1" s="1"/>
  <c r="R656" i="1"/>
  <c r="R655" i="1" l="1"/>
  <c r="S656" i="1"/>
  <c r="T656" i="1" s="1"/>
  <c r="R654" i="1" l="1"/>
  <c r="S655" i="1"/>
  <c r="T655" i="1" s="1"/>
  <c r="R653" i="1" l="1"/>
  <c r="S654" i="1"/>
  <c r="T654" i="1" s="1"/>
  <c r="S653" i="1" l="1"/>
  <c r="T653" i="1" s="1"/>
  <c r="R652" i="1"/>
  <c r="S652" i="1" l="1"/>
  <c r="T652" i="1" s="1"/>
  <c r="R651" i="1"/>
  <c r="R650" i="1" l="1"/>
  <c r="S651" i="1"/>
  <c r="T651" i="1" s="1"/>
  <c r="R649" i="1" l="1"/>
  <c r="S650" i="1"/>
  <c r="T650" i="1" s="1"/>
  <c r="R648" i="1" l="1"/>
  <c r="S649" i="1"/>
  <c r="T649" i="1" s="1"/>
  <c r="S648" i="1" l="1"/>
  <c r="T648" i="1" s="1"/>
  <c r="R647" i="1"/>
  <c r="S647" i="1" l="1"/>
  <c r="T647" i="1" s="1"/>
  <c r="R646" i="1"/>
  <c r="S646" i="1" l="1"/>
  <c r="T646" i="1" s="1"/>
  <c r="R645" i="1"/>
  <c r="S645" i="1" l="1"/>
  <c r="T645" i="1" s="1"/>
  <c r="R644" i="1"/>
  <c r="S644" i="1" l="1"/>
  <c r="T644" i="1" s="1"/>
  <c r="R643" i="1"/>
  <c r="S643" i="1" l="1"/>
  <c r="T643" i="1" s="1"/>
  <c r="R642" i="1"/>
  <c r="R641" i="1" l="1"/>
  <c r="S642" i="1"/>
  <c r="T642" i="1" s="1"/>
  <c r="S641" i="1" l="1"/>
  <c r="T641" i="1" s="1"/>
  <c r="R640" i="1"/>
  <c r="R639" i="1" l="1"/>
  <c r="S640" i="1"/>
  <c r="T640" i="1" s="1"/>
  <c r="S639" i="1" l="1"/>
  <c r="T639" i="1" s="1"/>
  <c r="R638" i="1"/>
  <c r="R637" i="1" l="1"/>
  <c r="S638" i="1"/>
  <c r="T638" i="1" s="1"/>
  <c r="S637" i="1" l="1"/>
  <c r="T637" i="1" s="1"/>
  <c r="R636" i="1"/>
  <c r="R635" i="1" l="1"/>
  <c r="S636" i="1"/>
  <c r="T636" i="1" s="1"/>
  <c r="S635" i="1" l="1"/>
  <c r="T635" i="1" s="1"/>
  <c r="R634" i="1"/>
  <c r="R633" i="1" l="1"/>
  <c r="S634" i="1"/>
  <c r="T634" i="1" s="1"/>
  <c r="S633" i="1" l="1"/>
  <c r="T633" i="1" s="1"/>
  <c r="R632" i="1"/>
  <c r="S632" i="1" l="1"/>
  <c r="T632" i="1" s="1"/>
  <c r="R631" i="1"/>
  <c r="R630" i="1" l="1"/>
  <c r="S631" i="1"/>
  <c r="T631" i="1" s="1"/>
  <c r="R629" i="1" l="1"/>
  <c r="S630" i="1"/>
  <c r="T630" i="1" s="1"/>
  <c r="S629" i="1" l="1"/>
  <c r="T629" i="1" s="1"/>
  <c r="R628" i="1"/>
  <c r="S628" i="1" l="1"/>
  <c r="T628" i="1" s="1"/>
  <c r="R627" i="1"/>
  <c r="S627" i="1" l="1"/>
  <c r="T627" i="1" s="1"/>
  <c r="R626" i="1"/>
  <c r="R625" i="1" l="1"/>
  <c r="S626" i="1"/>
  <c r="T626" i="1" s="1"/>
  <c r="R624" i="1" l="1"/>
  <c r="S625" i="1"/>
  <c r="T625" i="1" s="1"/>
  <c r="R623" i="1" l="1"/>
  <c r="S624" i="1"/>
  <c r="T624" i="1" s="1"/>
  <c r="S623" i="1" l="1"/>
  <c r="T623" i="1" s="1"/>
  <c r="R622" i="1"/>
  <c r="S622" i="1" l="1"/>
  <c r="T622" i="1" s="1"/>
  <c r="R621" i="1"/>
  <c r="S621" i="1" l="1"/>
  <c r="T621" i="1" s="1"/>
  <c r="R620" i="1"/>
  <c r="R619" i="1" l="1"/>
  <c r="S620" i="1"/>
  <c r="T620" i="1" s="1"/>
  <c r="R618" i="1" l="1"/>
  <c r="S619" i="1"/>
  <c r="T619" i="1" s="1"/>
  <c r="R617" i="1" l="1"/>
  <c r="S618" i="1"/>
  <c r="T618" i="1" s="1"/>
  <c r="S617" i="1" l="1"/>
  <c r="T617" i="1" s="1"/>
  <c r="R616" i="1"/>
  <c r="S616" i="1" l="1"/>
  <c r="T616" i="1" s="1"/>
  <c r="R615" i="1"/>
  <c r="S615" i="1" l="1"/>
  <c r="T615" i="1" s="1"/>
  <c r="R614" i="1"/>
  <c r="S614" i="1" l="1"/>
  <c r="T614" i="1" s="1"/>
  <c r="R613" i="1"/>
  <c r="R612" i="1" l="1"/>
  <c r="S613" i="1"/>
  <c r="T613" i="1" s="1"/>
  <c r="R611" i="1" l="1"/>
  <c r="S612" i="1"/>
  <c r="T612" i="1" s="1"/>
  <c r="R610" i="1" l="1"/>
  <c r="S611" i="1"/>
  <c r="T611" i="1" s="1"/>
  <c r="S610" i="1" l="1"/>
  <c r="T610" i="1" s="1"/>
  <c r="R609" i="1"/>
  <c r="S609" i="1" l="1"/>
  <c r="T609" i="1" s="1"/>
  <c r="R608" i="1"/>
  <c r="S608" i="1" l="1"/>
  <c r="T608" i="1" s="1"/>
  <c r="R607" i="1"/>
  <c r="R606" i="1" l="1"/>
  <c r="S607" i="1"/>
  <c r="T607" i="1" s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R601" i="1" l="1"/>
  <c r="S602" i="1"/>
  <c r="T602" i="1" s="1"/>
  <c r="R600" i="1" l="1"/>
  <c r="S601" i="1"/>
  <c r="T601" i="1" s="1"/>
  <c r="R599" i="1" l="1"/>
  <c r="S600" i="1"/>
  <c r="T600" i="1" s="1"/>
  <c r="S599" i="1" l="1"/>
  <c r="T599" i="1" s="1"/>
  <c r="R598" i="1"/>
  <c r="S598" i="1" l="1"/>
  <c r="T598" i="1" s="1"/>
  <c r="R597" i="1"/>
  <c r="S597" i="1" l="1"/>
  <c r="T597" i="1" s="1"/>
  <c r="R596" i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R591" i="1" l="1"/>
  <c r="S592" i="1"/>
  <c r="T592" i="1" s="1"/>
  <c r="S591" i="1" l="1"/>
  <c r="T591" i="1" s="1"/>
  <c r="R590" i="1"/>
  <c r="S590" i="1" l="1"/>
  <c r="T590" i="1" s="1"/>
  <c r="R589" i="1"/>
  <c r="S589" i="1" l="1"/>
  <c r="T589" i="1" s="1"/>
  <c r="R588" i="1"/>
  <c r="R587" i="1" l="1"/>
  <c r="S588" i="1"/>
  <c r="T588" i="1" s="1"/>
  <c r="R586" i="1" l="1"/>
  <c r="S587" i="1"/>
  <c r="T587" i="1" s="1"/>
  <c r="R585" i="1" l="1"/>
  <c r="S586" i="1"/>
  <c r="T586" i="1" s="1"/>
  <c r="S585" i="1" l="1"/>
  <c r="T585" i="1" s="1"/>
  <c r="R584" i="1"/>
  <c r="R583" i="1" l="1"/>
  <c r="S584" i="1"/>
  <c r="T584" i="1" s="1"/>
  <c r="R582" i="1" l="1"/>
  <c r="S583" i="1"/>
  <c r="T583" i="1" s="1"/>
  <c r="R581" i="1" l="1"/>
  <c r="S582" i="1"/>
  <c r="T582" i="1" s="1"/>
  <c r="S581" i="1" l="1"/>
  <c r="T581" i="1" s="1"/>
  <c r="R580" i="1"/>
  <c r="S580" i="1" l="1"/>
  <c r="T580" i="1" s="1"/>
  <c r="R579" i="1"/>
  <c r="S579" i="1" l="1"/>
  <c r="T579" i="1" s="1"/>
  <c r="R578" i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S572" i="1" l="1"/>
  <c r="T572" i="1" s="1"/>
  <c r="R571" i="1"/>
  <c r="R570" i="1" l="1"/>
  <c r="S571" i="1"/>
  <c r="T571" i="1" s="1"/>
  <c r="R569" i="1" l="1"/>
  <c r="S570" i="1"/>
  <c r="T570" i="1" s="1"/>
  <c r="R568" i="1" l="1"/>
  <c r="S569" i="1"/>
  <c r="T569" i="1" s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R556" i="1" l="1"/>
  <c r="S557" i="1"/>
  <c r="T557" i="1" s="1"/>
  <c r="S556" i="1" l="1"/>
  <c r="T556" i="1" s="1"/>
  <c r="R555" i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S551" i="1" l="1"/>
  <c r="T551" i="1" s="1"/>
  <c r="R550" i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S537" i="1" l="1"/>
  <c r="T537" i="1" s="1"/>
  <c r="R536" i="1"/>
  <c r="R535" i="1" l="1"/>
  <c r="S536" i="1"/>
  <c r="T536" i="1" s="1"/>
  <c r="S535" i="1" l="1"/>
  <c r="T535" i="1" s="1"/>
  <c r="R534" i="1"/>
  <c r="R533" i="1" l="1"/>
  <c r="S534" i="1"/>
  <c r="T534" i="1" s="1"/>
  <c r="S533" i="1" l="1"/>
  <c r="T533" i="1" s="1"/>
  <c r="R532" i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S528" i="1" l="1"/>
  <c r="T528" i="1" s="1"/>
  <c r="R527" i="1"/>
  <c r="S527" i="1" l="1"/>
  <c r="T527" i="1" s="1"/>
  <c r="R526" i="1"/>
  <c r="S526" i="1" l="1"/>
  <c r="T526" i="1" s="1"/>
  <c r="R525" i="1"/>
  <c r="S525" i="1" l="1"/>
  <c r="T525" i="1" s="1"/>
  <c r="R524" i="1"/>
  <c r="R523" i="1" l="1"/>
  <c r="S524" i="1"/>
  <c r="T524" i="1" s="1"/>
  <c r="S523" i="1" l="1"/>
  <c r="T523" i="1" s="1"/>
  <c r="R522" i="1"/>
  <c r="R521" i="1" l="1"/>
  <c r="S522" i="1"/>
  <c r="T522" i="1" s="1"/>
  <c r="S521" i="1" l="1"/>
  <c r="T521" i="1" s="1"/>
  <c r="R520" i="1"/>
  <c r="R519" i="1" l="1"/>
  <c r="S520" i="1"/>
  <c r="T520" i="1" s="1"/>
  <c r="S519" i="1" l="1"/>
  <c r="T519" i="1" s="1"/>
  <c r="R518" i="1"/>
  <c r="R517" i="1" l="1"/>
  <c r="S518" i="1"/>
  <c r="T518" i="1" s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S510" i="1" l="1"/>
  <c r="T510" i="1" s="1"/>
  <c r="R509" i="1"/>
  <c r="R508" i="1" l="1"/>
  <c r="S509" i="1"/>
  <c r="T509" i="1" s="1"/>
  <c r="R507" i="1" l="1"/>
  <c r="S508" i="1"/>
  <c r="T508" i="1" s="1"/>
  <c r="R506" i="1" l="1"/>
  <c r="S507" i="1"/>
  <c r="T507" i="1" s="1"/>
  <c r="S506" i="1" l="1"/>
  <c r="T506" i="1" s="1"/>
  <c r="R505" i="1"/>
  <c r="R504" i="1" l="1"/>
  <c r="S505" i="1"/>
  <c r="T505" i="1" s="1"/>
  <c r="S504" i="1" l="1"/>
  <c r="T504" i="1" s="1"/>
  <c r="R503" i="1"/>
  <c r="S503" i="1" l="1"/>
  <c r="T503" i="1" s="1"/>
  <c r="R502" i="1"/>
  <c r="S502" i="1" l="1"/>
  <c r="T502" i="1" s="1"/>
  <c r="R501" i="1"/>
  <c r="S501" i="1" l="1"/>
  <c r="T501" i="1" s="1"/>
  <c r="R500" i="1"/>
  <c r="R499" i="1" l="1"/>
  <c r="S500" i="1"/>
  <c r="T500" i="1" s="1"/>
  <c r="R498" i="1" l="1"/>
  <c r="S499" i="1"/>
  <c r="T499" i="1" s="1"/>
  <c r="R497" i="1" l="1"/>
  <c r="S498" i="1"/>
  <c r="T498" i="1" s="1"/>
  <c r="S497" i="1" l="1"/>
  <c r="T497" i="1" s="1"/>
  <c r="R496" i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S492" i="1" l="1"/>
  <c r="T492" i="1" s="1"/>
  <c r="R491" i="1"/>
  <c r="R490" i="1" l="1"/>
  <c r="S491" i="1"/>
  <c r="T491" i="1" s="1"/>
  <c r="S490" i="1" l="1"/>
  <c r="T490" i="1" s="1"/>
  <c r="R489" i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S485" i="1" l="1"/>
  <c r="T485" i="1" s="1"/>
  <c r="R484" i="1"/>
  <c r="S484" i="1" l="1"/>
  <c r="T484" i="1" s="1"/>
  <c r="R483" i="1"/>
  <c r="S483" i="1" l="1"/>
  <c r="T483" i="1" s="1"/>
  <c r="R482" i="1"/>
  <c r="R481" i="1" l="1"/>
  <c r="S482" i="1"/>
  <c r="T482" i="1" s="1"/>
  <c r="R480" i="1" l="1"/>
  <c r="S481" i="1"/>
  <c r="T481" i="1" s="1"/>
  <c r="S480" i="1" l="1"/>
  <c r="T480" i="1" s="1"/>
  <c r="R479" i="1"/>
  <c r="S479" i="1" l="1"/>
  <c r="T479" i="1" s="1"/>
  <c r="R478" i="1"/>
  <c r="S478" i="1" l="1"/>
  <c r="T478" i="1" s="1"/>
  <c r="R477" i="1"/>
  <c r="R476" i="1" l="1"/>
  <c r="S477" i="1"/>
  <c r="T477" i="1" s="1"/>
  <c r="R475" i="1" l="1"/>
  <c r="S476" i="1"/>
  <c r="T476" i="1" s="1"/>
  <c r="R474" i="1" l="1"/>
  <c r="S475" i="1"/>
  <c r="T475" i="1" s="1"/>
  <c r="S474" i="1" l="1"/>
  <c r="T474" i="1" s="1"/>
  <c r="R473" i="1"/>
  <c r="S473" i="1" l="1"/>
  <c r="T473" i="1" s="1"/>
  <c r="R472" i="1"/>
  <c r="S472" i="1" l="1"/>
  <c r="T472" i="1" s="1"/>
  <c r="R471" i="1"/>
  <c r="R470" i="1" l="1"/>
  <c r="S471" i="1"/>
  <c r="T471" i="1" s="1"/>
  <c r="R469" i="1" l="1"/>
  <c r="S470" i="1"/>
  <c r="T470" i="1" s="1"/>
  <c r="R468" i="1" l="1"/>
  <c r="S469" i="1"/>
  <c r="T469" i="1" s="1"/>
  <c r="S468" i="1" l="1"/>
  <c r="T468" i="1" s="1"/>
  <c r="R467" i="1"/>
  <c r="S467" i="1" l="1"/>
  <c r="T467" i="1" s="1"/>
  <c r="R466" i="1"/>
  <c r="S466" i="1" l="1"/>
  <c r="T466" i="1" s="1"/>
  <c r="R465" i="1"/>
  <c r="S465" i="1" l="1"/>
  <c r="T465" i="1" s="1"/>
  <c r="R464" i="1"/>
  <c r="R463" i="1" l="1"/>
  <c r="S464" i="1"/>
  <c r="T464" i="1" s="1"/>
  <c r="S463" i="1" l="1"/>
  <c r="T463" i="1" s="1"/>
  <c r="R462" i="1"/>
  <c r="R461" i="1" l="1"/>
  <c r="S462" i="1"/>
  <c r="T462" i="1" s="1"/>
  <c r="S461" i="1" l="1"/>
  <c r="T461" i="1" s="1"/>
  <c r="R460" i="1"/>
  <c r="R459" i="1" l="1"/>
  <c r="S460" i="1"/>
  <c r="T460" i="1" s="1"/>
  <c r="S459" i="1" l="1"/>
  <c r="T459" i="1" s="1"/>
  <c r="R458" i="1"/>
  <c r="S458" i="1" l="1"/>
  <c r="T458" i="1" s="1"/>
  <c r="R457" i="1"/>
  <c r="R456" i="1" l="1"/>
  <c r="S457" i="1"/>
  <c r="T457" i="1" s="1"/>
  <c r="R455" i="1" l="1"/>
  <c r="S456" i="1"/>
  <c r="T456" i="1" s="1"/>
  <c r="R454" i="1" l="1"/>
  <c r="S455" i="1"/>
  <c r="T455" i="1" s="1"/>
  <c r="S454" i="1" l="1"/>
  <c r="T454" i="1" s="1"/>
  <c r="R453" i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S449" i="1" l="1"/>
  <c r="T449" i="1" s="1"/>
  <c r="R448" i="1"/>
  <c r="S448" i="1" l="1"/>
  <c r="T448" i="1" s="1"/>
  <c r="R447" i="1"/>
  <c r="S447" i="1" l="1"/>
  <c r="T447" i="1" s="1"/>
  <c r="R446" i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S442" i="1" l="1"/>
  <c r="T442" i="1" s="1"/>
  <c r="R441" i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S434" i="1" l="1"/>
  <c r="T434" i="1" s="1"/>
  <c r="R433" i="1"/>
  <c r="S433" i="1" l="1"/>
  <c r="T433" i="1" s="1"/>
  <c r="R432" i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S427" i="1" l="1"/>
  <c r="T427" i="1" s="1"/>
  <c r="R426" i="1"/>
  <c r="S426" i="1" l="1"/>
  <c r="T426" i="1" s="1"/>
  <c r="R425" i="1"/>
  <c r="S425" i="1" l="1"/>
  <c r="T425" i="1" s="1"/>
  <c r="R424" i="1"/>
  <c r="S424" i="1" l="1"/>
  <c r="T424" i="1" s="1"/>
  <c r="R423" i="1"/>
  <c r="S423" i="1" l="1"/>
  <c r="T423" i="1" s="1"/>
  <c r="R422" i="1"/>
  <c r="R421" i="1" l="1"/>
  <c r="S422" i="1"/>
  <c r="T422" i="1" s="1"/>
  <c r="S421" i="1" l="1"/>
  <c r="T421" i="1" s="1"/>
  <c r="R420" i="1"/>
  <c r="R419" i="1" l="1"/>
  <c r="S420" i="1"/>
  <c r="T420" i="1" s="1"/>
  <c r="R418" i="1" l="1"/>
  <c r="S419" i="1"/>
  <c r="T419" i="1" s="1"/>
  <c r="R417" i="1" l="1"/>
  <c r="S418" i="1"/>
  <c r="T418" i="1" s="1"/>
  <c r="S417" i="1" l="1"/>
  <c r="T417" i="1" s="1"/>
  <c r="R416" i="1"/>
  <c r="S416" i="1" l="1"/>
  <c r="T416" i="1" s="1"/>
  <c r="R415" i="1"/>
  <c r="R414" i="1" l="1"/>
  <c r="S415" i="1"/>
  <c r="T415" i="1" s="1"/>
  <c r="S414" i="1" l="1"/>
  <c r="T414" i="1" s="1"/>
  <c r="R413" i="1"/>
  <c r="R412" i="1" l="1"/>
  <c r="S413" i="1"/>
  <c r="T413" i="1" s="1"/>
  <c r="S412" i="1" l="1"/>
  <c r="T412" i="1" s="1"/>
  <c r="R411" i="1"/>
  <c r="R410" i="1" l="1"/>
  <c r="S411" i="1"/>
  <c r="T411" i="1" s="1"/>
  <c r="S410" i="1" l="1"/>
  <c r="T410" i="1" s="1"/>
  <c r="R409" i="1"/>
  <c r="R408" i="1" l="1"/>
  <c r="S409" i="1"/>
  <c r="T409" i="1" s="1"/>
  <c r="S408" i="1" l="1"/>
  <c r="T408" i="1" s="1"/>
  <c r="R407" i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S403" i="1" l="1"/>
  <c r="T403" i="1" s="1"/>
  <c r="R402" i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S394" i="1" l="1"/>
  <c r="T394" i="1" s="1"/>
  <c r="R393" i="1"/>
  <c r="R392" i="1" l="1"/>
  <c r="S393" i="1"/>
  <c r="T393" i="1" s="1"/>
  <c r="S392" i="1" l="1"/>
  <c r="T392" i="1" s="1"/>
  <c r="R391" i="1"/>
  <c r="R390" i="1" l="1"/>
  <c r="S391" i="1"/>
  <c r="T391" i="1" s="1"/>
  <c r="S390" i="1" l="1"/>
  <c r="T390" i="1" s="1"/>
  <c r="R389" i="1"/>
  <c r="R388" i="1" l="1"/>
  <c r="S389" i="1"/>
  <c r="T389" i="1" s="1"/>
  <c r="S388" i="1" l="1"/>
  <c r="T388" i="1" s="1"/>
  <c r="R387" i="1"/>
  <c r="S387" i="1" l="1"/>
  <c r="T387" i="1" s="1"/>
  <c r="R386" i="1"/>
  <c r="R385" i="1" l="1"/>
  <c r="S386" i="1"/>
  <c r="T386" i="1" s="1"/>
  <c r="R384" i="1" l="1"/>
  <c r="S385" i="1"/>
  <c r="T385" i="1" s="1"/>
  <c r="S384" i="1" l="1"/>
  <c r="T384" i="1" s="1"/>
  <c r="R383" i="1"/>
  <c r="S383" i="1" l="1"/>
  <c r="T383" i="1" s="1"/>
  <c r="R382" i="1"/>
  <c r="R381" i="1" l="1"/>
  <c r="S382" i="1"/>
  <c r="T382" i="1" s="1"/>
  <c r="R380" i="1" l="1"/>
  <c r="S381" i="1"/>
  <c r="T381" i="1" s="1"/>
  <c r="R379" i="1" l="1"/>
  <c r="S380" i="1"/>
  <c r="T380" i="1" s="1"/>
  <c r="S379" i="1" l="1"/>
  <c r="T379" i="1" s="1"/>
  <c r="R378" i="1"/>
  <c r="S378" i="1" l="1"/>
  <c r="T378" i="1" s="1"/>
  <c r="R377" i="1"/>
  <c r="S377" i="1" l="1"/>
  <c r="T377" i="1" s="1"/>
  <c r="R376" i="1"/>
  <c r="S376" i="1" l="1"/>
  <c r="T376" i="1" s="1"/>
  <c r="R375" i="1"/>
  <c r="S375" i="1" l="1"/>
  <c r="T375" i="1" s="1"/>
  <c r="R374" i="1"/>
  <c r="R373" i="1" l="1"/>
  <c r="S374" i="1"/>
  <c r="T374" i="1" s="1"/>
  <c r="S373" i="1" l="1"/>
  <c r="T373" i="1" s="1"/>
  <c r="R372" i="1"/>
  <c r="R371" i="1" l="1"/>
  <c r="S372" i="1"/>
  <c r="T372" i="1" s="1"/>
  <c r="S371" i="1" l="1"/>
  <c r="T371" i="1" s="1"/>
  <c r="R370" i="1"/>
  <c r="S370" i="1" l="1"/>
  <c r="T370" i="1" s="1"/>
  <c r="R369" i="1"/>
  <c r="R368" i="1" l="1"/>
  <c r="S369" i="1"/>
  <c r="T369" i="1" s="1"/>
  <c r="S368" i="1" l="1"/>
  <c r="T368" i="1" s="1"/>
  <c r="R367" i="1"/>
  <c r="R366" i="1" l="1"/>
  <c r="S367" i="1"/>
  <c r="T367" i="1" s="1"/>
  <c r="S366" i="1" l="1"/>
  <c r="T366" i="1" s="1"/>
  <c r="R365" i="1"/>
  <c r="R364" i="1" l="1"/>
  <c r="S365" i="1"/>
  <c r="T365" i="1" s="1"/>
  <c r="S364" i="1" l="1"/>
  <c r="T364" i="1" s="1"/>
  <c r="R363" i="1"/>
  <c r="R362" i="1" l="1"/>
  <c r="S363" i="1"/>
  <c r="T363" i="1" s="1"/>
  <c r="S362" i="1" l="1"/>
  <c r="T362" i="1" s="1"/>
  <c r="R361" i="1"/>
  <c r="R360" i="1" l="1"/>
  <c r="S361" i="1"/>
  <c r="T361" i="1" s="1"/>
  <c r="S360" i="1" l="1"/>
  <c r="T360" i="1" s="1"/>
  <c r="R359" i="1"/>
  <c r="S359" i="1" l="1"/>
  <c r="T359" i="1" s="1"/>
  <c r="R358" i="1"/>
  <c r="R357" i="1" l="1"/>
  <c r="S358" i="1"/>
  <c r="T358" i="1" s="1"/>
  <c r="R356" i="1" l="1"/>
  <c r="S357" i="1"/>
  <c r="T357" i="1" s="1"/>
  <c r="R355" i="1" l="1"/>
  <c r="S356" i="1"/>
  <c r="T356" i="1" s="1"/>
  <c r="S355" i="1" l="1"/>
  <c r="T355" i="1" s="1"/>
  <c r="R354" i="1"/>
  <c r="S354" i="1" l="1"/>
  <c r="T354" i="1" s="1"/>
  <c r="R353" i="1"/>
  <c r="S353" i="1" l="1"/>
  <c r="T353" i="1" s="1"/>
  <c r="R352" i="1"/>
  <c r="R351" i="1" l="1"/>
  <c r="S352" i="1"/>
  <c r="T352" i="1" s="1"/>
  <c r="R350" i="1" l="1"/>
  <c r="S351" i="1"/>
  <c r="T351" i="1" s="1"/>
  <c r="R349" i="1" l="1"/>
  <c r="S350" i="1"/>
  <c r="T350" i="1" s="1"/>
  <c r="S349" i="1" l="1"/>
  <c r="T349" i="1" s="1"/>
  <c r="R348" i="1"/>
  <c r="R347" i="1" l="1"/>
  <c r="S348" i="1"/>
  <c r="T348" i="1" s="1"/>
  <c r="S347" i="1" l="1"/>
  <c r="T347" i="1" s="1"/>
  <c r="R346" i="1"/>
  <c r="R345" i="1" l="1"/>
  <c r="S346" i="1"/>
  <c r="T346" i="1" s="1"/>
  <c r="S345" i="1" l="1"/>
  <c r="T345" i="1" s="1"/>
  <c r="R344" i="1"/>
  <c r="R343" i="1" l="1"/>
  <c r="S344" i="1"/>
  <c r="T344" i="1" s="1"/>
  <c r="S343" i="1" l="1"/>
  <c r="T343" i="1" s="1"/>
  <c r="R342" i="1"/>
  <c r="R341" i="1" l="1"/>
  <c r="S342" i="1"/>
  <c r="T342" i="1" s="1"/>
  <c r="S341" i="1" l="1"/>
  <c r="T341" i="1" s="1"/>
  <c r="R340" i="1"/>
  <c r="R339" i="1" l="1"/>
  <c r="S340" i="1"/>
  <c r="T340" i="1" s="1"/>
  <c r="S339" i="1" l="1"/>
  <c r="T339" i="1" s="1"/>
  <c r="R338" i="1"/>
  <c r="S338" i="1" l="1"/>
  <c r="T338" i="1" s="1"/>
  <c r="R337" i="1"/>
  <c r="S337" i="1" l="1"/>
  <c r="T337" i="1" s="1"/>
  <c r="R336" i="1"/>
  <c r="R335" i="1" l="1"/>
  <c r="S336" i="1"/>
  <c r="T336" i="1" s="1"/>
  <c r="R334" i="1" l="1"/>
  <c r="S335" i="1"/>
  <c r="T335" i="1" s="1"/>
  <c r="S334" i="1" l="1"/>
  <c r="T334" i="1" s="1"/>
  <c r="R333" i="1"/>
  <c r="S333" i="1" l="1"/>
  <c r="T333" i="1" s="1"/>
  <c r="R332" i="1"/>
  <c r="R331" i="1" l="1"/>
  <c r="S332" i="1"/>
  <c r="T332" i="1" s="1"/>
  <c r="S331" i="1" l="1"/>
  <c r="T331" i="1" s="1"/>
  <c r="R330" i="1"/>
  <c r="R329" i="1" l="1"/>
  <c r="S330" i="1"/>
  <c r="T330" i="1" s="1"/>
  <c r="S329" i="1" l="1"/>
  <c r="T329" i="1" s="1"/>
  <c r="R328" i="1"/>
  <c r="R327" i="1" l="1"/>
  <c r="S328" i="1"/>
  <c r="T328" i="1" s="1"/>
  <c r="R326" i="1" l="1"/>
  <c r="S327" i="1"/>
  <c r="T327" i="1" s="1"/>
  <c r="S326" i="1" l="1"/>
  <c r="T326" i="1" s="1"/>
  <c r="R325" i="1"/>
  <c r="R324" i="1" l="1"/>
  <c r="S325" i="1"/>
  <c r="T325" i="1" s="1"/>
  <c r="S324" i="1" l="1"/>
  <c r="T324" i="1" s="1"/>
  <c r="R323" i="1"/>
  <c r="R322" i="1" l="1"/>
  <c r="S323" i="1"/>
  <c r="T323" i="1" s="1"/>
  <c r="R321" i="1" l="1"/>
  <c r="S322" i="1"/>
  <c r="T322" i="1" s="1"/>
  <c r="R320" i="1" l="1"/>
  <c r="S321" i="1"/>
  <c r="T321" i="1" s="1"/>
  <c r="S320" i="1" l="1"/>
  <c r="T320" i="1" s="1"/>
  <c r="R319" i="1"/>
  <c r="S319" i="1" l="1"/>
  <c r="T319" i="1" s="1"/>
  <c r="R318" i="1"/>
  <c r="S318" i="1" l="1"/>
  <c r="T318" i="1" s="1"/>
  <c r="R317" i="1"/>
  <c r="R316" i="1" l="1"/>
  <c r="S317" i="1"/>
  <c r="T317" i="1" s="1"/>
  <c r="S316" i="1" l="1"/>
  <c r="T316" i="1" s="1"/>
  <c r="R315" i="1"/>
  <c r="R314" i="1" l="1"/>
  <c r="S315" i="1"/>
  <c r="T315" i="1" s="1"/>
  <c r="R313" i="1" l="1"/>
  <c r="S314" i="1"/>
  <c r="T314" i="1" s="1"/>
  <c r="R312" i="1" l="1"/>
  <c r="S313" i="1"/>
  <c r="T313" i="1" s="1"/>
  <c r="S312" i="1" l="1"/>
  <c r="T312" i="1" s="1"/>
  <c r="R311" i="1"/>
  <c r="S311" i="1" l="1"/>
  <c r="T311" i="1" s="1"/>
  <c r="R310" i="1"/>
  <c r="S310" i="1" l="1"/>
  <c r="T310" i="1" s="1"/>
  <c r="R309" i="1"/>
  <c r="R308" i="1" l="1"/>
  <c r="S309" i="1"/>
  <c r="T309" i="1" s="1"/>
  <c r="R307" i="1" l="1"/>
  <c r="S308" i="1"/>
  <c r="T308" i="1" s="1"/>
  <c r="R306" i="1" l="1"/>
  <c r="S307" i="1"/>
  <c r="T307" i="1" s="1"/>
  <c r="S306" i="1" l="1"/>
  <c r="T306" i="1" s="1"/>
  <c r="R305" i="1"/>
  <c r="S305" i="1" l="1"/>
  <c r="T305" i="1" s="1"/>
  <c r="R304" i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S297" i="1" l="1"/>
  <c r="T297" i="1" s="1"/>
  <c r="R296" i="1"/>
  <c r="R295" i="1" l="1"/>
  <c r="S296" i="1"/>
  <c r="T296" i="1" s="1"/>
  <c r="R294" i="1" l="1"/>
  <c r="S295" i="1"/>
  <c r="T295" i="1" s="1"/>
  <c r="R293" i="1" l="1"/>
  <c r="S294" i="1"/>
  <c r="T294" i="1" s="1"/>
  <c r="S293" i="1" l="1"/>
  <c r="T293" i="1" s="1"/>
  <c r="R292" i="1"/>
  <c r="S292" i="1" l="1"/>
  <c r="T292" i="1" s="1"/>
  <c r="R291" i="1"/>
  <c r="S291" i="1" l="1"/>
  <c r="T291" i="1" s="1"/>
  <c r="R290" i="1"/>
  <c r="R289" i="1" l="1"/>
  <c r="S290" i="1"/>
  <c r="T290" i="1" s="1"/>
  <c r="S289" i="1" l="1"/>
  <c r="T289" i="1" s="1"/>
  <c r="R288" i="1"/>
  <c r="R287" i="1" l="1"/>
  <c r="S288" i="1"/>
  <c r="T288" i="1" s="1"/>
  <c r="S287" i="1" l="1"/>
  <c r="T287" i="1" s="1"/>
  <c r="R286" i="1"/>
  <c r="S286" i="1" l="1"/>
  <c r="T286" i="1" s="1"/>
  <c r="R285" i="1"/>
  <c r="S285" i="1" l="1"/>
  <c r="T285" i="1" s="1"/>
  <c r="R284" i="1"/>
  <c r="R283" i="1" l="1"/>
  <c r="S284" i="1"/>
  <c r="T284" i="1" s="1"/>
  <c r="S283" i="1" l="1"/>
  <c r="T283" i="1" s="1"/>
  <c r="R282" i="1"/>
  <c r="S282" i="1" l="1"/>
  <c r="T282" i="1" s="1"/>
  <c r="R281" i="1"/>
  <c r="S281" i="1" l="1"/>
  <c r="T281" i="1" s="1"/>
  <c r="R280" i="1"/>
  <c r="R279" i="1" l="1"/>
  <c r="S280" i="1"/>
  <c r="T280" i="1" s="1"/>
  <c r="S279" i="1" l="1"/>
  <c r="T279" i="1" s="1"/>
  <c r="R278" i="1"/>
  <c r="R277" i="1" l="1"/>
  <c r="S278" i="1"/>
  <c r="T278" i="1" s="1"/>
  <c r="S277" i="1" l="1"/>
  <c r="T277" i="1" s="1"/>
  <c r="R276" i="1"/>
  <c r="R275" i="1" l="1"/>
  <c r="S276" i="1"/>
  <c r="T276" i="1" s="1"/>
  <c r="R274" i="1" l="1"/>
  <c r="S275" i="1"/>
  <c r="T275" i="1" s="1"/>
  <c r="R273" i="1" l="1"/>
  <c r="S274" i="1"/>
  <c r="T274" i="1" s="1"/>
  <c r="S273" i="1" l="1"/>
  <c r="T273" i="1" s="1"/>
  <c r="R272" i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S264" i="1" l="1"/>
  <c r="T264" i="1" s="1"/>
  <c r="R263" i="1"/>
  <c r="R262" i="1" l="1"/>
  <c r="S263" i="1"/>
  <c r="T263" i="1" s="1"/>
  <c r="S262" i="1" l="1"/>
  <c r="T262" i="1" s="1"/>
  <c r="R261" i="1"/>
  <c r="R260" i="1" l="1"/>
  <c r="S261" i="1"/>
  <c r="T261" i="1" s="1"/>
  <c r="S260" i="1" l="1"/>
  <c r="T260" i="1" s="1"/>
  <c r="R259" i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S253" i="1" l="1"/>
  <c r="T253" i="1" s="1"/>
  <c r="R252" i="1"/>
  <c r="S252" i="1" l="1"/>
  <c r="T252" i="1" s="1"/>
  <c r="R251" i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S245" i="1" l="1"/>
  <c r="T245" i="1" s="1"/>
  <c r="R244" i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S238" i="1" l="1"/>
  <c r="T238" i="1" s="1"/>
  <c r="R237" i="1"/>
  <c r="R236" i="1" l="1"/>
  <c r="S237" i="1"/>
  <c r="T237" i="1" s="1"/>
  <c r="S236" i="1" l="1"/>
  <c r="T236" i="1" s="1"/>
  <c r="R235" i="1"/>
  <c r="S235" i="1" l="1"/>
  <c r="T235" i="1" s="1"/>
  <c r="R234" i="1"/>
  <c r="S234" i="1" l="1"/>
  <c r="T234" i="1" s="1"/>
  <c r="R233" i="1"/>
  <c r="S233" i="1" l="1"/>
  <c r="T233" i="1" s="1"/>
  <c r="R232" i="1"/>
  <c r="R231" i="1" l="1"/>
  <c r="S232" i="1"/>
  <c r="T232" i="1" s="1"/>
  <c r="S231" i="1" l="1"/>
  <c r="T231" i="1" s="1"/>
  <c r="R230" i="1"/>
  <c r="R229" i="1" l="1"/>
  <c r="S230" i="1"/>
  <c r="T230" i="1" s="1"/>
  <c r="S229" i="1" l="1"/>
  <c r="T229" i="1" s="1"/>
  <c r="R228" i="1"/>
  <c r="R227" i="1" l="1"/>
  <c r="S228" i="1"/>
  <c r="T228" i="1" s="1"/>
  <c r="S227" i="1" l="1"/>
  <c r="T227" i="1" s="1"/>
  <c r="R226" i="1"/>
  <c r="R225" i="1" l="1"/>
  <c r="S226" i="1"/>
  <c r="T226" i="1" s="1"/>
  <c r="S225" i="1" l="1"/>
  <c r="T225" i="1" s="1"/>
  <c r="R224" i="1"/>
  <c r="R223" i="1" l="1"/>
  <c r="S224" i="1"/>
  <c r="T224" i="1" s="1"/>
  <c r="S223" i="1" l="1"/>
  <c r="T223" i="1" s="1"/>
  <c r="R222" i="1"/>
  <c r="R221" i="1" l="1"/>
  <c r="S222" i="1"/>
  <c r="T222" i="1" s="1"/>
  <c r="S221" i="1" l="1"/>
  <c r="T221" i="1" s="1"/>
  <c r="R220" i="1"/>
  <c r="R219" i="1" l="1"/>
  <c r="S220" i="1"/>
  <c r="T220" i="1" s="1"/>
  <c r="S219" i="1" l="1"/>
  <c r="T219" i="1" s="1"/>
  <c r="R218" i="1"/>
  <c r="R217" i="1" l="1"/>
  <c r="S218" i="1"/>
  <c r="T218" i="1" s="1"/>
  <c r="S217" i="1" l="1"/>
  <c r="T217" i="1" s="1"/>
  <c r="R216" i="1"/>
  <c r="R215" i="1" l="1"/>
  <c r="S216" i="1"/>
  <c r="T216" i="1" s="1"/>
  <c r="S215" i="1" l="1"/>
  <c r="T215" i="1" s="1"/>
  <c r="R214" i="1"/>
  <c r="R213" i="1" l="1"/>
  <c r="S214" i="1"/>
  <c r="T214" i="1" s="1"/>
  <c r="S213" i="1" l="1"/>
  <c r="T213" i="1" s="1"/>
  <c r="R212" i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S206" i="1" l="1"/>
  <c r="T206" i="1" s="1"/>
  <c r="R205" i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S196" i="1" l="1"/>
  <c r="T196" i="1" s="1"/>
  <c r="R195" i="1"/>
  <c r="R194" i="1" l="1"/>
  <c r="S195" i="1"/>
  <c r="T195" i="1" s="1"/>
  <c r="S194" i="1" l="1"/>
  <c r="T194" i="1" s="1"/>
  <c r="R193" i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S189" i="1" l="1"/>
  <c r="T189" i="1" s="1"/>
  <c r="R188" i="1"/>
  <c r="S188" i="1" l="1"/>
  <c r="T188" i="1" s="1"/>
  <c r="R187" i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S183" i="1" l="1"/>
  <c r="T183" i="1" s="1"/>
  <c r="R182" i="1"/>
  <c r="S182" i="1" l="1"/>
  <c r="T182" i="1" s="1"/>
  <c r="R181" i="1"/>
  <c r="R180" i="1" l="1"/>
  <c r="S181" i="1"/>
  <c r="T181" i="1" s="1"/>
  <c r="R179" i="1" l="1"/>
  <c r="S180" i="1"/>
  <c r="T180" i="1" s="1"/>
  <c r="S179" i="1" l="1"/>
  <c r="T179" i="1" s="1"/>
  <c r="R178" i="1"/>
  <c r="S178" i="1" l="1"/>
  <c r="T178" i="1" s="1"/>
  <c r="R177" i="1"/>
  <c r="S177" i="1" l="1"/>
  <c r="T177" i="1" s="1"/>
  <c r="R176" i="1"/>
  <c r="R175" i="1" l="1"/>
  <c r="S176" i="1"/>
  <c r="T176" i="1" s="1"/>
  <c r="R174" i="1" l="1"/>
  <c r="S175" i="1"/>
  <c r="T175" i="1" s="1"/>
  <c r="R173" i="1" l="1"/>
  <c r="S174" i="1"/>
  <c r="T174" i="1" s="1"/>
  <c r="S173" i="1" l="1"/>
  <c r="T173" i="1" s="1"/>
  <c r="R172" i="1"/>
  <c r="R171" i="1" l="1"/>
  <c r="S172" i="1"/>
  <c r="T172" i="1" s="1"/>
  <c r="R170" i="1" l="1"/>
  <c r="S171" i="1"/>
  <c r="T171" i="1" s="1"/>
  <c r="R169" i="1" l="1"/>
  <c r="S170" i="1"/>
  <c r="T170" i="1" s="1"/>
  <c r="S169" i="1" l="1"/>
  <c r="T169" i="1" s="1"/>
  <c r="R168" i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S162" i="1" l="1"/>
  <c r="T162" i="1" s="1"/>
  <c r="R161" i="1"/>
  <c r="S161" i="1" l="1"/>
  <c r="T161" i="1" s="1"/>
  <c r="R160" i="1"/>
  <c r="R159" i="1" l="1"/>
  <c r="S160" i="1"/>
  <c r="T160" i="1" s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S150" i="1" l="1"/>
  <c r="T150" i="1" s="1"/>
  <c r="R149" i="1"/>
  <c r="R148" i="1" l="1"/>
  <c r="S149" i="1"/>
  <c r="T149" i="1" s="1"/>
  <c r="S148" i="1" l="1"/>
  <c r="T148" i="1" s="1"/>
  <c r="R147" i="1"/>
  <c r="R146" i="1" l="1"/>
  <c r="S147" i="1"/>
  <c r="T147" i="1" s="1"/>
  <c r="S146" i="1" l="1"/>
  <c r="T146" i="1" s="1"/>
  <c r="R145" i="1"/>
  <c r="R144" i="1" l="1"/>
  <c r="S145" i="1"/>
  <c r="T145" i="1" s="1"/>
  <c r="S144" i="1" l="1"/>
  <c r="T144" i="1" s="1"/>
  <c r="R143" i="1"/>
  <c r="R142" i="1" l="1"/>
  <c r="S143" i="1"/>
  <c r="T143" i="1" s="1"/>
  <c r="S142" i="1" l="1"/>
  <c r="T142" i="1" s="1"/>
  <c r="R141" i="1"/>
  <c r="R140" i="1" l="1"/>
  <c r="S141" i="1"/>
  <c r="T141" i="1" s="1"/>
  <c r="R139" i="1" l="1"/>
  <c r="S140" i="1"/>
  <c r="T140" i="1" s="1"/>
  <c r="S139" i="1" l="1"/>
  <c r="T139" i="1" s="1"/>
  <c r="R138" i="1"/>
  <c r="S138" i="1" l="1"/>
  <c r="T138" i="1" s="1"/>
  <c r="R137" i="1"/>
  <c r="S137" i="1" l="1"/>
  <c r="T137" i="1" s="1"/>
  <c r="R136" i="1"/>
  <c r="R135" i="1" l="1"/>
  <c r="S136" i="1"/>
  <c r="T136" i="1" s="1"/>
  <c r="S135" i="1" l="1"/>
  <c r="T135" i="1" s="1"/>
  <c r="R134" i="1"/>
  <c r="R133" i="1" l="1"/>
  <c r="S134" i="1"/>
  <c r="T134" i="1" s="1"/>
  <c r="S133" i="1" l="1"/>
  <c r="T133" i="1" s="1"/>
  <c r="R132" i="1"/>
  <c r="R131" i="1" l="1"/>
  <c r="S132" i="1"/>
  <c r="T132" i="1" s="1"/>
  <c r="R130" i="1" l="1"/>
  <c r="S131" i="1"/>
  <c r="T131" i="1" s="1"/>
  <c r="R129" i="1" l="1"/>
  <c r="S130" i="1"/>
  <c r="T130" i="1" s="1"/>
  <c r="S129" i="1" l="1"/>
  <c r="T129" i="1" s="1"/>
  <c r="R128" i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S121" i="1" l="1"/>
  <c r="T121" i="1" s="1"/>
  <c r="R120" i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S106" i="1" l="1"/>
  <c r="T106" i="1" s="1"/>
  <c r="R105" i="1"/>
  <c r="R104" i="1" l="1"/>
  <c r="S105" i="1"/>
  <c r="T105" i="1" s="1"/>
  <c r="S104" i="1" l="1"/>
  <c r="T104" i="1" s="1"/>
  <c r="R103" i="1"/>
  <c r="S103" i="1" l="1"/>
  <c r="T103" i="1" s="1"/>
  <c r="R102" i="1"/>
  <c r="S102" i="1" l="1"/>
  <c r="T102" i="1" s="1"/>
  <c r="R101" i="1"/>
  <c r="R100" i="1" l="1"/>
  <c r="S101" i="1"/>
  <c r="T101" i="1" s="1"/>
  <c r="S100" i="1" l="1"/>
  <c r="T100" i="1" s="1"/>
  <c r="R99" i="1"/>
  <c r="R98" i="1" l="1"/>
  <c r="S99" i="1"/>
  <c r="T99" i="1" s="1"/>
  <c r="S98" i="1" l="1"/>
  <c r="T98" i="1" s="1"/>
  <c r="R97" i="1"/>
  <c r="S97" i="1" l="1"/>
  <c r="T97" i="1" s="1"/>
  <c r="R96" i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R85" i="1" l="1"/>
  <c r="S86" i="1"/>
  <c r="T86" i="1" s="1"/>
  <c r="R84" i="1" l="1"/>
  <c r="S85" i="1"/>
  <c r="T85" i="1" s="1"/>
  <c r="S84" i="1" l="1"/>
  <c r="T84" i="1" s="1"/>
  <c r="R83" i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S75" i="1" l="1"/>
  <c r="T75" i="1" s="1"/>
  <c r="R74" i="1"/>
  <c r="S74" i="1" l="1"/>
  <c r="T74" i="1" s="1"/>
  <c r="R73" i="1"/>
  <c r="S73" i="1" l="1"/>
  <c r="T73" i="1" s="1"/>
  <c r="R72" i="1"/>
  <c r="R71" i="1" l="1"/>
  <c r="S72" i="1"/>
  <c r="T72" i="1" s="1"/>
  <c r="S71" i="1" l="1"/>
  <c r="T71" i="1" s="1"/>
  <c r="R70" i="1"/>
  <c r="S70" i="1" l="1"/>
  <c r="T70" i="1" s="1"/>
  <c r="R69" i="1"/>
  <c r="R68" i="1" l="1"/>
  <c r="S69" i="1"/>
  <c r="T69" i="1" s="1"/>
  <c r="S68" i="1" l="1"/>
  <c r="T68" i="1" s="1"/>
  <c r="R67" i="1"/>
  <c r="R66" i="1" l="1"/>
  <c r="S67" i="1"/>
  <c r="T67" i="1" s="1"/>
  <c r="R65" i="1" l="1"/>
  <c r="S66" i="1"/>
  <c r="T66" i="1" s="1"/>
  <c r="S65" i="1" l="1"/>
  <c r="T65" i="1" s="1"/>
  <c r="R64" i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S45" i="1" l="1"/>
  <c r="T45" i="1" s="1"/>
  <c r="R44" i="1"/>
  <c r="R43" i="1" l="1"/>
  <c r="S44" i="1"/>
  <c r="T44" i="1" s="1"/>
  <c r="S43" i="1" l="1"/>
  <c r="T43" i="1" s="1"/>
  <c r="R42" i="1"/>
  <c r="S42" i="1" l="1"/>
  <c r="T42" i="1" s="1"/>
  <c r="R41" i="1"/>
  <c r="R40" i="1" l="1"/>
  <c r="S41" i="1"/>
  <c r="T41" i="1" s="1"/>
  <c r="R39" i="1" l="1"/>
  <c r="S40" i="1"/>
  <c r="T40" i="1" s="1"/>
  <c r="S39" i="1" l="1"/>
  <c r="T39" i="1" s="1"/>
  <c r="R38" i="1"/>
  <c r="R37" i="1" l="1"/>
  <c r="S38" i="1"/>
  <c r="T38" i="1" s="1"/>
  <c r="R36" i="1" l="1"/>
  <c r="S37" i="1"/>
  <c r="T37" i="1" s="1"/>
  <c r="S36" i="1" l="1"/>
  <c r="T36" i="1" s="1"/>
  <c r="R35" i="1"/>
  <c r="R34" i="1" l="1"/>
  <c r="S35" i="1"/>
  <c r="T35" i="1" s="1"/>
  <c r="S34" i="1" l="1"/>
  <c r="T34" i="1" s="1"/>
  <c r="R33" i="1"/>
  <c r="S33" i="1" l="1"/>
  <c r="T33" i="1" s="1"/>
  <c r="R32" i="1"/>
  <c r="S32" i="1" l="1"/>
  <c r="T32" i="1" s="1"/>
  <c r="R31" i="1"/>
  <c r="R30" i="1" l="1"/>
  <c r="S31" i="1"/>
  <c r="T31" i="1" s="1"/>
  <c r="S30" i="1" l="1"/>
  <c r="T30" i="1" s="1"/>
  <c r="R29" i="1"/>
  <c r="R28" i="1" l="1"/>
  <c r="S29" i="1"/>
  <c r="T29" i="1" s="1"/>
  <c r="R27" i="1" l="1"/>
  <c r="S28" i="1"/>
  <c r="T28" i="1" s="1"/>
  <c r="S27" i="1" l="1"/>
  <c r="T27" i="1" s="1"/>
  <c r="R26" i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<sst xmlns="http://schemas.openxmlformats.org/spreadsheetml/2006/main" count="4999" uniqueCount="34">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</sst>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0.91900000000000004</c:v>
                </c:pt>
                <c:pt idx="1">
                  <c:v>0.94399999999999995</c:v>
                </c:pt>
                <c:pt idx="2">
                  <c:v>0.93600000000000005</c:v>
                </c:pt>
                <c:pt idx="3">
                  <c:v>0.93500000000000005</c:v>
                </c:pt>
                <c:pt idx="4">
                  <c:v>1.0029999999999999</c:v>
                </c:pt>
                <c:pt idx="5">
                  <c:v>0.98099999999999998</c:v>
                </c:pt>
                <c:pt idx="6">
                  <c:v>1.1080000000000001</c:v>
                </c:pt>
                <c:pt idx="7">
                  <c:v>1.214</c:v>
                </c:pt>
                <c:pt idx="8">
                  <c:v>1.258</c:v>
                </c:pt>
                <c:pt idx="9">
                  <c:v>1.3149999999999999</c:v>
                </c:pt>
                <c:pt idx="10">
                  <c:v>1.361</c:v>
                </c:pt>
                <c:pt idx="11">
                  <c:v>1.421</c:v>
                </c:pt>
                <c:pt idx="12">
                  <c:v>1.4079999999999999</c:v>
                </c:pt>
                <c:pt idx="13">
                  <c:v>1.3859999999999999</c:v>
                </c:pt>
                <c:pt idx="14">
                  <c:v>1.357</c:v>
                </c:pt>
                <c:pt idx="15">
                  <c:v>1.373</c:v>
                </c:pt>
                <c:pt idx="16">
                  <c:v>1.3129999999999999</c:v>
                </c:pt>
                <c:pt idx="17">
                  <c:v>1.264</c:v>
                </c:pt>
                <c:pt idx="18">
                  <c:v>1.3149999999999999</c:v>
                </c:pt>
                <c:pt idx="19">
                  <c:v>1.304</c:v>
                </c:pt>
                <c:pt idx="20">
                  <c:v>1.3380000000000001</c:v>
                </c:pt>
                <c:pt idx="21">
                  <c:v>1.423</c:v>
                </c:pt>
                <c:pt idx="22">
                  <c:v>1.411</c:v>
                </c:pt>
                <c:pt idx="23">
                  <c:v>1.5369999999999999</c:v>
                </c:pt>
                <c:pt idx="24">
                  <c:v>1.488</c:v>
                </c:pt>
                <c:pt idx="25">
                  <c:v>1.528</c:v>
                </c:pt>
                <c:pt idx="26">
                  <c:v>1.4470000000000001</c:v>
                </c:pt>
                <c:pt idx="27">
                  <c:v>1.393</c:v>
                </c:pt>
                <c:pt idx="28">
                  <c:v>1.401</c:v>
                </c:pt>
                <c:pt idx="29">
                  <c:v>1.3640000000000001</c:v>
                </c:pt>
                <c:pt idx="30">
                  <c:v>1.4470000000000001</c:v>
                </c:pt>
                <c:pt idx="31">
                  <c:v>1.599</c:v>
                </c:pt>
                <c:pt idx="32">
                  <c:v>1.5389999999999999</c:v>
                </c:pt>
                <c:pt idx="33">
                  <c:v>1.54</c:v>
                </c:pt>
                <c:pt idx="34">
                  <c:v>1.512</c:v>
                </c:pt>
                <c:pt idx="35">
                  <c:v>1.5489999999999999</c:v>
                </c:pt>
                <c:pt idx="36">
                  <c:v>1.466</c:v>
                </c:pt>
                <c:pt idx="37">
                  <c:v>1.462</c:v>
                </c:pt>
                <c:pt idx="38">
                  <c:v>1.3959999999999999</c:v>
                </c:pt>
                <c:pt idx="39">
                  <c:v>1.4470000000000001</c:v>
                </c:pt>
                <c:pt idx="40">
                  <c:v>1.4370000000000001</c:v>
                </c:pt>
                <c:pt idx="41">
                  <c:v>1.42</c:v>
                </c:pt>
                <c:pt idx="42">
                  <c:v>1.3819999999999999</c:v>
                </c:pt>
                <c:pt idx="43">
                  <c:v>1.3560000000000001</c:v>
                </c:pt>
                <c:pt idx="44">
                  <c:v>1.323</c:v>
                </c:pt>
                <c:pt idx="45">
                  <c:v>1.3220000000000001</c:v>
                </c:pt>
                <c:pt idx="46">
                  <c:v>1.478</c:v>
                </c:pt>
                <c:pt idx="47">
                  <c:v>1.44</c:v>
                </c:pt>
                <c:pt idx="48">
                  <c:v>1.423</c:v>
                </c:pt>
                <c:pt idx="49">
                  <c:v>1.468</c:v>
                </c:pt>
                <c:pt idx="50">
                  <c:v>1.633</c:v>
                </c:pt>
                <c:pt idx="51">
                  <c:v>1.556</c:v>
                </c:pt>
                <c:pt idx="52">
                  <c:v>1.542</c:v>
                </c:pt>
                <c:pt idx="53">
                  <c:v>1.5</c:v>
                </c:pt>
                <c:pt idx="54">
                  <c:v>1.603</c:v>
                </c:pt>
                <c:pt idx="55">
                  <c:v>1.921</c:v>
                </c:pt>
                <c:pt idx="56">
                  <c:v>2.0329999999999999</c:v>
                </c:pt>
                <c:pt idx="57">
                  <c:v>2.0179999999999998</c:v>
                </c:pt>
                <c:pt idx="58">
                  <c:v>2</c:v>
                </c:pt>
                <c:pt idx="59">
                  <c:v>2.073</c:v>
                </c:pt>
                <c:pt idx="60">
                  <c:v>2.0579999999999998</c:v>
                </c:pt>
                <c:pt idx="61">
                  <c:v>2.0750000000000002</c:v>
                </c:pt>
                <c:pt idx="62">
                  <c:v>1.968</c:v>
                </c:pt>
                <c:pt idx="63">
                  <c:v>2.0619999999999998</c:v>
                </c:pt>
                <c:pt idx="64">
                  <c:v>1.9390000000000001</c:v>
                </c:pt>
                <c:pt idx="65">
                  <c:v>1.9690000000000001</c:v>
                </c:pt>
                <c:pt idx="66">
                  <c:v>1.9510000000000001</c:v>
                </c:pt>
                <c:pt idx="67">
                  <c:v>2.0590000000000002</c:v>
                </c:pt>
                <c:pt idx="68">
                  <c:v>2.0499999999999998</c:v>
                </c:pt>
                <c:pt idx="69">
                  <c:v>1.992</c:v>
                </c:pt>
                <c:pt idx="70">
                  <c:v>1.9339999999999999</c:v>
                </c:pt>
                <c:pt idx="71">
                  <c:v>2.198</c:v>
                </c:pt>
                <c:pt idx="72">
                  <c:v>1.992</c:v>
                </c:pt>
                <c:pt idx="73">
                  <c:v>2.133</c:v>
                </c:pt>
                <c:pt idx="74">
                  <c:v>2.0939999999999999</c:v>
                </c:pt>
                <c:pt idx="75">
                  <c:v>2.1120000000000001</c:v>
                </c:pt>
                <c:pt idx="76">
                  <c:v>2.0750000000000002</c:v>
                </c:pt>
                <c:pt idx="77">
                  <c:v>2.117</c:v>
                </c:pt>
                <c:pt idx="78">
                  <c:v>2.0779999999999998</c:v>
                </c:pt>
                <c:pt idx="79">
                  <c:v>2.1779999999999999</c:v>
                </c:pt>
                <c:pt idx="80">
                  <c:v>2.1659999999999999</c:v>
                </c:pt>
                <c:pt idx="81">
                  <c:v>2.1440000000000001</c:v>
                </c:pt>
                <c:pt idx="82">
                  <c:v>2.1589999999999998</c:v>
                </c:pt>
                <c:pt idx="83">
                  <c:v>2.1280000000000001</c:v>
                </c:pt>
                <c:pt idx="84">
                  <c:v>2.165</c:v>
                </c:pt>
                <c:pt idx="85">
                  <c:v>2.1760000000000002</c:v>
                </c:pt>
                <c:pt idx="86">
                  <c:v>2.2290000000000001</c:v>
                </c:pt>
                <c:pt idx="87">
                  <c:v>2.1909999999999998</c:v>
                </c:pt>
                <c:pt idx="88">
                  <c:v>2.27</c:v>
                </c:pt>
                <c:pt idx="89">
                  <c:v>2.1389999999999998</c:v>
                </c:pt>
                <c:pt idx="90">
                  <c:v>2.0569999999999999</c:v>
                </c:pt>
                <c:pt idx="91">
                  <c:v>1.976</c:v>
                </c:pt>
                <c:pt idx="92">
                  <c:v>1.883</c:v>
                </c:pt>
                <c:pt idx="93">
                  <c:v>2.0859999999999999</c:v>
                </c:pt>
                <c:pt idx="94">
                  <c:v>2.129</c:v>
                </c:pt>
                <c:pt idx="95">
                  <c:v>2.09</c:v>
                </c:pt>
                <c:pt idx="96">
                  <c:v>2.1419999999999999</c:v>
                </c:pt>
                <c:pt idx="97">
                  <c:v>2.145</c:v>
                </c:pt>
                <c:pt idx="98">
                  <c:v>2.056</c:v>
                </c:pt>
                <c:pt idx="99">
                  <c:v>2.165</c:v>
                </c:pt>
                <c:pt idx="100">
                  <c:v>2.0680000000000001</c:v>
                </c:pt>
                <c:pt idx="101">
                  <c:v>2.0190000000000001</c:v>
                </c:pt>
                <c:pt idx="102">
                  <c:v>2.09</c:v>
                </c:pt>
                <c:pt idx="103">
                  <c:v>2.1280000000000001</c:v>
                </c:pt>
                <c:pt idx="104">
                  <c:v>2.1309999999999998</c:v>
                </c:pt>
                <c:pt idx="105">
                  <c:v>2.302</c:v>
                </c:pt>
                <c:pt idx="106">
                  <c:v>2.282</c:v>
                </c:pt>
                <c:pt idx="107">
                  <c:v>2.1970000000000001</c:v>
                </c:pt>
                <c:pt idx="108">
                  <c:v>2.3370000000000002</c:v>
                </c:pt>
                <c:pt idx="109">
                  <c:v>2.3570000000000002</c:v>
                </c:pt>
                <c:pt idx="110">
                  <c:v>2.29</c:v>
                </c:pt>
                <c:pt idx="111">
                  <c:v>2.371</c:v>
                </c:pt>
                <c:pt idx="112">
                  <c:v>2.2759999999999998</c:v>
                </c:pt>
                <c:pt idx="113">
                  <c:v>2.2440000000000002</c:v>
                </c:pt>
                <c:pt idx="114">
                  <c:v>2.153</c:v>
                </c:pt>
                <c:pt idx="115">
                  <c:v>2.036</c:v>
                </c:pt>
                <c:pt idx="116">
                  <c:v>2.0369999999999999</c:v>
                </c:pt>
                <c:pt idx="117">
                  <c:v>2.0459999999999998</c:v>
                </c:pt>
                <c:pt idx="118">
                  <c:v>2.0099999999999998</c:v>
                </c:pt>
                <c:pt idx="119">
                  <c:v>1.851</c:v>
                </c:pt>
                <c:pt idx="120">
                  <c:v>1.6930000000000001</c:v>
                </c:pt>
                <c:pt idx="121">
                  <c:v>1.671</c:v>
                </c:pt>
                <c:pt idx="122">
                  <c:v>1.7909999999999999</c:v>
                </c:pt>
                <c:pt idx="123">
                  <c:v>1.8740000000000001</c:v>
                </c:pt>
                <c:pt idx="124">
                  <c:v>1.9470000000000001</c:v>
                </c:pt>
                <c:pt idx="125">
                  <c:v>1.972</c:v>
                </c:pt>
                <c:pt idx="126">
                  <c:v>2.1459999999999999</c:v>
                </c:pt>
                <c:pt idx="127">
                  <c:v>2.1230000000000002</c:v>
                </c:pt>
                <c:pt idx="128">
                  <c:v>1.919</c:v>
                </c:pt>
                <c:pt idx="129">
                  <c:v>2.1739999999999999</c:v>
                </c:pt>
                <c:pt idx="130">
                  <c:v>2.468</c:v>
                </c:pt>
                <c:pt idx="131">
                  <c:v>2.585</c:v>
                </c:pt>
                <c:pt idx="132">
                  <c:v>2.581</c:v>
                </c:pt>
                <c:pt idx="133">
                  <c:v>2.6110000000000002</c:v>
                </c:pt>
                <c:pt idx="134">
                  <c:v>2.6840000000000002</c:v>
                </c:pt>
                <c:pt idx="135">
                  <c:v>2.6030000000000002</c:v>
                </c:pt>
                <c:pt idx="136">
                  <c:v>2.512</c:v>
                </c:pt>
                <c:pt idx="137">
                  <c:v>2.7160000000000002</c:v>
                </c:pt>
                <c:pt idx="138">
                  <c:v>2.7010000000000001</c:v>
                </c:pt>
                <c:pt idx="139">
                  <c:v>2.573</c:v>
                </c:pt>
                <c:pt idx="140">
                  <c:v>2.427</c:v>
                </c:pt>
                <c:pt idx="141">
                  <c:v>2.387</c:v>
                </c:pt>
                <c:pt idx="142">
                  <c:v>2.319</c:v>
                </c:pt>
                <c:pt idx="143">
                  <c:v>2.9319999999999999</c:v>
                </c:pt>
                <c:pt idx="144">
                  <c:v>2.7280000000000002</c:v>
                </c:pt>
                <c:pt idx="145">
                  <c:v>2.7229999999999999</c:v>
                </c:pt>
                <c:pt idx="146">
                  <c:v>2.5449999999999999</c:v>
                </c:pt>
                <c:pt idx="147">
                  <c:v>2.4420000000000002</c:v>
                </c:pt>
                <c:pt idx="148">
                  <c:v>2.387</c:v>
                </c:pt>
                <c:pt idx="149">
                  <c:v>2.3319999999999999</c:v>
                </c:pt>
                <c:pt idx="150">
                  <c:v>2.2250000000000001</c:v>
                </c:pt>
                <c:pt idx="151">
                  <c:v>2.2650000000000001</c:v>
                </c:pt>
                <c:pt idx="152">
                  <c:v>2.3140000000000001</c:v>
                </c:pt>
                <c:pt idx="153">
                  <c:v>2.3330000000000002</c:v>
                </c:pt>
                <c:pt idx="154">
                  <c:v>2.2229999999999999</c:v>
                </c:pt>
                <c:pt idx="155">
                  <c:v>2.3708</c:v>
                </c:pt>
                <c:pt idx="156">
                  <c:v>2.3172999999999999</c:v>
                </c:pt>
                <c:pt idx="157">
                  <c:v>2.4024999999999999</c:v>
                </c:pt>
                <c:pt idx="158">
                  <c:v>2.4405000000000001</c:v>
                </c:pt>
                <c:pt idx="159">
                  <c:v>2.2262</c:v>
                </c:pt>
                <c:pt idx="160">
                  <c:v>2.2105000000000001</c:v>
                </c:pt>
                <c:pt idx="161">
                  <c:v>2.1303000000000001</c:v>
                </c:pt>
                <c:pt idx="162">
                  <c:v>2.0449000000000002</c:v>
                </c:pt>
                <c:pt idx="163">
                  <c:v>2.1063999999999998</c:v>
                </c:pt>
                <c:pt idx="164">
                  <c:v>2.2538999999999998</c:v>
                </c:pt>
                <c:pt idx="165">
                  <c:v>2.3106</c:v>
                </c:pt>
                <c:pt idx="166">
                  <c:v>2.3014000000000001</c:v>
                </c:pt>
                <c:pt idx="167">
                  <c:v>2.2010000000000001</c:v>
                </c:pt>
                <c:pt idx="168">
                  <c:v>2.0581999999999998</c:v>
                </c:pt>
                <c:pt idx="169">
                  <c:v>2.1617999999999999</c:v>
                </c:pt>
                <c:pt idx="170">
                  <c:v>2.0884</c:v>
                </c:pt>
                <c:pt idx="171">
                  <c:v>2.0621999999999998</c:v>
                </c:pt>
                <c:pt idx="172">
                  <c:v>2.0196999999999998</c:v>
                </c:pt>
                <c:pt idx="173">
                  <c:v>2.1444999999999999</c:v>
                </c:pt>
                <c:pt idx="174">
                  <c:v>2.0148999999999999</c:v>
                </c:pt>
                <c:pt idx="175">
                  <c:v>1.9567000000000001</c:v>
                </c:pt>
                <c:pt idx="176">
                  <c:v>1.94</c:v>
                </c:pt>
                <c:pt idx="177">
                  <c:v>1.8855</c:v>
                </c:pt>
                <c:pt idx="178">
                  <c:v>1.9509000000000001</c:v>
                </c:pt>
                <c:pt idx="179">
                  <c:v>1.8825000000000001</c:v>
                </c:pt>
                <c:pt idx="180">
                  <c:v>2.016</c:v>
                </c:pt>
                <c:pt idx="181">
                  <c:v>1.8332999999999999</c:v>
                </c:pt>
                <c:pt idx="182">
                  <c:v>1.7645</c:v>
                </c:pt>
                <c:pt idx="183">
                  <c:v>1.675</c:v>
                </c:pt>
                <c:pt idx="184">
                  <c:v>1.7028000000000001</c:v>
                </c:pt>
                <c:pt idx="185">
                  <c:v>1.6788000000000001</c:v>
                </c:pt>
                <c:pt idx="186">
                  <c:v>1.5998000000000001</c:v>
                </c:pt>
                <c:pt idx="187">
                  <c:v>1.5145999999999999</c:v>
                </c:pt>
                <c:pt idx="188">
                  <c:v>1.4739</c:v>
                </c:pt>
                <c:pt idx="189">
                  <c:v>1.4390000000000001</c:v>
                </c:pt>
                <c:pt idx="190">
                  <c:v>1.3849</c:v>
                </c:pt>
                <c:pt idx="191">
                  <c:v>1.2733000000000001</c:v>
                </c:pt>
                <c:pt idx="192">
                  <c:v>1.3904000000000001</c:v>
                </c:pt>
                <c:pt idx="193">
                  <c:v>1.4937</c:v>
                </c:pt>
                <c:pt idx="194">
                  <c:v>1.5018</c:v>
                </c:pt>
                <c:pt idx="195">
                  <c:v>1.4205000000000001</c:v>
                </c:pt>
                <c:pt idx="196">
                  <c:v>1.5718000000000001</c:v>
                </c:pt>
                <c:pt idx="197">
                  <c:v>1.6515</c:v>
                </c:pt>
                <c:pt idx="198">
                  <c:v>1.7404999999999999</c:v>
                </c:pt>
                <c:pt idx="199">
                  <c:v>1.8873</c:v>
                </c:pt>
                <c:pt idx="200">
                  <c:v>1.6782999999999999</c:v>
                </c:pt>
                <c:pt idx="201">
                  <c:v>1.6024</c:v>
                </c:pt>
                <c:pt idx="202">
                  <c:v>1.6293</c:v>
                </c:pt>
                <c:pt idx="203">
                  <c:v>1.6031</c:v>
                </c:pt>
                <c:pt idx="204">
                  <c:v>1.8043</c:v>
                </c:pt>
                <c:pt idx="205">
                  <c:v>1.7351000000000001</c:v>
                </c:pt>
                <c:pt idx="206">
                  <c:v>1.7181</c:v>
                </c:pt>
                <c:pt idx="207">
                  <c:v>1.7746999999999999</c:v>
                </c:pt>
                <c:pt idx="208">
                  <c:v>1.7742</c:v>
                </c:pt>
                <c:pt idx="209">
                  <c:v>1.6232</c:v>
                </c:pt>
                <c:pt idx="210">
                  <c:v>1.6658999999999999</c:v>
                </c:pt>
                <c:pt idx="211">
                  <c:v>1.7349000000000001</c:v>
                </c:pt>
                <c:pt idx="212">
                  <c:v>1.5566</c:v>
                </c:pt>
                <c:pt idx="213">
                  <c:v>1.3607</c:v>
                </c:pt>
                <c:pt idx="214">
                  <c:v>1.2839</c:v>
                </c:pt>
                <c:pt idx="215">
                  <c:v>1.248</c:v>
                </c:pt>
                <c:pt idx="216">
                  <c:v>1.1887000000000001</c:v>
                </c:pt>
                <c:pt idx="217">
                  <c:v>1.3156000000000001</c:v>
                </c:pt>
                <c:pt idx="218">
                  <c:v>1.1987000000000001</c:v>
                </c:pt>
                <c:pt idx="219">
                  <c:v>1.1140000000000001</c:v>
                </c:pt>
                <c:pt idx="220">
                  <c:v>1.0434000000000001</c:v>
                </c:pt>
                <c:pt idx="221">
                  <c:v>1.1791</c:v>
                </c:pt>
                <c:pt idx="222">
                  <c:v>1.1501999999999999</c:v>
                </c:pt>
                <c:pt idx="223">
                  <c:v>1.2094</c:v>
                </c:pt>
                <c:pt idx="224">
                  <c:v>1.2690999999999999</c:v>
                </c:pt>
                <c:pt idx="225">
                  <c:v>1.2574000000000001</c:v>
                </c:pt>
                <c:pt idx="226">
                  <c:v>1.3388</c:v>
                </c:pt>
                <c:pt idx="227">
                  <c:v>1.3313999999999999</c:v>
                </c:pt>
                <c:pt idx="228">
                  <c:v>1.3265</c:v>
                </c:pt>
                <c:pt idx="229">
                  <c:v>1.2366999999999999</c:v>
                </c:pt>
                <c:pt idx="230">
                  <c:v>1.2776000000000001</c:v>
                </c:pt>
                <c:pt idx="231">
                  <c:v>1.3759999999999999</c:v>
                </c:pt>
                <c:pt idx="232">
                  <c:v>1.4919</c:v>
                </c:pt>
                <c:pt idx="233">
                  <c:v>1.4514</c:v>
                </c:pt>
                <c:pt idx="234">
                  <c:v>1.4556</c:v>
                </c:pt>
                <c:pt idx="235">
                  <c:v>1.6355999999999999</c:v>
                </c:pt>
                <c:pt idx="236">
                  <c:v>1.446</c:v>
                </c:pt>
                <c:pt idx="237">
                  <c:v>1.4823999999999999</c:v>
                </c:pt>
                <c:pt idx="238">
                  <c:v>1.6117999999999999</c:v>
                </c:pt>
                <c:pt idx="239">
                  <c:v>1.5949</c:v>
                </c:pt>
                <c:pt idx="240">
                  <c:v>1.5244</c:v>
                </c:pt>
                <c:pt idx="241">
                  <c:v>1.5886</c:v>
                </c:pt>
                <c:pt idx="242">
                  <c:v>1.4934000000000001</c:v>
                </c:pt>
                <c:pt idx="243">
                  <c:v>1.4327000000000001</c:v>
                </c:pt>
                <c:pt idx="244">
                  <c:v>1.4744999999999999</c:v>
                </c:pt>
                <c:pt idx="245">
                  <c:v>1.7292000000000001</c:v>
                </c:pt>
                <c:pt idx="246">
                  <c:v>1.9011</c:v>
                </c:pt>
                <c:pt idx="247">
                  <c:v>1.6769000000000001</c:v>
                </c:pt>
                <c:pt idx="248">
                  <c:v>1.7209000000000001</c:v>
                </c:pt>
                <c:pt idx="249">
                  <c:v>1.417</c:v>
                </c:pt>
                <c:pt idx="250">
                  <c:v>1.5668</c:v>
                </c:pt>
                <c:pt idx="251">
                  <c:v>1.6851</c:v>
                </c:pt>
                <c:pt idx="252">
                  <c:v>2.0954999999999999</c:v>
                </c:pt>
                <c:pt idx="253">
                  <c:v>1.7749999999999999</c:v>
                </c:pt>
                <c:pt idx="254">
                  <c:v>2.6915</c:v>
                </c:pt>
                <c:pt idx="255">
                  <c:v>2.6806999999999999</c:v>
                </c:pt>
                <c:pt idx="256">
                  <c:v>2.7574999999999998</c:v>
                </c:pt>
                <c:pt idx="257">
                  <c:v>2.7686000000000002</c:v>
                </c:pt>
                <c:pt idx="258">
                  <c:v>3.1511999999999998</c:v>
                </c:pt>
                <c:pt idx="259">
                  <c:v>3.0329999999999999</c:v>
                </c:pt>
                <c:pt idx="260">
                  <c:v>3.15</c:v>
                </c:pt>
                <c:pt idx="261">
                  <c:v>3.5600999999999998</c:v>
                </c:pt>
                <c:pt idx="262">
                  <c:v>3.7372000000000001</c:v>
                </c:pt>
                <c:pt idx="263">
                  <c:v>3.2856999999999998</c:v>
                </c:pt>
                <c:pt idx="264">
                  <c:v>3.0821000000000001</c:v>
                </c:pt>
                <c:pt idx="265">
                  <c:v>3.22</c:v>
                </c:pt>
                <c:pt idx="266">
                  <c:v>2.9641000000000002</c:v>
                </c:pt>
                <c:pt idx="267">
                  <c:v>2.9618000000000002</c:v>
                </c:pt>
                <c:pt idx="268">
                  <c:v>2.7934000000000001</c:v>
                </c:pt>
                <c:pt idx="269">
                  <c:v>2.5665</c:v>
                </c:pt>
                <c:pt idx="270">
                  <c:v>2.6545999999999998</c:v>
                </c:pt>
                <c:pt idx="271">
                  <c:v>2.355</c:v>
                </c:pt>
                <c:pt idx="272">
                  <c:v>2.2597999999999998</c:v>
                </c:pt>
                <c:pt idx="273">
                  <c:v>2.1135999999999999</c:v>
                </c:pt>
                <c:pt idx="274">
                  <c:v>2.15</c:v>
                </c:pt>
                <c:pt idx="275">
                  <c:v>2.1999</c:v>
                </c:pt>
                <c:pt idx="276">
                  <c:v>1.8577999999999999</c:v>
                </c:pt>
                <c:pt idx="277">
                  <c:v>1.669</c:v>
                </c:pt>
                <c:pt idx="278">
                  <c:v>1.4736</c:v>
                </c:pt>
                <c:pt idx="279">
                  <c:v>1.6204000000000001</c:v>
                </c:pt>
                <c:pt idx="280">
                  <c:v>1.6941999999999999</c:v>
                </c:pt>
                <c:pt idx="281">
                  <c:v>1.8686</c:v>
                </c:pt>
                <c:pt idx="282">
                  <c:v>2.09</c:v>
                </c:pt>
                <c:pt idx="283">
                  <c:v>2.0327000000000002</c:v>
                </c:pt>
                <c:pt idx="284">
                  <c:v>2.3113000000000001</c:v>
                </c:pt>
                <c:pt idx="285">
                  <c:v>2.5352000000000001</c:v>
                </c:pt>
                <c:pt idx="286">
                  <c:v>2.5051999999999999</c:v>
                </c:pt>
                <c:pt idx="287">
                  <c:v>2.4064000000000001</c:v>
                </c:pt>
                <c:pt idx="288">
                  <c:v>2.3601000000000001</c:v>
                </c:pt>
                <c:pt idx="289">
                  <c:v>2.5087999999999999</c:v>
                </c:pt>
                <c:pt idx="290">
                  <c:v>2.5365000000000002</c:v>
                </c:pt>
                <c:pt idx="291">
                  <c:v>2.4466999999999999</c:v>
                </c:pt>
                <c:pt idx="292">
                  <c:v>2.3862999999999999</c:v>
                </c:pt>
                <c:pt idx="293">
                  <c:v>2.4226000000000001</c:v>
                </c:pt>
                <c:pt idx="294">
                  <c:v>2.5135000000000001</c:v>
                </c:pt>
                <c:pt idx="295">
                  <c:v>2.41</c:v>
                </c:pt>
                <c:pt idx="296">
                  <c:v>2.5059999999999998</c:v>
                </c:pt>
                <c:pt idx="297">
                  <c:v>2.4295</c:v>
                </c:pt>
                <c:pt idx="298">
                  <c:v>2.2362000000000002</c:v>
                </c:pt>
                <c:pt idx="299">
                  <c:v>1.988</c:v>
                </c:pt>
                <c:pt idx="300">
                  <c:v>2.0945</c:v>
                </c:pt>
                <c:pt idx="301">
                  <c:v>2.0659000000000001</c:v>
                </c:pt>
                <c:pt idx="302">
                  <c:v>1.8987000000000001</c:v>
                </c:pt>
                <c:pt idx="303">
                  <c:v>1.9711000000000001</c:v>
                </c:pt>
                <c:pt idx="304">
                  <c:v>1.8412999999999999</c:v>
                </c:pt>
                <c:pt idx="305">
                  <c:v>1.6749000000000001</c:v>
                </c:pt>
                <c:pt idx="306">
                  <c:v>1.6218999999999999</c:v>
                </c:pt>
                <c:pt idx="307">
                  <c:v>1.5007999999999999</c:v>
                </c:pt>
                <c:pt idx="308">
                  <c:v>1.3977999999999999</c:v>
                </c:pt>
                <c:pt idx="309">
                  <c:v>1.5001</c:v>
                </c:pt>
                <c:pt idx="310">
                  <c:v>1.5920000000000001</c:v>
                </c:pt>
                <c:pt idx="311">
                  <c:v>1.6132</c:v>
                </c:pt>
                <c:pt idx="312">
                  <c:v>1.6380999999999999</c:v>
                </c:pt>
                <c:pt idx="313">
                  <c:v>1.5002</c:v>
                </c:pt>
                <c:pt idx="314">
                  <c:v>1.5671999999999999</c:v>
                </c:pt>
                <c:pt idx="315">
                  <c:v>1.5929</c:v>
                </c:pt>
                <c:pt idx="316">
                  <c:v>1.4896</c:v>
                </c:pt>
                <c:pt idx="317">
                  <c:v>1.5270999999999999</c:v>
                </c:pt>
                <c:pt idx="318">
                  <c:v>1.4043000000000001</c:v>
                </c:pt>
                <c:pt idx="319">
                  <c:v>1.43</c:v>
                </c:pt>
                <c:pt idx="320">
                  <c:v>1.5</c:v>
                </c:pt>
                <c:pt idx="321">
                  <c:v>1.3149999999999999</c:v>
                </c:pt>
                <c:pt idx="322">
                  <c:v>1.4006000000000001</c:v>
                </c:pt>
                <c:pt idx="323">
                  <c:v>1.403</c:v>
                </c:pt>
                <c:pt idx="324">
                  <c:v>1.4946999999999999</c:v>
                </c:pt>
                <c:pt idx="325">
                  <c:v>1.5015000000000001</c:v>
                </c:pt>
                <c:pt idx="326">
                  <c:v>1.5226</c:v>
                </c:pt>
                <c:pt idx="327">
                  <c:v>1.5118</c:v>
                </c:pt>
                <c:pt idx="328">
                  <c:v>1.2683</c:v>
                </c:pt>
                <c:pt idx="329">
                  <c:v>1.28</c:v>
                </c:pt>
                <c:pt idx="330">
                  <c:v>1.2712000000000001</c:v>
                </c:pt>
                <c:pt idx="331">
                  <c:v>1.2097</c:v>
                </c:pt>
                <c:pt idx="332">
                  <c:v>1.1996</c:v>
                </c:pt>
                <c:pt idx="333">
                  <c:v>1.0806</c:v>
                </c:pt>
                <c:pt idx="334">
                  <c:v>1.1688000000000001</c:v>
                </c:pt>
                <c:pt idx="335">
                  <c:v>1.1471</c:v>
                </c:pt>
                <c:pt idx="336">
                  <c:v>1.1909000000000001</c:v>
                </c:pt>
                <c:pt idx="337">
                  <c:v>1.2437</c:v>
                </c:pt>
                <c:pt idx="338">
                  <c:v>1.1495</c:v>
                </c:pt>
                <c:pt idx="339">
                  <c:v>1.5164</c:v>
                </c:pt>
                <c:pt idx="340">
                  <c:v>1.6942999999999999</c:v>
                </c:pt>
                <c:pt idx="341">
                  <c:v>1.6773</c:v>
                </c:pt>
                <c:pt idx="342">
                  <c:v>1.5928</c:v>
                </c:pt>
                <c:pt idx="343">
                  <c:v>1.6802999999999999</c:v>
                </c:pt>
                <c:pt idx="344">
                  <c:v>1.6473</c:v>
                </c:pt>
                <c:pt idx="345">
                  <c:v>1.6217999999999999</c:v>
                </c:pt>
                <c:pt idx="346">
                  <c:v>1.6975</c:v>
                </c:pt>
                <c:pt idx="347">
                  <c:v>2.06</c:v>
                </c:pt>
                <c:pt idx="348">
                  <c:v>1.2356</c:v>
                </c:pt>
                <c:pt idx="349">
                  <c:v>1.2305999999999999</c:v>
                </c:pt>
                <c:pt idx="350">
                  <c:v>1.0576000000000001</c:v>
                </c:pt>
                <c:pt idx="351">
                  <c:v>1.0445</c:v>
                </c:pt>
                <c:pt idx="352">
                  <c:v>1.0790999999999999</c:v>
                </c:pt>
                <c:pt idx="353">
                  <c:v>0.78979999999999995</c:v>
                </c:pt>
                <c:pt idx="354">
                  <c:v>0.72950000000000004</c:v>
                </c:pt>
                <c:pt idx="355">
                  <c:v>0.746</c:v>
                </c:pt>
                <c:pt idx="356">
                  <c:v>0.79239999999999999</c:v>
                </c:pt>
                <c:pt idx="357">
                  <c:v>0.68110000000000004</c:v>
                </c:pt>
                <c:pt idx="358">
                  <c:v>0.70199999999999996</c:v>
                </c:pt>
                <c:pt idx="359">
                  <c:v>0.73440000000000005</c:v>
                </c:pt>
                <c:pt idx="360">
                  <c:v>0.68610000000000004</c:v>
                </c:pt>
                <c:pt idx="361">
                  <c:v>0.79990000000000006</c:v>
                </c:pt>
                <c:pt idx="362">
                  <c:v>0.7006</c:v>
                </c:pt>
                <c:pt idx="363">
                  <c:v>0.62549999999999994</c:v>
                </c:pt>
                <c:pt idx="364">
                  <c:v>0.56420000000000003</c:v>
                </c:pt>
                <c:pt idx="365">
                  <c:v>0.58399999999999996</c:v>
                </c:pt>
                <c:pt idx="366">
                  <c:v>0.54059999999999997</c:v>
                </c:pt>
                <c:pt idx="367">
                  <c:v>0.53669999999999995</c:v>
                </c:pt>
                <c:pt idx="368">
                  <c:v>0.53180000000000005</c:v>
                </c:pt>
                <c:pt idx="369">
                  <c:v>0.54720000000000002</c:v>
                </c:pt>
                <c:pt idx="370">
                  <c:v>0.52129999999999999</c:v>
                </c:pt>
                <c:pt idx="371">
                  <c:v>0.50780000000000003</c:v>
                </c:pt>
                <c:pt idx="372">
                  <c:v>0.55579999999999996</c:v>
                </c:pt>
                <c:pt idx="373">
                  <c:v>0.58330000000000004</c:v>
                </c:pt>
                <c:pt idx="374">
                  <c:v>0.56220000000000003</c:v>
                </c:pt>
                <c:pt idx="375">
                  <c:v>0.56840000000000002</c:v>
                </c:pt>
                <c:pt idx="376">
                  <c:v>0.51719999999999999</c:v>
                </c:pt>
                <c:pt idx="377">
                  <c:v>0.4864</c:v>
                </c:pt>
                <c:pt idx="378">
                  <c:v>0.47860000000000003</c:v>
                </c:pt>
                <c:pt idx="379">
                  <c:v>0.46949999999999997</c:v>
                </c:pt>
                <c:pt idx="380">
                  <c:v>0.44900000000000001</c:v>
                </c:pt>
                <c:pt idx="381">
                  <c:v>0.45929999999999999</c:v>
                </c:pt>
                <c:pt idx="382">
                  <c:v>0.52229999999999999</c:v>
                </c:pt>
                <c:pt idx="383">
                  <c:v>0.53580000000000005</c:v>
                </c:pt>
                <c:pt idx="384">
                  <c:v>0.48499999999999999</c:v>
                </c:pt>
                <c:pt idx="385">
                  <c:v>0.49990000000000001</c:v>
                </c:pt>
                <c:pt idx="386">
                  <c:v>0.45910000000000001</c:v>
                </c:pt>
                <c:pt idx="387">
                  <c:v>0.44140000000000001</c:v>
                </c:pt>
                <c:pt idx="388">
                  <c:v>0.43230000000000002</c:v>
                </c:pt>
                <c:pt idx="389">
                  <c:v>0.45369999999999999</c:v>
                </c:pt>
                <c:pt idx="390">
                  <c:v>0.44690000000000002</c:v>
                </c:pt>
                <c:pt idx="391">
                  <c:v>0.47720000000000001</c:v>
                </c:pt>
                <c:pt idx="392">
                  <c:v>0.47520000000000001</c:v>
                </c:pt>
                <c:pt idx="393">
                  <c:v>0.4733</c:v>
                </c:pt>
                <c:pt idx="394">
                  <c:v>0.45800000000000002</c:v>
                </c:pt>
                <c:pt idx="395">
                  <c:v>0.48609999999999998</c:v>
                </c:pt>
                <c:pt idx="396">
                  <c:v>0.48699999999999999</c:v>
                </c:pt>
                <c:pt idx="397">
                  <c:v>0.48470000000000002</c:v>
                </c:pt>
                <c:pt idx="398">
                  <c:v>0.48820000000000002</c:v>
                </c:pt>
                <c:pt idx="399">
                  <c:v>0.50380000000000003</c:v>
                </c:pt>
                <c:pt idx="400">
                  <c:v>0.46360000000000001</c:v>
                </c:pt>
                <c:pt idx="401">
                  <c:v>0.52500000000000002</c:v>
                </c:pt>
                <c:pt idx="402">
                  <c:v>0.53920000000000001</c:v>
                </c:pt>
                <c:pt idx="403">
                  <c:v>0.55979999999999996</c:v>
                </c:pt>
                <c:pt idx="404">
                  <c:v>0.61460000000000004</c:v>
                </c:pt>
                <c:pt idx="405">
                  <c:v>0.57620000000000005</c:v>
                </c:pt>
                <c:pt idx="406">
                  <c:v>0.56399999999999995</c:v>
                </c:pt>
                <c:pt idx="407">
                  <c:v>0.59670000000000001</c:v>
                </c:pt>
                <c:pt idx="408">
                  <c:v>0.57010000000000005</c:v>
                </c:pt>
                <c:pt idx="409">
                  <c:v>0.56430000000000002</c:v>
                </c:pt>
                <c:pt idx="410">
                  <c:v>0.57599999999999996</c:v>
                </c:pt>
                <c:pt idx="411">
                  <c:v>0.53820000000000001</c:v>
                </c:pt>
                <c:pt idx="412">
                  <c:v>0.5272</c:v>
                </c:pt>
                <c:pt idx="413">
                  <c:v>0.53990000000000005</c:v>
                </c:pt>
                <c:pt idx="414">
                  <c:v>0.58189999999999997</c:v>
                </c:pt>
                <c:pt idx="415">
                  <c:v>0.56399999999999995</c:v>
                </c:pt>
                <c:pt idx="416">
                  <c:v>0.62529999999999997</c:v>
                </c:pt>
                <c:pt idx="417">
                  <c:v>0.5363</c:v>
                </c:pt>
                <c:pt idx="418">
                  <c:v>0.55279999999999996</c:v>
                </c:pt>
                <c:pt idx="419">
                  <c:v>0.52239999999999998</c:v>
                </c:pt>
                <c:pt idx="420">
                  <c:v>0.58940000000000003</c:v>
                </c:pt>
                <c:pt idx="421">
                  <c:v>0.61060000000000003</c:v>
                </c:pt>
                <c:pt idx="422">
                  <c:v>0.60050000000000003</c:v>
                </c:pt>
                <c:pt idx="423">
                  <c:v>0.63660000000000005</c:v>
                </c:pt>
                <c:pt idx="424">
                  <c:v>0.65800000000000003</c:v>
                </c:pt>
                <c:pt idx="425">
                  <c:v>0.65859999999999996</c:v>
                </c:pt>
                <c:pt idx="426">
                  <c:v>0.69220000000000004</c:v>
                </c:pt>
                <c:pt idx="427">
                  <c:v>0.57630000000000003</c:v>
                </c:pt>
                <c:pt idx="428">
                  <c:v>0.62890000000000001</c:v>
                </c:pt>
                <c:pt idx="429">
                  <c:v>0.52310000000000001</c:v>
                </c:pt>
                <c:pt idx="430">
                  <c:v>0.40639999999999998</c:v>
                </c:pt>
                <c:pt idx="431">
                  <c:v>0.38379999999999997</c:v>
                </c:pt>
                <c:pt idx="432">
                  <c:v>0.39419999999999999</c:v>
                </c:pt>
                <c:pt idx="433">
                  <c:v>0.4017</c:v>
                </c:pt>
                <c:pt idx="434">
                  <c:v>0.40610000000000002</c:v>
                </c:pt>
                <c:pt idx="435">
                  <c:v>0.43230000000000002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4A-4586-B06C-D48B14EAF63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-0.38910917029134423</c:v>
                </c:pt>
                <c:pt idx="1">
                  <c:v>-0.38830585775288268</c:v>
                </c:pt>
                <c:pt idx="2">
                  <c:v>-0.38391988470940441</c:v>
                </c:pt>
                <c:pt idx="3">
                  <c:v>-0.37985658101129122</c:v>
                </c:pt>
                <c:pt idx="4">
                  <c:v>-0.38359602587697167</c:v>
                </c:pt>
                <c:pt idx="5">
                  <c:v>-0.38943323030250354</c:v>
                </c:pt>
                <c:pt idx="6">
                  <c:v>-0.36904331785352396</c:v>
                </c:pt>
                <c:pt idx="7">
                  <c:v>-0.34824739563813939</c:v>
                </c:pt>
                <c:pt idx="8">
                  <c:v>-0.3383724903926304</c:v>
                </c:pt>
                <c:pt idx="9">
                  <c:v>-0.33621887929647654</c:v>
                </c:pt>
                <c:pt idx="10">
                  <c:v>-0.33469871617147651</c:v>
                </c:pt>
                <c:pt idx="11">
                  <c:v>-0.33246147291304962</c:v>
                </c:pt>
                <c:pt idx="12">
                  <c:v>-0.3352688135095408</c:v>
                </c:pt>
                <c:pt idx="13">
                  <c:v>-0.33536938784287412</c:v>
                </c:pt>
                <c:pt idx="14">
                  <c:v>-0.33977848323527915</c:v>
                </c:pt>
                <c:pt idx="15">
                  <c:v>-0.3329224239760199</c:v>
                </c:pt>
                <c:pt idx="16">
                  <c:v>-0.33892096443547931</c:v>
                </c:pt>
                <c:pt idx="17">
                  <c:v>-0.34485388040690795</c:v>
                </c:pt>
                <c:pt idx="18">
                  <c:v>-0.33847126667631433</c:v>
                </c:pt>
                <c:pt idx="19">
                  <c:v>-0.33350006657351061</c:v>
                </c:pt>
                <c:pt idx="20">
                  <c:v>-0.3322155931449392</c:v>
                </c:pt>
                <c:pt idx="21">
                  <c:v>-0.32616141802659598</c:v>
                </c:pt>
                <c:pt idx="22">
                  <c:v>-0.33201731526710232</c:v>
                </c:pt>
                <c:pt idx="23">
                  <c:v>-0.3256566446033855</c:v>
                </c:pt>
                <c:pt idx="24">
                  <c:v>-0.32547089928195699</c:v>
                </c:pt>
                <c:pt idx="25">
                  <c:v>-0.31800127619998969</c:v>
                </c:pt>
                <c:pt idx="26">
                  <c:v>-0.31888701259750524</c:v>
                </c:pt>
                <c:pt idx="27">
                  <c:v>-0.32146119523901473</c:v>
                </c:pt>
                <c:pt idx="28">
                  <c:v>-0.31924586361401469</c:v>
                </c:pt>
                <c:pt idx="29">
                  <c:v>-0.32032614744896615</c:v>
                </c:pt>
                <c:pt idx="30">
                  <c:v>-0.31036035507032533</c:v>
                </c:pt>
                <c:pt idx="31">
                  <c:v>-0.30052255857032539</c:v>
                </c:pt>
                <c:pt idx="32">
                  <c:v>-0.29943343156454499</c:v>
                </c:pt>
                <c:pt idx="33">
                  <c:v>-0.29990423314682346</c:v>
                </c:pt>
                <c:pt idx="34">
                  <c:v>-0.30064908591605427</c:v>
                </c:pt>
                <c:pt idx="35">
                  <c:v>-0.29488544652070536</c:v>
                </c:pt>
                <c:pt idx="36">
                  <c:v>-0.30836485561013627</c:v>
                </c:pt>
                <c:pt idx="37">
                  <c:v>-0.30807194941013627</c:v>
                </c:pt>
                <c:pt idx="38">
                  <c:v>-0.31156269138273907</c:v>
                </c:pt>
                <c:pt idx="39">
                  <c:v>-0.30941975487938328</c:v>
                </c:pt>
                <c:pt idx="40">
                  <c:v>-0.29971970900059547</c:v>
                </c:pt>
                <c:pt idx="41">
                  <c:v>-0.30282742057890871</c:v>
                </c:pt>
                <c:pt idx="42">
                  <c:v>-0.30194379567750018</c:v>
                </c:pt>
                <c:pt idx="43">
                  <c:v>-0.29282193510607163</c:v>
                </c:pt>
                <c:pt idx="44">
                  <c:v>-0.30242637873632372</c:v>
                </c:pt>
                <c:pt idx="45">
                  <c:v>-0.29514936250102958</c:v>
                </c:pt>
                <c:pt idx="46">
                  <c:v>-0.28505799871608339</c:v>
                </c:pt>
                <c:pt idx="47">
                  <c:v>-0.28389538598114361</c:v>
                </c:pt>
                <c:pt idx="48">
                  <c:v>-0.28464897267502115</c:v>
                </c:pt>
                <c:pt idx="49">
                  <c:v>-0.27158042045550901</c:v>
                </c:pt>
                <c:pt idx="50">
                  <c:v>-0.26190121176638981</c:v>
                </c:pt>
                <c:pt idx="51">
                  <c:v>-0.25568678940741546</c:v>
                </c:pt>
                <c:pt idx="52">
                  <c:v>-0.25106876512170118</c:v>
                </c:pt>
                <c:pt idx="53">
                  <c:v>-0.26493399480524543</c:v>
                </c:pt>
                <c:pt idx="54">
                  <c:v>-0.25546645758538733</c:v>
                </c:pt>
                <c:pt idx="55">
                  <c:v>-0.25475570369826717</c:v>
                </c:pt>
                <c:pt idx="56">
                  <c:v>-0.24099482407921963</c:v>
                </c:pt>
                <c:pt idx="57">
                  <c:v>-0.20660117800229655</c:v>
                </c:pt>
                <c:pt idx="58">
                  <c:v>-0.20294978176634143</c:v>
                </c:pt>
                <c:pt idx="59">
                  <c:v>-0.19729249933044402</c:v>
                </c:pt>
                <c:pt idx="60">
                  <c:v>-0.20099005033044398</c:v>
                </c:pt>
                <c:pt idx="61">
                  <c:v>-0.21329190469214604</c:v>
                </c:pt>
                <c:pt idx="62">
                  <c:v>-0.21857551594987804</c:v>
                </c:pt>
                <c:pt idx="63">
                  <c:v>-0.21485530467928976</c:v>
                </c:pt>
                <c:pt idx="64">
                  <c:v>-0.22622719880173872</c:v>
                </c:pt>
                <c:pt idx="65">
                  <c:v>-0.22511895400721818</c:v>
                </c:pt>
                <c:pt idx="66">
                  <c:v>-0.2351695625786468</c:v>
                </c:pt>
                <c:pt idx="67">
                  <c:v>-0.22848236044749928</c:v>
                </c:pt>
                <c:pt idx="68">
                  <c:v>-0.23004737584749929</c:v>
                </c:pt>
                <c:pt idx="69">
                  <c:v>-0.24214880268960454</c:v>
                </c:pt>
                <c:pt idx="70">
                  <c:v>-0.25646354217896622</c:v>
                </c:pt>
                <c:pt idx="71">
                  <c:v>-0.23627105979289023</c:v>
                </c:pt>
                <c:pt idx="72">
                  <c:v>-0.2145632533075027</c:v>
                </c:pt>
                <c:pt idx="73">
                  <c:v>-0.21289381979785016</c:v>
                </c:pt>
                <c:pt idx="74">
                  <c:v>-0.22059004513118355</c:v>
                </c:pt>
                <c:pt idx="75">
                  <c:v>-0.22419804317996397</c:v>
                </c:pt>
                <c:pt idx="76">
                  <c:v>-0.21912637487763847</c:v>
                </c:pt>
                <c:pt idx="77">
                  <c:v>-0.22203495886189051</c:v>
                </c:pt>
                <c:pt idx="78">
                  <c:v>-0.2170239146470144</c:v>
                </c:pt>
                <c:pt idx="79">
                  <c:v>-0.21477094801000371</c:v>
                </c:pt>
                <c:pt idx="80">
                  <c:v>-0.21579508946454914</c:v>
                </c:pt>
                <c:pt idx="81">
                  <c:v>-0.22075003070398572</c:v>
                </c:pt>
                <c:pt idx="82">
                  <c:v>-0.22650946539148581</c:v>
                </c:pt>
                <c:pt idx="83">
                  <c:v>-0.22566262789148581</c:v>
                </c:pt>
                <c:pt idx="84">
                  <c:v>-0.22348678014148582</c:v>
                </c:pt>
                <c:pt idx="85">
                  <c:v>-0.22614439441974665</c:v>
                </c:pt>
                <c:pt idx="86">
                  <c:v>-0.22758725074851377</c:v>
                </c:pt>
                <c:pt idx="87">
                  <c:v>-0.23670970058037225</c:v>
                </c:pt>
                <c:pt idx="88">
                  <c:v>-0.23042847116860751</c:v>
                </c:pt>
                <c:pt idx="89">
                  <c:v>-0.23607536801343509</c:v>
                </c:pt>
                <c:pt idx="90">
                  <c:v>-0.24501614181053652</c:v>
                </c:pt>
                <c:pt idx="91">
                  <c:v>-0.25282755269053647</c:v>
                </c:pt>
                <c:pt idx="92">
                  <c:v>-0.26113976750066309</c:v>
                </c:pt>
                <c:pt idx="93">
                  <c:v>-0.25086907761771993</c:v>
                </c:pt>
                <c:pt idx="94">
                  <c:v>-0.24536129173536692</c:v>
                </c:pt>
                <c:pt idx="95">
                  <c:v>-0.24968686941278626</c:v>
                </c:pt>
                <c:pt idx="96">
                  <c:v>-0.2481799594505221</c:v>
                </c:pt>
                <c:pt idx="97">
                  <c:v>-0.24729245363234026</c:v>
                </c:pt>
                <c:pt idx="98">
                  <c:v>-0.23727444857111574</c:v>
                </c:pt>
                <c:pt idx="99">
                  <c:v>-0.22819819761556018</c:v>
                </c:pt>
                <c:pt idx="100">
                  <c:v>-0.23862728699901886</c:v>
                </c:pt>
                <c:pt idx="101">
                  <c:v>-0.24964238769669328</c:v>
                </c:pt>
                <c:pt idx="102">
                  <c:v>-0.24588663383305695</c:v>
                </c:pt>
                <c:pt idx="103">
                  <c:v>-0.24797595446797754</c:v>
                </c:pt>
                <c:pt idx="104">
                  <c:v>-0.24924730634297759</c:v>
                </c:pt>
                <c:pt idx="105">
                  <c:v>-0.24004647727571299</c:v>
                </c:pt>
                <c:pt idx="106">
                  <c:v>-0.24208358327571297</c:v>
                </c:pt>
                <c:pt idx="107">
                  <c:v>-0.25226117767807987</c:v>
                </c:pt>
                <c:pt idx="108">
                  <c:v>-0.24501596400802911</c:v>
                </c:pt>
                <c:pt idx="109">
                  <c:v>-0.24469105425545185</c:v>
                </c:pt>
                <c:pt idx="110">
                  <c:v>-0.21819959702366376</c:v>
                </c:pt>
                <c:pt idx="111">
                  <c:v>-0.2093456155201672</c:v>
                </c:pt>
                <c:pt idx="112">
                  <c:v>-0.18893541560527363</c:v>
                </c:pt>
                <c:pt idx="113">
                  <c:v>-0.18967119946978972</c:v>
                </c:pt>
                <c:pt idx="114">
                  <c:v>-0.19721270158407547</c:v>
                </c:pt>
                <c:pt idx="115">
                  <c:v>-0.20414932002618069</c:v>
                </c:pt>
                <c:pt idx="116">
                  <c:v>-0.20512704283623656</c:v>
                </c:pt>
                <c:pt idx="117">
                  <c:v>-0.20718916580725105</c:v>
                </c:pt>
                <c:pt idx="118">
                  <c:v>-0.20285961536822666</c:v>
                </c:pt>
                <c:pt idx="119">
                  <c:v>-0.21008397175628632</c:v>
                </c:pt>
                <c:pt idx="120">
                  <c:v>-0.21244765396940107</c:v>
                </c:pt>
                <c:pt idx="121">
                  <c:v>-0.20894701507582311</c:v>
                </c:pt>
                <c:pt idx="122">
                  <c:v>-0.19857672007582311</c:v>
                </c:pt>
                <c:pt idx="123">
                  <c:v>-0.18698861575251483</c:v>
                </c:pt>
                <c:pt idx="124">
                  <c:v>-0.19108609354001482</c:v>
                </c:pt>
                <c:pt idx="125">
                  <c:v>-0.19543343056633064</c:v>
                </c:pt>
                <c:pt idx="126">
                  <c:v>-0.1891735332894075</c:v>
                </c:pt>
                <c:pt idx="127">
                  <c:v>-0.20623317687561446</c:v>
                </c:pt>
                <c:pt idx="128">
                  <c:v>-0.2299831066643469</c:v>
                </c:pt>
                <c:pt idx="129">
                  <c:v>-0.21500710767407663</c:v>
                </c:pt>
                <c:pt idx="130">
                  <c:v>-0.20541259363898889</c:v>
                </c:pt>
                <c:pt idx="131">
                  <c:v>-0.19840640790925912</c:v>
                </c:pt>
                <c:pt idx="132">
                  <c:v>-0.20139172405740727</c:v>
                </c:pt>
                <c:pt idx="133">
                  <c:v>-0.19805347491455011</c:v>
                </c:pt>
                <c:pt idx="134">
                  <c:v>-0.19585958526095534</c:v>
                </c:pt>
                <c:pt idx="135">
                  <c:v>-0.2045346068609554</c:v>
                </c:pt>
                <c:pt idx="136">
                  <c:v>-0.21527409865340827</c:v>
                </c:pt>
                <c:pt idx="137">
                  <c:v>-0.21220641973386803</c:v>
                </c:pt>
                <c:pt idx="138">
                  <c:v>-0.21440412677718937</c:v>
                </c:pt>
                <c:pt idx="139">
                  <c:v>-0.21549470976748064</c:v>
                </c:pt>
                <c:pt idx="140">
                  <c:v>-0.23103127084509256</c:v>
                </c:pt>
                <c:pt idx="141">
                  <c:v>-0.23490316021509261</c:v>
                </c:pt>
                <c:pt idx="142">
                  <c:v>-0.24997245377443839</c:v>
                </c:pt>
                <c:pt idx="143">
                  <c:v>-0.23442612315113212</c:v>
                </c:pt>
                <c:pt idx="144">
                  <c:v>-0.24606166872604501</c:v>
                </c:pt>
                <c:pt idx="145">
                  <c:v>-0.21763875451741191</c:v>
                </c:pt>
                <c:pt idx="146">
                  <c:v>-0.22673059441803298</c:v>
                </c:pt>
                <c:pt idx="147">
                  <c:v>-0.23987391869076022</c:v>
                </c:pt>
                <c:pt idx="148">
                  <c:v>-0.22195198404858338</c:v>
                </c:pt>
                <c:pt idx="149">
                  <c:v>-0.23272478977706015</c:v>
                </c:pt>
                <c:pt idx="150">
                  <c:v>-0.221578370086288</c:v>
                </c:pt>
                <c:pt idx="151">
                  <c:v>-0.21936799884628802</c:v>
                </c:pt>
                <c:pt idx="152">
                  <c:v>-0.2199350799332446</c:v>
                </c:pt>
                <c:pt idx="153">
                  <c:v>-0.24474000160671411</c:v>
                </c:pt>
                <c:pt idx="154">
                  <c:v>-0.25317818665917313</c:v>
                </c:pt>
                <c:pt idx="155">
                  <c:v>-0.24297806193320556</c:v>
                </c:pt>
                <c:pt idx="156">
                  <c:v>-0.25889119676853023</c:v>
                </c:pt>
                <c:pt idx="157">
                  <c:v>-0.25173713536300729</c:v>
                </c:pt>
                <c:pt idx="158">
                  <c:v>-0.26163550124106572</c:v>
                </c:pt>
                <c:pt idx="159">
                  <c:v>-0.27057235842397787</c:v>
                </c:pt>
                <c:pt idx="160">
                  <c:v>-0.26983899299015823</c:v>
                </c:pt>
                <c:pt idx="161">
                  <c:v>-0.2815380424451735</c:v>
                </c:pt>
                <c:pt idx="162">
                  <c:v>-0.29373560446723235</c:v>
                </c:pt>
                <c:pt idx="163">
                  <c:v>-0.289385795883154</c:v>
                </c:pt>
                <c:pt idx="164">
                  <c:v>-0.27709236894524319</c:v>
                </c:pt>
                <c:pt idx="165">
                  <c:v>-0.27139210193850533</c:v>
                </c:pt>
                <c:pt idx="166">
                  <c:v>-0.28871462926522656</c:v>
                </c:pt>
                <c:pt idx="167">
                  <c:v>-0.30489101389855994</c:v>
                </c:pt>
                <c:pt idx="168">
                  <c:v>-0.31762072868126034</c:v>
                </c:pt>
                <c:pt idx="169">
                  <c:v>-0.30702131158535295</c:v>
                </c:pt>
                <c:pt idx="170">
                  <c:v>-0.31124870465649918</c:v>
                </c:pt>
                <c:pt idx="171">
                  <c:v>-0.47993381136473517</c:v>
                </c:pt>
                <c:pt idx="172">
                  <c:v>-0.49809202092474691</c:v>
                </c:pt>
                <c:pt idx="173">
                  <c:v>-0.48917147003487571</c:v>
                </c:pt>
                <c:pt idx="174">
                  <c:v>-0.50444850276673225</c:v>
                </c:pt>
                <c:pt idx="175">
                  <c:v>-0.51805374865096054</c:v>
                </c:pt>
                <c:pt idx="176">
                  <c:v>-0.53060729585157163</c:v>
                </c:pt>
                <c:pt idx="177">
                  <c:v>-0.53937451482169663</c:v>
                </c:pt>
                <c:pt idx="178">
                  <c:v>-0.53589561562652166</c:v>
                </c:pt>
                <c:pt idx="179">
                  <c:v>-0.51293659791182267</c:v>
                </c:pt>
                <c:pt idx="180">
                  <c:v>-0.50211765516055618</c:v>
                </c:pt>
                <c:pt idx="181">
                  <c:v>-0.52035793469153735</c:v>
                </c:pt>
                <c:pt idx="182">
                  <c:v>-0.53391008945588281</c:v>
                </c:pt>
                <c:pt idx="183">
                  <c:v>-0.54248354084182904</c:v>
                </c:pt>
                <c:pt idx="184">
                  <c:v>-0.53428470990965105</c:v>
                </c:pt>
                <c:pt idx="185">
                  <c:v>-0.5588394775098573</c:v>
                </c:pt>
                <c:pt idx="186">
                  <c:v>-0.51146366561900947</c:v>
                </c:pt>
                <c:pt idx="187">
                  <c:v>-0.51946431910779067</c:v>
                </c:pt>
                <c:pt idx="188">
                  <c:v>-0.52924893084672764</c:v>
                </c:pt>
                <c:pt idx="189">
                  <c:v>-0.54191902351576315</c:v>
                </c:pt>
                <c:pt idx="190">
                  <c:v>-0.5568906355817711</c:v>
                </c:pt>
                <c:pt idx="191">
                  <c:v>-0.57326234420080202</c:v>
                </c:pt>
                <c:pt idx="192">
                  <c:v>-0.56861255970326452</c:v>
                </c:pt>
                <c:pt idx="193">
                  <c:v>-0.5637791534393537</c:v>
                </c:pt>
                <c:pt idx="194">
                  <c:v>-0.5626813619393537</c:v>
                </c:pt>
                <c:pt idx="195">
                  <c:v>-0.55021750208968789</c:v>
                </c:pt>
                <c:pt idx="196">
                  <c:v>-0.54146813090089341</c:v>
                </c:pt>
                <c:pt idx="197">
                  <c:v>-0.53818764332917524</c:v>
                </c:pt>
                <c:pt idx="198">
                  <c:v>-0.54221228851873804</c:v>
                </c:pt>
                <c:pt idx="199">
                  <c:v>-0.53013053879630156</c:v>
                </c:pt>
                <c:pt idx="200">
                  <c:v>-0.54046694900000702</c:v>
                </c:pt>
                <c:pt idx="201">
                  <c:v>-0.55460728252760605</c:v>
                </c:pt>
                <c:pt idx="202">
                  <c:v>-0.55758176834121076</c:v>
                </c:pt>
                <c:pt idx="203">
                  <c:v>-0.58408568750909307</c:v>
                </c:pt>
                <c:pt idx="204">
                  <c:v>-0.5762996797490324</c:v>
                </c:pt>
                <c:pt idx="205">
                  <c:v>-0.58747447879775039</c:v>
                </c:pt>
                <c:pt idx="206">
                  <c:v>-0.59757460144643959</c:v>
                </c:pt>
                <c:pt idx="207">
                  <c:v>-0.60081889265140798</c:v>
                </c:pt>
                <c:pt idx="208">
                  <c:v>-0.60935219961190179</c:v>
                </c:pt>
                <c:pt idx="209">
                  <c:v>-0.59292554765998506</c:v>
                </c:pt>
                <c:pt idx="210">
                  <c:v>-0.59914946681263648</c:v>
                </c:pt>
                <c:pt idx="211">
                  <c:v>-0.58792433405285538</c:v>
                </c:pt>
                <c:pt idx="212">
                  <c:v>-0.62882157347411816</c:v>
                </c:pt>
                <c:pt idx="213">
                  <c:v>-0.65485309158141813</c:v>
                </c:pt>
                <c:pt idx="214">
                  <c:v>-0.67294279689802994</c:v>
                </c:pt>
                <c:pt idx="215">
                  <c:v>-0.6881724139368901</c:v>
                </c:pt>
                <c:pt idx="216">
                  <c:v>-0.7133086779846568</c:v>
                </c:pt>
                <c:pt idx="217">
                  <c:v>-0.69265947185314614</c:v>
                </c:pt>
                <c:pt idx="218">
                  <c:v>-0.70383502621757343</c:v>
                </c:pt>
                <c:pt idx="219">
                  <c:v>-0.73640764719218277</c:v>
                </c:pt>
                <c:pt idx="220">
                  <c:v>-0.63760804899994072</c:v>
                </c:pt>
                <c:pt idx="221">
                  <c:v>-0.4847896083857946</c:v>
                </c:pt>
                <c:pt idx="222">
                  <c:v>-0.50223087510875863</c:v>
                </c:pt>
                <c:pt idx="223">
                  <c:v>-0.49194599271793288</c:v>
                </c:pt>
                <c:pt idx="224">
                  <c:v>-0.49114772637532123</c:v>
                </c:pt>
                <c:pt idx="225">
                  <c:v>-0.49126525033510671</c:v>
                </c:pt>
                <c:pt idx="226">
                  <c:v>-0.4803021604760298</c:v>
                </c:pt>
                <c:pt idx="227">
                  <c:v>-0.47955838684971402</c:v>
                </c:pt>
                <c:pt idx="228">
                  <c:v>-0.47903702145201943</c:v>
                </c:pt>
                <c:pt idx="229">
                  <c:v>-0.48485146216101888</c:v>
                </c:pt>
                <c:pt idx="230">
                  <c:v>-0.48823466792241071</c:v>
                </c:pt>
                <c:pt idx="231">
                  <c:v>-0.47601565323221207</c:v>
                </c:pt>
                <c:pt idx="232">
                  <c:v>-0.45845563579221205</c:v>
                </c:pt>
                <c:pt idx="233">
                  <c:v>-0.47194216371935416</c:v>
                </c:pt>
                <c:pt idx="234">
                  <c:v>-0.48503049689228572</c:v>
                </c:pt>
                <c:pt idx="235">
                  <c:v>-0.44936592156761906</c:v>
                </c:pt>
                <c:pt idx="236">
                  <c:v>-0.45426667185328101</c:v>
                </c:pt>
                <c:pt idx="237">
                  <c:v>-0.45030627357472219</c:v>
                </c:pt>
                <c:pt idx="238">
                  <c:v>-0.44542421021966705</c:v>
                </c:pt>
                <c:pt idx="239">
                  <c:v>-0.44284072773041877</c:v>
                </c:pt>
                <c:pt idx="240">
                  <c:v>-0.44367549274697698</c:v>
                </c:pt>
                <c:pt idx="241">
                  <c:v>-0.43980413663956441</c:v>
                </c:pt>
                <c:pt idx="242">
                  <c:v>-0.4542740819554828</c:v>
                </c:pt>
                <c:pt idx="243">
                  <c:v>-0.46032513655358887</c:v>
                </c:pt>
                <c:pt idx="244">
                  <c:v>-0.45739362903790415</c:v>
                </c:pt>
                <c:pt idx="245">
                  <c:v>-0.44480304334598547</c:v>
                </c:pt>
                <c:pt idx="246">
                  <c:v>-0.41303458051610253</c:v>
                </c:pt>
                <c:pt idx="247">
                  <c:v>-0.45041031702610251</c:v>
                </c:pt>
                <c:pt idx="248">
                  <c:v>-0.46984708295249311</c:v>
                </c:pt>
                <c:pt idx="249">
                  <c:v>-0.53787414666223177</c:v>
                </c:pt>
                <c:pt idx="250">
                  <c:v>-0.53443844213055747</c:v>
                </c:pt>
                <c:pt idx="251">
                  <c:v>-0.52699501240589108</c:v>
                </c:pt>
                <c:pt idx="252">
                  <c:v>-0.50055528430561713</c:v>
                </c:pt>
                <c:pt idx="253">
                  <c:v>-0.51716776235962525</c:v>
                </c:pt>
                <c:pt idx="254">
                  <c:v>-0.48448300557664647</c:v>
                </c:pt>
                <c:pt idx="255">
                  <c:v>-0.45839820100406919</c:v>
                </c:pt>
                <c:pt idx="256">
                  <c:v>-0.47345673805422017</c:v>
                </c:pt>
                <c:pt idx="257">
                  <c:v>-0.46379110835637244</c:v>
                </c:pt>
                <c:pt idx="258">
                  <c:v>-0.42180730402326211</c:v>
                </c:pt>
                <c:pt idx="259">
                  <c:v>-0.41078230627203055</c:v>
                </c:pt>
                <c:pt idx="260">
                  <c:v>-0.36845605609222537</c:v>
                </c:pt>
                <c:pt idx="261">
                  <c:v>-0.27768844586003344</c:v>
                </c:pt>
                <c:pt idx="262">
                  <c:v>-0.2446538556014084</c:v>
                </c:pt>
                <c:pt idx="263">
                  <c:v>-0.21253402130113452</c:v>
                </c:pt>
                <c:pt idx="264">
                  <c:v>-0.24050902052881218</c:v>
                </c:pt>
                <c:pt idx="265">
                  <c:v>-0.17503343431921736</c:v>
                </c:pt>
                <c:pt idx="266">
                  <c:v>-0.21771517964376724</c:v>
                </c:pt>
                <c:pt idx="267">
                  <c:v>-0.1936720585611087</c:v>
                </c:pt>
                <c:pt idx="268">
                  <c:v>-0.10054531150082688</c:v>
                </c:pt>
                <c:pt idx="269">
                  <c:v>-0.10583379110233276</c:v>
                </c:pt>
                <c:pt idx="270">
                  <c:v>-9.0118344361933542E-2</c:v>
                </c:pt>
                <c:pt idx="271">
                  <c:v>-0.1406642119825702</c:v>
                </c:pt>
                <c:pt idx="272">
                  <c:v>-0.15843852609888223</c:v>
                </c:pt>
                <c:pt idx="273">
                  <c:v>-0.16459626157449356</c:v>
                </c:pt>
                <c:pt idx="274">
                  <c:v>-0.17580377143879777</c:v>
                </c:pt>
                <c:pt idx="275">
                  <c:v>-0.18745335258993254</c:v>
                </c:pt>
                <c:pt idx="276">
                  <c:v>-0.20179965875158976</c:v>
                </c:pt>
                <c:pt idx="277">
                  <c:v>-0.21186832987719156</c:v>
                </c:pt>
                <c:pt idx="278">
                  <c:v>-0.22131023180793949</c:v>
                </c:pt>
                <c:pt idx="279">
                  <c:v>-0.20331947831199818</c:v>
                </c:pt>
                <c:pt idx="280">
                  <c:v>-0.22040857519627524</c:v>
                </c:pt>
                <c:pt idx="281">
                  <c:v>-0.18549574472959499</c:v>
                </c:pt>
                <c:pt idx="282">
                  <c:v>-0.16090357117295237</c:v>
                </c:pt>
                <c:pt idx="283">
                  <c:v>-0.17961356911427748</c:v>
                </c:pt>
                <c:pt idx="284">
                  <c:v>-0.1596373167953079</c:v>
                </c:pt>
                <c:pt idx="285">
                  <c:v>-0.17165642981813714</c:v>
                </c:pt>
                <c:pt idx="286">
                  <c:v>-0.13160868384125154</c:v>
                </c:pt>
                <c:pt idx="287">
                  <c:v>-0.15013093362726551</c:v>
                </c:pt>
                <c:pt idx="288">
                  <c:v>-0.15162115235497636</c:v>
                </c:pt>
                <c:pt idx="289">
                  <c:v>-0.1433577437257226</c:v>
                </c:pt>
                <c:pt idx="290">
                  <c:v>-0.14124414027734228</c:v>
                </c:pt>
                <c:pt idx="291">
                  <c:v>-0.11334652038227261</c:v>
                </c:pt>
                <c:pt idx="292">
                  <c:v>-0.12167060981373753</c:v>
                </c:pt>
                <c:pt idx="293">
                  <c:v>-0.10955858158999829</c:v>
                </c:pt>
                <c:pt idx="294">
                  <c:v>-9.8620449878171798E-2</c:v>
                </c:pt>
                <c:pt idx="295">
                  <c:v>-0.10283290696267365</c:v>
                </c:pt>
                <c:pt idx="296">
                  <c:v>-0.11557709793027382</c:v>
                </c:pt>
                <c:pt idx="297">
                  <c:v>-0.12338016712467793</c:v>
                </c:pt>
                <c:pt idx="298">
                  <c:v>-0.13055770978317074</c:v>
                </c:pt>
                <c:pt idx="299">
                  <c:v>-0.14442650038038432</c:v>
                </c:pt>
                <c:pt idx="300">
                  <c:v>-0.12368382272848558</c:v>
                </c:pt>
                <c:pt idx="301">
                  <c:v>-0.1225937294714856</c:v>
                </c:pt>
                <c:pt idx="302">
                  <c:v>-0.13772855942374898</c:v>
                </c:pt>
                <c:pt idx="303">
                  <c:v>-0.14274463022875794</c:v>
                </c:pt>
                <c:pt idx="304">
                  <c:v>-0.16922504386750609</c:v>
                </c:pt>
                <c:pt idx="305">
                  <c:v>-0.18578119432028387</c:v>
                </c:pt>
                <c:pt idx="306">
                  <c:v>-0.17794689019330903</c:v>
                </c:pt>
                <c:pt idx="307">
                  <c:v>-0.18347766749559619</c:v>
                </c:pt>
                <c:pt idx="308">
                  <c:v>-0.19013872737559617</c:v>
                </c:pt>
                <c:pt idx="309">
                  <c:v>-0.17937486384542375</c:v>
                </c:pt>
                <c:pt idx="310">
                  <c:v>-0.16620077775584238</c:v>
                </c:pt>
                <c:pt idx="311">
                  <c:v>-0.16490733207017685</c:v>
                </c:pt>
                <c:pt idx="312">
                  <c:v>-0.15062083041923055</c:v>
                </c:pt>
                <c:pt idx="313">
                  <c:v>-0.16409005813040758</c:v>
                </c:pt>
                <c:pt idx="314">
                  <c:v>-0.15295889989953768</c:v>
                </c:pt>
                <c:pt idx="315">
                  <c:v>-0.14489423296026641</c:v>
                </c:pt>
                <c:pt idx="316">
                  <c:v>-0.15197004569572906</c:v>
                </c:pt>
                <c:pt idx="317">
                  <c:v>-0.15359012915985465</c:v>
                </c:pt>
                <c:pt idx="318">
                  <c:v>-0.14758847512527304</c:v>
                </c:pt>
                <c:pt idx="319">
                  <c:v>-0.1536056851497993</c:v>
                </c:pt>
                <c:pt idx="320">
                  <c:v>-0.14217118149407015</c:v>
                </c:pt>
                <c:pt idx="321">
                  <c:v>-0.15655277869271053</c:v>
                </c:pt>
                <c:pt idx="322">
                  <c:v>-0.15252942961271052</c:v>
                </c:pt>
                <c:pt idx="323">
                  <c:v>-0.15139802785608514</c:v>
                </c:pt>
                <c:pt idx="324">
                  <c:v>-0.14587995078374474</c:v>
                </c:pt>
                <c:pt idx="325">
                  <c:v>-0.14328215103600148</c:v>
                </c:pt>
                <c:pt idx="326">
                  <c:v>-0.14387463642543238</c:v>
                </c:pt>
                <c:pt idx="327">
                  <c:v>-0.12950467585050546</c:v>
                </c:pt>
                <c:pt idx="328">
                  <c:v>-0.14598073042535867</c:v>
                </c:pt>
                <c:pt idx="329">
                  <c:v>-0.14744380182958591</c:v>
                </c:pt>
                <c:pt idx="330">
                  <c:v>-0.14524282396586177</c:v>
                </c:pt>
                <c:pt idx="331">
                  <c:v>-0.1522949501835833</c:v>
                </c:pt>
                <c:pt idx="332">
                  <c:v>-0.14772175415516373</c:v>
                </c:pt>
                <c:pt idx="333">
                  <c:v>-0.1565778925078824</c:v>
                </c:pt>
                <c:pt idx="334">
                  <c:v>-0.15418468077972708</c:v>
                </c:pt>
                <c:pt idx="335">
                  <c:v>-0.15101134047229853</c:v>
                </c:pt>
                <c:pt idx="336">
                  <c:v>-0.15032957206698194</c:v>
                </c:pt>
                <c:pt idx="337">
                  <c:v>-0.13863312522377741</c:v>
                </c:pt>
                <c:pt idx="338">
                  <c:v>-0.14057806764380104</c:v>
                </c:pt>
                <c:pt idx="339">
                  <c:v>-0.12628635113839562</c:v>
                </c:pt>
                <c:pt idx="340">
                  <c:v>-0.13241725844555324</c:v>
                </c:pt>
                <c:pt idx="341">
                  <c:v>-0.12607478094762473</c:v>
                </c:pt>
                <c:pt idx="342">
                  <c:v>-0.11096182649426894</c:v>
                </c:pt>
                <c:pt idx="343">
                  <c:v>-0.10255769748596223</c:v>
                </c:pt>
                <c:pt idx="344">
                  <c:v>-9.8141735576511666E-2</c:v>
                </c:pt>
                <c:pt idx="345">
                  <c:v>-9.8106414996269556E-2</c:v>
                </c:pt>
                <c:pt idx="346">
                  <c:v>-6.6382685918037171E-2</c:v>
                </c:pt>
                <c:pt idx="347">
                  <c:v>0.1319017769037516</c:v>
                </c:pt>
                <c:pt idx="348">
                  <c:v>-5.1629547801916954E-2</c:v>
                </c:pt>
                <c:pt idx="349">
                  <c:v>-5.9152730182805834E-2</c:v>
                </c:pt>
                <c:pt idx="350">
                  <c:v>-7.3375761892622779E-2</c:v>
                </c:pt>
                <c:pt idx="351">
                  <c:v>-7.4980566241997795E-2</c:v>
                </c:pt>
                <c:pt idx="352">
                  <c:v>-7.833376531725203E-2</c:v>
                </c:pt>
                <c:pt idx="353">
                  <c:v>-0.14583970161700474</c:v>
                </c:pt>
                <c:pt idx="354">
                  <c:v>-0.15215727855018499</c:v>
                </c:pt>
                <c:pt idx="355">
                  <c:v>-0.15199608157527464</c:v>
                </c:pt>
                <c:pt idx="356">
                  <c:v>-0.13955863564829696</c:v>
                </c:pt>
                <c:pt idx="357">
                  <c:v>-0.1659811956754054</c:v>
                </c:pt>
                <c:pt idx="358">
                  <c:v>-0.14794543811059058</c:v>
                </c:pt>
                <c:pt idx="359">
                  <c:v>-0.14420941414851826</c:v>
                </c:pt>
                <c:pt idx="360">
                  <c:v>-0.14311108048584945</c:v>
                </c:pt>
                <c:pt idx="361">
                  <c:v>-9.8923020519565946E-2</c:v>
                </c:pt>
                <c:pt idx="362">
                  <c:v>-0.1250114545610671</c:v>
                </c:pt>
                <c:pt idx="363">
                  <c:v>-0.15010704007776371</c:v>
                </c:pt>
                <c:pt idx="364">
                  <c:v>-0.16436832397427098</c:v>
                </c:pt>
                <c:pt idx="365">
                  <c:v>-0.1173749530577203</c:v>
                </c:pt>
                <c:pt idx="366">
                  <c:v>-0.115180743782995</c:v>
                </c:pt>
                <c:pt idx="367">
                  <c:v>-0.11916706499933163</c:v>
                </c:pt>
                <c:pt idx="368">
                  <c:v>-0.11535455488183889</c:v>
                </c:pt>
                <c:pt idx="369">
                  <c:v>-0.1091103403603166</c:v>
                </c:pt>
                <c:pt idx="370">
                  <c:v>-0.11285501656268349</c:v>
                </c:pt>
                <c:pt idx="371">
                  <c:v>-0.11808976337329992</c:v>
                </c:pt>
                <c:pt idx="372">
                  <c:v>-0.11135093034891676</c:v>
                </c:pt>
                <c:pt idx="373">
                  <c:v>-0.11492506252421339</c:v>
                </c:pt>
                <c:pt idx="374">
                  <c:v>-0.10399156668110998</c:v>
                </c:pt>
                <c:pt idx="375">
                  <c:v>-0.10983801433300189</c:v>
                </c:pt>
                <c:pt idx="376">
                  <c:v>-0.12249103141015177</c:v>
                </c:pt>
                <c:pt idx="377">
                  <c:v>-0.12358277693677407</c:v>
                </c:pt>
                <c:pt idx="378">
                  <c:v>-0.12162015586090309</c:v>
                </c:pt>
                <c:pt idx="379">
                  <c:v>-0.11940023427322537</c:v>
                </c:pt>
                <c:pt idx="380">
                  <c:v>-0.12689862477322536</c:v>
                </c:pt>
                <c:pt idx="381">
                  <c:v>-0.11684030067816364</c:v>
                </c:pt>
                <c:pt idx="382">
                  <c:v>-0.11177462875931707</c:v>
                </c:pt>
                <c:pt idx="383">
                  <c:v>-0.10855459325766963</c:v>
                </c:pt>
                <c:pt idx="384">
                  <c:v>-0.114986472176037</c:v>
                </c:pt>
                <c:pt idx="385">
                  <c:v>-0.11583508733390663</c:v>
                </c:pt>
                <c:pt idx="386">
                  <c:v>-9.0654577368756248E-2</c:v>
                </c:pt>
                <c:pt idx="387">
                  <c:v>-9.2208442187161163E-2</c:v>
                </c:pt>
                <c:pt idx="388">
                  <c:v>-9.4455933208675125E-2</c:v>
                </c:pt>
                <c:pt idx="389">
                  <c:v>-9.0632227203884697E-2</c:v>
                </c:pt>
                <c:pt idx="390">
                  <c:v>-9.981198743227454E-2</c:v>
                </c:pt>
                <c:pt idx="391">
                  <c:v>-9.9797290090566829E-2</c:v>
                </c:pt>
                <c:pt idx="392">
                  <c:v>-0.10012814582738995</c:v>
                </c:pt>
                <c:pt idx="393">
                  <c:v>-9.5552835751342033E-2</c:v>
                </c:pt>
                <c:pt idx="394">
                  <c:v>-9.5306693055411798E-2</c:v>
                </c:pt>
                <c:pt idx="395">
                  <c:v>-9.4554897922254841E-2</c:v>
                </c:pt>
                <c:pt idx="396">
                  <c:v>-9.2982346312652953E-2</c:v>
                </c:pt>
                <c:pt idx="397">
                  <c:v>-9.4551126711428471E-2</c:v>
                </c:pt>
                <c:pt idx="398">
                  <c:v>-9.3904794204431388E-2</c:v>
                </c:pt>
                <c:pt idx="399">
                  <c:v>-9.1100700549112248E-2</c:v>
                </c:pt>
                <c:pt idx="400">
                  <c:v>-9.1774165660029855E-2</c:v>
                </c:pt>
                <c:pt idx="401">
                  <c:v>-8.711159341123062E-2</c:v>
                </c:pt>
                <c:pt idx="402">
                  <c:v>-8.6679409719741252E-2</c:v>
                </c:pt>
                <c:pt idx="403">
                  <c:v>-8.0954493512762876E-2</c:v>
                </c:pt>
                <c:pt idx="404">
                  <c:v>-7.7427620341591688E-2</c:v>
                </c:pt>
                <c:pt idx="405">
                  <c:v>-8.1538257168763201E-2</c:v>
                </c:pt>
                <c:pt idx="406">
                  <c:v>-8.0987170295293828E-2</c:v>
                </c:pt>
                <c:pt idx="407">
                  <c:v>-6.826057679529382E-2</c:v>
                </c:pt>
                <c:pt idx="408">
                  <c:v>-7.1807578061960489E-2</c:v>
                </c:pt>
                <c:pt idx="409">
                  <c:v>-7.4077693334140951E-2</c:v>
                </c:pt>
                <c:pt idx="410">
                  <c:v>-7.4766063576179168E-2</c:v>
                </c:pt>
                <c:pt idx="411">
                  <c:v>-7.7066913390635192E-2</c:v>
                </c:pt>
                <c:pt idx="412">
                  <c:v>-7.3144124436187757E-2</c:v>
                </c:pt>
                <c:pt idx="413">
                  <c:v>-7.4032875905653411E-2</c:v>
                </c:pt>
                <c:pt idx="414">
                  <c:v>-7.2315927952963252E-2</c:v>
                </c:pt>
                <c:pt idx="415">
                  <c:v>-7.5169302013879682E-2</c:v>
                </c:pt>
                <c:pt idx="416">
                  <c:v>-6.3189201647080459E-2</c:v>
                </c:pt>
                <c:pt idx="417">
                  <c:v>-7.2309888464662075E-2</c:v>
                </c:pt>
                <c:pt idx="418">
                  <c:v>-7.1651645124899466E-2</c:v>
                </c:pt>
                <c:pt idx="419">
                  <c:v>-7.3919161891566137E-2</c:v>
                </c:pt>
                <c:pt idx="420">
                  <c:v>-6.7538659234631829E-2</c:v>
                </c:pt>
                <c:pt idx="421">
                  <c:v>-6.5863116953275902E-2</c:v>
                </c:pt>
                <c:pt idx="422">
                  <c:v>-6.4698668542413282E-2</c:v>
                </c:pt>
                <c:pt idx="423">
                  <c:v>-6.5246789836842997E-2</c:v>
                </c:pt>
                <c:pt idx="424">
                  <c:v>-6.127421896887552E-2</c:v>
                </c:pt>
                <c:pt idx="425">
                  <c:v>-5.7151832382636984E-2</c:v>
                </c:pt>
                <c:pt idx="426">
                  <c:v>-2.9961421954441191E-2</c:v>
                </c:pt>
                <c:pt idx="427">
                  <c:v>-4.7320666582557139E-2</c:v>
                </c:pt>
                <c:pt idx="428">
                  <c:v>-5.5504389157692312E-2</c:v>
                </c:pt>
                <c:pt idx="429">
                  <c:v>-5.9249861415070224E-3</c:v>
                </c:pt>
                <c:pt idx="430">
                  <c:v>-2.0799535973725459E-2</c:v>
                </c:pt>
                <c:pt idx="431">
                  <c:v>-2.4599292121654445E-2</c:v>
                </c:pt>
                <c:pt idx="432">
                  <c:v>-2.2697223345538954E-2</c:v>
                </c:pt>
                <c:pt idx="433">
                  <c:v>-1.7485311340700239E-2</c:v>
                </c:pt>
                <c:pt idx="434">
                  <c:v>-1.4771231113427518E-2</c:v>
                </c:pt>
                <c:pt idx="435">
                  <c:v>-8.9429062386906753E-3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4A-4586-B06C-D48B14EAF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089872"/>
        <c:axId val="643103600"/>
      </c:lineChart>
      <c:dateAx>
        <c:axId val="643089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03600"/>
        <c:crosses val="autoZero"/>
        <c:auto val="1"/>
        <c:lblOffset val="100"/>
        <c:baseTimeUnit val="days"/>
      </c:dateAx>
      <c:valAx>
        <c:axId val="6431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08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18C1E20-9E62-4C85-8C0A-EE0E44D7BB3A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0B0319-0AB9-482F-9EFF-76E1DAE68CF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4.55</v>
      </c>
      <c r="D2" s="4">
        <f>MIN(D3:D1912)</f>
        <v>0.32929999999999998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0.94199999999999995</v>
      </c>
      <c r="C5">
        <v>0.95399999999999996</v>
      </c>
      <c r="D5">
        <v>0.91500000000000004</v>
      </c>
      <c r="E5">
        <v>0.91900000000000004</v>
      </c>
      <c r="F5">
        <v>101061.9</v>
      </c>
      <c r="G5">
        <v>0.91900000000000004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-0.79487179487179427</v>
      </c>
      <c r="Q5">
        <f t="shared" ref="Q5" si="1">F5*P5</f>
        <v>-80331.253846153777</v>
      </c>
      <c r="R5">
        <f t="shared" ref="R5" si="2">R6+Q5</f>
        <v>-38910917.029134423</v>
      </c>
      <c r="S5">
        <f t="shared" ref="S5" si="3">R5/100000</f>
        <v>-389.10917029134424</v>
      </c>
      <c r="T5">
        <f t="shared" ref="T5" si="4">S5/1000</f>
        <v>-0.38910917029134423</v>
      </c>
    </row>
    <row r="6" spans="1:20" x14ac:dyDescent="0.25">
      <c r="A6" s="5">
        <v>44587</v>
      </c>
      <c r="B6">
        <v>0.93200000000000005</v>
      </c>
      <c r="C6">
        <v>0.998</v>
      </c>
      <c r="D6">
        <v>0.90600000000000003</v>
      </c>
      <c r="E6">
        <v>0.94399999999999995</v>
      </c>
      <c r="F6">
        <v>2521934.5</v>
      </c>
      <c r="G6">
        <v>0.94399999999999995</v>
      </c>
      <c r="L6" t="s">
        <v>7</v>
      </c>
      <c r="M6" t="s">
        <v>8</v>
      </c>
      <c r="N6" t="s">
        <v>7</v>
      </c>
      <c r="P6">
        <f t="shared" ref="P6" si="5">IF(C6=D6,0,((E6-D6)-(C6-E6))/(C6-D6))</f>
        <v>-0.17391304347826228</v>
      </c>
      <c r="Q6">
        <f t="shared" ref="Q6" si="6">F6*P6</f>
        <v>-438597.30434782966</v>
      </c>
      <c r="R6">
        <f t="shared" ref="R6" si="7">R7+Q6</f>
        <v>-38830585.775288269</v>
      </c>
      <c r="S6">
        <f t="shared" ref="S6" si="8">R6/100000</f>
        <v>-388.30585775288267</v>
      </c>
      <c r="T6">
        <f t="shared" ref="T6" si="9">S6/1000</f>
        <v>-0.38830585775288268</v>
      </c>
    </row>
    <row r="7" spans="1:20" x14ac:dyDescent="0.25">
      <c r="A7" s="5">
        <v>44586</v>
      </c>
      <c r="B7">
        <v>0.93500000000000005</v>
      </c>
      <c r="C7">
        <v>1</v>
      </c>
      <c r="D7">
        <v>0.89400000000000002</v>
      </c>
      <c r="E7">
        <v>0.93600000000000005</v>
      </c>
      <c r="F7">
        <v>1957773.6</v>
      </c>
      <c r="G7">
        <v>0.93600000000000005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-0.20754716981131993</v>
      </c>
      <c r="Q7">
        <f t="shared" ref="Q7" si="11">F7*P7</f>
        <v>-406330.36981131916</v>
      </c>
      <c r="R7">
        <f t="shared" ref="R7" si="12">R8+Q7</f>
        <v>-38391988.470940441</v>
      </c>
      <c r="S7">
        <f t="shared" ref="S7" si="13">R7/100000</f>
        <v>-383.91988470940441</v>
      </c>
      <c r="T7">
        <f t="shared" ref="T7" si="14">S7/1000</f>
        <v>-0.38391988470940441</v>
      </c>
    </row>
    <row r="8" spans="1:20" x14ac:dyDescent="0.25">
      <c r="A8" s="5">
        <v>44585</v>
      </c>
      <c r="B8">
        <v>1.0029999999999999</v>
      </c>
      <c r="C8">
        <v>1.006</v>
      </c>
      <c r="D8">
        <v>0.83699999999999997</v>
      </c>
      <c r="E8">
        <v>0.93500000000000005</v>
      </c>
      <c r="F8">
        <v>2340615.4900000002</v>
      </c>
      <c r="G8">
        <v>0.93500000000000005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0.15976331360946822</v>
      </c>
      <c r="Q8">
        <f t="shared" ref="Q8" si="16">F8*P8</f>
        <v>373944.48656804918</v>
      </c>
      <c r="R8">
        <f t="shared" ref="R8" si="17">R9+Q8</f>
        <v>-37985658.101129122</v>
      </c>
      <c r="S8">
        <f t="shared" ref="S8" si="18">R8/100000</f>
        <v>-379.85658101129121</v>
      </c>
      <c r="T8">
        <f t="shared" ref="T8" si="19">S8/1000</f>
        <v>-0.37985658101129122</v>
      </c>
    </row>
    <row r="9" spans="1:20" x14ac:dyDescent="0.25">
      <c r="A9" s="5">
        <v>44584</v>
      </c>
      <c r="B9">
        <v>0.98</v>
      </c>
      <c r="C9">
        <v>1.034</v>
      </c>
      <c r="D9">
        <v>0.94</v>
      </c>
      <c r="E9">
        <v>1.0029999999999999</v>
      </c>
      <c r="F9">
        <v>1714678.8</v>
      </c>
      <c r="G9">
        <v>1.0029999999999999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0.34042553191489128</v>
      </c>
      <c r="Q9">
        <f t="shared" ref="Q9" si="21">F9*P9</f>
        <v>583720.44255318749</v>
      </c>
      <c r="R9">
        <f t="shared" ref="R9" si="22">R10+Q9</f>
        <v>-38359602.587697171</v>
      </c>
      <c r="S9">
        <f t="shared" ref="S9" si="23">R9/100000</f>
        <v>-383.59602587697168</v>
      </c>
      <c r="T9">
        <f t="shared" ref="T9" si="24">S9/1000</f>
        <v>-0.38359602587697167</v>
      </c>
    </row>
    <row r="10" spans="1:20" x14ac:dyDescent="0.25">
      <c r="A10" s="5">
        <v>44583</v>
      </c>
      <c r="B10">
        <v>1.109</v>
      </c>
      <c r="C10">
        <v>1.2030000000000001</v>
      </c>
      <c r="D10">
        <v>0.90900000000000003</v>
      </c>
      <c r="E10">
        <v>0.98099999999999998</v>
      </c>
      <c r="F10">
        <v>3996422.84</v>
      </c>
      <c r="G10">
        <v>0.98099999999999998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-0.51020408163265341</v>
      </c>
      <c r="Q10">
        <f t="shared" ref="Q10" si="26">F10*P10</f>
        <v>-2038991.2448979605</v>
      </c>
      <c r="R10">
        <f t="shared" ref="R10" si="27">R11+Q10</f>
        <v>-38943323.030250356</v>
      </c>
      <c r="S10">
        <f t="shared" ref="S10" si="28">R10/100000</f>
        <v>-389.43323030250355</v>
      </c>
      <c r="T10">
        <f t="shared" ref="T10" si="29">S10/1000</f>
        <v>-0.38943323030250354</v>
      </c>
    </row>
    <row r="11" spans="1:20" x14ac:dyDescent="0.25">
      <c r="A11" s="5">
        <v>44582</v>
      </c>
      <c r="B11">
        <v>1.212</v>
      </c>
      <c r="C11">
        <v>1.2290000000000001</v>
      </c>
      <c r="D11">
        <v>1.099</v>
      </c>
      <c r="E11">
        <v>1.1080000000000001</v>
      </c>
      <c r="F11">
        <v>2413812.4</v>
      </c>
      <c r="G11">
        <v>1.1080000000000001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-0.86153846153845981</v>
      </c>
      <c r="Q11">
        <f t="shared" ref="Q11" si="31">F11*P11</f>
        <v>-2079592.2215384573</v>
      </c>
      <c r="R11">
        <f t="shared" ref="R11" si="32">R12+Q11</f>
        <v>-36904331.785352394</v>
      </c>
      <c r="S11">
        <f t="shared" ref="S11" si="33">R11/100000</f>
        <v>-369.04331785352394</v>
      </c>
      <c r="T11">
        <f t="shared" ref="T11" si="34">S11/1000</f>
        <v>-0.36904331785352396</v>
      </c>
    </row>
    <row r="12" spans="1:20" x14ac:dyDescent="0.25">
      <c r="A12" s="5">
        <v>44581</v>
      </c>
      <c r="B12">
        <v>1.258</v>
      </c>
      <c r="C12">
        <v>1.369</v>
      </c>
      <c r="D12">
        <v>1.202</v>
      </c>
      <c r="E12">
        <v>1.214</v>
      </c>
      <c r="F12">
        <v>1153223.2</v>
      </c>
      <c r="G12">
        <v>1.214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-0.85628742514970047</v>
      </c>
      <c r="Q12">
        <f t="shared" ref="Q12" si="36">F12*P12</f>
        <v>-987490.524550898</v>
      </c>
      <c r="R12">
        <f t="shared" ref="R12" si="37">R13+Q12</f>
        <v>-34824739.56381394</v>
      </c>
      <c r="S12">
        <f t="shared" ref="S12" si="38">R12/100000</f>
        <v>-348.24739563813938</v>
      </c>
      <c r="T12">
        <f t="shared" ref="T12" si="39">S12/1000</f>
        <v>-0.34824739563813939</v>
      </c>
    </row>
    <row r="13" spans="1:20" x14ac:dyDescent="0.25">
      <c r="A13" s="5">
        <v>44580</v>
      </c>
      <c r="B13">
        <v>1.3140000000000001</v>
      </c>
      <c r="C13">
        <v>1.321</v>
      </c>
      <c r="D13">
        <v>1.2170000000000001</v>
      </c>
      <c r="E13">
        <v>1.258</v>
      </c>
      <c r="F13">
        <v>1018070.7</v>
      </c>
      <c r="G13">
        <v>1.258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-0.21153846153846198</v>
      </c>
      <c r="Q13">
        <f t="shared" ref="Q13" si="41">F13*P13</f>
        <v>-215361.10961538507</v>
      </c>
      <c r="R13">
        <f t="shared" ref="R13" si="42">R14+Q13</f>
        <v>-33837249.03926304</v>
      </c>
      <c r="S13">
        <f t="shared" ref="S13" si="43">R13/100000</f>
        <v>-338.37249039263043</v>
      </c>
      <c r="T13">
        <f t="shared" ref="T13" si="44">S13/1000</f>
        <v>-0.3383724903926304</v>
      </c>
    </row>
    <row r="14" spans="1:20" x14ac:dyDescent="0.25">
      <c r="A14" s="5">
        <v>44579</v>
      </c>
      <c r="B14">
        <v>1.359</v>
      </c>
      <c r="C14">
        <v>1.3759999999999999</v>
      </c>
      <c r="D14">
        <v>1.28</v>
      </c>
      <c r="E14">
        <v>1.3149999999999999</v>
      </c>
      <c r="F14">
        <v>561291</v>
      </c>
      <c r="G14">
        <v>1.3149999999999999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-0.27083333333333398</v>
      </c>
      <c r="Q14">
        <f t="shared" ref="Q14" si="46">F14*P14</f>
        <v>-152016.31250000035</v>
      </c>
      <c r="R14">
        <f t="shared" ref="R14" si="47">R15+Q14</f>
        <v>-33621887.929647654</v>
      </c>
      <c r="S14">
        <f t="shared" ref="S14" si="48">R14/100000</f>
        <v>-336.21887929647653</v>
      </c>
      <c r="T14">
        <f t="shared" ref="T14" si="49">S14/1000</f>
        <v>-0.33621887929647654</v>
      </c>
    </row>
    <row r="15" spans="1:20" x14ac:dyDescent="0.25">
      <c r="A15" s="5">
        <v>44578</v>
      </c>
      <c r="B15">
        <v>1.423</v>
      </c>
      <c r="C15">
        <v>1.423</v>
      </c>
      <c r="D15">
        <v>1.3340000000000001</v>
      </c>
      <c r="E15">
        <v>1.361</v>
      </c>
      <c r="F15">
        <v>568899</v>
      </c>
      <c r="G15">
        <v>1.361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-0.39325842696629387</v>
      </c>
      <c r="Q15">
        <f t="shared" ref="Q15" si="51">F15*P15</f>
        <v>-223724.32584269761</v>
      </c>
      <c r="R15">
        <f t="shared" ref="R15" si="52">R16+Q15</f>
        <v>-33469871.617147654</v>
      </c>
      <c r="S15">
        <f t="shared" ref="S15" si="53">R15/100000</f>
        <v>-334.69871617147652</v>
      </c>
      <c r="T15">
        <f t="shared" ref="T15" si="54">S15/1000</f>
        <v>-0.33469871617147651</v>
      </c>
    </row>
    <row r="16" spans="1:20" x14ac:dyDescent="0.25">
      <c r="A16" s="5">
        <v>44577</v>
      </c>
      <c r="B16">
        <v>1.407</v>
      </c>
      <c r="C16">
        <v>1.431</v>
      </c>
      <c r="D16">
        <v>1.3740000000000001</v>
      </c>
      <c r="E16">
        <v>1.421</v>
      </c>
      <c r="F16">
        <v>432482.2</v>
      </c>
      <c r="G16">
        <v>1.421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0.64912280701754321</v>
      </c>
      <c r="Q16">
        <f t="shared" ref="Q16" si="56">F16*P16</f>
        <v>280734.05964912253</v>
      </c>
      <c r="R16">
        <f t="shared" ref="R16" si="57">R17+Q16</f>
        <v>-33246147.291304957</v>
      </c>
      <c r="S16">
        <f t="shared" ref="S16" si="58">R16/100000</f>
        <v>-332.46147291304959</v>
      </c>
      <c r="T16">
        <f t="shared" ref="T16" si="59">S16/1000</f>
        <v>-0.33246147291304962</v>
      </c>
    </row>
    <row r="17" spans="1:20" x14ac:dyDescent="0.25">
      <c r="A17" s="5">
        <v>44576</v>
      </c>
      <c r="B17">
        <v>1.3859999999999999</v>
      </c>
      <c r="C17">
        <v>1.4359999999999999</v>
      </c>
      <c r="D17">
        <v>1.379</v>
      </c>
      <c r="E17">
        <v>1.4079999999999999</v>
      </c>
      <c r="F17">
        <v>573273.69999999995</v>
      </c>
      <c r="G17">
        <v>1.4079999999999999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1.7543859649120894E-2</v>
      </c>
      <c r="Q17">
        <f t="shared" ref="Q17" si="61">F17*P17</f>
        <v>10057.433333332236</v>
      </c>
      <c r="R17">
        <f t="shared" ref="R17" si="62">R18+Q17</f>
        <v>-33526881.350954078</v>
      </c>
      <c r="S17">
        <f t="shared" ref="S17" si="63">R17/100000</f>
        <v>-335.26881350954079</v>
      </c>
      <c r="T17">
        <f t="shared" ref="T17" si="64">S17/1000</f>
        <v>-0.3352688135095408</v>
      </c>
    </row>
    <row r="18" spans="1:20" x14ac:dyDescent="0.25">
      <c r="A18" s="5">
        <v>44575</v>
      </c>
      <c r="B18">
        <v>1.357</v>
      </c>
      <c r="C18">
        <v>1.3959999999999999</v>
      </c>
      <c r="D18">
        <v>1.3169999999999999</v>
      </c>
      <c r="E18">
        <v>1.3859999999999999</v>
      </c>
      <c r="F18">
        <v>590370.4</v>
      </c>
      <c r="G18">
        <v>1.3859999999999999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0.74683544303797433</v>
      </c>
      <c r="Q18">
        <f t="shared" ref="Q18" si="66">F18*P18</f>
        <v>440909.53924050613</v>
      </c>
      <c r="R18">
        <f t="shared" ref="R18" si="67">R19+Q18</f>
        <v>-33536938.784287412</v>
      </c>
      <c r="S18">
        <f t="shared" ref="S18" si="68">R18/100000</f>
        <v>-335.36938784287412</v>
      </c>
      <c r="T18">
        <f t="shared" ref="T18" si="69">S18/1000</f>
        <v>-0.33536938784287412</v>
      </c>
    </row>
    <row r="19" spans="1:20" x14ac:dyDescent="0.25">
      <c r="A19" s="5">
        <v>44574</v>
      </c>
      <c r="B19">
        <v>1.373</v>
      </c>
      <c r="C19">
        <v>1.4610000000000001</v>
      </c>
      <c r="D19">
        <v>1.353</v>
      </c>
      <c r="E19">
        <v>1.357</v>
      </c>
      <c r="F19">
        <v>740454.40000000002</v>
      </c>
      <c r="G19">
        <v>1.357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-0.92592592592592593</v>
      </c>
      <c r="Q19">
        <f t="shared" ref="Q19" si="71">F19*P19</f>
        <v>-685605.92592592596</v>
      </c>
      <c r="R19">
        <f t="shared" ref="R19" si="72">R20+Q19</f>
        <v>-33977848.323527917</v>
      </c>
      <c r="S19">
        <f t="shared" ref="S19" si="73">R19/100000</f>
        <v>-339.77848323527917</v>
      </c>
      <c r="T19">
        <f t="shared" ref="T19" si="74">S19/1000</f>
        <v>-0.33977848323527915</v>
      </c>
    </row>
    <row r="20" spans="1:20" x14ac:dyDescent="0.25">
      <c r="A20" s="5">
        <v>44573</v>
      </c>
      <c r="B20">
        <v>1.3129999999999999</v>
      </c>
      <c r="C20">
        <v>1.397</v>
      </c>
      <c r="D20">
        <v>1.286</v>
      </c>
      <c r="E20">
        <v>1.373</v>
      </c>
      <c r="F20">
        <v>1056885.7</v>
      </c>
      <c r="G20">
        <v>1.373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0.5675675675675671</v>
      </c>
      <c r="Q20">
        <f t="shared" ref="Q20" si="76">F20*P20</f>
        <v>599854.04594594543</v>
      </c>
      <c r="R20">
        <f t="shared" ref="R20" si="77">R21+Q20</f>
        <v>-33292242.397601988</v>
      </c>
      <c r="S20">
        <f t="shared" ref="S20" si="78">R20/100000</f>
        <v>-332.9224239760199</v>
      </c>
      <c r="T20">
        <f t="shared" ref="T20" si="79">S20/1000</f>
        <v>-0.3329224239760199</v>
      </c>
    </row>
    <row r="21" spans="1:20" x14ac:dyDescent="0.25">
      <c r="A21" s="5">
        <v>44572</v>
      </c>
      <c r="B21">
        <v>1.2669999999999999</v>
      </c>
      <c r="C21">
        <v>1.321</v>
      </c>
      <c r="D21">
        <v>1.2509999999999999</v>
      </c>
      <c r="E21">
        <v>1.3129999999999999</v>
      </c>
      <c r="F21">
        <v>769081.7</v>
      </c>
      <c r="G21">
        <v>1.3129999999999999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0.77142857142857146</v>
      </c>
      <c r="Q21">
        <f t="shared" ref="Q21" si="81">F21*P21</f>
        <v>593291.59714285715</v>
      </c>
      <c r="R21">
        <f t="shared" ref="R21" si="82">R22+Q21</f>
        <v>-33892096.443547934</v>
      </c>
      <c r="S21">
        <f t="shared" ref="S21" si="83">R21/100000</f>
        <v>-338.92096443547933</v>
      </c>
      <c r="T21">
        <f t="shared" ref="T21" si="84">S21/1000</f>
        <v>-0.33892096443547931</v>
      </c>
    </row>
    <row r="22" spans="1:20" x14ac:dyDescent="0.25">
      <c r="A22" s="5">
        <v>44571</v>
      </c>
      <c r="B22">
        <v>1.3109999999999999</v>
      </c>
      <c r="C22">
        <v>1.409</v>
      </c>
      <c r="D22">
        <v>1.19</v>
      </c>
      <c r="E22">
        <v>1.264</v>
      </c>
      <c r="F22">
        <v>1968721.7</v>
      </c>
      <c r="G22">
        <v>1.264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-0.32420091324200878</v>
      </c>
      <c r="Q22">
        <f t="shared" ref="Q22" si="86">F22*P22</f>
        <v>-638261.37305936008</v>
      </c>
      <c r="R22">
        <f t="shared" ref="R22" si="87">R23+Q22</f>
        <v>-34485388.040690795</v>
      </c>
      <c r="S22">
        <f t="shared" ref="S22" si="88">R22/100000</f>
        <v>-344.85388040690793</v>
      </c>
      <c r="T22">
        <f t="shared" ref="T22" si="89">S22/1000</f>
        <v>-0.34485388040690795</v>
      </c>
    </row>
    <row r="23" spans="1:20" x14ac:dyDescent="0.25">
      <c r="A23" s="5">
        <v>44570</v>
      </c>
      <c r="B23">
        <v>1.3049999999999999</v>
      </c>
      <c r="C23">
        <v>1.3919999999999999</v>
      </c>
      <c r="D23">
        <v>1.2849999999999999</v>
      </c>
      <c r="E23">
        <v>1.3149999999999999</v>
      </c>
      <c r="F23">
        <v>1131741.3</v>
      </c>
      <c r="G23">
        <v>1.3149999999999999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-0.43925233644859757</v>
      </c>
      <c r="Q23">
        <f t="shared" ref="Q23" si="91">F23*P23</f>
        <v>-497120.01028037322</v>
      </c>
      <c r="R23">
        <f t="shared" ref="R23" si="92">R24+Q23</f>
        <v>-33847126.667631432</v>
      </c>
      <c r="S23">
        <f t="shared" ref="S23" si="93">R23/100000</f>
        <v>-338.47126667631431</v>
      </c>
      <c r="T23">
        <f t="shared" ref="T23" si="94">S23/1000</f>
        <v>-0.33847126667631433</v>
      </c>
    </row>
    <row r="24" spans="1:20" x14ac:dyDescent="0.25">
      <c r="A24" s="5">
        <v>44569</v>
      </c>
      <c r="B24">
        <v>1.339</v>
      </c>
      <c r="C24">
        <v>1.3839999999999999</v>
      </c>
      <c r="D24">
        <v>1.244</v>
      </c>
      <c r="E24">
        <v>1.304</v>
      </c>
      <c r="F24">
        <v>899131.4</v>
      </c>
      <c r="G24">
        <v>1.304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-0.14285714285714149</v>
      </c>
      <c r="Q24">
        <f t="shared" ref="Q24" si="96">F24*P24</f>
        <v>-128447.34285714163</v>
      </c>
      <c r="R24">
        <f t="shared" ref="R24" si="97">R25+Q24</f>
        <v>-33350006.657351062</v>
      </c>
      <c r="S24">
        <f t="shared" ref="S24" si="98">R24/100000</f>
        <v>-333.50006657351059</v>
      </c>
      <c r="T24">
        <f t="shared" ref="T24" si="99">S24/1000</f>
        <v>-0.33350006657351061</v>
      </c>
    </row>
    <row r="25" spans="1:20" x14ac:dyDescent="0.25">
      <c r="A25" s="5">
        <v>44568</v>
      </c>
      <c r="B25">
        <v>1.421</v>
      </c>
      <c r="C25">
        <v>1.472</v>
      </c>
      <c r="D25">
        <v>1.3029999999999999</v>
      </c>
      <c r="E25">
        <v>1.3380000000000001</v>
      </c>
      <c r="F25">
        <v>1033490.5</v>
      </c>
      <c r="G25">
        <v>1.3380000000000001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-0.58579881656804578</v>
      </c>
      <c r="Q25">
        <f t="shared" ref="Q25" si="101">F25*P25</f>
        <v>-605417.51183431793</v>
      </c>
      <c r="R25">
        <f t="shared" ref="R25" si="102">R26+Q25</f>
        <v>-33221559.314493921</v>
      </c>
      <c r="S25">
        <f t="shared" ref="S25" si="103">R25/100000</f>
        <v>-332.21559314493919</v>
      </c>
      <c r="T25">
        <f t="shared" ref="T25" si="104">S25/1000</f>
        <v>-0.3322155931449392</v>
      </c>
    </row>
    <row r="26" spans="1:20" x14ac:dyDescent="0.25">
      <c r="A26" s="5">
        <v>44567</v>
      </c>
      <c r="B26">
        <v>1.409</v>
      </c>
      <c r="C26">
        <v>1.4279999999999999</v>
      </c>
      <c r="D26">
        <v>1.349</v>
      </c>
      <c r="E26">
        <v>1.423</v>
      </c>
      <c r="F26">
        <v>670457.80000000005</v>
      </c>
      <c r="G26">
        <v>1.423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0.87341772151899</v>
      </c>
      <c r="Q26">
        <f t="shared" ref="Q26" si="106">F26*P26</f>
        <v>585589.72405063477</v>
      </c>
      <c r="R26">
        <f t="shared" ref="R26" si="107">R27+Q26</f>
        <v>-32616141.802659601</v>
      </c>
      <c r="S26">
        <f t="shared" ref="S26" si="108">R26/100000</f>
        <v>-326.16141802659598</v>
      </c>
      <c r="T26">
        <f t="shared" ref="T26" si="109">S26/1000</f>
        <v>-0.32616141802659598</v>
      </c>
    </row>
    <row r="27" spans="1:20" x14ac:dyDescent="0.25">
      <c r="A27" s="5">
        <v>44566</v>
      </c>
      <c r="B27">
        <v>1.5369999999999999</v>
      </c>
      <c r="C27">
        <v>1.579</v>
      </c>
      <c r="D27">
        <v>1.353</v>
      </c>
      <c r="E27">
        <v>1.411</v>
      </c>
      <c r="F27">
        <v>1306828.7</v>
      </c>
      <c r="G27">
        <v>1.411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-0.48672566371681364</v>
      </c>
      <c r="Q27">
        <f t="shared" ref="Q27" si="111">F27*P27</f>
        <v>-636067.0663716807</v>
      </c>
      <c r="R27">
        <f t="shared" ref="R27" si="112">R28+Q27</f>
        <v>-33201731.526710235</v>
      </c>
      <c r="S27">
        <f t="shared" ref="S27" si="113">R27/100000</f>
        <v>-332.01731526710233</v>
      </c>
      <c r="T27">
        <f t="shared" ref="T27" si="114">S27/1000</f>
        <v>-0.33201731526710232</v>
      </c>
    </row>
    <row r="28" spans="1:20" x14ac:dyDescent="0.25">
      <c r="A28" s="5">
        <v>44565</v>
      </c>
      <c r="B28">
        <v>1.4890000000000001</v>
      </c>
      <c r="C28">
        <v>1.5940000000000001</v>
      </c>
      <c r="D28">
        <v>1.482</v>
      </c>
      <c r="E28">
        <v>1.5369999999999999</v>
      </c>
      <c r="F28">
        <v>1040173.8</v>
      </c>
      <c r="G28">
        <v>1.5369999999999999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-1.7857142857144841E-2</v>
      </c>
      <c r="Q28">
        <f t="shared" ref="Q28" si="116">F28*P28</f>
        <v>-18574.532142859207</v>
      </c>
      <c r="R28">
        <f t="shared" ref="R28" si="117">R29+Q28</f>
        <v>-32565664.460338555</v>
      </c>
      <c r="S28">
        <f t="shared" ref="S28" si="118">R28/100000</f>
        <v>-325.65664460338553</v>
      </c>
      <c r="T28">
        <f t="shared" ref="T28" si="119">S28/1000</f>
        <v>-0.3256566446033855</v>
      </c>
    </row>
    <row r="29" spans="1:20" x14ac:dyDescent="0.25">
      <c r="A29" s="5">
        <v>44564</v>
      </c>
      <c r="B29">
        <v>1.5289999999999999</v>
      </c>
      <c r="C29">
        <v>1.597</v>
      </c>
      <c r="D29">
        <v>1.4750000000000001</v>
      </c>
      <c r="E29">
        <v>1.488</v>
      </c>
      <c r="F29">
        <v>949264.6</v>
      </c>
      <c r="G29">
        <v>1.488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-0.78688524590164077</v>
      </c>
      <c r="Q29">
        <f t="shared" ref="Q29" si="121">F29*P29</f>
        <v>-746962.30819672265</v>
      </c>
      <c r="R29">
        <f t="shared" ref="R29" si="122">R30+Q29</f>
        <v>-32547089.928195696</v>
      </c>
      <c r="S29">
        <f t="shared" ref="S29" si="123">R29/100000</f>
        <v>-325.47089928195697</v>
      </c>
      <c r="T29">
        <f t="shared" ref="T29" si="124">S29/1000</f>
        <v>-0.32547089928195699</v>
      </c>
    </row>
    <row r="30" spans="1:20" x14ac:dyDescent="0.25">
      <c r="A30" s="5">
        <v>44563</v>
      </c>
      <c r="B30">
        <v>1.4470000000000001</v>
      </c>
      <c r="C30">
        <v>1.601</v>
      </c>
      <c r="D30">
        <v>1.44</v>
      </c>
      <c r="E30">
        <v>1.528</v>
      </c>
      <c r="F30">
        <v>950690.4</v>
      </c>
      <c r="G30">
        <v>1.528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9.3167701863354796E-2</v>
      </c>
      <c r="Q30">
        <f t="shared" ref="Q30" si="126">F30*P30</f>
        <v>88573.639751553521</v>
      </c>
      <c r="R30">
        <f t="shared" ref="R30" si="127">R31+Q30</f>
        <v>-31800127.619998973</v>
      </c>
      <c r="S30">
        <f t="shared" ref="S30" si="128">R30/100000</f>
        <v>-318.00127619998972</v>
      </c>
      <c r="T30">
        <f t="shared" ref="T30" si="129">S30/1000</f>
        <v>-0.31800127619998969</v>
      </c>
    </row>
    <row r="31" spans="1:20" x14ac:dyDescent="0.25">
      <c r="A31" s="5">
        <v>44562</v>
      </c>
      <c r="B31">
        <v>1.3959999999999999</v>
      </c>
      <c r="C31">
        <v>1.4490000000000001</v>
      </c>
      <c r="D31">
        <v>1.3959999999999999</v>
      </c>
      <c r="E31">
        <v>1.4470000000000001</v>
      </c>
      <c r="F31">
        <v>278432</v>
      </c>
      <c r="G31">
        <v>1.4470000000000001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0.92452830188679258</v>
      </c>
      <c r="Q31">
        <f t="shared" ref="Q31" si="131">F31*P31</f>
        <v>257418.26415094343</v>
      </c>
      <c r="R31">
        <f t="shared" ref="R31" si="132">R32+Q31</f>
        <v>-31888701.259750526</v>
      </c>
      <c r="S31">
        <f t="shared" ref="S31" si="133">R31/100000</f>
        <v>-318.88701259750525</v>
      </c>
      <c r="T31">
        <f t="shared" ref="T31" si="134">S31/1000</f>
        <v>-0.31888701259750524</v>
      </c>
    </row>
    <row r="32" spans="1:20" x14ac:dyDescent="0.25">
      <c r="A32" s="5">
        <v>44561</v>
      </c>
      <c r="B32">
        <v>1.4</v>
      </c>
      <c r="C32">
        <v>1.466</v>
      </c>
      <c r="D32">
        <v>1.3540000000000001</v>
      </c>
      <c r="E32">
        <v>1.393</v>
      </c>
      <c r="F32">
        <v>729756.3</v>
      </c>
      <c r="G32">
        <v>1.393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-0.30357142857142916</v>
      </c>
      <c r="Q32">
        <f t="shared" ref="Q32" si="136">F32*P32</f>
        <v>-221533.16250000044</v>
      </c>
      <c r="R32">
        <f t="shared" ref="R32" si="137">R33+Q32</f>
        <v>-32146119.52390147</v>
      </c>
      <c r="S32">
        <f t="shared" ref="S32" si="138">R32/100000</f>
        <v>-321.46119523901473</v>
      </c>
      <c r="T32">
        <f t="shared" ref="T32" si="139">S32/1000</f>
        <v>-0.32146119523901473</v>
      </c>
    </row>
    <row r="33" spans="1:20" x14ac:dyDescent="0.25">
      <c r="A33" s="5">
        <v>44560</v>
      </c>
      <c r="B33">
        <v>1.3640000000000001</v>
      </c>
      <c r="C33">
        <v>1.4450000000000001</v>
      </c>
      <c r="D33">
        <v>1.3420000000000001</v>
      </c>
      <c r="E33">
        <v>1.401</v>
      </c>
      <c r="F33">
        <v>741794.9</v>
      </c>
      <c r="G33">
        <v>1.401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0.14563106796116412</v>
      </c>
      <c r="Q33">
        <f t="shared" ref="Q33" si="141">F33*P33</f>
        <v>108028.38349514495</v>
      </c>
      <c r="R33">
        <f t="shared" ref="R33" si="142">R34+Q33</f>
        <v>-31924586.361401469</v>
      </c>
      <c r="S33">
        <f t="shared" ref="S33" si="143">R33/100000</f>
        <v>-319.2458636140147</v>
      </c>
      <c r="T33">
        <f t="shared" ref="T33" si="144">S33/1000</f>
        <v>-0.31924586361401469</v>
      </c>
    </row>
    <row r="34" spans="1:20" x14ac:dyDescent="0.25">
      <c r="A34" s="5">
        <v>44559</v>
      </c>
      <c r="B34">
        <v>1.4470000000000001</v>
      </c>
      <c r="C34">
        <v>1.4630000000000001</v>
      </c>
      <c r="D34">
        <v>1.36</v>
      </c>
      <c r="E34">
        <v>1.3640000000000001</v>
      </c>
      <c r="F34">
        <v>1080501.7</v>
      </c>
      <c r="G34">
        <v>1.3640000000000001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-0.92233009708737856</v>
      </c>
      <c r="Q34">
        <f t="shared" ref="Q34" si="146">F34*P34</f>
        <v>-996579.23786407756</v>
      </c>
      <c r="R34">
        <f t="shared" ref="R34" si="147">R35+Q34</f>
        <v>-32032614.744896613</v>
      </c>
      <c r="S34">
        <f t="shared" ref="S34" si="148">R34/100000</f>
        <v>-320.32614744896614</v>
      </c>
      <c r="T34">
        <f t="shared" ref="T34" si="149">S34/1000</f>
        <v>-0.32032614744896615</v>
      </c>
    </row>
    <row r="35" spans="1:20" x14ac:dyDescent="0.25">
      <c r="A35" s="5">
        <v>44558</v>
      </c>
      <c r="B35">
        <v>1.599</v>
      </c>
      <c r="C35">
        <v>1.599</v>
      </c>
      <c r="D35">
        <v>1.4390000000000001</v>
      </c>
      <c r="E35">
        <v>1.4470000000000001</v>
      </c>
      <c r="F35">
        <v>1093088.5</v>
      </c>
      <c r="G35">
        <v>1.4470000000000001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-0.89999999999999991</v>
      </c>
      <c r="Q35">
        <f t="shared" ref="Q35" si="151">F35*P35</f>
        <v>-983779.64999999991</v>
      </c>
      <c r="R35">
        <f t="shared" ref="R35" si="152">R36+Q35</f>
        <v>-31036035.507032536</v>
      </c>
      <c r="S35">
        <f t="shared" ref="S35" si="153">R35/100000</f>
        <v>-310.36035507032534</v>
      </c>
      <c r="T35">
        <f t="shared" ref="T35" si="154">S35/1000</f>
        <v>-0.31036035507032533</v>
      </c>
    </row>
    <row r="36" spans="1:20" x14ac:dyDescent="0.25">
      <c r="A36" s="5">
        <v>44557</v>
      </c>
      <c r="B36">
        <v>1.5389999999999999</v>
      </c>
      <c r="C36">
        <v>1.6890000000000001</v>
      </c>
      <c r="D36">
        <v>1.516</v>
      </c>
      <c r="E36">
        <v>1.599</v>
      </c>
      <c r="F36">
        <v>2691699.6</v>
      </c>
      <c r="G36">
        <v>1.599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-4.0462427745665407E-2</v>
      </c>
      <c r="Q36">
        <f t="shared" ref="Q36" si="156">F36*P36</f>
        <v>-108912.70057803649</v>
      </c>
      <c r="R36">
        <f t="shared" ref="R36" si="157">R37+Q36</f>
        <v>-30052255.857032537</v>
      </c>
      <c r="S36">
        <f t="shared" ref="S36" si="158">R36/100000</f>
        <v>-300.52255857032537</v>
      </c>
      <c r="T36">
        <f t="shared" ref="T36" si="159">S36/1000</f>
        <v>-0.30052255857032539</v>
      </c>
    </row>
    <row r="37" spans="1:20" x14ac:dyDescent="0.25">
      <c r="A37" s="5">
        <v>44556</v>
      </c>
      <c r="B37">
        <v>1.5369999999999999</v>
      </c>
      <c r="C37">
        <v>1.5760000000000001</v>
      </c>
      <c r="D37">
        <v>1.4970000000000001</v>
      </c>
      <c r="E37">
        <v>1.5389999999999999</v>
      </c>
      <c r="F37">
        <v>743866.5</v>
      </c>
      <c r="G37">
        <v>1.5389999999999999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6.3291139240502198E-2</v>
      </c>
      <c r="Q37">
        <f t="shared" ref="Q37" si="161">F37*P37</f>
        <v>47080.15822784503</v>
      </c>
      <c r="R37">
        <f t="shared" ref="R37" si="162">R38+Q37</f>
        <v>-29943343.1564545</v>
      </c>
      <c r="S37">
        <f t="shared" ref="S37" si="163">R37/100000</f>
        <v>-299.433431564545</v>
      </c>
      <c r="T37">
        <f t="shared" ref="T37" si="164">S37/1000</f>
        <v>-0.29943343156454499</v>
      </c>
    </row>
    <row r="38" spans="1:20" x14ac:dyDescent="0.25">
      <c r="A38" s="5">
        <v>44555</v>
      </c>
      <c r="B38">
        <v>1.516</v>
      </c>
      <c r="C38">
        <v>1.5589999999999999</v>
      </c>
      <c r="D38">
        <v>1.5069999999999999</v>
      </c>
      <c r="E38">
        <v>1.54</v>
      </c>
      <c r="F38">
        <v>276659.59999999998</v>
      </c>
      <c r="G38">
        <v>1.54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0.26923076923077349</v>
      </c>
      <c r="Q38">
        <f t="shared" ref="Q38" si="166">F38*P38</f>
        <v>74485.276923078098</v>
      </c>
      <c r="R38">
        <f t="shared" ref="R38" si="167">R39+Q38</f>
        <v>-29990423.314682346</v>
      </c>
      <c r="S38">
        <f t="shared" ref="S38" si="168">R38/100000</f>
        <v>-299.90423314682346</v>
      </c>
      <c r="T38">
        <f t="shared" ref="T38" si="169">S38/1000</f>
        <v>-0.29990423314682346</v>
      </c>
    </row>
    <row r="39" spans="1:20" x14ac:dyDescent="0.25">
      <c r="A39" s="5">
        <v>44554</v>
      </c>
      <c r="B39">
        <v>1.5489999999999999</v>
      </c>
      <c r="C39">
        <v>1.593</v>
      </c>
      <c r="D39">
        <v>1.5069999999999999</v>
      </c>
      <c r="E39">
        <v>1.512</v>
      </c>
      <c r="F39">
        <v>652201.30000000005</v>
      </c>
      <c r="G39">
        <v>1.512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-0.8837209302325556</v>
      </c>
      <c r="Q39">
        <f t="shared" ref="Q39" si="171">F39*P39</f>
        <v>-576363.93953488208</v>
      </c>
      <c r="R39">
        <f t="shared" ref="R39" si="172">R40+Q39</f>
        <v>-30064908.591605425</v>
      </c>
      <c r="S39">
        <f t="shared" ref="S39" si="173">R39/100000</f>
        <v>-300.64908591605428</v>
      </c>
      <c r="T39">
        <f t="shared" ref="T39" si="174">S39/1000</f>
        <v>-0.30064908591605427</v>
      </c>
    </row>
    <row r="40" spans="1:20" x14ac:dyDescent="0.25">
      <c r="A40" s="5">
        <v>44553</v>
      </c>
      <c r="B40">
        <v>1.4670000000000001</v>
      </c>
      <c r="C40">
        <v>1.56</v>
      </c>
      <c r="D40">
        <v>1.4370000000000001</v>
      </c>
      <c r="E40">
        <v>1.5489999999999999</v>
      </c>
      <c r="F40">
        <v>1641551.8</v>
      </c>
      <c r="G40">
        <v>1.5489999999999999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0.82113821138211185</v>
      </c>
      <c r="Q40">
        <f t="shared" ref="Q40" si="176">F40*P40</f>
        <v>1347940.9089430862</v>
      </c>
      <c r="R40">
        <f t="shared" ref="R40" si="177">R41+Q40</f>
        <v>-29488544.652070541</v>
      </c>
      <c r="S40">
        <f t="shared" ref="S40" si="178">R40/100000</f>
        <v>-294.88544652070539</v>
      </c>
      <c r="T40">
        <f t="shared" ref="T40" si="179">S40/1000</f>
        <v>-0.29488544652070536</v>
      </c>
    </row>
    <row r="41" spans="1:20" x14ac:dyDescent="0.25">
      <c r="A41" s="5">
        <v>44552</v>
      </c>
      <c r="B41">
        <v>1.464</v>
      </c>
      <c r="C41">
        <v>1.5</v>
      </c>
      <c r="D41">
        <v>1.4350000000000001</v>
      </c>
      <c r="E41">
        <v>1.466</v>
      </c>
      <c r="F41">
        <v>634630.1</v>
      </c>
      <c r="G41">
        <v>1.466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-4.615384615384794E-2</v>
      </c>
      <c r="Q41">
        <f t="shared" ref="Q41" si="181">F41*P41</f>
        <v>-29290.620000001134</v>
      </c>
      <c r="R41">
        <f t="shared" ref="R41" si="182">R42+Q41</f>
        <v>-30836485.561013628</v>
      </c>
      <c r="S41">
        <f t="shared" ref="S41" si="183">R41/100000</f>
        <v>-308.36485561013626</v>
      </c>
      <c r="T41">
        <f t="shared" ref="T41" si="184">S41/1000</f>
        <v>-0.30836485561013627</v>
      </c>
    </row>
    <row r="42" spans="1:20" x14ac:dyDescent="0.25">
      <c r="A42" s="5">
        <v>44551</v>
      </c>
      <c r="B42">
        <v>1.397</v>
      </c>
      <c r="C42">
        <v>1.5069999999999999</v>
      </c>
      <c r="D42">
        <v>1.361</v>
      </c>
      <c r="E42">
        <v>1.462</v>
      </c>
      <c r="F42">
        <v>910086.3</v>
      </c>
      <c r="G42">
        <v>1.462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0.38356164383561703</v>
      </c>
      <c r="Q42">
        <f t="shared" ref="Q42" si="186">F42*P42</f>
        <v>349074.19726027455</v>
      </c>
      <c r="R42">
        <f t="shared" ref="R42" si="187">R43+Q42</f>
        <v>-30807194.941013627</v>
      </c>
      <c r="S42">
        <f t="shared" ref="S42" si="188">R42/100000</f>
        <v>-308.07194941013626</v>
      </c>
      <c r="T42">
        <f t="shared" ref="T42" si="189">S42/1000</f>
        <v>-0.30807194941013627</v>
      </c>
    </row>
    <row r="43" spans="1:20" x14ac:dyDescent="0.25">
      <c r="A43" s="5">
        <v>44550</v>
      </c>
      <c r="B43">
        <v>1.4470000000000001</v>
      </c>
      <c r="C43">
        <v>1.4870000000000001</v>
      </c>
      <c r="D43">
        <v>1.3380000000000001</v>
      </c>
      <c r="E43">
        <v>1.3959999999999999</v>
      </c>
      <c r="F43">
        <v>967568.3</v>
      </c>
      <c r="G43">
        <v>1.3959999999999999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-0.22147651006711649</v>
      </c>
      <c r="Q43">
        <f t="shared" ref="Q43" si="191">F43*P43</f>
        <v>-214293.65033557281</v>
      </c>
      <c r="R43">
        <f t="shared" ref="R43" si="192">R44+Q43</f>
        <v>-31156269.138273902</v>
      </c>
      <c r="S43">
        <f t="shared" ref="S43" si="193">R43/100000</f>
        <v>-311.56269138273905</v>
      </c>
      <c r="T43">
        <f t="shared" ref="T43" si="194">S43/1000</f>
        <v>-0.31156269138273907</v>
      </c>
    </row>
    <row r="44" spans="1:20" x14ac:dyDescent="0.25">
      <c r="A44" s="5">
        <v>44549</v>
      </c>
      <c r="B44">
        <v>1.4390000000000001</v>
      </c>
      <c r="C44">
        <v>1.554</v>
      </c>
      <c r="D44">
        <v>1.4219999999999999</v>
      </c>
      <c r="E44">
        <v>1.4470000000000001</v>
      </c>
      <c r="F44">
        <v>1561470.8</v>
      </c>
      <c r="G44">
        <v>1.4470000000000001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-0.62121212121211955</v>
      </c>
      <c r="Q44">
        <f t="shared" ref="Q44" si="196">F44*P44</f>
        <v>-970004.58787878533</v>
      </c>
      <c r="R44">
        <f t="shared" ref="R44" si="197">R45+Q44</f>
        <v>-30941975.48793833</v>
      </c>
      <c r="S44">
        <f t="shared" ref="S44" si="198">R44/100000</f>
        <v>-309.41975487938328</v>
      </c>
      <c r="T44">
        <f t="shared" ref="T44" si="199">S44/1000</f>
        <v>-0.30941975487938328</v>
      </c>
    </row>
    <row r="45" spans="1:20" x14ac:dyDescent="0.25">
      <c r="A45" s="5">
        <v>44548</v>
      </c>
      <c r="B45">
        <v>1.421</v>
      </c>
      <c r="C45">
        <v>1.458</v>
      </c>
      <c r="D45">
        <v>1.375</v>
      </c>
      <c r="E45">
        <v>1.4370000000000001</v>
      </c>
      <c r="F45">
        <v>629122.1</v>
      </c>
      <c r="G45">
        <v>1.4370000000000001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0.49397590361445981</v>
      </c>
      <c r="Q45">
        <f t="shared" ref="Q45" si="201">F45*P45</f>
        <v>310771.15783132653</v>
      </c>
      <c r="R45">
        <f t="shared" ref="R45" si="202">R46+Q45</f>
        <v>-29971970.900059544</v>
      </c>
      <c r="S45">
        <f t="shared" ref="S45" si="203">R45/100000</f>
        <v>-299.71970900059546</v>
      </c>
      <c r="T45">
        <f t="shared" ref="T45" si="204">S45/1000</f>
        <v>-0.29971970900059547</v>
      </c>
    </row>
    <row r="46" spans="1:20" x14ac:dyDescent="0.25">
      <c r="A46" s="5">
        <v>44547</v>
      </c>
      <c r="B46">
        <v>1.3839999999999999</v>
      </c>
      <c r="C46">
        <v>1.4950000000000001</v>
      </c>
      <c r="D46">
        <v>1.353</v>
      </c>
      <c r="E46">
        <v>1.42</v>
      </c>
      <c r="F46">
        <v>1568434.2</v>
      </c>
      <c r="G46">
        <v>1.42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-5.6338028169015647E-2</v>
      </c>
      <c r="Q46">
        <f t="shared" ref="Q46" si="206">F46*P46</f>
        <v>-88362.490140847513</v>
      </c>
      <c r="R46">
        <f t="shared" ref="R46" si="207">R47+Q46</f>
        <v>-30282742.05789087</v>
      </c>
      <c r="S46">
        <f t="shared" ref="S46" si="208">R46/100000</f>
        <v>-302.82742057890869</v>
      </c>
      <c r="T46">
        <f t="shared" ref="T46" si="209">S46/1000</f>
        <v>-0.30282742057890871</v>
      </c>
    </row>
    <row r="47" spans="1:20" x14ac:dyDescent="0.25">
      <c r="A47" s="5">
        <v>44546</v>
      </c>
      <c r="B47">
        <v>1.3560000000000001</v>
      </c>
      <c r="C47">
        <v>1.5029999999999999</v>
      </c>
      <c r="D47">
        <v>1.349</v>
      </c>
      <c r="E47">
        <v>1.3819999999999999</v>
      </c>
      <c r="F47">
        <v>1596325.6</v>
      </c>
      <c r="G47">
        <v>1.3819999999999999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-0.57142857142857229</v>
      </c>
      <c r="Q47">
        <f t="shared" ref="Q47" si="211">F47*P47</f>
        <v>-912186.05714285851</v>
      </c>
      <c r="R47">
        <f t="shared" ref="R47" si="212">R48+Q47</f>
        <v>-30194379.567750022</v>
      </c>
      <c r="S47">
        <f t="shared" ref="S47" si="213">R47/100000</f>
        <v>-301.94379567750019</v>
      </c>
      <c r="T47">
        <f t="shared" ref="T47" si="214">S47/1000</f>
        <v>-0.30194379567750018</v>
      </c>
    </row>
    <row r="48" spans="1:20" x14ac:dyDescent="0.25">
      <c r="A48" s="5">
        <v>44545</v>
      </c>
      <c r="B48">
        <v>1.325</v>
      </c>
      <c r="C48">
        <v>1.375</v>
      </c>
      <c r="D48">
        <v>1.256</v>
      </c>
      <c r="E48">
        <v>1.3560000000000001</v>
      </c>
      <c r="F48">
        <v>1411023.2</v>
      </c>
      <c r="G48">
        <v>1.3560000000000001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0.6806722689075646</v>
      </c>
      <c r="Q48">
        <f t="shared" ref="Q48" si="216">F48*P48</f>
        <v>960444.36302521231</v>
      </c>
      <c r="R48">
        <f t="shared" ref="R48" si="217">R49+Q48</f>
        <v>-29282193.510607164</v>
      </c>
      <c r="S48">
        <f t="shared" ref="S48" si="218">R48/100000</f>
        <v>-292.82193510607163</v>
      </c>
      <c r="T48">
        <f t="shared" ref="T48" si="219">S48/1000</f>
        <v>-0.29282193510607163</v>
      </c>
    </row>
    <row r="49" spans="1:20" x14ac:dyDescent="0.25">
      <c r="A49" s="5">
        <v>44544</v>
      </c>
      <c r="B49">
        <v>1.32</v>
      </c>
      <c r="C49">
        <v>1.4770000000000001</v>
      </c>
      <c r="D49">
        <v>1.2390000000000001</v>
      </c>
      <c r="E49">
        <v>1.323</v>
      </c>
      <c r="F49">
        <v>2474185.52</v>
      </c>
      <c r="G49">
        <v>1.323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-0.29411764705882476</v>
      </c>
      <c r="Q49">
        <f t="shared" ref="Q49" si="221">F49*P49</f>
        <v>-727701.62352941476</v>
      </c>
      <c r="R49">
        <f t="shared" ref="R49" si="222">R50+Q49</f>
        <v>-30242637.873632375</v>
      </c>
      <c r="S49">
        <f t="shared" ref="S49" si="223">R49/100000</f>
        <v>-302.42637873632373</v>
      </c>
      <c r="T49">
        <f t="shared" ref="T49" si="224">S49/1000</f>
        <v>-0.30242637873632372</v>
      </c>
    </row>
    <row r="50" spans="1:20" x14ac:dyDescent="0.25">
      <c r="A50" s="5">
        <v>44543</v>
      </c>
      <c r="B50">
        <v>1.478</v>
      </c>
      <c r="C50">
        <v>1.4790000000000001</v>
      </c>
      <c r="D50">
        <v>1.2929999999999999</v>
      </c>
      <c r="E50">
        <v>1.3220000000000001</v>
      </c>
      <c r="F50">
        <v>1466401.3</v>
      </c>
      <c r="G50">
        <v>1.3220000000000001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-0.68817204301075152</v>
      </c>
      <c r="Q50">
        <f t="shared" ref="Q50" si="226">F50*P50</f>
        <v>-1009136.378494622</v>
      </c>
      <c r="R50">
        <f t="shared" ref="R50" si="227">R51+Q50</f>
        <v>-29514936.25010296</v>
      </c>
      <c r="S50">
        <f t="shared" ref="S50" si="228">R50/100000</f>
        <v>-295.1493625010296</v>
      </c>
      <c r="T50">
        <f t="shared" ref="T50" si="229">S50/1000</f>
        <v>-0.29514936250102958</v>
      </c>
    </row>
    <row r="51" spans="1:20" x14ac:dyDescent="0.25">
      <c r="A51" s="5">
        <v>44542</v>
      </c>
      <c r="B51">
        <v>1.464</v>
      </c>
      <c r="C51">
        <v>1.524</v>
      </c>
      <c r="D51">
        <v>1.4410000000000001</v>
      </c>
      <c r="E51">
        <v>1.478</v>
      </c>
      <c r="F51">
        <v>1072187.3</v>
      </c>
      <c r="G51">
        <v>1.478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-0.10843373493976052</v>
      </c>
      <c r="Q51">
        <f t="shared" ref="Q51" si="231">F51*P51</f>
        <v>-116261.2734939775</v>
      </c>
      <c r="R51">
        <f t="shared" ref="R51" si="232">R52+Q51</f>
        <v>-28505799.871608339</v>
      </c>
      <c r="S51">
        <f t="shared" ref="S51" si="233">R51/100000</f>
        <v>-285.05799871608338</v>
      </c>
      <c r="T51">
        <f t="shared" ref="T51" si="234">S51/1000</f>
        <v>-0.28505799871608339</v>
      </c>
    </row>
    <row r="52" spans="1:20" x14ac:dyDescent="0.25">
      <c r="A52" s="5">
        <v>44541</v>
      </c>
      <c r="B52">
        <v>1.4259999999999999</v>
      </c>
      <c r="C52">
        <v>1.444</v>
      </c>
      <c r="D52">
        <v>1.395</v>
      </c>
      <c r="E52">
        <v>1.44</v>
      </c>
      <c r="F52">
        <v>90062.8</v>
      </c>
      <c r="G52">
        <v>1.44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0.83673469387755062</v>
      </c>
      <c r="Q52">
        <f t="shared" ref="Q52" si="236">F52*P52</f>
        <v>75358.669387755072</v>
      </c>
      <c r="R52">
        <f t="shared" ref="R52" si="237">R53+Q52</f>
        <v>-28389538.59811436</v>
      </c>
      <c r="S52">
        <f t="shared" ref="S52" si="238">R52/100000</f>
        <v>-283.89538598114359</v>
      </c>
      <c r="T52">
        <f t="shared" ref="T52" si="239">S52/1000</f>
        <v>-0.28389538598114361</v>
      </c>
    </row>
    <row r="53" spans="1:20" x14ac:dyDescent="0.25">
      <c r="A53" s="5">
        <v>44540</v>
      </c>
      <c r="B53">
        <v>1.47</v>
      </c>
      <c r="C53">
        <v>1.617</v>
      </c>
      <c r="D53">
        <v>1.4119999999999999</v>
      </c>
      <c r="E53">
        <v>1.423</v>
      </c>
      <c r="F53">
        <v>1463963.5</v>
      </c>
      <c r="G53">
        <v>1.423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-0.8926829268292672</v>
      </c>
      <c r="Q53">
        <f t="shared" ref="Q53" si="241">F53*P53</f>
        <v>-1306855.2219512179</v>
      </c>
      <c r="R53">
        <f t="shared" ref="R53" si="242">R54+Q53</f>
        <v>-28464897.267502114</v>
      </c>
      <c r="S53">
        <f t="shared" ref="S53" si="243">R53/100000</f>
        <v>-284.64897267502113</v>
      </c>
      <c r="T53">
        <f t="shared" ref="T53" si="244">S53/1000</f>
        <v>-0.28464897267502115</v>
      </c>
    </row>
    <row r="54" spans="1:20" x14ac:dyDescent="0.25">
      <c r="A54" s="5">
        <v>44539</v>
      </c>
      <c r="B54">
        <v>1.6339999999999999</v>
      </c>
      <c r="C54">
        <v>1.65</v>
      </c>
      <c r="D54">
        <v>1.4570000000000001</v>
      </c>
      <c r="E54">
        <v>1.468</v>
      </c>
      <c r="F54">
        <v>1092448.7</v>
      </c>
      <c r="G54">
        <v>1.468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-0.88601036269430145</v>
      </c>
      <c r="Q54">
        <f t="shared" ref="Q54" si="246">F54*P54</f>
        <v>-967920.86891191802</v>
      </c>
      <c r="R54">
        <f t="shared" ref="R54" si="247">R55+Q54</f>
        <v>-27158042.045550898</v>
      </c>
      <c r="S54">
        <f t="shared" ref="S54" si="248">R54/100000</f>
        <v>-271.580420455509</v>
      </c>
      <c r="T54">
        <f t="shared" ref="T54" si="249">S54/1000</f>
        <v>-0.27158042045550901</v>
      </c>
    </row>
    <row r="55" spans="1:20" x14ac:dyDescent="0.25">
      <c r="A55" s="5">
        <v>44538</v>
      </c>
      <c r="B55">
        <v>1.5580000000000001</v>
      </c>
      <c r="C55">
        <v>1.823</v>
      </c>
      <c r="D55">
        <v>1.5109999999999999</v>
      </c>
      <c r="E55">
        <v>1.633</v>
      </c>
      <c r="F55">
        <v>2851323.2</v>
      </c>
      <c r="G55">
        <v>1.633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-0.2179487179487174</v>
      </c>
      <c r="Q55">
        <f t="shared" ref="Q55" si="251">F55*P55</f>
        <v>-621442.23589743441</v>
      </c>
      <c r="R55">
        <f t="shared" ref="R55" si="252">R56+Q55</f>
        <v>-26190121.176638979</v>
      </c>
      <c r="S55">
        <f t="shared" ref="S55" si="253">R55/100000</f>
        <v>-261.90121176638979</v>
      </c>
      <c r="T55">
        <f t="shared" ref="T55" si="254">S55/1000</f>
        <v>-0.26190121176638981</v>
      </c>
    </row>
    <row r="56" spans="1:20" x14ac:dyDescent="0.25">
      <c r="A56" s="5">
        <v>44537</v>
      </c>
      <c r="B56">
        <v>1.542</v>
      </c>
      <c r="C56">
        <v>1.6160000000000001</v>
      </c>
      <c r="D56">
        <v>1.532</v>
      </c>
      <c r="E56">
        <v>1.556</v>
      </c>
      <c r="F56">
        <v>1077539</v>
      </c>
      <c r="G56">
        <v>1.556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-0.42857142857142855</v>
      </c>
      <c r="Q56">
        <f t="shared" ref="Q56" si="256">F56*P56</f>
        <v>-461802.42857142852</v>
      </c>
      <c r="R56">
        <f t="shared" ref="R56" si="257">R57+Q56</f>
        <v>-25568678.940741546</v>
      </c>
      <c r="S56">
        <f t="shared" ref="S56" si="258">R56/100000</f>
        <v>-255.68678940741546</v>
      </c>
      <c r="T56">
        <f t="shared" ref="T56" si="259">S56/1000</f>
        <v>-0.25568678940741546</v>
      </c>
    </row>
    <row r="57" spans="1:20" x14ac:dyDescent="0.25">
      <c r="A57" s="5">
        <v>44536</v>
      </c>
      <c r="B57">
        <v>1.502</v>
      </c>
      <c r="C57">
        <v>1.593</v>
      </c>
      <c r="D57">
        <v>1.3560000000000001</v>
      </c>
      <c r="E57">
        <v>1.542</v>
      </c>
      <c r="F57">
        <v>2434118.1</v>
      </c>
      <c r="G57">
        <v>1.542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0.56962025316455733</v>
      </c>
      <c r="Q57">
        <f t="shared" ref="Q57" si="261">F57*P57</f>
        <v>1386522.9683544314</v>
      </c>
      <c r="R57">
        <f t="shared" ref="R57" si="262">R58+Q57</f>
        <v>-25106876.512170117</v>
      </c>
      <c r="S57">
        <f t="shared" ref="S57" si="263">R57/100000</f>
        <v>-251.06876512170118</v>
      </c>
      <c r="T57">
        <f t="shared" ref="T57" si="264">S57/1000</f>
        <v>-0.25106876512170118</v>
      </c>
    </row>
    <row r="58" spans="1:20" x14ac:dyDescent="0.25">
      <c r="A58" s="5">
        <v>44535</v>
      </c>
      <c r="B58">
        <v>1.6020000000000001</v>
      </c>
      <c r="C58">
        <v>1.7170000000000001</v>
      </c>
      <c r="D58">
        <v>1.4350000000000001</v>
      </c>
      <c r="E58">
        <v>1.5</v>
      </c>
      <c r="F58">
        <v>1756477.3</v>
      </c>
      <c r="G58">
        <v>1.5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-0.53900709219858201</v>
      </c>
      <c r="Q58">
        <f t="shared" ref="Q58" si="266">F58*P58</f>
        <v>-946753.72198581637</v>
      </c>
      <c r="R58">
        <f t="shared" ref="R58" si="267">R59+Q58</f>
        <v>-26493399.480524547</v>
      </c>
      <c r="S58">
        <f t="shared" ref="S58" si="268">R58/100000</f>
        <v>-264.93399480524545</v>
      </c>
      <c r="T58">
        <f t="shared" ref="T58" si="269">S58/1000</f>
        <v>-0.26493399480524543</v>
      </c>
    </row>
    <row r="59" spans="1:20" x14ac:dyDescent="0.25">
      <c r="A59" s="5">
        <v>44534</v>
      </c>
      <c r="B59">
        <v>1.919</v>
      </c>
      <c r="C59">
        <v>1.956</v>
      </c>
      <c r="D59">
        <v>1.2649999999999999</v>
      </c>
      <c r="E59">
        <v>1.603</v>
      </c>
      <c r="F59">
        <v>3274206.24</v>
      </c>
      <c r="G59">
        <v>1.603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-2.1707670043415197E-2</v>
      </c>
      <c r="Q59">
        <f t="shared" ref="Q59" si="271">F59*P59</f>
        <v>-71075.388712011118</v>
      </c>
      <c r="R59">
        <f t="shared" ref="R59" si="272">R60+Q59</f>
        <v>-25546645.75853873</v>
      </c>
      <c r="S59">
        <f t="shared" ref="S59" si="273">R59/100000</f>
        <v>-255.4664575853873</v>
      </c>
      <c r="T59">
        <f t="shared" ref="T59" si="274">S59/1000</f>
        <v>-0.25546645758538733</v>
      </c>
    </row>
    <row r="60" spans="1:20" x14ac:dyDescent="0.25">
      <c r="A60" s="5">
        <v>44533</v>
      </c>
      <c r="B60">
        <v>2.028</v>
      </c>
      <c r="C60">
        <v>2.0579999999999998</v>
      </c>
      <c r="D60">
        <v>1.89</v>
      </c>
      <c r="E60">
        <v>1.921</v>
      </c>
      <c r="F60">
        <v>2180969.6</v>
      </c>
      <c r="G60">
        <v>1.921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-0.63095238095237915</v>
      </c>
      <c r="Q60">
        <f t="shared" ref="Q60" si="276">F60*P60</f>
        <v>-1376087.9619047581</v>
      </c>
      <c r="R60">
        <f t="shared" ref="R60" si="277">R61+Q60</f>
        <v>-25475570.369826719</v>
      </c>
      <c r="S60">
        <f t="shared" ref="S60" si="278">R60/100000</f>
        <v>-254.75570369826718</v>
      </c>
      <c r="T60">
        <f t="shared" ref="T60" si="279">S60/1000</f>
        <v>-0.25475570369826717</v>
      </c>
    </row>
    <row r="61" spans="1:20" x14ac:dyDescent="0.25">
      <c r="A61" s="5">
        <v>44532</v>
      </c>
      <c r="B61">
        <v>2.0179999999999998</v>
      </c>
      <c r="C61">
        <v>2.4569999999999999</v>
      </c>
      <c r="D61">
        <v>1.9630000000000001</v>
      </c>
      <c r="E61">
        <v>2.0329999999999999</v>
      </c>
      <c r="F61">
        <v>4799565.3</v>
      </c>
      <c r="G61">
        <v>2.0329999999999999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-0.71659919028340135</v>
      </c>
      <c r="Q61">
        <f t="shared" ref="Q61" si="281">F61*P61</f>
        <v>-3439364.6076923101</v>
      </c>
      <c r="R61">
        <f t="shared" ref="R61" si="282">R62+Q61</f>
        <v>-24099482.407921962</v>
      </c>
      <c r="S61">
        <f t="shared" ref="S61" si="283">R61/100000</f>
        <v>-240.99482407921963</v>
      </c>
      <c r="T61">
        <f t="shared" ref="T61" si="284">S61/1000</f>
        <v>-0.24099482407921963</v>
      </c>
    </row>
    <row r="62" spans="1:20" x14ac:dyDescent="0.25">
      <c r="A62" s="5">
        <v>44531</v>
      </c>
      <c r="B62">
        <v>2.0009999999999999</v>
      </c>
      <c r="C62">
        <v>2.0790000000000002</v>
      </c>
      <c r="D62">
        <v>1.99</v>
      </c>
      <c r="E62">
        <v>2.0179999999999998</v>
      </c>
      <c r="F62">
        <v>984770.5</v>
      </c>
      <c r="G62">
        <v>2.0179999999999998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-0.37078651685393837</v>
      </c>
      <c r="Q62">
        <f t="shared" ref="Q62" si="286">F62*P62</f>
        <v>-365139.62359551131</v>
      </c>
      <c r="R62">
        <f t="shared" ref="R62" si="287">R63+Q62</f>
        <v>-20660117.800229654</v>
      </c>
      <c r="S62">
        <f t="shared" ref="S62" si="288">R62/100000</f>
        <v>-206.60117800229654</v>
      </c>
      <c r="T62">
        <f t="shared" ref="T62" si="289">S62/1000</f>
        <v>-0.20660117800229655</v>
      </c>
    </row>
    <row r="63" spans="1:20" x14ac:dyDescent="0.25">
      <c r="A63" s="5">
        <v>44530</v>
      </c>
      <c r="B63">
        <v>2.069</v>
      </c>
      <c r="C63">
        <v>2.0830000000000002</v>
      </c>
      <c r="D63">
        <v>1.966</v>
      </c>
      <c r="E63">
        <v>2</v>
      </c>
      <c r="F63">
        <v>1350820.5</v>
      </c>
      <c r="G63">
        <v>2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-0.41880341880341937</v>
      </c>
      <c r="Q63">
        <f t="shared" ref="Q63" si="291">F63*P63</f>
        <v>-565728.24358974432</v>
      </c>
      <c r="R63">
        <f t="shared" ref="R63" si="292">R64+Q63</f>
        <v>-20294978.176634144</v>
      </c>
      <c r="S63">
        <f t="shared" ref="S63" si="293">R63/100000</f>
        <v>-202.94978176634143</v>
      </c>
      <c r="T63">
        <f t="shared" ref="T63" si="294">S63/1000</f>
        <v>-0.20294978176634143</v>
      </c>
    </row>
    <row r="64" spans="1:20" x14ac:dyDescent="0.25">
      <c r="A64" s="5">
        <v>44529</v>
      </c>
      <c r="B64">
        <v>2.056</v>
      </c>
      <c r="C64">
        <v>2.1030000000000002</v>
      </c>
      <c r="D64">
        <v>1.9990000000000001</v>
      </c>
      <c r="E64">
        <v>2.073</v>
      </c>
      <c r="F64">
        <v>873966.6</v>
      </c>
      <c r="G64">
        <v>2.073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0.4230769230769188</v>
      </c>
      <c r="Q64">
        <f t="shared" ref="Q64" si="296">F64*P64</f>
        <v>369755.09999999625</v>
      </c>
      <c r="R64">
        <f t="shared" ref="R64" si="297">R65+Q64</f>
        <v>-19729249.9330444</v>
      </c>
      <c r="S64">
        <f t="shared" ref="S64" si="298">R64/100000</f>
        <v>-197.292499330444</v>
      </c>
      <c r="T64">
        <f t="shared" ref="T64" si="299">S64/1000</f>
        <v>-0.19729249933044402</v>
      </c>
    </row>
    <row r="65" spans="1:20" x14ac:dyDescent="0.25">
      <c r="A65" s="5">
        <v>44528</v>
      </c>
      <c r="B65">
        <v>2.0750000000000002</v>
      </c>
      <c r="C65">
        <v>2.0760000000000001</v>
      </c>
      <c r="D65">
        <v>1.9350000000000001</v>
      </c>
      <c r="E65">
        <v>2.0579999999999998</v>
      </c>
      <c r="F65">
        <v>1651963.3</v>
      </c>
      <c r="G65">
        <v>2.0579999999999998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0.74468085106382642</v>
      </c>
      <c r="Q65">
        <f t="shared" ref="Q65" si="301">F65*P65</f>
        <v>1230185.4361702073</v>
      </c>
      <c r="R65">
        <f t="shared" ref="R65" si="302">R66+Q65</f>
        <v>-20099005.033044398</v>
      </c>
      <c r="S65">
        <f t="shared" ref="S65" si="303">R65/100000</f>
        <v>-200.99005033044398</v>
      </c>
      <c r="T65">
        <f t="shared" ref="T65" si="304">S65/1000</f>
        <v>-0.20099005033044398</v>
      </c>
    </row>
    <row r="66" spans="1:20" x14ac:dyDescent="0.25">
      <c r="A66" s="5">
        <v>44527</v>
      </c>
      <c r="B66">
        <v>1.968</v>
      </c>
      <c r="C66">
        <v>2.129</v>
      </c>
      <c r="D66">
        <v>1.9350000000000001</v>
      </c>
      <c r="E66">
        <v>2.0750000000000002</v>
      </c>
      <c r="F66">
        <v>1191884.3999999999</v>
      </c>
      <c r="G66">
        <v>2.0750000000000002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0.44329896907216659</v>
      </c>
      <c r="Q66">
        <f t="shared" ref="Q66" si="306">F66*P66</f>
        <v>528361.12577319774</v>
      </c>
      <c r="R66">
        <f t="shared" ref="R66" si="307">R67+Q66</f>
        <v>-21329190.469214603</v>
      </c>
      <c r="S66">
        <f t="shared" ref="S66" si="308">R66/100000</f>
        <v>-213.29190469214603</v>
      </c>
      <c r="T66">
        <f t="shared" ref="T66" si="309">S66/1000</f>
        <v>-0.21329190469214604</v>
      </c>
    </row>
    <row r="67" spans="1:20" x14ac:dyDescent="0.25">
      <c r="A67" s="5">
        <v>44526</v>
      </c>
      <c r="B67">
        <v>2.06</v>
      </c>
      <c r="C67">
        <v>2.117</v>
      </c>
      <c r="D67">
        <v>1.8620000000000001</v>
      </c>
      <c r="E67">
        <v>1.968</v>
      </c>
      <c r="F67">
        <v>2206171.7999999998</v>
      </c>
      <c r="G67">
        <v>1.968</v>
      </c>
      <c r="L67" t="s">
        <v>8</v>
      </c>
      <c r="M67" t="s">
        <v>7</v>
      </c>
      <c r="N67" t="s">
        <v>7</v>
      </c>
      <c r="P67">
        <f t="shared" ref="P67" si="310">IF(C67=D67,0,((E67-D67)-(C67-E67))/(C67-D67))</f>
        <v>-0.16862745098039281</v>
      </c>
      <c r="Q67">
        <f t="shared" ref="Q67" si="311">F67*P67</f>
        <v>-372021.12705882493</v>
      </c>
      <c r="R67">
        <f t="shared" ref="R67" si="312">R68+Q67</f>
        <v>-21857551.594987802</v>
      </c>
      <c r="S67">
        <f t="shared" ref="S67" si="313">R67/100000</f>
        <v>-218.57551594987802</v>
      </c>
      <c r="T67">
        <f t="shared" ref="T67" si="314">S67/1000</f>
        <v>-0.21857551594987804</v>
      </c>
    </row>
    <row r="68" spans="1:20" x14ac:dyDescent="0.25">
      <c r="A68" s="5">
        <v>44525</v>
      </c>
      <c r="B68">
        <v>1.9870000000000001</v>
      </c>
      <c r="C68">
        <v>2.0739999999999998</v>
      </c>
      <c r="D68">
        <v>1.976</v>
      </c>
      <c r="E68">
        <v>2.0619999999999998</v>
      </c>
      <c r="F68">
        <v>1506007.6</v>
      </c>
      <c r="G68">
        <v>2.0619999999999998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0.75510204081632593</v>
      </c>
      <c r="Q68">
        <f t="shared" ref="Q68" si="316">F68*P68</f>
        <v>1137189.4122448971</v>
      </c>
      <c r="R68">
        <f t="shared" ref="R68" si="317">R69+Q68</f>
        <v>-21485530.467928976</v>
      </c>
      <c r="S68">
        <f t="shared" ref="S68" si="318">R68/100000</f>
        <v>-214.85530467928976</v>
      </c>
      <c r="T68">
        <f t="shared" ref="T68" si="319">S68/1000</f>
        <v>-0.21485530467928976</v>
      </c>
    </row>
    <row r="69" spans="1:20" x14ac:dyDescent="0.25">
      <c r="A69" s="5">
        <v>44524</v>
      </c>
      <c r="B69">
        <v>1.972</v>
      </c>
      <c r="C69">
        <v>1.9930000000000001</v>
      </c>
      <c r="D69">
        <v>1.92</v>
      </c>
      <c r="E69">
        <v>1.9390000000000001</v>
      </c>
      <c r="F69">
        <v>231148.2</v>
      </c>
      <c r="G69">
        <v>1.9390000000000001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-0.4794520547945183</v>
      </c>
      <c r="Q69">
        <f t="shared" ref="Q69" si="321">F69*P69</f>
        <v>-110824.47945205428</v>
      </c>
      <c r="R69">
        <f t="shared" ref="R69" si="322">R70+Q69</f>
        <v>-22622719.880173873</v>
      </c>
      <c r="S69">
        <f t="shared" ref="S69" si="323">R69/100000</f>
        <v>-226.22719880173872</v>
      </c>
      <c r="T69">
        <f t="shared" ref="T69" si="324">S69/1000</f>
        <v>-0.22622719880173872</v>
      </c>
    </row>
    <row r="70" spans="1:20" x14ac:dyDescent="0.25">
      <c r="A70" s="5">
        <v>44523</v>
      </c>
      <c r="B70">
        <v>1.9510000000000001</v>
      </c>
      <c r="C70">
        <v>1.974</v>
      </c>
      <c r="D70">
        <v>1.9039999999999999</v>
      </c>
      <c r="E70">
        <v>1.9690000000000001</v>
      </c>
      <c r="F70">
        <v>1172571</v>
      </c>
      <c r="G70">
        <v>1.9690000000000001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0.85714285714286031</v>
      </c>
      <c r="Q70">
        <f t="shared" ref="Q70" si="326">F70*P70</f>
        <v>1005060.8571428609</v>
      </c>
      <c r="R70">
        <f t="shared" ref="R70" si="327">R71+Q70</f>
        <v>-22511895.400721818</v>
      </c>
      <c r="S70">
        <f t="shared" ref="S70" si="328">R70/100000</f>
        <v>-225.11895400721818</v>
      </c>
      <c r="T70">
        <f t="shared" ref="T70" si="329">S70/1000</f>
        <v>-0.22511895400721818</v>
      </c>
    </row>
    <row r="71" spans="1:20" x14ac:dyDescent="0.25">
      <c r="A71" s="5">
        <v>44522</v>
      </c>
      <c r="B71">
        <v>2.0539999999999998</v>
      </c>
      <c r="C71">
        <v>2.0539999999999998</v>
      </c>
      <c r="D71">
        <v>1.9319999999999999</v>
      </c>
      <c r="E71">
        <v>1.9510000000000001</v>
      </c>
      <c r="F71">
        <v>971236.5</v>
      </c>
      <c r="G71">
        <v>1.9510000000000001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-0.68852459016393208</v>
      </c>
      <c r="Q71">
        <f t="shared" ref="Q71" si="331">F71*P71</f>
        <v>-668720.21311475185</v>
      </c>
      <c r="R71">
        <f t="shared" ref="R71" si="332">R72+Q71</f>
        <v>-23516956.25786468</v>
      </c>
      <c r="S71">
        <f t="shared" ref="S71" si="333">R71/100000</f>
        <v>-235.1695625786468</v>
      </c>
      <c r="T71">
        <f t="shared" ref="T71" si="334">S71/1000</f>
        <v>-0.2351695625786468</v>
      </c>
    </row>
    <row r="72" spans="1:20" x14ac:dyDescent="0.25">
      <c r="A72" s="5">
        <v>44521</v>
      </c>
      <c r="B72">
        <v>2.0499999999999998</v>
      </c>
      <c r="C72">
        <v>2.1</v>
      </c>
      <c r="D72">
        <v>2.0049999999999999</v>
      </c>
      <c r="E72">
        <v>2.0590000000000002</v>
      </c>
      <c r="F72">
        <v>1143665.1000000001</v>
      </c>
      <c r="G72">
        <v>2.0590000000000002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0.13684210526316123</v>
      </c>
      <c r="Q72">
        <f t="shared" ref="Q72" si="336">F72*P72</f>
        <v>156501.54000000382</v>
      </c>
      <c r="R72">
        <f t="shared" ref="R72" si="337">R73+Q72</f>
        <v>-22848236.044749927</v>
      </c>
      <c r="S72">
        <f t="shared" ref="S72" si="338">R72/100000</f>
        <v>-228.48236044749927</v>
      </c>
      <c r="T72">
        <f t="shared" ref="T72" si="339">S72/1000</f>
        <v>-0.22848236044749928</v>
      </c>
    </row>
    <row r="73" spans="1:20" x14ac:dyDescent="0.25">
      <c r="A73" s="5">
        <v>44520</v>
      </c>
      <c r="B73">
        <v>1.9930000000000001</v>
      </c>
      <c r="C73">
        <v>2.0649999999999999</v>
      </c>
      <c r="D73">
        <v>1.9510000000000001</v>
      </c>
      <c r="E73">
        <v>2.0499999999999998</v>
      </c>
      <c r="F73">
        <v>1642336.5</v>
      </c>
      <c r="G73">
        <v>2.0499999999999998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0.73684210526315541</v>
      </c>
      <c r="Q73">
        <f t="shared" ref="Q73" si="341">F73*P73</f>
        <v>1210142.6842105223</v>
      </c>
      <c r="R73">
        <f t="shared" ref="R73" si="342">R74+Q73</f>
        <v>-23004737.58474993</v>
      </c>
      <c r="S73">
        <f t="shared" ref="S73" si="343">R73/100000</f>
        <v>-230.0473758474993</v>
      </c>
      <c r="T73">
        <f t="shared" ref="T73" si="344">S73/1000</f>
        <v>-0.23004737584749929</v>
      </c>
    </row>
    <row r="74" spans="1:20" x14ac:dyDescent="0.25">
      <c r="A74" s="5">
        <v>44519</v>
      </c>
      <c r="B74">
        <v>1.9339999999999999</v>
      </c>
      <c r="C74">
        <v>2.0070000000000001</v>
      </c>
      <c r="D74">
        <v>1.8660000000000001</v>
      </c>
      <c r="E74">
        <v>1.992</v>
      </c>
      <c r="F74">
        <v>1818358.8</v>
      </c>
      <c r="G74">
        <v>1.992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0.78723404255318974</v>
      </c>
      <c r="Q74">
        <f t="shared" ref="Q74" si="346">F74*P74</f>
        <v>1431473.9489361672</v>
      </c>
      <c r="R74">
        <f t="shared" ref="R74" si="347">R75+Q74</f>
        <v>-24214880.268960454</v>
      </c>
      <c r="S74">
        <f t="shared" ref="S74" si="348">R74/100000</f>
        <v>-242.14880268960454</v>
      </c>
      <c r="T74">
        <f t="shared" ref="T74" si="349">S74/1000</f>
        <v>-0.24214880268960454</v>
      </c>
    </row>
    <row r="75" spans="1:20" x14ac:dyDescent="0.25">
      <c r="A75" s="5">
        <v>44518</v>
      </c>
      <c r="B75">
        <v>2.198</v>
      </c>
      <c r="C75">
        <v>2.2330000000000001</v>
      </c>
      <c r="D75">
        <v>1.917</v>
      </c>
      <c r="E75">
        <v>1.9339999999999999</v>
      </c>
      <c r="F75">
        <v>2262703.7000000002</v>
      </c>
      <c r="G75">
        <v>1.9339999999999999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-0.89240506329113989</v>
      </c>
      <c r="Q75">
        <f t="shared" ref="Q75" si="351">F75*P75</f>
        <v>-2019248.2386075966</v>
      </c>
      <c r="R75">
        <f t="shared" ref="R75" si="352">R76+Q75</f>
        <v>-25646354.217896622</v>
      </c>
      <c r="S75">
        <f t="shared" ref="S75" si="353">R75/100000</f>
        <v>-256.46354217896624</v>
      </c>
      <c r="T75">
        <f t="shared" ref="T75" si="354">S75/1000</f>
        <v>-0.25646354217896622</v>
      </c>
    </row>
    <row r="76" spans="1:20" x14ac:dyDescent="0.25">
      <c r="A76" s="5">
        <v>44517</v>
      </c>
      <c r="B76">
        <v>1.99</v>
      </c>
      <c r="C76">
        <v>2.6760000000000002</v>
      </c>
      <c r="D76">
        <v>1.889</v>
      </c>
      <c r="E76">
        <v>2.198</v>
      </c>
      <c r="F76">
        <v>10108901.6</v>
      </c>
      <c r="G76">
        <v>2.198</v>
      </c>
      <c r="L76" t="s">
        <v>8</v>
      </c>
      <c r="M76" t="s">
        <v>8</v>
      </c>
      <c r="N76" t="s">
        <v>8</v>
      </c>
      <c r="P76">
        <f t="shared" ref="P76" si="355">IF(C76=D76,0,((E76-D76)-(C76-E76))/(C76-D76))</f>
        <v>-0.2147395171537487</v>
      </c>
      <c r="Q76">
        <f t="shared" ref="Q76" si="356">F76*P76</f>
        <v>-2170780.6485387576</v>
      </c>
      <c r="R76">
        <f t="shared" ref="R76" si="357">R77+Q76</f>
        <v>-23627105.979289025</v>
      </c>
      <c r="S76">
        <f t="shared" ref="S76" si="358">R76/100000</f>
        <v>-236.27105979289024</v>
      </c>
      <c r="T76">
        <f t="shared" ref="T76" si="359">S76/1000</f>
        <v>-0.23627105979289023</v>
      </c>
    </row>
    <row r="77" spans="1:20" x14ac:dyDescent="0.25">
      <c r="A77" s="5">
        <v>44516</v>
      </c>
      <c r="B77">
        <v>2.133</v>
      </c>
      <c r="C77">
        <v>2.133</v>
      </c>
      <c r="D77">
        <v>1.8740000000000001</v>
      </c>
      <c r="E77">
        <v>1.992</v>
      </c>
      <c r="F77">
        <v>1879927.3</v>
      </c>
      <c r="G77">
        <v>1.992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-8.8803088803089347E-2</v>
      </c>
      <c r="Q77">
        <f t="shared" ref="Q77" si="361">F77*P77</f>
        <v>-166943.350965252</v>
      </c>
      <c r="R77">
        <f t="shared" ref="R77" si="362">R78+Q77</f>
        <v>-21456325.330750268</v>
      </c>
      <c r="S77">
        <f t="shared" ref="S77" si="363">R77/100000</f>
        <v>-214.56325330750269</v>
      </c>
      <c r="T77">
        <f t="shared" ref="T77" si="364">S77/1000</f>
        <v>-0.2145632533075027</v>
      </c>
    </row>
    <row r="78" spans="1:20" x14ac:dyDescent="0.25">
      <c r="A78" s="5">
        <v>44515</v>
      </c>
      <c r="B78">
        <v>2.0950000000000002</v>
      </c>
      <c r="C78">
        <v>2.1469999999999998</v>
      </c>
      <c r="D78">
        <v>2.0630000000000002</v>
      </c>
      <c r="E78">
        <v>2.133</v>
      </c>
      <c r="F78">
        <v>1154433.8</v>
      </c>
      <c r="G78">
        <v>2.133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0.66666666666667018</v>
      </c>
      <c r="Q78">
        <f t="shared" ref="Q78" si="366">F78*P78</f>
        <v>769622.5333333374</v>
      </c>
      <c r="R78">
        <f t="shared" ref="R78" si="367">R79+Q78</f>
        <v>-21289381.979785018</v>
      </c>
      <c r="S78">
        <f t="shared" ref="S78" si="368">R78/100000</f>
        <v>-212.89381979785017</v>
      </c>
      <c r="T78">
        <f t="shared" ref="T78" si="369">S78/1000</f>
        <v>-0.21289381979785016</v>
      </c>
    </row>
    <row r="79" spans="1:20" x14ac:dyDescent="0.25">
      <c r="A79" s="5">
        <v>44514</v>
      </c>
      <c r="B79">
        <v>2.109</v>
      </c>
      <c r="C79">
        <v>2.1190000000000002</v>
      </c>
      <c r="D79">
        <v>2.0369999999999999</v>
      </c>
      <c r="E79">
        <v>2.0939999999999999</v>
      </c>
      <c r="F79">
        <v>924549.5</v>
      </c>
      <c r="G79">
        <v>2.0939999999999999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0.39024390243901791</v>
      </c>
      <c r="Q79">
        <f t="shared" ref="Q79" si="371">F79*P79</f>
        <v>360799.80487804278</v>
      </c>
      <c r="R79">
        <f t="shared" ref="R79" si="372">R80+Q79</f>
        <v>-22059004.513118356</v>
      </c>
      <c r="S79">
        <f t="shared" ref="S79" si="373">R79/100000</f>
        <v>-220.59004513118356</v>
      </c>
      <c r="T79">
        <f t="shared" ref="T79" si="374">S79/1000</f>
        <v>-0.22059004513118355</v>
      </c>
    </row>
    <row r="80" spans="1:20" x14ac:dyDescent="0.25">
      <c r="A80" s="5">
        <v>44513</v>
      </c>
      <c r="B80">
        <v>2.0750000000000002</v>
      </c>
      <c r="C80">
        <v>2.1949999999999998</v>
      </c>
      <c r="D80">
        <v>2.0659999999999998</v>
      </c>
      <c r="E80">
        <v>2.1120000000000001</v>
      </c>
      <c r="F80">
        <v>1768230.3</v>
      </c>
      <c r="G80">
        <v>2.1120000000000001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-0.28682170542635255</v>
      </c>
      <c r="Q80">
        <f t="shared" ref="Q80" si="376">F80*P80</f>
        <v>-507166.83023255103</v>
      </c>
      <c r="R80">
        <f t="shared" ref="R80" si="377">R81+Q80</f>
        <v>-22419804.317996398</v>
      </c>
      <c r="S80">
        <f t="shared" ref="S80" si="378">R80/100000</f>
        <v>-224.19804317996397</v>
      </c>
      <c r="T80">
        <f t="shared" ref="T80" si="379">S80/1000</f>
        <v>-0.22419804317996397</v>
      </c>
    </row>
    <row r="81" spans="1:20" x14ac:dyDescent="0.25">
      <c r="A81" s="5">
        <v>44512</v>
      </c>
      <c r="B81">
        <v>2.117</v>
      </c>
      <c r="C81">
        <v>2.1269999999999998</v>
      </c>
      <c r="D81">
        <v>2</v>
      </c>
      <c r="E81">
        <v>2.0750000000000002</v>
      </c>
      <c r="F81">
        <v>1606044.2</v>
      </c>
      <c r="G81">
        <v>2.0750000000000002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0.18110236220472925</v>
      </c>
      <c r="Q81">
        <f t="shared" ref="Q81" si="381">F81*P81</f>
        <v>290858.39842520462</v>
      </c>
      <c r="R81">
        <f t="shared" ref="R81" si="382">R82+Q81</f>
        <v>-21912637.487763848</v>
      </c>
      <c r="S81">
        <f t="shared" ref="S81" si="383">R81/100000</f>
        <v>-219.12637487763848</v>
      </c>
      <c r="T81">
        <f t="shared" ref="T81" si="384">S81/1000</f>
        <v>-0.21912637487763847</v>
      </c>
    </row>
    <row r="82" spans="1:20" x14ac:dyDescent="0.25">
      <c r="A82" s="5">
        <v>44511</v>
      </c>
      <c r="B82">
        <v>2.0790000000000002</v>
      </c>
      <c r="C82">
        <v>2.1920000000000002</v>
      </c>
      <c r="D82">
        <v>2.0710000000000002</v>
      </c>
      <c r="E82">
        <v>2.117</v>
      </c>
      <c r="F82">
        <v>2090815</v>
      </c>
      <c r="G82">
        <v>2.117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-0.23966942148760628</v>
      </c>
      <c r="Q82">
        <f t="shared" ref="Q82" si="386">F82*P82</f>
        <v>-501104.42148760951</v>
      </c>
      <c r="R82">
        <f t="shared" ref="R82" si="387">R83+Q82</f>
        <v>-22203495.886189051</v>
      </c>
      <c r="S82">
        <f t="shared" ref="S82" si="388">R82/100000</f>
        <v>-222.03495886189052</v>
      </c>
      <c r="T82">
        <f t="shared" ref="T82" si="389">S82/1000</f>
        <v>-0.22203495886189051</v>
      </c>
    </row>
    <row r="83" spans="1:20" x14ac:dyDescent="0.25">
      <c r="A83" s="5">
        <v>44510</v>
      </c>
      <c r="B83">
        <v>2.1749999999999998</v>
      </c>
      <c r="C83">
        <v>2.2410000000000001</v>
      </c>
      <c r="D83">
        <v>1.96</v>
      </c>
      <c r="E83">
        <v>2.0779999999999998</v>
      </c>
      <c r="F83">
        <v>1406852.5</v>
      </c>
      <c r="G83">
        <v>2.0779999999999998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-0.16014234875444966</v>
      </c>
      <c r="Q83">
        <f t="shared" ref="Q83" si="391">F83*P83</f>
        <v>-225296.6637010694</v>
      </c>
      <c r="R83">
        <f t="shared" ref="R83" si="392">R84+Q83</f>
        <v>-21702391.46470144</v>
      </c>
      <c r="S83">
        <f t="shared" ref="S83" si="393">R83/100000</f>
        <v>-217.02391464701441</v>
      </c>
      <c r="T83">
        <f t="shared" ref="T83" si="394">S83/1000</f>
        <v>-0.2170239146470144</v>
      </c>
    </row>
    <row r="84" spans="1:20" x14ac:dyDescent="0.25">
      <c r="A84" s="5">
        <v>44509</v>
      </c>
      <c r="B84">
        <v>2.165</v>
      </c>
      <c r="C84">
        <v>2.2130000000000001</v>
      </c>
      <c r="D84">
        <v>2.1360000000000001</v>
      </c>
      <c r="E84">
        <v>2.1779999999999999</v>
      </c>
      <c r="F84">
        <v>1126555.6000000001</v>
      </c>
      <c r="G84">
        <v>2.1779999999999999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9.0909090909086721E-2</v>
      </c>
      <c r="Q84">
        <f t="shared" ref="Q84" si="396">F84*P84</f>
        <v>102414.14545454075</v>
      </c>
      <c r="R84">
        <f t="shared" ref="R84" si="397">R85+Q84</f>
        <v>-21477094.801000372</v>
      </c>
      <c r="S84">
        <f t="shared" ref="S84" si="398">R84/100000</f>
        <v>-214.77094801000371</v>
      </c>
      <c r="T84">
        <f t="shared" ref="T84" si="399">S84/1000</f>
        <v>-0.21477094801000371</v>
      </c>
    </row>
    <row r="85" spans="1:20" x14ac:dyDescent="0.25">
      <c r="A85" s="5">
        <v>44508</v>
      </c>
      <c r="B85">
        <v>2.145</v>
      </c>
      <c r="C85">
        <v>2.181</v>
      </c>
      <c r="D85">
        <v>2.11</v>
      </c>
      <c r="E85">
        <v>2.1659999999999999</v>
      </c>
      <c r="F85">
        <v>858050.8</v>
      </c>
      <c r="G85">
        <v>2.1659999999999999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0.57746478873239193</v>
      </c>
      <c r="Q85">
        <f t="shared" ref="Q85" si="401">F85*P85</f>
        <v>495494.12394365988</v>
      </c>
      <c r="R85">
        <f t="shared" ref="R85" si="402">R86+Q85</f>
        <v>-21579508.946454912</v>
      </c>
      <c r="S85">
        <f t="shared" ref="S85" si="403">R85/100000</f>
        <v>-215.79508946454914</v>
      </c>
      <c r="T85">
        <f t="shared" ref="T85" si="404">S85/1000</f>
        <v>-0.21579508946454914</v>
      </c>
    </row>
    <row r="86" spans="1:20" x14ac:dyDescent="0.25">
      <c r="A86" s="5">
        <v>44507</v>
      </c>
      <c r="B86">
        <v>2.161</v>
      </c>
      <c r="C86">
        <v>2.1629999999999998</v>
      </c>
      <c r="D86">
        <v>2.0990000000000002</v>
      </c>
      <c r="E86">
        <v>2.1440000000000001</v>
      </c>
      <c r="F86">
        <v>1417707</v>
      </c>
      <c r="G86">
        <v>2.1440000000000001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0.40625000000000627</v>
      </c>
      <c r="Q86">
        <f t="shared" ref="Q86" si="406">F86*P86</f>
        <v>575943.46875000885</v>
      </c>
      <c r="R86">
        <f t="shared" ref="R86" si="407">R87+Q86</f>
        <v>-22075003.070398573</v>
      </c>
      <c r="S86">
        <f t="shared" ref="S86" si="408">R86/100000</f>
        <v>-220.75003070398571</v>
      </c>
      <c r="T86">
        <f t="shared" ref="T86" si="409">S86/1000</f>
        <v>-0.22075003070398572</v>
      </c>
    </row>
    <row r="87" spans="1:20" x14ac:dyDescent="0.25">
      <c r="A87" s="5">
        <v>44506</v>
      </c>
      <c r="B87">
        <v>2.125</v>
      </c>
      <c r="C87">
        <v>2.258</v>
      </c>
      <c r="D87">
        <v>2.0779999999999998</v>
      </c>
      <c r="E87">
        <v>2.1589999999999998</v>
      </c>
      <c r="F87">
        <v>846837.5</v>
      </c>
      <c r="G87">
        <v>2.1589999999999998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-0.10000000000000123</v>
      </c>
      <c r="Q87">
        <f t="shared" ref="Q87" si="411">F87*P87</f>
        <v>-84683.750000001033</v>
      </c>
      <c r="R87">
        <f t="shared" ref="R87" si="412">R88+Q87</f>
        <v>-22650946.53914858</v>
      </c>
      <c r="S87">
        <f t="shared" ref="S87" si="413">R87/100000</f>
        <v>-226.5094653914858</v>
      </c>
      <c r="T87">
        <f t="shared" ref="T87" si="414">S87/1000</f>
        <v>-0.22650946539148581</v>
      </c>
    </row>
    <row r="88" spans="1:20" x14ac:dyDescent="0.25">
      <c r="A88" s="5">
        <v>44505</v>
      </c>
      <c r="B88">
        <v>2.165</v>
      </c>
      <c r="C88">
        <v>2.1829999999999998</v>
      </c>
      <c r="D88">
        <v>2.0950000000000002</v>
      </c>
      <c r="E88">
        <v>2.1280000000000001</v>
      </c>
      <c r="F88">
        <v>870339.1</v>
      </c>
      <c r="G88">
        <v>2.1280000000000001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-0.24999999999999875</v>
      </c>
      <c r="Q88">
        <f t="shared" ref="Q88" si="416">F88*P88</f>
        <v>-217584.77499999892</v>
      </c>
      <c r="R88">
        <f t="shared" ref="R88" si="417">R89+Q88</f>
        <v>-22566262.78914858</v>
      </c>
      <c r="S88">
        <f t="shared" ref="S88" si="418">R88/100000</f>
        <v>-225.66262789148581</v>
      </c>
      <c r="T88">
        <f t="shared" ref="T88" si="419">S88/1000</f>
        <v>-0.22566262789148581</v>
      </c>
    </row>
    <row r="89" spans="1:20" x14ac:dyDescent="0.25">
      <c r="A89" s="5">
        <v>44504</v>
      </c>
      <c r="B89">
        <v>2.1739999999999999</v>
      </c>
      <c r="C89">
        <v>2.2120000000000002</v>
      </c>
      <c r="D89">
        <v>2.097</v>
      </c>
      <c r="E89">
        <v>2.165</v>
      </c>
      <c r="F89">
        <v>1455360.2</v>
      </c>
      <c r="G89">
        <v>2.165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0.18260869565217278</v>
      </c>
      <c r="Q89">
        <f t="shared" ref="Q89" si="421">F89*P89</f>
        <v>265761.4278260853</v>
      </c>
      <c r="R89">
        <f t="shared" ref="R89" si="422">R90+Q89</f>
        <v>-22348678.014148582</v>
      </c>
      <c r="S89">
        <f t="shared" ref="S89" si="423">R89/100000</f>
        <v>-223.48678014148581</v>
      </c>
      <c r="T89">
        <f t="shared" ref="T89" si="424">S89/1000</f>
        <v>-0.22348678014148582</v>
      </c>
    </row>
    <row r="90" spans="1:20" x14ac:dyDescent="0.25">
      <c r="A90" s="5">
        <v>44503</v>
      </c>
      <c r="B90">
        <v>2.2290000000000001</v>
      </c>
      <c r="C90">
        <v>2.2400000000000002</v>
      </c>
      <c r="D90">
        <v>2.0939999999999999</v>
      </c>
      <c r="E90">
        <v>2.1760000000000002</v>
      </c>
      <c r="F90">
        <v>1170316.8</v>
      </c>
      <c r="G90">
        <v>2.1760000000000002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0.12328767123287805</v>
      </c>
      <c r="Q90">
        <f t="shared" ref="Q90" si="426">F90*P90</f>
        <v>144285.63287671391</v>
      </c>
      <c r="R90">
        <f t="shared" ref="R90" si="427">R91+Q90</f>
        <v>-22614439.441974666</v>
      </c>
      <c r="S90">
        <f t="shared" ref="S90" si="428">R90/100000</f>
        <v>-226.14439441974665</v>
      </c>
      <c r="T90">
        <f t="shared" ref="T90" si="429">S90/1000</f>
        <v>-0.22614439441974665</v>
      </c>
    </row>
    <row r="91" spans="1:20" x14ac:dyDescent="0.25">
      <c r="A91" s="5">
        <v>44502</v>
      </c>
      <c r="B91">
        <v>2.1909999999999998</v>
      </c>
      <c r="C91">
        <v>2.2389999999999999</v>
      </c>
      <c r="D91">
        <v>2.1259999999999999</v>
      </c>
      <c r="E91">
        <v>2.2290000000000001</v>
      </c>
      <c r="F91">
        <v>1108426.7</v>
      </c>
      <c r="G91">
        <v>2.2290000000000001</v>
      </c>
      <c r="L91" t="s">
        <v>7</v>
      </c>
      <c r="M91" t="s">
        <v>8</v>
      </c>
      <c r="N91" t="s">
        <v>7</v>
      </c>
      <c r="P91">
        <f t="shared" ref="P91" si="430">IF(C91=D91,0,((E91-D91)-(C91-E91))/(C91-D91))</f>
        <v>0.82300884955752585</v>
      </c>
      <c r="Q91">
        <f t="shared" ref="Q91" si="431">F91*P91</f>
        <v>912244.98318584485</v>
      </c>
      <c r="R91">
        <f t="shared" ref="R91" si="432">R92+Q91</f>
        <v>-22758725.074851379</v>
      </c>
      <c r="S91">
        <f t="shared" ref="S91" si="433">R91/100000</f>
        <v>-227.58725074851378</v>
      </c>
      <c r="T91">
        <f t="shared" ref="T91" si="434">S91/1000</f>
        <v>-0.22758725074851377</v>
      </c>
    </row>
    <row r="92" spans="1:20" x14ac:dyDescent="0.25">
      <c r="A92" s="5">
        <v>44501</v>
      </c>
      <c r="B92">
        <v>2.2730000000000001</v>
      </c>
      <c r="C92">
        <v>2.3780000000000001</v>
      </c>
      <c r="D92">
        <v>2.089</v>
      </c>
      <c r="E92">
        <v>2.1909999999999998</v>
      </c>
      <c r="F92">
        <v>2135618</v>
      </c>
      <c r="G92">
        <v>2.1909999999999998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-0.29411764705882482</v>
      </c>
      <c r="Q92">
        <f t="shared" ref="Q92" si="436">F92*P92</f>
        <v>-628122.94117647328</v>
      </c>
      <c r="R92">
        <f t="shared" ref="R92" si="437">R93+Q92</f>
        <v>-23670970.058037225</v>
      </c>
      <c r="S92">
        <f t="shared" ref="S92" si="438">R92/100000</f>
        <v>-236.70970058037224</v>
      </c>
      <c r="T92">
        <f t="shared" ref="T92" si="439">S92/1000</f>
        <v>-0.23670970058037225</v>
      </c>
    </row>
    <row r="93" spans="1:20" x14ac:dyDescent="0.25">
      <c r="A93" s="5">
        <v>44500</v>
      </c>
      <c r="B93">
        <v>2.1389999999999998</v>
      </c>
      <c r="C93">
        <v>2.411</v>
      </c>
      <c r="D93">
        <v>2.0630000000000002</v>
      </c>
      <c r="E93">
        <v>2.27</v>
      </c>
      <c r="F93">
        <v>2977454.7</v>
      </c>
      <c r="G93">
        <v>2.27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0.18965517241379271</v>
      </c>
      <c r="Q93">
        <f t="shared" ref="Q93" si="441">F93*P93</f>
        <v>564689.68448275747</v>
      </c>
      <c r="R93">
        <f t="shared" ref="R93" si="442">R94+Q93</f>
        <v>-23042847.116860751</v>
      </c>
      <c r="S93">
        <f t="shared" ref="S93" si="443">R93/100000</f>
        <v>-230.4284711686075</v>
      </c>
      <c r="T93">
        <f t="shared" ref="T93" si="444">S93/1000</f>
        <v>-0.23042847116860751</v>
      </c>
    </row>
    <row r="94" spans="1:20" x14ac:dyDescent="0.25">
      <c r="A94" s="5">
        <v>44499</v>
      </c>
      <c r="B94">
        <v>2.0609999999999999</v>
      </c>
      <c r="C94">
        <v>2.1459999999999999</v>
      </c>
      <c r="D94">
        <v>2.008</v>
      </c>
      <c r="E94">
        <v>2.1389999999999998</v>
      </c>
      <c r="F94">
        <v>995021.6</v>
      </c>
      <c r="G94">
        <v>2.1389999999999998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0.89855072463767938</v>
      </c>
      <c r="Q94">
        <f t="shared" ref="Q94" si="446">F94*P94</f>
        <v>894077.37971014308</v>
      </c>
      <c r="R94">
        <f t="shared" ref="R94" si="447">R95+Q94</f>
        <v>-23607536.801343508</v>
      </c>
      <c r="S94">
        <f t="shared" ref="S94" si="448">R94/100000</f>
        <v>-236.07536801343508</v>
      </c>
      <c r="T94">
        <f t="shared" ref="T94" si="449">S94/1000</f>
        <v>-0.23607536801343509</v>
      </c>
    </row>
    <row r="95" spans="1:20" x14ac:dyDescent="0.25">
      <c r="A95" s="5">
        <v>44498</v>
      </c>
      <c r="B95">
        <v>1.984</v>
      </c>
      <c r="C95">
        <v>2.0609999999999999</v>
      </c>
      <c r="D95">
        <v>1.9610000000000001</v>
      </c>
      <c r="E95">
        <v>2.0569999999999999</v>
      </c>
      <c r="F95">
        <v>849066.4</v>
      </c>
      <c r="G95">
        <v>2.0569999999999999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0.91999999999999982</v>
      </c>
      <c r="Q95">
        <f t="shared" ref="Q95" si="451">F95*P95</f>
        <v>781141.08799999987</v>
      </c>
      <c r="R95">
        <f t="shared" ref="R95" si="452">R96+Q95</f>
        <v>-24501614.18105365</v>
      </c>
      <c r="S95">
        <f t="shared" ref="S95" si="453">R95/100000</f>
        <v>-245.01614181053651</v>
      </c>
      <c r="T95">
        <f t="shared" ref="T95" si="454">S95/1000</f>
        <v>-0.24501614181053652</v>
      </c>
    </row>
    <row r="96" spans="1:20" x14ac:dyDescent="0.25">
      <c r="A96" s="5">
        <v>44497</v>
      </c>
      <c r="B96">
        <v>1.883</v>
      </c>
      <c r="C96">
        <v>1.99</v>
      </c>
      <c r="D96">
        <v>1.8320000000000001</v>
      </c>
      <c r="E96">
        <v>1.976</v>
      </c>
      <c r="F96">
        <v>1010253.8</v>
      </c>
      <c r="G96">
        <v>1.976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0.822784810126582</v>
      </c>
      <c r="Q96">
        <f t="shared" ref="Q96" si="456">F96*P96</f>
        <v>831221.48101265798</v>
      </c>
      <c r="R96">
        <f t="shared" ref="R96" si="457">R97+Q96</f>
        <v>-25282755.269053649</v>
      </c>
      <c r="S96">
        <f t="shared" ref="S96" si="458">R96/100000</f>
        <v>-252.82755269053649</v>
      </c>
      <c r="T96">
        <f t="shared" ref="T96" si="459">S96/1000</f>
        <v>-0.25282755269053647</v>
      </c>
    </row>
    <row r="97" spans="1:20" x14ac:dyDescent="0.25">
      <c r="A97" s="5">
        <v>44496</v>
      </c>
      <c r="B97">
        <v>2.085</v>
      </c>
      <c r="C97">
        <v>2.1150000000000002</v>
      </c>
      <c r="D97">
        <v>1.8160000000000001</v>
      </c>
      <c r="E97">
        <v>1.883</v>
      </c>
      <c r="F97">
        <v>1861173.5</v>
      </c>
      <c r="G97">
        <v>1.883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-0.55183946488294378</v>
      </c>
      <c r="Q97">
        <f t="shared" ref="Q97" si="461">F97*P97</f>
        <v>-1027068.9882943155</v>
      </c>
      <c r="R97">
        <f t="shared" ref="R97" si="462">R98+Q97</f>
        <v>-26113976.750066306</v>
      </c>
      <c r="S97">
        <f t="shared" ref="S97" si="463">R97/100000</f>
        <v>-261.13976750066308</v>
      </c>
      <c r="T97">
        <f t="shared" ref="T97" si="464">S97/1000</f>
        <v>-0.26113976750066309</v>
      </c>
    </row>
    <row r="98" spans="1:20" x14ac:dyDescent="0.25">
      <c r="A98" s="5">
        <v>44495</v>
      </c>
      <c r="B98">
        <v>2.1269999999999998</v>
      </c>
      <c r="C98">
        <v>2.14</v>
      </c>
      <c r="D98">
        <v>2.0720000000000001</v>
      </c>
      <c r="E98">
        <v>2.0859999999999999</v>
      </c>
      <c r="F98">
        <v>936323.6</v>
      </c>
      <c r="G98">
        <v>2.0859999999999999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-0.58823529411765363</v>
      </c>
      <c r="Q98">
        <f t="shared" ref="Q98" si="466">F98*P98</f>
        <v>-550778.58823530027</v>
      </c>
      <c r="R98">
        <f t="shared" ref="R98" si="467">R99+Q98</f>
        <v>-25086907.761771992</v>
      </c>
      <c r="S98">
        <f t="shared" ref="S98" si="468">R98/100000</f>
        <v>-250.86907761771991</v>
      </c>
      <c r="T98">
        <f t="shared" ref="T98" si="469">S98/1000</f>
        <v>-0.25086907761771993</v>
      </c>
    </row>
    <row r="99" spans="1:20" x14ac:dyDescent="0.25">
      <c r="A99" s="5">
        <v>44494</v>
      </c>
      <c r="B99">
        <v>2.0870000000000002</v>
      </c>
      <c r="C99">
        <v>2.133</v>
      </c>
      <c r="D99">
        <v>2.0710000000000002</v>
      </c>
      <c r="E99">
        <v>2.129</v>
      </c>
      <c r="F99">
        <v>496640.4</v>
      </c>
      <c r="G99">
        <v>2.129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0.87096774193548343</v>
      </c>
      <c r="Q99">
        <f t="shared" ref="Q99" si="471">F99*P99</f>
        <v>432557.76774193527</v>
      </c>
      <c r="R99">
        <f t="shared" ref="R99" si="472">R100+Q99</f>
        <v>-24536129.173536692</v>
      </c>
      <c r="S99">
        <f t="shared" ref="S99" si="473">R99/100000</f>
        <v>-245.3612917353669</v>
      </c>
      <c r="T99">
        <f t="shared" ref="T99" si="474">S99/1000</f>
        <v>-0.24536129173536692</v>
      </c>
    </row>
    <row r="100" spans="1:20" x14ac:dyDescent="0.25">
      <c r="A100" s="5">
        <v>44493</v>
      </c>
      <c r="B100">
        <v>2.1419999999999999</v>
      </c>
      <c r="C100">
        <v>2.1549999999999998</v>
      </c>
      <c r="D100">
        <v>2.0489999999999999</v>
      </c>
      <c r="E100">
        <v>2.09</v>
      </c>
      <c r="F100">
        <v>665551.9</v>
      </c>
      <c r="G100">
        <v>2.09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-0.22641509433962312</v>
      </c>
      <c r="Q100">
        <f t="shared" ref="Q100" si="476">F100*P100</f>
        <v>-150690.99622641542</v>
      </c>
      <c r="R100">
        <f t="shared" ref="R100" si="477">R101+Q100</f>
        <v>-24968686.941278625</v>
      </c>
      <c r="S100">
        <f t="shared" ref="S100" si="478">R100/100000</f>
        <v>-249.68686941278625</v>
      </c>
      <c r="T100">
        <f t="shared" ref="T100" si="479">S100/1000</f>
        <v>-0.24968686941278626</v>
      </c>
    </row>
    <row r="101" spans="1:20" x14ac:dyDescent="0.25">
      <c r="A101" s="5">
        <v>44492</v>
      </c>
      <c r="B101">
        <v>2.1469999999999998</v>
      </c>
      <c r="C101">
        <v>2.2080000000000002</v>
      </c>
      <c r="D101">
        <v>2.0870000000000002</v>
      </c>
      <c r="E101">
        <v>2.1419999999999999</v>
      </c>
      <c r="F101">
        <v>976256.4</v>
      </c>
      <c r="G101">
        <v>2.1419999999999999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-9.0909090909095575E-2</v>
      </c>
      <c r="Q101">
        <f t="shared" ref="Q101" si="481">F101*P101</f>
        <v>-88750.581818186372</v>
      </c>
      <c r="R101">
        <f t="shared" ref="R101" si="482">R102+Q101</f>
        <v>-24817995.94505221</v>
      </c>
      <c r="S101">
        <f t="shared" ref="S101" si="483">R101/100000</f>
        <v>-248.17995945052209</v>
      </c>
      <c r="T101">
        <f t="shared" ref="T101" si="484">S101/1000</f>
        <v>-0.2481799594505221</v>
      </c>
    </row>
    <row r="102" spans="1:20" x14ac:dyDescent="0.25">
      <c r="A102" s="5">
        <v>44491</v>
      </c>
      <c r="B102">
        <v>2.0529999999999999</v>
      </c>
      <c r="C102">
        <v>2.3460000000000001</v>
      </c>
      <c r="D102">
        <v>2.052</v>
      </c>
      <c r="E102">
        <v>2.145</v>
      </c>
      <c r="F102">
        <v>2727123.6</v>
      </c>
      <c r="G102">
        <v>2.145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-0.3673469387755105</v>
      </c>
      <c r="Q102">
        <f t="shared" ref="Q102" si="486">F102*P102</f>
        <v>-1001800.5061224499</v>
      </c>
      <c r="R102">
        <f t="shared" ref="R102" si="487">R103+Q102</f>
        <v>-24729245.363234024</v>
      </c>
      <c r="S102">
        <f t="shared" ref="S102" si="488">R102/100000</f>
        <v>-247.29245363234025</v>
      </c>
      <c r="T102">
        <f t="shared" ref="T102" si="489">S102/1000</f>
        <v>-0.24729245363234026</v>
      </c>
    </row>
    <row r="103" spans="1:20" x14ac:dyDescent="0.25">
      <c r="A103" s="5">
        <v>44490</v>
      </c>
      <c r="B103">
        <v>2.1629999999999998</v>
      </c>
      <c r="C103">
        <v>2.17</v>
      </c>
      <c r="D103">
        <v>2.0350000000000001</v>
      </c>
      <c r="E103">
        <v>2.056</v>
      </c>
      <c r="F103">
        <v>1317520.3</v>
      </c>
      <c r="G103">
        <v>2.056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-0.68888888888888977</v>
      </c>
      <c r="Q103">
        <f t="shared" ref="Q103" si="491">F103*P103</f>
        <v>-907625.09555555671</v>
      </c>
      <c r="R103">
        <f t="shared" ref="R103" si="492">R104+Q103</f>
        <v>-23727444.857111573</v>
      </c>
      <c r="S103">
        <f t="shared" ref="S103" si="493">R103/100000</f>
        <v>-237.27444857111573</v>
      </c>
      <c r="T103">
        <f t="shared" ref="T103" si="494">S103/1000</f>
        <v>-0.23727444857111574</v>
      </c>
    </row>
    <row r="104" spans="1:20" x14ac:dyDescent="0.25">
      <c r="A104" s="5">
        <v>44489</v>
      </c>
      <c r="B104">
        <v>2.0680000000000001</v>
      </c>
      <c r="C104">
        <v>2.1669999999999998</v>
      </c>
      <c r="D104">
        <v>2.0339999999999998</v>
      </c>
      <c r="E104">
        <v>2.165</v>
      </c>
      <c r="F104">
        <v>1075247.2</v>
      </c>
      <c r="G104">
        <v>2.165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0.96992481203007852</v>
      </c>
      <c r="Q104">
        <f t="shared" ref="Q104" si="496">F104*P104</f>
        <v>1042908.9383458683</v>
      </c>
      <c r="R104">
        <f t="shared" ref="R104" si="497">R105+Q104</f>
        <v>-22819819.761556018</v>
      </c>
      <c r="S104">
        <f t="shared" ref="S104" si="498">R104/100000</f>
        <v>-228.19819761556019</v>
      </c>
      <c r="T104">
        <f t="shared" ref="T104" si="499">S104/1000</f>
        <v>-0.22819819761556018</v>
      </c>
    </row>
    <row r="105" spans="1:20" x14ac:dyDescent="0.25">
      <c r="A105" s="5">
        <v>44488</v>
      </c>
      <c r="B105">
        <v>2.0150000000000001</v>
      </c>
      <c r="C105">
        <v>2.0760000000000001</v>
      </c>
      <c r="D105">
        <v>1.99</v>
      </c>
      <c r="E105">
        <v>2.0680000000000001</v>
      </c>
      <c r="F105">
        <v>1353283.8</v>
      </c>
      <c r="G105">
        <v>2.0680000000000001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0.81395348837209303</v>
      </c>
      <c r="Q105">
        <f t="shared" ref="Q105" si="501">F105*P105</f>
        <v>1101510.0697674418</v>
      </c>
      <c r="R105">
        <f t="shared" ref="R105" si="502">R106+Q105</f>
        <v>-23862728.699901886</v>
      </c>
      <c r="S105">
        <f t="shared" ref="S105" si="503">R105/100000</f>
        <v>-238.62728699901885</v>
      </c>
      <c r="T105">
        <f t="shared" ref="T105" si="504">S105/1000</f>
        <v>-0.23862728699901886</v>
      </c>
    </row>
    <row r="106" spans="1:20" x14ac:dyDescent="0.25">
      <c r="A106" s="5">
        <v>44487</v>
      </c>
      <c r="B106">
        <v>2.0870000000000002</v>
      </c>
      <c r="C106">
        <v>2.1</v>
      </c>
      <c r="D106">
        <v>1.968</v>
      </c>
      <c r="E106">
        <v>2.0190000000000001</v>
      </c>
      <c r="F106">
        <v>1652531.7</v>
      </c>
      <c r="G106">
        <v>2.0190000000000001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-0.2272727272727256</v>
      </c>
      <c r="Q106">
        <f t="shared" ref="Q106" si="506">F106*P106</f>
        <v>-375575.38636363362</v>
      </c>
      <c r="R106">
        <f t="shared" ref="R106" si="507">R107+Q106</f>
        <v>-24964238.769669328</v>
      </c>
      <c r="S106">
        <f t="shared" ref="S106" si="508">R106/100000</f>
        <v>-249.64238769669328</v>
      </c>
      <c r="T106">
        <f t="shared" ref="T106" si="509">S106/1000</f>
        <v>-0.24964238769669328</v>
      </c>
    </row>
    <row r="107" spans="1:20" x14ac:dyDescent="0.25">
      <c r="A107" s="5">
        <v>44486</v>
      </c>
      <c r="B107">
        <v>2.129</v>
      </c>
      <c r="C107">
        <v>2.137</v>
      </c>
      <c r="D107">
        <v>2.0110000000000001</v>
      </c>
      <c r="E107">
        <v>2.09</v>
      </c>
      <c r="F107">
        <v>822670</v>
      </c>
      <c r="G107">
        <v>2.09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0.2539682539682509</v>
      </c>
      <c r="Q107">
        <f t="shared" ref="Q107" si="511">F107*P107</f>
        <v>208932.06349206096</v>
      </c>
      <c r="R107">
        <f t="shared" ref="R107" si="512">R108+Q107</f>
        <v>-24588663.383305695</v>
      </c>
      <c r="S107">
        <f t="shared" ref="S107" si="513">R107/100000</f>
        <v>-245.88663383305695</v>
      </c>
      <c r="T107">
        <f t="shared" ref="T107" si="514">S107/1000</f>
        <v>-0.24588663383305695</v>
      </c>
    </row>
    <row r="108" spans="1:20" x14ac:dyDescent="0.25">
      <c r="A108" s="5">
        <v>44485</v>
      </c>
      <c r="B108">
        <v>2.1309999999999998</v>
      </c>
      <c r="C108">
        <v>2.1629999999999998</v>
      </c>
      <c r="D108">
        <v>2.0830000000000002</v>
      </c>
      <c r="E108">
        <v>2.1280000000000001</v>
      </c>
      <c r="F108">
        <v>1017081.5</v>
      </c>
      <c r="G108">
        <v>2.1280000000000001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0.12500000000000347</v>
      </c>
      <c r="Q108">
        <f t="shared" ref="Q108" si="516">F108*P108</f>
        <v>127135.18750000352</v>
      </c>
      <c r="R108">
        <f t="shared" ref="R108" si="517">R109+Q108</f>
        <v>-24797595.446797755</v>
      </c>
      <c r="S108">
        <f t="shared" ref="S108" si="518">R108/100000</f>
        <v>-247.97595446797754</v>
      </c>
      <c r="T108">
        <f t="shared" ref="T108" si="519">S108/1000</f>
        <v>-0.24797595446797754</v>
      </c>
    </row>
    <row r="109" spans="1:20" x14ac:dyDescent="0.25">
      <c r="A109" s="5">
        <v>44484</v>
      </c>
      <c r="B109">
        <v>2.3039999999999998</v>
      </c>
      <c r="C109">
        <v>2.3090000000000002</v>
      </c>
      <c r="D109">
        <v>2.0859999999999999</v>
      </c>
      <c r="E109">
        <v>2.1309999999999998</v>
      </c>
      <c r="F109">
        <v>1542695.4</v>
      </c>
      <c r="G109">
        <v>2.1309999999999998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-0.59641255605381283</v>
      </c>
      <c r="Q109">
        <f t="shared" ref="Q109" si="521">F109*P109</f>
        <v>-920082.90672645916</v>
      </c>
      <c r="R109">
        <f t="shared" ref="R109" si="522">R110+Q109</f>
        <v>-24924730.634297758</v>
      </c>
      <c r="S109">
        <f t="shared" ref="S109" si="523">R109/100000</f>
        <v>-249.24730634297759</v>
      </c>
      <c r="T109">
        <f t="shared" ref="T109" si="524">S109/1000</f>
        <v>-0.24924730634297759</v>
      </c>
    </row>
    <row r="110" spans="1:20" x14ac:dyDescent="0.25">
      <c r="A110" s="5">
        <v>44483</v>
      </c>
      <c r="B110">
        <v>2.282</v>
      </c>
      <c r="C110">
        <v>2.335</v>
      </c>
      <c r="D110">
        <v>2.2469999999999999</v>
      </c>
      <c r="E110">
        <v>2.302</v>
      </c>
      <c r="F110">
        <v>814842.4</v>
      </c>
      <c r="G110">
        <v>2.302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0.2500000000000025</v>
      </c>
      <c r="Q110">
        <f t="shared" ref="Q110" si="526">F110*P110</f>
        <v>203710.60000000204</v>
      </c>
      <c r="R110">
        <f t="shared" ref="R110" si="527">R111+Q110</f>
        <v>-24004647.727571297</v>
      </c>
      <c r="S110">
        <f t="shared" ref="S110" si="528">R110/100000</f>
        <v>-240.04647727571299</v>
      </c>
      <c r="T110">
        <f t="shared" ref="T110" si="529">S110/1000</f>
        <v>-0.24004647727571299</v>
      </c>
    </row>
    <row r="111" spans="1:20" x14ac:dyDescent="0.25">
      <c r="A111" s="5">
        <v>44482</v>
      </c>
      <c r="B111">
        <v>2.194</v>
      </c>
      <c r="C111">
        <v>2.29</v>
      </c>
      <c r="D111">
        <v>2.121</v>
      </c>
      <c r="E111">
        <v>2.282</v>
      </c>
      <c r="F111">
        <v>1124191.8</v>
      </c>
      <c r="G111">
        <v>2.282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0.90532544378698221</v>
      </c>
      <c r="Q111">
        <f t="shared" ref="Q111" si="531">F111*P111</f>
        <v>1017759.4402366864</v>
      </c>
      <c r="R111">
        <f t="shared" ref="R111" si="532">R112+Q111</f>
        <v>-24208358.327571299</v>
      </c>
      <c r="S111">
        <f t="shared" ref="S111" si="533">R111/100000</f>
        <v>-242.08358327571298</v>
      </c>
      <c r="T111">
        <f t="shared" ref="T111" si="534">S111/1000</f>
        <v>-0.24208358327571297</v>
      </c>
    </row>
    <row r="112" spans="1:20" x14ac:dyDescent="0.25">
      <c r="A112" s="5">
        <v>44481</v>
      </c>
      <c r="B112">
        <v>2.339</v>
      </c>
      <c r="C112">
        <v>2.4769999999999999</v>
      </c>
      <c r="D112">
        <v>2.0830000000000002</v>
      </c>
      <c r="E112">
        <v>2.1970000000000001</v>
      </c>
      <c r="F112">
        <v>1719647.1</v>
      </c>
      <c r="G112">
        <v>2.1970000000000001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-0.42131979695431487</v>
      </c>
      <c r="Q112">
        <f t="shared" ref="Q112" si="536">F112*P112</f>
        <v>-724521.36700507649</v>
      </c>
      <c r="R112">
        <f t="shared" ref="R112" si="537">R113+Q112</f>
        <v>-25226117.767807987</v>
      </c>
      <c r="S112">
        <f t="shared" ref="S112" si="538">R112/100000</f>
        <v>-252.26117767807986</v>
      </c>
      <c r="T112">
        <f t="shared" ref="T112" si="539">S112/1000</f>
        <v>-0.25226117767807987</v>
      </c>
    </row>
    <row r="113" spans="1:20" x14ac:dyDescent="0.25">
      <c r="A113" s="5">
        <v>44480</v>
      </c>
      <c r="B113">
        <v>2.3580000000000001</v>
      </c>
      <c r="C113">
        <v>2.4359999999999999</v>
      </c>
      <c r="D113">
        <v>2.242</v>
      </c>
      <c r="E113">
        <v>2.3370000000000002</v>
      </c>
      <c r="F113">
        <v>1575812.3</v>
      </c>
      <c r="G113">
        <v>2.3370000000000002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-2.0618556701028662E-2</v>
      </c>
      <c r="Q113">
        <f t="shared" ref="Q113" si="541">F113*P113</f>
        <v>-32490.975257728391</v>
      </c>
      <c r="R113">
        <f t="shared" ref="R113" si="542">R114+Q113</f>
        <v>-24501596.40080291</v>
      </c>
      <c r="S113">
        <f t="shared" ref="S113" si="543">R113/100000</f>
        <v>-245.0159640080291</v>
      </c>
      <c r="T113">
        <f t="shared" ref="T113" si="544">S113/1000</f>
        <v>-0.24501596400802911</v>
      </c>
    </row>
    <row r="114" spans="1:20" x14ac:dyDescent="0.25">
      <c r="A114" s="5">
        <v>44479</v>
      </c>
      <c r="B114">
        <v>2.2909999999999999</v>
      </c>
      <c r="C114">
        <v>2.73</v>
      </c>
      <c r="D114">
        <v>2.2770000000000001</v>
      </c>
      <c r="E114">
        <v>2.3570000000000002</v>
      </c>
      <c r="F114">
        <v>4095778.2</v>
      </c>
      <c r="G114">
        <v>2.3570000000000002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-0.64679911699779202</v>
      </c>
      <c r="Q114">
        <f t="shared" ref="Q114" si="546">F114*P114</f>
        <v>-2649145.7231788062</v>
      </c>
      <c r="R114">
        <f t="shared" ref="R114" si="547">R115+Q114</f>
        <v>-24469105.425545182</v>
      </c>
      <c r="S114">
        <f t="shared" ref="S114" si="548">R114/100000</f>
        <v>-244.69105425545183</v>
      </c>
      <c r="T114">
        <f t="shared" ref="T114" si="549">S114/1000</f>
        <v>-0.24469105425545185</v>
      </c>
    </row>
    <row r="115" spans="1:20" x14ac:dyDescent="0.25">
      <c r="A115" s="5">
        <v>44478</v>
      </c>
      <c r="B115">
        <v>2.3780000000000001</v>
      </c>
      <c r="C115">
        <v>2.4940000000000002</v>
      </c>
      <c r="D115">
        <v>2.2080000000000002</v>
      </c>
      <c r="E115">
        <v>2.29</v>
      </c>
      <c r="F115">
        <v>2075605.5</v>
      </c>
      <c r="G115">
        <v>2.29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-0.42657342657342767</v>
      </c>
      <c r="Q115">
        <f t="shared" ref="Q115" si="551">F115*P115</f>
        <v>-885398.15034965263</v>
      </c>
      <c r="R115">
        <f t="shared" ref="R115" si="552">R116+Q115</f>
        <v>-21819959.702366374</v>
      </c>
      <c r="S115">
        <f t="shared" ref="S115" si="553">R115/100000</f>
        <v>-218.19959702366376</v>
      </c>
      <c r="T115">
        <f t="shared" ref="T115" si="554">S115/1000</f>
        <v>-0.21819959702366376</v>
      </c>
    </row>
    <row r="116" spans="1:20" x14ac:dyDescent="0.25">
      <c r="A116" s="5">
        <v>44477</v>
      </c>
      <c r="B116">
        <v>2.2770000000000001</v>
      </c>
      <c r="C116">
        <v>2.82</v>
      </c>
      <c r="D116">
        <v>2.2559999999999998</v>
      </c>
      <c r="E116">
        <v>2.371</v>
      </c>
      <c r="F116">
        <v>3446512.8</v>
      </c>
      <c r="G116">
        <v>2.371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-0.59219858156028293</v>
      </c>
      <c r="Q116">
        <f t="shared" ref="Q116" si="556">F116*P116</f>
        <v>-2041019.9914893589</v>
      </c>
      <c r="R116">
        <f t="shared" ref="R116" si="557">R117+Q116</f>
        <v>-20934561.55201672</v>
      </c>
      <c r="S116">
        <f t="shared" ref="S116" si="558">R116/100000</f>
        <v>-209.3456155201672</v>
      </c>
      <c r="T116">
        <f t="shared" ref="T116" si="559">S116/1000</f>
        <v>-0.2093456155201672</v>
      </c>
    </row>
    <row r="117" spans="1:20" x14ac:dyDescent="0.25">
      <c r="A117" s="5">
        <v>44476</v>
      </c>
      <c r="B117">
        <v>2.2450000000000001</v>
      </c>
      <c r="C117">
        <v>2.35</v>
      </c>
      <c r="D117">
        <v>2.1949999999999998</v>
      </c>
      <c r="E117">
        <v>2.2759999999999998</v>
      </c>
      <c r="F117">
        <v>1629235.7</v>
      </c>
      <c r="G117">
        <v>2.2759999999999998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4.5161290322578464E-2</v>
      </c>
      <c r="Q117">
        <f t="shared" ref="Q117" si="561">F117*P117</f>
        <v>73578.386451609345</v>
      </c>
      <c r="R117">
        <f t="shared" ref="R117" si="562">R118+Q117</f>
        <v>-18893541.560527362</v>
      </c>
      <c r="S117">
        <f t="shared" ref="S117" si="563">R117/100000</f>
        <v>-188.93541560527362</v>
      </c>
      <c r="T117">
        <f t="shared" ref="T117" si="564">S117/1000</f>
        <v>-0.18893541560527363</v>
      </c>
    </row>
    <row r="118" spans="1:20" x14ac:dyDescent="0.25">
      <c r="A118" s="5">
        <v>44475</v>
      </c>
      <c r="B118">
        <v>2.157</v>
      </c>
      <c r="C118">
        <v>2.42</v>
      </c>
      <c r="D118">
        <v>2</v>
      </c>
      <c r="E118">
        <v>2.2440000000000002</v>
      </c>
      <c r="F118">
        <v>4657986.5999999996</v>
      </c>
      <c r="G118">
        <v>2.2440000000000002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0.16190476190476313</v>
      </c>
      <c r="Q118">
        <f t="shared" ref="Q118" si="566">F118*P118</f>
        <v>754150.21142857708</v>
      </c>
      <c r="R118">
        <f t="shared" ref="R118" si="567">R119+Q118</f>
        <v>-18967119.946978971</v>
      </c>
      <c r="S118">
        <f t="shared" ref="S118" si="568">R118/100000</f>
        <v>-189.67119946978971</v>
      </c>
      <c r="T118">
        <f t="shared" ref="T118" si="569">S118/1000</f>
        <v>-0.18967119946978972</v>
      </c>
    </row>
    <row r="119" spans="1:20" x14ac:dyDescent="0.25">
      <c r="A119" s="5">
        <v>44474</v>
      </c>
      <c r="B119">
        <v>2.028</v>
      </c>
      <c r="C119">
        <v>2.1970000000000001</v>
      </c>
      <c r="D119">
        <v>2.0070000000000001</v>
      </c>
      <c r="E119">
        <v>2.153</v>
      </c>
      <c r="F119">
        <v>1292115.2</v>
      </c>
      <c r="G119">
        <v>2.153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0.53684210526315734</v>
      </c>
      <c r="Q119">
        <f t="shared" ref="Q119" si="571">F119*P119</f>
        <v>693661.84421052563</v>
      </c>
      <c r="R119">
        <f t="shared" ref="R119" si="572">R120+Q119</f>
        <v>-19721270.158407547</v>
      </c>
      <c r="S119">
        <f t="shared" ref="S119" si="573">R119/100000</f>
        <v>-197.21270158407546</v>
      </c>
      <c r="T119">
        <f t="shared" ref="T119" si="574">S119/1000</f>
        <v>-0.19721270158407547</v>
      </c>
    </row>
    <row r="120" spans="1:20" x14ac:dyDescent="0.25">
      <c r="A120" s="5">
        <v>44473</v>
      </c>
      <c r="B120">
        <v>2.0550000000000002</v>
      </c>
      <c r="C120">
        <v>2.1190000000000002</v>
      </c>
      <c r="D120">
        <v>1.94</v>
      </c>
      <c r="E120">
        <v>2.036</v>
      </c>
      <c r="F120">
        <v>1346249.1</v>
      </c>
      <c r="G120">
        <v>2.036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7.2625698324021687E-2</v>
      </c>
      <c r="Q120">
        <f t="shared" ref="Q120" si="576">F120*P120</f>
        <v>97772.281005585712</v>
      </c>
      <c r="R120">
        <f t="shared" ref="R120" si="577">R121+Q120</f>
        <v>-20414932.002618071</v>
      </c>
      <c r="S120">
        <f t="shared" ref="S120" si="578">R120/100000</f>
        <v>-204.1493200261807</v>
      </c>
      <c r="T120">
        <f t="shared" ref="T120" si="579">S120/1000</f>
        <v>-0.20414932002618069</v>
      </c>
    </row>
    <row r="121" spans="1:20" x14ac:dyDescent="0.25">
      <c r="A121" s="5">
        <v>44472</v>
      </c>
      <c r="B121">
        <v>2.0470000000000002</v>
      </c>
      <c r="C121">
        <v>2.0950000000000002</v>
      </c>
      <c r="D121">
        <v>1.9570000000000001</v>
      </c>
      <c r="E121">
        <v>2.0369999999999999</v>
      </c>
      <c r="F121">
        <v>1293513.5</v>
      </c>
      <c r="G121">
        <v>2.0369999999999999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0.15942028985506926</v>
      </c>
      <c r="Q121">
        <f t="shared" ref="Q121" si="581">F121*P121</f>
        <v>206212.29710144512</v>
      </c>
      <c r="R121">
        <f t="shared" ref="R121" si="582">R122+Q121</f>
        <v>-20512704.283623658</v>
      </c>
      <c r="S121">
        <f t="shared" ref="S121" si="583">R121/100000</f>
        <v>-205.12704283623657</v>
      </c>
      <c r="T121">
        <f t="shared" ref="T121" si="584">S121/1000</f>
        <v>-0.20512704283623656</v>
      </c>
    </row>
    <row r="122" spans="1:20" x14ac:dyDescent="0.25">
      <c r="A122" s="5">
        <v>44471</v>
      </c>
      <c r="B122">
        <v>2.012</v>
      </c>
      <c r="C122">
        <v>2.129</v>
      </c>
      <c r="D122">
        <v>2.0059999999999998</v>
      </c>
      <c r="E122">
        <v>2.0459999999999998</v>
      </c>
      <c r="F122">
        <v>1238452.8</v>
      </c>
      <c r="G122">
        <v>2.0459999999999998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-0.34959349593495992</v>
      </c>
      <c r="Q122">
        <f t="shared" ref="Q122" si="586">F122*P122</f>
        <v>-432955.04390243976</v>
      </c>
      <c r="R122">
        <f t="shared" ref="R122" si="587">R123+Q122</f>
        <v>-20718916.580725104</v>
      </c>
      <c r="S122">
        <f t="shared" ref="S122" si="588">R122/100000</f>
        <v>-207.18916580725104</v>
      </c>
      <c r="T122">
        <f t="shared" ref="T122" si="589">S122/1000</f>
        <v>-0.20718916580725105</v>
      </c>
    </row>
    <row r="123" spans="1:20" x14ac:dyDescent="0.25">
      <c r="A123" s="5">
        <v>44470</v>
      </c>
      <c r="B123">
        <v>1.851</v>
      </c>
      <c r="C123">
        <v>2.1</v>
      </c>
      <c r="D123">
        <v>1.8320000000000001</v>
      </c>
      <c r="E123">
        <v>2.0099999999999998</v>
      </c>
      <c r="F123">
        <v>2200144.9</v>
      </c>
      <c r="G123">
        <v>2.0099999999999998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0.32835820895522166</v>
      </c>
      <c r="Q123">
        <f t="shared" ref="Q123" si="591">F123*P123</f>
        <v>722435.63880596519</v>
      </c>
      <c r="R123">
        <f t="shared" ref="R123" si="592">R124+Q123</f>
        <v>-20285961.536822665</v>
      </c>
      <c r="S123">
        <f t="shared" ref="S123" si="593">R123/100000</f>
        <v>-202.85961536822666</v>
      </c>
      <c r="T123">
        <f t="shared" ref="T123" si="594">S123/1000</f>
        <v>-0.20285961536822666</v>
      </c>
    </row>
    <row r="124" spans="1:20" x14ac:dyDescent="0.25">
      <c r="A124" s="5">
        <v>44469</v>
      </c>
      <c r="B124">
        <v>1.6930000000000001</v>
      </c>
      <c r="C124">
        <v>1.9910000000000001</v>
      </c>
      <c r="D124">
        <v>1.6859999999999999</v>
      </c>
      <c r="E124">
        <v>1.851</v>
      </c>
      <c r="F124">
        <v>2883692.3</v>
      </c>
      <c r="G124">
        <v>1.851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8.1967213114753759E-2</v>
      </c>
      <c r="Q124">
        <f t="shared" ref="Q124" si="596">F124*P124</f>
        <v>236368.22131147442</v>
      </c>
      <c r="R124">
        <f t="shared" ref="R124" si="597">R125+Q124</f>
        <v>-21008397.175628632</v>
      </c>
      <c r="S124">
        <f t="shared" ref="S124" si="598">R124/100000</f>
        <v>-210.08397175628633</v>
      </c>
      <c r="T124">
        <f t="shared" ref="T124" si="599">S124/1000</f>
        <v>-0.21008397175628632</v>
      </c>
    </row>
    <row r="125" spans="1:20" x14ac:dyDescent="0.25">
      <c r="A125" s="5">
        <v>44468</v>
      </c>
      <c r="B125">
        <v>1.673</v>
      </c>
      <c r="C125">
        <v>1.84</v>
      </c>
      <c r="D125">
        <v>1.6220000000000001</v>
      </c>
      <c r="E125">
        <v>1.6930000000000001</v>
      </c>
      <c r="F125">
        <v>1004130.63</v>
      </c>
      <c r="G125">
        <v>1.6930000000000001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-0.34862385321100953</v>
      </c>
      <c r="Q125">
        <f t="shared" ref="Q125" si="601">F125*P125</f>
        <v>-350063.8893577985</v>
      </c>
      <c r="R125">
        <f t="shared" ref="R125" si="602">R126+Q125</f>
        <v>-21244765.396940108</v>
      </c>
      <c r="S125">
        <f t="shared" ref="S125" si="603">R125/100000</f>
        <v>-212.44765396940107</v>
      </c>
      <c r="T125">
        <f t="shared" ref="T125" si="604">S125/1000</f>
        <v>-0.21244765396940107</v>
      </c>
    </row>
    <row r="126" spans="1:20" x14ac:dyDescent="0.25">
      <c r="A126" s="5">
        <v>44467</v>
      </c>
      <c r="B126">
        <v>1.7949999999999999</v>
      </c>
      <c r="C126">
        <v>1.8069999999999999</v>
      </c>
      <c r="D126">
        <v>1.665</v>
      </c>
      <c r="E126">
        <v>1.671</v>
      </c>
      <c r="F126">
        <v>1132755.3</v>
      </c>
      <c r="G126">
        <v>1.671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-0.91549295774647876</v>
      </c>
      <c r="Q126">
        <f t="shared" ref="Q126" si="606">F126*P126</f>
        <v>-1037029.4999999999</v>
      </c>
      <c r="R126">
        <f t="shared" ref="R126" si="607">R127+Q126</f>
        <v>-20894701.507582311</v>
      </c>
      <c r="S126">
        <f t="shared" ref="S126" si="608">R126/100000</f>
        <v>-208.94701507582312</v>
      </c>
      <c r="T126">
        <f t="shared" ref="T126" si="609">S126/1000</f>
        <v>-0.20894701507582311</v>
      </c>
    </row>
    <row r="127" spans="1:20" x14ac:dyDescent="0.25">
      <c r="A127" s="5">
        <v>44466</v>
      </c>
      <c r="B127">
        <v>1.869</v>
      </c>
      <c r="C127">
        <v>1.92</v>
      </c>
      <c r="D127">
        <v>1.7869999999999999</v>
      </c>
      <c r="E127">
        <v>1.7909999999999999</v>
      </c>
      <c r="F127">
        <v>1232974.3</v>
      </c>
      <c r="G127">
        <v>1.7909999999999999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-0.93984962406015038</v>
      </c>
      <c r="Q127">
        <f t="shared" ref="Q127" si="611">F127*P127</f>
        <v>-1158810.4323308272</v>
      </c>
      <c r="R127">
        <f t="shared" ref="R127" si="612">R128+Q127</f>
        <v>-19857672.007582311</v>
      </c>
      <c r="S127">
        <f t="shared" ref="S127" si="613">R127/100000</f>
        <v>-198.57672007582312</v>
      </c>
      <c r="T127">
        <f t="shared" ref="T127" si="614">S127/1000</f>
        <v>-0.19857672007582311</v>
      </c>
    </row>
    <row r="128" spans="1:20" x14ac:dyDescent="0.25">
      <c r="A128" s="5">
        <v>44465</v>
      </c>
      <c r="B128">
        <v>1.9490000000000001</v>
      </c>
      <c r="C128">
        <v>1.9490000000000001</v>
      </c>
      <c r="D128">
        <v>1.7410000000000001</v>
      </c>
      <c r="E128">
        <v>1.8740000000000001</v>
      </c>
      <c r="F128">
        <v>1469440.31</v>
      </c>
      <c r="G128">
        <v>1.8740000000000001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0.27884615384615413</v>
      </c>
      <c r="Q128">
        <f t="shared" ref="Q128" si="616">F128*P128</f>
        <v>409747.77875000046</v>
      </c>
      <c r="R128">
        <f t="shared" ref="R128" si="617">R129+Q128</f>
        <v>-18698861.575251482</v>
      </c>
      <c r="S128">
        <f t="shared" ref="S128" si="618">R128/100000</f>
        <v>-186.98861575251482</v>
      </c>
      <c r="T128">
        <f t="shared" ref="T128" si="619">S128/1000</f>
        <v>-0.18698861575251483</v>
      </c>
    </row>
    <row r="129" spans="1:20" x14ac:dyDescent="0.25">
      <c r="A129" s="5">
        <v>44464</v>
      </c>
      <c r="B129">
        <v>1.9730000000000001</v>
      </c>
      <c r="C129">
        <v>2.0049999999999999</v>
      </c>
      <c r="D129">
        <v>1.853</v>
      </c>
      <c r="E129">
        <v>1.9470000000000001</v>
      </c>
      <c r="F129">
        <v>1835542.3</v>
      </c>
      <c r="G129">
        <v>1.9470000000000001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0.23684210526315971</v>
      </c>
      <c r="Q129">
        <f t="shared" ref="Q129" si="621">F129*P129</f>
        <v>434733.70263158227</v>
      </c>
      <c r="R129">
        <f t="shared" ref="R129" si="622">R130+Q129</f>
        <v>-19108609.354001481</v>
      </c>
      <c r="S129">
        <f t="shared" ref="S129" si="623">R129/100000</f>
        <v>-191.08609354001482</v>
      </c>
      <c r="T129">
        <f t="shared" ref="T129" si="624">S129/1000</f>
        <v>-0.19108609354001482</v>
      </c>
    </row>
    <row r="130" spans="1:20" x14ac:dyDescent="0.25">
      <c r="A130" s="5">
        <v>44463</v>
      </c>
      <c r="B130">
        <v>2.149</v>
      </c>
      <c r="C130">
        <v>2.226</v>
      </c>
      <c r="D130">
        <v>1.8360000000000001</v>
      </c>
      <c r="E130">
        <v>1.972</v>
      </c>
      <c r="F130">
        <v>2068949.1</v>
      </c>
      <c r="G130">
        <v>1.972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-0.30256410256410293</v>
      </c>
      <c r="Q130">
        <f t="shared" ref="Q130" si="626">F130*P130</f>
        <v>-625989.72769230849</v>
      </c>
      <c r="R130">
        <f t="shared" ref="R130" si="627">R131+Q130</f>
        <v>-19543343.056633063</v>
      </c>
      <c r="S130">
        <f t="shared" ref="S130" si="628">R130/100000</f>
        <v>-195.43343056633063</v>
      </c>
      <c r="T130">
        <f t="shared" ref="T130" si="629">S130/1000</f>
        <v>-0.19543343056633064</v>
      </c>
    </row>
    <row r="131" spans="1:20" x14ac:dyDescent="0.25">
      <c r="A131" s="5">
        <v>44462</v>
      </c>
      <c r="B131">
        <v>2.12</v>
      </c>
      <c r="C131">
        <v>2.1549999999999998</v>
      </c>
      <c r="D131">
        <v>1.9810000000000001</v>
      </c>
      <c r="E131">
        <v>2.1459999999999999</v>
      </c>
      <c r="F131">
        <v>1902806.4</v>
      </c>
      <c r="G131">
        <v>2.1459999999999999</v>
      </c>
      <c r="L131" t="s">
        <v>7</v>
      </c>
      <c r="M131" t="s">
        <v>7</v>
      </c>
      <c r="N131" t="s">
        <v>7</v>
      </c>
      <c r="P131">
        <f t="shared" ref="P131" si="630">IF(C131=D131,0,((E131-D131)-(C131-E131))/(C131-D131))</f>
        <v>0.89655172413793205</v>
      </c>
      <c r="Q131">
        <f t="shared" ref="Q131" si="631">F131*P131</f>
        <v>1705964.3586206916</v>
      </c>
      <c r="R131">
        <f t="shared" ref="R131" si="632">R132+Q131</f>
        <v>-18917353.328940753</v>
      </c>
      <c r="S131">
        <f t="shared" ref="S131" si="633">R131/100000</f>
        <v>-189.17353328940752</v>
      </c>
      <c r="T131">
        <f t="shared" ref="T131" si="634">S131/1000</f>
        <v>-0.1891735332894075</v>
      </c>
    </row>
    <row r="132" spans="1:20" x14ac:dyDescent="0.25">
      <c r="A132" s="5">
        <v>44461</v>
      </c>
      <c r="B132">
        <v>1.927</v>
      </c>
      <c r="C132">
        <v>2.1349999999999998</v>
      </c>
      <c r="D132">
        <v>1.851</v>
      </c>
      <c r="E132">
        <v>2.1230000000000002</v>
      </c>
      <c r="F132">
        <v>2594223.1</v>
      </c>
      <c r="G132">
        <v>2.1230000000000002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0.91549295774648187</v>
      </c>
      <c r="Q132">
        <f t="shared" ref="Q132" si="636">F132*P132</f>
        <v>2374992.9788732473</v>
      </c>
      <c r="R132">
        <f t="shared" ref="R132" si="637">R133+Q132</f>
        <v>-20623317.687561445</v>
      </c>
      <c r="S132">
        <f t="shared" ref="S132" si="638">R132/100000</f>
        <v>-206.23317687561445</v>
      </c>
      <c r="T132">
        <f t="shared" ref="T132" si="639">S132/1000</f>
        <v>-0.20623317687561446</v>
      </c>
    </row>
    <row r="133" spans="1:20" x14ac:dyDescent="0.25">
      <c r="A133" s="5">
        <v>44460</v>
      </c>
      <c r="B133">
        <v>2.0379999999999998</v>
      </c>
      <c r="C133">
        <v>2.2309999999999999</v>
      </c>
      <c r="D133">
        <v>1.861</v>
      </c>
      <c r="E133">
        <v>1.919</v>
      </c>
      <c r="F133">
        <v>2181543.16</v>
      </c>
      <c r="G133">
        <v>1.919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-0.68648648648648614</v>
      </c>
      <c r="Q133">
        <f t="shared" ref="Q133" si="641">F133*P133</f>
        <v>-1497599.8990270263</v>
      </c>
      <c r="R133">
        <f t="shared" ref="R133" si="642">R134+Q133</f>
        <v>-22998310.66643469</v>
      </c>
      <c r="S133">
        <f t="shared" ref="S133" si="643">R133/100000</f>
        <v>-229.98310666434691</v>
      </c>
      <c r="T133">
        <f t="shared" ref="T133" si="644">S133/1000</f>
        <v>-0.2299831066643469</v>
      </c>
    </row>
    <row r="134" spans="1:20" x14ac:dyDescent="0.25">
      <c r="A134" s="5">
        <v>44459</v>
      </c>
      <c r="B134">
        <v>2.4710000000000001</v>
      </c>
      <c r="C134">
        <v>2.4860000000000002</v>
      </c>
      <c r="D134">
        <v>2.1440000000000001</v>
      </c>
      <c r="E134">
        <v>2.1739999999999999</v>
      </c>
      <c r="F134">
        <v>1163590</v>
      </c>
      <c r="G134">
        <v>2.1739999999999999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-0.82456140350877316</v>
      </c>
      <c r="Q134">
        <f t="shared" ref="Q134" si="646">F134*P134</f>
        <v>-959451.40350877331</v>
      </c>
      <c r="R134">
        <f t="shared" ref="R134" si="647">R135+Q134</f>
        <v>-21500710.767407663</v>
      </c>
      <c r="S134">
        <f t="shared" ref="S134" si="648">R134/100000</f>
        <v>-215.00710767407662</v>
      </c>
      <c r="T134">
        <f t="shared" ref="T134" si="649">S134/1000</f>
        <v>-0.21500710767407663</v>
      </c>
    </row>
    <row r="135" spans="1:20" x14ac:dyDescent="0.25">
      <c r="A135" s="5">
        <v>44458</v>
      </c>
      <c r="B135">
        <v>2.585</v>
      </c>
      <c r="C135">
        <v>2.5979999999999999</v>
      </c>
      <c r="D135">
        <v>2.4500000000000002</v>
      </c>
      <c r="E135">
        <v>2.468</v>
      </c>
      <c r="F135">
        <v>925817.4</v>
      </c>
      <c r="G135">
        <v>2.468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-0.75675675675675902</v>
      </c>
      <c r="Q135">
        <f t="shared" ref="Q135" si="651">F135*P135</f>
        <v>-700618.57297297509</v>
      </c>
      <c r="R135">
        <f t="shared" ref="R135" si="652">R136+Q135</f>
        <v>-20541259.363898888</v>
      </c>
      <c r="S135">
        <f t="shared" ref="S135" si="653">R135/100000</f>
        <v>-205.41259363898888</v>
      </c>
      <c r="T135">
        <f t="shared" ref="T135" si="654">S135/1000</f>
        <v>-0.20541259363898889</v>
      </c>
    </row>
    <row r="136" spans="1:20" x14ac:dyDescent="0.25">
      <c r="A136" s="5">
        <v>44457</v>
      </c>
      <c r="B136">
        <v>2.577</v>
      </c>
      <c r="C136">
        <v>2.613</v>
      </c>
      <c r="D136">
        <v>2.5049999999999999</v>
      </c>
      <c r="E136">
        <v>2.585</v>
      </c>
      <c r="F136">
        <v>620027.19999999995</v>
      </c>
      <c r="G136">
        <v>2.585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0.48148148148148145</v>
      </c>
      <c r="Q136">
        <f t="shared" ref="Q136" si="656">F136*P136</f>
        <v>298531.61481481476</v>
      </c>
      <c r="R136">
        <f t="shared" ref="R136" si="657">R137+Q136</f>
        <v>-19840640.790925913</v>
      </c>
      <c r="S136">
        <f t="shared" ref="S136" si="658">R136/100000</f>
        <v>-198.40640790925912</v>
      </c>
      <c r="T136">
        <f t="shared" ref="T136" si="659">S136/1000</f>
        <v>-0.19840640790925912</v>
      </c>
    </row>
    <row r="137" spans="1:20" x14ac:dyDescent="0.25">
      <c r="A137" s="5">
        <v>44456</v>
      </c>
      <c r="B137">
        <v>2.6160000000000001</v>
      </c>
      <c r="C137">
        <v>2.758</v>
      </c>
      <c r="D137">
        <v>2.4849999999999999</v>
      </c>
      <c r="E137">
        <v>2.581</v>
      </c>
      <c r="F137">
        <v>1125113.6000000001</v>
      </c>
      <c r="G137">
        <v>2.581</v>
      </c>
      <c r="L137" t="s">
        <v>8</v>
      </c>
      <c r="M137" t="s">
        <v>7</v>
      </c>
      <c r="N137" t="s">
        <v>8</v>
      </c>
      <c r="P137">
        <f t="shared" ref="P137" si="660">IF(C137=D137,0,((E137-D137)-(C137-E137))/(C137-D137))</f>
        <v>-0.29670329670329643</v>
      </c>
      <c r="Q137">
        <f t="shared" ref="Q137" si="661">F137*P137</f>
        <v>-333824.91428571398</v>
      </c>
      <c r="R137">
        <f t="shared" ref="R137" si="662">R138+Q137</f>
        <v>-20139172.405740727</v>
      </c>
      <c r="S137">
        <f t="shared" ref="S137" si="663">R137/100000</f>
        <v>-201.39172405740726</v>
      </c>
      <c r="T137">
        <f t="shared" ref="T137" si="664">S137/1000</f>
        <v>-0.20139172405740727</v>
      </c>
    </row>
    <row r="138" spans="1:20" x14ac:dyDescent="0.25">
      <c r="A138" s="5">
        <v>44455</v>
      </c>
      <c r="B138">
        <v>2.681</v>
      </c>
      <c r="C138">
        <v>2.7109999999999999</v>
      </c>
      <c r="D138">
        <v>2.5579999999999998</v>
      </c>
      <c r="E138">
        <v>2.6110000000000002</v>
      </c>
      <c r="F138">
        <v>714181.1</v>
      </c>
      <c r="G138">
        <v>2.6110000000000002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-0.30718954248365526</v>
      </c>
      <c r="Q138">
        <f t="shared" ref="Q138" si="666">F138*P138</f>
        <v>-219388.96535947363</v>
      </c>
      <c r="R138">
        <f t="shared" ref="R138" si="667">R139+Q138</f>
        <v>-19805347.491455011</v>
      </c>
      <c r="S138">
        <f t="shared" ref="S138" si="668">R138/100000</f>
        <v>-198.05347491455012</v>
      </c>
      <c r="T138">
        <f t="shared" ref="T138" si="669">S138/1000</f>
        <v>-0.19805347491455011</v>
      </c>
    </row>
    <row r="139" spans="1:20" x14ac:dyDescent="0.25">
      <c r="A139" s="5">
        <v>44454</v>
      </c>
      <c r="B139">
        <v>2.61</v>
      </c>
      <c r="C139">
        <v>2.69</v>
      </c>
      <c r="D139">
        <v>2.5099999999999998</v>
      </c>
      <c r="E139">
        <v>2.6840000000000002</v>
      </c>
      <c r="F139">
        <v>929466.6</v>
      </c>
      <c r="G139">
        <v>2.6840000000000002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0.93333333333333579</v>
      </c>
      <c r="Q139">
        <f t="shared" ref="Q139" si="671">F139*P139</f>
        <v>867502.16000000224</v>
      </c>
      <c r="R139">
        <f t="shared" ref="R139" si="672">R140+Q139</f>
        <v>-19585958.526095536</v>
      </c>
      <c r="S139">
        <f t="shared" ref="S139" si="673">R139/100000</f>
        <v>-195.85958526095536</v>
      </c>
      <c r="T139">
        <f t="shared" ref="T139" si="674">S139/1000</f>
        <v>-0.19585958526095534</v>
      </c>
    </row>
    <row r="140" spans="1:20" x14ac:dyDescent="0.25">
      <c r="A140" s="5">
        <v>44453</v>
      </c>
      <c r="B140">
        <v>2.508</v>
      </c>
      <c r="C140">
        <v>2.609</v>
      </c>
      <c r="D140">
        <v>2.4500000000000002</v>
      </c>
      <c r="E140">
        <v>2.6030000000000002</v>
      </c>
      <c r="F140">
        <v>1161618.5</v>
      </c>
      <c r="G140">
        <v>2.6030000000000002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0.92452830188679513</v>
      </c>
      <c r="Q140">
        <f t="shared" ref="Q140" si="676">F140*P140</f>
        <v>1073949.1792452862</v>
      </c>
      <c r="R140">
        <f t="shared" ref="R140" si="677">R141+Q140</f>
        <v>-20453460.686095539</v>
      </c>
      <c r="S140">
        <f t="shared" ref="S140" si="678">R140/100000</f>
        <v>-204.53460686095539</v>
      </c>
      <c r="T140">
        <f t="shared" ref="T140" si="679">S140/1000</f>
        <v>-0.2045346068609554</v>
      </c>
    </row>
    <row r="141" spans="1:20" x14ac:dyDescent="0.25">
      <c r="A141" s="5">
        <v>44452</v>
      </c>
      <c r="B141">
        <v>2.7109999999999999</v>
      </c>
      <c r="C141">
        <v>2.72</v>
      </c>
      <c r="D141">
        <v>2.3719999999999999</v>
      </c>
      <c r="E141">
        <v>2.512</v>
      </c>
      <c r="F141">
        <v>1569929.8</v>
      </c>
      <c r="G141">
        <v>2.512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-0.19540229885057472</v>
      </c>
      <c r="Q141">
        <f t="shared" ref="Q141" si="681">F141*P141</f>
        <v>-306767.89195402304</v>
      </c>
      <c r="R141">
        <f t="shared" ref="R141" si="682">R142+Q141</f>
        <v>-21527409.865340825</v>
      </c>
      <c r="S141">
        <f t="shared" ref="S141" si="683">R141/100000</f>
        <v>-215.27409865340826</v>
      </c>
      <c r="T141">
        <f t="shared" ref="T141" si="684">S141/1000</f>
        <v>-0.21527409865340827</v>
      </c>
    </row>
    <row r="142" spans="1:20" x14ac:dyDescent="0.25">
      <c r="A142" s="5">
        <v>44451</v>
      </c>
      <c r="B142">
        <v>2.7040000000000002</v>
      </c>
      <c r="C142">
        <v>2.843</v>
      </c>
      <c r="D142">
        <v>2.5659999999999998</v>
      </c>
      <c r="E142">
        <v>2.7160000000000002</v>
      </c>
      <c r="F142">
        <v>2646803.7000000002</v>
      </c>
      <c r="G142">
        <v>2.7160000000000002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8.3032490974731282E-2</v>
      </c>
      <c r="Q142">
        <f t="shared" ref="Q142" si="686">F142*P142</f>
        <v>219770.70433213538</v>
      </c>
      <c r="R142">
        <f t="shared" ref="R142" si="687">R143+Q142</f>
        <v>-21220641.973386802</v>
      </c>
      <c r="S142">
        <f t="shared" ref="S142" si="688">R142/100000</f>
        <v>-212.20641973386802</v>
      </c>
      <c r="T142">
        <f t="shared" ref="T142" si="689">S142/1000</f>
        <v>-0.21220641973386803</v>
      </c>
    </row>
    <row r="143" spans="1:20" x14ac:dyDescent="0.25">
      <c r="A143" s="5">
        <v>44450</v>
      </c>
      <c r="B143">
        <v>2.5649999999999999</v>
      </c>
      <c r="C143">
        <v>2.9980000000000002</v>
      </c>
      <c r="D143">
        <v>2.38</v>
      </c>
      <c r="E143">
        <v>2.7010000000000001</v>
      </c>
      <c r="F143">
        <v>2808251.2</v>
      </c>
      <c r="G143">
        <v>2.7010000000000001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3.883495145631069E-2</v>
      </c>
      <c r="Q143">
        <f t="shared" ref="Q143" si="691">F143*P143</f>
        <v>109058.29902912625</v>
      </c>
      <c r="R143">
        <f t="shared" ref="R143" si="692">R144+Q143</f>
        <v>-21440412.677718937</v>
      </c>
      <c r="S143">
        <f t="shared" ref="S143" si="693">R143/100000</f>
        <v>-214.40412677718936</v>
      </c>
      <c r="T143">
        <f t="shared" ref="T143" si="694">S143/1000</f>
        <v>-0.21440412677718937</v>
      </c>
    </row>
    <row r="144" spans="1:20" x14ac:dyDescent="0.25">
      <c r="A144" s="5">
        <v>44449</v>
      </c>
      <c r="B144">
        <v>2.42</v>
      </c>
      <c r="C144">
        <v>2.6459999999999999</v>
      </c>
      <c r="D144">
        <v>2.3109999999999999</v>
      </c>
      <c r="E144">
        <v>2.573</v>
      </c>
      <c r="F144">
        <v>2753834.9</v>
      </c>
      <c r="G144">
        <v>2.573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0.56417910447761221</v>
      </c>
      <c r="Q144">
        <f t="shared" ref="Q144" si="696">F144*P144</f>
        <v>1553656.1077611947</v>
      </c>
      <c r="R144">
        <f t="shared" ref="R144" si="697">R145+Q144</f>
        <v>-21549470.976748064</v>
      </c>
      <c r="S144">
        <f t="shared" ref="S144" si="698">R144/100000</f>
        <v>-215.49470976748063</v>
      </c>
      <c r="T144">
        <f t="shared" ref="T144" si="699">S144/1000</f>
        <v>-0.21549470976748064</v>
      </c>
    </row>
    <row r="145" spans="1:20" x14ac:dyDescent="0.25">
      <c r="A145" s="5">
        <v>44448</v>
      </c>
      <c r="B145">
        <v>2.38</v>
      </c>
      <c r="C145">
        <v>2.5</v>
      </c>
      <c r="D145">
        <v>2.2999999999999998</v>
      </c>
      <c r="E145">
        <v>2.427</v>
      </c>
      <c r="F145">
        <v>1434033.1</v>
      </c>
      <c r="G145">
        <v>2.427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0.27000000000000113</v>
      </c>
      <c r="Q145">
        <f t="shared" ref="Q145" si="701">F145*P145</f>
        <v>387188.93700000166</v>
      </c>
      <c r="R145">
        <f t="shared" ref="R145" si="702">R146+Q145</f>
        <v>-23103127.084509257</v>
      </c>
      <c r="S145">
        <f t="shared" ref="S145" si="703">R145/100000</f>
        <v>-231.03127084509256</v>
      </c>
      <c r="T145">
        <f t="shared" ref="T145" si="704">S145/1000</f>
        <v>-0.23103127084509256</v>
      </c>
    </row>
    <row r="146" spans="1:20" x14ac:dyDescent="0.25">
      <c r="A146" s="5">
        <v>44447</v>
      </c>
      <c r="B146">
        <v>2.3180000000000001</v>
      </c>
      <c r="C146">
        <v>2.4380000000000002</v>
      </c>
      <c r="D146">
        <v>2.0099999999999998</v>
      </c>
      <c r="E146">
        <v>2.387</v>
      </c>
      <c r="F146">
        <v>1978422.59</v>
      </c>
      <c r="G146">
        <v>2.387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0.76168224299065368</v>
      </c>
      <c r="Q146">
        <f t="shared" ref="Q146" si="706">F146*P146</f>
        <v>1506929.3559345785</v>
      </c>
      <c r="R146">
        <f t="shared" ref="R146" si="707">R147+Q146</f>
        <v>-23490316.02150926</v>
      </c>
      <c r="S146">
        <f t="shared" ref="S146" si="708">R146/100000</f>
        <v>-234.90316021509261</v>
      </c>
      <c r="T146">
        <f t="shared" ref="T146" si="709">S146/1000</f>
        <v>-0.23490316021509261</v>
      </c>
    </row>
    <row r="147" spans="1:20" x14ac:dyDescent="0.25">
      <c r="A147" s="5">
        <v>44446</v>
      </c>
      <c r="B147">
        <v>2.9329999999999998</v>
      </c>
      <c r="C147">
        <v>2.9380000000000002</v>
      </c>
      <c r="D147">
        <v>2.2000000000000002</v>
      </c>
      <c r="E147">
        <v>2.319</v>
      </c>
      <c r="F147">
        <v>2294638.4</v>
      </c>
      <c r="G147">
        <v>2.319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-0.67750677506775125</v>
      </c>
      <c r="Q147">
        <f t="shared" ref="Q147" si="711">F147*P147</f>
        <v>-1554633.0623306246</v>
      </c>
      <c r="R147">
        <f t="shared" ref="R147" si="712">R148+Q147</f>
        <v>-24997245.377443839</v>
      </c>
      <c r="S147">
        <f t="shared" ref="S147" si="713">R147/100000</f>
        <v>-249.97245377443838</v>
      </c>
      <c r="T147">
        <f t="shared" ref="T147" si="714">S147/1000</f>
        <v>-0.24997245377443839</v>
      </c>
    </row>
    <row r="148" spans="1:20" x14ac:dyDescent="0.25">
      <c r="A148" s="5">
        <v>44445</v>
      </c>
      <c r="B148">
        <v>2.7349999999999999</v>
      </c>
      <c r="C148">
        <v>3.008</v>
      </c>
      <c r="D148">
        <v>2.7210000000000001</v>
      </c>
      <c r="E148">
        <v>2.9319999999999999</v>
      </c>
      <c r="F148">
        <v>2473630.7999999998</v>
      </c>
      <c r="G148">
        <v>2.9319999999999999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0.47038327526132345</v>
      </c>
      <c r="Q148">
        <f t="shared" ref="Q148" si="716">F148*P148</f>
        <v>1163554.5574912876</v>
      </c>
      <c r="R148">
        <f t="shared" ref="R148" si="717">R149+Q148</f>
        <v>-23442612.315113213</v>
      </c>
      <c r="S148">
        <f t="shared" ref="S148" si="718">R148/100000</f>
        <v>-234.42612315113212</v>
      </c>
      <c r="T148">
        <f t="shared" ref="T148" si="719">S148/1000</f>
        <v>-0.23442612315113212</v>
      </c>
    </row>
    <row r="149" spans="1:20" x14ac:dyDescent="0.25">
      <c r="A149" s="5">
        <v>44444</v>
      </c>
      <c r="B149">
        <v>2.7269999999999999</v>
      </c>
      <c r="C149">
        <v>3.22</v>
      </c>
      <c r="D149">
        <v>2.6640000000000001</v>
      </c>
      <c r="E149">
        <v>2.7280000000000002</v>
      </c>
      <c r="F149">
        <v>3692322.5</v>
      </c>
      <c r="G149">
        <v>2.7280000000000002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-0.76978417266187027</v>
      </c>
      <c r="Q149">
        <f t="shared" ref="Q149" si="721">F149*P149</f>
        <v>-2842291.4208633085</v>
      </c>
      <c r="R149">
        <f t="shared" ref="R149" si="722">R150+Q149</f>
        <v>-24606166.872604501</v>
      </c>
      <c r="S149">
        <f t="shared" ref="S149" si="723">R149/100000</f>
        <v>-246.06166872604501</v>
      </c>
      <c r="T149">
        <f t="shared" ref="T149" si="724">S149/1000</f>
        <v>-0.24606166872604501</v>
      </c>
    </row>
    <row r="150" spans="1:20" x14ac:dyDescent="0.25">
      <c r="A150" s="5">
        <v>44443</v>
      </c>
      <c r="B150">
        <v>2.5419999999999998</v>
      </c>
      <c r="C150">
        <v>2.8250000000000002</v>
      </c>
      <c r="D150">
        <v>2.5030000000000001</v>
      </c>
      <c r="E150">
        <v>2.7229999999999999</v>
      </c>
      <c r="F150">
        <v>2480993.6</v>
      </c>
      <c r="G150">
        <v>2.7229999999999999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0.36645962732919074</v>
      </c>
      <c r="Q150">
        <f t="shared" ref="Q150" si="726">F150*P150</f>
        <v>909183.99006210733</v>
      </c>
      <c r="R150">
        <f t="shared" ref="R150" si="727">R151+Q150</f>
        <v>-21763875.451741192</v>
      </c>
      <c r="S150">
        <f t="shared" ref="S150" si="728">R150/100000</f>
        <v>-217.63875451741191</v>
      </c>
      <c r="T150">
        <f t="shared" ref="T150" si="729">S150/1000</f>
        <v>-0.21763875451741191</v>
      </c>
    </row>
    <row r="151" spans="1:20" x14ac:dyDescent="0.25">
      <c r="A151" s="5">
        <v>44442</v>
      </c>
      <c r="B151">
        <v>2.4420000000000002</v>
      </c>
      <c r="C151">
        <v>2.5630000000000002</v>
      </c>
      <c r="D151">
        <v>2.3650000000000002</v>
      </c>
      <c r="E151">
        <v>2.5449999999999999</v>
      </c>
      <c r="F151">
        <v>1606406.3</v>
      </c>
      <c r="G151">
        <v>2.5449999999999999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0.81818181818181579</v>
      </c>
      <c r="Q151">
        <f t="shared" ref="Q151" si="731">F151*P151</f>
        <v>1314332.4272727235</v>
      </c>
      <c r="R151">
        <f t="shared" ref="R151" si="732">R152+Q151</f>
        <v>-22673059.441803299</v>
      </c>
      <c r="S151">
        <f t="shared" ref="S151" si="733">R151/100000</f>
        <v>-226.73059441803298</v>
      </c>
      <c r="T151">
        <f t="shared" ref="T151" si="734">S151/1000</f>
        <v>-0.22673059441803298</v>
      </c>
    </row>
    <row r="152" spans="1:20" x14ac:dyDescent="0.25">
      <c r="A152" s="5">
        <v>44441</v>
      </c>
      <c r="B152">
        <v>2.387</v>
      </c>
      <c r="C152">
        <v>2.681</v>
      </c>
      <c r="D152">
        <v>2.387</v>
      </c>
      <c r="E152">
        <v>2.4420000000000002</v>
      </c>
      <c r="F152">
        <v>2863613.47</v>
      </c>
      <c r="G152">
        <v>2.4420000000000002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-0.62585034013605334</v>
      </c>
      <c r="Q152">
        <f t="shared" ref="Q152" si="736">F152*P152</f>
        <v>-1792193.464217684</v>
      </c>
      <c r="R152">
        <f t="shared" ref="R152" si="737">R153+Q152</f>
        <v>-23987391.869076021</v>
      </c>
      <c r="S152">
        <f t="shared" ref="S152" si="738">R152/100000</f>
        <v>-239.87391869076021</v>
      </c>
      <c r="T152">
        <f t="shared" ref="T152" si="739">S152/1000</f>
        <v>-0.23987391869076022</v>
      </c>
    </row>
    <row r="153" spans="1:20" x14ac:dyDescent="0.25">
      <c r="A153" s="5">
        <v>44440</v>
      </c>
      <c r="B153">
        <v>2.33</v>
      </c>
      <c r="C153">
        <v>2.39</v>
      </c>
      <c r="D153">
        <v>2.2389999999999999</v>
      </c>
      <c r="E153">
        <v>2.387</v>
      </c>
      <c r="F153">
        <v>1121857.7</v>
      </c>
      <c r="G153">
        <v>2.387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0.96026490066225023</v>
      </c>
      <c r="Q153">
        <f t="shared" ref="Q153" si="741">F153*P153</f>
        <v>1077280.5728476804</v>
      </c>
      <c r="R153">
        <f t="shared" ref="R153" si="742">R154+Q153</f>
        <v>-22195198.404858336</v>
      </c>
      <c r="S153">
        <f t="shared" ref="S153" si="743">R153/100000</f>
        <v>-221.95198404858337</v>
      </c>
      <c r="T153">
        <f t="shared" ref="T153" si="744">S153/1000</f>
        <v>-0.22195198404858338</v>
      </c>
    </row>
    <row r="154" spans="1:20" x14ac:dyDescent="0.25">
      <c r="A154" s="5">
        <v>44439</v>
      </c>
      <c r="B154">
        <v>2.2349999999999999</v>
      </c>
      <c r="C154">
        <v>2.6909999999999998</v>
      </c>
      <c r="D154">
        <v>2.16</v>
      </c>
      <c r="E154">
        <v>2.3319999999999999</v>
      </c>
      <c r="F154">
        <v>3165106.34</v>
      </c>
      <c r="G154">
        <v>2.3319999999999999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-0.35216572504708171</v>
      </c>
      <c r="Q154">
        <f t="shared" ref="Q154" si="746">F154*P154</f>
        <v>-1114641.9690772151</v>
      </c>
      <c r="R154">
        <f t="shared" ref="R154" si="747">R155+Q154</f>
        <v>-23272478.977706015</v>
      </c>
      <c r="S154">
        <f t="shared" ref="S154" si="748">R154/100000</f>
        <v>-232.72478977706015</v>
      </c>
      <c r="T154">
        <f t="shared" ref="T154" si="749">S154/1000</f>
        <v>-0.23272478977706015</v>
      </c>
    </row>
    <row r="155" spans="1:20" x14ac:dyDescent="0.25">
      <c r="A155" s="5">
        <v>44438</v>
      </c>
      <c r="B155">
        <v>2.2610000000000001</v>
      </c>
      <c r="C155">
        <v>2.286</v>
      </c>
      <c r="D155">
        <v>2.1859999999999999</v>
      </c>
      <c r="E155">
        <v>2.2250000000000001</v>
      </c>
      <c r="F155">
        <v>1004714.2</v>
      </c>
      <c r="G155">
        <v>2.2250000000000001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-0.21999999999999778</v>
      </c>
      <c r="Q155">
        <f t="shared" ref="Q155" si="751">F155*P155</f>
        <v>-221037.12399999777</v>
      </c>
      <c r="R155">
        <f t="shared" ref="R155" si="752">R156+Q155</f>
        <v>-22157837.008628801</v>
      </c>
      <c r="S155">
        <f t="shared" ref="S155" si="753">R155/100000</f>
        <v>-221.578370086288</v>
      </c>
      <c r="T155">
        <f t="shared" ref="T155" si="754">S155/1000</f>
        <v>-0.221578370086288</v>
      </c>
    </row>
    <row r="156" spans="1:20" x14ac:dyDescent="0.25">
      <c r="A156" s="5">
        <v>44437</v>
      </c>
      <c r="B156">
        <v>2.3159999999999998</v>
      </c>
      <c r="C156">
        <v>2.331</v>
      </c>
      <c r="D156">
        <v>2.1930000000000001</v>
      </c>
      <c r="E156">
        <v>2.2650000000000001</v>
      </c>
      <c r="F156">
        <v>1304286.5</v>
      </c>
      <c r="G156">
        <v>2.2650000000000001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4.3478260869566895E-2</v>
      </c>
      <c r="Q156">
        <f t="shared" ref="Q156" si="756">F156*P156</f>
        <v>56708.108695654366</v>
      </c>
      <c r="R156">
        <f t="shared" ref="R156" si="757">R157+Q156</f>
        <v>-21936799.884628803</v>
      </c>
      <c r="S156">
        <f t="shared" ref="S156" si="758">R156/100000</f>
        <v>-219.36799884628803</v>
      </c>
      <c r="T156">
        <f t="shared" ref="T156" si="759">S156/1000</f>
        <v>-0.21936799884628802</v>
      </c>
    </row>
    <row r="157" spans="1:20" x14ac:dyDescent="0.25">
      <c r="A157" s="5">
        <v>44436</v>
      </c>
      <c r="B157">
        <v>2.3340000000000001</v>
      </c>
      <c r="C157">
        <v>2.35</v>
      </c>
      <c r="D157">
        <v>2.2519999999999998</v>
      </c>
      <c r="E157">
        <v>2.3140000000000001</v>
      </c>
      <c r="F157">
        <v>9349547.4000000004</v>
      </c>
      <c r="G157">
        <v>2.3140000000000001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0.26530612244898127</v>
      </c>
      <c r="Q157">
        <f t="shared" ref="Q157" si="761">F157*P157</f>
        <v>2480492.1673469548</v>
      </c>
      <c r="R157">
        <f t="shared" ref="R157" si="762">R158+Q157</f>
        <v>-21993507.993324459</v>
      </c>
      <c r="S157">
        <f t="shared" ref="S157" si="763">R157/100000</f>
        <v>-219.93507993324459</v>
      </c>
      <c r="T157">
        <f t="shared" ref="T157" si="764">S157/1000</f>
        <v>-0.2199350799332446</v>
      </c>
    </row>
    <row r="158" spans="1:20" x14ac:dyDescent="0.25">
      <c r="A158" s="5">
        <v>44435</v>
      </c>
      <c r="B158">
        <v>2.2229999999999999</v>
      </c>
      <c r="C158">
        <v>2.339</v>
      </c>
      <c r="D158">
        <v>2.0950000000000002</v>
      </c>
      <c r="E158">
        <v>2.3330000000000002</v>
      </c>
      <c r="F158">
        <v>887464.29</v>
      </c>
      <c r="G158">
        <v>2.3330000000000002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0.95081967213114926</v>
      </c>
      <c r="Q158">
        <f t="shared" ref="Q158" si="766">F158*P158</f>
        <v>843818.50524590316</v>
      </c>
      <c r="R158">
        <f t="shared" ref="R158" si="767">R159+Q158</f>
        <v>-24474000.160671413</v>
      </c>
      <c r="S158">
        <f t="shared" ref="S158" si="768">R158/100000</f>
        <v>-244.74000160671412</v>
      </c>
      <c r="T158">
        <f t="shared" ref="T158" si="769">S158/1000</f>
        <v>-0.24474000160671411</v>
      </c>
    </row>
    <row r="159" spans="1:20" x14ac:dyDescent="0.25">
      <c r="A159" s="5">
        <v>44434</v>
      </c>
      <c r="B159">
        <v>2.3729</v>
      </c>
      <c r="C159">
        <v>2.4933999999999998</v>
      </c>
      <c r="D159">
        <v>2.173</v>
      </c>
      <c r="E159">
        <v>2.2229999999999999</v>
      </c>
      <c r="F159">
        <v>1482813.05</v>
      </c>
      <c r="G159">
        <v>2.2229999999999999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-0.68789013732834048</v>
      </c>
      <c r="Q159">
        <f t="shared" ref="Q159" si="771">F159*P159</f>
        <v>-1020012.4725967555</v>
      </c>
      <c r="R159">
        <f t="shared" ref="R159" si="772">R160+Q159</f>
        <v>-25317818.665917315</v>
      </c>
      <c r="S159">
        <f t="shared" ref="S159" si="773">R159/100000</f>
        <v>-253.17818665917315</v>
      </c>
      <c r="T159">
        <f t="shared" ref="T159" si="774">S159/1000</f>
        <v>-0.25317818665917313</v>
      </c>
    </row>
    <row r="160" spans="1:20" x14ac:dyDescent="0.25">
      <c r="A160" s="5">
        <v>44433</v>
      </c>
      <c r="B160">
        <v>2.3048999999999999</v>
      </c>
      <c r="C160">
        <v>2.3811</v>
      </c>
      <c r="D160">
        <v>2.1501000000000001</v>
      </c>
      <c r="E160">
        <v>2.3708</v>
      </c>
      <c r="F160">
        <v>1747116.99</v>
      </c>
      <c r="G160">
        <v>2.3708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0.91082251082251098</v>
      </c>
      <c r="Q160">
        <f t="shared" ref="Q160" si="776">F160*P160</f>
        <v>1591313.4835324679</v>
      </c>
      <c r="R160">
        <f t="shared" ref="R160" si="777">R161+Q160</f>
        <v>-24297806.193320557</v>
      </c>
      <c r="S160">
        <f t="shared" ref="S160" si="778">R160/100000</f>
        <v>-242.97806193320557</v>
      </c>
      <c r="T160">
        <f t="shared" ref="T160" si="779">S160/1000</f>
        <v>-0.24297806193320556</v>
      </c>
    </row>
    <row r="161" spans="1:20" x14ac:dyDescent="0.25">
      <c r="A161" s="5">
        <v>44432</v>
      </c>
      <c r="B161">
        <v>2.4045000000000001</v>
      </c>
      <c r="C161">
        <v>2.5097</v>
      </c>
      <c r="D161">
        <v>2.2200000000000002</v>
      </c>
      <c r="E161">
        <v>2.3172999999999999</v>
      </c>
      <c r="F161">
        <v>2179318.1800000002</v>
      </c>
      <c r="G161">
        <v>2.3172999999999999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-0.32827062478426117</v>
      </c>
      <c r="Q161">
        <f t="shared" ref="Q161" si="781">F161*P161</f>
        <v>-715406.14055229898</v>
      </c>
      <c r="R161">
        <f t="shared" ref="R161" si="782">R162+Q161</f>
        <v>-25889119.676853023</v>
      </c>
      <c r="S161">
        <f t="shared" ref="S161" si="783">R161/100000</f>
        <v>-258.89119676853022</v>
      </c>
      <c r="T161">
        <f t="shared" ref="T161" si="784">S161/1000</f>
        <v>-0.25889119676853023</v>
      </c>
    </row>
    <row r="162" spans="1:20" x14ac:dyDescent="0.25">
      <c r="A162" s="5">
        <v>44431</v>
      </c>
      <c r="B162">
        <v>2.3460000000000001</v>
      </c>
      <c r="C162">
        <v>2.4270999999999998</v>
      </c>
      <c r="D162">
        <v>2.3003999999999998</v>
      </c>
      <c r="E162">
        <v>2.4024999999999999</v>
      </c>
      <c r="F162">
        <v>1618223.17</v>
      </c>
      <c r="G162">
        <v>2.4024999999999999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0.61168113654301581</v>
      </c>
      <c r="Q162">
        <f t="shared" ref="Q162" si="786">F162*P162</f>
        <v>989836.58780584182</v>
      </c>
      <c r="R162">
        <f t="shared" ref="R162" si="787">R163+Q162</f>
        <v>-25173713.536300726</v>
      </c>
      <c r="S162">
        <f t="shared" ref="S162" si="788">R162/100000</f>
        <v>-251.73713536300727</v>
      </c>
      <c r="T162">
        <f t="shared" ref="T162" si="789">S162/1000</f>
        <v>-0.25173713536300729</v>
      </c>
    </row>
    <row r="163" spans="1:20" x14ac:dyDescent="0.25">
      <c r="A163" s="5">
        <v>44430</v>
      </c>
      <c r="B163">
        <v>2.2204000000000002</v>
      </c>
      <c r="C163">
        <v>2.4554</v>
      </c>
      <c r="D163">
        <v>2.2061000000000002</v>
      </c>
      <c r="E163">
        <v>2.4405000000000001</v>
      </c>
      <c r="F163">
        <v>1015015.26</v>
      </c>
      <c r="G163">
        <v>2.4405000000000001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0.88046530284797497</v>
      </c>
      <c r="Q163">
        <f t="shared" ref="Q163" si="791">F163*P163</f>
        <v>893685.71829121606</v>
      </c>
      <c r="R163">
        <f t="shared" ref="R163" si="792">R164+Q163</f>
        <v>-26163550.124106567</v>
      </c>
      <c r="S163">
        <f t="shared" ref="S163" si="793">R163/100000</f>
        <v>-261.6355012410657</v>
      </c>
      <c r="T163">
        <f t="shared" ref="T163" si="794">S163/1000</f>
        <v>-0.26163550124106572</v>
      </c>
    </row>
    <row r="164" spans="1:20" x14ac:dyDescent="0.25">
      <c r="A164" s="5">
        <v>44429</v>
      </c>
      <c r="B164">
        <v>2.2105000000000001</v>
      </c>
      <c r="C164">
        <v>2.323</v>
      </c>
      <c r="D164">
        <v>2.1379000000000001</v>
      </c>
      <c r="E164">
        <v>2.2262</v>
      </c>
      <c r="F164">
        <v>1597011.08</v>
      </c>
      <c r="G164">
        <v>2.2262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-4.5921123716910761E-2</v>
      </c>
      <c r="Q164">
        <f t="shared" ref="Q164" si="796">F164*P164</f>
        <v>-73336.543381957279</v>
      </c>
      <c r="R164">
        <f t="shared" ref="R164" si="797">R165+Q164</f>
        <v>-27057235.842397783</v>
      </c>
      <c r="S164">
        <f t="shared" ref="S164" si="798">R164/100000</f>
        <v>-270.57235842397785</v>
      </c>
      <c r="T164">
        <f t="shared" ref="T164" si="799">S164/1000</f>
        <v>-0.27057235842397787</v>
      </c>
    </row>
    <row r="165" spans="1:20" x14ac:dyDescent="0.25">
      <c r="A165" s="5">
        <v>44428</v>
      </c>
      <c r="B165">
        <v>2.1341000000000001</v>
      </c>
      <c r="C165">
        <v>2.2168999999999999</v>
      </c>
      <c r="D165">
        <v>2.0853000000000002</v>
      </c>
      <c r="E165">
        <v>2.2105000000000001</v>
      </c>
      <c r="F165">
        <v>1295955.31</v>
      </c>
      <c r="G165">
        <v>2.2105000000000001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0.90273556231003416</v>
      </c>
      <c r="Q165">
        <f t="shared" ref="Q165" si="801">F165*P165</f>
        <v>1169904.9455015247</v>
      </c>
      <c r="R165">
        <f t="shared" ref="R165" si="802">R166+Q165</f>
        <v>-26983899.299015827</v>
      </c>
      <c r="S165">
        <f t="shared" ref="S165" si="803">R165/100000</f>
        <v>-269.83899299015826</v>
      </c>
      <c r="T165">
        <f t="shared" ref="T165" si="804">S165/1000</f>
        <v>-0.26983899299015823</v>
      </c>
    </row>
    <row r="166" spans="1:20" x14ac:dyDescent="0.25">
      <c r="A166" s="5">
        <v>44427</v>
      </c>
      <c r="B166">
        <v>2.0472999999999999</v>
      </c>
      <c r="C166">
        <v>2.1343999999999999</v>
      </c>
      <c r="D166">
        <v>1.9712000000000001</v>
      </c>
      <c r="E166">
        <v>2.1303000000000001</v>
      </c>
      <c r="F166">
        <v>1284285.24</v>
      </c>
      <c r="G166">
        <v>2.1303000000000001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0.94975490196078705</v>
      </c>
      <c r="Q166">
        <f t="shared" ref="Q166" si="806">F166*P166</f>
        <v>1219756.2022058859</v>
      </c>
      <c r="R166">
        <f t="shared" ref="R166" si="807">R167+Q166</f>
        <v>-28153804.244517352</v>
      </c>
      <c r="S166">
        <f t="shared" ref="S166" si="808">R166/100000</f>
        <v>-281.53804244517352</v>
      </c>
      <c r="T166">
        <f t="shared" ref="T166" si="809">S166/1000</f>
        <v>-0.2815380424451735</v>
      </c>
    </row>
    <row r="167" spans="1:20" x14ac:dyDescent="0.25">
      <c r="A167" s="5">
        <v>44426</v>
      </c>
      <c r="B167">
        <v>2.1063999999999998</v>
      </c>
      <c r="C167">
        <v>2.1274999999999999</v>
      </c>
      <c r="D167">
        <v>2</v>
      </c>
      <c r="E167">
        <v>2.0449000000000002</v>
      </c>
      <c r="F167">
        <v>1471089.11</v>
      </c>
      <c r="G167">
        <v>2.0449000000000002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-0.29568627450980106</v>
      </c>
      <c r="Q167">
        <f t="shared" ref="Q167" si="811">F167*P167</f>
        <v>-434980.85840783897</v>
      </c>
      <c r="R167">
        <f t="shared" ref="R167" si="812">R168+Q167</f>
        <v>-29373560.446723238</v>
      </c>
      <c r="S167">
        <f t="shared" ref="S167" si="813">R167/100000</f>
        <v>-293.73560446723235</v>
      </c>
      <c r="T167">
        <f t="shared" ref="T167" si="814">S167/1000</f>
        <v>-0.29373560446723235</v>
      </c>
    </row>
    <row r="168" spans="1:20" x14ac:dyDescent="0.25">
      <c r="A168" s="5">
        <v>44425</v>
      </c>
      <c r="B168">
        <v>2.2521</v>
      </c>
      <c r="C168">
        <v>2.2883</v>
      </c>
      <c r="D168">
        <v>2.0844</v>
      </c>
      <c r="E168">
        <v>2.1063999999999998</v>
      </c>
      <c r="F168">
        <v>1567623.36</v>
      </c>
      <c r="G168">
        <v>2.1063999999999998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-0.78420794507111524</v>
      </c>
      <c r="Q168">
        <f t="shared" ref="Q168" si="816">F168*P168</f>
        <v>-1229342.6937910772</v>
      </c>
      <c r="R168">
        <f t="shared" ref="R168" si="817">R169+Q168</f>
        <v>-28938579.588315398</v>
      </c>
      <c r="S168">
        <f t="shared" ref="S168" si="818">R168/100000</f>
        <v>-289.385795883154</v>
      </c>
      <c r="T168">
        <f t="shared" ref="T168" si="819">S168/1000</f>
        <v>-0.289385795883154</v>
      </c>
    </row>
    <row r="169" spans="1:20" x14ac:dyDescent="0.25">
      <c r="A169" s="5">
        <v>44424</v>
      </c>
      <c r="B169">
        <v>2.3172999999999999</v>
      </c>
      <c r="C169">
        <v>2.36</v>
      </c>
      <c r="D169">
        <v>2.2101000000000002</v>
      </c>
      <c r="E169">
        <v>2.2538999999999998</v>
      </c>
      <c r="F169">
        <v>1371540.97</v>
      </c>
      <c r="G169">
        <v>2.2538999999999998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-0.41561040693796258</v>
      </c>
      <c r="Q169">
        <f t="shared" ref="Q169" si="821">F169*P169</f>
        <v>-570026.70067378797</v>
      </c>
      <c r="R169">
        <f t="shared" ref="R169" si="822">R170+Q169</f>
        <v>-27709236.894524321</v>
      </c>
      <c r="S169">
        <f t="shared" ref="S169" si="823">R169/100000</f>
        <v>-277.09236894524321</v>
      </c>
      <c r="T169">
        <f t="shared" ref="T169" si="824">S169/1000</f>
        <v>-0.27709236894524319</v>
      </c>
    </row>
    <row r="170" spans="1:20" x14ac:dyDescent="0.25">
      <c r="A170" s="5">
        <v>44423</v>
      </c>
      <c r="B170">
        <v>2.3067000000000002</v>
      </c>
      <c r="C170">
        <v>2.3239999999999998</v>
      </c>
      <c r="D170">
        <v>2.1772999999999998</v>
      </c>
      <c r="E170">
        <v>2.3106</v>
      </c>
      <c r="F170">
        <v>2119445.17</v>
      </c>
      <c r="G170">
        <v>2.3106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0.81731424676210152</v>
      </c>
      <c r="Q170">
        <f t="shared" ref="Q170" si="826">F170*P170</f>
        <v>1732252.7326721242</v>
      </c>
      <c r="R170">
        <f t="shared" ref="R170" si="827">R171+Q170</f>
        <v>-27139210.193850532</v>
      </c>
      <c r="S170">
        <f t="shared" ref="S170" si="828">R170/100000</f>
        <v>-271.39210193850533</v>
      </c>
      <c r="T170">
        <f t="shared" ref="T170" si="829">S170/1000</f>
        <v>-0.27139210193850533</v>
      </c>
    </row>
    <row r="171" spans="1:20" x14ac:dyDescent="0.25">
      <c r="A171" s="5">
        <v>44422</v>
      </c>
      <c r="B171">
        <v>2.2006999999999999</v>
      </c>
      <c r="C171">
        <v>2.33</v>
      </c>
      <c r="D171">
        <v>2.1452</v>
      </c>
      <c r="E171">
        <v>2.3014000000000001</v>
      </c>
      <c r="F171">
        <v>2342786.7400000002</v>
      </c>
      <c r="G171">
        <v>2.3014000000000001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0.69047619047619102</v>
      </c>
      <c r="Q171">
        <f t="shared" ref="Q171" si="831">F171*P171</f>
        <v>1617638.4633333348</v>
      </c>
      <c r="R171">
        <f t="shared" ref="R171" si="832">R172+Q171</f>
        <v>-28871462.926522657</v>
      </c>
      <c r="S171">
        <f t="shared" ref="S171" si="833">R171/100000</f>
        <v>-288.71462926522656</v>
      </c>
      <c r="T171">
        <f t="shared" ref="T171" si="834">S171/1000</f>
        <v>-0.28871462926522656</v>
      </c>
    </row>
    <row r="172" spans="1:20" x14ac:dyDescent="0.25">
      <c r="A172" s="5">
        <v>44421</v>
      </c>
      <c r="B172">
        <v>2.0596999999999999</v>
      </c>
      <c r="C172">
        <v>2.2050000000000001</v>
      </c>
      <c r="D172">
        <v>2.0390999999999999</v>
      </c>
      <c r="E172">
        <v>2.2010000000000001</v>
      </c>
      <c r="F172">
        <v>1337466.55</v>
      </c>
      <c r="G172">
        <v>2.2010000000000001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0.95177817962628086</v>
      </c>
      <c r="Q172">
        <f t="shared" ref="Q172" si="836">F172*P172</f>
        <v>1272971.4782700422</v>
      </c>
      <c r="R172">
        <f t="shared" ref="R172" si="837">R173+Q172</f>
        <v>-30489101.389855992</v>
      </c>
      <c r="S172">
        <f t="shared" ref="S172" si="838">R172/100000</f>
        <v>-304.89101389855995</v>
      </c>
      <c r="T172">
        <f t="shared" ref="T172" si="839">S172/1000</f>
        <v>-0.30489101389855994</v>
      </c>
    </row>
    <row r="173" spans="1:20" x14ac:dyDescent="0.25">
      <c r="A173" s="5">
        <v>44420</v>
      </c>
      <c r="B173">
        <v>2.1615000000000002</v>
      </c>
      <c r="C173">
        <v>2.2471000000000001</v>
      </c>
      <c r="D173">
        <v>1.9881</v>
      </c>
      <c r="E173">
        <v>2.0581999999999998</v>
      </c>
      <c r="F173">
        <v>2310815.6800000002</v>
      </c>
      <c r="G173">
        <v>2.0581999999999998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-0.45868725868726024</v>
      </c>
      <c r="Q173">
        <f t="shared" ref="Q173" si="841">F173*P173</f>
        <v>-1059941.7095907372</v>
      </c>
      <c r="R173">
        <f t="shared" ref="R173" si="842">R174+Q173</f>
        <v>-31762072.868126035</v>
      </c>
      <c r="S173">
        <f t="shared" ref="S173" si="843">R173/100000</f>
        <v>-317.62072868126035</v>
      </c>
      <c r="T173">
        <f t="shared" ref="T173" si="844">S173/1000</f>
        <v>-0.31762072868126034</v>
      </c>
    </row>
    <row r="174" spans="1:20" x14ac:dyDescent="0.25">
      <c r="A174" s="5">
        <v>44419</v>
      </c>
      <c r="B174">
        <v>2.0886</v>
      </c>
      <c r="C174">
        <v>2.2336</v>
      </c>
      <c r="D174">
        <v>2.0565000000000002</v>
      </c>
      <c r="E174">
        <v>2.1617999999999999</v>
      </c>
      <c r="F174">
        <v>2234839.7400000002</v>
      </c>
      <c r="G174">
        <v>2.1617999999999999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0.18915866741953516</v>
      </c>
      <c r="Q174">
        <f t="shared" ref="Q174" si="846">F174*P174</f>
        <v>422739.30711462046</v>
      </c>
      <c r="R174">
        <f t="shared" ref="R174" si="847">R175+Q174</f>
        <v>-30702131.158535298</v>
      </c>
      <c r="S174">
        <f t="shared" ref="S174" si="848">R174/100000</f>
        <v>-307.02131158535298</v>
      </c>
      <c r="T174">
        <f t="shared" ref="T174" si="849">S174/1000</f>
        <v>-0.30702131158535295</v>
      </c>
    </row>
    <row r="175" spans="1:20" x14ac:dyDescent="0.25">
      <c r="A175" s="5">
        <v>44418</v>
      </c>
      <c r="B175">
        <v>2.0621999999999998</v>
      </c>
      <c r="C175">
        <v>2.0922999999999998</v>
      </c>
      <c r="D175">
        <v>1.9818</v>
      </c>
      <c r="E175">
        <v>2.0884</v>
      </c>
      <c r="F175">
        <v>18149663.379999999</v>
      </c>
      <c r="G175">
        <v>2.0884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0.92941176470588605</v>
      </c>
      <c r="Q175">
        <f t="shared" ref="Q175" si="851">F175*P175</f>
        <v>16868510.670823596</v>
      </c>
      <c r="R175">
        <f t="shared" ref="R175" si="852">R176+Q175</f>
        <v>-31124870.465649918</v>
      </c>
      <c r="S175">
        <f t="shared" ref="S175" si="853">R175/100000</f>
        <v>-311.24870465649917</v>
      </c>
      <c r="T175">
        <f t="shared" ref="T175" si="854">S175/1000</f>
        <v>-0.31124870465649918</v>
      </c>
    </row>
    <row r="176" spans="1:20" x14ac:dyDescent="0.25">
      <c r="A176" s="5">
        <v>44417</v>
      </c>
      <c r="B176">
        <v>2.0196999999999998</v>
      </c>
      <c r="C176">
        <v>2.0731000000000002</v>
      </c>
      <c r="D176">
        <v>1.9048</v>
      </c>
      <c r="E176">
        <v>2.0621999999999998</v>
      </c>
      <c r="F176">
        <v>2086025.03</v>
      </c>
      <c r="G176">
        <v>2.0621999999999998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0.87046939988116045</v>
      </c>
      <c r="Q176">
        <f t="shared" ref="Q176" si="856">F176*P176</f>
        <v>1815820.9560011798</v>
      </c>
      <c r="R176">
        <f t="shared" ref="R176" si="857">R177+Q176</f>
        <v>-47993381.136473514</v>
      </c>
      <c r="S176">
        <f t="shared" ref="S176" si="858">R176/100000</f>
        <v>-479.93381136473516</v>
      </c>
      <c r="T176">
        <f t="shared" ref="T176" si="859">S176/1000</f>
        <v>-0.47993381136473517</v>
      </c>
    </row>
    <row r="177" spans="1:20" x14ac:dyDescent="0.25">
      <c r="A177" s="5">
        <v>44416</v>
      </c>
      <c r="B177">
        <v>2.1440000000000001</v>
      </c>
      <c r="C177">
        <v>2.1916000000000002</v>
      </c>
      <c r="D177">
        <v>1.9664999999999999</v>
      </c>
      <c r="E177">
        <v>2.0196999999999998</v>
      </c>
      <c r="F177">
        <v>1691673.13</v>
      </c>
      <c r="G177">
        <v>2.0196999999999998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-0.52732119058196492</v>
      </c>
      <c r="Q177">
        <f t="shared" ref="Q177" si="861">F177*P177</f>
        <v>-892055.08898711903</v>
      </c>
      <c r="R177">
        <f t="shared" ref="R177" si="862">R178+Q177</f>
        <v>-49809202.092474692</v>
      </c>
      <c r="S177">
        <f t="shared" ref="S177" si="863">R177/100000</f>
        <v>-498.09202092474692</v>
      </c>
      <c r="T177">
        <f t="shared" ref="T177" si="864">S177/1000</f>
        <v>-0.49809202092474691</v>
      </c>
    </row>
    <row r="178" spans="1:20" x14ac:dyDescent="0.25">
      <c r="A178" s="5">
        <v>44415</v>
      </c>
      <c r="B178">
        <v>2.0179</v>
      </c>
      <c r="C178">
        <v>2.1764000000000001</v>
      </c>
      <c r="D178">
        <v>1.9755</v>
      </c>
      <c r="E178">
        <v>2.1444999999999999</v>
      </c>
      <c r="F178">
        <v>2238625.73</v>
      </c>
      <c r="G178">
        <v>2.1444999999999999</v>
      </c>
      <c r="L178" t="s">
        <v>8</v>
      </c>
      <c r="M178" t="s">
        <v>7</v>
      </c>
      <c r="N178" t="s">
        <v>8</v>
      </c>
      <c r="P178">
        <f t="shared" ref="P178" si="865">IF(C178=D178,0,((E178-D178)-(C178-E178))/(C178-D178))</f>
        <v>0.68242906918864854</v>
      </c>
      <c r="Q178">
        <f t="shared" ref="Q178" si="866">F178*P178</f>
        <v>1527703.2731856587</v>
      </c>
      <c r="R178">
        <f t="shared" ref="R178" si="867">R179+Q178</f>
        <v>-48917147.003487572</v>
      </c>
      <c r="S178">
        <f t="shared" ref="S178" si="868">R178/100000</f>
        <v>-489.17147003487571</v>
      </c>
      <c r="T178">
        <f t="shared" ref="T178" si="869">S178/1000</f>
        <v>-0.48917147003487571</v>
      </c>
    </row>
    <row r="179" spans="1:20" x14ac:dyDescent="0.25">
      <c r="A179" s="5">
        <v>44414</v>
      </c>
      <c r="B179">
        <v>1.9567000000000001</v>
      </c>
      <c r="C179">
        <v>2.0246</v>
      </c>
      <c r="D179">
        <v>1.9054</v>
      </c>
      <c r="E179">
        <v>2.0148999999999999</v>
      </c>
      <c r="F179">
        <v>1624995.3</v>
      </c>
      <c r="G179">
        <v>2.0148999999999999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0.83724832214765021</v>
      </c>
      <c r="Q179">
        <f t="shared" ref="Q179" si="871">F179*P179</f>
        <v>1360524.5884228176</v>
      </c>
      <c r="R179">
        <f t="shared" ref="R179" si="872">R180+Q179</f>
        <v>-50444850.276673228</v>
      </c>
      <c r="S179">
        <f t="shared" ref="S179" si="873">R179/100000</f>
        <v>-504.4485027667323</v>
      </c>
      <c r="T179">
        <f t="shared" ref="T179" si="874">S179/1000</f>
        <v>-0.50444850276673225</v>
      </c>
    </row>
    <row r="180" spans="1:20" x14ac:dyDescent="0.25">
      <c r="A180" s="5">
        <v>44413</v>
      </c>
      <c r="B180">
        <v>1.9436</v>
      </c>
      <c r="C180">
        <v>1.9638</v>
      </c>
      <c r="D180">
        <v>1.8329</v>
      </c>
      <c r="E180">
        <v>1.9567000000000001</v>
      </c>
      <c r="F180">
        <v>1408105.68</v>
      </c>
      <c r="G180">
        <v>1.9567000000000001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0.89152024446142275</v>
      </c>
      <c r="Q180">
        <f t="shared" ref="Q180" si="876">F180*P180</f>
        <v>1255354.7200611178</v>
      </c>
      <c r="R180">
        <f t="shared" ref="R180" si="877">R181+Q180</f>
        <v>-51805374.865096048</v>
      </c>
      <c r="S180">
        <f t="shared" ref="S180" si="878">R180/100000</f>
        <v>-518.05374865096053</v>
      </c>
      <c r="T180">
        <f t="shared" ref="T180" si="879">S180/1000</f>
        <v>-0.51805374865096054</v>
      </c>
    </row>
    <row r="181" spans="1:20" x14ac:dyDescent="0.25">
      <c r="A181" s="5">
        <v>44412</v>
      </c>
      <c r="B181">
        <v>1.8875</v>
      </c>
      <c r="C181">
        <v>1.9801</v>
      </c>
      <c r="D181">
        <v>1.8201000000000001</v>
      </c>
      <c r="E181">
        <v>1.94</v>
      </c>
      <c r="F181">
        <v>1757838.39</v>
      </c>
      <c r="G181">
        <v>1.94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0.49874999999999942</v>
      </c>
      <c r="Q181">
        <f t="shared" ref="Q181" si="881">F181*P181</f>
        <v>876721.89701249893</v>
      </c>
      <c r="R181">
        <f t="shared" ref="R181" si="882">R182+Q181</f>
        <v>-53060729.585157163</v>
      </c>
      <c r="S181">
        <f t="shared" ref="S181" si="883">R181/100000</f>
        <v>-530.60729585157162</v>
      </c>
      <c r="T181">
        <f t="shared" ref="T181" si="884">S181/1000</f>
        <v>-0.53060729585157163</v>
      </c>
    </row>
    <row r="182" spans="1:20" x14ac:dyDescent="0.25">
      <c r="A182" s="5">
        <v>44411</v>
      </c>
      <c r="B182">
        <v>1.9582999999999999</v>
      </c>
      <c r="C182">
        <v>1.9842</v>
      </c>
      <c r="D182">
        <v>1.8184</v>
      </c>
      <c r="E182">
        <v>1.8855</v>
      </c>
      <c r="F182">
        <v>1825321.16</v>
      </c>
      <c r="G182">
        <v>1.8855</v>
      </c>
      <c r="L182" t="s">
        <v>8</v>
      </c>
      <c r="M182" t="s">
        <v>7</v>
      </c>
      <c r="N182" t="s">
        <v>8</v>
      </c>
      <c r="P182">
        <f t="shared" ref="P182" si="885">IF(C182=D182,0,((E182-D182)-(C182-E182))/(C182-D182))</f>
        <v>-0.19059107358263017</v>
      </c>
      <c r="Q182">
        <f t="shared" ref="Q182" si="886">F182*P182</f>
        <v>-347889.91951749183</v>
      </c>
      <c r="R182">
        <f t="shared" ref="R182" si="887">R183+Q182</f>
        <v>-53937451.482169665</v>
      </c>
      <c r="S182">
        <f t="shared" ref="S182" si="888">R182/100000</f>
        <v>-539.37451482169661</v>
      </c>
      <c r="T182">
        <f t="shared" ref="T182" si="889">S182/1000</f>
        <v>-0.53937451482169663</v>
      </c>
    </row>
    <row r="183" spans="1:20" x14ac:dyDescent="0.25">
      <c r="A183" s="5">
        <v>44410</v>
      </c>
      <c r="B183">
        <v>1.8757999999999999</v>
      </c>
      <c r="C183">
        <v>2.2054</v>
      </c>
      <c r="D183">
        <v>1.8183</v>
      </c>
      <c r="E183">
        <v>1.9509000000000001</v>
      </c>
      <c r="F183">
        <v>7290759.4400000004</v>
      </c>
      <c r="G183">
        <v>1.9509000000000001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-0.31490570911909038</v>
      </c>
      <c r="Q183">
        <f t="shared" ref="Q183" si="891">F183*P183</f>
        <v>-2295901.7714699022</v>
      </c>
      <c r="R183">
        <f t="shared" ref="R183" si="892">R184+Q183</f>
        <v>-53589561.562652171</v>
      </c>
      <c r="S183">
        <f t="shared" ref="S183" si="893">R183/100000</f>
        <v>-535.8956156265217</v>
      </c>
      <c r="T183">
        <f t="shared" ref="T183" si="894">S183/1000</f>
        <v>-0.53589561562652166</v>
      </c>
    </row>
    <row r="184" spans="1:20" x14ac:dyDescent="0.25">
      <c r="A184" s="5">
        <v>44409</v>
      </c>
      <c r="B184">
        <v>2.0081000000000002</v>
      </c>
      <c r="C184">
        <v>2.0171999999999999</v>
      </c>
      <c r="D184">
        <v>1.8513999999999999</v>
      </c>
      <c r="E184">
        <v>1.8825000000000001</v>
      </c>
      <c r="F184">
        <v>1731448.56</v>
      </c>
      <c r="G184">
        <v>1.8825000000000001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-0.62484921592279685</v>
      </c>
      <c r="Q184">
        <f t="shared" ref="Q184" si="896">F184*P184</f>
        <v>-1081894.2751266558</v>
      </c>
      <c r="R184">
        <f t="shared" ref="R184" si="897">R185+Q184</f>
        <v>-51293659.791182272</v>
      </c>
      <c r="S184">
        <f t="shared" ref="S184" si="898">R184/100000</f>
        <v>-512.93659791182267</v>
      </c>
      <c r="T184">
        <f t="shared" ref="T184" si="899">S184/1000</f>
        <v>-0.51293659791182267</v>
      </c>
    </row>
    <row r="185" spans="1:20" x14ac:dyDescent="0.25">
      <c r="A185" s="5">
        <v>44408</v>
      </c>
      <c r="B185">
        <v>1.8285</v>
      </c>
      <c r="C185">
        <v>2.0899000000000001</v>
      </c>
      <c r="D185">
        <v>1.7851999999999999</v>
      </c>
      <c r="E185">
        <v>2.016</v>
      </c>
      <c r="F185">
        <v>3542264.61</v>
      </c>
      <c r="G185">
        <v>2.016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0.51493272070889384</v>
      </c>
      <c r="Q185">
        <f t="shared" ref="Q185" si="901">F185*P185</f>
        <v>1824027.9530981288</v>
      </c>
      <c r="R185">
        <f t="shared" ref="R185" si="902">R186+Q185</f>
        <v>-50211765.516055614</v>
      </c>
      <c r="S185">
        <f t="shared" ref="S185" si="903">R185/100000</f>
        <v>-502.11765516055613</v>
      </c>
      <c r="T185">
        <f t="shared" ref="T185" si="904">S185/1000</f>
        <v>-0.50211765516055618</v>
      </c>
    </row>
    <row r="186" spans="1:20" x14ac:dyDescent="0.25">
      <c r="A186" s="5">
        <v>44407</v>
      </c>
      <c r="B186">
        <v>1.7649999999999999</v>
      </c>
      <c r="C186">
        <v>1.8695999999999999</v>
      </c>
      <c r="D186">
        <v>1.6541999999999999</v>
      </c>
      <c r="E186">
        <v>1.8332999999999999</v>
      </c>
      <c r="F186">
        <v>2044211.58</v>
      </c>
      <c r="G186">
        <v>1.8332999999999999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0.66295264623955441</v>
      </c>
      <c r="Q186">
        <f t="shared" ref="Q186" si="906">F186*P186</f>
        <v>1355215.4764345407</v>
      </c>
      <c r="R186">
        <f t="shared" ref="R186" si="907">R187+Q186</f>
        <v>-52035793.46915374</v>
      </c>
      <c r="S186">
        <f t="shared" ref="S186" si="908">R186/100000</f>
        <v>-520.35793469153737</v>
      </c>
      <c r="T186">
        <f t="shared" ref="T186" si="909">S186/1000</f>
        <v>-0.52035793469153735</v>
      </c>
    </row>
    <row r="187" spans="1:20" x14ac:dyDescent="0.25">
      <c r="A187" s="5">
        <v>44406</v>
      </c>
      <c r="B187">
        <v>1.6754</v>
      </c>
      <c r="C187">
        <v>1.8170999999999999</v>
      </c>
      <c r="D187">
        <v>1.62</v>
      </c>
      <c r="E187">
        <v>1.7645</v>
      </c>
      <c r="F187">
        <v>1838767.43</v>
      </c>
      <c r="G187">
        <v>1.7645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0.46626078132927423</v>
      </c>
      <c r="Q187">
        <f t="shared" ref="Q187" si="911">F187*P187</f>
        <v>857345.13859462156</v>
      </c>
      <c r="R187">
        <f t="shared" ref="R187" si="912">R188+Q187</f>
        <v>-53391008.945588283</v>
      </c>
      <c r="S187">
        <f t="shared" ref="S187" si="913">R187/100000</f>
        <v>-533.91008945588283</v>
      </c>
      <c r="T187">
        <f t="shared" ref="T187" si="914">S187/1000</f>
        <v>-0.53391008945588281</v>
      </c>
    </row>
    <row r="188" spans="1:20" x14ac:dyDescent="0.25">
      <c r="A188" s="5">
        <v>44405</v>
      </c>
      <c r="B188">
        <v>1.7043999999999999</v>
      </c>
      <c r="C188">
        <v>1.8290999999999999</v>
      </c>
      <c r="D188">
        <v>1.5953999999999999</v>
      </c>
      <c r="E188">
        <v>1.675</v>
      </c>
      <c r="F188">
        <v>2571901.73</v>
      </c>
      <c r="G188">
        <v>1.675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-0.31878476679503542</v>
      </c>
      <c r="Q188">
        <f t="shared" ref="Q188" si="916">F188*P188</f>
        <v>-819883.09321779816</v>
      </c>
      <c r="R188">
        <f t="shared" ref="R188" si="917">R189+Q188</f>
        <v>-54248354.084182903</v>
      </c>
      <c r="S188">
        <f t="shared" ref="S188" si="918">R188/100000</f>
        <v>-542.48354084182904</v>
      </c>
      <c r="T188">
        <f t="shared" ref="T188" si="919">S188/1000</f>
        <v>-0.54248354084182904</v>
      </c>
    </row>
    <row r="189" spans="1:20" x14ac:dyDescent="0.25">
      <c r="A189" s="5">
        <v>44404</v>
      </c>
      <c r="B189">
        <v>1.6880999999999999</v>
      </c>
      <c r="C189">
        <v>1.72</v>
      </c>
      <c r="D189">
        <v>1.526</v>
      </c>
      <c r="E189">
        <v>1.7028000000000001</v>
      </c>
      <c r="F189">
        <v>2984727.39</v>
      </c>
      <c r="G189">
        <v>1.7028000000000001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0.82268041237113521</v>
      </c>
      <c r="Q189">
        <f t="shared" ref="Q189" si="921">F189*P189</f>
        <v>2455476.7600206221</v>
      </c>
      <c r="R189">
        <f t="shared" ref="R189" si="922">R190+Q189</f>
        <v>-53428470.990965106</v>
      </c>
      <c r="S189">
        <f t="shared" ref="S189" si="923">R189/100000</f>
        <v>-534.28470990965104</v>
      </c>
      <c r="T189">
        <f t="shared" ref="T189" si="924">S189/1000</f>
        <v>-0.53428470990965105</v>
      </c>
    </row>
    <row r="190" spans="1:20" x14ac:dyDescent="0.25">
      <c r="A190" s="5">
        <v>44403</v>
      </c>
      <c r="B190">
        <v>1.5999000000000001</v>
      </c>
      <c r="C190">
        <v>2.0150000000000001</v>
      </c>
      <c r="D190">
        <v>1.5998000000000001</v>
      </c>
      <c r="E190">
        <v>1.6788000000000001</v>
      </c>
      <c r="F190">
        <v>7647914.8899999997</v>
      </c>
      <c r="G190">
        <v>1.6788000000000001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-0.61946050096339134</v>
      </c>
      <c r="Q190">
        <f t="shared" ref="Q190" si="926">F190*P190</f>
        <v>-4737581.1890847795</v>
      </c>
      <c r="R190">
        <f t="shared" ref="R190" si="927">R191+Q190</f>
        <v>-55883947.750985727</v>
      </c>
      <c r="S190">
        <f t="shared" ref="S190" si="928">R190/100000</f>
        <v>-558.83947750985726</v>
      </c>
      <c r="T190">
        <f t="shared" ref="T190" si="929">S190/1000</f>
        <v>-0.5588394775098573</v>
      </c>
    </row>
    <row r="191" spans="1:20" x14ac:dyDescent="0.25">
      <c r="A191" s="5">
        <v>44402</v>
      </c>
      <c r="B191">
        <v>1.5150999999999999</v>
      </c>
      <c r="C191">
        <v>1.66</v>
      </c>
      <c r="D191">
        <v>1.4951000000000001</v>
      </c>
      <c r="E191">
        <v>1.5998000000000001</v>
      </c>
      <c r="F191">
        <v>2964736.54</v>
      </c>
      <c r="G191">
        <v>1.5998000000000001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0.26986052152820045</v>
      </c>
      <c r="Q191">
        <f t="shared" ref="Q191" si="931">F191*P191</f>
        <v>800065.34887811251</v>
      </c>
      <c r="R191">
        <f t="shared" ref="R191" si="932">R192+Q191</f>
        <v>-51146366.561900944</v>
      </c>
      <c r="S191">
        <f t="shared" ref="S191" si="933">R191/100000</f>
        <v>-511.46366561900942</v>
      </c>
      <c r="T191">
        <f t="shared" ref="T191:T197" si="934">S191/1000</f>
        <v>-0.51146366561900947</v>
      </c>
    </row>
    <row r="192" spans="1:20" x14ac:dyDescent="0.25">
      <c r="A192" s="5">
        <v>44401</v>
      </c>
      <c r="B192">
        <v>1.4779</v>
      </c>
      <c r="C192">
        <v>1.5244</v>
      </c>
      <c r="D192">
        <v>1.4435</v>
      </c>
      <c r="E192">
        <v>1.5145999999999999</v>
      </c>
      <c r="F192">
        <v>1291313.3600000001</v>
      </c>
      <c r="G192">
        <v>1.5145999999999999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0.75772558714462213</v>
      </c>
      <c r="Q192">
        <f t="shared" ref="Q192" si="936">F192*P192</f>
        <v>978461.17389369488</v>
      </c>
      <c r="R192">
        <f t="shared" ref="R192" si="937">R193+Q192</f>
        <v>-51946431.910779059</v>
      </c>
      <c r="S192">
        <f t="shared" ref="S192" si="938">R192/100000</f>
        <v>-519.46431910779063</v>
      </c>
      <c r="T192">
        <f t="shared" si="934"/>
        <v>-0.51946431910779067</v>
      </c>
    </row>
    <row r="193" spans="1:20" x14ac:dyDescent="0.25">
      <c r="A193" s="5">
        <v>44400</v>
      </c>
      <c r="B193">
        <v>1.4374</v>
      </c>
      <c r="C193">
        <v>1.4783999999999999</v>
      </c>
      <c r="D193">
        <v>1.3798999999999999</v>
      </c>
      <c r="E193">
        <v>1.4739</v>
      </c>
      <c r="F193">
        <v>1394418.02</v>
      </c>
      <c r="G193">
        <v>1.4739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0.90862944162436654</v>
      </c>
      <c r="Q193">
        <f t="shared" ref="Q193" si="940">F193*P193</f>
        <v>1267009.2669035548</v>
      </c>
      <c r="R193">
        <f t="shared" ref="R193" si="941">R194+Q193</f>
        <v>-52924893.084672756</v>
      </c>
      <c r="S193">
        <f t="shared" ref="S193" si="942">R193/100000</f>
        <v>-529.2489308467276</v>
      </c>
      <c r="T193">
        <f t="shared" si="934"/>
        <v>-0.52924893084672764</v>
      </c>
    </row>
    <row r="194" spans="1:20" x14ac:dyDescent="0.25">
      <c r="A194" s="5">
        <v>44399</v>
      </c>
      <c r="B194">
        <v>1.3791</v>
      </c>
      <c r="C194">
        <v>1.4550000000000001</v>
      </c>
      <c r="D194">
        <v>1.3285</v>
      </c>
      <c r="E194">
        <v>1.4390000000000001</v>
      </c>
      <c r="F194">
        <v>2004136.43</v>
      </c>
      <c r="G194">
        <v>1.4390000000000001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0.74703557312252955</v>
      </c>
      <c r="Q194">
        <f t="shared" ref="Q194" si="944">F194*P194</f>
        <v>1497161.2066007904</v>
      </c>
      <c r="R194">
        <f t="shared" ref="R194" si="945">R195+Q194</f>
        <v>-54191902.351576313</v>
      </c>
      <c r="S194">
        <f t="shared" ref="S194" si="946">R194/100000</f>
        <v>-541.91902351576312</v>
      </c>
      <c r="T194">
        <f t="shared" si="934"/>
        <v>-0.54191902351576315</v>
      </c>
    </row>
    <row r="195" spans="1:20" x14ac:dyDescent="0.25">
      <c r="A195" s="5">
        <v>44398</v>
      </c>
      <c r="B195">
        <v>1.2770999999999999</v>
      </c>
      <c r="C195">
        <v>1.3989</v>
      </c>
      <c r="D195">
        <v>1.2276</v>
      </c>
      <c r="E195">
        <v>1.3849</v>
      </c>
      <c r="F195">
        <v>1957064.68</v>
      </c>
      <c r="G195">
        <v>1.3849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0.83654407472270853</v>
      </c>
      <c r="Q195">
        <f t="shared" ref="Q195" si="948">F195*P195</f>
        <v>1637170.8619030935</v>
      </c>
      <c r="R195">
        <f t="shared" ref="R195" si="949">R196+Q195</f>
        <v>-55689063.558177106</v>
      </c>
      <c r="S195">
        <f t="shared" ref="S195" si="950">R195/100000</f>
        <v>-556.89063558177111</v>
      </c>
      <c r="T195">
        <f t="shared" si="934"/>
        <v>-0.5568906355817711</v>
      </c>
    </row>
    <row r="196" spans="1:20" x14ac:dyDescent="0.25">
      <c r="A196" s="5">
        <v>44397</v>
      </c>
      <c r="B196">
        <v>1.3923000000000001</v>
      </c>
      <c r="C196">
        <v>1.3928</v>
      </c>
      <c r="D196">
        <v>1.206</v>
      </c>
      <c r="E196">
        <v>1.2733000000000001</v>
      </c>
      <c r="F196">
        <v>1663945.87</v>
      </c>
      <c r="G196">
        <v>1.2733000000000001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-0.27944325481798599</v>
      </c>
      <c r="Q196">
        <f t="shared" ref="Q196" si="952">F196*P196</f>
        <v>-464978.4497537454</v>
      </c>
      <c r="R196">
        <f t="shared" ref="R196" si="953">R197+Q196</f>
        <v>-57326234.4200802</v>
      </c>
      <c r="S196">
        <f t="shared" ref="S196" si="954">R196/100000</f>
        <v>-573.26234420080198</v>
      </c>
      <c r="T196">
        <f t="shared" si="934"/>
        <v>-0.57326234420080202</v>
      </c>
    </row>
    <row r="197" spans="1:20" x14ac:dyDescent="0.25">
      <c r="A197" s="5">
        <v>44396</v>
      </c>
      <c r="B197">
        <v>1.496</v>
      </c>
      <c r="C197">
        <v>1.496</v>
      </c>
      <c r="D197">
        <v>1.3569</v>
      </c>
      <c r="E197">
        <v>1.3904000000000001</v>
      </c>
      <c r="F197">
        <v>932492.11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-0.51833213515456389</v>
      </c>
      <c r="Q197">
        <f t="shared" ref="Q197" si="956">F197*P197</f>
        <v>-483340.62639108446</v>
      </c>
      <c r="R197">
        <f t="shared" ref="R197" si="957">R198+Q197</f>
        <v>-56861255.970326453</v>
      </c>
      <c r="S197">
        <f t="shared" ref="S197" si="958">R197/100000</f>
        <v>-568.61255970326454</v>
      </c>
      <c r="T197">
        <f t="shared" si="934"/>
        <v>-0.56861255970326452</v>
      </c>
    </row>
    <row r="198" spans="1:20" x14ac:dyDescent="0.25">
      <c r="A198" s="5">
        <v>44395</v>
      </c>
      <c r="B198">
        <v>1.5019</v>
      </c>
      <c r="C198">
        <v>1.5399</v>
      </c>
      <c r="D198">
        <v>1.4553</v>
      </c>
      <c r="E198">
        <v>1.4937</v>
      </c>
      <c r="F198">
        <v>1190681.55</v>
      </c>
      <c r="G198">
        <v>0</v>
      </c>
      <c r="L198" t="s">
        <v>7</v>
      </c>
      <c r="M198" t="s">
        <v>8</v>
      </c>
      <c r="N198" t="s">
        <v>7</v>
      </c>
      <c r="P198">
        <f t="shared" ref="P198:P261" si="959">IF(C198=D198,0,((E198-D198)-(C198-E198))/(C198-D198))</f>
        <v>-9.2198581560284029E-2</v>
      </c>
      <c r="Q198">
        <f t="shared" ref="Q198:Q261" si="960">F198*P198</f>
        <v>-109779.15000000042</v>
      </c>
      <c r="R198">
        <f t="shared" ref="R198:R261" si="961">R199+Q198</f>
        <v>-56377915.34393537</v>
      </c>
      <c r="S198">
        <f t="shared" ref="S198:S261" si="962">R198/100000</f>
        <v>-563.77915343935365</v>
      </c>
      <c r="T198">
        <f t="shared" ref="T198:T261" si="963">S198/1000</f>
        <v>-0.5637791534393537</v>
      </c>
    </row>
    <row r="199" spans="1:20" x14ac:dyDescent="0.25">
      <c r="A199" s="5">
        <v>44394</v>
      </c>
      <c r="B199">
        <v>1.4222999999999999</v>
      </c>
      <c r="C199">
        <v>1.69</v>
      </c>
      <c r="D199">
        <v>1.4206000000000001</v>
      </c>
      <c r="E199">
        <v>1.5018</v>
      </c>
      <c r="F199">
        <v>3138097.05</v>
      </c>
      <c r="G199">
        <v>0</v>
      </c>
      <c r="L199" t="s">
        <v>8</v>
      </c>
      <c r="M199" t="s">
        <v>8</v>
      </c>
      <c r="N199" t="s">
        <v>7</v>
      </c>
      <c r="P199">
        <f t="shared" si="959"/>
        <v>-0.39717891610987394</v>
      </c>
      <c r="Q199">
        <f t="shared" si="960"/>
        <v>-1246385.9849665929</v>
      </c>
      <c r="R199">
        <f t="shared" si="961"/>
        <v>-56268136.193935372</v>
      </c>
      <c r="S199">
        <f t="shared" si="962"/>
        <v>-562.68136193935368</v>
      </c>
      <c r="T199">
        <f t="shared" si="963"/>
        <v>-0.5626813619393537</v>
      </c>
    </row>
    <row r="200" spans="1:20" x14ac:dyDescent="0.25">
      <c r="A200" s="5">
        <v>44393</v>
      </c>
      <c r="B200">
        <v>1.5704</v>
      </c>
      <c r="C200">
        <v>1.5704</v>
      </c>
      <c r="D200">
        <v>1.3821000000000001</v>
      </c>
      <c r="E200">
        <v>1.4205000000000001</v>
      </c>
      <c r="F200">
        <v>1477584.39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-0.59214020180562921</v>
      </c>
      <c r="Q200">
        <f t="shared" si="960"/>
        <v>-874937.11887944746</v>
      </c>
      <c r="R200">
        <f t="shared" si="961"/>
        <v>-55021750.208968781</v>
      </c>
      <c r="S200">
        <f t="shared" si="962"/>
        <v>-550.21750208968786</v>
      </c>
      <c r="T200">
        <f t="shared" si="963"/>
        <v>-0.55021750208968789</v>
      </c>
    </row>
    <row r="201" spans="1:20" x14ac:dyDescent="0.25">
      <c r="A201" s="5">
        <v>44392</v>
      </c>
      <c r="B201">
        <v>1.6507000000000001</v>
      </c>
      <c r="C201">
        <v>1.6845000000000001</v>
      </c>
      <c r="D201">
        <v>1.4872000000000001</v>
      </c>
      <c r="E201">
        <v>1.5718000000000001</v>
      </c>
      <c r="F201">
        <v>2303345.9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-0.14242270653826664</v>
      </c>
      <c r="Q201">
        <f t="shared" si="960"/>
        <v>-328048.75717181963</v>
      </c>
      <c r="R201">
        <f t="shared" si="961"/>
        <v>-54146813.090089336</v>
      </c>
      <c r="S201">
        <f t="shared" si="962"/>
        <v>-541.46813090089336</v>
      </c>
      <c r="T201">
        <f t="shared" si="963"/>
        <v>-0.54146813090089341</v>
      </c>
    </row>
    <row r="202" spans="1:20" x14ac:dyDescent="0.25">
      <c r="A202" s="5">
        <v>44391</v>
      </c>
      <c r="B202">
        <v>1.7471000000000001</v>
      </c>
      <c r="C202">
        <v>1.7471000000000001</v>
      </c>
      <c r="D202">
        <v>1.5228999999999999</v>
      </c>
      <c r="E202">
        <v>1.6515</v>
      </c>
      <c r="F202">
        <v>2734319.55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0.14719000892060613</v>
      </c>
      <c r="Q202">
        <f t="shared" si="960"/>
        <v>402464.51895628771</v>
      </c>
      <c r="R202">
        <f t="shared" si="961"/>
        <v>-53818764.332917519</v>
      </c>
      <c r="S202">
        <f t="shared" si="962"/>
        <v>-538.18764332917522</v>
      </c>
      <c r="T202">
        <f t="shared" si="963"/>
        <v>-0.53818764332917524</v>
      </c>
    </row>
    <row r="203" spans="1:20" x14ac:dyDescent="0.25">
      <c r="A203" s="5">
        <v>44390</v>
      </c>
      <c r="B203">
        <v>1.8878999999999999</v>
      </c>
      <c r="C203">
        <v>1.8905000000000001</v>
      </c>
      <c r="D203">
        <v>1.6623000000000001</v>
      </c>
      <c r="E203">
        <v>1.7404999999999999</v>
      </c>
      <c r="F203">
        <v>3839909.87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-0.31463628396143872</v>
      </c>
      <c r="Q203">
        <f t="shared" si="960"/>
        <v>-1208174.9722436513</v>
      </c>
      <c r="R203">
        <f t="shared" si="961"/>
        <v>-54221228.851873808</v>
      </c>
      <c r="S203">
        <f t="shared" si="962"/>
        <v>-542.21228851873809</v>
      </c>
      <c r="T203">
        <f t="shared" si="963"/>
        <v>-0.54221228851873804</v>
      </c>
    </row>
    <row r="204" spans="1:20" x14ac:dyDescent="0.25">
      <c r="A204" s="5">
        <v>44389</v>
      </c>
      <c r="B204">
        <v>1.6782999999999999</v>
      </c>
      <c r="C204">
        <v>2.0628000000000002</v>
      </c>
      <c r="D204">
        <v>1.6634</v>
      </c>
      <c r="E204">
        <v>1.8873</v>
      </c>
      <c r="F204">
        <v>8529674.0399999991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0.12118177265898786</v>
      </c>
      <c r="Q204">
        <f t="shared" si="960"/>
        <v>1033641.0203705503</v>
      </c>
      <c r="R204">
        <f t="shared" si="961"/>
        <v>-53013053.879630156</v>
      </c>
      <c r="S204">
        <f t="shared" si="962"/>
        <v>-530.13053879630161</v>
      </c>
      <c r="T204">
        <f t="shared" si="963"/>
        <v>-0.53013053879630156</v>
      </c>
    </row>
    <row r="205" spans="1:20" x14ac:dyDescent="0.25">
      <c r="A205" s="5">
        <v>44388</v>
      </c>
      <c r="B205">
        <v>1.6023000000000001</v>
      </c>
      <c r="C205">
        <v>1.68</v>
      </c>
      <c r="D205">
        <v>1.5712999999999999</v>
      </c>
      <c r="E205">
        <v>1.6782999999999999</v>
      </c>
      <c r="F205">
        <v>1459690.65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0.96872125114995333</v>
      </c>
      <c r="Q205">
        <f t="shared" si="960"/>
        <v>1414033.3527598886</v>
      </c>
      <c r="R205">
        <f t="shared" si="961"/>
        <v>-54046694.900000706</v>
      </c>
      <c r="S205">
        <f t="shared" si="962"/>
        <v>-540.46694900000705</v>
      </c>
      <c r="T205">
        <f t="shared" si="963"/>
        <v>-0.54046694900000702</v>
      </c>
    </row>
    <row r="206" spans="1:20" x14ac:dyDescent="0.25">
      <c r="A206" s="5">
        <v>44387</v>
      </c>
      <c r="B206">
        <v>1.6298999999999999</v>
      </c>
      <c r="C206">
        <v>1.6449</v>
      </c>
      <c r="D206">
        <v>1.5442</v>
      </c>
      <c r="E206">
        <v>1.6024</v>
      </c>
      <c r="F206">
        <v>1907838.99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0.15590863952333708</v>
      </c>
      <c r="Q206">
        <f t="shared" si="960"/>
        <v>297448.58136047749</v>
      </c>
      <c r="R206">
        <f t="shared" si="961"/>
        <v>-55460728.252760597</v>
      </c>
      <c r="S206">
        <f t="shared" si="962"/>
        <v>-554.607282527606</v>
      </c>
      <c r="T206">
        <f t="shared" si="963"/>
        <v>-0.55460728252760605</v>
      </c>
    </row>
    <row r="207" spans="1:20" x14ac:dyDescent="0.25">
      <c r="A207" s="5">
        <v>44386</v>
      </c>
      <c r="B207">
        <v>1.6032</v>
      </c>
      <c r="C207">
        <v>1.64</v>
      </c>
      <c r="D207">
        <v>1.47</v>
      </c>
      <c r="E207">
        <v>1.6293</v>
      </c>
      <c r="F207">
        <v>3032076.89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0.87411764705882433</v>
      </c>
      <c r="Q207">
        <f t="shared" si="960"/>
        <v>2650391.9167882376</v>
      </c>
      <c r="R207">
        <f t="shared" si="961"/>
        <v>-55758176.834121071</v>
      </c>
      <c r="S207">
        <f t="shared" si="962"/>
        <v>-557.5817683412107</v>
      </c>
      <c r="T207">
        <f t="shared" si="963"/>
        <v>-0.55758176834121076</v>
      </c>
    </row>
    <row r="208" spans="1:20" x14ac:dyDescent="0.25">
      <c r="A208" s="5">
        <v>44385</v>
      </c>
      <c r="B208">
        <v>1.8049999999999999</v>
      </c>
      <c r="C208">
        <v>1.81</v>
      </c>
      <c r="D208">
        <v>1.5461</v>
      </c>
      <c r="E208">
        <v>1.6031</v>
      </c>
      <c r="F208">
        <v>1370732.12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-0.56801818870784437</v>
      </c>
      <c r="Q208">
        <f t="shared" si="960"/>
        <v>-778600.77600606368</v>
      </c>
      <c r="R208">
        <f t="shared" si="961"/>
        <v>-58408568.750909306</v>
      </c>
      <c r="S208">
        <f t="shared" si="962"/>
        <v>-584.08568750909308</v>
      </c>
      <c r="T208">
        <f t="shared" si="963"/>
        <v>-0.58408568750909307</v>
      </c>
    </row>
    <row r="209" spans="1:20" x14ac:dyDescent="0.25">
      <c r="A209" s="5">
        <v>44384</v>
      </c>
      <c r="B209">
        <v>1.7373000000000001</v>
      </c>
      <c r="C209">
        <v>1.8169999999999999</v>
      </c>
      <c r="D209">
        <v>1.6921999999999999</v>
      </c>
      <c r="E209">
        <v>1.8043</v>
      </c>
      <c r="F209">
        <v>1403033.12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0.79647435897436003</v>
      </c>
      <c r="Q209">
        <f t="shared" si="960"/>
        <v>1117479.9048717965</v>
      </c>
      <c r="R209">
        <f t="shared" si="961"/>
        <v>-57629967.974903241</v>
      </c>
      <c r="S209">
        <f t="shared" si="962"/>
        <v>-576.29967974903241</v>
      </c>
      <c r="T209">
        <f t="shared" si="963"/>
        <v>-0.5762996797490324</v>
      </c>
    </row>
    <row r="210" spans="1:20" x14ac:dyDescent="0.25">
      <c r="A210" s="5">
        <v>44383</v>
      </c>
      <c r="B210">
        <v>1.7144999999999999</v>
      </c>
      <c r="C210">
        <v>1.7463</v>
      </c>
      <c r="D210">
        <v>1.6661999999999999</v>
      </c>
      <c r="E210">
        <v>1.7351000000000001</v>
      </c>
      <c r="F210">
        <v>1402114.08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0.72034956304619557</v>
      </c>
      <c r="Q210">
        <f t="shared" si="960"/>
        <v>1010012.2648689186</v>
      </c>
      <c r="R210">
        <f t="shared" si="961"/>
        <v>-58747447.87977504</v>
      </c>
      <c r="S210">
        <f t="shared" si="962"/>
        <v>-587.47447879775041</v>
      </c>
      <c r="T210">
        <f t="shared" si="963"/>
        <v>-0.58747447879775039</v>
      </c>
    </row>
    <row r="211" spans="1:20" x14ac:dyDescent="0.25">
      <c r="A211" s="5">
        <v>44382</v>
      </c>
      <c r="B211">
        <v>1.7668999999999999</v>
      </c>
      <c r="C211">
        <v>1.7757000000000001</v>
      </c>
      <c r="D211">
        <v>1.6328</v>
      </c>
      <c r="E211">
        <v>1.7181</v>
      </c>
      <c r="F211">
        <v>1673679.47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0.19384184744576508</v>
      </c>
      <c r="Q211">
        <f t="shared" si="960"/>
        <v>324429.12049684895</v>
      </c>
      <c r="R211">
        <f t="shared" si="961"/>
        <v>-59757460.144643955</v>
      </c>
      <c r="S211">
        <f t="shared" si="962"/>
        <v>-597.5746014464396</v>
      </c>
      <c r="T211">
        <f t="shared" si="963"/>
        <v>-0.59757460144643959</v>
      </c>
    </row>
    <row r="212" spans="1:20" x14ac:dyDescent="0.25">
      <c r="A212" s="5">
        <v>44381</v>
      </c>
      <c r="B212">
        <v>1.7742</v>
      </c>
      <c r="C212">
        <v>1.8033999999999999</v>
      </c>
      <c r="D212">
        <v>1.6819</v>
      </c>
      <c r="E212">
        <v>1.7746999999999999</v>
      </c>
      <c r="F212">
        <v>1617467.7</v>
      </c>
      <c r="G212">
        <v>0</v>
      </c>
      <c r="L212" t="s">
        <v>7</v>
      </c>
      <c r="M212" t="s">
        <v>7</v>
      </c>
      <c r="N212" t="s">
        <v>8</v>
      </c>
      <c r="P212">
        <f t="shared" si="959"/>
        <v>0.52757201646090601</v>
      </c>
      <c r="Q212">
        <f t="shared" si="960"/>
        <v>853330.69604938373</v>
      </c>
      <c r="R212">
        <f t="shared" si="961"/>
        <v>-60081889.265140802</v>
      </c>
      <c r="S212">
        <f t="shared" si="962"/>
        <v>-600.81889265140796</v>
      </c>
      <c r="T212">
        <f t="shared" si="963"/>
        <v>-0.60081889265140798</v>
      </c>
    </row>
    <row r="213" spans="1:20" x14ac:dyDescent="0.25">
      <c r="A213" s="5">
        <v>44380</v>
      </c>
      <c r="B213">
        <v>1.6231</v>
      </c>
      <c r="C213">
        <v>2.0407000000000002</v>
      </c>
      <c r="D213">
        <v>1.6181000000000001</v>
      </c>
      <c r="E213">
        <v>1.7742</v>
      </c>
      <c r="F213">
        <v>6287955.7199999997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-0.26123994320870858</v>
      </c>
      <c r="Q213">
        <f t="shared" si="960"/>
        <v>-1642665.1951916742</v>
      </c>
      <c r="R213">
        <f t="shared" si="961"/>
        <v>-60935219.961190186</v>
      </c>
      <c r="S213">
        <f t="shared" si="962"/>
        <v>-609.35219961190182</v>
      </c>
      <c r="T213">
        <f t="shared" si="963"/>
        <v>-0.60935219961190179</v>
      </c>
    </row>
    <row r="214" spans="1:20" x14ac:dyDescent="0.25">
      <c r="A214" s="5">
        <v>44379</v>
      </c>
      <c r="B214">
        <v>1.66</v>
      </c>
      <c r="C214">
        <v>1.6657999999999999</v>
      </c>
      <c r="D214">
        <v>1.5055000000000001</v>
      </c>
      <c r="E214">
        <v>1.6232</v>
      </c>
      <c r="F214">
        <v>1328487.67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0.46849656893325015</v>
      </c>
      <c r="Q214">
        <f t="shared" si="960"/>
        <v>622391.91526512778</v>
      </c>
      <c r="R214">
        <f t="shared" si="961"/>
        <v>-59292554.765998513</v>
      </c>
      <c r="S214">
        <f t="shared" si="962"/>
        <v>-592.92554765998511</v>
      </c>
      <c r="T214">
        <f t="shared" si="963"/>
        <v>-0.59292554765998506</v>
      </c>
    </row>
    <row r="215" spans="1:20" x14ac:dyDescent="0.25">
      <c r="A215" s="5">
        <v>44378</v>
      </c>
      <c r="B215">
        <v>1.7313000000000001</v>
      </c>
      <c r="C215">
        <v>1.9</v>
      </c>
      <c r="D215">
        <v>1.5345</v>
      </c>
      <c r="E215">
        <v>1.6658999999999999</v>
      </c>
      <c r="F215">
        <v>3994923.1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-0.2809849521203831</v>
      </c>
      <c r="Q215">
        <f t="shared" si="960"/>
        <v>-1122513.2759781124</v>
      </c>
      <c r="R215">
        <f t="shared" si="961"/>
        <v>-59914946.681263641</v>
      </c>
      <c r="S215">
        <f t="shared" si="962"/>
        <v>-599.14946681263643</v>
      </c>
      <c r="T215">
        <f t="shared" si="963"/>
        <v>-0.59914946681263648</v>
      </c>
    </row>
    <row r="216" spans="1:20" x14ac:dyDescent="0.25">
      <c r="A216" s="5">
        <v>44377</v>
      </c>
      <c r="B216">
        <v>1.556</v>
      </c>
      <c r="C216">
        <v>1.7350000000000001</v>
      </c>
      <c r="D216">
        <v>1.4721</v>
      </c>
      <c r="E216">
        <v>1.7349000000000001</v>
      </c>
      <c r="F216">
        <v>4092837.55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0.99923925446938011</v>
      </c>
      <c r="Q216">
        <f t="shared" si="960"/>
        <v>4089723.9421262839</v>
      </c>
      <c r="R216">
        <f t="shared" si="961"/>
        <v>-58792433.40528553</v>
      </c>
      <c r="S216">
        <f t="shared" si="962"/>
        <v>-587.92433405285533</v>
      </c>
      <c r="T216">
        <f t="shared" si="963"/>
        <v>-0.58792433405285538</v>
      </c>
    </row>
    <row r="217" spans="1:20" x14ac:dyDescent="0.25">
      <c r="A217" s="5">
        <v>44376</v>
      </c>
      <c r="B217">
        <v>1.3593999999999999</v>
      </c>
      <c r="C217">
        <v>1.5769</v>
      </c>
      <c r="D217">
        <v>1.3494999999999999</v>
      </c>
      <c r="E217">
        <v>1.5566</v>
      </c>
      <c r="F217">
        <v>3168933.2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0.82145998240985063</v>
      </c>
      <c r="Q217">
        <f t="shared" si="960"/>
        <v>2603151.8107299916</v>
      </c>
      <c r="R217">
        <f t="shared" si="961"/>
        <v>-62882157.347411811</v>
      </c>
      <c r="S217">
        <f t="shared" si="962"/>
        <v>-628.82157347411817</v>
      </c>
      <c r="T217">
        <f t="shared" si="963"/>
        <v>-0.62882157347411816</v>
      </c>
    </row>
    <row r="218" spans="1:20" x14ac:dyDescent="0.25">
      <c r="A218" s="5">
        <v>44375</v>
      </c>
      <c r="B218">
        <v>1.2846</v>
      </c>
      <c r="C218">
        <v>1.363</v>
      </c>
      <c r="D218">
        <v>1.2414000000000001</v>
      </c>
      <c r="E218">
        <v>1.3607</v>
      </c>
      <c r="F218">
        <v>1880092.45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0.96217105263157943</v>
      </c>
      <c r="Q218">
        <f t="shared" si="960"/>
        <v>1808970.531661185</v>
      </c>
      <c r="R218">
        <f t="shared" si="961"/>
        <v>-65485309.158141807</v>
      </c>
      <c r="S218">
        <f t="shared" si="962"/>
        <v>-654.85309158141808</v>
      </c>
      <c r="T218">
        <f t="shared" si="963"/>
        <v>-0.65485309158141813</v>
      </c>
    </row>
    <row r="219" spans="1:20" x14ac:dyDescent="0.25">
      <c r="A219" s="5">
        <v>44374</v>
      </c>
      <c r="B219">
        <v>1.248</v>
      </c>
      <c r="C219">
        <v>1.2846</v>
      </c>
      <c r="D219">
        <v>1.1880999999999999</v>
      </c>
      <c r="E219">
        <v>1.2839</v>
      </c>
      <c r="F219">
        <v>1545381.75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0.98549222797927616</v>
      </c>
      <c r="Q219">
        <f t="shared" si="960"/>
        <v>1522961.7038860128</v>
      </c>
      <c r="R219">
        <f t="shared" si="961"/>
        <v>-67294279.689802989</v>
      </c>
      <c r="S219">
        <f t="shared" si="962"/>
        <v>-672.94279689802988</v>
      </c>
      <c r="T219">
        <f t="shared" si="963"/>
        <v>-0.67294279689802994</v>
      </c>
    </row>
    <row r="220" spans="1:20" x14ac:dyDescent="0.25">
      <c r="A220" s="5">
        <v>44373</v>
      </c>
      <c r="B220">
        <v>1.1887000000000001</v>
      </c>
      <c r="C220">
        <v>1.25</v>
      </c>
      <c r="D220">
        <v>1.1178999999999999</v>
      </c>
      <c r="E220">
        <v>1.248</v>
      </c>
      <c r="F220">
        <v>2592115.91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0.9697199091597275</v>
      </c>
      <c r="Q220">
        <f t="shared" si="960"/>
        <v>2513626.4047766845</v>
      </c>
      <c r="R220">
        <f t="shared" si="961"/>
        <v>-68817241.393689007</v>
      </c>
      <c r="S220">
        <f t="shared" si="962"/>
        <v>-688.17241393689005</v>
      </c>
      <c r="T220">
        <f t="shared" si="963"/>
        <v>-0.6881724139368901</v>
      </c>
    </row>
    <row r="221" spans="1:20" x14ac:dyDescent="0.25">
      <c r="A221" s="5">
        <v>44372</v>
      </c>
      <c r="B221">
        <v>1.3163</v>
      </c>
      <c r="C221">
        <v>1.3653999999999999</v>
      </c>
      <c r="D221">
        <v>1.1569</v>
      </c>
      <c r="E221">
        <v>1.1887000000000001</v>
      </c>
      <c r="F221">
        <v>2971262.58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-0.69496402877697783</v>
      </c>
      <c r="Q221">
        <f t="shared" si="960"/>
        <v>-2064920.6131510774</v>
      </c>
      <c r="R221">
        <f t="shared" si="961"/>
        <v>-71330867.798465684</v>
      </c>
      <c r="S221">
        <f t="shared" si="962"/>
        <v>-713.30867798465681</v>
      </c>
      <c r="T221">
        <f t="shared" si="963"/>
        <v>-0.7133086779846568</v>
      </c>
    </row>
    <row r="222" spans="1:20" x14ac:dyDescent="0.25">
      <c r="A222" s="5">
        <v>44371</v>
      </c>
      <c r="B222">
        <v>1.1960999999999999</v>
      </c>
      <c r="C222">
        <v>1.4028</v>
      </c>
      <c r="D222">
        <v>1.1959</v>
      </c>
      <c r="E222">
        <v>1.3156000000000001</v>
      </c>
      <c r="F222">
        <v>7114529.8399999999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0.15708071532141218</v>
      </c>
      <c r="Q222">
        <f t="shared" si="960"/>
        <v>1117555.4364427321</v>
      </c>
      <c r="R222">
        <f t="shared" si="961"/>
        <v>-69265947.185314611</v>
      </c>
      <c r="S222">
        <f t="shared" si="962"/>
        <v>-692.6594718531461</v>
      </c>
      <c r="T222">
        <f t="shared" si="963"/>
        <v>-0.69265947185314614</v>
      </c>
    </row>
    <row r="223" spans="1:20" x14ac:dyDescent="0.25">
      <c r="A223" s="5">
        <v>44370</v>
      </c>
      <c r="B223">
        <v>1.1146</v>
      </c>
      <c r="C223">
        <v>1.22</v>
      </c>
      <c r="D223">
        <v>1.0664</v>
      </c>
      <c r="E223">
        <v>1.1987000000000001</v>
      </c>
      <c r="F223">
        <v>4507346.47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0.72265625000000155</v>
      </c>
      <c r="Q223">
        <f t="shared" si="960"/>
        <v>3257262.0974609442</v>
      </c>
      <c r="R223">
        <f t="shared" si="961"/>
        <v>-70383502.621757343</v>
      </c>
      <c r="S223">
        <f t="shared" si="962"/>
        <v>-703.83502621757339</v>
      </c>
      <c r="T223">
        <f t="shared" si="963"/>
        <v>-0.70383502621757343</v>
      </c>
    </row>
    <row r="224" spans="1:20" x14ac:dyDescent="0.25">
      <c r="A224" s="5">
        <v>44369</v>
      </c>
      <c r="B224">
        <v>1.0475000000000001</v>
      </c>
      <c r="C224">
        <v>1.4228000000000001</v>
      </c>
      <c r="D224">
        <v>1</v>
      </c>
      <c r="E224">
        <v>1.1140000000000001</v>
      </c>
      <c r="F224">
        <v>21443773.16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-0.46073793755912923</v>
      </c>
      <c r="Q224">
        <f t="shared" si="960"/>
        <v>-9879959.8192242105</v>
      </c>
      <c r="R224">
        <f t="shared" si="961"/>
        <v>-73640764.719218284</v>
      </c>
      <c r="S224">
        <f t="shared" si="962"/>
        <v>-736.40764719218282</v>
      </c>
      <c r="T224">
        <f t="shared" si="963"/>
        <v>-0.73640764719218277</v>
      </c>
    </row>
    <row r="225" spans="1:20" x14ac:dyDescent="0.25">
      <c r="A225" s="5">
        <v>44368</v>
      </c>
      <c r="B225">
        <v>1.1786000000000001</v>
      </c>
      <c r="C225">
        <v>1.849</v>
      </c>
      <c r="D225">
        <v>1.0304</v>
      </c>
      <c r="E225">
        <v>1.0434000000000001</v>
      </c>
      <c r="F225">
        <v>15783140.99</v>
      </c>
      <c r="G225">
        <v>0</v>
      </c>
      <c r="L225" t="s">
        <v>7</v>
      </c>
      <c r="M225" t="s">
        <v>8</v>
      </c>
      <c r="N225" t="s">
        <v>8</v>
      </c>
      <c r="P225">
        <f t="shared" si="959"/>
        <v>-0.96823845590031732</v>
      </c>
      <c r="Q225">
        <f t="shared" si="960"/>
        <v>-15281844.061414605</v>
      </c>
      <c r="R225">
        <f t="shared" si="961"/>
        <v>-63760804.899994068</v>
      </c>
      <c r="S225">
        <f t="shared" si="962"/>
        <v>-637.60804899994071</v>
      </c>
      <c r="T225">
        <f t="shared" si="963"/>
        <v>-0.63760804899994072</v>
      </c>
    </row>
    <row r="226" spans="1:20" x14ac:dyDescent="0.25">
      <c r="A226" s="5">
        <v>44367</v>
      </c>
      <c r="B226">
        <v>1.1493</v>
      </c>
      <c r="C226">
        <v>1.1920999999999999</v>
      </c>
      <c r="D226">
        <v>1.0423</v>
      </c>
      <c r="E226">
        <v>1.1791</v>
      </c>
      <c r="F226">
        <v>2110421.4500000002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0.82643524699599591</v>
      </c>
      <c r="Q226">
        <f t="shared" si="960"/>
        <v>1744126.6722963981</v>
      </c>
      <c r="R226">
        <f t="shared" si="961"/>
        <v>-48478960.838579461</v>
      </c>
      <c r="S226">
        <f t="shared" si="962"/>
        <v>-484.78960838579462</v>
      </c>
      <c r="T226">
        <f t="shared" si="963"/>
        <v>-0.4847896083857946</v>
      </c>
    </row>
    <row r="227" spans="1:20" x14ac:dyDescent="0.25">
      <c r="A227" s="5">
        <v>44366</v>
      </c>
      <c r="B227">
        <v>1.2094</v>
      </c>
      <c r="C227">
        <v>1.2854000000000001</v>
      </c>
      <c r="D227">
        <v>1.1436999999999999</v>
      </c>
      <c r="E227">
        <v>1.1501999999999999</v>
      </c>
      <c r="F227">
        <v>1132375.94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-0.90825688073394573</v>
      </c>
      <c r="Q227">
        <f t="shared" si="960"/>
        <v>-1028488.2390825696</v>
      </c>
      <c r="R227">
        <f t="shared" si="961"/>
        <v>-50223087.510875858</v>
      </c>
      <c r="S227">
        <f t="shared" si="962"/>
        <v>-502.2308751087586</v>
      </c>
      <c r="T227">
        <f t="shared" si="963"/>
        <v>-0.50223087510875863</v>
      </c>
    </row>
    <row r="228" spans="1:20" x14ac:dyDescent="0.25">
      <c r="A228" s="5">
        <v>44365</v>
      </c>
      <c r="B228">
        <v>1.2661</v>
      </c>
      <c r="C228">
        <v>1.2855000000000001</v>
      </c>
      <c r="D228">
        <v>1.1399999999999999</v>
      </c>
      <c r="E228">
        <v>1.2094</v>
      </c>
      <c r="F228">
        <v>1733548.55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-4.6048109965635187E-2</v>
      </c>
      <c r="Q228">
        <f t="shared" si="960"/>
        <v>-79826.634261167434</v>
      </c>
      <c r="R228">
        <f t="shared" si="961"/>
        <v>-49194599.271793291</v>
      </c>
      <c r="S228">
        <f t="shared" si="962"/>
        <v>-491.94599271793288</v>
      </c>
      <c r="T228">
        <f t="shared" si="963"/>
        <v>-0.49194599271793288</v>
      </c>
    </row>
    <row r="229" spans="1:20" x14ac:dyDescent="0.25">
      <c r="A229" s="5">
        <v>44364</v>
      </c>
      <c r="B229">
        <v>1.2573000000000001</v>
      </c>
      <c r="C229">
        <v>1.3059000000000001</v>
      </c>
      <c r="D229">
        <v>1.2313000000000001</v>
      </c>
      <c r="E229">
        <v>1.2690999999999999</v>
      </c>
      <c r="F229">
        <v>876728.74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1.3404825737260963E-2</v>
      </c>
      <c r="Q229">
        <f t="shared" si="960"/>
        <v>11752.395978548375</v>
      </c>
      <c r="R229">
        <f t="shared" si="961"/>
        <v>-49114772.637532122</v>
      </c>
      <c r="S229">
        <f t="shared" si="962"/>
        <v>-491.14772637532121</v>
      </c>
      <c r="T229">
        <f t="shared" si="963"/>
        <v>-0.49114772637532123</v>
      </c>
    </row>
    <row r="230" spans="1:20" x14ac:dyDescent="0.25">
      <c r="A230" s="5">
        <v>44363</v>
      </c>
      <c r="B230">
        <v>1.3392999999999999</v>
      </c>
      <c r="C230">
        <v>1.37</v>
      </c>
      <c r="D230">
        <v>1.24</v>
      </c>
      <c r="E230">
        <v>1.2574000000000001</v>
      </c>
      <c r="F230">
        <v>1497060.59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-0.73230769230769133</v>
      </c>
      <c r="Q230">
        <f t="shared" si="960"/>
        <v>-1096308.9859076908</v>
      </c>
      <c r="R230">
        <f t="shared" si="961"/>
        <v>-49126525.03351067</v>
      </c>
      <c r="S230">
        <f t="shared" si="962"/>
        <v>-491.26525033510671</v>
      </c>
      <c r="T230">
        <f t="shared" si="963"/>
        <v>-0.49126525033510671</v>
      </c>
    </row>
    <row r="231" spans="1:20" x14ac:dyDescent="0.25">
      <c r="A231" s="5">
        <v>44362</v>
      </c>
      <c r="B231">
        <v>1.3349</v>
      </c>
      <c r="C231">
        <v>1.3788</v>
      </c>
      <c r="D231">
        <v>1.3028</v>
      </c>
      <c r="E231">
        <v>1.3388</v>
      </c>
      <c r="F231">
        <v>1413169.89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-5.2631578947368418E-2</v>
      </c>
      <c r="Q231">
        <f t="shared" si="960"/>
        <v>-74377.362631578944</v>
      </c>
      <c r="R231">
        <f t="shared" si="961"/>
        <v>-48030216.047602981</v>
      </c>
      <c r="S231">
        <f t="shared" si="962"/>
        <v>-480.30216047602983</v>
      </c>
      <c r="T231">
        <f t="shared" si="963"/>
        <v>-0.4803021604760298</v>
      </c>
    </row>
    <row r="232" spans="1:20" x14ac:dyDescent="0.25">
      <c r="A232" s="5">
        <v>44361</v>
      </c>
      <c r="B232">
        <v>1.3265</v>
      </c>
      <c r="C232">
        <v>1.3671</v>
      </c>
      <c r="D232">
        <v>1.2977000000000001</v>
      </c>
      <c r="E232">
        <v>1.3313999999999999</v>
      </c>
      <c r="F232">
        <v>1809137.93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-2.8818443804037846E-2</v>
      </c>
      <c r="Q232">
        <f t="shared" si="960"/>
        <v>-52136.539769458352</v>
      </c>
      <c r="R232">
        <f t="shared" si="961"/>
        <v>-47955838.6849714</v>
      </c>
      <c r="S232">
        <f t="shared" si="962"/>
        <v>-479.558386849714</v>
      </c>
      <c r="T232">
        <f t="shared" si="963"/>
        <v>-0.47955838684971402</v>
      </c>
    </row>
    <row r="233" spans="1:20" x14ac:dyDescent="0.25">
      <c r="A233" s="5">
        <v>44360</v>
      </c>
      <c r="B233">
        <v>1.2392000000000001</v>
      </c>
      <c r="C233">
        <v>1.38</v>
      </c>
      <c r="D233">
        <v>1.2011000000000001</v>
      </c>
      <c r="E233">
        <v>1.3265</v>
      </c>
      <c r="F233">
        <v>1446736.36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0.401900503074344</v>
      </c>
      <c r="Q233">
        <f t="shared" si="960"/>
        <v>581444.07089994533</v>
      </c>
      <c r="R233">
        <f t="shared" si="961"/>
        <v>-47903702.145201944</v>
      </c>
      <c r="S233">
        <f t="shared" si="962"/>
        <v>-479.03702145201942</v>
      </c>
      <c r="T233">
        <f t="shared" si="963"/>
        <v>-0.47903702145201943</v>
      </c>
    </row>
    <row r="234" spans="1:20" x14ac:dyDescent="0.25">
      <c r="A234" s="5">
        <v>44359</v>
      </c>
      <c r="B234">
        <v>1.2810999999999999</v>
      </c>
      <c r="C234">
        <v>1.2810999999999999</v>
      </c>
      <c r="D234">
        <v>1.1761999999999999</v>
      </c>
      <c r="E234">
        <v>1.2366999999999999</v>
      </c>
      <c r="F234">
        <v>2204337.17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0.15347950428979984</v>
      </c>
      <c r="Q234">
        <f t="shared" si="960"/>
        <v>338320.57613918022</v>
      </c>
      <c r="R234">
        <f t="shared" si="961"/>
        <v>-48485146.216101892</v>
      </c>
      <c r="S234">
        <f t="shared" si="962"/>
        <v>-484.8514621610189</v>
      </c>
      <c r="T234">
        <f t="shared" si="963"/>
        <v>-0.48485146216101888</v>
      </c>
    </row>
    <row r="235" spans="1:20" x14ac:dyDescent="0.25">
      <c r="A235" s="5">
        <v>44358</v>
      </c>
      <c r="B235">
        <v>1.3834</v>
      </c>
      <c r="C235">
        <v>1.419</v>
      </c>
      <c r="D235">
        <v>1.268</v>
      </c>
      <c r="E235">
        <v>1.2776000000000001</v>
      </c>
      <c r="F235">
        <v>1399902.29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-0.8728476821192046</v>
      </c>
      <c r="Q235">
        <f t="shared" si="960"/>
        <v>-1221901.4690198665</v>
      </c>
      <c r="R235">
        <f t="shared" si="961"/>
        <v>-48823466.792241074</v>
      </c>
      <c r="S235">
        <f t="shared" si="962"/>
        <v>-488.23466792241072</v>
      </c>
      <c r="T235">
        <f t="shared" si="963"/>
        <v>-0.48823466792241071</v>
      </c>
    </row>
    <row r="236" spans="1:20" x14ac:dyDescent="0.25">
      <c r="A236" s="5">
        <v>44357</v>
      </c>
      <c r="B236">
        <v>1.4924999999999999</v>
      </c>
      <c r="C236">
        <v>1.58</v>
      </c>
      <c r="D236">
        <v>1.34</v>
      </c>
      <c r="E236">
        <v>1.3759999999999999</v>
      </c>
      <c r="F236">
        <v>2508573.92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-0.70000000000000162</v>
      </c>
      <c r="Q236">
        <f t="shared" si="960"/>
        <v>-1756001.7440000039</v>
      </c>
      <c r="R236">
        <f t="shared" si="961"/>
        <v>-47601565.323221207</v>
      </c>
      <c r="S236">
        <f t="shared" si="962"/>
        <v>-476.01565323221206</v>
      </c>
      <c r="T236">
        <f t="shared" si="963"/>
        <v>-0.47601565323221207</v>
      </c>
    </row>
    <row r="237" spans="1:20" x14ac:dyDescent="0.25">
      <c r="A237" s="5">
        <v>44356</v>
      </c>
      <c r="B237">
        <v>1.4514</v>
      </c>
      <c r="C237">
        <v>1.5267999999999999</v>
      </c>
      <c r="D237">
        <v>1.3389</v>
      </c>
      <c r="E237">
        <v>1.4919</v>
      </c>
      <c r="F237">
        <v>2145739.71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0.62852581160191656</v>
      </c>
      <c r="Q237">
        <f t="shared" si="960"/>
        <v>1348652.7927142112</v>
      </c>
      <c r="R237">
        <f t="shared" si="961"/>
        <v>-45845563.579221204</v>
      </c>
      <c r="S237">
        <f t="shared" si="962"/>
        <v>-458.45563579221204</v>
      </c>
      <c r="T237">
        <f t="shared" si="963"/>
        <v>-0.45845563579221205</v>
      </c>
    </row>
    <row r="238" spans="1:20" x14ac:dyDescent="0.25">
      <c r="A238" s="5">
        <v>44355</v>
      </c>
      <c r="B238">
        <v>1.4587000000000001</v>
      </c>
      <c r="C238">
        <v>1.5091000000000001</v>
      </c>
      <c r="D238">
        <v>1.3</v>
      </c>
      <c r="E238">
        <v>1.4514</v>
      </c>
      <c r="F238">
        <v>2920779.58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0.44811095169775161</v>
      </c>
      <c r="Q238">
        <f t="shared" si="960"/>
        <v>1308833.3172931592</v>
      </c>
      <c r="R238">
        <f t="shared" si="961"/>
        <v>-47194216.371935412</v>
      </c>
      <c r="S238">
        <f t="shared" si="962"/>
        <v>-471.94216371935414</v>
      </c>
      <c r="T238">
        <f t="shared" si="963"/>
        <v>-0.47194216371935416</v>
      </c>
    </row>
    <row r="239" spans="1:20" x14ac:dyDescent="0.25">
      <c r="A239" s="5">
        <v>44354</v>
      </c>
      <c r="B239">
        <v>1.6356999999999999</v>
      </c>
      <c r="C239">
        <v>1.8</v>
      </c>
      <c r="D239">
        <v>1.44</v>
      </c>
      <c r="E239">
        <v>1.4556</v>
      </c>
      <c r="F239">
        <v>3904880.51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-0.913333333333333</v>
      </c>
      <c r="Q239">
        <f t="shared" si="960"/>
        <v>-3566457.5324666654</v>
      </c>
      <c r="R239">
        <f t="shared" si="961"/>
        <v>-48503049.689228572</v>
      </c>
      <c r="S239">
        <f t="shared" si="962"/>
        <v>-485.03049689228573</v>
      </c>
      <c r="T239">
        <f t="shared" si="963"/>
        <v>-0.48503049689228572</v>
      </c>
    </row>
    <row r="240" spans="1:20" x14ac:dyDescent="0.25">
      <c r="A240" s="5">
        <v>44353</v>
      </c>
      <c r="B240">
        <v>1.4468000000000001</v>
      </c>
      <c r="C240">
        <v>1.8129999999999999</v>
      </c>
      <c r="D240">
        <v>1.4308000000000001</v>
      </c>
      <c r="E240">
        <v>1.6355999999999999</v>
      </c>
      <c r="F240">
        <v>6836010.0700000003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7.1690214547357078E-2</v>
      </c>
      <c r="Q240">
        <f t="shared" si="960"/>
        <v>490075.02856619348</v>
      </c>
      <c r="R240">
        <f t="shared" si="961"/>
        <v>-44936592.156761907</v>
      </c>
      <c r="S240">
        <f t="shared" si="962"/>
        <v>-449.36592156761907</v>
      </c>
      <c r="T240">
        <f t="shared" si="963"/>
        <v>-0.44936592156761906</v>
      </c>
    </row>
    <row r="241" spans="1:20" x14ac:dyDescent="0.25">
      <c r="A241" s="5">
        <v>44352</v>
      </c>
      <c r="B241">
        <v>1.482</v>
      </c>
      <c r="C241">
        <v>1.5621</v>
      </c>
      <c r="D241">
        <v>1.3914</v>
      </c>
      <c r="E241">
        <v>1.446</v>
      </c>
      <c r="F241">
        <v>1099252.01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-0.36028119507908662</v>
      </c>
      <c r="Q241">
        <f t="shared" si="960"/>
        <v>-396039.82785588806</v>
      </c>
      <c r="R241">
        <f t="shared" si="961"/>
        <v>-45426667.185328104</v>
      </c>
      <c r="S241">
        <f t="shared" si="962"/>
        <v>-454.26667185328103</v>
      </c>
      <c r="T241">
        <f t="shared" si="963"/>
        <v>-0.45426667185328101</v>
      </c>
    </row>
    <row r="242" spans="1:20" x14ac:dyDescent="0.25">
      <c r="A242" s="5">
        <v>44351</v>
      </c>
      <c r="B242">
        <v>1.6113999999999999</v>
      </c>
      <c r="C242">
        <v>1.6141000000000001</v>
      </c>
      <c r="D242">
        <v>1.3965000000000001</v>
      </c>
      <c r="E242">
        <v>1.4823999999999999</v>
      </c>
      <c r="F242">
        <v>2319513.0699999998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-0.21047794117647189</v>
      </c>
      <c r="Q242">
        <f t="shared" si="960"/>
        <v>-488206.33550551772</v>
      </c>
      <c r="R242">
        <f t="shared" si="961"/>
        <v>-45030627.357472219</v>
      </c>
      <c r="S242">
        <f t="shared" si="962"/>
        <v>-450.30627357472218</v>
      </c>
      <c r="T242">
        <f t="shared" si="963"/>
        <v>-0.45030627357472219</v>
      </c>
    </row>
    <row r="243" spans="1:20" x14ac:dyDescent="0.25">
      <c r="A243" s="5">
        <v>44350</v>
      </c>
      <c r="B243">
        <v>1.5929</v>
      </c>
      <c r="C243">
        <v>1.6816</v>
      </c>
      <c r="D243">
        <v>1.5579000000000001</v>
      </c>
      <c r="E243">
        <v>1.6117999999999999</v>
      </c>
      <c r="F243">
        <v>2009916.88</v>
      </c>
      <c r="G243">
        <v>0</v>
      </c>
      <c r="L243" t="s">
        <v>7</v>
      </c>
      <c r="M243" t="s">
        <v>8</v>
      </c>
      <c r="N243" t="s">
        <v>7</v>
      </c>
      <c r="P243">
        <f t="shared" si="959"/>
        <v>-0.12853678253840142</v>
      </c>
      <c r="Q243">
        <f t="shared" si="960"/>
        <v>-258348.24892482226</v>
      </c>
      <c r="R243">
        <f t="shared" si="961"/>
        <v>-44542421.021966703</v>
      </c>
      <c r="S243">
        <f t="shared" si="962"/>
        <v>-445.42421021966703</v>
      </c>
      <c r="T243">
        <f t="shared" si="963"/>
        <v>-0.44542421021966705</v>
      </c>
    </row>
    <row r="244" spans="1:20" x14ac:dyDescent="0.25">
      <c r="A244" s="5">
        <v>44349</v>
      </c>
      <c r="B244">
        <v>1.5246999999999999</v>
      </c>
      <c r="C244">
        <v>1.6972</v>
      </c>
      <c r="D244">
        <v>1.4822</v>
      </c>
      <c r="E244">
        <v>1.5949</v>
      </c>
      <c r="F244">
        <v>1725716.14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4.8372093023255631E-2</v>
      </c>
      <c r="Q244">
        <f t="shared" si="960"/>
        <v>83476.501655813627</v>
      </c>
      <c r="R244">
        <f t="shared" si="961"/>
        <v>-44284072.773041882</v>
      </c>
      <c r="S244">
        <f t="shared" si="962"/>
        <v>-442.84072773041879</v>
      </c>
      <c r="T244">
        <f t="shared" si="963"/>
        <v>-0.44284072773041877</v>
      </c>
    </row>
    <row r="245" spans="1:20" x14ac:dyDescent="0.25">
      <c r="A245" s="5">
        <v>44348</v>
      </c>
      <c r="B245">
        <v>1.5886</v>
      </c>
      <c r="C245">
        <v>1.6147</v>
      </c>
      <c r="D245">
        <v>1.4717</v>
      </c>
      <c r="E245">
        <v>1.5244</v>
      </c>
      <c r="F245">
        <v>1472350.86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-0.26293706293706343</v>
      </c>
      <c r="Q245">
        <f t="shared" si="960"/>
        <v>-387135.61074125947</v>
      </c>
      <c r="R245">
        <f t="shared" si="961"/>
        <v>-44367549.274697699</v>
      </c>
      <c r="S245">
        <f t="shared" si="962"/>
        <v>-443.675492746977</v>
      </c>
      <c r="T245">
        <f t="shared" si="963"/>
        <v>-0.44367549274697698</v>
      </c>
    </row>
    <row r="246" spans="1:20" x14ac:dyDescent="0.25">
      <c r="A246" s="5">
        <v>44347</v>
      </c>
      <c r="B246">
        <v>1.4922</v>
      </c>
      <c r="C246">
        <v>1.605</v>
      </c>
      <c r="D246">
        <v>1.409</v>
      </c>
      <c r="E246">
        <v>1.5886</v>
      </c>
      <c r="F246">
        <v>1737812.06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0.83265306122449001</v>
      </c>
      <c r="Q246">
        <f t="shared" si="960"/>
        <v>1446994.5315918371</v>
      </c>
      <c r="R246">
        <f t="shared" si="961"/>
        <v>-43980413.663956441</v>
      </c>
      <c r="S246">
        <f t="shared" si="962"/>
        <v>-439.80413663956443</v>
      </c>
      <c r="T246">
        <f t="shared" si="963"/>
        <v>-0.43980413663956441</v>
      </c>
    </row>
    <row r="247" spans="1:20" x14ac:dyDescent="0.25">
      <c r="A247" s="5">
        <v>44346</v>
      </c>
      <c r="B247">
        <v>1.4355</v>
      </c>
      <c r="C247">
        <v>1.5511999999999999</v>
      </c>
      <c r="D247">
        <v>1.34</v>
      </c>
      <c r="E247">
        <v>1.4934000000000001</v>
      </c>
      <c r="F247">
        <v>1336802.02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0.45265151515151614</v>
      </c>
      <c r="Q247">
        <f t="shared" si="960"/>
        <v>605105.45981060737</v>
      </c>
      <c r="R247">
        <f t="shared" si="961"/>
        <v>-45427408.195548281</v>
      </c>
      <c r="S247">
        <f t="shared" si="962"/>
        <v>-454.27408195548281</v>
      </c>
      <c r="T247">
        <f t="shared" si="963"/>
        <v>-0.4542740819554828</v>
      </c>
    </row>
    <row r="248" spans="1:20" x14ac:dyDescent="0.25">
      <c r="A248" s="5">
        <v>44345</v>
      </c>
      <c r="B248">
        <v>1.4822</v>
      </c>
      <c r="C248">
        <v>1.5864</v>
      </c>
      <c r="D248">
        <v>1.325</v>
      </c>
      <c r="E248">
        <v>1.4327000000000001</v>
      </c>
      <c r="F248">
        <v>1665861.01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-0.17597551644988449</v>
      </c>
      <c r="Q248">
        <f t="shared" si="960"/>
        <v>-293150.7515684762</v>
      </c>
      <c r="R248">
        <f t="shared" si="961"/>
        <v>-46032513.655358888</v>
      </c>
      <c r="S248">
        <f t="shared" si="962"/>
        <v>-460.32513655358889</v>
      </c>
      <c r="T248">
        <f t="shared" si="963"/>
        <v>-0.46032513655358887</v>
      </c>
    </row>
    <row r="249" spans="1:20" x14ac:dyDescent="0.25">
      <c r="A249" s="5">
        <v>44344</v>
      </c>
      <c r="B249">
        <v>1.7372000000000001</v>
      </c>
      <c r="C249">
        <v>1.7466999999999999</v>
      </c>
      <c r="D249">
        <v>1.3829</v>
      </c>
      <c r="E249">
        <v>1.4744999999999999</v>
      </c>
      <c r="F249">
        <v>2536243.12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-0.49642660802638849</v>
      </c>
      <c r="Q249">
        <f t="shared" si="960"/>
        <v>-1259058.5691918647</v>
      </c>
      <c r="R249">
        <f t="shared" si="961"/>
        <v>-45739362.903790414</v>
      </c>
      <c r="S249">
        <f t="shared" si="962"/>
        <v>-457.39362903790413</v>
      </c>
      <c r="T249">
        <f t="shared" si="963"/>
        <v>-0.45739362903790415</v>
      </c>
    </row>
    <row r="250" spans="1:20" x14ac:dyDescent="0.25">
      <c r="A250" s="5">
        <v>44343</v>
      </c>
      <c r="B250">
        <v>1.9005000000000001</v>
      </c>
      <c r="C250">
        <v>1.9142999999999999</v>
      </c>
      <c r="D250">
        <v>1.6920999999999999</v>
      </c>
      <c r="E250">
        <v>1.7292000000000001</v>
      </c>
      <c r="F250">
        <v>4769562.46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-0.66606660666066475</v>
      </c>
      <c r="Q250">
        <f t="shared" si="960"/>
        <v>-3176846.2829882926</v>
      </c>
      <c r="R250">
        <f t="shared" si="961"/>
        <v>-44480304.334598549</v>
      </c>
      <c r="S250">
        <f t="shared" si="962"/>
        <v>-444.80304334598549</v>
      </c>
      <c r="T250">
        <f t="shared" si="963"/>
        <v>-0.44480304334598547</v>
      </c>
    </row>
    <row r="251" spans="1:20" x14ac:dyDescent="0.25">
      <c r="A251" s="5">
        <v>44342</v>
      </c>
      <c r="B251">
        <v>1.6778999999999999</v>
      </c>
      <c r="C251">
        <v>1.98</v>
      </c>
      <c r="D251">
        <v>1.62</v>
      </c>
      <c r="E251">
        <v>1.9011</v>
      </c>
      <c r="F251">
        <v>6654433.7999999998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0.56166666666666665</v>
      </c>
      <c r="Q251">
        <f t="shared" si="960"/>
        <v>3737573.6509999996</v>
      </c>
      <c r="R251">
        <f t="shared" si="961"/>
        <v>-41303458.051610254</v>
      </c>
      <c r="S251">
        <f t="shared" si="962"/>
        <v>-413.03458051610255</v>
      </c>
      <c r="T251">
        <f t="shared" si="963"/>
        <v>-0.41303458051610253</v>
      </c>
    </row>
    <row r="252" spans="1:20" x14ac:dyDescent="0.25">
      <c r="A252" s="5">
        <v>44341</v>
      </c>
      <c r="B252">
        <v>1.7214</v>
      </c>
      <c r="C252">
        <v>1.7936000000000001</v>
      </c>
      <c r="D252">
        <v>1.47</v>
      </c>
      <c r="E252">
        <v>1.6769000000000001</v>
      </c>
      <c r="F252">
        <v>6973101.3899999997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0.27873918417799759</v>
      </c>
      <c r="Q252">
        <f t="shared" si="960"/>
        <v>1943676.5926390609</v>
      </c>
      <c r="R252">
        <f t="shared" si="961"/>
        <v>-45041031.702610254</v>
      </c>
      <c r="S252">
        <f t="shared" si="962"/>
        <v>-450.41031702610252</v>
      </c>
      <c r="T252">
        <f t="shared" si="963"/>
        <v>-0.45041031702610251</v>
      </c>
    </row>
    <row r="253" spans="1:20" x14ac:dyDescent="0.25">
      <c r="A253" s="5">
        <v>44340</v>
      </c>
      <c r="B253">
        <v>1.417</v>
      </c>
      <c r="C253">
        <v>1.8</v>
      </c>
      <c r="D253">
        <v>1.3255999999999999</v>
      </c>
      <c r="E253">
        <v>1.7209000000000001</v>
      </c>
      <c r="F253">
        <v>10206210.949999999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0.6665261382799329</v>
      </c>
      <c r="Q253">
        <f t="shared" si="960"/>
        <v>6802706.3709738646</v>
      </c>
      <c r="R253">
        <f t="shared" si="961"/>
        <v>-46984708.295249313</v>
      </c>
      <c r="S253">
        <f t="shared" si="962"/>
        <v>-469.84708295249311</v>
      </c>
      <c r="T253">
        <f t="shared" si="963"/>
        <v>-0.46984708295249311</v>
      </c>
    </row>
    <row r="254" spans="1:20" x14ac:dyDescent="0.25">
      <c r="A254" s="5">
        <v>44339</v>
      </c>
      <c r="B254">
        <v>1.5672999999999999</v>
      </c>
      <c r="C254">
        <v>1.647</v>
      </c>
      <c r="D254">
        <v>1.2050000000000001</v>
      </c>
      <c r="E254">
        <v>1.417</v>
      </c>
      <c r="F254">
        <v>8436563.3499999996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-4.0723981900452531E-2</v>
      </c>
      <c r="Q254">
        <f t="shared" si="960"/>
        <v>-343570.45316742116</v>
      </c>
      <c r="R254">
        <f t="shared" si="961"/>
        <v>-53787414.666223176</v>
      </c>
      <c r="S254">
        <f t="shared" si="962"/>
        <v>-537.87414666223174</v>
      </c>
      <c r="T254">
        <f t="shared" si="963"/>
        <v>-0.53787414666223177</v>
      </c>
    </row>
    <row r="255" spans="1:20" x14ac:dyDescent="0.25">
      <c r="A255" s="5">
        <v>44338</v>
      </c>
      <c r="B255">
        <v>1.6850000000000001</v>
      </c>
      <c r="C255">
        <v>1.7467999999999999</v>
      </c>
      <c r="D255">
        <v>1.4245000000000001</v>
      </c>
      <c r="E255">
        <v>1.5668</v>
      </c>
      <c r="F255">
        <v>6363441.3799999999</v>
      </c>
      <c r="G255">
        <v>0</v>
      </c>
      <c r="L255" t="s">
        <v>7</v>
      </c>
      <c r="M255" t="s">
        <v>8</v>
      </c>
      <c r="N255" t="s">
        <v>7</v>
      </c>
      <c r="P255">
        <f t="shared" si="959"/>
        <v>-0.11697176543592953</v>
      </c>
      <c r="Q255">
        <f t="shared" si="960"/>
        <v>-744342.97246664774</v>
      </c>
      <c r="R255">
        <f t="shared" si="961"/>
        <v>-53443844.213055752</v>
      </c>
      <c r="S255">
        <f t="shared" si="962"/>
        <v>-534.43844213055752</v>
      </c>
      <c r="T255">
        <f t="shared" si="963"/>
        <v>-0.53443844213055747</v>
      </c>
    </row>
    <row r="256" spans="1:20" x14ac:dyDescent="0.25">
      <c r="A256" s="5">
        <v>44337</v>
      </c>
      <c r="B256">
        <v>2.0943999999999998</v>
      </c>
      <c r="C256">
        <v>2.2000000000000002</v>
      </c>
      <c r="D256">
        <v>1.4333</v>
      </c>
      <c r="E256">
        <v>1.6851</v>
      </c>
      <c r="F256">
        <v>7704804.0800000001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-0.34315899308725717</v>
      </c>
      <c r="Q256">
        <f t="shared" si="960"/>
        <v>-2643972.8100273907</v>
      </c>
      <c r="R256">
        <f t="shared" si="961"/>
        <v>-52699501.240589105</v>
      </c>
      <c r="S256">
        <f t="shared" si="962"/>
        <v>-526.99501240589109</v>
      </c>
      <c r="T256">
        <f t="shared" si="963"/>
        <v>-0.52699501240589108</v>
      </c>
    </row>
    <row r="257" spans="1:20" x14ac:dyDescent="0.25">
      <c r="A257" s="5">
        <v>44336</v>
      </c>
      <c r="B257">
        <v>1.7616000000000001</v>
      </c>
      <c r="C257">
        <v>2.4754</v>
      </c>
      <c r="D257">
        <v>1.5685</v>
      </c>
      <c r="E257">
        <v>2.0954999999999999</v>
      </c>
      <c r="F257">
        <v>10241914.58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0.16220090417907132</v>
      </c>
      <c r="Q257">
        <f t="shared" si="960"/>
        <v>1661247.8054008135</v>
      </c>
      <c r="R257">
        <f t="shared" si="961"/>
        <v>-50055528.430561714</v>
      </c>
      <c r="S257">
        <f t="shared" si="962"/>
        <v>-500.55528430561714</v>
      </c>
      <c r="T257">
        <f t="shared" si="963"/>
        <v>-0.50055528430561713</v>
      </c>
    </row>
    <row r="258" spans="1:20" x14ac:dyDescent="0.25">
      <c r="A258" s="5">
        <v>44335</v>
      </c>
      <c r="B258">
        <v>2.6983999999999999</v>
      </c>
      <c r="C258">
        <v>2.75</v>
      </c>
      <c r="D258">
        <v>1.34</v>
      </c>
      <c r="E258">
        <v>1.7749999999999999</v>
      </c>
      <c r="F258">
        <v>8534353.1600000001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-0.38297872340425554</v>
      </c>
      <c r="Q258">
        <f t="shared" si="960"/>
        <v>-3268475.6782978741</v>
      </c>
      <c r="R258">
        <f t="shared" si="961"/>
        <v>-51716776.235962525</v>
      </c>
      <c r="S258">
        <f t="shared" si="962"/>
        <v>-517.16776235962527</v>
      </c>
      <c r="T258">
        <f t="shared" si="963"/>
        <v>-0.51716776235962525</v>
      </c>
    </row>
    <row r="259" spans="1:20" x14ac:dyDescent="0.25">
      <c r="A259" s="5">
        <v>44334</v>
      </c>
      <c r="B259">
        <v>2.6808000000000001</v>
      </c>
      <c r="C259">
        <v>2.9659</v>
      </c>
      <c r="D259">
        <v>2.6263999999999998</v>
      </c>
      <c r="E259">
        <v>2.6915</v>
      </c>
      <c r="F259">
        <v>4231147.2300000004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-0.616494845360824</v>
      </c>
      <c r="Q259">
        <f t="shared" si="960"/>
        <v>-2608480.457257729</v>
      </c>
      <c r="R259">
        <f t="shared" si="961"/>
        <v>-48448300.557664648</v>
      </c>
      <c r="S259">
        <f t="shared" si="962"/>
        <v>-484.48300557664646</v>
      </c>
      <c r="T259">
        <f t="shared" si="963"/>
        <v>-0.48448300557664647</v>
      </c>
    </row>
    <row r="260" spans="1:20" x14ac:dyDescent="0.25">
      <c r="A260" s="5">
        <v>44333</v>
      </c>
      <c r="B260">
        <v>2.7665999999999999</v>
      </c>
      <c r="C260">
        <v>2.8999000000000001</v>
      </c>
      <c r="D260">
        <v>2.3037000000000001</v>
      </c>
      <c r="E260">
        <v>2.6806999999999999</v>
      </c>
      <c r="F260">
        <v>5689416.8499999996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0.26467628312646674</v>
      </c>
      <c r="Q260">
        <f t="shared" si="960"/>
        <v>1505853.7050150905</v>
      </c>
      <c r="R260">
        <f t="shared" si="961"/>
        <v>-45839820.100406922</v>
      </c>
      <c r="S260">
        <f t="shared" si="962"/>
        <v>-458.39820100406922</v>
      </c>
      <c r="T260">
        <f t="shared" si="963"/>
        <v>-0.45839820100406919</v>
      </c>
    </row>
    <row r="261" spans="1:20" x14ac:dyDescent="0.25">
      <c r="A261" s="5">
        <v>44332</v>
      </c>
      <c r="B261">
        <v>2.7757000000000001</v>
      </c>
      <c r="C261">
        <v>3.1190000000000002</v>
      </c>
      <c r="D261">
        <v>2.5150000000000001</v>
      </c>
      <c r="E261">
        <v>2.7574999999999998</v>
      </c>
      <c r="F261">
        <v>4905916.25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-0.19701986754966994</v>
      </c>
      <c r="Q261">
        <f t="shared" si="960"/>
        <v>-966562.96978477342</v>
      </c>
      <c r="R261">
        <f t="shared" si="961"/>
        <v>-47345673.805422015</v>
      </c>
      <c r="S261">
        <f t="shared" si="962"/>
        <v>-473.45673805422018</v>
      </c>
      <c r="T261">
        <f t="shared" si="963"/>
        <v>-0.47345673805422017</v>
      </c>
    </row>
    <row r="262" spans="1:20" x14ac:dyDescent="0.25">
      <c r="A262" s="5">
        <v>44331</v>
      </c>
      <c r="B262">
        <v>3.1516999999999999</v>
      </c>
      <c r="C262">
        <v>3.2134</v>
      </c>
      <c r="D262">
        <v>2.7349999999999999</v>
      </c>
      <c r="E262">
        <v>2.7686000000000002</v>
      </c>
      <c r="F262">
        <v>4884497.08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-0.8595317725752496</v>
      </c>
      <c r="Q262">
        <f t="shared" ref="Q262:Q325" si="965">F262*P262</f>
        <v>-4198380.4333110312</v>
      </c>
      <c r="R262">
        <f t="shared" ref="R262:R325" si="966">R263+Q262</f>
        <v>-46379110.835637242</v>
      </c>
      <c r="S262">
        <f t="shared" ref="S262:S325" si="967">R262/100000</f>
        <v>-463.79110835637243</v>
      </c>
      <c r="T262">
        <f t="shared" ref="T262:T325" si="968">S262/1000</f>
        <v>-0.46379110835637244</v>
      </c>
    </row>
    <row r="263" spans="1:20" x14ac:dyDescent="0.25">
      <c r="A263" s="5">
        <v>44330</v>
      </c>
      <c r="B263">
        <v>3.0371999999999999</v>
      </c>
      <c r="C263">
        <v>3.4472</v>
      </c>
      <c r="D263">
        <v>2.96</v>
      </c>
      <c r="E263">
        <v>3.1511999999999998</v>
      </c>
      <c r="F263">
        <v>5125361.55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-0.21510673234811253</v>
      </c>
      <c r="Q263">
        <f t="shared" si="965"/>
        <v>-1102499.7751231571</v>
      </c>
      <c r="R263">
        <f t="shared" si="966"/>
        <v>-42180730.402326211</v>
      </c>
      <c r="S263">
        <f t="shared" si="967"/>
        <v>-421.80730402326213</v>
      </c>
      <c r="T263">
        <f t="shared" si="968"/>
        <v>-0.42180730402326211</v>
      </c>
    </row>
    <row r="264" spans="1:20" x14ac:dyDescent="0.25">
      <c r="A264" s="5">
        <v>44329</v>
      </c>
      <c r="B264">
        <v>3.15</v>
      </c>
      <c r="C264">
        <v>3.5996000000000001</v>
      </c>
      <c r="D264">
        <v>2.8915000000000002</v>
      </c>
      <c r="E264">
        <v>3.0329999999999999</v>
      </c>
      <c r="F264">
        <v>7050392.3200000003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-0.60033893517864778</v>
      </c>
      <c r="Q264">
        <f t="shared" si="965"/>
        <v>-4232625.017980516</v>
      </c>
      <c r="R264">
        <f t="shared" si="966"/>
        <v>-41078230.627203055</v>
      </c>
      <c r="S264">
        <f t="shared" si="967"/>
        <v>-410.78230627203055</v>
      </c>
      <c r="T264">
        <f t="shared" si="968"/>
        <v>-0.41078230627203055</v>
      </c>
    </row>
    <row r="265" spans="1:20" x14ac:dyDescent="0.25">
      <c r="A265" s="5">
        <v>44328</v>
      </c>
      <c r="B265">
        <v>3.56</v>
      </c>
      <c r="C265">
        <v>4.1688000000000001</v>
      </c>
      <c r="D265">
        <v>3.0998999999999999</v>
      </c>
      <c r="E265">
        <v>3.15</v>
      </c>
      <c r="F265">
        <v>10015639.369999999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-0.90625877069884919</v>
      </c>
      <c r="Q265">
        <f t="shared" si="965"/>
        <v>-9076761.0232191961</v>
      </c>
      <c r="R265">
        <f t="shared" si="966"/>
        <v>-36845605.609222539</v>
      </c>
      <c r="S265">
        <f t="shared" si="967"/>
        <v>-368.45605609222537</v>
      </c>
      <c r="T265">
        <f t="shared" si="968"/>
        <v>-0.36845605609222537</v>
      </c>
    </row>
    <row r="266" spans="1:20" x14ac:dyDescent="0.25">
      <c r="A266" s="5">
        <v>44327</v>
      </c>
      <c r="B266">
        <v>3.7454999999999998</v>
      </c>
      <c r="C266">
        <v>3.9998999999999998</v>
      </c>
      <c r="D266">
        <v>3.3599000000000001</v>
      </c>
      <c r="E266">
        <v>3.5600999999999998</v>
      </c>
      <c r="F266">
        <v>8823930.6199999992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-0.37437500000000057</v>
      </c>
      <c r="Q266">
        <f t="shared" si="965"/>
        <v>-3303459.0258625047</v>
      </c>
      <c r="R266">
        <f t="shared" si="966"/>
        <v>-27768844.586003345</v>
      </c>
      <c r="S266">
        <f t="shared" si="967"/>
        <v>-277.68844586003343</v>
      </c>
      <c r="T266">
        <f t="shared" si="968"/>
        <v>-0.27768844586003344</v>
      </c>
    </row>
    <row r="267" spans="1:20" x14ac:dyDescent="0.25">
      <c r="A267" s="5">
        <v>44326</v>
      </c>
      <c r="B267">
        <v>3.2896000000000001</v>
      </c>
      <c r="C267">
        <v>4.55</v>
      </c>
      <c r="D267">
        <v>3.09</v>
      </c>
      <c r="E267">
        <v>3.7372000000000001</v>
      </c>
      <c r="F267">
        <v>28318211.399999999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-0.11342465753424626</v>
      </c>
      <c r="Q267">
        <f t="shared" si="965"/>
        <v>-3211983.430027388</v>
      </c>
      <c r="R267">
        <f t="shared" si="966"/>
        <v>-24465385.560140841</v>
      </c>
      <c r="S267">
        <f t="shared" si="967"/>
        <v>-244.6538556014084</v>
      </c>
      <c r="T267">
        <f t="shared" si="968"/>
        <v>-0.2446538556014084</v>
      </c>
    </row>
    <row r="268" spans="1:20" x14ac:dyDescent="0.25">
      <c r="A268" s="5">
        <v>44325</v>
      </c>
      <c r="B268">
        <v>3.0790000000000002</v>
      </c>
      <c r="C268">
        <v>3.4</v>
      </c>
      <c r="D268">
        <v>2.8948999999999998</v>
      </c>
      <c r="E268">
        <v>3.2856999999999998</v>
      </c>
      <c r="F268">
        <v>5110369.66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0.54741635319738646</v>
      </c>
      <c r="Q268">
        <f t="shared" si="965"/>
        <v>2797499.9227677677</v>
      </c>
      <c r="R268">
        <f t="shared" si="966"/>
        <v>-21253402.130113453</v>
      </c>
      <c r="S268">
        <f t="shared" si="967"/>
        <v>-212.53402130113452</v>
      </c>
      <c r="T268">
        <f t="shared" si="968"/>
        <v>-0.21253402130113452</v>
      </c>
    </row>
    <row r="269" spans="1:20" x14ac:dyDescent="0.25">
      <c r="A269" s="5">
        <v>44324</v>
      </c>
      <c r="B269">
        <v>3.2155999999999998</v>
      </c>
      <c r="C269">
        <v>3.5</v>
      </c>
      <c r="D269">
        <v>3.0706000000000002</v>
      </c>
      <c r="E269">
        <v>3.0821000000000001</v>
      </c>
      <c r="F269">
        <v>6918114.3499999996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-0.94643688868188236</v>
      </c>
      <c r="Q269">
        <f t="shared" si="965"/>
        <v>-6547558.6209594822</v>
      </c>
      <c r="R269">
        <f t="shared" si="966"/>
        <v>-24050902.052881218</v>
      </c>
      <c r="S269">
        <f t="shared" si="967"/>
        <v>-240.50902052881219</v>
      </c>
      <c r="T269">
        <f t="shared" si="968"/>
        <v>-0.24050902052881218</v>
      </c>
    </row>
    <row r="270" spans="1:20" x14ac:dyDescent="0.25">
      <c r="A270" s="5">
        <v>44323</v>
      </c>
      <c r="B270">
        <v>2.9609999999999999</v>
      </c>
      <c r="C270">
        <v>3.29</v>
      </c>
      <c r="D270">
        <v>2.8346</v>
      </c>
      <c r="E270">
        <v>3.22</v>
      </c>
      <c r="F270">
        <v>6162735.2000000002</v>
      </c>
      <c r="G270">
        <v>0</v>
      </c>
      <c r="L270" t="s">
        <v>8</v>
      </c>
      <c r="M270" t="s">
        <v>7</v>
      </c>
      <c r="N270" t="s">
        <v>8</v>
      </c>
      <c r="P270">
        <f t="shared" si="964"/>
        <v>0.69257795344751938</v>
      </c>
      <c r="Q270">
        <f t="shared" si="965"/>
        <v>4268174.5324549889</v>
      </c>
      <c r="R270">
        <f t="shared" si="966"/>
        <v>-17503343.431921735</v>
      </c>
      <c r="S270">
        <f t="shared" si="967"/>
        <v>-175.03343431921735</v>
      </c>
      <c r="T270">
        <f t="shared" si="968"/>
        <v>-0.17503343431921736</v>
      </c>
    </row>
    <row r="271" spans="1:20" x14ac:dyDescent="0.25">
      <c r="A271" s="5">
        <v>44322</v>
      </c>
      <c r="B271">
        <v>2.9453</v>
      </c>
      <c r="C271">
        <v>3.2393999999999998</v>
      </c>
      <c r="D271">
        <v>2.8391999999999999</v>
      </c>
      <c r="E271">
        <v>2.9641000000000002</v>
      </c>
      <c r="F271">
        <v>6397644.3200000003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-0.37581209395302217</v>
      </c>
      <c r="Q271">
        <f t="shared" si="965"/>
        <v>-2404312.1082658586</v>
      </c>
      <c r="R271">
        <f t="shared" si="966"/>
        <v>-21771517.964376725</v>
      </c>
      <c r="S271">
        <f t="shared" si="967"/>
        <v>-217.71517964376724</v>
      </c>
      <c r="T271">
        <f t="shared" si="968"/>
        <v>-0.21771517964376724</v>
      </c>
    </row>
    <row r="272" spans="1:20" x14ac:dyDescent="0.25">
      <c r="A272" s="5">
        <v>44321</v>
      </c>
      <c r="B272">
        <v>2.7892000000000001</v>
      </c>
      <c r="C272">
        <v>3.5556000000000001</v>
      </c>
      <c r="D272">
        <v>2.7892000000000001</v>
      </c>
      <c r="E272">
        <v>2.9618000000000002</v>
      </c>
      <c r="F272">
        <v>16944999.75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-0.54958246346555295</v>
      </c>
      <c r="Q272">
        <f t="shared" si="965"/>
        <v>-9312674.7060281783</v>
      </c>
      <c r="R272">
        <f t="shared" si="966"/>
        <v>-19367205.856110867</v>
      </c>
      <c r="S272">
        <f t="shared" si="967"/>
        <v>-193.67205856110868</v>
      </c>
      <c r="T272">
        <f t="shared" si="968"/>
        <v>-0.1936720585611087</v>
      </c>
    </row>
    <row r="273" spans="1:20" x14ac:dyDescent="0.25">
      <c r="A273" s="5">
        <v>44320</v>
      </c>
      <c r="B273">
        <v>2.5668000000000002</v>
      </c>
      <c r="C273">
        <v>3.2</v>
      </c>
      <c r="D273">
        <v>2.35</v>
      </c>
      <c r="E273">
        <v>2.7934000000000001</v>
      </c>
      <c r="F273">
        <v>12215238.210000001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4.3294117647058754E-2</v>
      </c>
      <c r="Q273">
        <f t="shared" si="965"/>
        <v>528847.96015058737</v>
      </c>
      <c r="R273">
        <f t="shared" si="966"/>
        <v>-10054531.150082689</v>
      </c>
      <c r="S273">
        <f t="shared" si="967"/>
        <v>-100.54531150082688</v>
      </c>
      <c r="T273">
        <f t="shared" si="968"/>
        <v>-0.10054531150082688</v>
      </c>
    </row>
    <row r="274" spans="1:20" x14ac:dyDescent="0.25">
      <c r="A274" s="5">
        <v>44319</v>
      </c>
      <c r="B274">
        <v>2.6518999999999999</v>
      </c>
      <c r="C274">
        <v>2.7370999999999999</v>
      </c>
      <c r="D274">
        <v>2.4866000000000001</v>
      </c>
      <c r="E274">
        <v>2.5665</v>
      </c>
      <c r="F274">
        <v>4340374.21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-0.36207584830339362</v>
      </c>
      <c r="Q274">
        <f t="shared" si="965"/>
        <v>-1571544.674039922</v>
      </c>
      <c r="R274">
        <f t="shared" si="966"/>
        <v>-10583379.110233277</v>
      </c>
      <c r="S274">
        <f t="shared" si="967"/>
        <v>-105.83379110233277</v>
      </c>
      <c r="T274">
        <f t="shared" si="968"/>
        <v>-0.10583379110233276</v>
      </c>
    </row>
    <row r="275" spans="1:20" x14ac:dyDescent="0.25">
      <c r="A275" s="5">
        <v>44318</v>
      </c>
      <c r="B275">
        <v>2.3553999999999999</v>
      </c>
      <c r="C275">
        <v>2.73</v>
      </c>
      <c r="D275">
        <v>2.2871000000000001</v>
      </c>
      <c r="E275">
        <v>2.6545999999999998</v>
      </c>
      <c r="F275">
        <v>7664075.5800000001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0.65951682095281028</v>
      </c>
      <c r="Q275">
        <f t="shared" si="965"/>
        <v>5054586.7620636653</v>
      </c>
      <c r="R275">
        <f t="shared" si="966"/>
        <v>-9011834.4361933544</v>
      </c>
      <c r="S275">
        <f t="shared" si="967"/>
        <v>-90.118344361933538</v>
      </c>
      <c r="T275">
        <f t="shared" si="968"/>
        <v>-9.0118344361933542E-2</v>
      </c>
    </row>
    <row r="276" spans="1:20" x14ac:dyDescent="0.25">
      <c r="A276" s="5">
        <v>44317</v>
      </c>
      <c r="B276">
        <v>2.2545000000000002</v>
      </c>
      <c r="C276">
        <v>2.3782000000000001</v>
      </c>
      <c r="D276">
        <v>2.2090000000000001</v>
      </c>
      <c r="E276">
        <v>2.355</v>
      </c>
      <c r="F276">
        <v>2449034.16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0.72576832151300108</v>
      </c>
      <c r="Q276">
        <f t="shared" si="965"/>
        <v>1777431.4116312026</v>
      </c>
      <c r="R276">
        <f t="shared" si="966"/>
        <v>-14066421.19825702</v>
      </c>
      <c r="S276">
        <f t="shared" si="967"/>
        <v>-140.66421198257021</v>
      </c>
      <c r="T276">
        <f t="shared" si="968"/>
        <v>-0.1406642119825702</v>
      </c>
    </row>
    <row r="277" spans="1:20" x14ac:dyDescent="0.25">
      <c r="A277" s="5">
        <v>44316</v>
      </c>
      <c r="B277">
        <v>2.1172</v>
      </c>
      <c r="C277">
        <v>2.3799000000000001</v>
      </c>
      <c r="D277">
        <v>2.0855000000000001</v>
      </c>
      <c r="E277">
        <v>2.2597999999999998</v>
      </c>
      <c r="F277">
        <v>3344718.31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0.18410326086956305</v>
      </c>
      <c r="Q277">
        <f t="shared" si="965"/>
        <v>615773.5475611341</v>
      </c>
      <c r="R277">
        <f t="shared" si="966"/>
        <v>-15843852.609888222</v>
      </c>
      <c r="S277">
        <f t="shared" si="967"/>
        <v>-158.43852609888222</v>
      </c>
      <c r="T277">
        <f t="shared" si="968"/>
        <v>-0.15843852609888223</v>
      </c>
    </row>
    <row r="278" spans="1:20" x14ac:dyDescent="0.25">
      <c r="A278" s="5">
        <v>44315</v>
      </c>
      <c r="B278">
        <v>2.15</v>
      </c>
      <c r="C278">
        <v>2.1858</v>
      </c>
      <c r="D278">
        <v>1.9543999999999999</v>
      </c>
      <c r="E278">
        <v>2.1135999999999999</v>
      </c>
      <c r="F278">
        <v>2980939.98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0.37597234226447684</v>
      </c>
      <c r="Q278">
        <f t="shared" si="965"/>
        <v>1120750.9864304226</v>
      </c>
      <c r="R278">
        <f t="shared" si="966"/>
        <v>-16459626.157449355</v>
      </c>
      <c r="S278">
        <f t="shared" si="967"/>
        <v>-164.59626157449355</v>
      </c>
      <c r="T278">
        <f t="shared" si="968"/>
        <v>-0.16459626157449356</v>
      </c>
    </row>
    <row r="279" spans="1:20" x14ac:dyDescent="0.25">
      <c r="A279" s="5">
        <v>44314</v>
      </c>
      <c r="B279">
        <v>2.1999</v>
      </c>
      <c r="C279">
        <v>2.2999999999999998</v>
      </c>
      <c r="D279">
        <v>1.8857999999999999</v>
      </c>
      <c r="E279">
        <v>2.15</v>
      </c>
      <c r="F279">
        <v>4225268.4000000004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0.27571221632061832</v>
      </c>
      <c r="Q279">
        <f t="shared" si="965"/>
        <v>1164958.115113473</v>
      </c>
      <c r="R279">
        <f t="shared" si="966"/>
        <v>-17580377.143879779</v>
      </c>
      <c r="S279">
        <f t="shared" si="967"/>
        <v>-175.80377143879778</v>
      </c>
      <c r="T279">
        <f t="shared" si="968"/>
        <v>-0.17580377143879777</v>
      </c>
    </row>
    <row r="280" spans="1:20" x14ac:dyDescent="0.25">
      <c r="A280" s="5">
        <v>44313</v>
      </c>
      <c r="B280">
        <v>1.8577999999999999</v>
      </c>
      <c r="C280">
        <v>2.3738000000000001</v>
      </c>
      <c r="D280">
        <v>1.8428</v>
      </c>
      <c r="E280">
        <v>2.1999</v>
      </c>
      <c r="F280">
        <v>4158236.12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0.3450094161958564</v>
      </c>
      <c r="Q280">
        <f t="shared" si="965"/>
        <v>1434630.6161657232</v>
      </c>
      <c r="R280">
        <f t="shared" si="966"/>
        <v>-18745335.258993253</v>
      </c>
      <c r="S280">
        <f t="shared" si="967"/>
        <v>-187.45335258993254</v>
      </c>
      <c r="T280">
        <f t="shared" si="968"/>
        <v>-0.18745335258993254</v>
      </c>
    </row>
    <row r="281" spans="1:20" x14ac:dyDescent="0.25">
      <c r="A281" s="5">
        <v>44312</v>
      </c>
      <c r="B281">
        <v>1.6698999999999999</v>
      </c>
      <c r="C281">
        <v>1.9819</v>
      </c>
      <c r="D281">
        <v>1.6288</v>
      </c>
      <c r="E281">
        <v>1.8577999999999999</v>
      </c>
      <c r="F281">
        <v>3389178.05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0.29708297932596933</v>
      </c>
      <c r="Q281">
        <f t="shared" si="965"/>
        <v>1006867.112560179</v>
      </c>
      <c r="R281">
        <f t="shared" si="966"/>
        <v>-20179965.875158977</v>
      </c>
      <c r="S281">
        <f t="shared" si="967"/>
        <v>-201.79965875158976</v>
      </c>
      <c r="T281">
        <f t="shared" si="968"/>
        <v>-0.20179965875158976</v>
      </c>
    </row>
    <row r="282" spans="1:20" x14ac:dyDescent="0.25">
      <c r="A282" s="5">
        <v>44311</v>
      </c>
      <c r="B282">
        <v>1.4804999999999999</v>
      </c>
      <c r="C282">
        <v>1.8331999999999999</v>
      </c>
      <c r="D282">
        <v>1.4</v>
      </c>
      <c r="E282">
        <v>1.669</v>
      </c>
      <c r="F282">
        <v>3902893.05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0.24192059095106236</v>
      </c>
      <c r="Q282">
        <f t="shared" si="965"/>
        <v>944190.19307479414</v>
      </c>
      <c r="R282">
        <f t="shared" si="966"/>
        <v>-21186832.987719156</v>
      </c>
      <c r="S282">
        <f t="shared" si="967"/>
        <v>-211.86832987719157</v>
      </c>
      <c r="T282">
        <f t="shared" si="968"/>
        <v>-0.21186832987719156</v>
      </c>
    </row>
    <row r="283" spans="1:20" x14ac:dyDescent="0.25">
      <c r="A283" s="5">
        <v>44310</v>
      </c>
      <c r="B283">
        <v>1.6249</v>
      </c>
      <c r="C283">
        <v>1.66</v>
      </c>
      <c r="D283">
        <v>1.4555</v>
      </c>
      <c r="E283">
        <v>1.4736</v>
      </c>
      <c r="F283">
        <v>2186042.2400000002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-0.82298288508557449</v>
      </c>
      <c r="Q283">
        <f t="shared" si="965"/>
        <v>-1799075.349594132</v>
      </c>
      <c r="R283">
        <f t="shared" si="966"/>
        <v>-22131023.180793948</v>
      </c>
      <c r="S283">
        <f t="shared" si="967"/>
        <v>-221.31023180793949</v>
      </c>
      <c r="T283">
        <f t="shared" si="968"/>
        <v>-0.22131023180793949</v>
      </c>
    </row>
    <row r="284" spans="1:20" x14ac:dyDescent="0.25">
      <c r="A284" s="5">
        <v>44309</v>
      </c>
      <c r="B284">
        <v>1.6919</v>
      </c>
      <c r="C284">
        <v>1.7228000000000001</v>
      </c>
      <c r="D284">
        <v>1.359</v>
      </c>
      <c r="E284">
        <v>1.6204000000000001</v>
      </c>
      <c r="F284">
        <v>3910071.35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0.43705332600329844</v>
      </c>
      <c r="Q284">
        <f t="shared" si="965"/>
        <v>1708909.6884277072</v>
      </c>
      <c r="R284">
        <f t="shared" si="966"/>
        <v>-20331947.831199817</v>
      </c>
      <c r="S284">
        <f t="shared" si="967"/>
        <v>-203.31947831199818</v>
      </c>
      <c r="T284">
        <f t="shared" si="968"/>
        <v>-0.20331947831199818</v>
      </c>
    </row>
    <row r="285" spans="1:20" x14ac:dyDescent="0.25">
      <c r="A285" s="5">
        <v>44308</v>
      </c>
      <c r="B285">
        <v>1.8689</v>
      </c>
      <c r="C285">
        <v>2.1425000000000001</v>
      </c>
      <c r="D285">
        <v>1.6533</v>
      </c>
      <c r="E285">
        <v>1.6941999999999999</v>
      </c>
      <c r="F285">
        <v>4192281.95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-0.832788225674571</v>
      </c>
      <c r="Q285">
        <f t="shared" si="965"/>
        <v>-3491283.0466680308</v>
      </c>
      <c r="R285">
        <f t="shared" si="966"/>
        <v>-22040857.519627526</v>
      </c>
      <c r="S285">
        <f t="shared" si="967"/>
        <v>-220.40857519627525</v>
      </c>
      <c r="T285">
        <f t="shared" si="968"/>
        <v>-0.22040857519627524</v>
      </c>
    </row>
    <row r="286" spans="1:20" x14ac:dyDescent="0.25">
      <c r="A286" s="5">
        <v>44307</v>
      </c>
      <c r="B286">
        <v>2.0802999999999998</v>
      </c>
      <c r="C286">
        <v>2.1293000000000002</v>
      </c>
      <c r="D286">
        <v>1.8666</v>
      </c>
      <c r="E286">
        <v>1.8686</v>
      </c>
      <c r="F286">
        <v>2497241.59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-0.98477350590026647</v>
      </c>
      <c r="Q286">
        <f t="shared" si="965"/>
        <v>-2459217.3556642556</v>
      </c>
      <c r="R286">
        <f t="shared" si="966"/>
        <v>-18549574.472959496</v>
      </c>
      <c r="S286">
        <f t="shared" si="967"/>
        <v>-185.49574472959497</v>
      </c>
      <c r="T286">
        <f t="shared" si="968"/>
        <v>-0.18549574472959499</v>
      </c>
    </row>
    <row r="287" spans="1:20" x14ac:dyDescent="0.25">
      <c r="A287" s="5">
        <v>44306</v>
      </c>
      <c r="B287">
        <v>2.0390999999999999</v>
      </c>
      <c r="C287">
        <v>2.1577999999999999</v>
      </c>
      <c r="D287">
        <v>1.8016000000000001</v>
      </c>
      <c r="E287">
        <v>2.09</v>
      </c>
      <c r="F287">
        <v>3021079.45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0.61931499157776471</v>
      </c>
      <c r="Q287">
        <f t="shared" si="965"/>
        <v>1870999.7941325081</v>
      </c>
      <c r="R287">
        <f t="shared" si="966"/>
        <v>-16090357.117295239</v>
      </c>
      <c r="S287">
        <f t="shared" si="967"/>
        <v>-160.90357117295238</v>
      </c>
      <c r="T287">
        <f t="shared" si="968"/>
        <v>-0.16090357117295237</v>
      </c>
    </row>
    <row r="288" spans="1:20" x14ac:dyDescent="0.25">
      <c r="A288" s="5">
        <v>44305</v>
      </c>
      <c r="B288">
        <v>2.3083999999999998</v>
      </c>
      <c r="C288">
        <v>2.4159999999999999</v>
      </c>
      <c r="D288">
        <v>1.9520999999999999</v>
      </c>
      <c r="E288">
        <v>2.0327000000000002</v>
      </c>
      <c r="F288">
        <v>3061441.51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-0.65251131709420029</v>
      </c>
      <c r="Q288">
        <f t="shared" si="965"/>
        <v>-1997625.2318969571</v>
      </c>
      <c r="R288">
        <f t="shared" si="966"/>
        <v>-17961356.911427747</v>
      </c>
      <c r="S288">
        <f t="shared" si="967"/>
        <v>-179.61356911427748</v>
      </c>
      <c r="T288">
        <f t="shared" si="968"/>
        <v>-0.17961356911427748</v>
      </c>
    </row>
    <row r="289" spans="1:20" x14ac:dyDescent="0.25">
      <c r="A289" s="5">
        <v>44304</v>
      </c>
      <c r="B289">
        <v>2.5363000000000002</v>
      </c>
      <c r="C289">
        <v>2.5533999999999999</v>
      </c>
      <c r="D289">
        <v>1.8577999999999999</v>
      </c>
      <c r="E289">
        <v>2.3113000000000001</v>
      </c>
      <c r="F289">
        <v>3954822.62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0.30391029327199609</v>
      </c>
      <c r="Q289">
        <f t="shared" si="965"/>
        <v>1201911.3022829241</v>
      </c>
      <c r="R289">
        <f t="shared" si="966"/>
        <v>-15963731.67953079</v>
      </c>
      <c r="S289">
        <f t="shared" si="967"/>
        <v>-159.6373167953079</v>
      </c>
      <c r="T289">
        <f t="shared" si="968"/>
        <v>-0.1596373167953079</v>
      </c>
    </row>
    <row r="290" spans="1:20" x14ac:dyDescent="0.25">
      <c r="A290" s="5">
        <v>44303</v>
      </c>
      <c r="B290">
        <v>2.5097999999999998</v>
      </c>
      <c r="C290">
        <v>2.8698999999999999</v>
      </c>
      <c r="D290">
        <v>2.5</v>
      </c>
      <c r="E290">
        <v>2.5352000000000001</v>
      </c>
      <c r="F290">
        <v>4946130.63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-0.80967829143011549</v>
      </c>
      <c r="Q290">
        <f t="shared" si="965"/>
        <v>-4004774.5976885608</v>
      </c>
      <c r="R290">
        <f t="shared" si="966"/>
        <v>-17165642.981813714</v>
      </c>
      <c r="S290">
        <f t="shared" si="967"/>
        <v>-171.65642981813713</v>
      </c>
      <c r="T290">
        <f t="shared" si="968"/>
        <v>-0.17165642981813714</v>
      </c>
    </row>
    <row r="291" spans="1:20" x14ac:dyDescent="0.25">
      <c r="A291" s="5">
        <v>44302</v>
      </c>
      <c r="B291">
        <v>2.4154</v>
      </c>
      <c r="C291">
        <v>2.5640000000000001</v>
      </c>
      <c r="D291">
        <v>2.2208000000000001</v>
      </c>
      <c r="E291">
        <v>2.5051999999999999</v>
      </c>
      <c r="F291">
        <v>2817746.51</v>
      </c>
      <c r="G291">
        <v>0</v>
      </c>
      <c r="L291" t="s">
        <v>8</v>
      </c>
      <c r="M291" t="s">
        <v>7</v>
      </c>
      <c r="N291" t="s">
        <v>8</v>
      </c>
      <c r="P291">
        <f t="shared" si="964"/>
        <v>0.65734265734265618</v>
      </c>
      <c r="Q291">
        <f t="shared" si="965"/>
        <v>1852224.9786013952</v>
      </c>
      <c r="R291">
        <f t="shared" si="966"/>
        <v>-13160868.384125154</v>
      </c>
      <c r="S291">
        <f t="shared" si="967"/>
        <v>-131.60868384125155</v>
      </c>
      <c r="T291">
        <f t="shared" si="968"/>
        <v>-0.13160868384125154</v>
      </c>
    </row>
    <row r="292" spans="1:20" x14ac:dyDescent="0.25">
      <c r="A292" s="5">
        <v>44301</v>
      </c>
      <c r="B292">
        <v>2.3653</v>
      </c>
      <c r="C292">
        <v>2.4514</v>
      </c>
      <c r="D292">
        <v>2.3517999999999999</v>
      </c>
      <c r="E292">
        <v>2.4064000000000001</v>
      </c>
      <c r="F292">
        <v>1546101.93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9.6385542168677327E-2</v>
      </c>
      <c r="Q292">
        <f t="shared" si="965"/>
        <v>149021.87277108838</v>
      </c>
      <c r="R292">
        <f t="shared" si="966"/>
        <v>-15013093.362726551</v>
      </c>
      <c r="S292">
        <f t="shared" si="967"/>
        <v>-150.13093362726551</v>
      </c>
      <c r="T292">
        <f t="shared" si="968"/>
        <v>-0.15013093362726551</v>
      </c>
    </row>
    <row r="293" spans="1:20" x14ac:dyDescent="0.25">
      <c r="A293" s="5">
        <v>44300</v>
      </c>
      <c r="B293">
        <v>2.5007999999999999</v>
      </c>
      <c r="C293">
        <v>2.59</v>
      </c>
      <c r="D293">
        <v>2.2696999999999998</v>
      </c>
      <c r="E293">
        <v>2.3601000000000001</v>
      </c>
      <c r="F293">
        <v>1897326.01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-0.43552919138307683</v>
      </c>
      <c r="Q293">
        <f t="shared" si="965"/>
        <v>-826340.86292537954</v>
      </c>
      <c r="R293">
        <f t="shared" si="966"/>
        <v>-15162115.235497639</v>
      </c>
      <c r="S293">
        <f t="shared" si="967"/>
        <v>-151.62115235497637</v>
      </c>
      <c r="T293">
        <f t="shared" si="968"/>
        <v>-0.15162115235497636</v>
      </c>
    </row>
    <row r="294" spans="1:20" x14ac:dyDescent="0.25">
      <c r="A294" s="5">
        <v>44299</v>
      </c>
      <c r="B294">
        <v>2.5501999999999998</v>
      </c>
      <c r="C294">
        <v>2.6379999999999999</v>
      </c>
      <c r="D294">
        <v>2.4003000000000001</v>
      </c>
      <c r="E294">
        <v>2.5087999999999999</v>
      </c>
      <c r="F294">
        <v>2427070.2400000002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-8.7084560370215308E-2</v>
      </c>
      <c r="Q294">
        <f t="shared" si="965"/>
        <v>-211360.34483803296</v>
      </c>
      <c r="R294">
        <f t="shared" si="966"/>
        <v>-14335774.37257226</v>
      </c>
      <c r="S294">
        <f t="shared" si="967"/>
        <v>-143.3577437257226</v>
      </c>
      <c r="T294">
        <f t="shared" si="968"/>
        <v>-0.1433577437257226</v>
      </c>
    </row>
    <row r="295" spans="1:20" x14ac:dyDescent="0.25">
      <c r="A295" s="5">
        <v>44298</v>
      </c>
      <c r="B295">
        <v>2.4554</v>
      </c>
      <c r="C295">
        <v>2.968</v>
      </c>
      <c r="D295">
        <v>2.3797999999999999</v>
      </c>
      <c r="E295">
        <v>2.5365000000000002</v>
      </c>
      <c r="F295">
        <v>5971390.1100000003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-0.46718803128187603</v>
      </c>
      <c r="Q295">
        <f t="shared" si="965"/>
        <v>-2789761.9895069655</v>
      </c>
      <c r="R295">
        <f t="shared" si="966"/>
        <v>-14124414.027734227</v>
      </c>
      <c r="S295">
        <f t="shared" si="967"/>
        <v>-141.24414027734227</v>
      </c>
      <c r="T295">
        <f t="shared" si="968"/>
        <v>-0.14124414027734228</v>
      </c>
    </row>
    <row r="296" spans="1:20" x14ac:dyDescent="0.25">
      <c r="A296" s="5">
        <v>44297</v>
      </c>
      <c r="B296">
        <v>2.3847</v>
      </c>
      <c r="C296">
        <v>2.5055999999999998</v>
      </c>
      <c r="D296">
        <v>2.2932999999999999</v>
      </c>
      <c r="E296">
        <v>2.4466999999999999</v>
      </c>
      <c r="F296">
        <v>1870057.34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0.44512482336316561</v>
      </c>
      <c r="Q296">
        <f t="shared" si="965"/>
        <v>832408.94314649142</v>
      </c>
      <c r="R296">
        <f t="shared" si="966"/>
        <v>-11334652.038227262</v>
      </c>
      <c r="S296">
        <f t="shared" si="967"/>
        <v>-113.34652038227262</v>
      </c>
      <c r="T296">
        <f t="shared" si="968"/>
        <v>-0.11334652038227261</v>
      </c>
    </row>
    <row r="297" spans="1:20" x14ac:dyDescent="0.25">
      <c r="A297" s="5">
        <v>44296</v>
      </c>
      <c r="B297">
        <v>2.4148999999999998</v>
      </c>
      <c r="C297">
        <v>2.5768</v>
      </c>
      <c r="D297">
        <v>2.3329</v>
      </c>
      <c r="E297">
        <v>2.3862999999999999</v>
      </c>
      <c r="F297">
        <v>2154721.87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-0.5621156211562125</v>
      </c>
      <c r="Q297">
        <f t="shared" si="965"/>
        <v>-1211202.8223739257</v>
      </c>
      <c r="R297">
        <f t="shared" si="966"/>
        <v>-12167060.981373753</v>
      </c>
      <c r="S297">
        <f t="shared" si="967"/>
        <v>-121.67060981373753</v>
      </c>
      <c r="T297">
        <f t="shared" si="968"/>
        <v>-0.12167060981373753</v>
      </c>
    </row>
    <row r="298" spans="1:20" x14ac:dyDescent="0.25">
      <c r="A298" s="5">
        <v>44295</v>
      </c>
      <c r="B298">
        <v>2.5019999999999998</v>
      </c>
      <c r="C298">
        <v>2.5406</v>
      </c>
      <c r="D298">
        <v>2.3883999999999999</v>
      </c>
      <c r="E298">
        <v>2.4226000000000001</v>
      </c>
      <c r="F298">
        <v>1986615.33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-0.55059132720104853</v>
      </c>
      <c r="Q298">
        <f t="shared" si="965"/>
        <v>-1093813.171182649</v>
      </c>
      <c r="R298">
        <f t="shared" si="966"/>
        <v>-10955858.158999829</v>
      </c>
      <c r="S298">
        <f t="shared" si="967"/>
        <v>-109.55858158999828</v>
      </c>
      <c r="T298">
        <f t="shared" si="968"/>
        <v>-0.10955858158999829</v>
      </c>
    </row>
    <row r="299" spans="1:20" x14ac:dyDescent="0.25">
      <c r="A299" s="5">
        <v>44294</v>
      </c>
      <c r="B299">
        <v>2.4097</v>
      </c>
      <c r="C299">
        <v>2.64</v>
      </c>
      <c r="D299">
        <v>2.3418999999999999</v>
      </c>
      <c r="E299">
        <v>2.5135000000000001</v>
      </c>
      <c r="F299">
        <v>2784331.39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0.15129151291512949</v>
      </c>
      <c r="Q299">
        <f t="shared" si="965"/>
        <v>421245.70845018548</v>
      </c>
      <c r="R299">
        <f t="shared" si="966"/>
        <v>-9862044.9878171794</v>
      </c>
      <c r="S299">
        <f t="shared" si="967"/>
        <v>-98.620449878171797</v>
      </c>
      <c r="T299">
        <f t="shared" si="968"/>
        <v>-9.8620449878171798E-2</v>
      </c>
    </row>
    <row r="300" spans="1:20" x14ac:dyDescent="0.25">
      <c r="A300" s="5">
        <v>44293</v>
      </c>
      <c r="B300">
        <v>2.5234999999999999</v>
      </c>
      <c r="C300">
        <v>2.5882999999999998</v>
      </c>
      <c r="D300">
        <v>2.0240999999999998</v>
      </c>
      <c r="E300">
        <v>2.41</v>
      </c>
      <c r="F300">
        <v>3463522.42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0.3679546260191433</v>
      </c>
      <c r="Q300">
        <f t="shared" si="965"/>
        <v>1274419.0967600183</v>
      </c>
      <c r="R300">
        <f t="shared" si="966"/>
        <v>-10283290.696267365</v>
      </c>
      <c r="S300">
        <f t="shared" si="967"/>
        <v>-102.83290696267365</v>
      </c>
      <c r="T300">
        <f t="shared" si="968"/>
        <v>-0.10283290696267365</v>
      </c>
    </row>
    <row r="301" spans="1:20" x14ac:dyDescent="0.25">
      <c r="A301" s="5">
        <v>44292</v>
      </c>
      <c r="B301">
        <v>2.4293999999999998</v>
      </c>
      <c r="C301">
        <v>2.6751999999999998</v>
      </c>
      <c r="D301">
        <v>2.2481</v>
      </c>
      <c r="E301">
        <v>2.5059999999999998</v>
      </c>
      <c r="F301">
        <v>3757261.39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0.20767970030437793</v>
      </c>
      <c r="Q301">
        <f t="shared" si="965"/>
        <v>780306.91944041045</v>
      </c>
      <c r="R301">
        <f t="shared" si="966"/>
        <v>-11557709.793027382</v>
      </c>
      <c r="S301">
        <f t="shared" si="967"/>
        <v>-115.57709793027382</v>
      </c>
      <c r="T301">
        <f t="shared" si="968"/>
        <v>-0.11557709793027382</v>
      </c>
    </row>
    <row r="302" spans="1:20" x14ac:dyDescent="0.25">
      <c r="A302" s="5">
        <v>44291</v>
      </c>
      <c r="B302">
        <v>2.2363</v>
      </c>
      <c r="C302">
        <v>2.7</v>
      </c>
      <c r="D302">
        <v>2.0312000000000001</v>
      </c>
      <c r="E302">
        <v>2.4295</v>
      </c>
      <c r="F302">
        <v>3756135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0.191088516746411</v>
      </c>
      <c r="Q302">
        <f t="shared" si="965"/>
        <v>717754.26584928052</v>
      </c>
      <c r="R302">
        <f t="shared" si="966"/>
        <v>-12338016.712467793</v>
      </c>
      <c r="S302">
        <f t="shared" si="967"/>
        <v>-123.38016712467794</v>
      </c>
      <c r="T302">
        <f t="shared" si="968"/>
        <v>-0.12338016712467793</v>
      </c>
    </row>
    <row r="303" spans="1:20" x14ac:dyDescent="0.25">
      <c r="A303" s="5">
        <v>44290</v>
      </c>
      <c r="B303">
        <v>1.988</v>
      </c>
      <c r="C303">
        <v>2.29</v>
      </c>
      <c r="D303">
        <v>1.9382999999999999</v>
      </c>
      <c r="E303">
        <v>2.2362000000000002</v>
      </c>
      <c r="F303">
        <v>1998219.44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0.69405743531418918</v>
      </c>
      <c r="Q303">
        <f t="shared" si="965"/>
        <v>1386879.0597213553</v>
      </c>
      <c r="R303">
        <f t="shared" si="966"/>
        <v>-13055770.978317074</v>
      </c>
      <c r="S303">
        <f t="shared" si="967"/>
        <v>-130.55770978317074</v>
      </c>
      <c r="T303">
        <f t="shared" si="968"/>
        <v>-0.13055770978317074</v>
      </c>
    </row>
    <row r="304" spans="1:20" x14ac:dyDescent="0.25">
      <c r="A304" s="5">
        <v>44289</v>
      </c>
      <c r="B304">
        <v>2.0943999999999998</v>
      </c>
      <c r="C304">
        <v>2.2999999999999998</v>
      </c>
      <c r="D304">
        <v>1.984</v>
      </c>
      <c r="E304">
        <v>1.988</v>
      </c>
      <c r="F304">
        <v>2128144.85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-0.97468354430379744</v>
      </c>
      <c r="Q304">
        <f t="shared" si="965"/>
        <v>-2074267.7651898735</v>
      </c>
      <c r="R304">
        <f t="shared" si="966"/>
        <v>-14442650.038038431</v>
      </c>
      <c r="S304">
        <f t="shared" si="967"/>
        <v>-144.42650038038431</v>
      </c>
      <c r="T304">
        <f t="shared" si="968"/>
        <v>-0.14442650038038432</v>
      </c>
    </row>
    <row r="305" spans="1:20" x14ac:dyDescent="0.25">
      <c r="A305" s="5">
        <v>44288</v>
      </c>
      <c r="B305">
        <v>2.0659000000000001</v>
      </c>
      <c r="C305">
        <v>2.25</v>
      </c>
      <c r="D305">
        <v>1.95</v>
      </c>
      <c r="E305">
        <v>2.0945</v>
      </c>
      <c r="F305">
        <v>2972981.61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-3.6666666666666327E-2</v>
      </c>
      <c r="Q305">
        <f t="shared" si="965"/>
        <v>-109009.32569999898</v>
      </c>
      <c r="R305">
        <f t="shared" si="966"/>
        <v>-12368382.272848558</v>
      </c>
      <c r="S305">
        <f t="shared" si="967"/>
        <v>-123.68382272848558</v>
      </c>
      <c r="T305">
        <f t="shared" si="968"/>
        <v>-0.12368382272848558</v>
      </c>
    </row>
    <row r="306" spans="1:20" x14ac:dyDescent="0.25">
      <c r="A306" s="5">
        <v>44287</v>
      </c>
      <c r="B306">
        <v>1.9008</v>
      </c>
      <c r="C306">
        <v>2.093</v>
      </c>
      <c r="D306">
        <v>1.85</v>
      </c>
      <c r="E306">
        <v>2.0659000000000001</v>
      </c>
      <c r="F306">
        <v>1947968.05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0.77695473251028879</v>
      </c>
      <c r="Q306">
        <f t="shared" si="965"/>
        <v>1513482.995226339</v>
      </c>
      <c r="R306">
        <f t="shared" si="966"/>
        <v>-12259372.94714856</v>
      </c>
      <c r="S306">
        <f t="shared" si="967"/>
        <v>-122.5937294714856</v>
      </c>
      <c r="T306">
        <f t="shared" si="968"/>
        <v>-0.1225937294714856</v>
      </c>
    </row>
    <row r="307" spans="1:20" x14ac:dyDescent="0.25">
      <c r="A307" s="5">
        <v>44286</v>
      </c>
      <c r="B307">
        <v>1.9711000000000001</v>
      </c>
      <c r="C307">
        <v>1.9809000000000001</v>
      </c>
      <c r="D307">
        <v>1.7573000000000001</v>
      </c>
      <c r="E307">
        <v>1.8987000000000001</v>
      </c>
      <c r="F307">
        <v>1894583.5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0.26475849731663648</v>
      </c>
      <c r="Q307">
        <f t="shared" si="965"/>
        <v>501607.08050089376</v>
      </c>
      <c r="R307">
        <f t="shared" si="966"/>
        <v>-13772855.942374898</v>
      </c>
      <c r="S307">
        <f t="shared" si="967"/>
        <v>-137.72855942374898</v>
      </c>
      <c r="T307">
        <f t="shared" si="968"/>
        <v>-0.13772855942374898</v>
      </c>
    </row>
    <row r="308" spans="1:20" x14ac:dyDescent="0.25">
      <c r="A308" s="5">
        <v>44285</v>
      </c>
      <c r="B308">
        <v>1.8419000000000001</v>
      </c>
      <c r="C308">
        <v>1.9843999999999999</v>
      </c>
      <c r="D308">
        <v>1.7830999999999999</v>
      </c>
      <c r="E308">
        <v>1.9711000000000001</v>
      </c>
      <c r="F308">
        <v>3051234.84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0.86785891703924622</v>
      </c>
      <c r="Q308">
        <f t="shared" si="965"/>
        <v>2648041.3638748177</v>
      </c>
      <c r="R308">
        <f t="shared" si="966"/>
        <v>-14274463.022875791</v>
      </c>
      <c r="S308">
        <f t="shared" si="967"/>
        <v>-142.74463022875793</v>
      </c>
      <c r="T308">
        <f t="shared" si="968"/>
        <v>-0.14274463022875794</v>
      </c>
    </row>
    <row r="309" spans="1:20" x14ac:dyDescent="0.25">
      <c r="A309" s="5">
        <v>44284</v>
      </c>
      <c r="B309">
        <v>1.6833</v>
      </c>
      <c r="C309">
        <v>1.8608</v>
      </c>
      <c r="D309">
        <v>1.58</v>
      </c>
      <c r="E309">
        <v>1.8412999999999999</v>
      </c>
      <c r="F309">
        <v>1922649.73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0.86111111111111061</v>
      </c>
      <c r="Q309">
        <f t="shared" si="965"/>
        <v>1655615.0452777769</v>
      </c>
      <c r="R309">
        <f t="shared" si="966"/>
        <v>-16922504.386750609</v>
      </c>
      <c r="S309">
        <f t="shared" si="967"/>
        <v>-169.22504386750609</v>
      </c>
      <c r="T309">
        <f t="shared" si="968"/>
        <v>-0.16922504386750609</v>
      </c>
    </row>
    <row r="310" spans="1:20" x14ac:dyDescent="0.25">
      <c r="A310" s="5">
        <v>44283</v>
      </c>
      <c r="B310">
        <v>1.6218999999999999</v>
      </c>
      <c r="C310">
        <v>1.79</v>
      </c>
      <c r="D310">
        <v>1.6191</v>
      </c>
      <c r="E310">
        <v>1.6749000000000001</v>
      </c>
      <c r="F310">
        <v>2257812.1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-0.34698654183733113</v>
      </c>
      <c r="Q310">
        <f t="shared" si="965"/>
        <v>-783430.4126974825</v>
      </c>
      <c r="R310">
        <f t="shared" si="966"/>
        <v>-18578119.432028387</v>
      </c>
      <c r="S310">
        <f t="shared" si="967"/>
        <v>-185.78119432028387</v>
      </c>
      <c r="T310">
        <f t="shared" si="968"/>
        <v>-0.18578119432028387</v>
      </c>
    </row>
    <row r="311" spans="1:20" x14ac:dyDescent="0.25">
      <c r="A311" s="5">
        <v>44282</v>
      </c>
      <c r="B311">
        <v>1.4970000000000001</v>
      </c>
      <c r="C311">
        <v>1.6939</v>
      </c>
      <c r="D311">
        <v>1.4578</v>
      </c>
      <c r="E311">
        <v>1.6218999999999999</v>
      </c>
      <c r="F311">
        <v>1417824.67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0.39008894536213407</v>
      </c>
      <c r="Q311">
        <f t="shared" si="965"/>
        <v>553077.73022871569</v>
      </c>
      <c r="R311">
        <f t="shared" si="966"/>
        <v>-17794689.019330904</v>
      </c>
      <c r="S311">
        <f t="shared" si="967"/>
        <v>-177.94689019330903</v>
      </c>
      <c r="T311">
        <f t="shared" si="968"/>
        <v>-0.17794689019330903</v>
      </c>
    </row>
    <row r="312" spans="1:20" x14ac:dyDescent="0.25">
      <c r="A312" s="5">
        <v>44281</v>
      </c>
      <c r="B312">
        <v>1.4071</v>
      </c>
      <c r="C312">
        <v>1.5155000000000001</v>
      </c>
      <c r="D312">
        <v>1.4035</v>
      </c>
      <c r="E312">
        <v>1.5007999999999999</v>
      </c>
      <c r="F312">
        <v>903194.56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0.73749999999999738</v>
      </c>
      <c r="Q312">
        <f t="shared" si="965"/>
        <v>666105.98799999768</v>
      </c>
      <c r="R312">
        <f t="shared" si="966"/>
        <v>-18347766.749559619</v>
      </c>
      <c r="S312">
        <f t="shared" si="967"/>
        <v>-183.47766749559619</v>
      </c>
      <c r="T312">
        <f t="shared" si="968"/>
        <v>-0.18347766749559619</v>
      </c>
    </row>
    <row r="313" spans="1:20" x14ac:dyDescent="0.25">
      <c r="A313" s="5">
        <v>44280</v>
      </c>
      <c r="B313">
        <v>1.5005999999999999</v>
      </c>
      <c r="C313">
        <v>1.5489999999999999</v>
      </c>
      <c r="D313">
        <v>1.3633999999999999</v>
      </c>
      <c r="E313">
        <v>1.3977999999999999</v>
      </c>
      <c r="F313">
        <v>1710422.15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-0.6293103448275863</v>
      </c>
      <c r="Q313">
        <f t="shared" si="965"/>
        <v>-1076386.3530172415</v>
      </c>
      <c r="R313">
        <f t="shared" si="966"/>
        <v>-19013872.737559617</v>
      </c>
      <c r="S313">
        <f t="shared" si="967"/>
        <v>-190.13872737559618</v>
      </c>
      <c r="T313">
        <f t="shared" si="968"/>
        <v>-0.19013872737559617</v>
      </c>
    </row>
    <row r="314" spans="1:20" x14ac:dyDescent="0.25">
      <c r="A314" s="5">
        <v>44279</v>
      </c>
      <c r="B314">
        <v>1.5927</v>
      </c>
      <c r="C314">
        <v>1.78</v>
      </c>
      <c r="D314">
        <v>1.4575</v>
      </c>
      <c r="E314">
        <v>1.5001</v>
      </c>
      <c r="F314">
        <v>1790409.93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-0.73581395348837231</v>
      </c>
      <c r="Q314">
        <f t="shared" si="965"/>
        <v>-1317408.6089581398</v>
      </c>
      <c r="R314">
        <f t="shared" si="966"/>
        <v>-17937486.384542376</v>
      </c>
      <c r="S314">
        <f t="shared" si="967"/>
        <v>-179.37486384542376</v>
      </c>
      <c r="T314">
        <f t="shared" si="968"/>
        <v>-0.17937486384542375</v>
      </c>
    </row>
    <row r="315" spans="1:20" x14ac:dyDescent="0.25">
      <c r="A315" s="5">
        <v>44278</v>
      </c>
      <c r="B315">
        <v>1.6187</v>
      </c>
      <c r="C315">
        <v>1.6868000000000001</v>
      </c>
      <c r="D315">
        <v>1.5109999999999999</v>
      </c>
      <c r="E315">
        <v>1.5920000000000001</v>
      </c>
      <c r="F315">
        <v>1647737.33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-7.8498293515357212E-2</v>
      </c>
      <c r="Q315">
        <f t="shared" si="965"/>
        <v>-129344.56856655101</v>
      </c>
      <c r="R315">
        <f t="shared" si="966"/>
        <v>-16620077.775584238</v>
      </c>
      <c r="S315">
        <f t="shared" si="967"/>
        <v>-166.20077775584238</v>
      </c>
      <c r="T315">
        <f t="shared" si="968"/>
        <v>-0.16620077775584238</v>
      </c>
    </row>
    <row r="316" spans="1:20" x14ac:dyDescent="0.25">
      <c r="A316" s="5">
        <v>44277</v>
      </c>
      <c r="B316">
        <v>1.6402000000000001</v>
      </c>
      <c r="C316">
        <v>1.8</v>
      </c>
      <c r="D316">
        <v>1.5410999999999999</v>
      </c>
      <c r="E316">
        <v>1.6132</v>
      </c>
      <c r="F316">
        <v>3224738.69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-0.44302819621475459</v>
      </c>
      <c r="Q316">
        <f t="shared" si="965"/>
        <v>-1428650.1650946306</v>
      </c>
      <c r="R316">
        <f t="shared" si="966"/>
        <v>-16490733.207017686</v>
      </c>
      <c r="S316">
        <f t="shared" si="967"/>
        <v>-164.90733207017686</v>
      </c>
      <c r="T316">
        <f t="shared" si="968"/>
        <v>-0.16490733207017685</v>
      </c>
    </row>
    <row r="317" spans="1:20" x14ac:dyDescent="0.25">
      <c r="A317" s="5">
        <v>44276</v>
      </c>
      <c r="B317">
        <v>1.5002</v>
      </c>
      <c r="C317">
        <v>1.6544000000000001</v>
      </c>
      <c r="D317">
        <v>1.4521999999999999</v>
      </c>
      <c r="E317">
        <v>1.6380999999999999</v>
      </c>
      <c r="F317">
        <v>1605824.2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0.83877349159248082</v>
      </c>
      <c r="Q317">
        <f t="shared" si="965"/>
        <v>1346922.7711177021</v>
      </c>
      <c r="R317">
        <f t="shared" si="966"/>
        <v>-15062083.041923055</v>
      </c>
      <c r="S317">
        <f t="shared" si="967"/>
        <v>-150.62083041923054</v>
      </c>
      <c r="T317">
        <f t="shared" si="968"/>
        <v>-0.15062083041923055</v>
      </c>
    </row>
    <row r="318" spans="1:20" x14ac:dyDescent="0.25">
      <c r="A318" s="5">
        <v>44275</v>
      </c>
      <c r="B318">
        <v>1.5670999999999999</v>
      </c>
      <c r="C318">
        <v>1.63</v>
      </c>
      <c r="D318">
        <v>1.5001</v>
      </c>
      <c r="E318">
        <v>1.5002</v>
      </c>
      <c r="F318">
        <v>1114832.27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-0.99846035411855294</v>
      </c>
      <c r="Q318">
        <f t="shared" si="965"/>
        <v>-1113115.8230869903</v>
      </c>
      <c r="R318">
        <f t="shared" si="966"/>
        <v>-16409005.813040758</v>
      </c>
      <c r="S318">
        <f t="shared" si="967"/>
        <v>-164.09005813040758</v>
      </c>
      <c r="T318">
        <f t="shared" si="968"/>
        <v>-0.16409005813040758</v>
      </c>
    </row>
    <row r="319" spans="1:20" x14ac:dyDescent="0.25">
      <c r="A319" s="5">
        <v>44274</v>
      </c>
      <c r="B319">
        <v>1.5927</v>
      </c>
      <c r="C319">
        <v>1.645</v>
      </c>
      <c r="D319">
        <v>1.5462</v>
      </c>
      <c r="E319">
        <v>1.5671999999999999</v>
      </c>
      <c r="F319">
        <v>1402797.7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-0.57489878542510309</v>
      </c>
      <c r="Q319">
        <f t="shared" si="965"/>
        <v>-806466.6939271281</v>
      </c>
      <c r="R319">
        <f t="shared" si="966"/>
        <v>-15295889.989953768</v>
      </c>
      <c r="S319">
        <f t="shared" si="967"/>
        <v>-152.95889989953767</v>
      </c>
      <c r="T319">
        <f t="shared" si="968"/>
        <v>-0.15295889989953768</v>
      </c>
    </row>
    <row r="320" spans="1:20" x14ac:dyDescent="0.25">
      <c r="A320" s="5">
        <v>44273</v>
      </c>
      <c r="B320">
        <v>1.4897</v>
      </c>
      <c r="C320">
        <v>1.6431</v>
      </c>
      <c r="D320">
        <v>1.4756</v>
      </c>
      <c r="E320">
        <v>1.5929</v>
      </c>
      <c r="F320">
        <v>1766316.89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0.40059701492537281</v>
      </c>
      <c r="Q320">
        <f t="shared" si="965"/>
        <v>707581.273546268</v>
      </c>
      <c r="R320">
        <f t="shared" si="966"/>
        <v>-14489423.29602664</v>
      </c>
      <c r="S320">
        <f t="shared" si="967"/>
        <v>-144.89423296026641</v>
      </c>
      <c r="T320">
        <f t="shared" si="968"/>
        <v>-0.14489423296026641</v>
      </c>
    </row>
    <row r="321" spans="1:20" x14ac:dyDescent="0.25">
      <c r="A321" s="5">
        <v>44272</v>
      </c>
      <c r="B321">
        <v>1.5327999999999999</v>
      </c>
      <c r="C321">
        <v>1.55</v>
      </c>
      <c r="D321">
        <v>1.4161999999999999</v>
      </c>
      <c r="E321">
        <v>1.4896</v>
      </c>
      <c r="F321">
        <v>1667439.75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9.7159940209268381E-2</v>
      </c>
      <c r="Q321">
        <f t="shared" si="965"/>
        <v>162008.34641255741</v>
      </c>
      <c r="R321">
        <f t="shared" si="966"/>
        <v>-15197004.569572907</v>
      </c>
      <c r="S321">
        <f t="shared" si="967"/>
        <v>-151.97004569572906</v>
      </c>
      <c r="T321">
        <f t="shared" si="968"/>
        <v>-0.15197004569572906</v>
      </c>
    </row>
    <row r="322" spans="1:20" x14ac:dyDescent="0.25">
      <c r="A322" s="5">
        <v>44271</v>
      </c>
      <c r="B322">
        <v>1.3977999999999999</v>
      </c>
      <c r="C322">
        <v>1.7689999999999999</v>
      </c>
      <c r="D322">
        <v>1.3364</v>
      </c>
      <c r="E322">
        <v>1.5270999999999999</v>
      </c>
      <c r="F322">
        <v>5070928.78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-0.11835413777161384</v>
      </c>
      <c r="Q322">
        <f t="shared" si="965"/>
        <v>-600165.40345816175</v>
      </c>
      <c r="R322">
        <f t="shared" si="966"/>
        <v>-15359012.915985465</v>
      </c>
      <c r="S322">
        <f t="shared" si="967"/>
        <v>-153.59012915985465</v>
      </c>
      <c r="T322">
        <f t="shared" si="968"/>
        <v>-0.15359012915985465</v>
      </c>
    </row>
    <row r="323" spans="1:20" x14ac:dyDescent="0.25">
      <c r="A323" s="5">
        <v>44270</v>
      </c>
      <c r="B323">
        <v>1.4286000000000001</v>
      </c>
      <c r="C323">
        <v>1.466</v>
      </c>
      <c r="D323">
        <v>1.2813000000000001</v>
      </c>
      <c r="E323">
        <v>1.4043000000000001</v>
      </c>
      <c r="F323">
        <v>1813015.81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0.33188955062263226</v>
      </c>
      <c r="Q323">
        <f t="shared" si="965"/>
        <v>601721.00245262764</v>
      </c>
      <c r="R323">
        <f t="shared" si="966"/>
        <v>-14758847.512527304</v>
      </c>
      <c r="S323">
        <f t="shared" si="967"/>
        <v>-147.58847512527305</v>
      </c>
      <c r="T323">
        <f t="shared" si="968"/>
        <v>-0.14758847512527304</v>
      </c>
    </row>
    <row r="324" spans="1:20" x14ac:dyDescent="0.25">
      <c r="A324" s="5">
        <v>44269</v>
      </c>
      <c r="B324">
        <v>1.5</v>
      </c>
      <c r="C324">
        <v>1.5736000000000001</v>
      </c>
      <c r="D324">
        <v>1.42</v>
      </c>
      <c r="E324">
        <v>1.43</v>
      </c>
      <c r="F324">
        <v>1314625.57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-0.86979166666666674</v>
      </c>
      <c r="Q324">
        <f t="shared" si="965"/>
        <v>-1143450.3655729168</v>
      </c>
      <c r="R324">
        <f t="shared" si="966"/>
        <v>-15360568.514979931</v>
      </c>
      <c r="S324">
        <f t="shared" si="967"/>
        <v>-153.60568514979931</v>
      </c>
      <c r="T324">
        <f t="shared" si="968"/>
        <v>-0.1536056851497993</v>
      </c>
    </row>
    <row r="325" spans="1:20" x14ac:dyDescent="0.25">
      <c r="A325" s="5">
        <v>44268</v>
      </c>
      <c r="B325">
        <v>1.3093999999999999</v>
      </c>
      <c r="C325">
        <v>1.5497000000000001</v>
      </c>
      <c r="D325">
        <v>1.2555000000000001</v>
      </c>
      <c r="E325">
        <v>1.5</v>
      </c>
      <c r="F325">
        <v>2172005.08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0.66213460231135235</v>
      </c>
      <c r="Q325">
        <f t="shared" si="965"/>
        <v>1438159.7198640371</v>
      </c>
      <c r="R325">
        <f t="shared" si="966"/>
        <v>-14217118.149407014</v>
      </c>
      <c r="S325">
        <f t="shared" si="967"/>
        <v>-142.17118149407014</v>
      </c>
      <c r="T325">
        <f t="shared" si="968"/>
        <v>-0.14217118149407015</v>
      </c>
    </row>
    <row r="326" spans="1:20" x14ac:dyDescent="0.25">
      <c r="A326" s="5">
        <v>44267</v>
      </c>
      <c r="B326">
        <v>1.4015</v>
      </c>
      <c r="C326">
        <v>1.42</v>
      </c>
      <c r="D326">
        <v>1.27</v>
      </c>
      <c r="E326">
        <v>1.3149999999999999</v>
      </c>
      <c r="F326">
        <v>1005837.27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-0.40000000000000058</v>
      </c>
      <c r="Q326">
        <f t="shared" ref="Q326:Q389" si="970">F326*P326</f>
        <v>-402334.90800000058</v>
      </c>
      <c r="R326">
        <f t="shared" ref="R326:R389" si="971">R327+Q326</f>
        <v>-15655277.869271051</v>
      </c>
      <c r="S326">
        <f t="shared" ref="S326:S389" si="972">R326/100000</f>
        <v>-156.55277869271052</v>
      </c>
      <c r="T326">
        <f t="shared" ref="T326:T389" si="973">S326/1000</f>
        <v>-0.15655277869271053</v>
      </c>
    </row>
    <row r="327" spans="1:20" x14ac:dyDescent="0.25">
      <c r="A327" s="5">
        <v>44266</v>
      </c>
      <c r="B327">
        <v>1.4056999999999999</v>
      </c>
      <c r="C327">
        <v>1.4591000000000001</v>
      </c>
      <c r="D327">
        <v>1.3542000000000001</v>
      </c>
      <c r="E327">
        <v>1.4006000000000001</v>
      </c>
      <c r="F327">
        <v>980859.87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-0.11534795042897998</v>
      </c>
      <c r="Q327">
        <f t="shared" si="970"/>
        <v>-113140.17566253575</v>
      </c>
      <c r="R327">
        <f t="shared" si="971"/>
        <v>-15252942.961271051</v>
      </c>
      <c r="S327">
        <f t="shared" si="972"/>
        <v>-152.52942961271052</v>
      </c>
      <c r="T327">
        <f t="shared" si="973"/>
        <v>-0.15252942961271052</v>
      </c>
    </row>
    <row r="328" spans="1:20" x14ac:dyDescent="0.25">
      <c r="A328" s="5">
        <v>44265</v>
      </c>
      <c r="B328">
        <v>1.4864999999999999</v>
      </c>
      <c r="C328">
        <v>1.4993000000000001</v>
      </c>
      <c r="D328">
        <v>1.3771</v>
      </c>
      <c r="E328">
        <v>1.403</v>
      </c>
      <c r="F328">
        <v>957825.31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-0.57610474631751196</v>
      </c>
      <c r="Q328">
        <f t="shared" si="970"/>
        <v>-551807.70723404223</v>
      </c>
      <c r="R328">
        <f t="shared" si="971"/>
        <v>-15139802.785608515</v>
      </c>
      <c r="S328">
        <f t="shared" si="972"/>
        <v>-151.39802785608515</v>
      </c>
      <c r="T328">
        <f t="shared" si="973"/>
        <v>-0.15139802785608514</v>
      </c>
    </row>
    <row r="329" spans="1:20" x14ac:dyDescent="0.25">
      <c r="A329" s="5">
        <v>44264</v>
      </c>
      <c r="B329">
        <v>1.5064</v>
      </c>
      <c r="C329">
        <v>1.5527</v>
      </c>
      <c r="D329">
        <v>1.4530000000000001</v>
      </c>
      <c r="E329">
        <v>1.4946999999999999</v>
      </c>
      <c r="F329">
        <v>1588960.95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-0.16349047141424494</v>
      </c>
      <c r="Q329">
        <f t="shared" si="970"/>
        <v>-259779.97477432649</v>
      </c>
      <c r="R329">
        <f t="shared" si="971"/>
        <v>-14587995.078374473</v>
      </c>
      <c r="S329">
        <f t="shared" si="972"/>
        <v>-145.87995078374473</v>
      </c>
      <c r="T329">
        <f t="shared" si="973"/>
        <v>-0.14587995078374474</v>
      </c>
    </row>
    <row r="330" spans="1:20" x14ac:dyDescent="0.25">
      <c r="A330" s="5">
        <v>44263</v>
      </c>
      <c r="B330">
        <v>1.53</v>
      </c>
      <c r="C330">
        <v>1.5485</v>
      </c>
      <c r="D330">
        <v>1.4500999999999999</v>
      </c>
      <c r="E330">
        <v>1.5015000000000001</v>
      </c>
      <c r="F330">
        <v>1325012.78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4.471544715447337E-2</v>
      </c>
      <c r="Q330">
        <f t="shared" si="970"/>
        <v>59248.538943091851</v>
      </c>
      <c r="R330">
        <f t="shared" si="971"/>
        <v>-14328215.103600146</v>
      </c>
      <c r="S330">
        <f t="shared" si="972"/>
        <v>-143.28215103600147</v>
      </c>
      <c r="T330">
        <f t="shared" si="973"/>
        <v>-0.14328215103600148</v>
      </c>
    </row>
    <row r="331" spans="1:20" x14ac:dyDescent="0.25">
      <c r="A331" s="5">
        <v>44262</v>
      </c>
      <c r="B331">
        <v>1.5125</v>
      </c>
      <c r="C331">
        <v>1.7199</v>
      </c>
      <c r="D331">
        <v>1.4462999999999999</v>
      </c>
      <c r="E331">
        <v>1.5226</v>
      </c>
      <c r="F331">
        <v>3249273.73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-0.44225146198830395</v>
      </c>
      <c r="Q331">
        <f t="shared" si="970"/>
        <v>-1436996.0574926897</v>
      </c>
      <c r="R331">
        <f t="shared" si="971"/>
        <v>-14387463.642543238</v>
      </c>
      <c r="S331">
        <f t="shared" si="972"/>
        <v>-143.87463642543239</v>
      </c>
      <c r="T331">
        <f t="shared" si="973"/>
        <v>-0.14387463642543238</v>
      </c>
    </row>
    <row r="332" spans="1:20" x14ac:dyDescent="0.25">
      <c r="A332" s="5">
        <v>44261</v>
      </c>
      <c r="B332">
        <v>1.2719</v>
      </c>
      <c r="C332">
        <v>1.6153999999999999</v>
      </c>
      <c r="D332">
        <v>1.2407999999999999</v>
      </c>
      <c r="E332">
        <v>1.5118</v>
      </c>
      <c r="F332">
        <v>3686935.51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0.44687666844634327</v>
      </c>
      <c r="Q332">
        <f t="shared" si="970"/>
        <v>1647605.4574853193</v>
      </c>
      <c r="R332">
        <f t="shared" si="971"/>
        <v>-12950467.585050547</v>
      </c>
      <c r="S332">
        <f t="shared" si="972"/>
        <v>-129.50467585050546</v>
      </c>
      <c r="T332">
        <f t="shared" si="973"/>
        <v>-0.12950467585050546</v>
      </c>
    </row>
    <row r="333" spans="1:20" x14ac:dyDescent="0.25">
      <c r="A333" s="5">
        <v>44260</v>
      </c>
      <c r="B333">
        <v>1.2811999999999999</v>
      </c>
      <c r="C333">
        <v>1.3354999999999999</v>
      </c>
      <c r="D333">
        <v>1.1840999999999999</v>
      </c>
      <c r="E333">
        <v>1.2683</v>
      </c>
      <c r="F333">
        <v>1302994.18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0.11228533685601141</v>
      </c>
      <c r="Q333">
        <f t="shared" si="970"/>
        <v>146307.14042272235</v>
      </c>
      <c r="R333">
        <f t="shared" si="971"/>
        <v>-14598073.042535868</v>
      </c>
      <c r="S333">
        <f t="shared" si="972"/>
        <v>-145.98073042535867</v>
      </c>
      <c r="T333">
        <f t="shared" si="973"/>
        <v>-0.14598073042535867</v>
      </c>
    </row>
    <row r="334" spans="1:20" x14ac:dyDescent="0.25">
      <c r="A334" s="5">
        <v>44259</v>
      </c>
      <c r="B334">
        <v>1.2710999999999999</v>
      </c>
      <c r="C334">
        <v>1.3629</v>
      </c>
      <c r="D334">
        <v>1.2179</v>
      </c>
      <c r="E334">
        <v>1.28</v>
      </c>
      <c r="F334">
        <v>1534335.53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-0.14344827586206846</v>
      </c>
      <c r="Q334">
        <f t="shared" si="970"/>
        <v>-220097.78637241301</v>
      </c>
      <c r="R334">
        <f t="shared" si="971"/>
        <v>-14744380.18295859</v>
      </c>
      <c r="S334">
        <f t="shared" si="972"/>
        <v>-147.44380182958591</v>
      </c>
      <c r="T334">
        <f t="shared" si="973"/>
        <v>-0.14744380182958591</v>
      </c>
    </row>
    <row r="335" spans="1:20" x14ac:dyDescent="0.25">
      <c r="A335" s="5">
        <v>44258</v>
      </c>
      <c r="B335">
        <v>1.2097</v>
      </c>
      <c r="C335">
        <v>1.294</v>
      </c>
      <c r="D335">
        <v>1.1992</v>
      </c>
      <c r="E335">
        <v>1.2712000000000001</v>
      </c>
      <c r="F335">
        <v>1358824.32</v>
      </c>
      <c r="G335">
        <v>0</v>
      </c>
      <c r="L335" t="s">
        <v>7</v>
      </c>
      <c r="M335" t="s">
        <v>8</v>
      </c>
      <c r="N335" t="s">
        <v>8</v>
      </c>
      <c r="P335">
        <f t="shared" si="969"/>
        <v>0.51898734177215333</v>
      </c>
      <c r="Q335">
        <f t="shared" si="970"/>
        <v>705212.62177215389</v>
      </c>
      <c r="R335">
        <f t="shared" si="971"/>
        <v>-14524282.396586176</v>
      </c>
      <c r="S335">
        <f t="shared" si="972"/>
        <v>-145.24282396586176</v>
      </c>
      <c r="T335">
        <f t="shared" si="973"/>
        <v>-0.14524282396586177</v>
      </c>
    </row>
    <row r="336" spans="1:20" x14ac:dyDescent="0.25">
      <c r="A336" s="5">
        <v>44257</v>
      </c>
      <c r="B336">
        <v>1.1996</v>
      </c>
      <c r="C336">
        <v>1.3064</v>
      </c>
      <c r="D336">
        <v>1.1653</v>
      </c>
      <c r="E336">
        <v>1.2097</v>
      </c>
      <c r="F336">
        <v>1233801.07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-0.37065910701630056</v>
      </c>
      <c r="Q336">
        <f t="shared" si="970"/>
        <v>-457319.60284195613</v>
      </c>
      <c r="R336">
        <f t="shared" si="971"/>
        <v>-15229495.018358329</v>
      </c>
      <c r="S336">
        <f t="shared" si="972"/>
        <v>-152.2949501835833</v>
      </c>
      <c r="T336">
        <f t="shared" si="973"/>
        <v>-0.1522949501835833</v>
      </c>
    </row>
    <row r="337" spans="1:20" x14ac:dyDescent="0.25">
      <c r="A337" s="5">
        <v>44256</v>
      </c>
      <c r="B337">
        <v>1.0822000000000001</v>
      </c>
      <c r="C337">
        <v>1.2069000000000001</v>
      </c>
      <c r="D337">
        <v>1.08</v>
      </c>
      <c r="E337">
        <v>1.1996</v>
      </c>
      <c r="F337">
        <v>1000751.52</v>
      </c>
      <c r="G337">
        <v>0</v>
      </c>
      <c r="L337" t="s">
        <v>8</v>
      </c>
      <c r="M337" t="s">
        <v>7</v>
      </c>
      <c r="N337" t="s">
        <v>8</v>
      </c>
      <c r="P337">
        <f t="shared" si="969"/>
        <v>0.88494877856579857</v>
      </c>
      <c r="Q337">
        <f t="shared" si="970"/>
        <v>885613.83527186629</v>
      </c>
      <c r="R337">
        <f t="shared" si="971"/>
        <v>-14772175.415516373</v>
      </c>
      <c r="S337">
        <f t="shared" si="972"/>
        <v>-147.72175415516372</v>
      </c>
      <c r="T337">
        <f t="shared" si="973"/>
        <v>-0.14772175415516373</v>
      </c>
    </row>
    <row r="338" spans="1:20" x14ac:dyDescent="0.25">
      <c r="A338" s="5">
        <v>44255</v>
      </c>
      <c r="B338">
        <v>1.1682999999999999</v>
      </c>
      <c r="C338">
        <v>1.1955</v>
      </c>
      <c r="D338">
        <v>1.0101</v>
      </c>
      <c r="E338">
        <v>1.0806</v>
      </c>
      <c r="F338">
        <v>999327.6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-0.23948220064724915</v>
      </c>
      <c r="Q338">
        <f t="shared" si="970"/>
        <v>-239321.17281553394</v>
      </c>
      <c r="R338">
        <f t="shared" si="971"/>
        <v>-15657789.25078824</v>
      </c>
      <c r="S338">
        <f t="shared" si="972"/>
        <v>-156.57789250788241</v>
      </c>
      <c r="T338">
        <f t="shared" si="973"/>
        <v>-0.1565778925078824</v>
      </c>
    </row>
    <row r="339" spans="1:20" x14ac:dyDescent="0.25">
      <c r="A339" s="5">
        <v>44254</v>
      </c>
      <c r="B339">
        <v>1.1475</v>
      </c>
      <c r="C339">
        <v>1.2275</v>
      </c>
      <c r="D339">
        <v>1.1399999999999999</v>
      </c>
      <c r="E339">
        <v>1.1688000000000001</v>
      </c>
      <c r="F339">
        <v>928653.1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-0.34171428571428308</v>
      </c>
      <c r="Q339">
        <f t="shared" si="970"/>
        <v>-317334.03074285469</v>
      </c>
      <c r="R339">
        <f t="shared" si="971"/>
        <v>-15418468.077972706</v>
      </c>
      <c r="S339">
        <f t="shared" si="972"/>
        <v>-154.18468077972707</v>
      </c>
      <c r="T339">
        <f t="shared" si="973"/>
        <v>-0.15418468077972708</v>
      </c>
    </row>
    <row r="340" spans="1:20" x14ac:dyDescent="0.25">
      <c r="A340" s="5">
        <v>44253</v>
      </c>
      <c r="B340">
        <v>1.1907000000000001</v>
      </c>
      <c r="C340">
        <v>1.2554000000000001</v>
      </c>
      <c r="D340">
        <v>1.0485</v>
      </c>
      <c r="E340">
        <v>1.1471</v>
      </c>
      <c r="F340">
        <v>1454204.98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-4.6882551957467558E-2</v>
      </c>
      <c r="Q340">
        <f t="shared" si="970"/>
        <v>-68176.840531658076</v>
      </c>
      <c r="R340">
        <f t="shared" si="971"/>
        <v>-15101134.047229853</v>
      </c>
      <c r="S340">
        <f t="shared" si="972"/>
        <v>-151.01134047229851</v>
      </c>
      <c r="T340">
        <f t="shared" si="973"/>
        <v>-0.15101134047229853</v>
      </c>
    </row>
    <row r="341" spans="1:20" x14ac:dyDescent="0.25">
      <c r="A341" s="5">
        <v>44252</v>
      </c>
      <c r="B341">
        <v>1.2473000000000001</v>
      </c>
      <c r="C341">
        <v>1.4296</v>
      </c>
      <c r="D341">
        <v>1.1499999999999999</v>
      </c>
      <c r="E341">
        <v>1.1909000000000001</v>
      </c>
      <c r="F341">
        <v>1653350.12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-0.70743919885550677</v>
      </c>
      <c r="Q341">
        <f t="shared" si="970"/>
        <v>-1169644.6843204561</v>
      </c>
      <c r="R341">
        <f t="shared" si="971"/>
        <v>-15032957.206698194</v>
      </c>
      <c r="S341">
        <f t="shared" si="972"/>
        <v>-150.32957206698194</v>
      </c>
      <c r="T341">
        <f t="shared" si="973"/>
        <v>-0.15032957206698194</v>
      </c>
    </row>
    <row r="342" spans="1:20" x14ac:dyDescent="0.25">
      <c r="A342" s="5">
        <v>44251</v>
      </c>
      <c r="B342">
        <v>1.1517999999999999</v>
      </c>
      <c r="C342">
        <v>1.3575999999999999</v>
      </c>
      <c r="D342">
        <v>1.1039000000000001</v>
      </c>
      <c r="E342">
        <v>1.2437</v>
      </c>
      <c r="F342">
        <v>1905142.44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0.10208908159243221</v>
      </c>
      <c r="Q342">
        <f t="shared" si="970"/>
        <v>194494.24200236538</v>
      </c>
      <c r="R342">
        <f t="shared" si="971"/>
        <v>-13863312.522377739</v>
      </c>
      <c r="S342">
        <f t="shared" si="972"/>
        <v>-138.6331252237774</v>
      </c>
      <c r="T342">
        <f t="shared" si="973"/>
        <v>-0.13863312522377741</v>
      </c>
    </row>
    <row r="343" spans="1:20" x14ac:dyDescent="0.25">
      <c r="A343" s="5">
        <v>44250</v>
      </c>
      <c r="B343">
        <v>1.5178</v>
      </c>
      <c r="C343">
        <v>1.5182</v>
      </c>
      <c r="D343">
        <v>0.98170000000000002</v>
      </c>
      <c r="E343">
        <v>1.1495</v>
      </c>
      <c r="F343">
        <v>3816578.35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-0.37446411929170564</v>
      </c>
      <c r="Q343">
        <f t="shared" si="970"/>
        <v>-1429171.6505405412</v>
      </c>
      <c r="R343">
        <f t="shared" si="971"/>
        <v>-14057806.764380105</v>
      </c>
      <c r="S343">
        <f t="shared" si="972"/>
        <v>-140.57806764380103</v>
      </c>
      <c r="T343">
        <f t="shared" si="973"/>
        <v>-0.14057806764380104</v>
      </c>
    </row>
    <row r="344" spans="1:20" x14ac:dyDescent="0.25">
      <c r="A344" s="5">
        <v>44249</v>
      </c>
      <c r="B344">
        <v>1.6947000000000001</v>
      </c>
      <c r="C344">
        <v>1.7034</v>
      </c>
      <c r="D344">
        <v>1.22</v>
      </c>
      <c r="E344">
        <v>1.5164</v>
      </c>
      <c r="F344">
        <v>2709031.62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0.22631361191559771</v>
      </c>
      <c r="Q344">
        <f t="shared" si="970"/>
        <v>613090.73071576294</v>
      </c>
      <c r="R344">
        <f t="shared" si="971"/>
        <v>-12628635.113839563</v>
      </c>
      <c r="S344">
        <f t="shared" si="972"/>
        <v>-126.28635113839563</v>
      </c>
      <c r="T344">
        <f t="shared" si="973"/>
        <v>-0.12628635113839562</v>
      </c>
    </row>
    <row r="345" spans="1:20" x14ac:dyDescent="0.25">
      <c r="A345" s="5">
        <v>44248</v>
      </c>
      <c r="B345">
        <v>1.6734</v>
      </c>
      <c r="C345">
        <v>1.8230999999999999</v>
      </c>
      <c r="D345">
        <v>1.63</v>
      </c>
      <c r="E345">
        <v>1.6942999999999999</v>
      </c>
      <c r="F345">
        <v>1898809.93</v>
      </c>
      <c r="G345">
        <v>0</v>
      </c>
      <c r="L345" t="s">
        <v>7</v>
      </c>
      <c r="M345" t="s">
        <v>8</v>
      </c>
      <c r="N345" t="s">
        <v>7</v>
      </c>
      <c r="P345">
        <f t="shared" si="969"/>
        <v>-0.33402382185396162</v>
      </c>
      <c r="Q345">
        <f t="shared" si="970"/>
        <v>-634247.74979285337</v>
      </c>
      <c r="R345">
        <f t="shared" si="971"/>
        <v>-13241725.844555326</v>
      </c>
      <c r="S345">
        <f t="shared" si="972"/>
        <v>-132.41725844555324</v>
      </c>
      <c r="T345">
        <f t="shared" si="973"/>
        <v>-0.13241725844555324</v>
      </c>
    </row>
    <row r="346" spans="1:20" x14ac:dyDescent="0.25">
      <c r="A346" s="5">
        <v>44247</v>
      </c>
      <c r="B346">
        <v>1.597</v>
      </c>
      <c r="C346">
        <v>1.976</v>
      </c>
      <c r="D346">
        <v>1.5603</v>
      </c>
      <c r="E346">
        <v>1.6773</v>
      </c>
      <c r="F346">
        <v>3457597.78</v>
      </c>
      <c r="G346">
        <v>0</v>
      </c>
      <c r="L346" t="s">
        <v>8</v>
      </c>
      <c r="M346" t="s">
        <v>8</v>
      </c>
      <c r="N346" t="s">
        <v>7</v>
      </c>
      <c r="P346">
        <f t="shared" si="969"/>
        <v>-0.43709405821505892</v>
      </c>
      <c r="Q346">
        <f t="shared" si="970"/>
        <v>-1511295.4453355784</v>
      </c>
      <c r="R346">
        <f t="shared" si="971"/>
        <v>-12607478.094762472</v>
      </c>
      <c r="S346">
        <f t="shared" si="972"/>
        <v>-126.07478094762473</v>
      </c>
      <c r="T346">
        <f t="shared" si="973"/>
        <v>-0.12607478094762473</v>
      </c>
    </row>
    <row r="347" spans="1:20" x14ac:dyDescent="0.25">
      <c r="A347" s="5">
        <v>44246</v>
      </c>
      <c r="B347">
        <v>1.6803999999999999</v>
      </c>
      <c r="C347">
        <v>1.7064999999999999</v>
      </c>
      <c r="D347">
        <v>1.55</v>
      </c>
      <c r="E347">
        <v>1.5928</v>
      </c>
      <c r="F347">
        <v>1855072.2</v>
      </c>
      <c r="G347">
        <v>0</v>
      </c>
      <c r="L347" t="s">
        <v>7</v>
      </c>
      <c r="M347" t="s">
        <v>7</v>
      </c>
      <c r="N347" t="s">
        <v>7</v>
      </c>
      <c r="P347">
        <f t="shared" si="969"/>
        <v>-0.45303514376996823</v>
      </c>
      <c r="Q347">
        <f t="shared" si="970"/>
        <v>-840412.90083067119</v>
      </c>
      <c r="R347">
        <f t="shared" si="971"/>
        <v>-11096182.649426894</v>
      </c>
      <c r="S347">
        <f t="shared" si="972"/>
        <v>-110.96182649426895</v>
      </c>
      <c r="T347">
        <f t="shared" si="973"/>
        <v>-0.11096182649426894</v>
      </c>
    </row>
    <row r="348" spans="1:20" x14ac:dyDescent="0.25">
      <c r="A348" s="5">
        <v>44245</v>
      </c>
      <c r="B348">
        <v>1.6473</v>
      </c>
      <c r="C348">
        <v>1.7382</v>
      </c>
      <c r="D348">
        <v>1.6472</v>
      </c>
      <c r="E348">
        <v>1.6802999999999999</v>
      </c>
      <c r="F348">
        <v>1620373.12</v>
      </c>
      <c r="G348">
        <v>0</v>
      </c>
      <c r="L348" t="s">
        <v>8</v>
      </c>
      <c r="M348" t="s">
        <v>7</v>
      </c>
      <c r="N348" t="s">
        <v>7</v>
      </c>
      <c r="P348">
        <f t="shared" si="969"/>
        <v>-0.27252747252747433</v>
      </c>
      <c r="Q348">
        <f t="shared" si="970"/>
        <v>-441596.1909450579</v>
      </c>
      <c r="R348">
        <f t="shared" si="971"/>
        <v>-10255769.748596223</v>
      </c>
      <c r="S348">
        <f t="shared" si="972"/>
        <v>-102.55769748596224</v>
      </c>
      <c r="T348">
        <f t="shared" si="973"/>
        <v>-0.10255769748596223</v>
      </c>
    </row>
    <row r="349" spans="1:20" x14ac:dyDescent="0.25">
      <c r="A349" s="5">
        <v>44244</v>
      </c>
      <c r="B349">
        <v>1.6246</v>
      </c>
      <c r="C349">
        <v>1.7755000000000001</v>
      </c>
      <c r="D349">
        <v>1.5194000000000001</v>
      </c>
      <c r="E349">
        <v>1.6473</v>
      </c>
      <c r="F349">
        <v>3015200.2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-1.1714174150729755E-3</v>
      </c>
      <c r="Q349">
        <f t="shared" si="970"/>
        <v>-3532.0580242115188</v>
      </c>
      <c r="R349">
        <f t="shared" si="971"/>
        <v>-9814173.5576511659</v>
      </c>
      <c r="S349">
        <f t="shared" si="972"/>
        <v>-98.141735576511664</v>
      </c>
      <c r="T349">
        <f t="shared" si="973"/>
        <v>-9.8141735576511666E-2</v>
      </c>
    </row>
    <row r="350" spans="1:20" x14ac:dyDescent="0.25">
      <c r="A350" s="5">
        <v>44243</v>
      </c>
      <c r="B350">
        <v>1.6972</v>
      </c>
      <c r="C350">
        <v>1.94</v>
      </c>
      <c r="D350">
        <v>1.5587</v>
      </c>
      <c r="E350">
        <v>1.6217999999999999</v>
      </c>
      <c r="F350">
        <v>4741771.03</v>
      </c>
      <c r="G350">
        <v>0</v>
      </c>
      <c r="L350" t="s">
        <v>7</v>
      </c>
      <c r="M350" t="s">
        <v>7</v>
      </c>
      <c r="N350" t="s">
        <v>7</v>
      </c>
      <c r="P350">
        <f t="shared" si="969"/>
        <v>-0.66902701285077404</v>
      </c>
      <c r="Q350">
        <f t="shared" si="970"/>
        <v>-3172372.9078232381</v>
      </c>
      <c r="R350">
        <f t="shared" si="971"/>
        <v>-9810641.499626955</v>
      </c>
      <c r="S350">
        <f t="shared" si="972"/>
        <v>-98.10641499626955</v>
      </c>
      <c r="T350">
        <f t="shared" si="973"/>
        <v>-9.8106414996269556E-2</v>
      </c>
    </row>
    <row r="351" spans="1:20" x14ac:dyDescent="0.25">
      <c r="A351" s="5">
        <v>44242</v>
      </c>
      <c r="B351">
        <v>2.06</v>
      </c>
      <c r="C351">
        <v>2.3738000000000001</v>
      </c>
      <c r="D351">
        <v>1.6559999999999999</v>
      </c>
      <c r="E351">
        <v>1.6975</v>
      </c>
      <c r="F351">
        <v>22421012.510000002</v>
      </c>
      <c r="G351">
        <v>0</v>
      </c>
      <c r="L351" t="s">
        <v>8</v>
      </c>
      <c r="M351" t="s">
        <v>8</v>
      </c>
      <c r="N351" t="s">
        <v>8</v>
      </c>
      <c r="P351">
        <f t="shared" si="969"/>
        <v>-0.88436890498746146</v>
      </c>
      <c r="Q351">
        <f t="shared" si="970"/>
        <v>-19828446.282178875</v>
      </c>
      <c r="R351">
        <f t="shared" si="971"/>
        <v>-6638268.5918037165</v>
      </c>
      <c r="S351">
        <f t="shared" si="972"/>
        <v>-66.382685918037168</v>
      </c>
      <c r="T351">
        <f t="shared" si="973"/>
        <v>-6.6382685918037171E-2</v>
      </c>
    </row>
    <row r="352" spans="1:20" x14ac:dyDescent="0.25">
      <c r="A352" s="5">
        <v>44241</v>
      </c>
      <c r="B352">
        <v>1.2359</v>
      </c>
      <c r="C352">
        <v>2.0693999999999999</v>
      </c>
      <c r="D352">
        <v>1.2279</v>
      </c>
      <c r="E352">
        <v>2.06</v>
      </c>
      <c r="F352">
        <v>18772530.66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0.97765894236482509</v>
      </c>
      <c r="Q352">
        <f t="shared" si="970"/>
        <v>18353132.470566854</v>
      </c>
      <c r="R352">
        <f t="shared" si="971"/>
        <v>13190177.690375159</v>
      </c>
      <c r="S352">
        <f t="shared" si="972"/>
        <v>131.9017769037516</v>
      </c>
      <c r="T352">
        <f t="shared" si="973"/>
        <v>0.1319017769037516</v>
      </c>
    </row>
    <row r="353" spans="1:20" x14ac:dyDescent="0.25">
      <c r="A353" s="5">
        <v>44240</v>
      </c>
      <c r="B353">
        <v>1.2301</v>
      </c>
      <c r="C353">
        <v>1.29</v>
      </c>
      <c r="D353">
        <v>1.1100000000000001</v>
      </c>
      <c r="E353">
        <v>1.2356</v>
      </c>
      <c r="F353">
        <v>1901928.13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0.39555555555555533</v>
      </c>
      <c r="Q353">
        <f t="shared" si="970"/>
        <v>752318.23808888847</v>
      </c>
      <c r="R353">
        <f t="shared" si="971"/>
        <v>-5162954.7801916953</v>
      </c>
      <c r="S353">
        <f t="shared" si="972"/>
        <v>-51.629547801916956</v>
      </c>
      <c r="T353">
        <f t="shared" si="973"/>
        <v>-5.1629547801916954E-2</v>
      </c>
    </row>
    <row r="354" spans="1:20" x14ac:dyDescent="0.25">
      <c r="A354" s="5">
        <v>44239</v>
      </c>
      <c r="B354">
        <v>1.0636000000000001</v>
      </c>
      <c r="C354">
        <v>1.29</v>
      </c>
      <c r="D354">
        <v>1.0496000000000001</v>
      </c>
      <c r="E354">
        <v>1.2305999999999999</v>
      </c>
      <c r="F354">
        <v>2811855.94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0.50582362728785246</v>
      </c>
      <c r="Q354">
        <f t="shared" si="970"/>
        <v>1422303.170981694</v>
      </c>
      <c r="R354">
        <f t="shared" si="971"/>
        <v>-5915273.0182805834</v>
      </c>
      <c r="S354">
        <f t="shared" si="972"/>
        <v>-59.152730182805833</v>
      </c>
      <c r="T354">
        <f t="shared" si="973"/>
        <v>-5.9152730182805834E-2</v>
      </c>
    </row>
    <row r="355" spans="1:20" x14ac:dyDescent="0.25">
      <c r="A355" s="5">
        <v>44238</v>
      </c>
      <c r="B355">
        <v>1.0445</v>
      </c>
      <c r="C355">
        <v>1.1180000000000001</v>
      </c>
      <c r="D355">
        <v>0.99</v>
      </c>
      <c r="E355">
        <v>1.0576000000000001</v>
      </c>
      <c r="F355">
        <v>2852985.51</v>
      </c>
      <c r="G355">
        <v>0</v>
      </c>
      <c r="L355" t="s">
        <v>7</v>
      </c>
      <c r="M355" t="s">
        <v>7</v>
      </c>
      <c r="N355" t="s">
        <v>8</v>
      </c>
      <c r="P355">
        <f t="shared" si="969"/>
        <v>5.6250000000000695E-2</v>
      </c>
      <c r="Q355">
        <f t="shared" si="970"/>
        <v>160480.43493750197</v>
      </c>
      <c r="R355">
        <f t="shared" si="971"/>
        <v>-7337576.1892622774</v>
      </c>
      <c r="S355">
        <f t="shared" si="972"/>
        <v>-73.375761892622776</v>
      </c>
      <c r="T355">
        <f t="shared" si="973"/>
        <v>-7.3375761892622779E-2</v>
      </c>
    </row>
    <row r="356" spans="1:20" x14ac:dyDescent="0.25">
      <c r="A356" s="5">
        <v>44237</v>
      </c>
      <c r="B356">
        <v>1.079</v>
      </c>
      <c r="C356">
        <v>1.18</v>
      </c>
      <c r="D356">
        <v>0.88500000000000001</v>
      </c>
      <c r="E356">
        <v>1.0445</v>
      </c>
      <c r="F356">
        <v>4121640.53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8.1355932203389922E-2</v>
      </c>
      <c r="Q356">
        <f t="shared" si="970"/>
        <v>335319.90752542409</v>
      </c>
      <c r="R356">
        <f t="shared" si="971"/>
        <v>-7498056.6241997797</v>
      </c>
      <c r="S356">
        <f t="shared" si="972"/>
        <v>-74.980566241997792</v>
      </c>
      <c r="T356">
        <f t="shared" si="973"/>
        <v>-7.4980566241997795E-2</v>
      </c>
    </row>
    <row r="357" spans="1:20" x14ac:dyDescent="0.25">
      <c r="A357" s="5">
        <v>44236</v>
      </c>
      <c r="B357">
        <v>0.79020000000000001</v>
      </c>
      <c r="C357">
        <v>1.1000000000000001</v>
      </c>
      <c r="D357">
        <v>0.77639999999999998</v>
      </c>
      <c r="E357">
        <v>1.0790999999999999</v>
      </c>
      <c r="F357">
        <v>7751923.7000000002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0.87082818294190278</v>
      </c>
      <c r="Q357">
        <f t="shared" si="970"/>
        <v>6750593.6299752723</v>
      </c>
      <c r="R357">
        <f t="shared" si="971"/>
        <v>-7833376.5317252036</v>
      </c>
      <c r="S357">
        <f t="shared" si="972"/>
        <v>-78.333765317252031</v>
      </c>
      <c r="T357">
        <f t="shared" si="973"/>
        <v>-7.833376531725203E-2</v>
      </c>
    </row>
    <row r="358" spans="1:20" x14ac:dyDescent="0.25">
      <c r="A358" s="5">
        <v>44235</v>
      </c>
      <c r="B358">
        <v>0.72960000000000003</v>
      </c>
      <c r="C358">
        <v>0.81499999999999995</v>
      </c>
      <c r="D358">
        <v>0.72789999999999999</v>
      </c>
      <c r="E358">
        <v>0.78979999999999995</v>
      </c>
      <c r="F358">
        <v>1499348.64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0.42135476463834642</v>
      </c>
      <c r="Q358">
        <f t="shared" si="970"/>
        <v>631757.69331802474</v>
      </c>
      <c r="R358">
        <f t="shared" si="971"/>
        <v>-14583970.161700476</v>
      </c>
      <c r="S358">
        <f t="shared" si="972"/>
        <v>-145.83970161700475</v>
      </c>
      <c r="T358">
        <f t="shared" si="973"/>
        <v>-0.14583970161700474</v>
      </c>
    </row>
    <row r="359" spans="1:20" x14ac:dyDescent="0.25">
      <c r="A359" s="5">
        <v>44234</v>
      </c>
      <c r="B359">
        <v>0.74529999999999996</v>
      </c>
      <c r="C359">
        <v>0.75780000000000003</v>
      </c>
      <c r="D359">
        <v>0.70199999999999996</v>
      </c>
      <c r="E359">
        <v>0.72950000000000004</v>
      </c>
      <c r="F359">
        <v>1124348.8999999999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-1.4336917562722417E-2</v>
      </c>
      <c r="Q359">
        <f t="shared" si="970"/>
        <v>-16119.697491037628</v>
      </c>
      <c r="R359">
        <f t="shared" si="971"/>
        <v>-15215727.8550185</v>
      </c>
      <c r="S359">
        <f t="shared" si="972"/>
        <v>-152.157278550185</v>
      </c>
      <c r="T359">
        <f t="shared" si="973"/>
        <v>-0.15215727855018499</v>
      </c>
    </row>
    <row r="360" spans="1:20" x14ac:dyDescent="0.25">
      <c r="A360" s="5">
        <v>44233</v>
      </c>
      <c r="B360">
        <v>0.78959999999999997</v>
      </c>
      <c r="C360">
        <v>0.82879999999999998</v>
      </c>
      <c r="D360">
        <v>0.73019999999999996</v>
      </c>
      <c r="E360">
        <v>0.746</v>
      </c>
      <c r="F360">
        <v>1830346.52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-0.67951318458417787</v>
      </c>
      <c r="Q360">
        <f t="shared" si="970"/>
        <v>-1243744.5926977675</v>
      </c>
      <c r="R360">
        <f t="shared" si="971"/>
        <v>-15199608.157527464</v>
      </c>
      <c r="S360">
        <f t="shared" si="972"/>
        <v>-151.99608157527464</v>
      </c>
      <c r="T360">
        <f t="shared" si="973"/>
        <v>-0.15199608157527464</v>
      </c>
    </row>
    <row r="361" spans="1:20" x14ac:dyDescent="0.25">
      <c r="A361" s="5">
        <v>44232</v>
      </c>
      <c r="B361">
        <v>0.68500000000000005</v>
      </c>
      <c r="C361">
        <v>0.80330000000000001</v>
      </c>
      <c r="D361">
        <v>0.67049999999999998</v>
      </c>
      <c r="E361">
        <v>0.79239999999999999</v>
      </c>
      <c r="F361">
        <v>3161185.56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0.83584337349397564</v>
      </c>
      <c r="Q361">
        <f t="shared" si="970"/>
        <v>2642256.0027108425</v>
      </c>
      <c r="R361">
        <f t="shared" si="971"/>
        <v>-13955863.564829696</v>
      </c>
      <c r="S361">
        <f t="shared" si="972"/>
        <v>-139.55863564829696</v>
      </c>
      <c r="T361">
        <f t="shared" si="973"/>
        <v>-0.13955863564829696</v>
      </c>
    </row>
    <row r="362" spans="1:20" x14ac:dyDescent="0.25">
      <c r="A362" s="5">
        <v>44231</v>
      </c>
      <c r="B362">
        <v>0.70569999999999999</v>
      </c>
      <c r="C362">
        <v>0.72899999999999998</v>
      </c>
      <c r="D362">
        <v>0.67500000000000004</v>
      </c>
      <c r="E362">
        <v>0.68110000000000004</v>
      </c>
      <c r="F362">
        <v>2329978.25</v>
      </c>
      <c r="G362">
        <v>0</v>
      </c>
      <c r="L362" t="s">
        <v>8</v>
      </c>
      <c r="M362" t="s">
        <v>7</v>
      </c>
      <c r="N362" t="s">
        <v>8</v>
      </c>
      <c r="P362">
        <f t="shared" si="969"/>
        <v>-0.77407407407407403</v>
      </c>
      <c r="Q362">
        <f t="shared" si="970"/>
        <v>-1803575.7564814815</v>
      </c>
      <c r="R362">
        <f t="shared" si="971"/>
        <v>-16598119.567540539</v>
      </c>
      <c r="S362">
        <f t="shared" si="972"/>
        <v>-165.98119567540539</v>
      </c>
      <c r="T362">
        <f t="shared" si="973"/>
        <v>-0.1659811956754054</v>
      </c>
    </row>
    <row r="363" spans="1:20" x14ac:dyDescent="0.25">
      <c r="A363" s="5">
        <v>44230</v>
      </c>
      <c r="B363">
        <v>0.73450000000000004</v>
      </c>
      <c r="C363">
        <v>0.76</v>
      </c>
      <c r="D363">
        <v>0.65769999999999995</v>
      </c>
      <c r="E363">
        <v>0.70199999999999996</v>
      </c>
      <c r="F363">
        <v>2789746.36</v>
      </c>
      <c r="G363">
        <v>0</v>
      </c>
      <c r="L363" t="s">
        <v>7</v>
      </c>
      <c r="M363" t="s">
        <v>7</v>
      </c>
      <c r="N363" t="s">
        <v>8</v>
      </c>
      <c r="P363">
        <f t="shared" si="969"/>
        <v>-0.13391984359726333</v>
      </c>
      <c r="Q363">
        <f t="shared" si="970"/>
        <v>-373602.39620723465</v>
      </c>
      <c r="R363">
        <f t="shared" si="971"/>
        <v>-14794543.811059058</v>
      </c>
      <c r="S363">
        <f t="shared" si="972"/>
        <v>-147.94543811059057</v>
      </c>
      <c r="T363">
        <f t="shared" si="973"/>
        <v>-0.14794543811059058</v>
      </c>
    </row>
    <row r="364" spans="1:20" x14ac:dyDescent="0.25">
      <c r="A364" s="5">
        <v>44229</v>
      </c>
      <c r="B364">
        <v>0.68259999999999998</v>
      </c>
      <c r="C364">
        <v>0.79990000000000006</v>
      </c>
      <c r="D364">
        <v>0.67400000000000004</v>
      </c>
      <c r="E364">
        <v>0.73440000000000005</v>
      </c>
      <c r="F364">
        <v>2711376.63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-4.0508339952343077E-2</v>
      </c>
      <c r="Q364">
        <f t="shared" si="970"/>
        <v>-109833.36626687832</v>
      </c>
      <c r="R364">
        <f t="shared" si="971"/>
        <v>-14420941.414851824</v>
      </c>
      <c r="S364">
        <f t="shared" si="972"/>
        <v>-144.20941414851825</v>
      </c>
      <c r="T364">
        <f t="shared" si="973"/>
        <v>-0.14420941414851826</v>
      </c>
    </row>
    <row r="365" spans="1:20" x14ac:dyDescent="0.25">
      <c r="A365" s="5">
        <v>44228</v>
      </c>
      <c r="B365">
        <v>0.8014</v>
      </c>
      <c r="C365">
        <v>0.83</v>
      </c>
      <c r="D365">
        <v>0.6734</v>
      </c>
      <c r="E365">
        <v>0.68610000000000004</v>
      </c>
      <c r="F365">
        <v>5274276.0599999996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-0.83780332056194062</v>
      </c>
      <c r="Q365">
        <f t="shared" si="970"/>
        <v>-4418805.9966283487</v>
      </c>
      <c r="R365">
        <f t="shared" si="971"/>
        <v>-14311108.048584945</v>
      </c>
      <c r="S365">
        <f t="shared" si="972"/>
        <v>-143.11108048584944</v>
      </c>
      <c r="T365">
        <f t="shared" si="973"/>
        <v>-0.14311108048584945</v>
      </c>
    </row>
    <row r="366" spans="1:20" x14ac:dyDescent="0.25">
      <c r="A366" s="5">
        <v>44227</v>
      </c>
      <c r="B366">
        <v>0.70269999999999999</v>
      </c>
      <c r="C366">
        <v>0.84570000000000001</v>
      </c>
      <c r="D366">
        <v>0.66449999999999998</v>
      </c>
      <c r="E366">
        <v>0.79990000000000006</v>
      </c>
      <c r="F366">
        <v>5275919.92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0.49448123620309109</v>
      </c>
      <c r="Q366">
        <f t="shared" si="970"/>
        <v>2608843.4041501135</v>
      </c>
      <c r="R366">
        <f t="shared" si="971"/>
        <v>-9892302.0519565959</v>
      </c>
      <c r="S366">
        <f t="shared" si="972"/>
        <v>-98.923020519565952</v>
      </c>
      <c r="T366">
        <f t="shared" si="973"/>
        <v>-9.8923020519565946E-2</v>
      </c>
    </row>
    <row r="367" spans="1:20" x14ac:dyDescent="0.25">
      <c r="A367" s="5">
        <v>44226</v>
      </c>
      <c r="B367">
        <v>0.62570000000000003</v>
      </c>
      <c r="C367">
        <v>0.71</v>
      </c>
      <c r="D367">
        <v>0.59860000000000002</v>
      </c>
      <c r="E367">
        <v>0.7006</v>
      </c>
      <c r="F367">
        <v>3019058.56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0.83123877917414779</v>
      </c>
      <c r="Q367">
        <f t="shared" si="970"/>
        <v>2509558.5516696605</v>
      </c>
      <c r="R367">
        <f t="shared" si="971"/>
        <v>-12501145.456106709</v>
      </c>
      <c r="S367">
        <f t="shared" si="972"/>
        <v>-125.0114545610671</v>
      </c>
      <c r="T367">
        <f t="shared" si="973"/>
        <v>-0.1250114545610671</v>
      </c>
    </row>
    <row r="368" spans="1:20" x14ac:dyDescent="0.25">
      <c r="A368" s="5">
        <v>44225</v>
      </c>
      <c r="B368">
        <v>0.56210000000000004</v>
      </c>
      <c r="C368">
        <v>0.66</v>
      </c>
      <c r="D368">
        <v>0.55120000000000002</v>
      </c>
      <c r="E368">
        <v>0.62549999999999994</v>
      </c>
      <c r="F368">
        <v>3898562.03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0.36580882352941024</v>
      </c>
      <c r="Q368">
        <f t="shared" si="970"/>
        <v>1426128.3896507293</v>
      </c>
      <c r="R368">
        <f t="shared" si="971"/>
        <v>-15010704.00777637</v>
      </c>
      <c r="S368">
        <f t="shared" si="972"/>
        <v>-150.10704007776371</v>
      </c>
      <c r="T368">
        <f t="shared" si="973"/>
        <v>-0.15010704007776371</v>
      </c>
    </row>
    <row r="369" spans="1:20" x14ac:dyDescent="0.25">
      <c r="A369" s="5">
        <v>44224</v>
      </c>
      <c r="B369">
        <v>0.58399999999999996</v>
      </c>
      <c r="C369">
        <v>0.63360000000000005</v>
      </c>
      <c r="D369">
        <v>0.56169999999999998</v>
      </c>
      <c r="E369">
        <v>0.56420000000000003</v>
      </c>
      <c r="F369">
        <v>5050558.0999999996</v>
      </c>
      <c r="G369">
        <v>0</v>
      </c>
      <c r="L369" t="s">
        <v>7</v>
      </c>
      <c r="M369" t="s">
        <v>8</v>
      </c>
      <c r="N369" t="s">
        <v>8</v>
      </c>
      <c r="P369">
        <f t="shared" si="969"/>
        <v>-0.93045897079276618</v>
      </c>
      <c r="Q369">
        <f t="shared" si="970"/>
        <v>-4699337.0916550681</v>
      </c>
      <c r="R369">
        <f t="shared" si="971"/>
        <v>-16436832.397427099</v>
      </c>
      <c r="S369">
        <f t="shared" si="972"/>
        <v>-164.36832397427099</v>
      </c>
      <c r="T369">
        <f t="shared" si="973"/>
        <v>-0.16436832397427098</v>
      </c>
    </row>
    <row r="370" spans="1:20" x14ac:dyDescent="0.25">
      <c r="A370" s="5">
        <v>44223</v>
      </c>
      <c r="B370">
        <v>0.53720000000000001</v>
      </c>
      <c r="C370">
        <v>0.66</v>
      </c>
      <c r="D370">
        <v>0.51439999999999997</v>
      </c>
      <c r="E370">
        <v>0.58399999999999996</v>
      </c>
      <c r="F370">
        <v>4991826.0999999996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-4.3956043956044431E-2</v>
      </c>
      <c r="Q370">
        <f t="shared" si="970"/>
        <v>-219420.92747252982</v>
      </c>
      <c r="R370">
        <f t="shared" si="971"/>
        <v>-11737495.305772031</v>
      </c>
      <c r="S370">
        <f t="shared" si="972"/>
        <v>-117.3749530577203</v>
      </c>
      <c r="T370">
        <f t="shared" si="973"/>
        <v>-0.1173749530577203</v>
      </c>
    </row>
    <row r="371" spans="1:20" x14ac:dyDescent="0.25">
      <c r="A371" s="5">
        <v>44222</v>
      </c>
      <c r="B371">
        <v>0.54020000000000001</v>
      </c>
      <c r="C371">
        <v>0.54390000000000005</v>
      </c>
      <c r="D371">
        <v>0.50349999999999995</v>
      </c>
      <c r="E371">
        <v>0.54059999999999997</v>
      </c>
      <c r="F371">
        <v>476471.53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0.83663366336633305</v>
      </c>
      <c r="Q371">
        <f t="shared" si="970"/>
        <v>398632.12163366168</v>
      </c>
      <c r="R371">
        <f t="shared" si="971"/>
        <v>-11518074.378299501</v>
      </c>
      <c r="S371">
        <f t="shared" si="972"/>
        <v>-115.18074378299501</v>
      </c>
      <c r="T371">
        <f t="shared" si="973"/>
        <v>-0.115180743782995</v>
      </c>
    </row>
    <row r="372" spans="1:20" x14ac:dyDescent="0.25">
      <c r="A372" s="5">
        <v>44221</v>
      </c>
      <c r="B372">
        <v>0.53180000000000005</v>
      </c>
      <c r="C372">
        <v>0.56100000000000005</v>
      </c>
      <c r="D372">
        <v>0.52669999999999995</v>
      </c>
      <c r="E372">
        <v>0.53669999999999995</v>
      </c>
      <c r="F372">
        <v>914469.21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-0.41690962099125495</v>
      </c>
      <c r="Q372">
        <f t="shared" si="970"/>
        <v>-381251.01174927229</v>
      </c>
      <c r="R372">
        <f t="shared" si="971"/>
        <v>-11916706.499933163</v>
      </c>
      <c r="S372">
        <f t="shared" si="972"/>
        <v>-119.16706499933163</v>
      </c>
      <c r="T372">
        <f t="shared" si="973"/>
        <v>-0.11916706499933163</v>
      </c>
    </row>
    <row r="373" spans="1:20" x14ac:dyDescent="0.25">
      <c r="A373" s="5">
        <v>44220</v>
      </c>
      <c r="B373">
        <v>0.54810000000000003</v>
      </c>
      <c r="C373">
        <v>0.56320000000000003</v>
      </c>
      <c r="D373">
        <v>0.52510000000000001</v>
      </c>
      <c r="E373">
        <v>0.53180000000000005</v>
      </c>
      <c r="F373">
        <v>963176.41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-0.64829396325459132</v>
      </c>
      <c r="Q373">
        <f t="shared" si="970"/>
        <v>-624421.45215222926</v>
      </c>
      <c r="R373">
        <f t="shared" si="971"/>
        <v>-11535455.48818389</v>
      </c>
      <c r="S373">
        <f t="shared" si="972"/>
        <v>-115.35455488183889</v>
      </c>
      <c r="T373">
        <f t="shared" si="973"/>
        <v>-0.11535455488183889</v>
      </c>
    </row>
    <row r="374" spans="1:20" x14ac:dyDescent="0.25">
      <c r="A374" s="5">
        <v>44219</v>
      </c>
      <c r="B374">
        <v>0.51670000000000005</v>
      </c>
      <c r="C374">
        <v>0.56189999999999996</v>
      </c>
      <c r="D374">
        <v>0.51119999999999999</v>
      </c>
      <c r="E374">
        <v>0.54720000000000002</v>
      </c>
      <c r="F374">
        <v>891338.42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0.42011834319526847</v>
      </c>
      <c r="Q374">
        <f t="shared" si="970"/>
        <v>374467.62023668835</v>
      </c>
      <c r="R374">
        <f t="shared" si="971"/>
        <v>-10911034.03603166</v>
      </c>
      <c r="S374">
        <f t="shared" si="972"/>
        <v>-109.1103403603166</v>
      </c>
      <c r="T374">
        <f t="shared" si="973"/>
        <v>-0.1091103403603166</v>
      </c>
    </row>
    <row r="375" spans="1:20" x14ac:dyDescent="0.25">
      <c r="A375" s="5">
        <v>44218</v>
      </c>
      <c r="B375">
        <v>0.51039999999999996</v>
      </c>
      <c r="C375">
        <v>0.53080000000000005</v>
      </c>
      <c r="D375">
        <v>0.47239999999999999</v>
      </c>
      <c r="E375">
        <v>0.52129999999999999</v>
      </c>
      <c r="F375">
        <v>775911.71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0.67465753424657349</v>
      </c>
      <c r="Q375">
        <f t="shared" si="970"/>
        <v>523474.68106164236</v>
      </c>
      <c r="R375">
        <f t="shared" si="971"/>
        <v>-11285501.656268349</v>
      </c>
      <c r="S375">
        <f t="shared" si="972"/>
        <v>-112.85501656268349</v>
      </c>
      <c r="T375">
        <f t="shared" si="973"/>
        <v>-0.11285501656268349</v>
      </c>
    </row>
    <row r="376" spans="1:20" x14ac:dyDescent="0.25">
      <c r="A376" s="5">
        <v>44217</v>
      </c>
      <c r="B376">
        <v>0.55579999999999996</v>
      </c>
      <c r="C376">
        <v>0.55579999999999996</v>
      </c>
      <c r="D376">
        <v>0.4869</v>
      </c>
      <c r="E376">
        <v>0.50780000000000003</v>
      </c>
      <c r="F376">
        <v>1713304.78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-0.39332365747459969</v>
      </c>
      <c r="Q376">
        <f t="shared" si="970"/>
        <v>-673883.30243831442</v>
      </c>
      <c r="R376">
        <f t="shared" si="971"/>
        <v>-11808976.337329991</v>
      </c>
      <c r="S376">
        <f t="shared" si="972"/>
        <v>-118.08976337329992</v>
      </c>
      <c r="T376">
        <f t="shared" si="973"/>
        <v>-0.11808976337329992</v>
      </c>
    </row>
    <row r="377" spans="1:20" x14ac:dyDescent="0.25">
      <c r="A377" s="5">
        <v>44216</v>
      </c>
      <c r="B377">
        <v>0.58330000000000004</v>
      </c>
      <c r="C377">
        <v>0.59440000000000004</v>
      </c>
      <c r="D377">
        <v>0.50170000000000003</v>
      </c>
      <c r="E377">
        <v>0.55579999999999996</v>
      </c>
      <c r="F377">
        <v>2137561.63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0.1672060409924471</v>
      </c>
      <c r="Q377">
        <f t="shared" si="970"/>
        <v>357413.21752966201</v>
      </c>
      <c r="R377">
        <f t="shared" si="971"/>
        <v>-11135093.034891676</v>
      </c>
      <c r="S377">
        <f t="shared" si="972"/>
        <v>-111.35093034891676</v>
      </c>
      <c r="T377">
        <f t="shared" si="973"/>
        <v>-0.11135093034891676</v>
      </c>
    </row>
    <row r="378" spans="1:20" x14ac:dyDescent="0.25">
      <c r="A378" s="5">
        <v>44215</v>
      </c>
      <c r="B378">
        <v>0.56189999999999996</v>
      </c>
      <c r="C378">
        <v>0.64</v>
      </c>
      <c r="D378">
        <v>0.55879999999999996</v>
      </c>
      <c r="E378">
        <v>0.58330000000000004</v>
      </c>
      <c r="F378">
        <v>2757142.43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-0.3965517241379295</v>
      </c>
      <c r="Q378">
        <f t="shared" si="970"/>
        <v>-1093349.5843103407</v>
      </c>
      <c r="R378">
        <f t="shared" si="971"/>
        <v>-11492506.252421338</v>
      </c>
      <c r="S378">
        <f t="shared" si="972"/>
        <v>-114.92506252421339</v>
      </c>
      <c r="T378">
        <f t="shared" si="973"/>
        <v>-0.11492506252421339</v>
      </c>
    </row>
    <row r="379" spans="1:20" x14ac:dyDescent="0.25">
      <c r="A379" s="5">
        <v>44214</v>
      </c>
      <c r="B379">
        <v>0.57210000000000005</v>
      </c>
      <c r="C379">
        <v>0.57499999999999996</v>
      </c>
      <c r="D379">
        <v>0.501</v>
      </c>
      <c r="E379">
        <v>0.56220000000000003</v>
      </c>
      <c r="F379">
        <v>893878.36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0.65405405405405592</v>
      </c>
      <c r="Q379">
        <f t="shared" si="970"/>
        <v>584644.76518919086</v>
      </c>
      <c r="R379">
        <f t="shared" si="971"/>
        <v>-10399156.668110998</v>
      </c>
      <c r="S379">
        <f t="shared" si="972"/>
        <v>-103.99156668110999</v>
      </c>
      <c r="T379">
        <f t="shared" si="973"/>
        <v>-0.10399156668110998</v>
      </c>
    </row>
    <row r="380" spans="1:20" x14ac:dyDescent="0.25">
      <c r="A380" s="5">
        <v>44213</v>
      </c>
      <c r="B380">
        <v>0.51739999999999997</v>
      </c>
      <c r="C380">
        <v>0.57350000000000001</v>
      </c>
      <c r="D380">
        <v>0.49209999999999998</v>
      </c>
      <c r="E380">
        <v>0.56840000000000002</v>
      </c>
      <c r="F380">
        <v>1446566.84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0.87469287469287493</v>
      </c>
      <c r="Q380">
        <f t="shared" si="970"/>
        <v>1265301.7077149882</v>
      </c>
      <c r="R380">
        <f t="shared" si="971"/>
        <v>-10983801.43330019</v>
      </c>
      <c r="S380">
        <f t="shared" si="972"/>
        <v>-109.83801433300189</v>
      </c>
      <c r="T380">
        <f t="shared" si="973"/>
        <v>-0.10983801433300189</v>
      </c>
    </row>
    <row r="381" spans="1:20" x14ac:dyDescent="0.25">
      <c r="A381" s="5">
        <v>44212</v>
      </c>
      <c r="B381">
        <v>0.48630000000000001</v>
      </c>
      <c r="C381">
        <v>0.54400000000000004</v>
      </c>
      <c r="D381">
        <v>0.4839</v>
      </c>
      <c r="E381">
        <v>0.51719999999999999</v>
      </c>
      <c r="F381">
        <v>1009444.71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0.10815307820299411</v>
      </c>
      <c r="Q381">
        <f t="shared" si="970"/>
        <v>109174.5526622287</v>
      </c>
      <c r="R381">
        <f t="shared" si="971"/>
        <v>-12249103.141015178</v>
      </c>
      <c r="S381">
        <f t="shared" si="972"/>
        <v>-122.49103141015178</v>
      </c>
      <c r="T381">
        <f t="shared" si="973"/>
        <v>-0.12249103141015177</v>
      </c>
    </row>
    <row r="382" spans="1:20" x14ac:dyDescent="0.25">
      <c r="A382" s="5">
        <v>44211</v>
      </c>
      <c r="B382">
        <v>0.47970000000000002</v>
      </c>
      <c r="C382">
        <v>0.53</v>
      </c>
      <c r="D382">
        <v>0.45250000000000001</v>
      </c>
      <c r="E382">
        <v>0.4864</v>
      </c>
      <c r="F382">
        <v>1568073.54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-0.12516129032258116</v>
      </c>
      <c r="Q382">
        <f t="shared" si="970"/>
        <v>-196262.10758709759</v>
      </c>
      <c r="R382">
        <f t="shared" si="971"/>
        <v>-12358277.693677407</v>
      </c>
      <c r="S382">
        <f t="shared" si="972"/>
        <v>-123.58277693677407</v>
      </c>
      <c r="T382">
        <f t="shared" si="973"/>
        <v>-0.12358277693677407</v>
      </c>
    </row>
    <row r="383" spans="1:20" x14ac:dyDescent="0.25">
      <c r="A383" s="5">
        <v>44210</v>
      </c>
      <c r="B383">
        <v>0.46939999999999998</v>
      </c>
      <c r="C383">
        <v>0.50470000000000004</v>
      </c>
      <c r="D383">
        <v>0.46250000000000002</v>
      </c>
      <c r="E383">
        <v>0.47860000000000003</v>
      </c>
      <c r="F383">
        <v>936806.91</v>
      </c>
      <c r="G383">
        <v>0</v>
      </c>
      <c r="L383" t="s">
        <v>8</v>
      </c>
      <c r="M383" t="s">
        <v>7</v>
      </c>
      <c r="N383" t="s">
        <v>7</v>
      </c>
      <c r="P383">
        <f t="shared" si="969"/>
        <v>-0.23696682464454988</v>
      </c>
      <c r="Q383">
        <f t="shared" si="970"/>
        <v>-221992.15876777263</v>
      </c>
      <c r="R383">
        <f t="shared" si="971"/>
        <v>-12162015.58609031</v>
      </c>
      <c r="S383">
        <f t="shared" si="972"/>
        <v>-121.6201558609031</v>
      </c>
      <c r="T383">
        <f t="shared" si="973"/>
        <v>-0.12162015586090309</v>
      </c>
    </row>
    <row r="384" spans="1:20" x14ac:dyDescent="0.25">
      <c r="A384" s="5">
        <v>44209</v>
      </c>
      <c r="B384">
        <v>0.44869999999999999</v>
      </c>
      <c r="C384">
        <v>0.47789999999999999</v>
      </c>
      <c r="D384">
        <v>0.42330000000000001</v>
      </c>
      <c r="E384">
        <v>0.46949999999999997</v>
      </c>
      <c r="F384">
        <v>1083100.8500000001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0.69230769230769151</v>
      </c>
      <c r="Q384">
        <f t="shared" si="970"/>
        <v>749839.04999999923</v>
      </c>
      <c r="R384">
        <f t="shared" si="971"/>
        <v>-11940023.427322537</v>
      </c>
      <c r="S384">
        <f t="shared" si="972"/>
        <v>-119.40023427322537</v>
      </c>
      <c r="T384">
        <f t="shared" si="973"/>
        <v>-0.11940023427322537</v>
      </c>
    </row>
    <row r="385" spans="1:20" x14ac:dyDescent="0.25">
      <c r="A385" s="5">
        <v>44208</v>
      </c>
      <c r="B385">
        <v>0.45929999999999999</v>
      </c>
      <c r="C385">
        <v>0.51500000000000001</v>
      </c>
      <c r="D385">
        <v>0.44209999999999999</v>
      </c>
      <c r="E385">
        <v>0.44900000000000001</v>
      </c>
      <c r="F385">
        <v>1240696.83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-0.81069958847736578</v>
      </c>
      <c r="Q385">
        <f t="shared" si="970"/>
        <v>-1005832.4095061723</v>
      </c>
      <c r="R385">
        <f t="shared" si="971"/>
        <v>-12689862.477322536</v>
      </c>
      <c r="S385">
        <f t="shared" si="972"/>
        <v>-126.89862477322535</v>
      </c>
      <c r="T385">
        <f t="shared" si="973"/>
        <v>-0.12689862477322536</v>
      </c>
    </row>
    <row r="386" spans="1:20" x14ac:dyDescent="0.25">
      <c r="A386" s="5">
        <v>44207</v>
      </c>
      <c r="B386">
        <v>0.51900000000000002</v>
      </c>
      <c r="C386">
        <v>0.52180000000000004</v>
      </c>
      <c r="D386">
        <v>0.42470000000000002</v>
      </c>
      <c r="E386">
        <v>0.45929999999999999</v>
      </c>
      <c r="F386">
        <v>1762999.08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-0.28733264675592263</v>
      </c>
      <c r="Q386">
        <f t="shared" si="970"/>
        <v>-506567.19188465661</v>
      </c>
      <c r="R386">
        <f t="shared" si="971"/>
        <v>-11684030.067816364</v>
      </c>
      <c r="S386">
        <f t="shared" si="972"/>
        <v>-116.84030067816364</v>
      </c>
      <c r="T386">
        <f t="shared" si="973"/>
        <v>-0.11684030067816364</v>
      </c>
    </row>
    <row r="387" spans="1:20" x14ac:dyDescent="0.25">
      <c r="A387" s="5">
        <v>44206</v>
      </c>
      <c r="B387">
        <v>0.53669999999999995</v>
      </c>
      <c r="C387">
        <v>0.59109999999999996</v>
      </c>
      <c r="D387">
        <v>0.46970000000000001</v>
      </c>
      <c r="E387">
        <v>0.52229999999999999</v>
      </c>
      <c r="F387">
        <v>2413038.9500000002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-0.13344316309719934</v>
      </c>
      <c r="Q387">
        <f t="shared" si="970"/>
        <v>-322003.55016474467</v>
      </c>
      <c r="R387">
        <f t="shared" si="971"/>
        <v>-11177462.875931706</v>
      </c>
      <c r="S387">
        <f t="shared" si="972"/>
        <v>-111.77462875931707</v>
      </c>
      <c r="T387">
        <f t="shared" si="973"/>
        <v>-0.11177462875931707</v>
      </c>
    </row>
    <row r="388" spans="1:20" x14ac:dyDescent="0.25">
      <c r="A388" s="5">
        <v>44205</v>
      </c>
      <c r="B388">
        <v>0.4839</v>
      </c>
      <c r="C388">
        <v>0.56799999999999995</v>
      </c>
      <c r="D388">
        <v>0.46510000000000001</v>
      </c>
      <c r="E388">
        <v>0.53580000000000005</v>
      </c>
      <c r="F388">
        <v>1719065.82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0.37414965986394721</v>
      </c>
      <c r="Q388">
        <f t="shared" si="970"/>
        <v>643187.89183673752</v>
      </c>
      <c r="R388">
        <f t="shared" si="971"/>
        <v>-10855459.325766962</v>
      </c>
      <c r="S388">
        <f t="shared" si="972"/>
        <v>-108.55459325766962</v>
      </c>
      <c r="T388">
        <f t="shared" si="973"/>
        <v>-0.10855459325766963</v>
      </c>
    </row>
    <row r="389" spans="1:20" x14ac:dyDescent="0.25">
      <c r="A389" s="5">
        <v>44204</v>
      </c>
      <c r="B389">
        <v>0.49830000000000002</v>
      </c>
      <c r="C389">
        <v>0.51490000000000002</v>
      </c>
      <c r="D389">
        <v>0.45200000000000001</v>
      </c>
      <c r="E389">
        <v>0.48499999999999999</v>
      </c>
      <c r="F389">
        <v>1721867.53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4.9284578696342375E-2</v>
      </c>
      <c r="Q389">
        <f t="shared" si="970"/>
        <v>84861.515786961667</v>
      </c>
      <c r="R389">
        <f t="shared" si="971"/>
        <v>-11498647.2176037</v>
      </c>
      <c r="S389">
        <f t="shared" si="972"/>
        <v>-114.986472176037</v>
      </c>
      <c r="T389">
        <f t="shared" si="973"/>
        <v>-0.114986472176037</v>
      </c>
    </row>
    <row r="390" spans="1:20" x14ac:dyDescent="0.25">
      <c r="A390" s="5">
        <v>44203</v>
      </c>
      <c r="B390">
        <v>0.46400000000000002</v>
      </c>
      <c r="C390">
        <v>0.59370000000000001</v>
      </c>
      <c r="D390">
        <v>0.45739999999999997</v>
      </c>
      <c r="E390">
        <v>0.49990000000000001</v>
      </c>
      <c r="F390">
        <v>6690260.25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-0.37637564196625051</v>
      </c>
      <c r="Q390">
        <f t="shared" ref="Q390:Q453" si="975">F390*P390</f>
        <v>-2518050.9965150375</v>
      </c>
      <c r="R390">
        <f t="shared" ref="R390:R453" si="976">R391+Q390</f>
        <v>-11583508.733390663</v>
      </c>
      <c r="S390">
        <f t="shared" ref="S390:S453" si="977">R390/100000</f>
        <v>-115.83508733390663</v>
      </c>
      <c r="T390">
        <f t="shared" ref="T390:T453" si="978">S390/1000</f>
        <v>-0.11583508733390663</v>
      </c>
    </row>
    <row r="391" spans="1:20" x14ac:dyDescent="0.25">
      <c r="A391" s="5">
        <v>44202</v>
      </c>
      <c r="B391">
        <v>0.441</v>
      </c>
      <c r="C391">
        <v>0.4889</v>
      </c>
      <c r="D391">
        <v>0.42370000000000002</v>
      </c>
      <c r="E391">
        <v>0.45910000000000001</v>
      </c>
      <c r="F391">
        <v>1809142.61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8.5889570552147174E-2</v>
      </c>
      <c r="Q391">
        <f t="shared" si="975"/>
        <v>155386.48184049068</v>
      </c>
      <c r="R391">
        <f t="shared" si="976"/>
        <v>-9065457.7368756253</v>
      </c>
      <c r="S391">
        <f t="shared" si="977"/>
        <v>-90.65457736875625</v>
      </c>
      <c r="T391">
        <f t="shared" si="978"/>
        <v>-9.0654577368756248E-2</v>
      </c>
    </row>
    <row r="392" spans="1:20" x14ac:dyDescent="0.25">
      <c r="A392" s="5">
        <v>44201</v>
      </c>
      <c r="B392">
        <v>0.43140000000000001</v>
      </c>
      <c r="C392">
        <v>0.45829999999999999</v>
      </c>
      <c r="D392">
        <v>0.40810000000000002</v>
      </c>
      <c r="E392">
        <v>0.44140000000000001</v>
      </c>
      <c r="F392">
        <v>687951.52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0.32669322709163418</v>
      </c>
      <c r="Q392">
        <f t="shared" si="975"/>
        <v>224749.10215139491</v>
      </c>
      <c r="R392">
        <f t="shared" si="976"/>
        <v>-9220844.2187161166</v>
      </c>
      <c r="S392">
        <f t="shared" si="977"/>
        <v>-92.208442187161168</v>
      </c>
      <c r="T392">
        <f t="shared" si="978"/>
        <v>-9.2208442187161163E-2</v>
      </c>
    </row>
    <row r="393" spans="1:20" x14ac:dyDescent="0.25">
      <c r="A393" s="5">
        <v>44200</v>
      </c>
      <c r="B393">
        <v>0.45240000000000002</v>
      </c>
      <c r="C393">
        <v>0.48980000000000001</v>
      </c>
      <c r="D393">
        <v>0.40629999999999999</v>
      </c>
      <c r="E393">
        <v>0.43230000000000002</v>
      </c>
      <c r="F393">
        <v>1013585.56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-0.37724550898203552</v>
      </c>
      <c r="Q393">
        <f t="shared" si="975"/>
        <v>-382370.60047904152</v>
      </c>
      <c r="R393">
        <f t="shared" si="976"/>
        <v>-9445593.3208675124</v>
      </c>
      <c r="S393">
        <f t="shared" si="977"/>
        <v>-94.45593320867512</v>
      </c>
      <c r="T393">
        <f t="shared" si="978"/>
        <v>-9.4455933208675125E-2</v>
      </c>
    </row>
    <row r="394" spans="1:20" x14ac:dyDescent="0.25">
      <c r="A394" s="5">
        <v>44199</v>
      </c>
      <c r="B394">
        <v>0.44650000000000001</v>
      </c>
      <c r="C394">
        <v>0.45939999999999998</v>
      </c>
      <c r="D394">
        <v>0.41220000000000001</v>
      </c>
      <c r="E394">
        <v>0.45369999999999999</v>
      </c>
      <c r="F394">
        <v>1210292.4099999999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0.75847457627118697</v>
      </c>
      <c r="Q394">
        <f t="shared" si="975"/>
        <v>917976.02283898368</v>
      </c>
      <c r="R394">
        <f t="shared" si="976"/>
        <v>-9063222.7203884702</v>
      </c>
      <c r="S394">
        <f t="shared" si="977"/>
        <v>-90.632227203884696</v>
      </c>
      <c r="T394">
        <f t="shared" si="978"/>
        <v>-9.0632227203884697E-2</v>
      </c>
    </row>
    <row r="395" spans="1:20" x14ac:dyDescent="0.25">
      <c r="A395" s="5">
        <v>44198</v>
      </c>
      <c r="B395">
        <v>0.47710000000000002</v>
      </c>
      <c r="C395">
        <v>0.47739999999999999</v>
      </c>
      <c r="D395">
        <v>0.41649999999999998</v>
      </c>
      <c r="E395">
        <v>0.44690000000000002</v>
      </c>
      <c r="F395">
        <v>895068.11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-1.6420361247936528E-3</v>
      </c>
      <c r="Q395">
        <f t="shared" si="975"/>
        <v>-1469.734170770779</v>
      </c>
      <c r="R395">
        <f t="shared" si="976"/>
        <v>-9981198.7432274539</v>
      </c>
      <c r="S395">
        <f t="shared" si="977"/>
        <v>-99.811987432274535</v>
      </c>
      <c r="T395">
        <f t="shared" si="978"/>
        <v>-9.981198743227454E-2</v>
      </c>
    </row>
    <row r="396" spans="1:20" x14ac:dyDescent="0.25">
      <c r="A396" s="5">
        <v>44197</v>
      </c>
      <c r="B396">
        <v>0.47539999999999999</v>
      </c>
      <c r="C396">
        <v>0.49020000000000002</v>
      </c>
      <c r="D396">
        <v>0.46250000000000002</v>
      </c>
      <c r="E396">
        <v>0.47720000000000001</v>
      </c>
      <c r="F396">
        <v>539100.23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6.1371841155233905E-2</v>
      </c>
      <c r="Q396">
        <f t="shared" si="975"/>
        <v>33085.57368231006</v>
      </c>
      <c r="R396">
        <f t="shared" si="976"/>
        <v>-9979729.0090566836</v>
      </c>
      <c r="S396">
        <f t="shared" si="977"/>
        <v>-99.797290090566833</v>
      </c>
      <c r="T396">
        <f t="shared" si="978"/>
        <v>-9.9797290090566829E-2</v>
      </c>
    </row>
    <row r="397" spans="1:20" x14ac:dyDescent="0.25">
      <c r="A397" s="5">
        <v>44196</v>
      </c>
      <c r="B397">
        <v>0.47549999999999998</v>
      </c>
      <c r="C397">
        <v>0.51880000000000004</v>
      </c>
      <c r="D397">
        <v>0.45200000000000001</v>
      </c>
      <c r="E397">
        <v>0.47520000000000001</v>
      </c>
      <c r="F397">
        <v>1498189.77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-0.30538922155688653</v>
      </c>
      <c r="Q397">
        <f t="shared" si="975"/>
        <v>-457531.00760479085</v>
      </c>
      <c r="R397">
        <f t="shared" si="976"/>
        <v>-10012814.582738994</v>
      </c>
      <c r="S397">
        <f t="shared" si="977"/>
        <v>-100.12814582738994</v>
      </c>
      <c r="T397">
        <f t="shared" si="978"/>
        <v>-0.10012814582738995</v>
      </c>
    </row>
    <row r="398" spans="1:20" x14ac:dyDescent="0.25">
      <c r="A398" s="5">
        <v>44195</v>
      </c>
      <c r="B398">
        <v>0.45789999999999997</v>
      </c>
      <c r="C398">
        <v>0.50990000000000002</v>
      </c>
      <c r="D398">
        <v>0.44109999999999999</v>
      </c>
      <c r="E398">
        <v>0.4733</v>
      </c>
      <c r="F398">
        <v>384877.67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-6.395348837209322E-2</v>
      </c>
      <c r="Q398">
        <f t="shared" si="975"/>
        <v>-24614.269593023331</v>
      </c>
      <c r="R398">
        <f t="shared" si="976"/>
        <v>-9555283.5751342028</v>
      </c>
      <c r="S398">
        <f t="shared" si="977"/>
        <v>-95.55283575134203</v>
      </c>
      <c r="T398">
        <f t="shared" si="978"/>
        <v>-9.5552835751342033E-2</v>
      </c>
    </row>
    <row r="399" spans="1:20" x14ac:dyDescent="0.25">
      <c r="A399" s="5">
        <v>44194</v>
      </c>
      <c r="B399">
        <v>0.49109999999999998</v>
      </c>
      <c r="C399">
        <v>0.49409999999999998</v>
      </c>
      <c r="D399">
        <v>0.43740000000000001</v>
      </c>
      <c r="E399">
        <v>0.45800000000000002</v>
      </c>
      <c r="F399">
        <v>275011.51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-0.27336860670193941</v>
      </c>
      <c r="Q399">
        <f t="shared" si="975"/>
        <v>-75179.513315696473</v>
      </c>
      <c r="R399">
        <f t="shared" si="976"/>
        <v>-9530669.3055411801</v>
      </c>
      <c r="S399">
        <f t="shared" si="977"/>
        <v>-95.306693055411799</v>
      </c>
      <c r="T399">
        <f t="shared" si="978"/>
        <v>-9.5306693055411798E-2</v>
      </c>
    </row>
    <row r="400" spans="1:20" x14ac:dyDescent="0.25">
      <c r="A400" s="5">
        <v>44193</v>
      </c>
      <c r="B400">
        <v>0.48699999999999999</v>
      </c>
      <c r="C400">
        <v>0.51590000000000003</v>
      </c>
      <c r="D400">
        <v>0.47320000000000001</v>
      </c>
      <c r="E400">
        <v>0.48609999999999998</v>
      </c>
      <c r="F400">
        <v>397325.17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-0.3957845433255287</v>
      </c>
      <c r="Q400">
        <f t="shared" si="975"/>
        <v>-157255.16096018805</v>
      </c>
      <c r="R400">
        <f t="shared" si="976"/>
        <v>-9455489.7922254838</v>
      </c>
      <c r="S400">
        <f t="shared" si="977"/>
        <v>-94.554897922254838</v>
      </c>
      <c r="T400">
        <f t="shared" si="978"/>
        <v>-9.4554897922254841E-2</v>
      </c>
    </row>
    <row r="401" spans="1:20" x14ac:dyDescent="0.25">
      <c r="A401" s="5">
        <v>44192</v>
      </c>
      <c r="B401">
        <v>0.48060000000000003</v>
      </c>
      <c r="C401">
        <v>0.50419999999999998</v>
      </c>
      <c r="D401">
        <v>0.45519999999999999</v>
      </c>
      <c r="E401">
        <v>0.48699999999999999</v>
      </c>
      <c r="F401">
        <v>526508.49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0.29795918367346952</v>
      </c>
      <c r="Q401">
        <f t="shared" si="975"/>
        <v>156878.03987755108</v>
      </c>
      <c r="R401">
        <f t="shared" si="976"/>
        <v>-9298234.6312652957</v>
      </c>
      <c r="S401">
        <f t="shared" si="977"/>
        <v>-92.98234631265295</v>
      </c>
      <c r="T401">
        <f t="shared" si="978"/>
        <v>-9.2982346312652953E-2</v>
      </c>
    </row>
    <row r="402" spans="1:20" x14ac:dyDescent="0.25">
      <c r="A402" s="5">
        <v>44191</v>
      </c>
      <c r="B402">
        <v>0.48759999999999998</v>
      </c>
      <c r="C402">
        <v>0.50490000000000002</v>
      </c>
      <c r="D402">
        <v>0.47060000000000002</v>
      </c>
      <c r="E402">
        <v>0.48470000000000002</v>
      </c>
      <c r="F402">
        <v>363429.59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-0.17784256559766748</v>
      </c>
      <c r="Q402">
        <f t="shared" si="975"/>
        <v>-64633.250699708398</v>
      </c>
      <c r="R402">
        <f t="shared" si="976"/>
        <v>-9455112.6711428463</v>
      </c>
      <c r="S402">
        <f t="shared" si="977"/>
        <v>-94.551126711428466</v>
      </c>
      <c r="T402">
        <f t="shared" si="978"/>
        <v>-9.4551126711428471E-2</v>
      </c>
    </row>
    <row r="403" spans="1:20" x14ac:dyDescent="0.25">
      <c r="A403" s="5">
        <v>44190</v>
      </c>
      <c r="B403">
        <v>0.50429999999999997</v>
      </c>
      <c r="C403">
        <v>0.53369999999999995</v>
      </c>
      <c r="D403">
        <v>0.46789999999999998</v>
      </c>
      <c r="E403">
        <v>0.48820000000000002</v>
      </c>
      <c r="F403">
        <v>732180.01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-0.38297872340425382</v>
      </c>
      <c r="Q403">
        <f t="shared" si="975"/>
        <v>-280409.36553191382</v>
      </c>
      <c r="R403">
        <f t="shared" si="976"/>
        <v>-9390479.4204431381</v>
      </c>
      <c r="S403">
        <f t="shared" si="977"/>
        <v>-93.904794204431383</v>
      </c>
      <c r="T403">
        <f t="shared" si="978"/>
        <v>-9.3904794204431388E-2</v>
      </c>
    </row>
    <row r="404" spans="1:20" x14ac:dyDescent="0.25">
      <c r="A404" s="5">
        <v>44189</v>
      </c>
      <c r="B404">
        <v>0.46450000000000002</v>
      </c>
      <c r="C404">
        <v>0.57540000000000002</v>
      </c>
      <c r="D404">
        <v>0.42609999999999998</v>
      </c>
      <c r="E404">
        <v>0.50380000000000003</v>
      </c>
      <c r="F404">
        <v>1648333.46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4.0857334226390138E-2</v>
      </c>
      <c r="Q404">
        <f t="shared" si="975"/>
        <v>67346.511091762077</v>
      </c>
      <c r="R404">
        <f t="shared" si="976"/>
        <v>-9110070.0549112242</v>
      </c>
      <c r="S404">
        <f t="shared" si="977"/>
        <v>-91.100700549112247</v>
      </c>
      <c r="T404">
        <f t="shared" si="978"/>
        <v>-9.1100700549112248E-2</v>
      </c>
    </row>
    <row r="405" spans="1:20" x14ac:dyDescent="0.25">
      <c r="A405" s="5">
        <v>44188</v>
      </c>
      <c r="B405">
        <v>0.52490000000000003</v>
      </c>
      <c r="C405">
        <v>0.55200000000000005</v>
      </c>
      <c r="D405">
        <v>0.44790000000000002</v>
      </c>
      <c r="E405">
        <v>0.46360000000000001</v>
      </c>
      <c r="F405">
        <v>667639.30000000005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-0.69836695485110489</v>
      </c>
      <c r="Q405">
        <f t="shared" si="975"/>
        <v>-466257.22487992333</v>
      </c>
      <c r="R405">
        <f t="shared" si="976"/>
        <v>-9177416.5660029855</v>
      </c>
      <c r="S405">
        <f t="shared" si="977"/>
        <v>-91.774165660029851</v>
      </c>
      <c r="T405">
        <f t="shared" si="978"/>
        <v>-9.1774165660029855E-2</v>
      </c>
    </row>
    <row r="406" spans="1:20" x14ac:dyDescent="0.25">
      <c r="A406" s="5">
        <v>44187</v>
      </c>
      <c r="B406">
        <v>0.53739999999999999</v>
      </c>
      <c r="C406">
        <v>0.55620000000000003</v>
      </c>
      <c r="D406">
        <v>0.49980000000000002</v>
      </c>
      <c r="E406">
        <v>0.52500000000000002</v>
      </c>
      <c r="F406">
        <v>406252.67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-0.10638297872340434</v>
      </c>
      <c r="Q406">
        <f t="shared" si="975"/>
        <v>-43218.369148936203</v>
      </c>
      <c r="R406">
        <f t="shared" si="976"/>
        <v>-8711159.3411230613</v>
      </c>
      <c r="S406">
        <f t="shared" si="977"/>
        <v>-87.111593411230615</v>
      </c>
      <c r="T406">
        <f t="shared" si="978"/>
        <v>-8.711159341123062E-2</v>
      </c>
    </row>
    <row r="407" spans="1:20" x14ac:dyDescent="0.25">
      <c r="A407" s="5">
        <v>44186</v>
      </c>
      <c r="B407">
        <v>0.55979999999999996</v>
      </c>
      <c r="C407">
        <v>0.63</v>
      </c>
      <c r="D407">
        <v>0.48670000000000002</v>
      </c>
      <c r="E407">
        <v>0.53920000000000001</v>
      </c>
      <c r="F407">
        <v>2141985.62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-0.26727145847871603</v>
      </c>
      <c r="Q407">
        <f t="shared" si="975"/>
        <v>-572491.62069783686</v>
      </c>
      <c r="R407">
        <f t="shared" si="976"/>
        <v>-8667940.9719741251</v>
      </c>
      <c r="S407">
        <f t="shared" si="977"/>
        <v>-86.679409719741258</v>
      </c>
      <c r="T407">
        <f t="shared" si="978"/>
        <v>-8.6679409719741252E-2</v>
      </c>
    </row>
    <row r="408" spans="1:20" x14ac:dyDescent="0.25">
      <c r="A408" s="5">
        <v>44185</v>
      </c>
      <c r="B408">
        <v>0.60980000000000001</v>
      </c>
      <c r="C408">
        <v>0.61460000000000004</v>
      </c>
      <c r="D408">
        <v>0.54800000000000004</v>
      </c>
      <c r="E408">
        <v>0.55979999999999996</v>
      </c>
      <c r="F408">
        <v>546255.24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-0.64564564564564797</v>
      </c>
      <c r="Q408">
        <f t="shared" si="975"/>
        <v>-352687.31711711839</v>
      </c>
      <c r="R408">
        <f t="shared" si="976"/>
        <v>-8095449.3512762878</v>
      </c>
      <c r="S408">
        <f t="shared" si="977"/>
        <v>-80.95449351276288</v>
      </c>
      <c r="T408">
        <f t="shared" si="978"/>
        <v>-8.0954493512762876E-2</v>
      </c>
    </row>
    <row r="409" spans="1:20" x14ac:dyDescent="0.25">
      <c r="A409" s="5">
        <v>44184</v>
      </c>
      <c r="B409">
        <v>0.57609999999999995</v>
      </c>
      <c r="C409">
        <v>0.62</v>
      </c>
      <c r="D409">
        <v>0.57509999999999994</v>
      </c>
      <c r="E409">
        <v>0.61460000000000004</v>
      </c>
      <c r="F409">
        <v>541253.93999999994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0.75946547884187288</v>
      </c>
      <c r="Q409">
        <f t="shared" si="975"/>
        <v>411063.68271715031</v>
      </c>
      <c r="R409">
        <f t="shared" si="976"/>
        <v>-7742762.0341591695</v>
      </c>
      <c r="S409">
        <f t="shared" si="977"/>
        <v>-77.427620341591691</v>
      </c>
      <c r="T409">
        <f t="shared" si="978"/>
        <v>-7.7427620341591688E-2</v>
      </c>
    </row>
    <row r="410" spans="1:20" x14ac:dyDescent="0.25">
      <c r="A410" s="5">
        <v>44183</v>
      </c>
      <c r="B410">
        <v>0.56850000000000001</v>
      </c>
      <c r="C410">
        <v>0.60950000000000004</v>
      </c>
      <c r="D410">
        <v>0.55069999999999997</v>
      </c>
      <c r="E410">
        <v>0.57620000000000005</v>
      </c>
      <c r="F410">
        <v>415434.72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-0.13265306122448822</v>
      </c>
      <c r="Q410">
        <f t="shared" si="975"/>
        <v>-55108.687346938117</v>
      </c>
      <c r="R410">
        <f t="shared" si="976"/>
        <v>-8153825.7168763196</v>
      </c>
      <c r="S410">
        <f t="shared" si="977"/>
        <v>-81.538257168763195</v>
      </c>
      <c r="T410">
        <f t="shared" si="978"/>
        <v>-8.1538257168763201E-2</v>
      </c>
    </row>
    <row r="411" spans="1:20" x14ac:dyDescent="0.25">
      <c r="A411" s="5">
        <v>44182</v>
      </c>
      <c r="B411">
        <v>0.59670000000000001</v>
      </c>
      <c r="C411">
        <v>0.63</v>
      </c>
      <c r="D411">
        <v>0.56399999999999995</v>
      </c>
      <c r="E411">
        <v>0.56399999999999995</v>
      </c>
      <c r="F411">
        <v>1272659.3500000001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-1</v>
      </c>
      <c r="Q411">
        <f t="shared" si="975"/>
        <v>-1272659.3500000001</v>
      </c>
      <c r="R411">
        <f t="shared" si="976"/>
        <v>-8098717.0295293815</v>
      </c>
      <c r="S411">
        <f t="shared" si="977"/>
        <v>-80.987170295293822</v>
      </c>
      <c r="T411">
        <f t="shared" si="978"/>
        <v>-8.0987170295293828E-2</v>
      </c>
    </row>
    <row r="412" spans="1:20" x14ac:dyDescent="0.25">
      <c r="A412" s="5">
        <v>44181</v>
      </c>
      <c r="B412">
        <v>0.56989999999999996</v>
      </c>
      <c r="C412">
        <v>0.62</v>
      </c>
      <c r="D412">
        <v>0.55010000000000003</v>
      </c>
      <c r="E412">
        <v>0.59670000000000001</v>
      </c>
      <c r="F412">
        <v>1064100.3799999999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0.33333333333333331</v>
      </c>
      <c r="Q412">
        <f t="shared" si="975"/>
        <v>354700.12666666659</v>
      </c>
      <c r="R412">
        <f t="shared" si="976"/>
        <v>-6826057.679529381</v>
      </c>
      <c r="S412">
        <f t="shared" si="977"/>
        <v>-68.260576795293815</v>
      </c>
      <c r="T412">
        <f t="shared" si="978"/>
        <v>-6.826057679529382E-2</v>
      </c>
    </row>
    <row r="413" spans="1:20" x14ac:dyDescent="0.25">
      <c r="A413" s="5">
        <v>44180</v>
      </c>
      <c r="B413">
        <v>0.56459999999999999</v>
      </c>
      <c r="C413">
        <v>0.5766</v>
      </c>
      <c r="D413">
        <v>0.55000000000000004</v>
      </c>
      <c r="E413">
        <v>0.57010000000000005</v>
      </c>
      <c r="F413">
        <v>444007.84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0.51127819548872477</v>
      </c>
      <c r="Q413">
        <f t="shared" si="975"/>
        <v>227011.52721804645</v>
      </c>
      <c r="R413">
        <f t="shared" si="976"/>
        <v>-7180757.8061960479</v>
      </c>
      <c r="S413">
        <f t="shared" si="977"/>
        <v>-71.807578061960484</v>
      </c>
      <c r="T413">
        <f t="shared" si="978"/>
        <v>-7.1807578061960489E-2</v>
      </c>
    </row>
    <row r="414" spans="1:20" x14ac:dyDescent="0.25">
      <c r="A414" s="5">
        <v>44179</v>
      </c>
      <c r="B414">
        <v>0.57620000000000005</v>
      </c>
      <c r="C414">
        <v>0.57620000000000005</v>
      </c>
      <c r="D414">
        <v>0.54479999999999995</v>
      </c>
      <c r="E414">
        <v>0.56430000000000002</v>
      </c>
      <c r="F414">
        <v>284405.59999999998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0.24203821656051044</v>
      </c>
      <c r="Q414">
        <f t="shared" si="975"/>
        <v>68837.0242038219</v>
      </c>
      <c r="R414">
        <f t="shared" si="976"/>
        <v>-7407769.3334140945</v>
      </c>
      <c r="S414">
        <f t="shared" si="977"/>
        <v>-74.077693334140946</v>
      </c>
      <c r="T414">
        <f t="shared" si="978"/>
        <v>-7.4077693334140951E-2</v>
      </c>
    </row>
    <row r="415" spans="1:20" x14ac:dyDescent="0.25">
      <c r="A415" s="5">
        <v>44178</v>
      </c>
      <c r="B415">
        <v>0.5353</v>
      </c>
      <c r="C415">
        <v>0.59899999999999998</v>
      </c>
      <c r="D415">
        <v>0.53190000000000004</v>
      </c>
      <c r="E415">
        <v>0.57599999999999996</v>
      </c>
      <c r="F415">
        <v>731692.05</v>
      </c>
      <c r="G415">
        <v>0</v>
      </c>
      <c r="L415" t="s">
        <v>7</v>
      </c>
      <c r="M415" t="s">
        <v>8</v>
      </c>
      <c r="N415" t="s">
        <v>7</v>
      </c>
      <c r="P415">
        <f t="shared" si="974"/>
        <v>0.31445603576750991</v>
      </c>
      <c r="Q415">
        <f t="shared" si="975"/>
        <v>230084.98144560267</v>
      </c>
      <c r="R415">
        <f t="shared" si="976"/>
        <v>-7476606.3576179165</v>
      </c>
      <c r="S415">
        <f t="shared" si="977"/>
        <v>-74.766063576179164</v>
      </c>
      <c r="T415">
        <f t="shared" si="978"/>
        <v>-7.4766063576179168E-2</v>
      </c>
    </row>
    <row r="416" spans="1:20" x14ac:dyDescent="0.25">
      <c r="A416" s="5">
        <v>44177</v>
      </c>
      <c r="B416">
        <v>0.52810000000000001</v>
      </c>
      <c r="C416">
        <v>0.6</v>
      </c>
      <c r="D416">
        <v>0.52580000000000005</v>
      </c>
      <c r="E416">
        <v>0.53820000000000001</v>
      </c>
      <c r="F416">
        <v>589212.43000000005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-0.66576819407008148</v>
      </c>
      <c r="Q416">
        <f t="shared" si="975"/>
        <v>-392278.89544474432</v>
      </c>
      <c r="R416">
        <f t="shared" si="976"/>
        <v>-7706691.3390635196</v>
      </c>
      <c r="S416">
        <f t="shared" si="977"/>
        <v>-77.066913390635193</v>
      </c>
      <c r="T416">
        <f t="shared" si="978"/>
        <v>-7.7066913390635192E-2</v>
      </c>
    </row>
    <row r="417" spans="1:20" x14ac:dyDescent="0.25">
      <c r="A417" s="5">
        <v>44176</v>
      </c>
      <c r="B417">
        <v>0.53800000000000003</v>
      </c>
      <c r="C417">
        <v>0.54139999999999999</v>
      </c>
      <c r="D417">
        <v>0.50209999999999999</v>
      </c>
      <c r="E417">
        <v>0.5272</v>
      </c>
      <c r="F417">
        <v>320439.75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0.27735368956743056</v>
      </c>
      <c r="Q417">
        <f t="shared" si="975"/>
        <v>88875.146946565059</v>
      </c>
      <c r="R417">
        <f t="shared" si="976"/>
        <v>-7314412.4436187753</v>
      </c>
      <c r="S417">
        <f t="shared" si="977"/>
        <v>-73.144124436187752</v>
      </c>
      <c r="T417">
        <f t="shared" si="978"/>
        <v>-7.3144124436187757E-2</v>
      </c>
    </row>
    <row r="418" spans="1:20" x14ac:dyDescent="0.25">
      <c r="A418" s="5">
        <v>44175</v>
      </c>
      <c r="B418">
        <v>0.58009999999999995</v>
      </c>
      <c r="C418">
        <v>0.58420000000000005</v>
      </c>
      <c r="D418">
        <v>0.53029999999999999</v>
      </c>
      <c r="E418">
        <v>0.53990000000000005</v>
      </c>
      <c r="F418">
        <v>266695.95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-0.64378478664192795</v>
      </c>
      <c r="Q418">
        <f t="shared" si="975"/>
        <v>-171694.79526901629</v>
      </c>
      <c r="R418">
        <f t="shared" si="976"/>
        <v>-7403287.5905653406</v>
      </c>
      <c r="S418">
        <f t="shared" si="977"/>
        <v>-74.032875905653412</v>
      </c>
      <c r="T418">
        <f t="shared" si="978"/>
        <v>-7.4032875905653411E-2</v>
      </c>
    </row>
    <row r="419" spans="1:20" x14ac:dyDescent="0.25">
      <c r="A419" s="5">
        <v>44174</v>
      </c>
      <c r="B419">
        <v>0.56399999999999995</v>
      </c>
      <c r="C419">
        <v>0.60089999999999999</v>
      </c>
      <c r="D419">
        <v>0.52669999999999995</v>
      </c>
      <c r="E419">
        <v>0.58189999999999997</v>
      </c>
      <c r="F419">
        <v>584862.86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0.48787061994609149</v>
      </c>
      <c r="Q419">
        <f t="shared" si="975"/>
        <v>285337.40609164408</v>
      </c>
      <c r="R419">
        <f t="shared" si="976"/>
        <v>-7231592.7952963244</v>
      </c>
      <c r="S419">
        <f t="shared" si="977"/>
        <v>-72.31592795296325</v>
      </c>
      <c r="T419">
        <f t="shared" si="978"/>
        <v>-7.2315927952963252E-2</v>
      </c>
    </row>
    <row r="420" spans="1:20" x14ac:dyDescent="0.25">
      <c r="A420" s="5">
        <v>44173</v>
      </c>
      <c r="B420">
        <v>0.62529999999999997</v>
      </c>
      <c r="C420">
        <v>0.64500000000000002</v>
      </c>
      <c r="D420">
        <v>0.5444</v>
      </c>
      <c r="E420">
        <v>0.56399999999999995</v>
      </c>
      <c r="F420">
        <v>1962863.35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-0.61033797216699903</v>
      </c>
      <c r="Q420">
        <f t="shared" si="975"/>
        <v>-1198010.0366799226</v>
      </c>
      <c r="R420">
        <f t="shared" si="976"/>
        <v>-7516930.2013879688</v>
      </c>
      <c r="S420">
        <f t="shared" si="977"/>
        <v>-75.169302013879687</v>
      </c>
      <c r="T420">
        <f t="shared" si="978"/>
        <v>-7.5169302013879682E-2</v>
      </c>
    </row>
    <row r="421" spans="1:20" x14ac:dyDescent="0.25">
      <c r="A421" s="5">
        <v>44172</v>
      </c>
      <c r="B421">
        <v>0.53759999999999997</v>
      </c>
      <c r="C421">
        <v>0.68</v>
      </c>
      <c r="D421">
        <v>0.53610000000000002</v>
      </c>
      <c r="E421">
        <v>0.62529999999999997</v>
      </c>
      <c r="F421">
        <v>3804251.69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0.23974982626824085</v>
      </c>
      <c r="Q421">
        <f t="shared" si="975"/>
        <v>912068.68175816163</v>
      </c>
      <c r="R421">
        <f t="shared" si="976"/>
        <v>-6318920.1647080462</v>
      </c>
      <c r="S421">
        <f t="shared" si="977"/>
        <v>-63.189201647080459</v>
      </c>
      <c r="T421">
        <f t="shared" si="978"/>
        <v>-6.3189201647080459E-2</v>
      </c>
    </row>
    <row r="422" spans="1:20" x14ac:dyDescent="0.25">
      <c r="A422" s="5">
        <v>44171</v>
      </c>
      <c r="B422">
        <v>0.55310000000000004</v>
      </c>
      <c r="C422">
        <v>0.55759999999999998</v>
      </c>
      <c r="D422">
        <v>0.52390000000000003</v>
      </c>
      <c r="E422">
        <v>0.5363</v>
      </c>
      <c r="F422">
        <v>249244.95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-0.2640949554896152</v>
      </c>
      <c r="Q422">
        <f t="shared" si="975"/>
        <v>-65824.333976261376</v>
      </c>
      <c r="R422">
        <f t="shared" si="976"/>
        <v>-7230988.8464662079</v>
      </c>
      <c r="S422">
        <f t="shared" si="977"/>
        <v>-72.30988846466208</v>
      </c>
      <c r="T422">
        <f t="shared" si="978"/>
        <v>-7.2309888464662075E-2</v>
      </c>
    </row>
    <row r="423" spans="1:20" x14ac:dyDescent="0.25">
      <c r="A423" s="5">
        <v>44170</v>
      </c>
      <c r="B423">
        <v>0.52</v>
      </c>
      <c r="C423">
        <v>0.56589999999999996</v>
      </c>
      <c r="D423">
        <v>0.51939999999999997</v>
      </c>
      <c r="E423">
        <v>0.55279999999999996</v>
      </c>
      <c r="F423">
        <v>519406.55</v>
      </c>
      <c r="G423">
        <v>0</v>
      </c>
      <c r="L423" t="s">
        <v>8</v>
      </c>
      <c r="M423" t="s">
        <v>7</v>
      </c>
      <c r="N423" t="s">
        <v>7</v>
      </c>
      <c r="P423">
        <f t="shared" si="974"/>
        <v>0.43655913978494604</v>
      </c>
      <c r="Q423">
        <f t="shared" si="975"/>
        <v>226751.67666666655</v>
      </c>
      <c r="R423">
        <f t="shared" si="976"/>
        <v>-7165164.5124899466</v>
      </c>
      <c r="S423">
        <f t="shared" si="977"/>
        <v>-71.65164512489946</v>
      </c>
      <c r="T423">
        <f t="shared" si="978"/>
        <v>-7.1651645124899466E-2</v>
      </c>
    </row>
    <row r="424" spans="1:20" x14ac:dyDescent="0.25">
      <c r="A424" s="5">
        <v>44169</v>
      </c>
      <c r="B424">
        <v>0.58950000000000002</v>
      </c>
      <c r="C424">
        <v>0.6</v>
      </c>
      <c r="D424">
        <v>0.51780000000000004</v>
      </c>
      <c r="E424">
        <v>0.52239999999999998</v>
      </c>
      <c r="F424">
        <v>718462.08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-0.88807785888078006</v>
      </c>
      <c r="Q424">
        <f t="shared" si="975"/>
        <v>-638050.26569343172</v>
      </c>
      <c r="R424">
        <f t="shared" si="976"/>
        <v>-7391916.1891566133</v>
      </c>
      <c r="S424">
        <f t="shared" si="977"/>
        <v>-73.919161891566134</v>
      </c>
      <c r="T424">
        <f t="shared" si="978"/>
        <v>-7.3919161891566137E-2</v>
      </c>
    </row>
    <row r="425" spans="1:20" x14ac:dyDescent="0.25">
      <c r="A425" s="5">
        <v>44168</v>
      </c>
      <c r="B425">
        <v>0.61080000000000001</v>
      </c>
      <c r="C425">
        <v>0.61819999999999997</v>
      </c>
      <c r="D425">
        <v>0.57099999999999995</v>
      </c>
      <c r="E425">
        <v>0.58940000000000003</v>
      </c>
      <c r="F425">
        <v>760438.42</v>
      </c>
      <c r="G425">
        <v>0</v>
      </c>
      <c r="L425" t="s">
        <v>7</v>
      </c>
      <c r="M425" t="s">
        <v>7</v>
      </c>
      <c r="N425" t="s">
        <v>7</v>
      </c>
      <c r="P425">
        <f t="shared" si="974"/>
        <v>-0.22033898305084426</v>
      </c>
      <c r="Q425">
        <f t="shared" si="975"/>
        <v>-167554.22813559079</v>
      </c>
      <c r="R425">
        <f t="shared" si="976"/>
        <v>-6753865.9234631816</v>
      </c>
      <c r="S425">
        <f t="shared" si="977"/>
        <v>-67.538659234631822</v>
      </c>
      <c r="T425">
        <f t="shared" si="978"/>
        <v>-6.7538659234631829E-2</v>
      </c>
    </row>
    <row r="426" spans="1:20" x14ac:dyDescent="0.25">
      <c r="A426" s="5">
        <v>44167</v>
      </c>
      <c r="B426">
        <v>0.59470000000000001</v>
      </c>
      <c r="C426">
        <v>0.64800000000000002</v>
      </c>
      <c r="D426">
        <v>0.58540000000000003</v>
      </c>
      <c r="E426">
        <v>0.61060000000000003</v>
      </c>
      <c r="F426">
        <v>597495.66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-0.19488817891373786</v>
      </c>
      <c r="Q426">
        <f t="shared" si="975"/>
        <v>-116444.84108626189</v>
      </c>
      <c r="R426">
        <f t="shared" si="976"/>
        <v>-6586311.6953275912</v>
      </c>
      <c r="S426">
        <f t="shared" si="977"/>
        <v>-65.863116953275906</v>
      </c>
      <c r="T426">
        <f t="shared" si="978"/>
        <v>-6.5863116953275902E-2</v>
      </c>
    </row>
    <row r="427" spans="1:20" x14ac:dyDescent="0.25">
      <c r="A427" s="5">
        <v>44166</v>
      </c>
      <c r="B427">
        <v>0.63660000000000005</v>
      </c>
      <c r="C427">
        <v>0.63660000000000005</v>
      </c>
      <c r="D427">
        <v>0.56120000000000003</v>
      </c>
      <c r="E427">
        <v>0.60050000000000003</v>
      </c>
      <c r="F427">
        <v>1291510.8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4.2440318302386995E-2</v>
      </c>
      <c r="Q427">
        <f t="shared" si="975"/>
        <v>54812.129442970472</v>
      </c>
      <c r="R427">
        <f t="shared" si="976"/>
        <v>-6469866.8542413292</v>
      </c>
      <c r="S427">
        <f t="shared" si="977"/>
        <v>-64.698668542413287</v>
      </c>
      <c r="T427">
        <f t="shared" si="978"/>
        <v>-6.4698668542413282E-2</v>
      </c>
    </row>
    <row r="428" spans="1:20" x14ac:dyDescent="0.25">
      <c r="A428" s="5">
        <v>44165</v>
      </c>
      <c r="B428">
        <v>0.65810000000000002</v>
      </c>
      <c r="C428">
        <v>0.68</v>
      </c>
      <c r="D428">
        <v>0.61850000000000005</v>
      </c>
      <c r="E428">
        <v>0.63660000000000005</v>
      </c>
      <c r="F428">
        <v>965664.46</v>
      </c>
      <c r="G428">
        <v>0</v>
      </c>
      <c r="L428" t="s">
        <v>7</v>
      </c>
      <c r="M428" t="s">
        <v>7</v>
      </c>
      <c r="N428" t="s">
        <v>8</v>
      </c>
      <c r="P428">
        <f t="shared" si="974"/>
        <v>-0.41138211382113804</v>
      </c>
      <c r="Q428">
        <f t="shared" si="975"/>
        <v>-397257.08679674781</v>
      </c>
      <c r="R428">
        <f t="shared" si="976"/>
        <v>-6524678.9836842995</v>
      </c>
      <c r="S428">
        <f t="shared" si="977"/>
        <v>-65.246789836842993</v>
      </c>
      <c r="T428">
        <f t="shared" si="978"/>
        <v>-6.5246789836842997E-2</v>
      </c>
    </row>
    <row r="429" spans="1:20" x14ac:dyDescent="0.25">
      <c r="A429" s="5">
        <v>44164</v>
      </c>
      <c r="B429">
        <v>0.65649999999999997</v>
      </c>
      <c r="C429">
        <v>0.69420000000000004</v>
      </c>
      <c r="D429">
        <v>0.63970000000000005</v>
      </c>
      <c r="E429">
        <v>0.65800000000000003</v>
      </c>
      <c r="F429">
        <v>1255140.05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-0.32844036697247758</v>
      </c>
      <c r="Q429">
        <f t="shared" si="975"/>
        <v>-412238.65862385387</v>
      </c>
      <c r="R429">
        <f t="shared" si="976"/>
        <v>-6127421.896887552</v>
      </c>
      <c r="S429">
        <f t="shared" si="977"/>
        <v>-61.274218968875523</v>
      </c>
      <c r="T429">
        <f t="shared" si="978"/>
        <v>-6.127421896887552E-2</v>
      </c>
    </row>
    <row r="430" spans="1:20" x14ac:dyDescent="0.25">
      <c r="A430" s="5">
        <v>44163</v>
      </c>
      <c r="B430">
        <v>0.69199999999999995</v>
      </c>
      <c r="C430">
        <v>0.78</v>
      </c>
      <c r="D430">
        <v>0.6431</v>
      </c>
      <c r="E430">
        <v>0.65859999999999996</v>
      </c>
      <c r="F430">
        <v>3514983.18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-0.77355734112490937</v>
      </c>
      <c r="Q430">
        <f t="shared" si="975"/>
        <v>-2719041.0428195787</v>
      </c>
      <c r="R430">
        <f t="shared" si="976"/>
        <v>-5715183.2382636983</v>
      </c>
      <c r="S430">
        <f t="shared" si="977"/>
        <v>-57.151832382636982</v>
      </c>
      <c r="T430">
        <f t="shared" si="978"/>
        <v>-5.7151832382636984E-2</v>
      </c>
    </row>
    <row r="431" spans="1:20" x14ac:dyDescent="0.25">
      <c r="A431" s="5">
        <v>44162</v>
      </c>
      <c r="B431">
        <v>0.57630000000000003</v>
      </c>
      <c r="C431">
        <v>0.74880000000000002</v>
      </c>
      <c r="D431">
        <v>0.57630000000000003</v>
      </c>
      <c r="E431">
        <v>0.69220000000000004</v>
      </c>
      <c r="F431">
        <v>5049695.95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0.34376811594202911</v>
      </c>
      <c r="Q431">
        <f t="shared" si="975"/>
        <v>1735924.4628115948</v>
      </c>
      <c r="R431">
        <f t="shared" si="976"/>
        <v>-2996142.1954441192</v>
      </c>
      <c r="S431">
        <f t="shared" si="977"/>
        <v>-29.961421954441192</v>
      </c>
      <c r="T431">
        <f t="shared" si="978"/>
        <v>-2.9961421954441191E-2</v>
      </c>
    </row>
    <row r="432" spans="1:20" x14ac:dyDescent="0.25">
      <c r="A432" s="5">
        <v>44161</v>
      </c>
      <c r="B432">
        <v>0.63029999999999997</v>
      </c>
      <c r="C432">
        <v>0.66869999999999996</v>
      </c>
      <c r="D432">
        <v>0.44669999999999999</v>
      </c>
      <c r="E432">
        <v>0.57630000000000003</v>
      </c>
      <c r="F432">
        <v>4883834.4400000004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0.16756756756756813</v>
      </c>
      <c r="Q432">
        <f t="shared" si="975"/>
        <v>818372.25751351635</v>
      </c>
      <c r="R432">
        <f t="shared" si="976"/>
        <v>-4732066.658255714</v>
      </c>
      <c r="S432">
        <f t="shared" si="977"/>
        <v>-47.320666582557138</v>
      </c>
      <c r="T432">
        <f t="shared" si="978"/>
        <v>-4.7320666582557139E-2</v>
      </c>
    </row>
    <row r="433" spans="1:20" x14ac:dyDescent="0.25">
      <c r="A433" s="5">
        <v>44160</v>
      </c>
      <c r="B433">
        <v>0.52310000000000001</v>
      </c>
      <c r="C433">
        <v>0.8478</v>
      </c>
      <c r="D433">
        <v>0.51539999999999997</v>
      </c>
      <c r="E433">
        <v>0.62890000000000001</v>
      </c>
      <c r="F433">
        <v>15635857.27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-0.3170878459687122</v>
      </c>
      <c r="Q433">
        <f t="shared" si="975"/>
        <v>-4957940.3016185286</v>
      </c>
      <c r="R433">
        <f t="shared" si="976"/>
        <v>-5550438.9157692306</v>
      </c>
      <c r="S433">
        <f t="shared" si="977"/>
        <v>-55.504389157692309</v>
      </c>
      <c r="T433">
        <f t="shared" si="978"/>
        <v>-5.5504389157692312E-2</v>
      </c>
    </row>
    <row r="434" spans="1:20" x14ac:dyDescent="0.25">
      <c r="A434" s="5">
        <v>44159</v>
      </c>
      <c r="B434">
        <v>0.40629999999999999</v>
      </c>
      <c r="C434">
        <v>0.54949999999999999</v>
      </c>
      <c r="D434">
        <v>0.40300000000000002</v>
      </c>
      <c r="E434">
        <v>0.52310000000000001</v>
      </c>
      <c r="F434">
        <v>2325636.66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0.63959044368600704</v>
      </c>
      <c r="Q434">
        <f t="shared" si="975"/>
        <v>1487454.9832218436</v>
      </c>
      <c r="R434">
        <f t="shared" si="976"/>
        <v>-592498.61415070225</v>
      </c>
      <c r="S434">
        <f t="shared" si="977"/>
        <v>-5.9249861415070226</v>
      </c>
      <c r="T434">
        <f t="shared" si="978"/>
        <v>-5.9249861415070224E-3</v>
      </c>
    </row>
    <row r="435" spans="1:20" x14ac:dyDescent="0.25">
      <c r="A435" s="5">
        <v>44158</v>
      </c>
      <c r="B435">
        <v>0.38379999999999997</v>
      </c>
      <c r="C435">
        <v>0.4138</v>
      </c>
      <c r="D435">
        <v>0.38</v>
      </c>
      <c r="E435">
        <v>0.40639999999999998</v>
      </c>
      <c r="F435">
        <v>675956.62</v>
      </c>
      <c r="G435">
        <v>0</v>
      </c>
      <c r="L435" t="s">
        <v>8</v>
      </c>
      <c r="M435" t="s">
        <v>7</v>
      </c>
      <c r="N435" t="s">
        <v>7</v>
      </c>
      <c r="P435">
        <f t="shared" si="974"/>
        <v>0.56213017751479177</v>
      </c>
      <c r="Q435">
        <f t="shared" si="975"/>
        <v>379975.61479289865</v>
      </c>
      <c r="R435">
        <f t="shared" si="976"/>
        <v>-2079953.5973725459</v>
      </c>
      <c r="S435">
        <f t="shared" si="977"/>
        <v>-20.799535973725458</v>
      </c>
      <c r="T435">
        <f t="shared" si="978"/>
        <v>-2.0799535973725459E-2</v>
      </c>
    </row>
    <row r="436" spans="1:20" x14ac:dyDescent="0.25">
      <c r="A436" s="5">
        <v>44157</v>
      </c>
      <c r="B436">
        <v>0.39419999999999999</v>
      </c>
      <c r="C436">
        <v>0.41099999999999998</v>
      </c>
      <c r="D436">
        <v>0.37290000000000001</v>
      </c>
      <c r="E436">
        <v>0.38379999999999997</v>
      </c>
      <c r="F436">
        <v>444593.99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-0.4278215223097126</v>
      </c>
      <c r="Q436">
        <f t="shared" si="975"/>
        <v>-190206.87761154913</v>
      </c>
      <c r="R436">
        <f t="shared" si="976"/>
        <v>-2459929.2121654446</v>
      </c>
      <c r="S436">
        <f t="shared" si="977"/>
        <v>-24.599292121654447</v>
      </c>
      <c r="T436">
        <f t="shared" si="978"/>
        <v>-2.4599292121654445E-2</v>
      </c>
    </row>
    <row r="437" spans="1:20" x14ac:dyDescent="0.25">
      <c r="A437" s="5">
        <v>44156</v>
      </c>
      <c r="B437">
        <v>0.4017</v>
      </c>
      <c r="C437">
        <v>0.42270000000000002</v>
      </c>
      <c r="D437">
        <v>0.38550000000000001</v>
      </c>
      <c r="E437">
        <v>0.39419999999999999</v>
      </c>
      <c r="F437">
        <v>979207.71</v>
      </c>
      <c r="G437">
        <v>0</v>
      </c>
      <c r="L437" t="s">
        <v>7</v>
      </c>
      <c r="M437" t="s">
        <v>7</v>
      </c>
      <c r="N437" t="s">
        <v>7</v>
      </c>
      <c r="P437">
        <f t="shared" si="974"/>
        <v>-0.53225806451612989</v>
      </c>
      <c r="Q437">
        <f t="shared" si="975"/>
        <v>-521191.2004838718</v>
      </c>
      <c r="R437">
        <f t="shared" si="976"/>
        <v>-2269722.3345538955</v>
      </c>
      <c r="S437">
        <f t="shared" si="977"/>
        <v>-22.697223345538955</v>
      </c>
      <c r="T437">
        <f t="shared" si="978"/>
        <v>-2.2697223345538954E-2</v>
      </c>
    </row>
    <row r="438" spans="1:20" x14ac:dyDescent="0.25">
      <c r="A438" s="5">
        <v>44155</v>
      </c>
      <c r="B438">
        <v>0.40579999999999999</v>
      </c>
      <c r="C438">
        <v>0.42409999999999998</v>
      </c>
      <c r="D438">
        <v>0.39329999999999998</v>
      </c>
      <c r="E438">
        <v>0.4017</v>
      </c>
      <c r="F438">
        <v>597097.65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-0.45454545454545325</v>
      </c>
      <c r="Q438">
        <f t="shared" si="975"/>
        <v>-271408.02272727195</v>
      </c>
      <c r="R438">
        <f t="shared" si="976"/>
        <v>-1748531.1340700239</v>
      </c>
      <c r="S438">
        <f t="shared" si="977"/>
        <v>-17.485311340700239</v>
      </c>
      <c r="T438">
        <f t="shared" si="978"/>
        <v>-1.7485311340700239E-2</v>
      </c>
    </row>
    <row r="439" spans="1:20" x14ac:dyDescent="0.25">
      <c r="A439" s="5">
        <v>44154</v>
      </c>
      <c r="B439">
        <v>0.43309999999999998</v>
      </c>
      <c r="C439">
        <v>0.46</v>
      </c>
      <c r="D439">
        <v>0.39350000000000002</v>
      </c>
      <c r="E439">
        <v>0.40610000000000002</v>
      </c>
      <c r="F439">
        <v>938459.09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-0.62105263157894741</v>
      </c>
      <c r="Q439">
        <f t="shared" si="975"/>
        <v>-582832.48747368425</v>
      </c>
      <c r="R439">
        <f t="shared" si="976"/>
        <v>-1477123.1113427519</v>
      </c>
      <c r="S439">
        <f t="shared" si="977"/>
        <v>-14.771231113427518</v>
      </c>
      <c r="T439">
        <f t="shared" si="978"/>
        <v>-1.4771231113427518E-2</v>
      </c>
    </row>
    <row r="440" spans="1:20" x14ac:dyDescent="0.25">
      <c r="A440" s="5">
        <v>44153</v>
      </c>
      <c r="B440">
        <v>0.4904</v>
      </c>
      <c r="C440">
        <v>0.61799999999999999</v>
      </c>
      <c r="D440">
        <v>0.32929999999999998</v>
      </c>
      <c r="E440">
        <v>0.43230000000000002</v>
      </c>
      <c r="F440">
        <v>3121906.93</v>
      </c>
      <c r="G440">
        <v>0</v>
      </c>
      <c r="P440">
        <f t="shared" si="974"/>
        <v>-0.28645652926913728</v>
      </c>
      <c r="Q440">
        <f t="shared" si="975"/>
        <v>-894290.62386906752</v>
      </c>
      <c r="R440">
        <f t="shared" si="976"/>
        <v>-894290.62386906752</v>
      </c>
      <c r="S440">
        <f t="shared" si="977"/>
        <v>-8.942906238690675</v>
      </c>
      <c r="T440">
        <f t="shared" si="978"/>
        <v>-8.9429062386906753E-3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HZ591" sqref="HZ59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$A$590</v>
      </c>
      <c r="D111" s="1" t="str">
        <f>ADDRESS(C121-1,D121,1,1)</f>
        <v>$HZ$590</v>
      </c>
      <c r="E111"/>
    </row>
    <row r="112" spans="1:5" x14ac:dyDescent="0.25">
      <c r="A112" s="7">
        <v>12164.144957890772</v>
      </c>
      <c r="C112" s="1" t="str">
        <f>ADDRESS(C121,1,1,1)</f>
        <v>$A$591</v>
      </c>
      <c r="D112" s="1" t="str">
        <f>ADDRESS(C121,D121-1,1,1)</f>
        <v>$HY$591</v>
      </c>
      <c r="E112"/>
    </row>
    <row r="113" spans="1:5" x14ac:dyDescent="0.25">
      <c r="A113" s="7">
        <v>11925.63231165762</v>
      </c>
      <c r="C113" s="1" t="str">
        <f>ADDRESS(C121+1,1,1,1)</f>
        <v>$A$592</v>
      </c>
      <c r="D113" s="1" t="str">
        <f>ADDRESS(C121-1,D121+1,1,1)</f>
        <v>$IA$590</v>
      </c>
    </row>
    <row r="114" spans="1:5" x14ac:dyDescent="0.25">
      <c r="A114" s="7">
        <v>11691.796383978059</v>
      </c>
      <c r="C114" s="1" t="str">
        <f>ADDRESS(C121,D121,1,1)</f>
        <v>$HZ$591</v>
      </c>
      <c r="D114" s="1" t="str">
        <f>ADDRESS(C121+1,D121+1,1,1)</f>
        <v>$IA$592</v>
      </c>
    </row>
    <row r="115" spans="1:5" x14ac:dyDescent="0.25">
      <c r="A115" s="7">
        <v>11462.545474488292</v>
      </c>
      <c r="C115" s="1" t="str">
        <f>ADDRESS(C121+1,D121,1,1)</f>
        <v>$HZ$592</v>
      </c>
    </row>
    <row r="116" spans="1:5" x14ac:dyDescent="0.25">
      <c r="A116" s="7">
        <v>11237.789680870874</v>
      </c>
      <c r="C116" s="1">
        <f>C117-1</f>
        <v>590</v>
      </c>
    </row>
    <row r="117" spans="1:5" x14ac:dyDescent="0.25">
      <c r="A117" s="7">
        <v>11017.440863598895</v>
      </c>
      <c r="C117" s="1">
        <f>C121</f>
        <v>591</v>
      </c>
      <c r="D117" s="1">
        <f>D121</f>
        <v>234</v>
      </c>
    </row>
    <row r="118" spans="1:5" x14ac:dyDescent="0.25">
      <c r="A118" s="7">
        <v>10801.412611371465</v>
      </c>
      <c r="C118" s="1">
        <f>C117+1</f>
        <v>592</v>
      </c>
      <c r="D118" s="1">
        <f>D117+1</f>
        <v>235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591</v>
      </c>
      <c r="D121" s="19">
        <v>234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R591</v>
      </c>
      <c r="D123" s="1" t="str">
        <f>"C"&amp;D121</f>
        <v>C234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0.92384542602651432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110" x14ac:dyDescent="0.25">
      <c r="A497" s="7">
        <v>5.9431331263054545</v>
      </c>
      <c r="B497"/>
      <c r="C497"/>
      <c r="D497"/>
      <c r="E497"/>
    </row>
    <row r="498" spans="1:110" x14ac:dyDescent="0.25">
      <c r="A498" s="7">
        <v>5.8266011042210337</v>
      </c>
      <c r="B498"/>
      <c r="C498"/>
      <c r="D498"/>
      <c r="E498"/>
    </row>
    <row r="499" spans="1:110" x14ac:dyDescent="0.25">
      <c r="A499" s="7">
        <v>5.7123540237461112</v>
      </c>
      <c r="B499"/>
      <c r="C499"/>
      <c r="D499"/>
      <c r="E499"/>
    </row>
    <row r="500" spans="1:110" x14ac:dyDescent="0.25">
      <c r="A500" s="7">
        <v>5.6003470821040304</v>
      </c>
      <c r="B500"/>
      <c r="C500"/>
      <c r="D500"/>
      <c r="E500"/>
    </row>
    <row r="501" spans="1:110" x14ac:dyDescent="0.25">
      <c r="A501" s="7">
        <v>5.4905363550039512</v>
      </c>
      <c r="B501"/>
      <c r="C501"/>
      <c r="D501"/>
      <c r="E501"/>
    </row>
    <row r="502" spans="1:110" x14ac:dyDescent="0.25">
      <c r="A502" s="7">
        <v>5.3828787794156385</v>
      </c>
      <c r="B502"/>
      <c r="C502"/>
      <c r="D502"/>
      <c r="E502"/>
    </row>
    <row r="503" spans="1:110" x14ac:dyDescent="0.25">
      <c r="A503" s="7">
        <v>5.2773321366819985</v>
      </c>
      <c r="B503"/>
      <c r="C503"/>
      <c r="D503"/>
      <c r="E503"/>
    </row>
    <row r="504" spans="1:110" x14ac:dyDescent="0.25">
      <c r="A504" s="7">
        <v>5.1738550359627435</v>
      </c>
      <c r="B504"/>
      <c r="C504"/>
      <c r="D504"/>
      <c r="E504"/>
    </row>
    <row r="505" spans="1:110" x14ac:dyDescent="0.25">
      <c r="A505" s="7">
        <v>5.07240689800269</v>
      </c>
      <c r="B505"/>
      <c r="C505"/>
      <c r="D505"/>
      <c r="E505"/>
    </row>
    <row r="506" spans="1:110" x14ac:dyDescent="0.25">
      <c r="A506" s="7">
        <v>4.9729479392183231</v>
      </c>
      <c r="B506"/>
      <c r="C506"/>
      <c r="D506"/>
      <c r="E506"/>
    </row>
    <row r="507" spans="1:110" x14ac:dyDescent="0.25">
      <c r="A507" s="7">
        <v>4.8754391560963954</v>
      </c>
      <c r="B507"/>
      <c r="C507"/>
      <c r="D507"/>
      <c r="E507"/>
    </row>
    <row r="508" spans="1:110" x14ac:dyDescent="0.25">
      <c r="A508" s="7">
        <v>4.7798423098984264</v>
      </c>
      <c r="B508"/>
      <c r="C508"/>
      <c r="D508"/>
      <c r="E508"/>
    </row>
    <row r="509" spans="1:110" x14ac:dyDescent="0.25">
      <c r="A509" s="7">
        <v>4.6861199116651235</v>
      </c>
      <c r="B509"/>
      <c r="C509"/>
      <c r="D509"/>
      <c r="E509"/>
    </row>
    <row r="510" spans="1:110" x14ac:dyDescent="0.25">
      <c r="A510" s="7">
        <v>4.5942352075148269</v>
      </c>
      <c r="B510"/>
      <c r="C510"/>
      <c r="D510"/>
      <c r="E510"/>
    </row>
    <row r="511" spans="1:110" x14ac:dyDescent="0.25">
      <c r="A511" s="7">
        <v>4.5041521642302227</v>
      </c>
      <c r="B511"/>
      <c r="C511"/>
      <c r="D511"/>
      <c r="E511"/>
      <c r="DE511" s="27" t="s">
        <v>8</v>
      </c>
    </row>
    <row r="512" spans="1:110" x14ac:dyDescent="0.25">
      <c r="A512" s="7">
        <v>4.4158354551276693</v>
      </c>
      <c r="B512"/>
      <c r="C512"/>
      <c r="D512"/>
      <c r="E512"/>
      <c r="DE512" s="27" t="s">
        <v>8</v>
      </c>
      <c r="DF512" s="27" t="s">
        <v>7</v>
      </c>
    </row>
    <row r="513" spans="1:165" x14ac:dyDescent="0.25">
      <c r="A513" s="7">
        <v>4.3292504462035977</v>
      </c>
      <c r="B513"/>
      <c r="C513"/>
      <c r="D513"/>
      <c r="E513"/>
      <c r="DE513" s="27" t="s">
        <v>8</v>
      </c>
      <c r="DF513" s="27" t="s">
        <v>7</v>
      </c>
    </row>
    <row r="514" spans="1:165" x14ac:dyDescent="0.25">
      <c r="A514" s="7">
        <v>4.2443631825525463</v>
      </c>
      <c r="B514"/>
      <c r="C514"/>
      <c r="D514"/>
      <c r="E514"/>
      <c r="DE514" s="27" t="s">
        <v>8</v>
      </c>
      <c r="DF514" s="27" t="s">
        <v>7</v>
      </c>
    </row>
    <row r="515" spans="1:165" x14ac:dyDescent="0.25">
      <c r="A515" s="7">
        <v>4.1611403750515157</v>
      </c>
      <c r="B515"/>
      <c r="C515"/>
      <c r="D515"/>
      <c r="E515"/>
      <c r="DE515" s="27" t="s">
        <v>8</v>
      </c>
      <c r="DF515" s="27" t="s">
        <v>7</v>
      </c>
    </row>
    <row r="516" spans="1:165" x14ac:dyDescent="0.25">
      <c r="A516" s="7">
        <v>4.0795493873054074</v>
      </c>
      <c r="B516"/>
      <c r="C516"/>
      <c r="D516"/>
      <c r="E516"/>
      <c r="DE516" s="27" t="s">
        <v>8</v>
      </c>
      <c r="DF516" s="27" t="s">
        <v>7</v>
      </c>
    </row>
    <row r="517" spans="1:165" x14ac:dyDescent="0.25">
      <c r="A517" s="7">
        <v>3.9995582228484383</v>
      </c>
      <c r="B517"/>
      <c r="C517"/>
      <c r="D517"/>
      <c r="E517"/>
      <c r="DE517" s="27" t="s">
        <v>8</v>
      </c>
      <c r="DF517" s="27" t="s">
        <v>7</v>
      </c>
    </row>
    <row r="518" spans="1:165" x14ac:dyDescent="0.25">
      <c r="A518" s="7">
        <v>3.9211355125965079</v>
      </c>
      <c r="B518"/>
      <c r="C518"/>
      <c r="D518"/>
      <c r="E518"/>
      <c r="DE518" s="27" t="s">
        <v>8</v>
      </c>
      <c r="DF518" s="27" t="s">
        <v>7</v>
      </c>
    </row>
    <row r="519" spans="1:165" x14ac:dyDescent="0.25">
      <c r="A519" s="7">
        <v>3.844250502545596</v>
      </c>
      <c r="B519"/>
      <c r="C519"/>
      <c r="D519"/>
      <c r="E519"/>
      <c r="DE519" s="27" t="s">
        <v>8</v>
      </c>
      <c r="DF519" s="27" t="s">
        <v>7</v>
      </c>
    </row>
    <row r="520" spans="1:165" x14ac:dyDescent="0.25">
      <c r="A520" s="7">
        <v>3.7688730417113687</v>
      </c>
      <c r="B520"/>
      <c r="C520"/>
      <c r="D520"/>
      <c r="E520"/>
      <c r="DE520" s="27" t="s">
        <v>8</v>
      </c>
      <c r="DF520" s="27" t="s">
        <v>7</v>
      </c>
    </row>
    <row r="521" spans="1:165" x14ac:dyDescent="0.25">
      <c r="A521" s="7">
        <v>3.6949735703052635</v>
      </c>
      <c r="B521"/>
      <c r="C521"/>
      <c r="D521"/>
      <c r="E521"/>
      <c r="DE521" s="27" t="s">
        <v>8</v>
      </c>
      <c r="DF521" s="27" t="s">
        <v>7</v>
      </c>
    </row>
    <row r="522" spans="1:165" x14ac:dyDescent="0.25">
      <c r="A522" s="7">
        <v>3.6225231081424152</v>
      </c>
      <c r="B522"/>
      <c r="C522"/>
      <c r="D522"/>
      <c r="E522"/>
      <c r="DE522" s="27" t="s">
        <v>8</v>
      </c>
      <c r="DF522" s="27" t="s">
        <v>7</v>
      </c>
    </row>
    <row r="523" spans="1:165" x14ac:dyDescent="0.25">
      <c r="A523" s="7">
        <v>3.5514932432768775</v>
      </c>
      <c r="B523"/>
      <c r="C523"/>
      <c r="D523"/>
      <c r="E523"/>
      <c r="DA523" s="27" t="s">
        <v>8</v>
      </c>
      <c r="DE523" s="27" t="s">
        <v>8</v>
      </c>
      <c r="DF523" s="27" t="s">
        <v>7</v>
      </c>
    </row>
    <row r="524" spans="1:165" x14ac:dyDescent="0.25">
      <c r="A524" s="7">
        <v>3.4818561208596837</v>
      </c>
      <c r="B524"/>
      <c r="C524"/>
      <c r="D524"/>
      <c r="E524"/>
      <c r="DA524" s="27" t="s">
        <v>8</v>
      </c>
      <c r="DB524" s="27" t="s">
        <v>7</v>
      </c>
      <c r="DC524" s="27" t="s">
        <v>8</v>
      </c>
      <c r="DE524" s="27" t="s">
        <v>8</v>
      </c>
      <c r="DF524" s="27" t="s">
        <v>7</v>
      </c>
    </row>
    <row r="525" spans="1:165" x14ac:dyDescent="0.25">
      <c r="A525" s="7">
        <v>3.4135844322153761</v>
      </c>
      <c r="B525"/>
      <c r="C525"/>
      <c r="D525"/>
      <c r="E525"/>
      <c r="DA525" s="27" t="s">
        <v>8</v>
      </c>
      <c r="DB525" s="27" t="s">
        <v>7</v>
      </c>
      <c r="DC525" s="27" t="s">
        <v>8</v>
      </c>
      <c r="DD525" s="27" t="s">
        <v>7</v>
      </c>
      <c r="DE525" s="27" t="s">
        <v>8</v>
      </c>
      <c r="DF525" s="27" t="s">
        <v>7</v>
      </c>
      <c r="DG525" s="27" t="s">
        <v>8</v>
      </c>
    </row>
    <row r="526" spans="1:165" x14ac:dyDescent="0.25">
      <c r="A526" s="7">
        <v>3.3466514041327216</v>
      </c>
      <c r="B526"/>
      <c r="C526"/>
      <c r="D526"/>
      <c r="E526"/>
      <c r="DA526" s="27" t="s">
        <v>8</v>
      </c>
      <c r="DB526" s="27" t="s">
        <v>7</v>
      </c>
      <c r="DC526" s="27" t="s">
        <v>8</v>
      </c>
      <c r="DD526" s="27" t="s">
        <v>7</v>
      </c>
      <c r="DE526" s="27" t="s">
        <v>8</v>
      </c>
      <c r="DF526" s="27" t="s">
        <v>7</v>
      </c>
      <c r="DG526" s="27" t="s">
        <v>8</v>
      </c>
      <c r="DH526" s="27" t="s">
        <v>7</v>
      </c>
    </row>
    <row r="527" spans="1:165" x14ac:dyDescent="0.25">
      <c r="A527" s="7">
        <v>3.2810307883654133</v>
      </c>
      <c r="B527"/>
      <c r="C527"/>
      <c r="D527"/>
      <c r="E527"/>
      <c r="DA527" s="27" t="s">
        <v>8</v>
      </c>
      <c r="DB527" s="27" t="s">
        <v>7</v>
      </c>
      <c r="DC527" s="27" t="s">
        <v>8</v>
      </c>
      <c r="DD527" s="27" t="s">
        <v>7</v>
      </c>
      <c r="DE527" s="27" t="s">
        <v>8</v>
      </c>
      <c r="DF527" s="27" t="s">
        <v>7</v>
      </c>
      <c r="DG527" s="27" t="s">
        <v>8</v>
      </c>
      <c r="DH527" s="27" t="s">
        <v>7</v>
      </c>
    </row>
    <row r="528" spans="1:165" x14ac:dyDescent="0.25">
      <c r="A528" s="7">
        <v>3.2166968513386403</v>
      </c>
      <c r="B528"/>
      <c r="C528"/>
      <c r="D528"/>
      <c r="E528"/>
      <c r="DA528" s="27" t="s">
        <v>8</v>
      </c>
      <c r="DB528" s="27" t="s">
        <v>7</v>
      </c>
      <c r="DC528" s="27" t="s">
        <v>8</v>
      </c>
      <c r="DD528" s="27" t="s">
        <v>7</v>
      </c>
      <c r="DE528" s="27" t="s">
        <v>8</v>
      </c>
      <c r="DF528" s="27" t="s">
        <v>7</v>
      </c>
      <c r="DG528" s="27" t="s">
        <v>8</v>
      </c>
      <c r="DH528" s="27" t="s">
        <v>7</v>
      </c>
      <c r="FI528" s="27" t="s">
        <v>8</v>
      </c>
    </row>
    <row r="529" spans="1:206" x14ac:dyDescent="0.25">
      <c r="A529" s="7">
        <v>3.1536243640574906</v>
      </c>
      <c r="B529"/>
      <c r="C529"/>
      <c r="D529"/>
      <c r="E529"/>
      <c r="DA529" s="27" t="s">
        <v>8</v>
      </c>
      <c r="DB529" s="27" t="s">
        <v>7</v>
      </c>
      <c r="DC529" s="27" t="s">
        <v>8</v>
      </c>
      <c r="DD529" s="27" t="s">
        <v>7</v>
      </c>
      <c r="DE529" s="27" t="s">
        <v>8</v>
      </c>
      <c r="DF529" s="27" t="s">
        <v>7</v>
      </c>
      <c r="DG529" s="27" t="s">
        <v>8</v>
      </c>
      <c r="DH529" s="27" t="s">
        <v>7</v>
      </c>
      <c r="FI529" s="27" t="s">
        <v>8</v>
      </c>
      <c r="FJ529" s="27" t="s">
        <v>7</v>
      </c>
    </row>
    <row r="530" spans="1:206" x14ac:dyDescent="0.25">
      <c r="A530" s="7">
        <v>3.0917885922132262</v>
      </c>
      <c r="B530"/>
      <c r="C530"/>
      <c r="D530"/>
      <c r="E530"/>
      <c r="DA530" s="27" t="s">
        <v>8</v>
      </c>
      <c r="DB530" s="27" t="s">
        <v>7</v>
      </c>
      <c r="DC530" s="27" t="s">
        <v>8</v>
      </c>
      <c r="DD530" s="27" t="s">
        <v>7</v>
      </c>
      <c r="DE530" s="27" t="s">
        <v>8</v>
      </c>
      <c r="DF530" s="27" t="s">
        <v>7</v>
      </c>
      <c r="DG530" s="27" t="s">
        <v>8</v>
      </c>
      <c r="DH530" s="27" t="s">
        <v>7</v>
      </c>
      <c r="FI530" s="27" t="s">
        <v>8</v>
      </c>
      <c r="FJ530" s="27" t="s">
        <v>7</v>
      </c>
    </row>
    <row r="531" spans="1:206" x14ac:dyDescent="0.25">
      <c r="A531" s="7">
        <v>3.0311652864835552</v>
      </c>
      <c r="B531"/>
      <c r="C531"/>
      <c r="D531"/>
      <c r="E531"/>
      <c r="DA531" s="27" t="s">
        <v>8</v>
      </c>
      <c r="DB531" s="27" t="s">
        <v>7</v>
      </c>
      <c r="DC531" s="27" t="s">
        <v>8</v>
      </c>
      <c r="DD531" s="27" t="s">
        <v>7</v>
      </c>
      <c r="DE531" s="27" t="s">
        <v>8</v>
      </c>
      <c r="DF531" s="27" t="s">
        <v>7</v>
      </c>
      <c r="DG531" s="27" t="s">
        <v>8</v>
      </c>
      <c r="DH531" s="27" t="s">
        <v>7</v>
      </c>
      <c r="FI531" s="27" t="s">
        <v>8</v>
      </c>
      <c r="FJ531" s="27" t="s">
        <v>7</v>
      </c>
    </row>
    <row r="532" spans="1:206" x14ac:dyDescent="0.25">
      <c r="A532" s="7">
        <v>2.9717306730230932</v>
      </c>
      <c r="B532"/>
      <c r="C532"/>
      <c r="D532"/>
      <c r="E532"/>
      <c r="DA532" s="27" t="s">
        <v>8</v>
      </c>
      <c r="DB532" s="27" t="s">
        <v>7</v>
      </c>
      <c r="DC532" s="27" t="s">
        <v>8</v>
      </c>
      <c r="DD532" s="27" t="s">
        <v>7</v>
      </c>
      <c r="DE532" s="27" t="s">
        <v>8</v>
      </c>
      <c r="DF532" s="27" t="s">
        <v>7</v>
      </c>
      <c r="DG532" s="27" t="s">
        <v>8</v>
      </c>
      <c r="DH532" s="27" t="s">
        <v>7</v>
      </c>
      <c r="FI532" s="27" t="s">
        <v>8</v>
      </c>
      <c r="FJ532" s="27" t="s">
        <v>7</v>
      </c>
      <c r="FK532" s="27" t="s">
        <v>8</v>
      </c>
    </row>
    <row r="533" spans="1:206" x14ac:dyDescent="0.25">
      <c r="A533" s="7">
        <v>2.9134614441402875</v>
      </c>
      <c r="B533"/>
      <c r="C533"/>
      <c r="D533"/>
      <c r="E533"/>
      <c r="CO533" s="27" t="s">
        <v>8</v>
      </c>
      <c r="DA533" s="27" t="s">
        <v>8</v>
      </c>
      <c r="DB533" s="27" t="s">
        <v>7</v>
      </c>
      <c r="DC533" s="27" t="s">
        <v>8</v>
      </c>
      <c r="DD533" s="27" t="s">
        <v>7</v>
      </c>
      <c r="DF533" s="27" t="s">
        <v>7</v>
      </c>
      <c r="DH533" s="27" t="s">
        <v>7</v>
      </c>
      <c r="DI533" s="27" t="s">
        <v>8</v>
      </c>
      <c r="FI533" s="27" t="s">
        <v>8</v>
      </c>
      <c r="FJ533" s="27" t="s">
        <v>7</v>
      </c>
      <c r="FK533" s="27" t="s">
        <v>8</v>
      </c>
      <c r="FL533" s="27" t="s">
        <v>7</v>
      </c>
    </row>
    <row r="534" spans="1:206" x14ac:dyDescent="0.25">
      <c r="A534" s="7">
        <v>2.8563347491571447</v>
      </c>
      <c r="B534"/>
      <c r="C534"/>
      <c r="D534"/>
      <c r="E534"/>
      <c r="CO534" s="27" t="s">
        <v>8</v>
      </c>
      <c r="CP534" s="27" t="s">
        <v>7</v>
      </c>
      <c r="CQ534" s="27" t="s">
        <v>8</v>
      </c>
      <c r="DA534" s="27" t="s">
        <v>8</v>
      </c>
      <c r="DB534" s="27" t="s">
        <v>7</v>
      </c>
      <c r="DH534" s="27" t="s">
        <v>7</v>
      </c>
      <c r="DI534" s="27" t="s">
        <v>8</v>
      </c>
      <c r="DJ534" s="27" t="s">
        <v>7</v>
      </c>
      <c r="FI534" s="27" t="s">
        <v>8</v>
      </c>
      <c r="FJ534" s="27" t="s">
        <v>7</v>
      </c>
      <c r="FK534" s="27" t="s">
        <v>8</v>
      </c>
      <c r="FL534" s="27" t="s">
        <v>7</v>
      </c>
    </row>
    <row r="535" spans="1:206" x14ac:dyDescent="0.25">
      <c r="A535" s="7">
        <v>2.8003281854481812</v>
      </c>
      <c r="B535"/>
      <c r="C535"/>
      <c r="D535"/>
      <c r="E535"/>
      <c r="CO535" s="27" t="s">
        <v>8</v>
      </c>
      <c r="CP535" s="27" t="s">
        <v>7</v>
      </c>
      <c r="CQ535" s="27" t="s">
        <v>8</v>
      </c>
      <c r="CR535" s="27" t="s">
        <v>7</v>
      </c>
      <c r="DA535" s="27" t="s">
        <v>8</v>
      </c>
      <c r="DH535" s="27" t="s">
        <v>7</v>
      </c>
      <c r="DI535" s="27" t="s">
        <v>8</v>
      </c>
      <c r="DJ535" s="27" t="s">
        <v>7</v>
      </c>
      <c r="FI535" s="27" t="s">
        <v>8</v>
      </c>
      <c r="FJ535" s="27" t="s">
        <v>7</v>
      </c>
      <c r="FK535" s="27" t="s">
        <v>8</v>
      </c>
      <c r="FL535" s="27" t="s">
        <v>7</v>
      </c>
      <c r="FY535" s="27" t="s">
        <v>8</v>
      </c>
    </row>
    <row r="536" spans="1:206" x14ac:dyDescent="0.25">
      <c r="A536" s="7">
        <v>2.7454197896550796</v>
      </c>
      <c r="B536"/>
      <c r="C536"/>
      <c r="D536"/>
      <c r="E536"/>
      <c r="CO536" s="27" t="s">
        <v>8</v>
      </c>
      <c r="CP536" s="27" t="s">
        <v>7</v>
      </c>
      <c r="CQ536" s="27" t="s">
        <v>8</v>
      </c>
      <c r="CR536" s="27" t="s">
        <v>7</v>
      </c>
      <c r="DA536" s="27" t="s">
        <v>8</v>
      </c>
      <c r="DH536" s="27" t="s">
        <v>7</v>
      </c>
      <c r="DI536" s="27" t="s">
        <v>8</v>
      </c>
      <c r="DJ536" s="27" t="s">
        <v>7</v>
      </c>
      <c r="FI536" s="27" t="s">
        <v>8</v>
      </c>
      <c r="FJ536" s="27" t="s">
        <v>7</v>
      </c>
      <c r="FK536" s="27" t="s">
        <v>8</v>
      </c>
      <c r="FL536" s="27" t="s">
        <v>7</v>
      </c>
      <c r="FM536" s="27" t="s">
        <v>8</v>
      </c>
      <c r="FY536" s="27" t="s">
        <v>8</v>
      </c>
      <c r="FZ536" s="27" t="s">
        <v>7</v>
      </c>
    </row>
    <row r="537" spans="1:206" x14ac:dyDescent="0.25">
      <c r="A537" s="7">
        <v>2.6915880290736074</v>
      </c>
      <c r="B537"/>
      <c r="C537"/>
      <c r="D537"/>
      <c r="E537"/>
      <c r="CK537" s="27" t="s">
        <v>8</v>
      </c>
      <c r="CO537" s="27" t="s">
        <v>8</v>
      </c>
      <c r="CP537" s="27" t="s">
        <v>7</v>
      </c>
      <c r="CQ537" s="27" t="s">
        <v>8</v>
      </c>
      <c r="CR537" s="27" t="s">
        <v>7</v>
      </c>
      <c r="CY537" s="27" t="s">
        <v>8</v>
      </c>
      <c r="DA537" s="27" t="s">
        <v>8</v>
      </c>
      <c r="DH537" s="27" t="s">
        <v>7</v>
      </c>
      <c r="DI537" s="27" t="s">
        <v>8</v>
      </c>
      <c r="DJ537" s="27" t="s">
        <v>7</v>
      </c>
      <c r="FI537" s="27" t="s">
        <v>8</v>
      </c>
      <c r="FJ537" s="27" t="s">
        <v>7</v>
      </c>
      <c r="FK537" s="27" t="s">
        <v>8</v>
      </c>
      <c r="FL537" s="27" t="s">
        <v>7</v>
      </c>
      <c r="FM537" s="27" t="s">
        <v>8</v>
      </c>
      <c r="FN537" s="27" t="s">
        <v>7</v>
      </c>
      <c r="FY537" s="27" t="s">
        <v>8</v>
      </c>
      <c r="FZ537" s="27" t="s">
        <v>7</v>
      </c>
      <c r="GA537" s="27" t="s">
        <v>8</v>
      </c>
    </row>
    <row r="538" spans="1:206" x14ac:dyDescent="0.25">
      <c r="A538" s="7">
        <v>2.6388117932094191</v>
      </c>
      <c r="B538"/>
      <c r="C538"/>
      <c r="D538"/>
      <c r="E538"/>
      <c r="CK538" s="27" t="s">
        <v>8</v>
      </c>
      <c r="CL538" s="27" t="s">
        <v>7</v>
      </c>
      <c r="CM538" s="27" t="s">
        <v>8</v>
      </c>
      <c r="CO538" s="27" t="s">
        <v>8</v>
      </c>
      <c r="CP538" s="27" t="s">
        <v>7</v>
      </c>
      <c r="CQ538" s="27" t="s">
        <v>8</v>
      </c>
      <c r="CR538" s="27" t="s">
        <v>7</v>
      </c>
      <c r="CY538" s="27" t="s">
        <v>8</v>
      </c>
      <c r="CZ538" s="27" t="s">
        <v>7</v>
      </c>
      <c r="DA538" s="27" t="s">
        <v>8</v>
      </c>
      <c r="DH538" s="27" t="s">
        <v>7</v>
      </c>
      <c r="DI538" s="27" t="s">
        <v>8</v>
      </c>
      <c r="DJ538" s="27" t="s">
        <v>7</v>
      </c>
      <c r="FG538" s="27" t="s">
        <v>8</v>
      </c>
      <c r="FI538" s="27" t="s">
        <v>8</v>
      </c>
      <c r="FJ538" s="27" t="s">
        <v>7</v>
      </c>
      <c r="FK538" s="27" t="s">
        <v>8</v>
      </c>
      <c r="FL538" s="27" t="s">
        <v>7</v>
      </c>
      <c r="FM538" s="27" t="s">
        <v>8</v>
      </c>
      <c r="FN538" s="27" t="s">
        <v>7</v>
      </c>
      <c r="FY538" s="27" t="s">
        <v>8</v>
      </c>
      <c r="FZ538" s="27" t="s">
        <v>7</v>
      </c>
      <c r="GA538" s="27" t="s">
        <v>8</v>
      </c>
      <c r="GB538" s="27" t="s">
        <v>7</v>
      </c>
      <c r="GQ538" s="27" t="s">
        <v>8</v>
      </c>
    </row>
    <row r="539" spans="1:206" x14ac:dyDescent="0.25">
      <c r="A539" s="7">
        <v>2.5870703854994304</v>
      </c>
      <c r="B539"/>
      <c r="C539"/>
      <c r="D539"/>
      <c r="E539"/>
      <c r="CK539" s="27" t="s">
        <v>8</v>
      </c>
      <c r="CL539" s="27" t="s">
        <v>7</v>
      </c>
      <c r="CM539" s="27" t="s">
        <v>8</v>
      </c>
      <c r="CN539" s="27" t="s">
        <v>7</v>
      </c>
      <c r="CO539" s="27" t="s">
        <v>8</v>
      </c>
      <c r="CP539" s="27" t="s">
        <v>7</v>
      </c>
      <c r="CQ539" s="27" t="s">
        <v>8</v>
      </c>
      <c r="CR539" s="27" t="s">
        <v>7</v>
      </c>
      <c r="CY539" s="27" t="s">
        <v>8</v>
      </c>
      <c r="CZ539" s="27" t="s">
        <v>7</v>
      </c>
      <c r="DA539" s="27" t="s">
        <v>8</v>
      </c>
      <c r="DH539" s="27" t="s">
        <v>7</v>
      </c>
      <c r="DI539" s="27" t="s">
        <v>8</v>
      </c>
      <c r="DJ539" s="27" t="s">
        <v>7</v>
      </c>
      <c r="FG539" s="27" t="s">
        <v>8</v>
      </c>
      <c r="FH539" s="27" t="s">
        <v>7</v>
      </c>
      <c r="FI539" s="27" t="s">
        <v>8</v>
      </c>
      <c r="FJ539" s="27" t="s">
        <v>7</v>
      </c>
      <c r="FK539" s="27" t="s">
        <v>8</v>
      </c>
      <c r="FL539" s="27" t="s">
        <v>7</v>
      </c>
      <c r="FM539" s="27" t="s">
        <v>8</v>
      </c>
      <c r="FN539" s="27" t="s">
        <v>7</v>
      </c>
      <c r="FY539" s="27" t="s">
        <v>8</v>
      </c>
      <c r="FZ539" s="27" t="s">
        <v>7</v>
      </c>
      <c r="GA539" s="27" t="s">
        <v>8</v>
      </c>
      <c r="GB539" s="27" t="s">
        <v>7</v>
      </c>
      <c r="GQ539" s="27" t="s">
        <v>8</v>
      </c>
      <c r="GR539" s="27" t="s">
        <v>7</v>
      </c>
    </row>
    <row r="540" spans="1:206" x14ac:dyDescent="0.25">
      <c r="A540" s="7">
        <v>2.53634351519552</v>
      </c>
      <c r="B540"/>
      <c r="C540"/>
      <c r="D540"/>
      <c r="E540"/>
      <c r="CK540" s="27" t="s">
        <v>8</v>
      </c>
      <c r="CL540" s="27" t="s">
        <v>7</v>
      </c>
      <c r="CM540" s="27" t="s">
        <v>8</v>
      </c>
      <c r="CN540" s="27" t="s">
        <v>7</v>
      </c>
      <c r="CO540" s="27" t="s">
        <v>8</v>
      </c>
      <c r="CP540" s="27" t="s">
        <v>7</v>
      </c>
      <c r="CQ540" s="27" t="s">
        <v>8</v>
      </c>
      <c r="CR540" s="27" t="s">
        <v>7</v>
      </c>
      <c r="CY540" s="27" t="s">
        <v>8</v>
      </c>
      <c r="CZ540" s="27" t="s">
        <v>7</v>
      </c>
      <c r="DA540" s="27" t="s">
        <v>8</v>
      </c>
      <c r="DH540" s="27" t="s">
        <v>7</v>
      </c>
      <c r="DI540" s="27" t="s">
        <v>8</v>
      </c>
      <c r="DJ540" s="27" t="s">
        <v>7</v>
      </c>
      <c r="FG540" s="27" t="s">
        <v>8</v>
      </c>
      <c r="FH540" s="27" t="s">
        <v>7</v>
      </c>
      <c r="FI540" s="27" t="s">
        <v>8</v>
      </c>
      <c r="FJ540" s="27" t="s">
        <v>7</v>
      </c>
      <c r="FK540" s="27" t="s">
        <v>8</v>
      </c>
      <c r="FL540" s="27" t="s">
        <v>7</v>
      </c>
      <c r="FM540" s="27" t="s">
        <v>8</v>
      </c>
      <c r="FN540" s="27" t="s">
        <v>7</v>
      </c>
      <c r="FY540" s="27" t="s">
        <v>8</v>
      </c>
      <c r="FZ540" s="27" t="s">
        <v>7</v>
      </c>
      <c r="GA540" s="27" t="s">
        <v>8</v>
      </c>
      <c r="GB540" s="27" t="s">
        <v>7</v>
      </c>
      <c r="GQ540" s="27" t="s">
        <v>8</v>
      </c>
      <c r="GR540" s="27" t="s">
        <v>7</v>
      </c>
    </row>
    <row r="541" spans="1:206" x14ac:dyDescent="0.25">
      <c r="A541" s="7">
        <v>2.4866112894073726</v>
      </c>
      <c r="B541"/>
      <c r="C541"/>
      <c r="D541"/>
      <c r="E541"/>
      <c r="CK541" s="27" t="s">
        <v>8</v>
      </c>
      <c r="CL541" s="27" t="s">
        <v>7</v>
      </c>
      <c r="CM541" s="27" t="s">
        <v>8</v>
      </c>
      <c r="CN541" s="27" t="s">
        <v>7</v>
      </c>
      <c r="CO541" s="27" t="s">
        <v>8</v>
      </c>
      <c r="CP541" s="27" t="s">
        <v>7</v>
      </c>
      <c r="CQ541" s="27" t="s">
        <v>8</v>
      </c>
      <c r="CR541" s="27" t="s">
        <v>7</v>
      </c>
      <c r="CY541" s="27" t="s">
        <v>8</v>
      </c>
      <c r="CZ541" s="27" t="s">
        <v>7</v>
      </c>
      <c r="DA541" s="27" t="s">
        <v>8</v>
      </c>
      <c r="DH541" s="27" t="s">
        <v>7</v>
      </c>
      <c r="DI541" s="27" t="s">
        <v>8</v>
      </c>
      <c r="DJ541" s="27" t="s">
        <v>7</v>
      </c>
      <c r="FA541" s="27" t="s">
        <v>8</v>
      </c>
      <c r="FC541" s="27" t="s">
        <v>8</v>
      </c>
      <c r="FG541" s="27" t="s">
        <v>8</v>
      </c>
      <c r="FH541" s="27" t="s">
        <v>7</v>
      </c>
      <c r="FI541" s="27" t="s">
        <v>8</v>
      </c>
      <c r="FJ541" s="27" t="s">
        <v>7</v>
      </c>
      <c r="FK541" s="27" t="s">
        <v>8</v>
      </c>
      <c r="FL541" s="27" t="s">
        <v>7</v>
      </c>
      <c r="FM541" s="27" t="s">
        <v>8</v>
      </c>
      <c r="FN541" s="27" t="s">
        <v>7</v>
      </c>
      <c r="FY541" s="27" t="s">
        <v>8</v>
      </c>
      <c r="FZ541" s="27" t="s">
        <v>7</v>
      </c>
      <c r="GA541" s="27" t="s">
        <v>8</v>
      </c>
      <c r="GB541" s="27" t="s">
        <v>7</v>
      </c>
      <c r="GQ541" s="27" t="s">
        <v>8</v>
      </c>
      <c r="GR541" s="27" t="s">
        <v>7</v>
      </c>
    </row>
    <row r="542" spans="1:206" x14ac:dyDescent="0.25">
      <c r="A542" s="7">
        <v>2.4378542053013459</v>
      </c>
      <c r="B542"/>
      <c r="C542"/>
      <c r="D542"/>
      <c r="E542"/>
      <c r="CK542" s="27" t="s">
        <v>8</v>
      </c>
      <c r="CL542" s="27" t="s">
        <v>7</v>
      </c>
      <c r="CM542" s="27" t="s">
        <v>8</v>
      </c>
      <c r="CN542" s="27" t="s">
        <v>7</v>
      </c>
      <c r="CO542" s="27" t="s">
        <v>8</v>
      </c>
      <c r="CP542" s="27" t="s">
        <v>7</v>
      </c>
      <c r="CQ542" s="27" t="s">
        <v>8</v>
      </c>
      <c r="CR542" s="27" t="s">
        <v>7</v>
      </c>
      <c r="CY542" s="27" t="s">
        <v>8</v>
      </c>
      <c r="CZ542" s="27" t="s">
        <v>7</v>
      </c>
      <c r="DA542" s="27" t="s">
        <v>8</v>
      </c>
      <c r="DH542" s="27" t="s">
        <v>7</v>
      </c>
      <c r="DI542" s="27" t="s">
        <v>8</v>
      </c>
      <c r="DJ542" s="27" t="s">
        <v>7</v>
      </c>
      <c r="DK542" s="27" t="s">
        <v>8</v>
      </c>
      <c r="FA542" s="27" t="s">
        <v>8</v>
      </c>
      <c r="FB542" s="27" t="s">
        <v>7</v>
      </c>
      <c r="FC542" s="27" t="s">
        <v>8</v>
      </c>
      <c r="FD542" s="27" t="s">
        <v>7</v>
      </c>
      <c r="FG542" s="27" t="s">
        <v>8</v>
      </c>
      <c r="FH542" s="27" t="s">
        <v>7</v>
      </c>
      <c r="FI542" s="27" t="s">
        <v>8</v>
      </c>
      <c r="FJ542" s="27" t="s">
        <v>7</v>
      </c>
      <c r="FK542" s="27" t="s">
        <v>8</v>
      </c>
      <c r="FL542" s="27" t="s">
        <v>7</v>
      </c>
      <c r="FM542" s="27" t="s">
        <v>8</v>
      </c>
      <c r="FN542" s="27" t="s">
        <v>7</v>
      </c>
      <c r="FY542" s="27" t="s">
        <v>8</v>
      </c>
      <c r="FZ542" s="27" t="s">
        <v>7</v>
      </c>
      <c r="GA542" s="27" t="s">
        <v>8</v>
      </c>
      <c r="GB542" s="27" t="s">
        <v>7</v>
      </c>
      <c r="GQ542" s="27" t="s">
        <v>8</v>
      </c>
      <c r="GR542" s="27" t="s">
        <v>7</v>
      </c>
      <c r="GW542" s="27" t="s">
        <v>8</v>
      </c>
    </row>
    <row r="543" spans="1:206" x14ac:dyDescent="0.25">
      <c r="A543" s="7">
        <v>2.3900531424522997</v>
      </c>
      <c r="B543"/>
      <c r="C543"/>
      <c r="D543"/>
      <c r="E543"/>
      <c r="CK543" s="27" t="s">
        <v>8</v>
      </c>
      <c r="CL543" s="27" t="s">
        <v>7</v>
      </c>
      <c r="CM543" s="27" t="s">
        <v>8</v>
      </c>
      <c r="CN543" s="27" t="s">
        <v>7</v>
      </c>
      <c r="CO543" s="27" t="s">
        <v>8</v>
      </c>
      <c r="CP543" s="27" t="s">
        <v>7</v>
      </c>
      <c r="CQ543" s="27" t="s">
        <v>8</v>
      </c>
      <c r="CR543" s="27" t="s">
        <v>7</v>
      </c>
      <c r="CS543" s="27" t="s">
        <v>8</v>
      </c>
      <c r="CY543" s="27" t="s">
        <v>8</v>
      </c>
      <c r="CZ543" s="27" t="s">
        <v>7</v>
      </c>
      <c r="DH543" s="27" t="s">
        <v>7</v>
      </c>
      <c r="DI543" s="27" t="s">
        <v>8</v>
      </c>
      <c r="DJ543" s="27" t="s">
        <v>7</v>
      </c>
      <c r="DK543" s="27" t="s">
        <v>8</v>
      </c>
      <c r="DL543" s="27" t="s">
        <v>7</v>
      </c>
      <c r="FA543" s="27" t="s">
        <v>8</v>
      </c>
      <c r="FB543" s="27" t="s">
        <v>7</v>
      </c>
      <c r="FC543" s="27" t="s">
        <v>8</v>
      </c>
      <c r="FD543" s="27" t="s">
        <v>7</v>
      </c>
      <c r="FG543" s="27" t="s">
        <v>8</v>
      </c>
      <c r="FH543" s="27" t="s">
        <v>7</v>
      </c>
      <c r="FJ543" s="27" t="s">
        <v>7</v>
      </c>
      <c r="FK543" s="27" t="s">
        <v>8</v>
      </c>
      <c r="FL543" s="27" t="s">
        <v>7</v>
      </c>
      <c r="FN543" s="27" t="s">
        <v>7</v>
      </c>
      <c r="FW543" s="27" t="s">
        <v>8</v>
      </c>
      <c r="FY543" s="27" t="s">
        <v>8</v>
      </c>
      <c r="FZ543" s="27" t="s">
        <v>7</v>
      </c>
      <c r="GA543" s="27" t="s">
        <v>8</v>
      </c>
      <c r="GB543" s="27" t="s">
        <v>7</v>
      </c>
      <c r="GI543" s="27" t="s">
        <v>8</v>
      </c>
      <c r="GQ543" s="27" t="s">
        <v>8</v>
      </c>
      <c r="GR543" s="27" t="s">
        <v>7</v>
      </c>
      <c r="GW543" s="27" t="s">
        <v>8</v>
      </c>
      <c r="GX543" s="27" t="s">
        <v>7</v>
      </c>
    </row>
    <row r="544" spans="1:206" x14ac:dyDescent="0.25">
      <c r="A544" s="7">
        <v>2.343189355345392</v>
      </c>
      <c r="B544"/>
      <c r="C544"/>
      <c r="D544"/>
      <c r="E544"/>
      <c r="BG544" s="27" t="s">
        <v>8</v>
      </c>
      <c r="CK544" s="27" t="s">
        <v>8</v>
      </c>
      <c r="CL544" s="27" t="s">
        <v>7</v>
      </c>
      <c r="CM544" s="27" t="s">
        <v>8</v>
      </c>
      <c r="CN544" s="27" t="s">
        <v>7</v>
      </c>
      <c r="CO544" s="27" t="s">
        <v>8</v>
      </c>
      <c r="CP544" s="27" t="s">
        <v>7</v>
      </c>
      <c r="CQ544" s="27" t="s">
        <v>8</v>
      </c>
      <c r="CR544" s="27" t="s">
        <v>7</v>
      </c>
      <c r="CS544" s="27" t="s">
        <v>8</v>
      </c>
      <c r="CT544" s="27" t="s">
        <v>7</v>
      </c>
      <c r="CW544" s="27" t="s">
        <v>8</v>
      </c>
      <c r="CY544" s="27" t="s">
        <v>8</v>
      </c>
      <c r="DH544" s="27" t="s">
        <v>7</v>
      </c>
      <c r="DJ544" s="27" t="s">
        <v>7</v>
      </c>
      <c r="DK544" s="27" t="s">
        <v>8</v>
      </c>
      <c r="DL544" s="27" t="s">
        <v>7</v>
      </c>
      <c r="EY544" s="27" t="s">
        <v>8</v>
      </c>
      <c r="FA544" s="27" t="s">
        <v>8</v>
      </c>
      <c r="FB544" s="27" t="s">
        <v>7</v>
      </c>
      <c r="FC544" s="27" t="s">
        <v>8</v>
      </c>
      <c r="FD544" s="27" t="s">
        <v>7</v>
      </c>
      <c r="FE544" s="27" t="s">
        <v>8</v>
      </c>
      <c r="FG544" s="27" t="s">
        <v>8</v>
      </c>
      <c r="FJ544" s="27" t="s">
        <v>7</v>
      </c>
      <c r="FK544" s="27" t="s">
        <v>8</v>
      </c>
      <c r="FN544" s="27" t="s">
        <v>7</v>
      </c>
      <c r="FW544" s="27" t="s">
        <v>8</v>
      </c>
      <c r="FX544" s="27" t="s">
        <v>7</v>
      </c>
      <c r="FY544" s="27" t="s">
        <v>8</v>
      </c>
      <c r="FZ544" s="27" t="s">
        <v>7</v>
      </c>
      <c r="GA544" s="27" t="s">
        <v>8</v>
      </c>
      <c r="GB544" s="27" t="s">
        <v>7</v>
      </c>
      <c r="GG544" s="27" t="s">
        <v>8</v>
      </c>
      <c r="GI544" s="27" t="s">
        <v>8</v>
      </c>
      <c r="GJ544" s="27" t="s">
        <v>7</v>
      </c>
      <c r="GQ544" s="27" t="s">
        <v>8</v>
      </c>
      <c r="GR544" s="27" t="s">
        <v>7</v>
      </c>
      <c r="GW544" s="27" t="s">
        <v>8</v>
      </c>
      <c r="GX544" s="27" t="s">
        <v>7</v>
      </c>
    </row>
    <row r="545" spans="1:210" x14ac:dyDescent="0.25">
      <c r="A545" s="7">
        <v>2.2972444660248938</v>
      </c>
      <c r="B545"/>
      <c r="C545"/>
      <c r="D545"/>
      <c r="E545"/>
      <c r="BG545" s="27" t="s">
        <v>8</v>
      </c>
      <c r="BH545" s="27" t="s">
        <v>7</v>
      </c>
      <c r="CI545" s="27" t="s">
        <v>8</v>
      </c>
      <c r="CK545" s="27" t="s">
        <v>8</v>
      </c>
      <c r="CL545" s="27" t="s">
        <v>7</v>
      </c>
      <c r="CM545" s="27" t="s">
        <v>8</v>
      </c>
      <c r="CN545" s="27" t="s">
        <v>7</v>
      </c>
      <c r="CP545" s="27" t="s">
        <v>7</v>
      </c>
      <c r="CR545" s="27" t="s">
        <v>7</v>
      </c>
      <c r="CS545" s="27" t="s">
        <v>8</v>
      </c>
      <c r="CT545" s="27" t="s">
        <v>7</v>
      </c>
      <c r="CW545" s="27" t="s">
        <v>8</v>
      </c>
      <c r="CX545" s="27" t="s">
        <v>7</v>
      </c>
      <c r="CY545" s="27" t="s">
        <v>8</v>
      </c>
      <c r="DJ545" s="27" t="s">
        <v>7</v>
      </c>
      <c r="DK545" s="27" t="s">
        <v>8</v>
      </c>
      <c r="DL545" s="27" t="s">
        <v>7</v>
      </c>
      <c r="EY545" s="27" t="s">
        <v>8</v>
      </c>
      <c r="EZ545" s="27" t="s">
        <v>7</v>
      </c>
      <c r="FA545" s="27" t="s">
        <v>8</v>
      </c>
      <c r="FB545" s="27" t="s">
        <v>7</v>
      </c>
      <c r="FC545" s="27" t="s">
        <v>8</v>
      </c>
      <c r="FD545" s="27" t="s">
        <v>7</v>
      </c>
      <c r="FE545" s="27" t="s">
        <v>8</v>
      </c>
      <c r="FF545" s="27" t="s">
        <v>7</v>
      </c>
      <c r="FG545" s="27" t="s">
        <v>8</v>
      </c>
      <c r="FJ545" s="27" t="s">
        <v>7</v>
      </c>
      <c r="FK545" s="27" t="s">
        <v>8</v>
      </c>
      <c r="FN545" s="27" t="s">
        <v>7</v>
      </c>
      <c r="FW545" s="27" t="s">
        <v>8</v>
      </c>
      <c r="FX545" s="27" t="s">
        <v>7</v>
      </c>
      <c r="FY545" s="27" t="s">
        <v>8</v>
      </c>
      <c r="FZ545" s="27" t="s">
        <v>7</v>
      </c>
      <c r="GA545" s="27" t="s">
        <v>8</v>
      </c>
      <c r="GB545" s="27" t="s">
        <v>7</v>
      </c>
      <c r="GC545" s="27" t="s">
        <v>8</v>
      </c>
      <c r="GG545" s="27" t="s">
        <v>8</v>
      </c>
      <c r="GH545" s="27" t="s">
        <v>7</v>
      </c>
      <c r="GI545" s="27" t="s">
        <v>8</v>
      </c>
      <c r="GJ545" s="27" t="s">
        <v>7</v>
      </c>
      <c r="GQ545" s="27" t="s">
        <v>8</v>
      </c>
      <c r="GR545" s="27" t="s">
        <v>7</v>
      </c>
      <c r="GW545" s="27" t="s">
        <v>8</v>
      </c>
      <c r="GX545" s="27" t="s">
        <v>7</v>
      </c>
    </row>
    <row r="546" spans="1:210" x14ac:dyDescent="0.25">
      <c r="A546" s="7">
        <v>2.252200456887151</v>
      </c>
      <c r="B546"/>
      <c r="C546"/>
      <c r="D546"/>
      <c r="E546"/>
      <c r="BG546" s="27" t="s">
        <v>8</v>
      </c>
      <c r="BH546" s="27" t="s">
        <v>7</v>
      </c>
      <c r="CI546" s="27" t="s">
        <v>8</v>
      </c>
      <c r="CJ546" s="27" t="s">
        <v>7</v>
      </c>
      <c r="CK546" s="27" t="s">
        <v>8</v>
      </c>
      <c r="CL546" s="27" t="s">
        <v>7</v>
      </c>
      <c r="CM546" s="27" t="s">
        <v>8</v>
      </c>
      <c r="CR546" s="27" t="s">
        <v>7</v>
      </c>
      <c r="CS546" s="27" t="s">
        <v>8</v>
      </c>
      <c r="CT546" s="27" t="s">
        <v>7</v>
      </c>
      <c r="CW546" s="27" t="s">
        <v>8</v>
      </c>
      <c r="CX546" s="27" t="s">
        <v>7</v>
      </c>
      <c r="CY546" s="27" t="s">
        <v>8</v>
      </c>
      <c r="DJ546" s="27" t="s">
        <v>7</v>
      </c>
      <c r="DK546" s="27" t="s">
        <v>8</v>
      </c>
      <c r="DL546" s="27" t="s">
        <v>7</v>
      </c>
      <c r="EY546" s="27" t="s">
        <v>8</v>
      </c>
      <c r="EZ546" s="27" t="s">
        <v>7</v>
      </c>
      <c r="FA546" s="27" t="s">
        <v>8</v>
      </c>
      <c r="FB546" s="27" t="s">
        <v>7</v>
      </c>
      <c r="FC546" s="27" t="s">
        <v>8</v>
      </c>
      <c r="FD546" s="27" t="s">
        <v>7</v>
      </c>
      <c r="FE546" s="27" t="s">
        <v>8</v>
      </c>
      <c r="FF546" s="27" t="s">
        <v>7</v>
      </c>
      <c r="FG546" s="27" t="s">
        <v>8</v>
      </c>
      <c r="FJ546" s="27" t="s">
        <v>7</v>
      </c>
      <c r="FK546" s="27" t="s">
        <v>8</v>
      </c>
      <c r="FN546" s="27" t="s">
        <v>7</v>
      </c>
      <c r="FW546" s="27" t="s">
        <v>8</v>
      </c>
      <c r="FX546" s="27" t="s">
        <v>7</v>
      </c>
      <c r="FY546" s="27" t="s">
        <v>8</v>
      </c>
      <c r="FZ546" s="27" t="s">
        <v>7</v>
      </c>
      <c r="GA546" s="27" t="s">
        <v>8</v>
      </c>
      <c r="GB546" s="27" t="s">
        <v>7</v>
      </c>
      <c r="GC546" s="27" t="s">
        <v>8</v>
      </c>
      <c r="GD546" s="27" t="s">
        <v>7</v>
      </c>
      <c r="GG546" s="27" t="s">
        <v>8</v>
      </c>
      <c r="GH546" s="27" t="s">
        <v>7</v>
      </c>
      <c r="GI546" s="27" t="s">
        <v>8</v>
      </c>
      <c r="GJ546" s="27" t="s">
        <v>7</v>
      </c>
      <c r="GQ546" s="27" t="s">
        <v>8</v>
      </c>
      <c r="GR546" s="27" t="s">
        <v>7</v>
      </c>
      <c r="GW546" s="27" t="s">
        <v>8</v>
      </c>
      <c r="GX546" s="27" t="s">
        <v>7</v>
      </c>
    </row>
    <row r="547" spans="1:210" x14ac:dyDescent="0.25">
      <c r="A547" s="7">
        <v>2.208039663614854</v>
      </c>
      <c r="B547"/>
      <c r="C547"/>
      <c r="D547"/>
      <c r="E547"/>
      <c r="BG547" s="27" t="s">
        <v>8</v>
      </c>
      <c r="BH547" s="27" t="s">
        <v>7</v>
      </c>
      <c r="CI547" s="27" t="s">
        <v>8</v>
      </c>
      <c r="CJ547" s="27" t="s">
        <v>7</v>
      </c>
      <c r="CK547" s="27" t="s">
        <v>8</v>
      </c>
      <c r="CL547" s="27" t="s">
        <v>7</v>
      </c>
      <c r="CM547" s="27" t="s">
        <v>8</v>
      </c>
      <c r="CR547" s="27" t="s">
        <v>7</v>
      </c>
      <c r="CS547" s="27" t="s">
        <v>8</v>
      </c>
      <c r="CT547" s="27" t="s">
        <v>7</v>
      </c>
      <c r="CW547" s="27" t="s">
        <v>8</v>
      </c>
      <c r="CX547" s="27" t="s">
        <v>7</v>
      </c>
      <c r="CY547" s="27" t="s">
        <v>8</v>
      </c>
      <c r="DJ547" s="27" t="s">
        <v>7</v>
      </c>
      <c r="DK547" s="27" t="s">
        <v>8</v>
      </c>
      <c r="DL547" s="27" t="s">
        <v>7</v>
      </c>
      <c r="EW547" s="27" t="s">
        <v>8</v>
      </c>
      <c r="EY547" s="27" t="s">
        <v>8</v>
      </c>
      <c r="EZ547" s="27" t="s">
        <v>7</v>
      </c>
      <c r="FA547" s="27" t="s">
        <v>8</v>
      </c>
      <c r="FB547" s="27" t="s">
        <v>7</v>
      </c>
      <c r="FC547" s="27" t="s">
        <v>8</v>
      </c>
      <c r="FD547" s="27" t="s">
        <v>7</v>
      </c>
      <c r="FE547" s="27" t="s">
        <v>8</v>
      </c>
      <c r="FF547" s="27" t="s">
        <v>7</v>
      </c>
      <c r="FG547" s="27" t="s">
        <v>8</v>
      </c>
      <c r="FJ547" s="27" t="s">
        <v>7</v>
      </c>
      <c r="FK547" s="27" t="s">
        <v>8</v>
      </c>
      <c r="FN547" s="27" t="s">
        <v>7</v>
      </c>
      <c r="FW547" s="27" t="s">
        <v>8</v>
      </c>
      <c r="FX547" s="27" t="s">
        <v>7</v>
      </c>
      <c r="FZ547" s="27" t="s">
        <v>7</v>
      </c>
      <c r="GB547" s="27" t="s">
        <v>7</v>
      </c>
      <c r="GC547" s="27" t="s">
        <v>8</v>
      </c>
      <c r="GD547" s="27" t="s">
        <v>7</v>
      </c>
      <c r="GG547" s="27" t="s">
        <v>8</v>
      </c>
      <c r="GH547" s="27" t="s">
        <v>7</v>
      </c>
      <c r="GI547" s="27" t="s">
        <v>8</v>
      </c>
      <c r="GJ547" s="27" t="s">
        <v>7</v>
      </c>
      <c r="GK547" s="27" t="s">
        <v>8</v>
      </c>
      <c r="GQ547" s="27" t="s">
        <v>8</v>
      </c>
      <c r="GR547" s="27" t="s">
        <v>7</v>
      </c>
      <c r="GW547" s="27" t="s">
        <v>8</v>
      </c>
      <c r="GX547" s="27" t="s">
        <v>7</v>
      </c>
    </row>
    <row r="548" spans="1:210" x14ac:dyDescent="0.25">
      <c r="A548" s="7">
        <v>2.1647447682498568</v>
      </c>
      <c r="B548"/>
      <c r="C548"/>
      <c r="D548"/>
      <c r="E548"/>
      <c r="BG548" s="27" t="s">
        <v>8</v>
      </c>
      <c r="BH548" s="27" t="s">
        <v>7</v>
      </c>
      <c r="CI548" s="27" t="s">
        <v>8</v>
      </c>
      <c r="CJ548" s="27" t="s">
        <v>7</v>
      </c>
      <c r="CK548" s="27" t="s">
        <v>8</v>
      </c>
      <c r="CL548" s="27" t="s">
        <v>7</v>
      </c>
      <c r="CM548" s="27" t="s">
        <v>8</v>
      </c>
      <c r="CR548" s="27" t="s">
        <v>7</v>
      </c>
      <c r="CS548" s="27" t="s">
        <v>8</v>
      </c>
      <c r="CT548" s="27" t="s">
        <v>7</v>
      </c>
      <c r="CW548" s="27" t="s">
        <v>8</v>
      </c>
      <c r="CX548" s="27" t="s">
        <v>7</v>
      </c>
      <c r="CY548" s="27" t="s">
        <v>8</v>
      </c>
      <c r="DJ548" s="27" t="s">
        <v>7</v>
      </c>
      <c r="DK548" s="27" t="s">
        <v>8</v>
      </c>
      <c r="DL548" s="27" t="s">
        <v>7</v>
      </c>
      <c r="EU548" s="27" t="s">
        <v>8</v>
      </c>
      <c r="EW548" s="27" t="s">
        <v>8</v>
      </c>
      <c r="EX548" s="27" t="s">
        <v>7</v>
      </c>
      <c r="EY548" s="27" t="s">
        <v>8</v>
      </c>
      <c r="EZ548" s="27" t="s">
        <v>7</v>
      </c>
      <c r="FA548" s="27" t="s">
        <v>8</v>
      </c>
      <c r="FB548" s="27" t="s">
        <v>7</v>
      </c>
      <c r="FD548" s="27" t="s">
        <v>7</v>
      </c>
      <c r="FE548" s="27" t="s">
        <v>8</v>
      </c>
      <c r="FF548" s="27" t="s">
        <v>7</v>
      </c>
      <c r="FJ548" s="27" t="s">
        <v>7</v>
      </c>
      <c r="FK548" s="27" t="s">
        <v>8</v>
      </c>
      <c r="FN548" s="27" t="s">
        <v>7</v>
      </c>
      <c r="FW548" s="27" t="s">
        <v>8</v>
      </c>
      <c r="GB548" s="27" t="s">
        <v>7</v>
      </c>
      <c r="GC548" s="27" t="s">
        <v>8</v>
      </c>
      <c r="GD548" s="27" t="s">
        <v>7</v>
      </c>
      <c r="GE548" s="27" t="s">
        <v>8</v>
      </c>
      <c r="GG548" s="27" t="s">
        <v>8</v>
      </c>
      <c r="GH548" s="27" t="s">
        <v>7</v>
      </c>
      <c r="GI548" s="27" t="s">
        <v>8</v>
      </c>
      <c r="GJ548" s="27" t="s">
        <v>7</v>
      </c>
      <c r="GK548" s="27" t="s">
        <v>8</v>
      </c>
      <c r="GL548" s="27" t="s">
        <v>7</v>
      </c>
      <c r="GM548" s="27" t="s">
        <v>8</v>
      </c>
      <c r="GO548" s="27" t="s">
        <v>8</v>
      </c>
      <c r="GQ548" s="27" t="s">
        <v>8</v>
      </c>
      <c r="GR548" s="27" t="s">
        <v>7</v>
      </c>
      <c r="GW548" s="27" t="s">
        <v>8</v>
      </c>
      <c r="GX548" s="27" t="s">
        <v>7</v>
      </c>
    </row>
    <row r="549" spans="1:210" x14ac:dyDescent="0.25">
      <c r="A549" s="7">
        <v>2.1222987924018204</v>
      </c>
      <c r="B549"/>
      <c r="C549"/>
      <c r="D549"/>
      <c r="E549"/>
      <c r="BG549" s="27" t="s">
        <v>8</v>
      </c>
      <c r="BH549" s="27" t="s">
        <v>7</v>
      </c>
      <c r="CI549" s="27" t="s">
        <v>8</v>
      </c>
      <c r="CJ549" s="27" t="s">
        <v>7</v>
      </c>
      <c r="CK549" s="27" t="s">
        <v>8</v>
      </c>
      <c r="CL549" s="27" t="s">
        <v>7</v>
      </c>
      <c r="CM549" s="27" t="s">
        <v>8</v>
      </c>
      <c r="CR549" s="27" t="s">
        <v>7</v>
      </c>
      <c r="CS549" s="27" t="s">
        <v>8</v>
      </c>
      <c r="CT549" s="27" t="s">
        <v>7</v>
      </c>
      <c r="CU549" s="27" t="s">
        <v>8</v>
      </c>
      <c r="CW549" s="27" t="s">
        <v>8</v>
      </c>
      <c r="CX549" s="27" t="s">
        <v>7</v>
      </c>
      <c r="CY549" s="27" t="s">
        <v>8</v>
      </c>
      <c r="DJ549" s="27" t="s">
        <v>7</v>
      </c>
      <c r="DK549" s="27" t="s">
        <v>8</v>
      </c>
      <c r="DL549" s="27" t="s">
        <v>7</v>
      </c>
      <c r="EU549" s="27" t="s">
        <v>8</v>
      </c>
      <c r="EV549" s="27" t="s">
        <v>7</v>
      </c>
      <c r="EW549" s="27" t="s">
        <v>8</v>
      </c>
      <c r="EX549" s="27" t="s">
        <v>7</v>
      </c>
      <c r="EY549" s="27" t="s">
        <v>8</v>
      </c>
      <c r="EZ549" s="27" t="s">
        <v>7</v>
      </c>
      <c r="FA549" s="27" t="s">
        <v>8</v>
      </c>
      <c r="FD549" s="27" t="s">
        <v>7</v>
      </c>
      <c r="FJ549" s="27" t="s">
        <v>7</v>
      </c>
      <c r="FK549" s="27" t="s">
        <v>8</v>
      </c>
      <c r="FN549" s="27" t="s">
        <v>7</v>
      </c>
      <c r="FO549" s="27" t="s">
        <v>8</v>
      </c>
      <c r="FU549" s="27" t="s">
        <v>8</v>
      </c>
      <c r="FW549" s="27" t="s">
        <v>8</v>
      </c>
      <c r="GB549" s="27" t="s">
        <v>7</v>
      </c>
      <c r="GD549" s="27" t="s">
        <v>7</v>
      </c>
      <c r="GE549" s="27" t="s">
        <v>8</v>
      </c>
      <c r="GF549" s="27" t="s">
        <v>7</v>
      </c>
      <c r="GG549" s="27" t="s">
        <v>8</v>
      </c>
      <c r="GH549" s="27" t="s">
        <v>7</v>
      </c>
      <c r="GI549" s="27" t="s">
        <v>8</v>
      </c>
      <c r="GJ549" s="27" t="s">
        <v>7</v>
      </c>
      <c r="GK549" s="27" t="s">
        <v>8</v>
      </c>
      <c r="GL549" s="27" t="s">
        <v>7</v>
      </c>
      <c r="GM549" s="27" t="s">
        <v>8</v>
      </c>
      <c r="GN549" s="27" t="s">
        <v>7</v>
      </c>
      <c r="GO549" s="27" t="s">
        <v>8</v>
      </c>
      <c r="GP549" s="27" t="s">
        <v>7</v>
      </c>
      <c r="GQ549" s="27" t="s">
        <v>8</v>
      </c>
      <c r="GR549" s="27" t="s">
        <v>7</v>
      </c>
      <c r="GU549" s="27" t="s">
        <v>8</v>
      </c>
      <c r="GW549" s="27" t="s">
        <v>8</v>
      </c>
      <c r="GX549" s="27" t="s">
        <v>7</v>
      </c>
    </row>
    <row r="550" spans="1:210" x14ac:dyDescent="0.25">
      <c r="A550" s="7">
        <v>2.0806850905900198</v>
      </c>
      <c r="B550"/>
      <c r="C550"/>
      <c r="D550"/>
      <c r="E550"/>
      <c r="BG550" s="27" t="s">
        <v>8</v>
      </c>
      <c r="BH550" s="27" t="s">
        <v>7</v>
      </c>
      <c r="CI550" s="27" t="s">
        <v>8</v>
      </c>
      <c r="CJ550" s="27" t="s">
        <v>7</v>
      </c>
      <c r="CK550" s="27" t="s">
        <v>8</v>
      </c>
      <c r="CL550" s="27" t="s">
        <v>7</v>
      </c>
      <c r="CM550" s="27" t="s">
        <v>8</v>
      </c>
      <c r="CR550" s="27" t="s">
        <v>7</v>
      </c>
      <c r="CS550" s="27" t="s">
        <v>8</v>
      </c>
      <c r="CT550" s="27" t="s">
        <v>7</v>
      </c>
      <c r="CU550" s="27" t="s">
        <v>8</v>
      </c>
      <c r="CV550" s="27" t="s">
        <v>7</v>
      </c>
      <c r="CW550" s="27" t="s">
        <v>8</v>
      </c>
      <c r="CX550" s="27" t="s">
        <v>7</v>
      </c>
      <c r="CY550" s="27" t="s">
        <v>8</v>
      </c>
      <c r="DJ550" s="27" t="s">
        <v>7</v>
      </c>
      <c r="DK550" s="27" t="s">
        <v>8</v>
      </c>
      <c r="DL550" s="27" t="s">
        <v>7</v>
      </c>
      <c r="EQ550" s="27" t="s">
        <v>8</v>
      </c>
      <c r="EU550" s="27" t="s">
        <v>8</v>
      </c>
      <c r="EV550" s="27" t="s">
        <v>7</v>
      </c>
      <c r="EW550" s="27" t="s">
        <v>8</v>
      </c>
      <c r="EX550" s="27" t="s">
        <v>7</v>
      </c>
      <c r="EY550" s="27" t="s">
        <v>8</v>
      </c>
      <c r="EZ550" s="27" t="s">
        <v>7</v>
      </c>
      <c r="FA550" s="27" t="s">
        <v>8</v>
      </c>
      <c r="FJ550" s="27" t="s">
        <v>7</v>
      </c>
      <c r="FK550" s="27" t="s">
        <v>8</v>
      </c>
      <c r="FN550" s="27" t="s">
        <v>7</v>
      </c>
      <c r="FO550" s="27" t="s">
        <v>8</v>
      </c>
      <c r="FP550" s="27" t="s">
        <v>7</v>
      </c>
      <c r="FU550" s="27" t="s">
        <v>8</v>
      </c>
      <c r="FV550" s="27" t="s">
        <v>7</v>
      </c>
      <c r="FW550" s="27" t="s">
        <v>8</v>
      </c>
      <c r="GD550" s="27" t="s">
        <v>7</v>
      </c>
      <c r="GE550" s="27" t="s">
        <v>8</v>
      </c>
      <c r="GF550" s="27" t="s">
        <v>7</v>
      </c>
      <c r="GG550" s="27" t="s">
        <v>8</v>
      </c>
      <c r="GH550" s="27" t="s">
        <v>7</v>
      </c>
      <c r="GI550" s="27" t="s">
        <v>8</v>
      </c>
      <c r="GJ550" s="27" t="s">
        <v>7</v>
      </c>
      <c r="GL550" s="27" t="s">
        <v>7</v>
      </c>
      <c r="GM550" s="27" t="s">
        <v>8</v>
      </c>
      <c r="GN550" s="27" t="s">
        <v>7</v>
      </c>
      <c r="GO550" s="27" t="s">
        <v>8</v>
      </c>
      <c r="GP550" s="27" t="s">
        <v>7</v>
      </c>
      <c r="GQ550" s="27" t="s">
        <v>8</v>
      </c>
      <c r="GR550" s="27" t="s">
        <v>7</v>
      </c>
      <c r="GS550" s="27" t="s">
        <v>8</v>
      </c>
      <c r="GU550" s="27" t="s">
        <v>8</v>
      </c>
      <c r="GV550" s="27" t="s">
        <v>7</v>
      </c>
      <c r="GW550" s="27" t="s">
        <v>8</v>
      </c>
      <c r="GX550" s="27" t="s">
        <v>7</v>
      </c>
    </row>
    <row r="551" spans="1:210" x14ac:dyDescent="0.25">
      <c r="A551" s="7">
        <v>2.0398873437157055</v>
      </c>
      <c r="B551"/>
      <c r="C551"/>
      <c r="D551"/>
      <c r="E551"/>
      <c r="BG551" s="27" t="s">
        <v>8</v>
      </c>
      <c r="BH551" s="27" t="s">
        <v>7</v>
      </c>
      <c r="CI551" s="27" t="s">
        <v>8</v>
      </c>
      <c r="CJ551" s="27" t="s">
        <v>7</v>
      </c>
      <c r="CK551" s="27" t="s">
        <v>8</v>
      </c>
      <c r="CL551" s="27" t="s">
        <v>7</v>
      </c>
      <c r="CR551" s="27" t="s">
        <v>7</v>
      </c>
      <c r="CS551" s="27" t="s">
        <v>8</v>
      </c>
      <c r="CT551" s="27" t="s">
        <v>7</v>
      </c>
      <c r="CU551" s="27" t="s">
        <v>8</v>
      </c>
      <c r="CV551" s="27" t="s">
        <v>7</v>
      </c>
      <c r="CW551" s="27" t="s">
        <v>8</v>
      </c>
      <c r="CX551" s="27" t="s">
        <v>7</v>
      </c>
      <c r="CY551" s="27" t="s">
        <v>8</v>
      </c>
      <c r="DJ551" s="27" t="s">
        <v>7</v>
      </c>
      <c r="DK551" s="27" t="s">
        <v>8</v>
      </c>
      <c r="DL551" s="27" t="s">
        <v>7</v>
      </c>
      <c r="EE551" s="27" t="s">
        <v>8</v>
      </c>
      <c r="EI551" s="27" t="s">
        <v>8</v>
      </c>
      <c r="EQ551" s="27" t="s">
        <v>8</v>
      </c>
      <c r="ER551" s="27" t="s">
        <v>7</v>
      </c>
      <c r="EU551" s="27" t="s">
        <v>8</v>
      </c>
      <c r="EV551" s="27" t="s">
        <v>7</v>
      </c>
      <c r="EW551" s="27" t="s">
        <v>8</v>
      </c>
      <c r="EX551" s="27" t="s">
        <v>7</v>
      </c>
      <c r="EY551" s="27" t="s">
        <v>8</v>
      </c>
      <c r="EZ551" s="27" t="s">
        <v>7</v>
      </c>
      <c r="FA551" s="27" t="s">
        <v>8</v>
      </c>
      <c r="FJ551" s="27" t="s">
        <v>7</v>
      </c>
      <c r="FN551" s="27" t="s">
        <v>7</v>
      </c>
      <c r="FO551" s="27" t="s">
        <v>8</v>
      </c>
      <c r="FP551" s="27" t="s">
        <v>7</v>
      </c>
      <c r="FU551" s="27" t="s">
        <v>8</v>
      </c>
      <c r="FV551" s="27" t="s">
        <v>7</v>
      </c>
      <c r="FW551" s="27" t="s">
        <v>8</v>
      </c>
      <c r="GD551" s="27" t="s">
        <v>7</v>
      </c>
      <c r="GE551" s="27" t="s">
        <v>8</v>
      </c>
      <c r="GF551" s="27" t="s">
        <v>7</v>
      </c>
      <c r="GH551" s="27" t="s">
        <v>7</v>
      </c>
      <c r="GI551" s="27" t="s">
        <v>8</v>
      </c>
      <c r="GL551" s="27" t="s">
        <v>7</v>
      </c>
      <c r="GM551" s="27" t="s">
        <v>8</v>
      </c>
      <c r="GN551" s="27" t="s">
        <v>7</v>
      </c>
      <c r="GP551" s="27" t="s">
        <v>7</v>
      </c>
      <c r="GQ551" s="27" t="s">
        <v>8</v>
      </c>
      <c r="GR551" s="27" t="s">
        <v>7</v>
      </c>
      <c r="GS551" s="27" t="s">
        <v>8</v>
      </c>
      <c r="GT551" s="27" t="s">
        <v>7</v>
      </c>
      <c r="GU551" s="27" t="s">
        <v>8</v>
      </c>
      <c r="GV551" s="27" t="s">
        <v>7</v>
      </c>
      <c r="GW551" s="27" t="s">
        <v>8</v>
      </c>
      <c r="GX551" s="27" t="s">
        <v>7</v>
      </c>
    </row>
    <row r="552" spans="1:210" x14ac:dyDescent="0.25">
      <c r="A552" s="7">
        <v>1.9998895526624565</v>
      </c>
      <c r="B552"/>
      <c r="C552"/>
      <c r="D552"/>
      <c r="E552"/>
      <c r="BG552" s="27" t="s">
        <v>8</v>
      </c>
      <c r="BH552" s="27" t="s">
        <v>7</v>
      </c>
      <c r="CI552" s="27" t="s">
        <v>8</v>
      </c>
      <c r="CJ552" s="27" t="s">
        <v>7</v>
      </c>
      <c r="CK552" s="27" t="s">
        <v>8</v>
      </c>
      <c r="CR552" s="27" t="s">
        <v>7</v>
      </c>
      <c r="CS552" s="27" t="s">
        <v>8</v>
      </c>
      <c r="CT552" s="27" t="s">
        <v>7</v>
      </c>
      <c r="CU552" s="27" t="s">
        <v>8</v>
      </c>
      <c r="CV552" s="27" t="s">
        <v>7</v>
      </c>
      <c r="CW552" s="27" t="s">
        <v>8</v>
      </c>
      <c r="CX552" s="27" t="s">
        <v>7</v>
      </c>
      <c r="CY552" s="27" t="s">
        <v>8</v>
      </c>
      <c r="DJ552" s="27" t="s">
        <v>7</v>
      </c>
      <c r="DK552" s="27" t="s">
        <v>8</v>
      </c>
      <c r="DL552" s="27" t="s">
        <v>7</v>
      </c>
      <c r="EE552" s="27" t="s">
        <v>8</v>
      </c>
      <c r="EF552" s="27" t="s">
        <v>7</v>
      </c>
      <c r="EI552" s="27" t="s">
        <v>8</v>
      </c>
      <c r="EJ552" s="27" t="s">
        <v>7</v>
      </c>
      <c r="EM552" s="27" t="s">
        <v>8</v>
      </c>
      <c r="EQ552" s="27" t="s">
        <v>8</v>
      </c>
      <c r="ER552" s="27" t="s">
        <v>7</v>
      </c>
      <c r="EU552" s="27" t="s">
        <v>8</v>
      </c>
      <c r="EV552" s="27" t="s">
        <v>7</v>
      </c>
      <c r="EW552" s="27" t="s">
        <v>8</v>
      </c>
      <c r="EX552" s="27" t="s">
        <v>7</v>
      </c>
      <c r="EZ552" s="27" t="s">
        <v>7</v>
      </c>
      <c r="FN552" s="27" t="s">
        <v>7</v>
      </c>
      <c r="FO552" s="27" t="s">
        <v>8</v>
      </c>
      <c r="FP552" s="27" t="s">
        <v>7</v>
      </c>
      <c r="FQ552" s="27" t="s">
        <v>8</v>
      </c>
      <c r="FU552" s="27" t="s">
        <v>8</v>
      </c>
      <c r="FV552" s="27" t="s">
        <v>7</v>
      </c>
      <c r="FW552" s="27" t="s">
        <v>8</v>
      </c>
      <c r="GD552" s="27" t="s">
        <v>7</v>
      </c>
      <c r="GH552" s="27" t="s">
        <v>7</v>
      </c>
      <c r="GI552" s="27" t="s">
        <v>8</v>
      </c>
      <c r="GL552" s="27" t="s">
        <v>7</v>
      </c>
      <c r="GM552" s="27" t="s">
        <v>8</v>
      </c>
      <c r="GP552" s="27" t="s">
        <v>7</v>
      </c>
      <c r="GQ552" s="27" t="s">
        <v>8</v>
      </c>
      <c r="GR552" s="27" t="s">
        <v>7</v>
      </c>
      <c r="GS552" s="27" t="s">
        <v>8</v>
      </c>
      <c r="GT552" s="27" t="s">
        <v>7</v>
      </c>
      <c r="GU552" s="27" t="s">
        <v>8</v>
      </c>
      <c r="GV552" s="27" t="s">
        <v>7</v>
      </c>
      <c r="GW552" s="27" t="s">
        <v>8</v>
      </c>
      <c r="GX552" s="27" t="s">
        <v>7</v>
      </c>
    </row>
    <row r="553" spans="1:210" x14ac:dyDescent="0.25">
      <c r="A553" s="7">
        <v>1.9606760320220162</v>
      </c>
      <c r="B553"/>
      <c r="C553"/>
      <c r="D553"/>
      <c r="E553"/>
      <c r="BG553" s="27" t="s">
        <v>8</v>
      </c>
      <c r="BH553" s="27" t="s">
        <v>7</v>
      </c>
      <c r="BK553" s="27" t="s">
        <v>8</v>
      </c>
      <c r="CG553" s="27" t="s">
        <v>8</v>
      </c>
      <c r="CI553" s="27" t="s">
        <v>8</v>
      </c>
      <c r="CJ553" s="27" t="s">
        <v>7</v>
      </c>
      <c r="CR553" s="27" t="s">
        <v>7</v>
      </c>
      <c r="CS553" s="27" t="s">
        <v>8</v>
      </c>
      <c r="CT553" s="27" t="s">
        <v>7</v>
      </c>
      <c r="CU553" s="27" t="s">
        <v>8</v>
      </c>
      <c r="CV553" s="27" t="s">
        <v>7</v>
      </c>
      <c r="CW553" s="27" t="s">
        <v>8</v>
      </c>
      <c r="CX553" s="27" t="s">
        <v>7</v>
      </c>
      <c r="CY553" s="27" t="s">
        <v>8</v>
      </c>
      <c r="DJ553" s="27" t="s">
        <v>7</v>
      </c>
      <c r="DK553" s="27" t="s">
        <v>8</v>
      </c>
      <c r="DL553" s="27" t="s">
        <v>7</v>
      </c>
      <c r="DO553" s="27" t="s">
        <v>8</v>
      </c>
      <c r="EE553" s="27" t="s">
        <v>8</v>
      </c>
      <c r="EF553" s="27" t="s">
        <v>7</v>
      </c>
      <c r="EI553" s="27" t="s">
        <v>8</v>
      </c>
      <c r="EJ553" s="27" t="s">
        <v>7</v>
      </c>
      <c r="EM553" s="27" t="s">
        <v>8</v>
      </c>
      <c r="EN553" s="27" t="s">
        <v>7</v>
      </c>
      <c r="EQ553" s="27" t="s">
        <v>8</v>
      </c>
      <c r="ER553" s="27" t="s">
        <v>7</v>
      </c>
      <c r="ES553" s="27" t="s">
        <v>8</v>
      </c>
      <c r="EU553" s="27" t="s">
        <v>8</v>
      </c>
      <c r="EV553" s="27" t="s">
        <v>7</v>
      </c>
      <c r="EW553" s="27" t="s">
        <v>8</v>
      </c>
      <c r="FN553" s="27" t="s">
        <v>7</v>
      </c>
      <c r="FO553" s="27" t="s">
        <v>8</v>
      </c>
      <c r="FP553" s="27" t="s">
        <v>7</v>
      </c>
      <c r="FQ553" s="27" t="s">
        <v>8</v>
      </c>
      <c r="FR553" s="27" t="s">
        <v>7</v>
      </c>
      <c r="FU553" s="27" t="s">
        <v>8</v>
      </c>
      <c r="FV553" s="27" t="s">
        <v>7</v>
      </c>
      <c r="GH553" s="27" t="s">
        <v>7</v>
      </c>
      <c r="GI553" s="27" t="s">
        <v>8</v>
      </c>
      <c r="GL553" s="27" t="s">
        <v>7</v>
      </c>
      <c r="GP553" s="27" t="s">
        <v>7</v>
      </c>
      <c r="GQ553" s="27" t="s">
        <v>8</v>
      </c>
      <c r="GR553" s="27" t="s">
        <v>7</v>
      </c>
      <c r="GS553" s="27" t="s">
        <v>8</v>
      </c>
      <c r="GT553" s="27" t="s">
        <v>7</v>
      </c>
      <c r="GU553" s="27" t="s">
        <v>8</v>
      </c>
      <c r="GV553" s="27" t="s">
        <v>7</v>
      </c>
      <c r="GX553" s="27" t="s">
        <v>7</v>
      </c>
    </row>
    <row r="554" spans="1:210" x14ac:dyDescent="0.25">
      <c r="A554" s="7">
        <v>1.9222314039431532</v>
      </c>
      <c r="B554"/>
      <c r="C554"/>
      <c r="D554"/>
      <c r="E554"/>
      <c r="BG554" s="27" t="s">
        <v>8</v>
      </c>
      <c r="BH554" s="27" t="s">
        <v>7</v>
      </c>
      <c r="BK554" s="27" t="s">
        <v>8</v>
      </c>
      <c r="BL554" s="27" t="s">
        <v>7</v>
      </c>
      <c r="CG554" s="27" t="s">
        <v>8</v>
      </c>
      <c r="CH554" s="27" t="s">
        <v>7</v>
      </c>
      <c r="CI554" s="27" t="s">
        <v>8</v>
      </c>
      <c r="CR554" s="27" t="s">
        <v>7</v>
      </c>
      <c r="CS554" s="27" t="s">
        <v>8</v>
      </c>
      <c r="CT554" s="27" t="s">
        <v>7</v>
      </c>
      <c r="CU554" s="27" t="s">
        <v>8</v>
      </c>
      <c r="CV554" s="27" t="s">
        <v>7</v>
      </c>
      <c r="CW554" s="27" t="s">
        <v>8</v>
      </c>
      <c r="CX554" s="27" t="s">
        <v>7</v>
      </c>
      <c r="DJ554" s="27" t="s">
        <v>7</v>
      </c>
      <c r="DK554" s="27" t="s">
        <v>8</v>
      </c>
      <c r="DL554" s="27" t="s">
        <v>7</v>
      </c>
      <c r="DO554" s="27" t="s">
        <v>8</v>
      </c>
      <c r="DP554" s="27" t="s">
        <v>7</v>
      </c>
      <c r="EE554" s="27" t="s">
        <v>8</v>
      </c>
      <c r="EF554" s="27" t="s">
        <v>7</v>
      </c>
      <c r="EI554" s="27" t="s">
        <v>8</v>
      </c>
      <c r="EJ554" s="27" t="s">
        <v>7</v>
      </c>
      <c r="EM554" s="27" t="s">
        <v>8</v>
      </c>
      <c r="EN554" s="27" t="s">
        <v>7</v>
      </c>
      <c r="EQ554" s="27" t="s">
        <v>8</v>
      </c>
      <c r="ER554" s="27" t="s">
        <v>7</v>
      </c>
      <c r="ES554" s="27" t="s">
        <v>8</v>
      </c>
      <c r="ET554" s="27" t="s">
        <v>7</v>
      </c>
      <c r="EU554" s="27" t="s">
        <v>8</v>
      </c>
      <c r="EV554" s="27" t="s">
        <v>7</v>
      </c>
      <c r="FN554" s="27" t="s">
        <v>7</v>
      </c>
      <c r="FO554" s="27" t="s">
        <v>8</v>
      </c>
      <c r="FP554" s="27" t="s">
        <v>7</v>
      </c>
      <c r="FQ554" s="27" t="s">
        <v>8</v>
      </c>
      <c r="FR554" s="27" t="s">
        <v>7</v>
      </c>
      <c r="FU554" s="27" t="s">
        <v>8</v>
      </c>
      <c r="GH554" s="27" t="s">
        <v>7</v>
      </c>
      <c r="GI554" s="27" t="s">
        <v>8</v>
      </c>
      <c r="GP554" s="27" t="s">
        <v>7</v>
      </c>
      <c r="GQ554" s="27" t="s">
        <v>8</v>
      </c>
      <c r="GR554" s="27" t="s">
        <v>7</v>
      </c>
      <c r="GS554" s="27" t="s">
        <v>8</v>
      </c>
      <c r="GT554" s="27" t="s">
        <v>7</v>
      </c>
      <c r="GX554" s="27" t="s">
        <v>7</v>
      </c>
    </row>
    <row r="555" spans="1:210" x14ac:dyDescent="0.25">
      <c r="A555" s="7">
        <v>1.8845405921011305</v>
      </c>
      <c r="B555"/>
      <c r="C555"/>
      <c r="D555"/>
      <c r="E555"/>
      <c r="BG555" s="27" t="s">
        <v>8</v>
      </c>
      <c r="BH555" s="27" t="s">
        <v>7</v>
      </c>
      <c r="BK555" s="27" t="s">
        <v>8</v>
      </c>
      <c r="BL555" s="27" t="s">
        <v>7</v>
      </c>
      <c r="CG555" s="27" t="s">
        <v>8</v>
      </c>
      <c r="CH555" s="27" t="s">
        <v>7</v>
      </c>
      <c r="CI555" s="27" t="s">
        <v>8</v>
      </c>
      <c r="CR555" s="27" t="s">
        <v>7</v>
      </c>
      <c r="CT555" s="27" t="s">
        <v>7</v>
      </c>
      <c r="CU555" s="27" t="s">
        <v>8</v>
      </c>
      <c r="CV555" s="27" t="s">
        <v>7</v>
      </c>
      <c r="CW555" s="27" t="s">
        <v>8</v>
      </c>
      <c r="DJ555" s="27" t="s">
        <v>7</v>
      </c>
      <c r="DK555" s="27" t="s">
        <v>8</v>
      </c>
      <c r="DL555" s="27" t="s">
        <v>7</v>
      </c>
      <c r="DO555" s="27" t="s">
        <v>8</v>
      </c>
      <c r="DP555" s="27" t="s">
        <v>7</v>
      </c>
      <c r="EC555" s="27" t="s">
        <v>8</v>
      </c>
      <c r="EE555" s="27" t="s">
        <v>8</v>
      </c>
      <c r="EF555" s="27" t="s">
        <v>7</v>
      </c>
      <c r="EI555" s="27" t="s">
        <v>8</v>
      </c>
      <c r="EJ555" s="27" t="s">
        <v>7</v>
      </c>
      <c r="EM555" s="27" t="s">
        <v>8</v>
      </c>
      <c r="EN555" s="27" t="s">
        <v>7</v>
      </c>
      <c r="EQ555" s="27" t="s">
        <v>8</v>
      </c>
      <c r="ER555" s="27" t="s">
        <v>7</v>
      </c>
      <c r="ES555" s="27" t="s">
        <v>8</v>
      </c>
      <c r="ET555" s="27" t="s">
        <v>7</v>
      </c>
      <c r="EU555" s="27" t="s">
        <v>8</v>
      </c>
      <c r="FN555" s="27" t="s">
        <v>7</v>
      </c>
      <c r="FP555" s="27" t="s">
        <v>7</v>
      </c>
      <c r="FQ555" s="27" t="s">
        <v>8</v>
      </c>
      <c r="FR555" s="27" t="s">
        <v>7</v>
      </c>
      <c r="FS555" s="27" t="s">
        <v>8</v>
      </c>
      <c r="FU555" s="27" t="s">
        <v>8</v>
      </c>
      <c r="GH555" s="27" t="s">
        <v>7</v>
      </c>
      <c r="GI555" s="27" t="s">
        <v>8</v>
      </c>
      <c r="GP555" s="27" t="s">
        <v>7</v>
      </c>
      <c r="GR555" s="27" t="s">
        <v>7</v>
      </c>
      <c r="GX555" s="27" t="s">
        <v>7</v>
      </c>
    </row>
    <row r="556" spans="1:210" x14ac:dyDescent="0.25">
      <c r="A556" s="7">
        <v>1.8475888157854219</v>
      </c>
      <c r="B556"/>
      <c r="C556"/>
      <c r="D556"/>
      <c r="E556"/>
      <c r="BG556" s="27" t="s">
        <v>8</v>
      </c>
      <c r="BH556" s="27" t="s">
        <v>7</v>
      </c>
      <c r="BK556" s="27" t="s">
        <v>8</v>
      </c>
      <c r="BL556" s="27" t="s">
        <v>7</v>
      </c>
      <c r="CG556" s="27" t="s">
        <v>8</v>
      </c>
      <c r="CH556" s="27" t="s">
        <v>7</v>
      </c>
      <c r="CI556" s="27" t="s">
        <v>8</v>
      </c>
      <c r="CT556" s="27" t="s">
        <v>7</v>
      </c>
      <c r="CU556" s="27" t="s">
        <v>8</v>
      </c>
      <c r="CV556" s="27" t="s">
        <v>7</v>
      </c>
      <c r="CW556" s="27" t="s">
        <v>8</v>
      </c>
      <c r="DJ556" s="27" t="s">
        <v>7</v>
      </c>
      <c r="DK556" s="27" t="s">
        <v>8</v>
      </c>
      <c r="DL556" s="27" t="s">
        <v>7</v>
      </c>
      <c r="DO556" s="27" t="s">
        <v>8</v>
      </c>
      <c r="DP556" s="27" t="s">
        <v>7</v>
      </c>
      <c r="EC556" s="27" t="s">
        <v>8</v>
      </c>
      <c r="ED556" s="27" t="s">
        <v>7</v>
      </c>
      <c r="EE556" s="27" t="s">
        <v>8</v>
      </c>
      <c r="EF556" s="27" t="s">
        <v>7</v>
      </c>
      <c r="EI556" s="27" t="s">
        <v>8</v>
      </c>
      <c r="EJ556" s="27" t="s">
        <v>7</v>
      </c>
      <c r="EM556" s="27" t="s">
        <v>8</v>
      </c>
      <c r="EN556" s="27" t="s">
        <v>7</v>
      </c>
      <c r="EQ556" s="27" t="s">
        <v>8</v>
      </c>
      <c r="ER556" s="27" t="s">
        <v>7</v>
      </c>
      <c r="ET556" s="27" t="s">
        <v>7</v>
      </c>
      <c r="FP556" s="27" t="s">
        <v>7</v>
      </c>
      <c r="FR556" s="27" t="s">
        <v>7</v>
      </c>
      <c r="FS556" s="27" t="s">
        <v>8</v>
      </c>
      <c r="FT556" s="27" t="s">
        <v>7</v>
      </c>
      <c r="FU556" s="27" t="s">
        <v>8</v>
      </c>
      <c r="GH556" s="27" t="s">
        <v>7</v>
      </c>
      <c r="GX556" s="27" t="s">
        <v>7</v>
      </c>
    </row>
    <row r="557" spans="1:210" x14ac:dyDescent="0.25">
      <c r="A557" s="7">
        <v>1.8113615841033548</v>
      </c>
      <c r="B557"/>
      <c r="C557"/>
      <c r="D557"/>
      <c r="E557"/>
      <c r="BG557" s="27" t="s">
        <v>8</v>
      </c>
      <c r="BH557" s="27" t="s">
        <v>7</v>
      </c>
      <c r="BK557" s="27" t="s">
        <v>8</v>
      </c>
      <c r="BL557" s="27" t="s">
        <v>7</v>
      </c>
      <c r="CG557" s="27" t="s">
        <v>8</v>
      </c>
      <c r="CH557" s="27" t="s">
        <v>7</v>
      </c>
      <c r="CI557" s="27" t="s">
        <v>8</v>
      </c>
      <c r="CT557" s="27" t="s">
        <v>7</v>
      </c>
      <c r="CV557" s="27" t="s">
        <v>7</v>
      </c>
      <c r="CW557" s="27" t="s">
        <v>8</v>
      </c>
      <c r="DJ557" s="27" t="s">
        <v>7</v>
      </c>
      <c r="DK557" s="27" t="s">
        <v>8</v>
      </c>
      <c r="DL557" s="27" t="s">
        <v>7</v>
      </c>
      <c r="DO557" s="27" t="s">
        <v>8</v>
      </c>
      <c r="DP557" s="27" t="s">
        <v>7</v>
      </c>
      <c r="DS557" s="27" t="s">
        <v>8</v>
      </c>
      <c r="EC557" s="27" t="s">
        <v>8</v>
      </c>
      <c r="ED557" s="27" t="s">
        <v>7</v>
      </c>
      <c r="EE557" s="27" t="s">
        <v>8</v>
      </c>
      <c r="EF557" s="27" t="s">
        <v>7</v>
      </c>
      <c r="EG557" s="27" t="s">
        <v>8</v>
      </c>
      <c r="EI557" s="27" t="s">
        <v>8</v>
      </c>
      <c r="EJ557" s="27" t="s">
        <v>7</v>
      </c>
      <c r="EM557" s="27" t="s">
        <v>8</v>
      </c>
      <c r="EN557" s="27" t="s">
        <v>7</v>
      </c>
      <c r="EO557" s="27" t="s">
        <v>8</v>
      </c>
      <c r="EQ557" s="27" t="s">
        <v>8</v>
      </c>
      <c r="FR557" s="27" t="s">
        <v>7</v>
      </c>
      <c r="FS557" s="27" t="s">
        <v>8</v>
      </c>
      <c r="FT557" s="27" t="s">
        <v>7</v>
      </c>
      <c r="FU557" s="27" t="s">
        <v>8</v>
      </c>
      <c r="GX557" s="27" t="s">
        <v>7</v>
      </c>
      <c r="HA557" s="27" t="s">
        <v>8</v>
      </c>
    </row>
    <row r="558" spans="1:210" x14ac:dyDescent="0.25">
      <c r="A558" s="7">
        <v>1.7758446902974065</v>
      </c>
      <c r="B558"/>
      <c r="C558"/>
      <c r="D558"/>
      <c r="E558"/>
      <c r="BG558" s="27" t="s">
        <v>8</v>
      </c>
      <c r="BH558" s="27" t="s">
        <v>7</v>
      </c>
      <c r="BK558" s="27" t="s">
        <v>8</v>
      </c>
      <c r="BL558" s="27" t="s">
        <v>7</v>
      </c>
      <c r="CE558" s="27" t="s">
        <v>8</v>
      </c>
      <c r="CG558" s="27" t="s">
        <v>8</v>
      </c>
      <c r="CH558" s="27" t="s">
        <v>7</v>
      </c>
      <c r="CV558" s="27" t="s">
        <v>7</v>
      </c>
      <c r="CW558" s="27" t="s">
        <v>8</v>
      </c>
      <c r="DJ558" s="27" t="s">
        <v>7</v>
      </c>
      <c r="DK558" s="27" t="s">
        <v>8</v>
      </c>
      <c r="DL558" s="27" t="s">
        <v>7</v>
      </c>
      <c r="DM558" s="27" t="s">
        <v>8</v>
      </c>
      <c r="DO558" s="27" t="s">
        <v>8</v>
      </c>
      <c r="DP558" s="27" t="s">
        <v>7</v>
      </c>
      <c r="DS558" s="27" t="s">
        <v>8</v>
      </c>
      <c r="DT558" s="27" t="s">
        <v>7</v>
      </c>
      <c r="EC558" s="27" t="s">
        <v>8</v>
      </c>
      <c r="ED558" s="27" t="s">
        <v>7</v>
      </c>
      <c r="EE558" s="27" t="s">
        <v>8</v>
      </c>
      <c r="EF558" s="27" t="s">
        <v>7</v>
      </c>
      <c r="EG558" s="27" t="s">
        <v>8</v>
      </c>
      <c r="EH558" s="27" t="s">
        <v>7</v>
      </c>
      <c r="EI558" s="27" t="s">
        <v>8</v>
      </c>
      <c r="EJ558" s="27" t="s">
        <v>7</v>
      </c>
      <c r="EM558" s="27" t="s">
        <v>8</v>
      </c>
      <c r="EN558" s="27" t="s">
        <v>7</v>
      </c>
      <c r="EO558" s="27" t="s">
        <v>8</v>
      </c>
      <c r="EP558" s="27" t="s">
        <v>7</v>
      </c>
      <c r="EQ558" s="27" t="s">
        <v>8</v>
      </c>
      <c r="FR558" s="27" t="s">
        <v>7</v>
      </c>
      <c r="FS558" s="27" t="s">
        <v>8</v>
      </c>
      <c r="FT558" s="27" t="s">
        <v>7</v>
      </c>
      <c r="FU558" s="27" t="s">
        <v>8</v>
      </c>
      <c r="GX558" s="27" t="s">
        <v>7</v>
      </c>
      <c r="HA558" s="27" t="s">
        <v>8</v>
      </c>
      <c r="HB558" s="27" t="s">
        <v>7</v>
      </c>
    </row>
    <row r="559" spans="1:210" x14ac:dyDescent="0.25">
      <c r="A559" s="7">
        <v>1.7410242061739281</v>
      </c>
      <c r="B559"/>
      <c r="C559"/>
      <c r="D559"/>
      <c r="E559"/>
      <c r="BG559" s="27" t="s">
        <v>8</v>
      </c>
      <c r="BH559" s="27" t="s">
        <v>7</v>
      </c>
      <c r="BK559" s="27" t="s">
        <v>8</v>
      </c>
      <c r="BL559" s="27" t="s">
        <v>7</v>
      </c>
      <c r="CA559" s="27" t="s">
        <v>8</v>
      </c>
      <c r="CE559" s="27" t="s">
        <v>8</v>
      </c>
      <c r="CF559" s="27" t="s">
        <v>7</v>
      </c>
      <c r="CG559" s="27" t="s">
        <v>8</v>
      </c>
      <c r="CV559" s="27" t="s">
        <v>7</v>
      </c>
      <c r="CW559" s="27" t="s">
        <v>8</v>
      </c>
      <c r="DJ559" s="27" t="s">
        <v>7</v>
      </c>
      <c r="DK559" s="27" t="s">
        <v>8</v>
      </c>
      <c r="DL559" s="27" t="s">
        <v>7</v>
      </c>
      <c r="DM559" s="27" t="s">
        <v>8</v>
      </c>
      <c r="DN559" s="27" t="s">
        <v>7</v>
      </c>
      <c r="DO559" s="27" t="s">
        <v>8</v>
      </c>
      <c r="DP559" s="27" t="s">
        <v>7</v>
      </c>
      <c r="DS559" s="27" t="s">
        <v>8</v>
      </c>
      <c r="DT559" s="27" t="s">
        <v>7</v>
      </c>
      <c r="EC559" s="27" t="s">
        <v>8</v>
      </c>
      <c r="ED559" s="27" t="s">
        <v>7</v>
      </c>
      <c r="EE559" s="27" t="s">
        <v>8</v>
      </c>
      <c r="EF559" s="27" t="s">
        <v>7</v>
      </c>
      <c r="EG559" s="27" t="s">
        <v>8</v>
      </c>
      <c r="EH559" s="27" t="s">
        <v>7</v>
      </c>
      <c r="EI559" s="27" t="s">
        <v>8</v>
      </c>
      <c r="EJ559" s="27" t="s">
        <v>7</v>
      </c>
      <c r="EM559" s="27" t="s">
        <v>8</v>
      </c>
      <c r="EN559" s="27" t="s">
        <v>7</v>
      </c>
      <c r="EO559" s="27" t="s">
        <v>8</v>
      </c>
      <c r="EP559" s="27" t="s">
        <v>7</v>
      </c>
      <c r="EQ559" s="27" t="s">
        <v>8</v>
      </c>
      <c r="FR559" s="27" t="s">
        <v>7</v>
      </c>
      <c r="FT559" s="27" t="s">
        <v>7</v>
      </c>
      <c r="FU559" s="27" t="s">
        <v>8</v>
      </c>
      <c r="GX559" s="27" t="s">
        <v>7</v>
      </c>
      <c r="HA559" s="27" t="s">
        <v>8</v>
      </c>
      <c r="HB559" s="27" t="s">
        <v>7</v>
      </c>
    </row>
    <row r="560" spans="1:210" x14ac:dyDescent="0.25">
      <c r="A560" s="7">
        <v>1.7068864766411058</v>
      </c>
      <c r="B560"/>
      <c r="C560"/>
      <c r="D560"/>
      <c r="E560"/>
      <c r="BG560" s="27" t="s">
        <v>8</v>
      </c>
      <c r="BH560" s="27" t="s">
        <v>7</v>
      </c>
      <c r="BI560" s="27" t="s">
        <v>8</v>
      </c>
      <c r="BK560" s="27" t="s">
        <v>8</v>
      </c>
      <c r="BL560" s="27" t="s">
        <v>7</v>
      </c>
      <c r="BU560" s="27" t="s">
        <v>8</v>
      </c>
      <c r="CA560" s="27" t="s">
        <v>8</v>
      </c>
      <c r="CB560" s="27" t="s">
        <v>7</v>
      </c>
      <c r="CE560" s="27" t="s">
        <v>8</v>
      </c>
      <c r="CF560" s="27" t="s">
        <v>7</v>
      </c>
      <c r="CG560" s="27" t="s">
        <v>8</v>
      </c>
      <c r="CV560" s="27" t="s">
        <v>7</v>
      </c>
      <c r="CW560" s="27" t="s">
        <v>8</v>
      </c>
      <c r="DJ560" s="27" t="s">
        <v>7</v>
      </c>
      <c r="DK560" s="27" t="s">
        <v>8</v>
      </c>
      <c r="DL560" s="27" t="s">
        <v>7</v>
      </c>
      <c r="DM560" s="27" t="s">
        <v>8</v>
      </c>
      <c r="DN560" s="27" t="s">
        <v>7</v>
      </c>
      <c r="DO560" s="27" t="s">
        <v>8</v>
      </c>
      <c r="DP560" s="27" t="s">
        <v>7</v>
      </c>
      <c r="DS560" s="27" t="s">
        <v>8</v>
      </c>
      <c r="DT560" s="27" t="s">
        <v>7</v>
      </c>
      <c r="EC560" s="27" t="s">
        <v>8</v>
      </c>
      <c r="ED560" s="27" t="s">
        <v>7</v>
      </c>
      <c r="EE560" s="27" t="s">
        <v>8</v>
      </c>
      <c r="EF560" s="27" t="s">
        <v>7</v>
      </c>
      <c r="EG560" s="27" t="s">
        <v>8</v>
      </c>
      <c r="EH560" s="27" t="s">
        <v>7</v>
      </c>
      <c r="EI560" s="27" t="s">
        <v>8</v>
      </c>
      <c r="EJ560" s="27" t="s">
        <v>7</v>
      </c>
      <c r="EM560" s="27" t="s">
        <v>8</v>
      </c>
      <c r="EN560" s="27" t="s">
        <v>7</v>
      </c>
      <c r="EO560" s="27" t="s">
        <v>8</v>
      </c>
      <c r="EP560" s="27" t="s">
        <v>7</v>
      </c>
      <c r="EQ560" s="27" t="s">
        <v>8</v>
      </c>
      <c r="FT560" s="27" t="s">
        <v>7</v>
      </c>
      <c r="FU560" s="27" t="s">
        <v>8</v>
      </c>
      <c r="GX560" s="27" t="s">
        <v>7</v>
      </c>
      <c r="GY560" s="27" t="s">
        <v>8</v>
      </c>
      <c r="HA560" s="27" t="s">
        <v>8</v>
      </c>
      <c r="HB560" s="27" t="s">
        <v>7</v>
      </c>
    </row>
    <row r="561" spans="1:230" x14ac:dyDescent="0.25">
      <c r="A561" s="7">
        <v>1.6734181143540252</v>
      </c>
      <c r="B561"/>
      <c r="C561"/>
      <c r="D561"/>
      <c r="E561"/>
      <c r="BG561" s="27" t="s">
        <v>8</v>
      </c>
      <c r="BH561" s="27" t="s">
        <v>7</v>
      </c>
      <c r="BI561" s="27" t="s">
        <v>8</v>
      </c>
      <c r="BJ561" s="27" t="s">
        <v>7</v>
      </c>
      <c r="BK561" s="27" t="s">
        <v>8</v>
      </c>
      <c r="BL561" s="27" t="s">
        <v>7</v>
      </c>
      <c r="BU561" s="27" t="s">
        <v>8</v>
      </c>
      <c r="BV561" s="27" t="s">
        <v>7</v>
      </c>
      <c r="CA561" s="27" t="s">
        <v>8</v>
      </c>
      <c r="CB561" s="27" t="s">
        <v>7</v>
      </c>
      <c r="CE561" s="27" t="s">
        <v>8</v>
      </c>
      <c r="CF561" s="27" t="s">
        <v>7</v>
      </c>
      <c r="CG561" s="27" t="s">
        <v>8</v>
      </c>
      <c r="CV561" s="27" t="s">
        <v>7</v>
      </c>
      <c r="CW561" s="27" t="s">
        <v>8</v>
      </c>
      <c r="DJ561" s="27" t="s">
        <v>7</v>
      </c>
      <c r="DK561" s="27" t="s">
        <v>8</v>
      </c>
      <c r="DL561" s="27" t="s">
        <v>7</v>
      </c>
      <c r="DM561" s="27" t="s">
        <v>8</v>
      </c>
      <c r="DN561" s="27" t="s">
        <v>7</v>
      </c>
      <c r="DO561" s="27" t="s">
        <v>8</v>
      </c>
      <c r="DP561" s="27" t="s">
        <v>7</v>
      </c>
      <c r="DQ561" s="27" t="s">
        <v>8</v>
      </c>
      <c r="DS561" s="27" t="s">
        <v>8</v>
      </c>
      <c r="DT561" s="27" t="s">
        <v>7</v>
      </c>
      <c r="EC561" s="27" t="s">
        <v>8</v>
      </c>
      <c r="ED561" s="27" t="s">
        <v>7</v>
      </c>
      <c r="EE561" s="27" t="s">
        <v>8</v>
      </c>
      <c r="EF561" s="27" t="s">
        <v>7</v>
      </c>
      <c r="EG561" s="27" t="s">
        <v>8</v>
      </c>
      <c r="EH561" s="27" t="s">
        <v>7</v>
      </c>
      <c r="EI561" s="27" t="s">
        <v>8</v>
      </c>
      <c r="EJ561" s="27" t="s">
        <v>7</v>
      </c>
      <c r="EK561" s="27" t="s">
        <v>8</v>
      </c>
      <c r="EM561" s="27" t="s">
        <v>8</v>
      </c>
      <c r="EN561" s="27" t="s">
        <v>7</v>
      </c>
      <c r="EO561" s="27" t="s">
        <v>8</v>
      </c>
      <c r="EP561" s="27" t="s">
        <v>7</v>
      </c>
      <c r="EQ561" s="27" t="s">
        <v>8</v>
      </c>
      <c r="FT561" s="27" t="s">
        <v>7</v>
      </c>
      <c r="FU561" s="27" t="s">
        <v>8</v>
      </c>
      <c r="GX561" s="27" t="s">
        <v>7</v>
      </c>
      <c r="GY561" s="27" t="s">
        <v>8</v>
      </c>
      <c r="GZ561" s="27" t="s">
        <v>7</v>
      </c>
      <c r="HA561" s="27" t="s">
        <v>8</v>
      </c>
      <c r="HB561" s="27" t="s">
        <v>7</v>
      </c>
      <c r="HI561" s="27" t="s">
        <v>8</v>
      </c>
    </row>
    <row r="562" spans="1:230" x14ac:dyDescent="0.25">
      <c r="A562" s="7">
        <v>1.6406059944647307</v>
      </c>
      <c r="B562"/>
      <c r="C562"/>
      <c r="D562"/>
      <c r="E562"/>
      <c r="BG562" s="27" t="s">
        <v>8</v>
      </c>
      <c r="BH562" s="27" t="s">
        <v>7</v>
      </c>
      <c r="BI562" s="27" t="s">
        <v>8</v>
      </c>
      <c r="BJ562" s="27" t="s">
        <v>7</v>
      </c>
      <c r="BK562" s="27" t="s">
        <v>8</v>
      </c>
      <c r="BL562" s="27" t="s">
        <v>7</v>
      </c>
      <c r="BU562" s="27" t="s">
        <v>8</v>
      </c>
      <c r="BV562" s="27" t="s">
        <v>7</v>
      </c>
      <c r="CA562" s="27" t="s">
        <v>8</v>
      </c>
      <c r="CB562" s="27" t="s">
        <v>7</v>
      </c>
      <c r="CC562" s="27" t="s">
        <v>8</v>
      </c>
      <c r="CE562" s="27" t="s">
        <v>8</v>
      </c>
      <c r="CF562" s="27" t="s">
        <v>7</v>
      </c>
      <c r="CG562" s="27" t="s">
        <v>8</v>
      </c>
      <c r="CV562" s="27" t="s">
        <v>7</v>
      </c>
      <c r="CW562" s="27" t="s">
        <v>8</v>
      </c>
      <c r="DJ562" s="27" t="s">
        <v>7</v>
      </c>
      <c r="DK562" s="27" t="s">
        <v>8</v>
      </c>
      <c r="DL562" s="27" t="s">
        <v>7</v>
      </c>
      <c r="DM562" s="27" t="s">
        <v>8</v>
      </c>
      <c r="DN562" s="27" t="s">
        <v>7</v>
      </c>
      <c r="DO562" s="27" t="s">
        <v>8</v>
      </c>
      <c r="DP562" s="27" t="s">
        <v>7</v>
      </c>
      <c r="DQ562" s="27" t="s">
        <v>8</v>
      </c>
      <c r="DR562" s="27" t="s">
        <v>7</v>
      </c>
      <c r="DS562" s="27" t="s">
        <v>8</v>
      </c>
      <c r="DT562" s="27" t="s">
        <v>7</v>
      </c>
      <c r="EC562" s="27" t="s">
        <v>8</v>
      </c>
      <c r="ED562" s="27" t="s">
        <v>7</v>
      </c>
      <c r="EE562" s="27" t="s">
        <v>8</v>
      </c>
      <c r="EF562" s="27" t="s">
        <v>7</v>
      </c>
      <c r="EH562" s="27" t="s">
        <v>7</v>
      </c>
      <c r="EI562" s="27" t="s">
        <v>8</v>
      </c>
      <c r="EJ562" s="27" t="s">
        <v>7</v>
      </c>
      <c r="EK562" s="27" t="s">
        <v>8</v>
      </c>
      <c r="EL562" s="27" t="s">
        <v>7</v>
      </c>
      <c r="EM562" s="27" t="s">
        <v>8</v>
      </c>
      <c r="EN562" s="27" t="s">
        <v>7</v>
      </c>
      <c r="EO562" s="27" t="s">
        <v>8</v>
      </c>
      <c r="EP562" s="27" t="s">
        <v>7</v>
      </c>
      <c r="FT562" s="27" t="s">
        <v>7</v>
      </c>
      <c r="GX562" s="27" t="s">
        <v>7</v>
      </c>
      <c r="GY562" s="27" t="s">
        <v>8</v>
      </c>
      <c r="GZ562" s="27" t="s">
        <v>7</v>
      </c>
      <c r="HA562" s="27" t="s">
        <v>8</v>
      </c>
      <c r="HB562" s="27" t="s">
        <v>7</v>
      </c>
      <c r="HI562" s="27" t="s">
        <v>8</v>
      </c>
      <c r="HJ562" s="27" t="s">
        <v>7</v>
      </c>
    </row>
    <row r="563" spans="1:230" x14ac:dyDescent="0.25">
      <c r="A563" s="7">
        <v>1.6084372494752261</v>
      </c>
      <c r="B563"/>
      <c r="C563"/>
      <c r="D563"/>
      <c r="E563"/>
      <c r="BG563" s="27" t="s">
        <v>8</v>
      </c>
      <c r="BH563" s="27" t="s">
        <v>7</v>
      </c>
      <c r="BI563" s="27" t="s">
        <v>8</v>
      </c>
      <c r="BJ563" s="27" t="s">
        <v>7</v>
      </c>
      <c r="BK563" s="27" t="s">
        <v>8</v>
      </c>
      <c r="BL563" s="27" t="s">
        <v>7</v>
      </c>
      <c r="BU563" s="27" t="s">
        <v>8</v>
      </c>
      <c r="BV563" s="27" t="s">
        <v>7</v>
      </c>
      <c r="CA563" s="27" t="s">
        <v>8</v>
      </c>
      <c r="CB563" s="27" t="s">
        <v>7</v>
      </c>
      <c r="CC563" s="27" t="s">
        <v>8</v>
      </c>
      <c r="CD563" s="27" t="s">
        <v>7</v>
      </c>
      <c r="CE563" s="27" t="s">
        <v>8</v>
      </c>
      <c r="CF563" s="27" t="s">
        <v>7</v>
      </c>
      <c r="CG563" s="27" t="s">
        <v>8</v>
      </c>
      <c r="CV563" s="27" t="s">
        <v>7</v>
      </c>
      <c r="CW563" s="27" t="s">
        <v>8</v>
      </c>
      <c r="DJ563" s="27" t="s">
        <v>7</v>
      </c>
      <c r="DK563" s="27" t="s">
        <v>8</v>
      </c>
      <c r="DL563" s="27" t="s">
        <v>7</v>
      </c>
      <c r="DM563" s="27" t="s">
        <v>8</v>
      </c>
      <c r="DN563" s="27" t="s">
        <v>7</v>
      </c>
      <c r="DO563" s="27" t="s">
        <v>8</v>
      </c>
      <c r="DP563" s="27" t="s">
        <v>7</v>
      </c>
      <c r="DQ563" s="27" t="s">
        <v>8</v>
      </c>
      <c r="DR563" s="27" t="s">
        <v>7</v>
      </c>
      <c r="DS563" s="27" t="s">
        <v>8</v>
      </c>
      <c r="DT563" s="27" t="s">
        <v>7</v>
      </c>
      <c r="EC563" s="27" t="s">
        <v>8</v>
      </c>
      <c r="ED563" s="27" t="s">
        <v>7</v>
      </c>
      <c r="EE563" s="27" t="s">
        <v>8</v>
      </c>
      <c r="EH563" s="27" t="s">
        <v>7</v>
      </c>
      <c r="EI563" s="27" t="s">
        <v>8</v>
      </c>
      <c r="EJ563" s="27" t="s">
        <v>7</v>
      </c>
      <c r="EK563" s="27" t="s">
        <v>8</v>
      </c>
      <c r="EL563" s="27" t="s">
        <v>7</v>
      </c>
      <c r="EM563" s="27" t="s">
        <v>8</v>
      </c>
      <c r="EN563" s="27" t="s">
        <v>7</v>
      </c>
      <c r="EO563" s="27" t="s">
        <v>8</v>
      </c>
      <c r="GX563" s="27" t="s">
        <v>7</v>
      </c>
      <c r="GY563" s="27" t="s">
        <v>8</v>
      </c>
      <c r="GZ563" s="27" t="s">
        <v>7</v>
      </c>
      <c r="HA563" s="27" t="s">
        <v>8</v>
      </c>
      <c r="HB563" s="27" t="s">
        <v>7</v>
      </c>
      <c r="HI563" s="27" t="s">
        <v>8</v>
      </c>
      <c r="HJ563" s="27" t="s">
        <v>7</v>
      </c>
    </row>
    <row r="564" spans="1:230" x14ac:dyDescent="0.25">
      <c r="A564" s="7">
        <v>1.5768992641913981</v>
      </c>
      <c r="B564"/>
      <c r="C564"/>
      <c r="D564"/>
      <c r="E564"/>
      <c r="BG564" s="27" t="s">
        <v>8</v>
      </c>
      <c r="BH564" s="27" t="s">
        <v>7</v>
      </c>
      <c r="BI564" s="27" t="s">
        <v>8</v>
      </c>
      <c r="BJ564" s="27" t="s">
        <v>7</v>
      </c>
      <c r="BL564" s="27" t="s">
        <v>7</v>
      </c>
      <c r="BU564" s="27" t="s">
        <v>8</v>
      </c>
      <c r="BV564" s="27" t="s">
        <v>7</v>
      </c>
      <c r="CA564" s="27" t="s">
        <v>8</v>
      </c>
      <c r="CB564" s="27" t="s">
        <v>7</v>
      </c>
      <c r="CC564" s="27" t="s">
        <v>8</v>
      </c>
      <c r="CD564" s="27" t="s">
        <v>7</v>
      </c>
      <c r="CE564" s="27" t="s">
        <v>8</v>
      </c>
      <c r="CF564" s="27" t="s">
        <v>7</v>
      </c>
      <c r="CG564" s="27" t="s">
        <v>8</v>
      </c>
      <c r="CV564" s="27" t="s">
        <v>7</v>
      </c>
      <c r="CW564" s="27" t="s">
        <v>8</v>
      </c>
      <c r="DJ564" s="27" t="s">
        <v>7</v>
      </c>
      <c r="DK564" s="27" t="s">
        <v>8</v>
      </c>
      <c r="DL564" s="27" t="s">
        <v>7</v>
      </c>
      <c r="DM564" s="27" t="s">
        <v>8</v>
      </c>
      <c r="DN564" s="27" t="s">
        <v>7</v>
      </c>
      <c r="DO564" s="27" t="s">
        <v>8</v>
      </c>
      <c r="DP564" s="27" t="s">
        <v>7</v>
      </c>
      <c r="DQ564" s="27" t="s">
        <v>8</v>
      </c>
      <c r="DR564" s="27" t="s">
        <v>7</v>
      </c>
      <c r="DS564" s="27" t="s">
        <v>8</v>
      </c>
      <c r="DT564" s="27" t="s">
        <v>7</v>
      </c>
      <c r="DU564" s="27" t="s">
        <v>8</v>
      </c>
      <c r="EC564" s="27" t="s">
        <v>8</v>
      </c>
      <c r="ED564" s="27" t="s">
        <v>7</v>
      </c>
      <c r="EE564" s="27" t="s">
        <v>8</v>
      </c>
      <c r="EH564" s="27" t="s">
        <v>7</v>
      </c>
      <c r="EI564" s="27" t="s">
        <v>8</v>
      </c>
      <c r="EJ564" s="27" t="s">
        <v>7</v>
      </c>
      <c r="EK564" s="27" t="s">
        <v>8</v>
      </c>
      <c r="EL564" s="27" t="s">
        <v>7</v>
      </c>
      <c r="EM564" s="27" t="s">
        <v>8</v>
      </c>
      <c r="EN564" s="27" t="s">
        <v>7</v>
      </c>
      <c r="EO564" s="27" t="s">
        <v>8</v>
      </c>
      <c r="GX564" s="27" t="s">
        <v>7</v>
      </c>
      <c r="GY564" s="27" t="s">
        <v>8</v>
      </c>
      <c r="GZ564" s="27" t="s">
        <v>7</v>
      </c>
      <c r="HA564" s="27" t="s">
        <v>8</v>
      </c>
      <c r="HB564" s="27" t="s">
        <v>7</v>
      </c>
      <c r="HI564" s="27" t="s">
        <v>8</v>
      </c>
      <c r="HJ564" s="27" t="s">
        <v>7</v>
      </c>
      <c r="HK564" s="27" t="s">
        <v>8</v>
      </c>
      <c r="HM564" s="27" t="s">
        <v>8</v>
      </c>
    </row>
    <row r="565" spans="1:230" x14ac:dyDescent="0.25">
      <c r="A565" s="7">
        <v>1.5459796707758806</v>
      </c>
      <c r="B565"/>
      <c r="C565"/>
      <c r="D565"/>
      <c r="E565"/>
      <c r="BG565" s="27" t="s">
        <v>8</v>
      </c>
      <c r="BH565" s="27" t="s">
        <v>7</v>
      </c>
      <c r="BL565" s="27" t="s">
        <v>7</v>
      </c>
      <c r="BU565" s="27" t="s">
        <v>8</v>
      </c>
      <c r="BV565" s="27" t="s">
        <v>7</v>
      </c>
      <c r="BW565" s="27" t="s">
        <v>8</v>
      </c>
      <c r="BY565" s="27" t="s">
        <v>8</v>
      </c>
      <c r="CA565" s="27" t="s">
        <v>8</v>
      </c>
      <c r="CB565" s="27" t="s">
        <v>7</v>
      </c>
      <c r="CC565" s="27" t="s">
        <v>8</v>
      </c>
      <c r="CD565" s="27" t="s">
        <v>7</v>
      </c>
      <c r="CE565" s="27" t="s">
        <v>8</v>
      </c>
      <c r="CF565" s="27" t="s">
        <v>7</v>
      </c>
      <c r="CG565" s="27" t="s">
        <v>8</v>
      </c>
      <c r="CV565" s="27" t="s">
        <v>7</v>
      </c>
      <c r="CW565" s="27" t="s">
        <v>8</v>
      </c>
      <c r="DJ565" s="27" t="s">
        <v>7</v>
      </c>
      <c r="DK565" s="27" t="s">
        <v>8</v>
      </c>
      <c r="DL565" s="27" t="s">
        <v>7</v>
      </c>
      <c r="DM565" s="27" t="s">
        <v>8</v>
      </c>
      <c r="DN565" s="27" t="s">
        <v>7</v>
      </c>
      <c r="DO565" s="27" t="s">
        <v>8</v>
      </c>
      <c r="DP565" s="27" t="s">
        <v>7</v>
      </c>
      <c r="DQ565" s="27" t="s">
        <v>8</v>
      </c>
      <c r="DR565" s="27" t="s">
        <v>7</v>
      </c>
      <c r="DS565" s="27" t="s">
        <v>8</v>
      </c>
      <c r="DT565" s="27" t="s">
        <v>7</v>
      </c>
      <c r="DU565" s="27" t="s">
        <v>8</v>
      </c>
      <c r="DV565" s="27" t="s">
        <v>7</v>
      </c>
      <c r="EC565" s="27" t="s">
        <v>8</v>
      </c>
      <c r="ED565" s="27" t="s">
        <v>7</v>
      </c>
      <c r="EE565" s="27" t="s">
        <v>8</v>
      </c>
      <c r="EH565" s="27" t="s">
        <v>7</v>
      </c>
      <c r="EI565" s="27" t="s">
        <v>8</v>
      </c>
      <c r="EJ565" s="27" t="s">
        <v>7</v>
      </c>
      <c r="EK565" s="27" t="s">
        <v>8</v>
      </c>
      <c r="EL565" s="27" t="s">
        <v>7</v>
      </c>
      <c r="EM565" s="27" t="s">
        <v>8</v>
      </c>
      <c r="EN565" s="27" t="s">
        <v>7</v>
      </c>
      <c r="GX565" s="27" t="s">
        <v>7</v>
      </c>
      <c r="GY565" s="27" t="s">
        <v>8</v>
      </c>
      <c r="GZ565" s="27" t="s">
        <v>7</v>
      </c>
      <c r="HA565" s="27" t="s">
        <v>8</v>
      </c>
      <c r="HB565" s="27" t="s">
        <v>7</v>
      </c>
      <c r="HG565" s="27" t="s">
        <v>8</v>
      </c>
      <c r="HI565" s="27" t="s">
        <v>8</v>
      </c>
      <c r="HJ565" s="27" t="s">
        <v>7</v>
      </c>
      <c r="HK565" s="27" t="s">
        <v>8</v>
      </c>
      <c r="HL565" s="27" t="s">
        <v>7</v>
      </c>
      <c r="HM565" s="27" t="s">
        <v>8</v>
      </c>
      <c r="HN565" s="27" t="s">
        <v>7</v>
      </c>
    </row>
    <row r="566" spans="1:230" x14ac:dyDescent="0.25">
      <c r="A566" s="7">
        <v>1.5156663438979221</v>
      </c>
      <c r="B566"/>
      <c r="C566"/>
      <c r="D566"/>
      <c r="E566"/>
      <c r="BG566" s="27" t="s">
        <v>8</v>
      </c>
      <c r="BL566" s="27" t="s">
        <v>7</v>
      </c>
      <c r="BU566" s="27" t="s">
        <v>8</v>
      </c>
      <c r="BV566" s="27" t="s">
        <v>7</v>
      </c>
      <c r="BW566" s="27" t="s">
        <v>8</v>
      </c>
      <c r="BX566" s="27" t="s">
        <v>7</v>
      </c>
      <c r="BY566" s="27" t="s">
        <v>8</v>
      </c>
      <c r="BZ566" s="27" t="s">
        <v>7</v>
      </c>
      <c r="CA566" s="27" t="s">
        <v>8</v>
      </c>
      <c r="CB566" s="27" t="s">
        <v>7</v>
      </c>
      <c r="CC566" s="27" t="s">
        <v>8</v>
      </c>
      <c r="CD566" s="27" t="s">
        <v>7</v>
      </c>
      <c r="CE566" s="27" t="s">
        <v>8</v>
      </c>
      <c r="CF566" s="27" t="s">
        <v>7</v>
      </c>
      <c r="CG566" s="27" t="s">
        <v>8</v>
      </c>
      <c r="CV566" s="27" t="s">
        <v>7</v>
      </c>
      <c r="CW566" s="27" t="s">
        <v>8</v>
      </c>
      <c r="DJ566" s="27" t="s">
        <v>7</v>
      </c>
      <c r="DK566" s="27" t="s">
        <v>8</v>
      </c>
      <c r="DL566" s="27" t="s">
        <v>7</v>
      </c>
      <c r="DM566" s="27" t="s">
        <v>8</v>
      </c>
      <c r="DN566" s="27" t="s">
        <v>7</v>
      </c>
      <c r="DO566" s="27" t="s">
        <v>8</v>
      </c>
      <c r="DP566" s="27" t="s">
        <v>7</v>
      </c>
      <c r="DQ566" s="27" t="s">
        <v>8</v>
      </c>
      <c r="DR566" s="27" t="s">
        <v>7</v>
      </c>
      <c r="DS566" s="27" t="s">
        <v>8</v>
      </c>
      <c r="DT566" s="27" t="s">
        <v>7</v>
      </c>
      <c r="DU566" s="27" t="s">
        <v>8</v>
      </c>
      <c r="DV566" s="27" t="s">
        <v>7</v>
      </c>
      <c r="EC566" s="27" t="s">
        <v>8</v>
      </c>
      <c r="ED566" s="27" t="s">
        <v>7</v>
      </c>
      <c r="EH566" s="27" t="s">
        <v>7</v>
      </c>
      <c r="EI566" s="27" t="s">
        <v>8</v>
      </c>
      <c r="EJ566" s="27" t="s">
        <v>7</v>
      </c>
      <c r="EK566" s="27" t="s">
        <v>8</v>
      </c>
      <c r="EL566" s="27" t="s">
        <v>7</v>
      </c>
      <c r="EM566" s="27" t="s">
        <v>8</v>
      </c>
      <c r="GX566" s="27" t="s">
        <v>7</v>
      </c>
      <c r="GY566" s="27" t="s">
        <v>8</v>
      </c>
      <c r="GZ566" s="27" t="s">
        <v>7</v>
      </c>
      <c r="HA566" s="27" t="s">
        <v>8</v>
      </c>
      <c r="HB566" s="27" t="s">
        <v>7</v>
      </c>
      <c r="HC566" s="27" t="s">
        <v>8</v>
      </c>
      <c r="HG566" s="27" t="s">
        <v>8</v>
      </c>
      <c r="HH566" s="27" t="s">
        <v>7</v>
      </c>
      <c r="HI566" s="27" t="s">
        <v>8</v>
      </c>
      <c r="HJ566" s="27" t="s">
        <v>7</v>
      </c>
      <c r="HK566" s="27" t="s">
        <v>8</v>
      </c>
      <c r="HL566" s="27" t="s">
        <v>7</v>
      </c>
      <c r="HM566" s="27" t="s">
        <v>8</v>
      </c>
      <c r="HN566" s="27" t="s">
        <v>7</v>
      </c>
    </row>
    <row r="567" spans="1:230" x14ac:dyDescent="0.25">
      <c r="A567" s="7">
        <v>1.4859473959783549</v>
      </c>
      <c r="B567"/>
      <c r="C567"/>
      <c r="D567"/>
      <c r="E567"/>
      <c r="BG567" s="27" t="s">
        <v>8</v>
      </c>
      <c r="BL567" s="27" t="s">
        <v>7</v>
      </c>
      <c r="BU567" s="27" t="s">
        <v>8</v>
      </c>
      <c r="BV567" s="27" t="s">
        <v>7</v>
      </c>
      <c r="BW567" s="27" t="s">
        <v>8</v>
      </c>
      <c r="BX567" s="27" t="s">
        <v>7</v>
      </c>
      <c r="BY567" s="27" t="s">
        <v>8</v>
      </c>
      <c r="BZ567" s="27" t="s">
        <v>7</v>
      </c>
      <c r="CA567" s="27" t="s">
        <v>8</v>
      </c>
      <c r="CB567" s="27" t="s">
        <v>7</v>
      </c>
      <c r="CC567" s="27" t="s">
        <v>8</v>
      </c>
      <c r="CD567" s="27" t="s">
        <v>7</v>
      </c>
      <c r="CE567" s="27" t="s">
        <v>8</v>
      </c>
      <c r="CF567" s="27" t="s">
        <v>7</v>
      </c>
      <c r="CG567" s="27" t="s">
        <v>8</v>
      </c>
      <c r="CV567" s="27" t="s">
        <v>7</v>
      </c>
      <c r="CW567" s="27" t="s">
        <v>8</v>
      </c>
      <c r="DJ567" s="27" t="s">
        <v>7</v>
      </c>
      <c r="DK567" s="27" t="s">
        <v>8</v>
      </c>
      <c r="DL567" s="27" t="s">
        <v>7</v>
      </c>
      <c r="DM567" s="27" t="s">
        <v>8</v>
      </c>
      <c r="DN567" s="27" t="s">
        <v>7</v>
      </c>
      <c r="DP567" s="27" t="s">
        <v>7</v>
      </c>
      <c r="DQ567" s="27" t="s">
        <v>8</v>
      </c>
      <c r="DR567" s="27" t="s">
        <v>7</v>
      </c>
      <c r="DS567" s="27" t="s">
        <v>8</v>
      </c>
      <c r="DT567" s="27" t="s">
        <v>7</v>
      </c>
      <c r="DU567" s="27" t="s">
        <v>8</v>
      </c>
      <c r="DV567" s="27" t="s">
        <v>7</v>
      </c>
      <c r="EC567" s="27" t="s">
        <v>8</v>
      </c>
      <c r="EH567" s="27" t="s">
        <v>7</v>
      </c>
      <c r="EJ567" s="27" t="s">
        <v>7</v>
      </c>
      <c r="EK567" s="27" t="s">
        <v>8</v>
      </c>
      <c r="EL567" s="27" t="s">
        <v>7</v>
      </c>
      <c r="EM567" s="27" t="s">
        <v>8</v>
      </c>
      <c r="GX567" s="27" t="s">
        <v>7</v>
      </c>
      <c r="GY567" s="27" t="s">
        <v>8</v>
      </c>
      <c r="GZ567" s="27" t="s">
        <v>7</v>
      </c>
      <c r="HA567" s="27" t="s">
        <v>8</v>
      </c>
      <c r="HB567" s="27" t="s">
        <v>7</v>
      </c>
      <c r="HC567" s="27" t="s">
        <v>8</v>
      </c>
      <c r="HD567" s="27" t="s">
        <v>7</v>
      </c>
      <c r="HE567" s="27" t="s">
        <v>8</v>
      </c>
      <c r="HG567" s="27" t="s">
        <v>8</v>
      </c>
      <c r="HH567" s="27" t="s">
        <v>7</v>
      </c>
      <c r="HI567" s="27" t="s">
        <v>8</v>
      </c>
      <c r="HJ567" s="27" t="s">
        <v>7</v>
      </c>
      <c r="HK567" s="27" t="s">
        <v>8</v>
      </c>
      <c r="HL567" s="27" t="s">
        <v>7</v>
      </c>
      <c r="HN567" s="27" t="s">
        <v>7</v>
      </c>
    </row>
    <row r="568" spans="1:230" x14ac:dyDescent="0.25">
      <c r="A568" s="7">
        <v>1.4568111725277988</v>
      </c>
      <c r="B568"/>
      <c r="C568"/>
      <c r="D568"/>
      <c r="E568"/>
      <c r="BG568" s="27" t="s">
        <v>8</v>
      </c>
      <c r="BL568" s="27" t="s">
        <v>7</v>
      </c>
      <c r="BU568" s="27" t="s">
        <v>8</v>
      </c>
      <c r="BV568" s="27" t="s">
        <v>7</v>
      </c>
      <c r="BX568" s="27" t="s">
        <v>7</v>
      </c>
      <c r="BY568" s="27" t="s">
        <v>8</v>
      </c>
      <c r="BZ568" s="27" t="s">
        <v>7</v>
      </c>
      <c r="CA568" s="27" t="s">
        <v>8</v>
      </c>
      <c r="CB568" s="27" t="s">
        <v>7</v>
      </c>
      <c r="CC568" s="27" t="s">
        <v>8</v>
      </c>
      <c r="CD568" s="27" t="s">
        <v>7</v>
      </c>
      <c r="CF568" s="27" t="s">
        <v>7</v>
      </c>
      <c r="CG568" s="27" t="s">
        <v>8</v>
      </c>
      <c r="CV568" s="27" t="s">
        <v>7</v>
      </c>
      <c r="CW568" s="27" t="s">
        <v>8</v>
      </c>
      <c r="DJ568" s="27" t="s">
        <v>7</v>
      </c>
      <c r="DK568" s="27" t="s">
        <v>8</v>
      </c>
      <c r="DL568" s="27" t="s">
        <v>7</v>
      </c>
      <c r="DM568" s="27" t="s">
        <v>8</v>
      </c>
      <c r="DP568" s="27" t="s">
        <v>7</v>
      </c>
      <c r="DQ568" s="27" t="s">
        <v>8</v>
      </c>
      <c r="DR568" s="27" t="s">
        <v>7</v>
      </c>
      <c r="DS568" s="27" t="s">
        <v>8</v>
      </c>
      <c r="DT568" s="27" t="s">
        <v>7</v>
      </c>
      <c r="DU568" s="27" t="s">
        <v>8</v>
      </c>
      <c r="DV568" s="27" t="s">
        <v>7</v>
      </c>
      <c r="EC568" s="27" t="s">
        <v>8</v>
      </c>
      <c r="EJ568" s="27" t="s">
        <v>7</v>
      </c>
      <c r="EK568" s="27" t="s">
        <v>8</v>
      </c>
      <c r="EL568" s="27" t="s">
        <v>7</v>
      </c>
      <c r="EM568" s="27" t="s">
        <v>8</v>
      </c>
      <c r="GX568" s="27" t="s">
        <v>7</v>
      </c>
      <c r="GY568" s="27" t="s">
        <v>8</v>
      </c>
      <c r="GZ568" s="27" t="s">
        <v>7</v>
      </c>
      <c r="HA568" s="27" t="s">
        <v>8</v>
      </c>
      <c r="HB568" s="27" t="s">
        <v>7</v>
      </c>
      <c r="HC568" s="27" t="s">
        <v>8</v>
      </c>
      <c r="HD568" s="27" t="s">
        <v>7</v>
      </c>
      <c r="HE568" s="27" t="s">
        <v>8</v>
      </c>
      <c r="HF568" s="27" t="s">
        <v>7</v>
      </c>
      <c r="HG568" s="27" t="s">
        <v>8</v>
      </c>
      <c r="HH568" s="27" t="s">
        <v>7</v>
      </c>
      <c r="HI568" s="27" t="s">
        <v>8</v>
      </c>
      <c r="HJ568" s="27" t="s">
        <v>7</v>
      </c>
      <c r="HK568" s="27" t="s">
        <v>8</v>
      </c>
      <c r="HN568" s="27" t="s">
        <v>7</v>
      </c>
      <c r="HQ568" s="27" t="s">
        <v>8</v>
      </c>
    </row>
    <row r="569" spans="1:230" x14ac:dyDescent="0.25">
      <c r="A569" s="7">
        <v>1.4282462475762734</v>
      </c>
      <c r="B569"/>
      <c r="C569"/>
      <c r="D569"/>
      <c r="E569"/>
      <c r="BG569" s="27" t="s">
        <v>8</v>
      </c>
      <c r="BL569" s="27" t="s">
        <v>7</v>
      </c>
      <c r="BM569" s="27" t="s">
        <v>8</v>
      </c>
      <c r="BU569" s="27" t="s">
        <v>8</v>
      </c>
      <c r="BX569" s="27" t="s">
        <v>7</v>
      </c>
      <c r="BY569" s="27" t="s">
        <v>8</v>
      </c>
      <c r="BZ569" s="27" t="s">
        <v>7</v>
      </c>
      <c r="CA569" s="27" t="s">
        <v>8</v>
      </c>
      <c r="CB569" s="27" t="s">
        <v>7</v>
      </c>
      <c r="CF569" s="27" t="s">
        <v>7</v>
      </c>
      <c r="CG569" s="27" t="s">
        <v>8</v>
      </c>
      <c r="CV569" s="27" t="s">
        <v>7</v>
      </c>
      <c r="CW569" s="27" t="s">
        <v>8</v>
      </c>
      <c r="DJ569" s="27" t="s">
        <v>7</v>
      </c>
      <c r="DK569" s="27" t="s">
        <v>8</v>
      </c>
      <c r="DL569" s="27" t="s">
        <v>7</v>
      </c>
      <c r="DM569" s="27" t="s">
        <v>8</v>
      </c>
      <c r="DP569" s="27" t="s">
        <v>7</v>
      </c>
      <c r="DQ569" s="27" t="s">
        <v>8</v>
      </c>
      <c r="DR569" s="27" t="s">
        <v>7</v>
      </c>
      <c r="DS569" s="27" t="s">
        <v>8</v>
      </c>
      <c r="DT569" s="27" t="s">
        <v>7</v>
      </c>
      <c r="DU569" s="27" t="s">
        <v>8</v>
      </c>
      <c r="DV569" s="27" t="s">
        <v>7</v>
      </c>
      <c r="EC569" s="27" t="s">
        <v>8</v>
      </c>
      <c r="EJ569" s="27" t="s">
        <v>7</v>
      </c>
      <c r="EK569" s="27" t="s">
        <v>8</v>
      </c>
      <c r="EL569" s="27" t="s">
        <v>7</v>
      </c>
      <c r="EM569" s="27" t="s">
        <v>8</v>
      </c>
      <c r="GX569" s="27" t="s">
        <v>7</v>
      </c>
      <c r="GY569" s="27" t="s">
        <v>8</v>
      </c>
      <c r="GZ569" s="27" t="s">
        <v>7</v>
      </c>
      <c r="HA569" s="27" t="s">
        <v>8</v>
      </c>
      <c r="HB569" s="27" t="s">
        <v>7</v>
      </c>
      <c r="HC569" s="27" t="s">
        <v>8</v>
      </c>
      <c r="HD569" s="27" t="s">
        <v>7</v>
      </c>
      <c r="HE569" s="27" t="s">
        <v>8</v>
      </c>
      <c r="HF569" s="27" t="s">
        <v>7</v>
      </c>
      <c r="HG569" s="27" t="s">
        <v>8</v>
      </c>
      <c r="HH569" s="27" t="s">
        <v>7</v>
      </c>
      <c r="HI569" s="27" t="s">
        <v>8</v>
      </c>
      <c r="HJ569" s="27" t="s">
        <v>7</v>
      </c>
      <c r="HK569" s="27" t="s">
        <v>8</v>
      </c>
      <c r="HN569" s="27" t="s">
        <v>7</v>
      </c>
      <c r="HQ569" s="27" t="s">
        <v>8</v>
      </c>
      <c r="HR569" s="27" t="s">
        <v>7</v>
      </c>
      <c r="HS569" s="27" t="s">
        <v>8</v>
      </c>
    </row>
    <row r="570" spans="1:230" x14ac:dyDescent="0.25">
      <c r="A570" s="7">
        <v>1.4002414191924248</v>
      </c>
      <c r="B570"/>
      <c r="C570"/>
      <c r="D570"/>
      <c r="E570"/>
      <c r="BG570" s="27" t="s">
        <v>8</v>
      </c>
      <c r="BL570" s="27" t="s">
        <v>7</v>
      </c>
      <c r="BM570" s="27" t="s">
        <v>8</v>
      </c>
      <c r="BN570" s="27" t="s">
        <v>7</v>
      </c>
      <c r="BU570" s="27" t="s">
        <v>8</v>
      </c>
      <c r="BX570" s="27" t="s">
        <v>7</v>
      </c>
      <c r="BY570" s="27" t="s">
        <v>8</v>
      </c>
      <c r="BZ570" s="27" t="s">
        <v>7</v>
      </c>
      <c r="CA570" s="27" t="s">
        <v>8</v>
      </c>
      <c r="CF570" s="27" t="s">
        <v>7</v>
      </c>
      <c r="CG570" s="27" t="s">
        <v>8</v>
      </c>
      <c r="CV570" s="27" t="s">
        <v>7</v>
      </c>
      <c r="CW570" s="27" t="s">
        <v>8</v>
      </c>
      <c r="DJ570" s="27" t="s">
        <v>7</v>
      </c>
      <c r="DK570" s="27" t="s">
        <v>8</v>
      </c>
      <c r="DL570" s="27" t="s">
        <v>7</v>
      </c>
      <c r="DM570" s="27" t="s">
        <v>8</v>
      </c>
      <c r="DP570" s="27" t="s">
        <v>7</v>
      </c>
      <c r="DQ570" s="27" t="s">
        <v>8</v>
      </c>
      <c r="DR570" s="27" t="s">
        <v>7</v>
      </c>
      <c r="DT570" s="27" t="s">
        <v>7</v>
      </c>
      <c r="DU570" s="27" t="s">
        <v>8</v>
      </c>
      <c r="DV570" s="27" t="s">
        <v>7</v>
      </c>
      <c r="EA570" s="27" t="s">
        <v>8</v>
      </c>
      <c r="EC570" s="27" t="s">
        <v>8</v>
      </c>
      <c r="EJ570" s="27" t="s">
        <v>7</v>
      </c>
      <c r="EL570" s="27" t="s">
        <v>7</v>
      </c>
      <c r="EM570" s="27" t="s">
        <v>8</v>
      </c>
      <c r="GX570" s="27" t="s">
        <v>7</v>
      </c>
      <c r="GY570" s="27" t="s">
        <v>8</v>
      </c>
      <c r="GZ570" s="27" t="s">
        <v>7</v>
      </c>
      <c r="HA570" s="27" t="s">
        <v>8</v>
      </c>
      <c r="HB570" s="27" t="s">
        <v>7</v>
      </c>
      <c r="HD570" s="27" t="s">
        <v>7</v>
      </c>
      <c r="HE570" s="27" t="s">
        <v>8</v>
      </c>
      <c r="HF570" s="27" t="s">
        <v>7</v>
      </c>
      <c r="HG570" s="27" t="s">
        <v>8</v>
      </c>
      <c r="HH570" s="27" t="s">
        <v>7</v>
      </c>
      <c r="HI570" s="27" t="s">
        <v>8</v>
      </c>
      <c r="HJ570" s="27" t="s">
        <v>7</v>
      </c>
      <c r="HK570" s="27" t="s">
        <v>8</v>
      </c>
      <c r="HN570" s="27" t="s">
        <v>7</v>
      </c>
      <c r="HO570" s="27" t="s">
        <v>8</v>
      </c>
      <c r="HQ570" s="27" t="s">
        <v>8</v>
      </c>
      <c r="HR570" s="27" t="s">
        <v>7</v>
      </c>
      <c r="HS570" s="27" t="s">
        <v>8</v>
      </c>
      <c r="HT570" s="27" t="s">
        <v>7</v>
      </c>
    </row>
    <row r="571" spans="1:230" x14ac:dyDescent="0.25">
      <c r="A571" s="7">
        <v>1.3727857050906125</v>
      </c>
      <c r="B571"/>
      <c r="C571"/>
      <c r="D571"/>
      <c r="E571"/>
      <c r="BG571" s="27" t="s">
        <v>8</v>
      </c>
      <c r="BL571" s="27" t="s">
        <v>7</v>
      </c>
      <c r="BM571" s="27" t="s">
        <v>8</v>
      </c>
      <c r="BN571" s="27" t="s">
        <v>7</v>
      </c>
      <c r="BU571" s="27" t="s">
        <v>8</v>
      </c>
      <c r="BX571" s="27" t="s">
        <v>7</v>
      </c>
      <c r="BY571" s="27" t="s">
        <v>8</v>
      </c>
      <c r="BZ571" s="27" t="s">
        <v>7</v>
      </c>
      <c r="CA571" s="27" t="s">
        <v>8</v>
      </c>
      <c r="CF571" s="27" t="s">
        <v>7</v>
      </c>
      <c r="CV571" s="27" t="s">
        <v>7</v>
      </c>
      <c r="DJ571" s="27" t="s">
        <v>7</v>
      </c>
      <c r="DK571" s="27" t="s">
        <v>8</v>
      </c>
      <c r="DL571" s="27" t="s">
        <v>7</v>
      </c>
      <c r="DM571" s="27" t="s">
        <v>8</v>
      </c>
      <c r="DP571" s="27" t="s">
        <v>7</v>
      </c>
      <c r="DQ571" s="27" t="s">
        <v>8</v>
      </c>
      <c r="DT571" s="27" t="s">
        <v>7</v>
      </c>
      <c r="DU571" s="27" t="s">
        <v>8</v>
      </c>
      <c r="DV571" s="27" t="s">
        <v>7</v>
      </c>
      <c r="DW571" s="27" t="s">
        <v>8</v>
      </c>
      <c r="EA571" s="27" t="s">
        <v>8</v>
      </c>
      <c r="EB571" s="27" t="s">
        <v>7</v>
      </c>
      <c r="EC571" s="27" t="s">
        <v>8</v>
      </c>
      <c r="EL571" s="18" t="s">
        <v>7</v>
      </c>
      <c r="EM571" s="27" t="s">
        <v>8</v>
      </c>
      <c r="GX571" s="27" t="s">
        <v>7</v>
      </c>
      <c r="GY571" s="27" t="s">
        <v>8</v>
      </c>
      <c r="GZ571" s="27" t="s">
        <v>7</v>
      </c>
      <c r="HD571" s="27" t="s">
        <v>7</v>
      </c>
      <c r="HE571" s="27" t="s">
        <v>8</v>
      </c>
      <c r="HF571" s="27" t="s">
        <v>7</v>
      </c>
      <c r="HH571" s="27" t="s">
        <v>7</v>
      </c>
      <c r="HI571" s="27" t="s">
        <v>8</v>
      </c>
      <c r="HJ571" s="27" t="s">
        <v>7</v>
      </c>
      <c r="HK571" s="27" t="s">
        <v>8</v>
      </c>
      <c r="HN571" s="27" t="s">
        <v>7</v>
      </c>
      <c r="HO571" s="27" t="s">
        <v>8</v>
      </c>
      <c r="HP571" s="27" t="s">
        <v>7</v>
      </c>
      <c r="HQ571" s="27" t="s">
        <v>8</v>
      </c>
      <c r="HR571" s="27" t="s">
        <v>7</v>
      </c>
      <c r="HS571" s="27" t="s">
        <v>8</v>
      </c>
      <c r="HT571" s="27" t="s">
        <v>7</v>
      </c>
    </row>
    <row r="572" spans="1:230" x14ac:dyDescent="0.25">
      <c r="A572" s="7">
        <v>1.3458683383241299</v>
      </c>
      <c r="B572"/>
      <c r="C572"/>
      <c r="D572"/>
      <c r="E572"/>
      <c r="BG572" s="27" t="s">
        <v>8</v>
      </c>
      <c r="BL572" s="27" t="s">
        <v>7</v>
      </c>
      <c r="BM572" s="27" t="s">
        <v>8</v>
      </c>
      <c r="BN572" s="27" t="s">
        <v>7</v>
      </c>
      <c r="BS572" s="27" t="s">
        <v>8</v>
      </c>
      <c r="BU572" s="27" t="s">
        <v>8</v>
      </c>
      <c r="BX572" s="27" t="s">
        <v>7</v>
      </c>
      <c r="BY572" s="27" t="s">
        <v>8</v>
      </c>
      <c r="BZ572" s="27" t="s">
        <v>7</v>
      </c>
      <c r="CA572" s="27" t="s">
        <v>8</v>
      </c>
      <c r="DJ572" s="27" t="s">
        <v>7</v>
      </c>
      <c r="DL572" s="27" t="s">
        <v>7</v>
      </c>
      <c r="DM572" s="27" t="s">
        <v>8</v>
      </c>
      <c r="DP572" s="27" t="s">
        <v>7</v>
      </c>
      <c r="DT572" s="27" t="s">
        <v>7</v>
      </c>
      <c r="DU572" s="27" t="s">
        <v>8</v>
      </c>
      <c r="DV572" s="27" t="s">
        <v>7</v>
      </c>
      <c r="DW572" s="27" t="s">
        <v>8</v>
      </c>
      <c r="DX572" s="27" t="s">
        <v>7</v>
      </c>
      <c r="EA572" s="27" t="s">
        <v>8</v>
      </c>
      <c r="EB572" s="27" t="s">
        <v>7</v>
      </c>
      <c r="EC572" s="27" t="s">
        <v>8</v>
      </c>
      <c r="EL572" s="27" t="s">
        <v>7</v>
      </c>
      <c r="EM572" s="27" t="s">
        <v>8</v>
      </c>
      <c r="GX572" s="27" t="s">
        <v>7</v>
      </c>
      <c r="GY572" s="27" t="s">
        <v>8</v>
      </c>
      <c r="HD572" s="27" t="s">
        <v>7</v>
      </c>
      <c r="HE572" s="27" t="s">
        <v>8</v>
      </c>
      <c r="HH572" s="27" t="s">
        <v>7</v>
      </c>
      <c r="HJ572" s="27" t="s">
        <v>7</v>
      </c>
      <c r="HN572" s="27" t="s">
        <v>7</v>
      </c>
      <c r="HO572" s="27" t="s">
        <v>8</v>
      </c>
      <c r="HP572" s="27" t="s">
        <v>7</v>
      </c>
      <c r="HQ572" s="27" t="s">
        <v>8</v>
      </c>
      <c r="HR572" s="27" t="s">
        <v>7</v>
      </c>
      <c r="HS572" s="27" t="s">
        <v>8</v>
      </c>
      <c r="HT572" s="27" t="s">
        <v>7</v>
      </c>
      <c r="HU572" s="27" t="s">
        <v>8</v>
      </c>
    </row>
    <row r="573" spans="1:230" x14ac:dyDescent="0.25">
      <c r="A573" s="7">
        <v>1.3194787630628724</v>
      </c>
      <c r="B573"/>
      <c r="C573"/>
      <c r="D573"/>
      <c r="E573"/>
      <c r="BG573" s="27" t="s">
        <v>8</v>
      </c>
      <c r="BL573" s="27" t="s">
        <v>7</v>
      </c>
      <c r="BM573" s="27" t="s">
        <v>8</v>
      </c>
      <c r="BN573" s="27" t="s">
        <v>7</v>
      </c>
      <c r="BS573" s="27" t="s">
        <v>8</v>
      </c>
      <c r="BT573" s="27" t="s">
        <v>7</v>
      </c>
      <c r="BU573" s="27" t="s">
        <v>8</v>
      </c>
      <c r="BX573" s="27" t="s">
        <v>7</v>
      </c>
      <c r="BY573" s="27" t="s">
        <v>8</v>
      </c>
      <c r="BZ573" s="27" t="s">
        <v>7</v>
      </c>
      <c r="CA573" s="27" t="s">
        <v>8</v>
      </c>
      <c r="DL573" s="27" t="s">
        <v>7</v>
      </c>
      <c r="DM573" s="27" t="s">
        <v>8</v>
      </c>
      <c r="DT573" s="27" t="s">
        <v>7</v>
      </c>
      <c r="DV573" s="27" t="s">
        <v>7</v>
      </c>
      <c r="DW573" s="27" t="s">
        <v>8</v>
      </c>
      <c r="DX573" s="27" t="s">
        <v>7</v>
      </c>
      <c r="EA573" s="27" t="s">
        <v>8</v>
      </c>
      <c r="EB573" s="27" t="s">
        <v>7</v>
      </c>
      <c r="EC573" s="27" t="s">
        <v>8</v>
      </c>
      <c r="EL573" s="27" t="s">
        <v>7</v>
      </c>
      <c r="EM573" s="27" t="s">
        <v>8</v>
      </c>
      <c r="GX573" s="27" t="s">
        <v>7</v>
      </c>
      <c r="GY573" s="27" t="s">
        <v>8</v>
      </c>
      <c r="HD573" s="27" t="s">
        <v>7</v>
      </c>
      <c r="HE573" s="27" t="s">
        <v>8</v>
      </c>
      <c r="HN573" s="27" t="s">
        <v>7</v>
      </c>
      <c r="HO573" s="27" t="s">
        <v>8</v>
      </c>
      <c r="HP573" s="27" t="s">
        <v>7</v>
      </c>
      <c r="HQ573" s="27" t="s">
        <v>8</v>
      </c>
      <c r="HR573" s="27" t="s">
        <v>7</v>
      </c>
      <c r="HT573" s="27" t="s">
        <v>7</v>
      </c>
      <c r="HU573" s="27" t="s">
        <v>8</v>
      </c>
      <c r="HV573" s="27" t="s">
        <v>7</v>
      </c>
    </row>
    <row r="574" spans="1:230" x14ac:dyDescent="0.25">
      <c r="A574" s="7">
        <v>1.2936066304537963</v>
      </c>
      <c r="B574"/>
      <c r="C574"/>
      <c r="D574"/>
      <c r="E574"/>
      <c r="BG574" s="27" t="s">
        <v>8</v>
      </c>
      <c r="BL574" s="27" t="s">
        <v>7</v>
      </c>
      <c r="BM574" s="27" t="s">
        <v>8</v>
      </c>
      <c r="BN574" s="27" t="s">
        <v>7</v>
      </c>
      <c r="BQ574" s="27" t="s">
        <v>8</v>
      </c>
      <c r="BS574" s="27" t="s">
        <v>8</v>
      </c>
      <c r="BT574" s="27" t="s">
        <v>7</v>
      </c>
      <c r="BU574" s="27" t="s">
        <v>8</v>
      </c>
      <c r="BX574" s="27" t="s">
        <v>7</v>
      </c>
      <c r="BY574" s="27" t="s">
        <v>8</v>
      </c>
      <c r="BZ574" s="27" t="s">
        <v>7</v>
      </c>
      <c r="DL574" s="27" t="s">
        <v>7</v>
      </c>
      <c r="DM574" s="27" t="s">
        <v>8</v>
      </c>
      <c r="DV574" s="27" t="s">
        <v>7</v>
      </c>
      <c r="DW574" s="27" t="s">
        <v>8</v>
      </c>
      <c r="DX574" s="27" t="s">
        <v>7</v>
      </c>
      <c r="EA574" s="27" t="s">
        <v>8</v>
      </c>
      <c r="EB574" s="27" t="s">
        <v>7</v>
      </c>
      <c r="EC574" s="27" t="s">
        <v>8</v>
      </c>
      <c r="EL574" s="27" t="s">
        <v>7</v>
      </c>
      <c r="EM574" s="27" t="s">
        <v>8</v>
      </c>
      <c r="GX574" s="27" t="s">
        <v>7</v>
      </c>
      <c r="GY574" s="27" t="s">
        <v>8</v>
      </c>
      <c r="HD574" s="27" t="s">
        <v>7</v>
      </c>
      <c r="HE574" s="27" t="s">
        <v>8</v>
      </c>
      <c r="HN574" s="27" t="s">
        <v>7</v>
      </c>
      <c r="HO574" s="27" t="s">
        <v>8</v>
      </c>
      <c r="HP574" s="27" t="s">
        <v>7</v>
      </c>
      <c r="HQ574" s="27" t="s">
        <v>8</v>
      </c>
      <c r="HT574" s="27" t="s">
        <v>7</v>
      </c>
      <c r="HU574" s="27" t="s">
        <v>8</v>
      </c>
      <c r="HV574" s="27" t="s">
        <v>7</v>
      </c>
    </row>
    <row r="575" spans="1:230" x14ac:dyDescent="0.25">
      <c r="A575" s="7">
        <v>1.2682417945625455</v>
      </c>
      <c r="B575"/>
      <c r="C575"/>
      <c r="D575"/>
      <c r="E575"/>
      <c r="BE575" s="27" t="s">
        <v>8</v>
      </c>
      <c r="BG575" s="27" t="s">
        <v>8</v>
      </c>
      <c r="BL575" s="27" t="s">
        <v>7</v>
      </c>
      <c r="BM575" s="27" t="s">
        <v>8</v>
      </c>
      <c r="BN575" s="27" t="s">
        <v>7</v>
      </c>
      <c r="BQ575" s="27" t="s">
        <v>8</v>
      </c>
      <c r="BR575" s="27" t="s">
        <v>7</v>
      </c>
      <c r="BS575" s="27" t="s">
        <v>8</v>
      </c>
      <c r="BT575" s="27" t="s">
        <v>7</v>
      </c>
      <c r="BU575" s="27" t="s">
        <v>8</v>
      </c>
      <c r="BX575" s="27" t="s">
        <v>7</v>
      </c>
      <c r="DL575" s="27" t="s">
        <v>7</v>
      </c>
      <c r="DM575" s="27" t="s">
        <v>8</v>
      </c>
      <c r="DV575" s="27" t="s">
        <v>7</v>
      </c>
      <c r="DW575" s="27" t="s">
        <v>8</v>
      </c>
      <c r="DX575" s="27" t="s">
        <v>7</v>
      </c>
      <c r="DY575" s="27" t="s">
        <v>8</v>
      </c>
      <c r="EA575" s="27" t="s">
        <v>8</v>
      </c>
      <c r="EB575" s="27" t="s">
        <v>7</v>
      </c>
      <c r="EC575" s="27" t="s">
        <v>8</v>
      </c>
      <c r="EL575" s="27" t="s">
        <v>7</v>
      </c>
      <c r="EM575" s="27" t="s">
        <v>8</v>
      </c>
      <c r="GX575" s="27" t="s">
        <v>7</v>
      </c>
      <c r="HD575" s="27" t="s">
        <v>7</v>
      </c>
      <c r="HE575" s="27" t="s">
        <v>8</v>
      </c>
      <c r="HN575" s="27" t="s">
        <v>7</v>
      </c>
      <c r="HP575" s="27" t="s">
        <v>7</v>
      </c>
      <c r="HT575" s="27" t="s">
        <v>7</v>
      </c>
      <c r="HU575" s="27" t="s">
        <v>8</v>
      </c>
      <c r="HV575" s="27" t="s">
        <v>7</v>
      </c>
    </row>
    <row r="576" spans="1:230" x14ac:dyDescent="0.25">
      <c r="A576" s="7">
        <v>1.2433743083946525</v>
      </c>
      <c r="B576"/>
      <c r="C576"/>
      <c r="D576"/>
      <c r="E576"/>
      <c r="BE576" s="27" t="s">
        <v>8</v>
      </c>
      <c r="BF576" s="27" t="s">
        <v>7</v>
      </c>
      <c r="BG576" s="27" t="s">
        <v>8</v>
      </c>
      <c r="BL576" s="27" t="s">
        <v>7</v>
      </c>
      <c r="BM576" s="27" t="s">
        <v>8</v>
      </c>
      <c r="BN576" s="27" t="s">
        <v>7</v>
      </c>
      <c r="BQ576" s="27" t="s">
        <v>8</v>
      </c>
      <c r="BR576" s="27" t="s">
        <v>7</v>
      </c>
      <c r="BS576" s="27" t="s">
        <v>8</v>
      </c>
      <c r="BT576" s="27" t="s">
        <v>7</v>
      </c>
      <c r="BU576" s="27" t="s">
        <v>8</v>
      </c>
      <c r="DL576" s="27" t="s">
        <v>7</v>
      </c>
      <c r="DM576" s="27" t="s">
        <v>8</v>
      </c>
      <c r="DV576" s="27" t="s">
        <v>7</v>
      </c>
      <c r="DW576" s="27" t="s">
        <v>8</v>
      </c>
      <c r="DX576" s="27" t="s">
        <v>7</v>
      </c>
      <c r="DY576" s="27" t="s">
        <v>8</v>
      </c>
      <c r="DZ576" s="27" t="s">
        <v>7</v>
      </c>
      <c r="EA576" s="27" t="s">
        <v>8</v>
      </c>
      <c r="EB576" s="27" t="s">
        <v>7</v>
      </c>
      <c r="EC576" s="27" t="s">
        <v>8</v>
      </c>
      <c r="EL576" s="27" t="s">
        <v>7</v>
      </c>
      <c r="EM576" s="27" t="s">
        <v>8</v>
      </c>
      <c r="HD576" s="27" t="s">
        <v>7</v>
      </c>
      <c r="HT576" s="27" t="s">
        <v>7</v>
      </c>
      <c r="HU576" s="27" t="s">
        <v>8</v>
      </c>
      <c r="HV576" s="27" t="s">
        <v>7</v>
      </c>
    </row>
    <row r="577" spans="1:234" x14ac:dyDescent="0.25">
      <c r="A577" s="7">
        <v>1.2189944199947573</v>
      </c>
      <c r="B577"/>
      <c r="C577"/>
      <c r="D577"/>
      <c r="E577"/>
      <c r="BE577" s="27" t="s">
        <v>8</v>
      </c>
      <c r="BF577" s="27" t="s">
        <v>7</v>
      </c>
      <c r="BG577" s="27" t="s">
        <v>8</v>
      </c>
      <c r="BL577" s="27" t="s">
        <v>7</v>
      </c>
      <c r="BM577" s="27" t="s">
        <v>8</v>
      </c>
      <c r="BN577" s="27" t="s">
        <v>7</v>
      </c>
      <c r="BO577" s="27" t="s">
        <v>8</v>
      </c>
      <c r="BQ577" s="27" t="s">
        <v>8</v>
      </c>
      <c r="BR577" s="27" t="s">
        <v>7</v>
      </c>
      <c r="BT577" s="27" t="s">
        <v>7</v>
      </c>
      <c r="BU577" s="27" t="s">
        <v>8</v>
      </c>
      <c r="DL577" s="27" t="s">
        <v>7</v>
      </c>
      <c r="DV577" s="27" t="s">
        <v>7</v>
      </c>
      <c r="DW577" s="27" t="s">
        <v>8</v>
      </c>
      <c r="DX577" s="27" t="s">
        <v>7</v>
      </c>
      <c r="DY577" s="27" t="s">
        <v>8</v>
      </c>
      <c r="DZ577" s="27" t="s">
        <v>7</v>
      </c>
      <c r="EA577" s="27" t="s">
        <v>8</v>
      </c>
      <c r="EB577" s="27" t="s">
        <v>7</v>
      </c>
      <c r="EC577" s="27" t="s">
        <v>8</v>
      </c>
      <c r="EL577" s="27" t="s">
        <v>7</v>
      </c>
      <c r="HT577" s="27" t="s">
        <v>7</v>
      </c>
      <c r="HV577" s="27" t="s">
        <v>7</v>
      </c>
    </row>
    <row r="578" spans="1:234" x14ac:dyDescent="0.25">
      <c r="A578" s="7">
        <v>1.1950925686223111</v>
      </c>
      <c r="B578"/>
      <c r="C578"/>
      <c r="D578"/>
      <c r="E578"/>
      <c r="BE578" s="27" t="s">
        <v>8</v>
      </c>
      <c r="BF578" s="27" t="s">
        <v>7</v>
      </c>
      <c r="BG578" s="27" t="s">
        <v>8</v>
      </c>
      <c r="BL578" s="27" t="s">
        <v>7</v>
      </c>
      <c r="BM578" s="27" t="s">
        <v>8</v>
      </c>
      <c r="BN578" s="27" t="s">
        <v>7</v>
      </c>
      <c r="BO578" s="27" t="s">
        <v>8</v>
      </c>
      <c r="BP578" s="27" t="s">
        <v>7</v>
      </c>
      <c r="BQ578" s="27" t="s">
        <v>8</v>
      </c>
      <c r="BT578" s="27" t="s">
        <v>7</v>
      </c>
      <c r="DV578" s="27" t="s">
        <v>7</v>
      </c>
      <c r="DX578" s="27" t="s">
        <v>7</v>
      </c>
      <c r="DY578" s="27" t="s">
        <v>8</v>
      </c>
      <c r="DZ578" s="27" t="s">
        <v>7</v>
      </c>
      <c r="EA578" s="27" t="s">
        <v>8</v>
      </c>
      <c r="EB578" s="27" t="s">
        <v>7</v>
      </c>
      <c r="EC578" s="27" t="s">
        <v>8</v>
      </c>
      <c r="HV578" s="27" t="s">
        <v>7</v>
      </c>
    </row>
    <row r="579" spans="1:234" x14ac:dyDescent="0.25">
      <c r="A579" s="7">
        <v>1.1716593810022657</v>
      </c>
      <c r="B579"/>
      <c r="C579"/>
      <c r="D579"/>
      <c r="E579"/>
      <c r="BC579" s="27" t="s">
        <v>8</v>
      </c>
      <c r="BE579" s="27" t="s">
        <v>8</v>
      </c>
      <c r="BF579" s="27" t="s">
        <v>7</v>
      </c>
      <c r="BG579" s="27" t="s">
        <v>8</v>
      </c>
      <c r="BL579" s="27" t="s">
        <v>7</v>
      </c>
      <c r="BM579" s="27" t="s">
        <v>8</v>
      </c>
      <c r="BN579" s="27" t="s">
        <v>7</v>
      </c>
      <c r="BO579" s="27" t="s">
        <v>8</v>
      </c>
      <c r="BP579" s="27" t="s">
        <v>7</v>
      </c>
      <c r="BQ579" s="27" t="s">
        <v>8</v>
      </c>
      <c r="DX579" s="27" t="s">
        <v>7</v>
      </c>
      <c r="DY579" s="27" t="s">
        <v>8</v>
      </c>
      <c r="DZ579" s="27" t="s">
        <v>7</v>
      </c>
      <c r="EA579" s="27" t="s">
        <v>8</v>
      </c>
      <c r="EB579" s="27" t="s">
        <v>7</v>
      </c>
      <c r="EC579" s="27" t="s">
        <v>8</v>
      </c>
      <c r="HV579" s="27" t="s">
        <v>7</v>
      </c>
    </row>
    <row r="580" spans="1:234" x14ac:dyDescent="0.25">
      <c r="A580" s="7">
        <v>1.14868566764928</v>
      </c>
      <c r="B580"/>
      <c r="C580"/>
      <c r="D580"/>
      <c r="E580"/>
      <c r="BC580" s="27" t="s">
        <v>8</v>
      </c>
      <c r="BD580" s="27" t="s">
        <v>7</v>
      </c>
      <c r="BE580" s="27" t="s">
        <v>8</v>
      </c>
      <c r="BF580" s="27" t="s">
        <v>7</v>
      </c>
      <c r="BG580" s="27" t="s">
        <v>8</v>
      </c>
      <c r="BL580" s="27" t="s">
        <v>7</v>
      </c>
      <c r="BM580" s="27" t="s">
        <v>8</v>
      </c>
      <c r="BN580" s="27" t="s">
        <v>7</v>
      </c>
      <c r="BO580" s="27" t="s">
        <v>8</v>
      </c>
      <c r="BP580" s="27" t="s">
        <v>7</v>
      </c>
      <c r="BQ580" s="27" t="s">
        <v>8</v>
      </c>
      <c r="DX580" s="27" t="s">
        <v>7</v>
      </c>
      <c r="DZ580" s="27" t="s">
        <v>7</v>
      </c>
      <c r="EA580" s="27" t="s">
        <v>8</v>
      </c>
      <c r="EB580" s="27" t="s">
        <v>7</v>
      </c>
      <c r="EC580" s="27" t="s">
        <v>8</v>
      </c>
      <c r="HV580" s="27" t="s">
        <v>7</v>
      </c>
    </row>
    <row r="581" spans="1:234" x14ac:dyDescent="0.25">
      <c r="A581" s="7">
        <v>1.1261624192640001</v>
      </c>
      <c r="B581"/>
      <c r="C581"/>
      <c r="D581"/>
      <c r="E581"/>
      <c r="BC581" s="27" t="s">
        <v>8</v>
      </c>
      <c r="BD581" s="27" t="s">
        <v>7</v>
      </c>
      <c r="BE581" s="27" t="s">
        <v>8</v>
      </c>
      <c r="BF581" s="27" t="s">
        <v>7</v>
      </c>
      <c r="BL581" s="27" t="s">
        <v>7</v>
      </c>
      <c r="BM581" s="27" t="s">
        <v>8</v>
      </c>
      <c r="BN581" s="27" t="s">
        <v>7</v>
      </c>
      <c r="BO581" s="27" t="s">
        <v>8</v>
      </c>
      <c r="BP581" s="27" t="s">
        <v>7</v>
      </c>
      <c r="BQ581" s="27" t="s">
        <v>8</v>
      </c>
      <c r="DZ581" s="27" t="s">
        <v>7</v>
      </c>
      <c r="EA581" s="27" t="s">
        <v>8</v>
      </c>
      <c r="EB581" s="27" t="s">
        <v>7</v>
      </c>
      <c r="HV581" s="27" t="s">
        <v>7</v>
      </c>
    </row>
    <row r="582" spans="1:234" x14ac:dyDescent="0.25">
      <c r="A582" s="7">
        <v>1.1040808032</v>
      </c>
      <c r="B582"/>
      <c r="C582"/>
      <c r="D582"/>
      <c r="E582"/>
      <c r="BC582" s="27" t="s">
        <v>8</v>
      </c>
      <c r="BD582" s="27" t="s">
        <v>7</v>
      </c>
      <c r="BE582" s="27" t="s">
        <v>8</v>
      </c>
      <c r="BL582" s="27" t="s">
        <v>7</v>
      </c>
      <c r="BM582" s="27" t="s">
        <v>8</v>
      </c>
      <c r="BN582" s="27" t="s">
        <v>7</v>
      </c>
      <c r="BO582" s="27" t="s">
        <v>8</v>
      </c>
      <c r="BP582" s="27" t="s">
        <v>7</v>
      </c>
      <c r="BQ582" s="27" t="s">
        <v>8</v>
      </c>
      <c r="DZ582" s="27" t="s">
        <v>7</v>
      </c>
      <c r="EA582" s="27" t="s">
        <v>8</v>
      </c>
      <c r="HV582" s="27" t="s">
        <v>7</v>
      </c>
    </row>
    <row r="583" spans="1:234" x14ac:dyDescent="0.25">
      <c r="A583" s="7">
        <v>1.08243216</v>
      </c>
      <c r="B583"/>
      <c r="C583"/>
      <c r="D583"/>
      <c r="E583"/>
      <c r="BC583" s="27" t="s">
        <v>8</v>
      </c>
      <c r="BD583" s="27" t="s">
        <v>7</v>
      </c>
      <c r="BE583" s="27" t="s">
        <v>8</v>
      </c>
      <c r="BL583" s="27" t="s">
        <v>7</v>
      </c>
      <c r="BM583" s="27" t="s">
        <v>8</v>
      </c>
      <c r="BN583" s="27" t="s">
        <v>7</v>
      </c>
      <c r="BO583" s="27" t="s">
        <v>8</v>
      </c>
      <c r="BP583" s="27" t="s">
        <v>7</v>
      </c>
      <c r="BQ583" s="27" t="s">
        <v>8</v>
      </c>
      <c r="DZ583" s="27" t="s">
        <v>7</v>
      </c>
      <c r="EA583" s="27" t="s">
        <v>8</v>
      </c>
      <c r="HV583" s="27" t="s">
        <v>7</v>
      </c>
    </row>
    <row r="584" spans="1:234" x14ac:dyDescent="0.25">
      <c r="A584" s="7">
        <v>1.0612079999999999</v>
      </c>
      <c r="B584"/>
      <c r="C584"/>
      <c r="D584"/>
      <c r="E584"/>
      <c r="BC584" s="27" t="s">
        <v>8</v>
      </c>
      <c r="BD584" s="27" t="s">
        <v>7</v>
      </c>
      <c r="BE584" s="27" t="s">
        <v>8</v>
      </c>
      <c r="BL584" s="27" t="s">
        <v>7</v>
      </c>
      <c r="BM584" s="27" t="s">
        <v>8</v>
      </c>
      <c r="BN584" s="27" t="s">
        <v>7</v>
      </c>
      <c r="BP584" s="27" t="s">
        <v>7</v>
      </c>
      <c r="BQ584" s="27" t="s">
        <v>8</v>
      </c>
      <c r="DZ584" s="27" t="s">
        <v>7</v>
      </c>
      <c r="EA584" s="27" t="s">
        <v>8</v>
      </c>
      <c r="HV584" s="27" t="s">
        <v>7</v>
      </c>
    </row>
    <row r="585" spans="1:234" x14ac:dyDescent="0.25">
      <c r="A585" s="7">
        <v>1.0404</v>
      </c>
      <c r="B585"/>
      <c r="C585"/>
      <c r="D585"/>
      <c r="E585"/>
      <c r="BC585" s="27" t="s">
        <v>8</v>
      </c>
      <c r="BD585" s="27" t="s">
        <v>7</v>
      </c>
      <c r="BE585" s="27" t="s">
        <v>8</v>
      </c>
      <c r="BL585" s="27" t="s">
        <v>7</v>
      </c>
      <c r="BM585" s="27" t="s">
        <v>8</v>
      </c>
      <c r="BP585" s="27" t="s">
        <v>7</v>
      </c>
      <c r="BQ585" s="27" t="s">
        <v>8</v>
      </c>
      <c r="DZ585" s="27" t="s">
        <v>7</v>
      </c>
      <c r="EA585" s="27" t="s">
        <v>8</v>
      </c>
      <c r="HV585" s="27" t="s">
        <v>7</v>
      </c>
    </row>
    <row r="586" spans="1:234" x14ac:dyDescent="0.25">
      <c r="A586" s="7">
        <v>1.02</v>
      </c>
      <c r="B586"/>
      <c r="C586"/>
      <c r="D586"/>
      <c r="E586"/>
      <c r="BC586" s="27" t="s">
        <v>8</v>
      </c>
      <c r="BD586" s="27" t="s">
        <v>7</v>
      </c>
      <c r="BE586" s="27" t="s">
        <v>8</v>
      </c>
      <c r="BL586" s="27" t="s">
        <v>7</v>
      </c>
      <c r="BM586" s="27" t="s">
        <v>8</v>
      </c>
      <c r="BP586" s="27" t="s">
        <v>7</v>
      </c>
      <c r="DZ586" s="27" t="s">
        <v>7</v>
      </c>
      <c r="HV586" s="27" t="s">
        <v>7</v>
      </c>
      <c r="HW586" s="27" t="s">
        <v>8</v>
      </c>
    </row>
    <row r="587" spans="1:234" x14ac:dyDescent="0.25">
      <c r="A587" s="7">
        <v>1</v>
      </c>
      <c r="B587"/>
      <c r="C587"/>
      <c r="D587"/>
      <c r="E587" s="29" t="s">
        <v>8</v>
      </c>
      <c r="BC587" s="27" t="s">
        <v>8</v>
      </c>
      <c r="BD587" s="27" t="s">
        <v>7</v>
      </c>
      <c r="BL587" s="27" t="s">
        <v>7</v>
      </c>
      <c r="HV587" s="27" t="s">
        <v>7</v>
      </c>
      <c r="HW587" s="27" t="s">
        <v>8</v>
      </c>
      <c r="HX587" s="27" t="s">
        <v>7</v>
      </c>
    </row>
    <row r="588" spans="1:234" x14ac:dyDescent="0.25">
      <c r="A588" s="7">
        <v>0.98039215686274506</v>
      </c>
      <c r="B588"/>
      <c r="C588"/>
      <c r="D588"/>
      <c r="E588"/>
      <c r="F588" s="27" t="s">
        <v>7</v>
      </c>
      <c r="BC588" s="27" t="s">
        <v>8</v>
      </c>
      <c r="HV588" s="27" t="s">
        <v>7</v>
      </c>
      <c r="HW588" s="27" t="s">
        <v>8</v>
      </c>
      <c r="HX588" s="27" t="s">
        <v>7</v>
      </c>
      <c r="HY588" s="27" t="s">
        <v>8</v>
      </c>
    </row>
    <row r="589" spans="1:234" x14ac:dyDescent="0.25">
      <c r="A589" s="7">
        <v>0.96116878123798544</v>
      </c>
      <c r="B589"/>
      <c r="C589"/>
      <c r="D589"/>
      <c r="E589"/>
      <c r="F589" s="27" t="s">
        <v>7</v>
      </c>
      <c r="BC589" s="27" t="s">
        <v>8</v>
      </c>
      <c r="HV589" s="27" t="s">
        <v>7</v>
      </c>
      <c r="HW589" s="27" t="s">
        <v>8</v>
      </c>
      <c r="HX589" s="27" t="s">
        <v>7</v>
      </c>
      <c r="HY589" s="27" t="s">
        <v>8</v>
      </c>
      <c r="HZ589" s="27" t="s">
        <v>7</v>
      </c>
    </row>
    <row r="590" spans="1:234" x14ac:dyDescent="0.25">
      <c r="A590" s="7">
        <v>0.94232233454704462</v>
      </c>
      <c r="B590"/>
      <c r="C590"/>
      <c r="D590"/>
      <c r="E590"/>
      <c r="F590" s="27" t="s">
        <v>7</v>
      </c>
      <c r="BC590" s="27" t="s">
        <v>8</v>
      </c>
      <c r="HV590" s="27" t="s">
        <v>7</v>
      </c>
      <c r="HW590" s="27" t="s">
        <v>8</v>
      </c>
      <c r="HX590" s="27" t="s">
        <v>7</v>
      </c>
      <c r="HY590" s="27" t="s">
        <v>8</v>
      </c>
      <c r="HZ590" s="27" t="s">
        <v>7</v>
      </c>
    </row>
    <row r="591" spans="1:234" x14ac:dyDescent="0.25">
      <c r="A591" s="7">
        <v>0.92384542602651432</v>
      </c>
      <c r="B591"/>
      <c r="C591"/>
      <c r="D591"/>
      <c r="E591"/>
      <c r="F591" s="27" t="s">
        <v>7</v>
      </c>
      <c r="BC591" s="27" t="s">
        <v>8</v>
      </c>
      <c r="HV591" s="27" t="s">
        <v>7</v>
      </c>
      <c r="HX591" s="27" t="s">
        <v>7</v>
      </c>
      <c r="HY591" s="27" t="s">
        <v>8</v>
      </c>
      <c r="HZ591" s="27" t="s">
        <v>7</v>
      </c>
    </row>
    <row r="592" spans="1:234" x14ac:dyDescent="0.25">
      <c r="A592" s="7">
        <v>0.90573080982991594</v>
      </c>
      <c r="B592"/>
      <c r="C592"/>
      <c r="D592"/>
      <c r="E592"/>
      <c r="F592" s="27" t="s">
        <v>7</v>
      </c>
      <c r="BC592" s="27" t="s">
        <v>8</v>
      </c>
      <c r="HX592" s="27" t="s">
        <v>7</v>
      </c>
      <c r="HY592" s="27" t="s">
        <v>8</v>
      </c>
    </row>
    <row r="593" spans="1:233" x14ac:dyDescent="0.25">
      <c r="A593" s="7">
        <v>0.8879713821861922</v>
      </c>
      <c r="B593"/>
      <c r="C593"/>
      <c r="D593"/>
      <c r="E593"/>
      <c r="F593" s="27" t="s">
        <v>7</v>
      </c>
      <c r="BC593" s="27" t="s">
        <v>8</v>
      </c>
      <c r="HX593" s="27" t="s">
        <v>7</v>
      </c>
      <c r="HY593" s="27" t="s">
        <v>8</v>
      </c>
    </row>
    <row r="594" spans="1:233" x14ac:dyDescent="0.25">
      <c r="A594" s="7">
        <v>0.87056017861391399</v>
      </c>
      <c r="B594"/>
      <c r="C594"/>
      <c r="D594"/>
      <c r="E594"/>
      <c r="F594" s="27" t="s">
        <v>7</v>
      </c>
      <c r="BC594" s="27" t="s">
        <v>8</v>
      </c>
      <c r="HX594" s="27" t="s">
        <v>7</v>
      </c>
      <c r="HY594" s="27" t="s">
        <v>8</v>
      </c>
    </row>
    <row r="595" spans="1:233" x14ac:dyDescent="0.25">
      <c r="A595" s="7">
        <v>0.85349037119011173</v>
      </c>
      <c r="B595"/>
      <c r="C595"/>
      <c r="D595"/>
      <c r="E595"/>
      <c r="F595" s="27" t="s">
        <v>7</v>
      </c>
      <c r="BC595" s="27" t="s">
        <v>8</v>
      </c>
      <c r="HX595" s="27" t="s">
        <v>7</v>
      </c>
    </row>
    <row r="596" spans="1:233" x14ac:dyDescent="0.25">
      <c r="A596" s="7">
        <v>0.83675526587265858</v>
      </c>
      <c r="B596"/>
      <c r="C596"/>
      <c r="D596"/>
      <c r="E596"/>
      <c r="F596" s="27" t="s">
        <v>7</v>
      </c>
      <c r="I596" s="27" t="s">
        <v>8</v>
      </c>
      <c r="AW596" s="27" t="s">
        <v>8</v>
      </c>
      <c r="BC596" s="27" t="s">
        <v>8</v>
      </c>
    </row>
    <row r="597" spans="1:233" x14ac:dyDescent="0.25">
      <c r="A597" s="7">
        <v>0.82034829987515545</v>
      </c>
      <c r="B597"/>
      <c r="C597"/>
      <c r="D597"/>
      <c r="E597"/>
      <c r="F597" s="27" t="s">
        <v>7</v>
      </c>
      <c r="I597" s="27" t="s">
        <v>8</v>
      </c>
      <c r="J597" s="27" t="s">
        <v>7</v>
      </c>
      <c r="AW597" s="27" t="s">
        <v>8</v>
      </c>
      <c r="AX597" s="27" t="s">
        <v>7</v>
      </c>
      <c r="BA597" s="27" t="s">
        <v>8</v>
      </c>
      <c r="BC597" s="27" t="s">
        <v>8</v>
      </c>
    </row>
    <row r="598" spans="1:233" x14ac:dyDescent="0.25">
      <c r="A598" s="7">
        <v>0.80426303909328967</v>
      </c>
      <c r="B598"/>
      <c r="C598"/>
      <c r="D598"/>
      <c r="E598"/>
      <c r="F598" s="27" t="s">
        <v>7</v>
      </c>
      <c r="I598" s="27" t="s">
        <v>8</v>
      </c>
      <c r="J598" s="27" t="s">
        <v>7</v>
      </c>
      <c r="AW598" s="27" t="s">
        <v>8</v>
      </c>
      <c r="AX598" s="27" t="s">
        <v>7</v>
      </c>
      <c r="BA598" s="27" t="s">
        <v>8</v>
      </c>
      <c r="BB598" s="27" t="s">
        <v>7</v>
      </c>
      <c r="BC598" s="27" t="s">
        <v>8</v>
      </c>
    </row>
    <row r="599" spans="1:233" x14ac:dyDescent="0.25">
      <c r="A599" s="7">
        <v>0.78849317558165644</v>
      </c>
      <c r="B599"/>
      <c r="C599"/>
      <c r="D599"/>
      <c r="E599"/>
      <c r="F599" s="27" t="s">
        <v>7</v>
      </c>
      <c r="I599" s="27" t="s">
        <v>8</v>
      </c>
      <c r="J599" s="27" t="s">
        <v>7</v>
      </c>
      <c r="AW599" s="27" t="s">
        <v>8</v>
      </c>
      <c r="AX599" s="27" t="s">
        <v>7</v>
      </c>
      <c r="AY599" s="27" t="s">
        <v>8</v>
      </c>
      <c r="BA599" s="27" t="s">
        <v>8</v>
      </c>
      <c r="BB599" s="27" t="s">
        <v>7</v>
      </c>
      <c r="BC599" s="27" t="s">
        <v>8</v>
      </c>
    </row>
    <row r="600" spans="1:233" x14ac:dyDescent="0.25">
      <c r="A600" s="7">
        <v>0.77303252508005538</v>
      </c>
      <c r="B600"/>
      <c r="C600"/>
      <c r="D600"/>
      <c r="E600"/>
      <c r="F600" s="27" t="s">
        <v>7</v>
      </c>
      <c r="I600" s="27" t="s">
        <v>8</v>
      </c>
      <c r="J600" s="27" t="s">
        <v>7</v>
      </c>
      <c r="K600" s="27" t="s">
        <v>8</v>
      </c>
      <c r="AW600" s="27" t="s">
        <v>8</v>
      </c>
      <c r="AX600" s="27" t="s">
        <v>7</v>
      </c>
      <c r="AY600" s="27" t="s">
        <v>8</v>
      </c>
      <c r="AZ600" s="27" t="s">
        <v>7</v>
      </c>
      <c r="BA600" s="27" t="s">
        <v>8</v>
      </c>
      <c r="BB600" s="27" t="s">
        <v>7</v>
      </c>
      <c r="BC600" s="27" t="s">
        <v>8</v>
      </c>
    </row>
    <row r="601" spans="1:233" x14ac:dyDescent="0.25">
      <c r="A601" s="7">
        <v>0.75787502458828959</v>
      </c>
      <c r="B601"/>
      <c r="C601"/>
      <c r="D601"/>
      <c r="E601"/>
      <c r="F601" s="27" t="s">
        <v>7</v>
      </c>
      <c r="I601" s="27" t="s">
        <v>8</v>
      </c>
      <c r="J601" s="27" t="s">
        <v>7</v>
      </c>
      <c r="K601" s="27" t="s">
        <v>8</v>
      </c>
      <c r="L601" s="27" t="s">
        <v>7</v>
      </c>
      <c r="AW601" s="27" t="s">
        <v>8</v>
      </c>
      <c r="AX601" s="27" t="s">
        <v>7</v>
      </c>
      <c r="AY601" s="27" t="s">
        <v>8</v>
      </c>
      <c r="AZ601" s="27" t="s">
        <v>7</v>
      </c>
      <c r="BA601" s="27" t="s">
        <v>8</v>
      </c>
      <c r="BB601" s="27" t="s">
        <v>7</v>
      </c>
      <c r="BC601" s="27" t="s">
        <v>8</v>
      </c>
    </row>
    <row r="602" spans="1:233" x14ac:dyDescent="0.25">
      <c r="A602" s="7">
        <v>0.74301472998851925</v>
      </c>
      <c r="B602"/>
      <c r="C602"/>
      <c r="D602"/>
      <c r="E602"/>
      <c r="F602" s="27" t="s">
        <v>7</v>
      </c>
      <c r="I602" s="27" t="s">
        <v>8</v>
      </c>
      <c r="J602" s="27" t="s">
        <v>7</v>
      </c>
      <c r="K602" s="27" t="s">
        <v>8</v>
      </c>
      <c r="L602" s="27" t="s">
        <v>7</v>
      </c>
      <c r="AW602" s="27" t="s">
        <v>8</v>
      </c>
      <c r="AX602" s="27" t="s">
        <v>7</v>
      </c>
      <c r="AY602" s="27" t="s">
        <v>8</v>
      </c>
      <c r="AZ602" s="27" t="s">
        <v>7</v>
      </c>
      <c r="BA602" s="27" t="s">
        <v>8</v>
      </c>
      <c r="BB602" s="27" t="s">
        <v>7</v>
      </c>
      <c r="BC602" s="27" t="s">
        <v>8</v>
      </c>
    </row>
    <row r="603" spans="1:233" x14ac:dyDescent="0.25">
      <c r="A603" s="7">
        <v>0.72844581371423456</v>
      </c>
      <c r="B603"/>
      <c r="C603"/>
      <c r="D603"/>
      <c r="E603"/>
      <c r="F603" s="27" t="s">
        <v>7</v>
      </c>
      <c r="I603" s="27" t="s">
        <v>8</v>
      </c>
      <c r="J603" s="27" t="s">
        <v>7</v>
      </c>
      <c r="K603" s="27" t="s">
        <v>8</v>
      </c>
      <c r="L603" s="27" t="s">
        <v>7</v>
      </c>
      <c r="AW603" s="27" t="s">
        <v>8</v>
      </c>
      <c r="AX603" s="27" t="s">
        <v>7</v>
      </c>
      <c r="AY603" s="27" t="s">
        <v>8</v>
      </c>
      <c r="AZ603" s="27" t="s">
        <v>7</v>
      </c>
      <c r="BA603" s="27" t="s">
        <v>8</v>
      </c>
      <c r="BB603" s="27" t="s">
        <v>7</v>
      </c>
      <c r="BC603" s="27" t="s">
        <v>8</v>
      </c>
    </row>
    <row r="604" spans="1:233" x14ac:dyDescent="0.25">
      <c r="A604" s="7">
        <v>0.71416256246493581</v>
      </c>
      <c r="B604"/>
      <c r="C604"/>
      <c r="D604"/>
      <c r="E604"/>
      <c r="F604" s="27" t="s">
        <v>7</v>
      </c>
      <c r="I604" s="27" t="s">
        <v>8</v>
      </c>
      <c r="J604" s="27" t="s">
        <v>7</v>
      </c>
      <c r="K604" s="27" t="s">
        <v>8</v>
      </c>
      <c r="L604" s="27" t="s">
        <v>7</v>
      </c>
      <c r="AW604" s="27" t="s">
        <v>8</v>
      </c>
      <c r="AX604" s="27" t="s">
        <v>7</v>
      </c>
      <c r="AY604" s="27" t="s">
        <v>8</v>
      </c>
      <c r="AZ604" s="27" t="s">
        <v>7</v>
      </c>
      <c r="BA604" s="27" t="s">
        <v>8</v>
      </c>
      <c r="BB604" s="27" t="s">
        <v>7</v>
      </c>
    </row>
    <row r="605" spans="1:233" x14ac:dyDescent="0.25">
      <c r="A605" s="7">
        <v>0.7001593749656233</v>
      </c>
      <c r="B605"/>
      <c r="C605"/>
      <c r="D605"/>
      <c r="E605"/>
      <c r="F605" s="27" t="s">
        <v>7</v>
      </c>
      <c r="I605" s="27" t="s">
        <v>8</v>
      </c>
      <c r="J605" s="27" t="s">
        <v>7</v>
      </c>
      <c r="K605" s="27" t="s">
        <v>8</v>
      </c>
      <c r="L605" s="27" t="s">
        <v>7</v>
      </c>
      <c r="AW605" s="27" t="s">
        <v>8</v>
      </c>
      <c r="AX605" s="27" t="s">
        <v>7</v>
      </c>
      <c r="AY605" s="27" t="s">
        <v>8</v>
      </c>
      <c r="AZ605" s="27" t="s">
        <v>7</v>
      </c>
      <c r="BA605" s="27" t="s">
        <v>8</v>
      </c>
    </row>
    <row r="606" spans="1:233" x14ac:dyDescent="0.25">
      <c r="A606" s="7">
        <v>0.68643075977021883</v>
      </c>
      <c r="B606"/>
      <c r="C606"/>
      <c r="D606"/>
      <c r="E606"/>
      <c r="F606" s="27" t="s">
        <v>7</v>
      </c>
      <c r="I606" s="27" t="s">
        <v>8</v>
      </c>
      <c r="J606" s="27" t="s">
        <v>7</v>
      </c>
      <c r="K606" s="27" t="s">
        <v>8</v>
      </c>
      <c r="L606" s="27" t="s">
        <v>7</v>
      </c>
      <c r="AW606" s="27" t="s">
        <v>8</v>
      </c>
      <c r="AX606" s="27" t="s">
        <v>7</v>
      </c>
      <c r="AZ606" s="27" t="s">
        <v>7</v>
      </c>
      <c r="BA606" s="27" t="s">
        <v>8</v>
      </c>
    </row>
    <row r="607" spans="1:233" x14ac:dyDescent="0.25">
      <c r="A607" s="7">
        <v>0.67297133310805768</v>
      </c>
      <c r="B607"/>
      <c r="C607"/>
      <c r="D607"/>
      <c r="E607"/>
      <c r="F607" s="27" t="s">
        <v>7</v>
      </c>
      <c r="I607" s="27" t="s">
        <v>8</v>
      </c>
      <c r="J607" s="27" t="s">
        <v>7</v>
      </c>
      <c r="K607" s="27" t="s">
        <v>8</v>
      </c>
      <c r="L607" s="27" t="s">
        <v>7</v>
      </c>
      <c r="Q607" s="27" t="s">
        <v>8</v>
      </c>
      <c r="AW607" s="27" t="s">
        <v>8</v>
      </c>
      <c r="AZ607" s="27" t="s">
        <v>7</v>
      </c>
      <c r="BA607" s="27" t="s">
        <v>8</v>
      </c>
    </row>
    <row r="608" spans="1:233" x14ac:dyDescent="0.25">
      <c r="A608" s="7">
        <v>0.65977581677260566</v>
      </c>
      <c r="B608"/>
      <c r="C608"/>
      <c r="D608"/>
      <c r="E608"/>
      <c r="F608" s="27" t="s">
        <v>7</v>
      </c>
      <c r="I608" s="27" t="s">
        <v>8</v>
      </c>
      <c r="J608" s="27" t="s">
        <v>7</v>
      </c>
      <c r="K608" s="27" t="s">
        <v>8</v>
      </c>
      <c r="L608" s="27" t="s">
        <v>7</v>
      </c>
      <c r="Q608" s="27" t="s">
        <v>8</v>
      </c>
      <c r="R608" s="27" t="s">
        <v>7</v>
      </c>
      <c r="AU608" s="27" t="s">
        <v>8</v>
      </c>
      <c r="AW608" s="27" t="s">
        <v>8</v>
      </c>
      <c r="AZ608" s="27" t="s">
        <v>7</v>
      </c>
    </row>
    <row r="609" spans="1:49" x14ac:dyDescent="0.25">
      <c r="A609" s="7">
        <v>0.64683903605157422</v>
      </c>
      <c r="B609"/>
      <c r="C609"/>
      <c r="D609"/>
      <c r="E609"/>
      <c r="F609" s="27" t="s">
        <v>7</v>
      </c>
      <c r="I609" s="27" t="s">
        <v>8</v>
      </c>
      <c r="J609" s="27" t="s">
        <v>7</v>
      </c>
      <c r="K609" s="27" t="s">
        <v>8</v>
      </c>
      <c r="L609" s="27" t="s">
        <v>7</v>
      </c>
      <c r="M609" s="27" t="s">
        <v>8</v>
      </c>
      <c r="Q609" s="27" t="s">
        <v>8</v>
      </c>
      <c r="R609" s="27" t="s">
        <v>7</v>
      </c>
      <c r="AU609" s="27" t="s">
        <v>8</v>
      </c>
      <c r="AV609" s="27" t="s">
        <v>7</v>
      </c>
      <c r="AW609" s="27" t="s">
        <v>8</v>
      </c>
    </row>
    <row r="610" spans="1:49" x14ac:dyDescent="0.25">
      <c r="A610" s="7">
        <v>0.63415591769762181</v>
      </c>
      <c r="B610"/>
      <c r="C610"/>
      <c r="D610"/>
      <c r="E610"/>
      <c r="F610" s="27" t="s">
        <v>7</v>
      </c>
      <c r="I610" s="27" t="s">
        <v>8</v>
      </c>
      <c r="J610" s="27" t="s">
        <v>7</v>
      </c>
      <c r="K610" s="27" t="s">
        <v>8</v>
      </c>
      <c r="L610" s="27" t="s">
        <v>7</v>
      </c>
      <c r="M610" s="27" t="s">
        <v>8</v>
      </c>
      <c r="N610" s="27" t="s">
        <v>7</v>
      </c>
      <c r="Q610" s="27" t="s">
        <v>8</v>
      </c>
      <c r="R610" s="27" t="s">
        <v>7</v>
      </c>
      <c r="AQ610" s="27" t="s">
        <v>8</v>
      </c>
      <c r="AU610" s="27" t="s">
        <v>8</v>
      </c>
      <c r="AV610" s="27" t="s">
        <v>7</v>
      </c>
      <c r="AW610" s="27" t="s">
        <v>8</v>
      </c>
    </row>
    <row r="611" spans="1:49" x14ac:dyDescent="0.25">
      <c r="A611" s="7">
        <v>0.62172148793884496</v>
      </c>
      <c r="B611"/>
      <c r="C611"/>
      <c r="D611"/>
      <c r="E611"/>
      <c r="F611" s="27" t="s">
        <v>7</v>
      </c>
      <c r="I611" s="27" t="s">
        <v>8</v>
      </c>
      <c r="J611" s="27" t="s">
        <v>7</v>
      </c>
      <c r="K611" s="27" t="s">
        <v>8</v>
      </c>
      <c r="L611" s="27" t="s">
        <v>7</v>
      </c>
      <c r="M611" s="27" t="s">
        <v>8</v>
      </c>
      <c r="N611" s="27" t="s">
        <v>7</v>
      </c>
      <c r="Q611" s="27" t="s">
        <v>8</v>
      </c>
      <c r="R611" s="27" t="s">
        <v>7</v>
      </c>
      <c r="W611" s="27" t="s">
        <v>8</v>
      </c>
      <c r="AQ611" s="27" t="s">
        <v>8</v>
      </c>
      <c r="AR611" s="27" t="s">
        <v>7</v>
      </c>
      <c r="AU611" s="27" t="s">
        <v>8</v>
      </c>
      <c r="AV611" s="27" t="s">
        <v>7</v>
      </c>
      <c r="AW611" s="27" t="s">
        <v>8</v>
      </c>
    </row>
    <row r="612" spans="1:49" x14ac:dyDescent="0.25">
      <c r="A612" s="7">
        <v>0.60953087052827937</v>
      </c>
      <c r="B612"/>
      <c r="C612"/>
      <c r="D612"/>
      <c r="E612"/>
      <c r="F612" s="27" t="s">
        <v>7</v>
      </c>
      <c r="I612" s="27" t="s">
        <v>8</v>
      </c>
      <c r="J612" s="27" t="s">
        <v>7</v>
      </c>
      <c r="K612" s="27" t="s">
        <v>8</v>
      </c>
      <c r="L612" s="27" t="s">
        <v>7</v>
      </c>
      <c r="M612" s="27" t="s">
        <v>8</v>
      </c>
      <c r="N612" s="27" t="s">
        <v>7</v>
      </c>
      <c r="Q612" s="27" t="s">
        <v>8</v>
      </c>
      <c r="R612" s="27" t="s">
        <v>7</v>
      </c>
      <c r="W612" s="27" t="s">
        <v>8</v>
      </c>
      <c r="X612" s="27" t="s">
        <v>7</v>
      </c>
      <c r="Y612" s="27" t="s">
        <v>8</v>
      </c>
      <c r="AQ612" s="27" t="s">
        <v>8</v>
      </c>
      <c r="AR612" s="27" t="s">
        <v>7</v>
      </c>
      <c r="AU612" s="27" t="s">
        <v>8</v>
      </c>
      <c r="AV612" s="27" t="s">
        <v>7</v>
      </c>
      <c r="AW612" s="27" t="s">
        <v>8</v>
      </c>
    </row>
    <row r="613" spans="1:49" x14ac:dyDescent="0.25">
      <c r="A613" s="7">
        <v>0.59757928483164646</v>
      </c>
      <c r="B613"/>
      <c r="C613"/>
      <c r="D613"/>
      <c r="E613"/>
      <c r="F613" s="27" t="s">
        <v>7</v>
      </c>
      <c r="I613" s="27" t="s">
        <v>8</v>
      </c>
      <c r="J613" s="27" t="s">
        <v>7</v>
      </c>
      <c r="K613" s="27" t="s">
        <v>8</v>
      </c>
      <c r="L613" s="27" t="s">
        <v>7</v>
      </c>
      <c r="M613" s="27" t="s">
        <v>8</v>
      </c>
      <c r="N613" s="27" t="s">
        <v>7</v>
      </c>
      <c r="Q613" s="27" t="s">
        <v>8</v>
      </c>
      <c r="R613" s="27" t="s">
        <v>7</v>
      </c>
      <c r="U613" s="27" t="s">
        <v>8</v>
      </c>
      <c r="W613" s="27" t="s">
        <v>8</v>
      </c>
      <c r="X613" s="27" t="s">
        <v>7</v>
      </c>
      <c r="Y613" s="27" t="s">
        <v>8</v>
      </c>
      <c r="Z613" s="27" t="s">
        <v>7</v>
      </c>
      <c r="AQ613" s="27" t="s">
        <v>8</v>
      </c>
      <c r="AR613" s="27" t="s">
        <v>7</v>
      </c>
      <c r="AU613" s="27" t="s">
        <v>8</v>
      </c>
      <c r="AV613" s="27" t="s">
        <v>7</v>
      </c>
      <c r="AW613" s="27" t="s">
        <v>8</v>
      </c>
    </row>
    <row r="614" spans="1:49" x14ac:dyDescent="0.25">
      <c r="A614" s="7">
        <v>0.58586204395259456</v>
      </c>
      <c r="B614"/>
      <c r="C614"/>
      <c r="D614"/>
      <c r="E614"/>
      <c r="F614" s="27" t="s">
        <v>7</v>
      </c>
      <c r="I614" s="27" t="s">
        <v>8</v>
      </c>
      <c r="J614" s="27" t="s">
        <v>7</v>
      </c>
      <c r="K614" s="27" t="s">
        <v>8</v>
      </c>
      <c r="L614" s="27" t="s">
        <v>7</v>
      </c>
      <c r="M614" s="27" t="s">
        <v>8</v>
      </c>
      <c r="N614" s="27" t="s">
        <v>7</v>
      </c>
      <c r="Q614" s="27" t="s">
        <v>8</v>
      </c>
      <c r="R614" s="27" t="s">
        <v>7</v>
      </c>
      <c r="U614" s="27" t="s">
        <v>8</v>
      </c>
      <c r="V614" s="27" t="s">
        <v>7</v>
      </c>
      <c r="W614" s="27" t="s">
        <v>8</v>
      </c>
      <c r="X614" s="27" t="s">
        <v>7</v>
      </c>
      <c r="Y614" s="27" t="s">
        <v>8</v>
      </c>
      <c r="Z614" s="27" t="s">
        <v>7</v>
      </c>
      <c r="AK614" s="27" t="s">
        <v>8</v>
      </c>
      <c r="AM614" s="27" t="s">
        <v>8</v>
      </c>
      <c r="AQ614" s="27" t="s">
        <v>8</v>
      </c>
      <c r="AR614" s="27" t="s">
        <v>7</v>
      </c>
      <c r="AU614" s="27" t="s">
        <v>8</v>
      </c>
      <c r="AV614" s="27" t="s">
        <v>7</v>
      </c>
      <c r="AW614" s="27" t="s">
        <v>8</v>
      </c>
    </row>
    <row r="615" spans="1:49" x14ac:dyDescent="0.25">
      <c r="A615" s="7">
        <v>0.57437455289470052</v>
      </c>
      <c r="B615"/>
      <c r="C615"/>
      <c r="D615"/>
      <c r="E615"/>
      <c r="F615" s="27" t="s">
        <v>7</v>
      </c>
      <c r="I615" s="27" t="s">
        <v>8</v>
      </c>
      <c r="J615" s="27" t="s">
        <v>7</v>
      </c>
      <c r="K615" s="27" t="s">
        <v>8</v>
      </c>
      <c r="L615" s="27" t="s">
        <v>7</v>
      </c>
      <c r="M615" s="27" t="s">
        <v>8</v>
      </c>
      <c r="N615" s="27" t="s">
        <v>7</v>
      </c>
      <c r="Q615" s="27" t="s">
        <v>8</v>
      </c>
      <c r="R615" s="27" t="s">
        <v>7</v>
      </c>
      <c r="S615" s="27" t="s">
        <v>8</v>
      </c>
      <c r="U615" s="27" t="s">
        <v>8</v>
      </c>
      <c r="V615" s="27" t="s">
        <v>7</v>
      </c>
      <c r="W615" s="27" t="s">
        <v>8</v>
      </c>
      <c r="X615" s="27" t="s">
        <v>7</v>
      </c>
      <c r="Y615" s="27" t="s">
        <v>8</v>
      </c>
      <c r="Z615" s="27" t="s">
        <v>7</v>
      </c>
      <c r="AK615" s="27" t="s">
        <v>8</v>
      </c>
      <c r="AL615" s="27" t="s">
        <v>7</v>
      </c>
      <c r="AM615" s="27" t="s">
        <v>8</v>
      </c>
      <c r="AN615" s="27" t="s">
        <v>7</v>
      </c>
      <c r="AQ615" s="27" t="s">
        <v>8</v>
      </c>
      <c r="AR615" s="27" t="s">
        <v>7</v>
      </c>
      <c r="AU615" s="27" t="s">
        <v>8</v>
      </c>
      <c r="AV615" s="27" t="s">
        <v>7</v>
      </c>
      <c r="AW615" s="27" t="s">
        <v>8</v>
      </c>
    </row>
    <row r="616" spans="1:49" x14ac:dyDescent="0.25">
      <c r="A616" s="7">
        <v>0.56311230675951029</v>
      </c>
      <c r="B616"/>
      <c r="C616"/>
      <c r="D616"/>
      <c r="E616"/>
      <c r="F616" s="27" t="s">
        <v>7</v>
      </c>
      <c r="I616" s="27" t="s">
        <v>8</v>
      </c>
      <c r="J616" s="27" t="s">
        <v>7</v>
      </c>
      <c r="K616" s="27" t="s">
        <v>8</v>
      </c>
      <c r="L616" s="27" t="s">
        <v>7</v>
      </c>
      <c r="N616" s="27" t="s">
        <v>7</v>
      </c>
      <c r="O616" s="27" t="s">
        <v>8</v>
      </c>
      <c r="Q616" s="27" t="s">
        <v>8</v>
      </c>
      <c r="R616" s="27" t="s">
        <v>7</v>
      </c>
      <c r="S616" s="27" t="s">
        <v>8</v>
      </c>
      <c r="T616" s="27" t="s">
        <v>7</v>
      </c>
      <c r="U616" s="27" t="s">
        <v>8</v>
      </c>
      <c r="V616" s="27" t="s">
        <v>7</v>
      </c>
      <c r="W616" s="27" t="s">
        <v>8</v>
      </c>
      <c r="X616" s="27" t="s">
        <v>7</v>
      </c>
      <c r="Y616" s="27" t="s">
        <v>8</v>
      </c>
      <c r="Z616" s="27" t="s">
        <v>7</v>
      </c>
      <c r="AK616" s="27" t="s">
        <v>8</v>
      </c>
      <c r="AL616" s="27" t="s">
        <v>7</v>
      </c>
      <c r="AM616" s="27" t="s">
        <v>8</v>
      </c>
      <c r="AN616" s="27" t="s">
        <v>7</v>
      </c>
      <c r="AQ616" s="27" t="s">
        <v>8</v>
      </c>
      <c r="AR616" s="27" t="s">
        <v>7</v>
      </c>
      <c r="AS616" s="27" t="s">
        <v>8</v>
      </c>
      <c r="AU616" s="27" t="s">
        <v>8</v>
      </c>
      <c r="AV616" s="27" t="s">
        <v>7</v>
      </c>
      <c r="AW616" s="27" t="s">
        <v>8</v>
      </c>
    </row>
    <row r="617" spans="1:49" x14ac:dyDescent="0.25">
      <c r="A617" s="7">
        <v>0.55207088897991208</v>
      </c>
      <c r="B617"/>
      <c r="C617"/>
      <c r="D617"/>
      <c r="E617"/>
      <c r="F617" s="27" t="s">
        <v>7</v>
      </c>
      <c r="I617" s="27" t="s">
        <v>8</v>
      </c>
      <c r="J617" s="27" t="s">
        <v>7</v>
      </c>
      <c r="K617" s="27" t="s">
        <v>8</v>
      </c>
      <c r="N617" s="27" t="s">
        <v>7</v>
      </c>
      <c r="O617" s="27" t="s">
        <v>8</v>
      </c>
      <c r="P617" s="27" t="s">
        <v>7</v>
      </c>
      <c r="Q617" s="27" t="s">
        <v>8</v>
      </c>
      <c r="R617" s="27" t="s">
        <v>7</v>
      </c>
      <c r="S617" s="27" t="s">
        <v>8</v>
      </c>
      <c r="T617" s="27" t="s">
        <v>7</v>
      </c>
      <c r="U617" s="27" t="s">
        <v>8</v>
      </c>
      <c r="V617" s="27" t="s">
        <v>7</v>
      </c>
      <c r="W617" s="27" t="s">
        <v>8</v>
      </c>
      <c r="X617" s="27" t="s">
        <v>7</v>
      </c>
      <c r="Z617" s="27" t="s">
        <v>7</v>
      </c>
      <c r="AA617" s="27" t="s">
        <v>8</v>
      </c>
      <c r="AK617" s="27" t="s">
        <v>8</v>
      </c>
      <c r="AL617" s="27" t="s">
        <v>7</v>
      </c>
      <c r="AM617" s="27" t="s">
        <v>8</v>
      </c>
      <c r="AN617" s="27" t="s">
        <v>7</v>
      </c>
      <c r="AQ617" s="27" t="s">
        <v>8</v>
      </c>
      <c r="AR617" s="27" t="s">
        <v>7</v>
      </c>
      <c r="AS617" s="27" t="s">
        <v>8</v>
      </c>
      <c r="AT617" s="27" t="s">
        <v>7</v>
      </c>
      <c r="AU617" s="27" t="s">
        <v>8</v>
      </c>
      <c r="AV617" s="27" t="s">
        <v>7</v>
      </c>
    </row>
    <row r="618" spans="1:49" x14ac:dyDescent="0.25">
      <c r="A618" s="7">
        <v>0.54124596958814908</v>
      </c>
      <c r="B618"/>
      <c r="C618"/>
      <c r="D618"/>
      <c r="E618"/>
      <c r="F618" s="27" t="s">
        <v>7</v>
      </c>
      <c r="I618" s="27" t="s">
        <v>8</v>
      </c>
      <c r="J618" s="27" t="s">
        <v>7</v>
      </c>
      <c r="K618" s="27" t="s">
        <v>8</v>
      </c>
      <c r="N618" s="27" t="s">
        <v>7</v>
      </c>
      <c r="O618" s="27" t="s">
        <v>8</v>
      </c>
      <c r="P618" s="27" t="s">
        <v>7</v>
      </c>
      <c r="Q618" s="27" t="s">
        <v>8</v>
      </c>
      <c r="R618" s="27" t="s">
        <v>7</v>
      </c>
      <c r="S618" s="27" t="s">
        <v>8</v>
      </c>
      <c r="T618" s="27" t="s">
        <v>7</v>
      </c>
      <c r="U618" s="27" t="s">
        <v>8</v>
      </c>
      <c r="V618" s="27" t="s">
        <v>7</v>
      </c>
      <c r="Z618" s="27" t="s">
        <v>7</v>
      </c>
      <c r="AA618" s="27" t="s">
        <v>8</v>
      </c>
      <c r="AB618" s="27" t="s">
        <v>7</v>
      </c>
      <c r="AK618" s="27" t="s">
        <v>8</v>
      </c>
      <c r="AL618" s="27" t="s">
        <v>7</v>
      </c>
      <c r="AM618" s="27" t="s">
        <v>8</v>
      </c>
      <c r="AN618" s="27" t="s">
        <v>7</v>
      </c>
      <c r="AQ618" s="27" t="s">
        <v>8</v>
      </c>
      <c r="AR618" s="27" t="s">
        <v>7</v>
      </c>
      <c r="AS618" s="27" t="s">
        <v>8</v>
      </c>
      <c r="AT618" s="27" t="s">
        <v>7</v>
      </c>
      <c r="AU618" s="27" t="s">
        <v>8</v>
      </c>
    </row>
    <row r="619" spans="1:49" x14ac:dyDescent="0.25">
      <c r="A619" s="7">
        <v>0.53063330351779314</v>
      </c>
      <c r="B619"/>
      <c r="C619"/>
      <c r="D619"/>
      <c r="E619"/>
      <c r="F619" s="27" t="s">
        <v>7</v>
      </c>
      <c r="I619" s="27" t="s">
        <v>8</v>
      </c>
      <c r="J619" s="27" t="s">
        <v>7</v>
      </c>
      <c r="K619" s="27" t="s">
        <v>8</v>
      </c>
      <c r="N619" s="27" t="s">
        <v>7</v>
      </c>
      <c r="O619" s="27" t="s">
        <v>8</v>
      </c>
      <c r="P619" s="27" t="s">
        <v>7</v>
      </c>
      <c r="R619" s="27" t="s">
        <v>7</v>
      </c>
      <c r="T619" s="27" t="s">
        <v>7</v>
      </c>
      <c r="U619" s="27" t="s">
        <v>8</v>
      </c>
      <c r="Z619" s="27" t="s">
        <v>7</v>
      </c>
      <c r="AA619" s="27" t="s">
        <v>8</v>
      </c>
      <c r="AB619" s="27" t="s">
        <v>7</v>
      </c>
      <c r="AC619" s="27" t="s">
        <v>8</v>
      </c>
      <c r="AK619" s="27" t="s">
        <v>8</v>
      </c>
      <c r="AL619" s="27" t="s">
        <v>7</v>
      </c>
      <c r="AM619" s="27" t="s">
        <v>8</v>
      </c>
      <c r="AN619" s="27" t="s">
        <v>7</v>
      </c>
      <c r="AQ619" s="27" t="s">
        <v>8</v>
      </c>
      <c r="AR619" s="27" t="s">
        <v>7</v>
      </c>
      <c r="AS619" s="27" t="s">
        <v>8</v>
      </c>
      <c r="AT619" s="27" t="s">
        <v>7</v>
      </c>
      <c r="AU619" s="27" t="s">
        <v>8</v>
      </c>
    </row>
    <row r="620" spans="1:49" x14ac:dyDescent="0.25">
      <c r="A620" s="7">
        <v>0.52022872893901284</v>
      </c>
      <c r="B620"/>
      <c r="C620"/>
      <c r="D620"/>
      <c r="E620"/>
      <c r="F620" s="27" t="s">
        <v>7</v>
      </c>
      <c r="I620" s="27" t="s">
        <v>8</v>
      </c>
      <c r="J620" s="27" t="s">
        <v>7</v>
      </c>
      <c r="K620" s="27" t="s">
        <v>8</v>
      </c>
      <c r="N620" s="27" t="s">
        <v>7</v>
      </c>
      <c r="T620" s="27" t="s">
        <v>7</v>
      </c>
      <c r="U620" s="27" t="s">
        <v>8</v>
      </c>
      <c r="Z620" s="27" t="s">
        <v>7</v>
      </c>
      <c r="AA620" s="27" t="s">
        <v>8</v>
      </c>
      <c r="AB620" s="27" t="s">
        <v>7</v>
      </c>
      <c r="AC620" s="27" t="s">
        <v>8</v>
      </c>
      <c r="AD620" s="27" t="s">
        <v>7</v>
      </c>
      <c r="AK620" s="27" t="s">
        <v>8</v>
      </c>
      <c r="AL620" s="27" t="s">
        <v>7</v>
      </c>
      <c r="AM620" s="27" t="s">
        <v>8</v>
      </c>
      <c r="AN620" s="27" t="s">
        <v>7</v>
      </c>
      <c r="AQ620" s="27" t="s">
        <v>8</v>
      </c>
      <c r="AR620" s="27" t="s">
        <v>7</v>
      </c>
      <c r="AS620" s="27" t="s">
        <v>8</v>
      </c>
      <c r="AT620" s="27" t="s">
        <v>7</v>
      </c>
      <c r="AU620" s="27" t="s">
        <v>8</v>
      </c>
    </row>
    <row r="621" spans="1:49" x14ac:dyDescent="0.25">
      <c r="A621" s="7">
        <v>0.51002816562648323</v>
      </c>
      <c r="B621"/>
      <c r="C621"/>
      <c r="D621"/>
      <c r="E621"/>
      <c r="F621" s="27" t="s">
        <v>7</v>
      </c>
      <c r="I621" s="27" t="s">
        <v>8</v>
      </c>
      <c r="J621" s="27" t="s">
        <v>7</v>
      </c>
      <c r="K621" s="27" t="s">
        <v>8</v>
      </c>
      <c r="T621" s="27" t="s">
        <v>7</v>
      </c>
      <c r="Z621" s="27" t="s">
        <v>7</v>
      </c>
      <c r="AA621" s="27" t="s">
        <v>8</v>
      </c>
      <c r="AB621" s="27" t="s">
        <v>7</v>
      </c>
      <c r="AC621" s="27" t="s">
        <v>8</v>
      </c>
      <c r="AD621" s="27" t="s">
        <v>7</v>
      </c>
      <c r="AE621" s="27" t="s">
        <v>8</v>
      </c>
      <c r="AG621" s="27" t="s">
        <v>8</v>
      </c>
      <c r="AK621" s="27" t="s">
        <v>8</v>
      </c>
      <c r="AL621" s="27" t="s">
        <v>7</v>
      </c>
      <c r="AM621" s="27" t="s">
        <v>8</v>
      </c>
      <c r="AN621" s="27" t="s">
        <v>7</v>
      </c>
      <c r="AO621" s="27" t="s">
        <v>8</v>
      </c>
      <c r="AQ621" s="27" t="s">
        <v>8</v>
      </c>
      <c r="AR621" s="27" t="s">
        <v>7</v>
      </c>
      <c r="AS621" s="27" t="s">
        <v>8</v>
      </c>
      <c r="AT621" s="27" t="s">
        <v>7</v>
      </c>
    </row>
    <row r="622" spans="1:49" x14ac:dyDescent="0.25">
      <c r="A622" s="7">
        <v>0.50002761335929735</v>
      </c>
      <c r="B622"/>
      <c r="C622"/>
      <c r="D622"/>
      <c r="E622"/>
      <c r="F622" s="27" t="s">
        <v>7</v>
      </c>
      <c r="I622" s="27" t="s">
        <v>8</v>
      </c>
      <c r="J622" s="27" t="s">
        <v>7</v>
      </c>
      <c r="K622" s="27" t="s">
        <v>8</v>
      </c>
      <c r="Z622" s="27" t="s">
        <v>7</v>
      </c>
      <c r="AA622" s="27" t="s">
        <v>8</v>
      </c>
      <c r="AB622" s="27" t="s">
        <v>7</v>
      </c>
      <c r="AC622" s="27" t="s">
        <v>8</v>
      </c>
      <c r="AD622" s="27" t="s">
        <v>7</v>
      </c>
      <c r="AE622" s="27" t="s">
        <v>8</v>
      </c>
      <c r="AF622" s="27" t="s">
        <v>7</v>
      </c>
      <c r="AG622" s="27" t="s">
        <v>8</v>
      </c>
      <c r="AH622" s="27" t="s">
        <v>7</v>
      </c>
      <c r="AK622" s="27" t="s">
        <v>8</v>
      </c>
      <c r="AL622" s="27" t="s">
        <v>7</v>
      </c>
      <c r="AM622" s="27" t="s">
        <v>8</v>
      </c>
      <c r="AN622" s="27" t="s">
        <v>7</v>
      </c>
      <c r="AO622" s="27" t="s">
        <v>8</v>
      </c>
      <c r="AP622" s="27" t="s">
        <v>7</v>
      </c>
      <c r="AQ622" s="27" t="s">
        <v>8</v>
      </c>
      <c r="AR622" s="27" t="s">
        <v>7</v>
      </c>
      <c r="AS622" s="27" t="s">
        <v>8</v>
      </c>
    </row>
    <row r="623" spans="1:49" x14ac:dyDescent="0.25">
      <c r="A623" s="7">
        <v>0.49022315035225228</v>
      </c>
      <c r="B623"/>
      <c r="C623"/>
      <c r="D623"/>
      <c r="E623"/>
      <c r="F623" s="27" t="s">
        <v>7</v>
      </c>
      <c r="I623" s="27" t="s">
        <v>8</v>
      </c>
      <c r="J623" s="27" t="s">
        <v>7</v>
      </c>
      <c r="K623" s="27" t="s">
        <v>8</v>
      </c>
      <c r="Z623" s="27" t="s">
        <v>7</v>
      </c>
      <c r="AB623" s="27" t="s">
        <v>7</v>
      </c>
      <c r="AC623" s="27" t="s">
        <v>8</v>
      </c>
      <c r="AD623" s="27" t="s">
        <v>7</v>
      </c>
      <c r="AE623" s="27" t="s">
        <v>8</v>
      </c>
      <c r="AF623" s="27" t="s">
        <v>7</v>
      </c>
      <c r="AG623" s="27" t="s">
        <v>8</v>
      </c>
      <c r="AH623" s="27" t="s">
        <v>7</v>
      </c>
      <c r="AK623" s="27" t="s">
        <v>8</v>
      </c>
      <c r="AL623" s="27" t="s">
        <v>7</v>
      </c>
      <c r="AM623" s="27" t="s">
        <v>8</v>
      </c>
      <c r="AN623" s="27" t="s">
        <v>7</v>
      </c>
      <c r="AO623" s="27" t="s">
        <v>8</v>
      </c>
      <c r="AP623" s="27" t="s">
        <v>7</v>
      </c>
      <c r="AQ623" s="27" t="s">
        <v>8</v>
      </c>
      <c r="AR623" s="27" t="s">
        <v>7</v>
      </c>
      <c r="AS623" s="27" t="s">
        <v>8</v>
      </c>
    </row>
    <row r="624" spans="1:49" x14ac:dyDescent="0.25">
      <c r="A624" s="7">
        <v>0.48061093171789437</v>
      </c>
      <c r="B624"/>
      <c r="C624"/>
      <c r="D624"/>
      <c r="E624"/>
      <c r="F624" s="27" t="s">
        <v>7</v>
      </c>
      <c r="I624" s="27" t="s">
        <v>8</v>
      </c>
      <c r="J624" s="27" t="s">
        <v>7</v>
      </c>
      <c r="K624" s="27" t="s">
        <v>8</v>
      </c>
      <c r="AB624" s="27" t="s">
        <v>7</v>
      </c>
      <c r="AC624" s="27" t="s">
        <v>8</v>
      </c>
      <c r="AD624" s="27" t="s">
        <v>7</v>
      </c>
      <c r="AE624" s="27" t="s">
        <v>8</v>
      </c>
      <c r="AF624" s="27" t="s">
        <v>7</v>
      </c>
      <c r="AG624" s="27" t="s">
        <v>8</v>
      </c>
      <c r="AH624" s="27" t="s">
        <v>7</v>
      </c>
      <c r="AI624" s="27" t="s">
        <v>8</v>
      </c>
      <c r="AK624" s="27" t="s">
        <v>8</v>
      </c>
      <c r="AL624" s="27" t="s">
        <v>7</v>
      </c>
      <c r="AM624" s="27" t="s">
        <v>8</v>
      </c>
      <c r="AN624" s="27" t="s">
        <v>7</v>
      </c>
      <c r="AO624" s="27" t="s">
        <v>8</v>
      </c>
      <c r="AP624" s="27" t="s">
        <v>7</v>
      </c>
      <c r="AQ624" s="27" t="s">
        <v>8</v>
      </c>
      <c r="AR624" s="27" t="s">
        <v>7</v>
      </c>
    </row>
    <row r="625" spans="1:43" x14ac:dyDescent="0.25">
      <c r="A625" s="7">
        <v>0.47118718795871994</v>
      </c>
      <c r="B625"/>
      <c r="C625"/>
      <c r="D625"/>
      <c r="E625"/>
      <c r="F625" s="27" t="s">
        <v>7</v>
      </c>
      <c r="I625" s="27" t="s">
        <v>8</v>
      </c>
      <c r="J625" s="27" t="s">
        <v>7</v>
      </c>
      <c r="K625" s="27" t="s">
        <v>8</v>
      </c>
      <c r="AB625" s="27" t="s">
        <v>7</v>
      </c>
      <c r="AC625" s="27" t="s">
        <v>8</v>
      </c>
      <c r="AD625" s="27" t="s">
        <v>7</v>
      </c>
      <c r="AE625" s="27" t="s">
        <v>8</v>
      </c>
      <c r="AF625" s="27" t="s">
        <v>7</v>
      </c>
      <c r="AG625" s="27" t="s">
        <v>8</v>
      </c>
      <c r="AH625" s="27" t="s">
        <v>7</v>
      </c>
      <c r="AI625" s="27" t="s">
        <v>8</v>
      </c>
      <c r="AJ625" s="27" t="s">
        <v>7</v>
      </c>
      <c r="AK625" s="27" t="s">
        <v>8</v>
      </c>
      <c r="AL625" s="27" t="s">
        <v>7</v>
      </c>
      <c r="AM625" s="27" t="s">
        <v>8</v>
      </c>
      <c r="AN625" s="27" t="s">
        <v>7</v>
      </c>
      <c r="AO625" s="27" t="s">
        <v>8</v>
      </c>
      <c r="AP625" s="27" t="s">
        <v>7</v>
      </c>
      <c r="AQ625" s="27" t="s">
        <v>8</v>
      </c>
    </row>
    <row r="626" spans="1:43" x14ac:dyDescent="0.25">
      <c r="A626" s="7">
        <v>0.46194822348894116</v>
      </c>
      <c r="B626"/>
      <c r="C626"/>
      <c r="D626"/>
      <c r="E626"/>
      <c r="F626" s="27" t="s">
        <v>7</v>
      </c>
      <c r="I626" s="27" t="s">
        <v>8</v>
      </c>
      <c r="J626" s="27" t="s">
        <v>7</v>
      </c>
      <c r="K626" s="27" t="s">
        <v>8</v>
      </c>
      <c r="AB626" s="27" t="s">
        <v>7</v>
      </c>
      <c r="AC626" s="27" t="s">
        <v>8</v>
      </c>
      <c r="AD626" s="27" t="s">
        <v>7</v>
      </c>
      <c r="AF626" s="27" t="s">
        <v>7</v>
      </c>
      <c r="AG626" s="27" t="s">
        <v>8</v>
      </c>
      <c r="AH626" s="27" t="s">
        <v>7</v>
      </c>
      <c r="AI626" s="27" t="s">
        <v>8</v>
      </c>
      <c r="AJ626" s="27" t="s">
        <v>7</v>
      </c>
      <c r="AK626" s="27" t="s">
        <v>8</v>
      </c>
      <c r="AL626" s="27" t="s">
        <v>7</v>
      </c>
      <c r="AM626" s="27" t="s">
        <v>8</v>
      </c>
      <c r="AN626" s="27" t="s">
        <v>7</v>
      </c>
      <c r="AO626" s="27" t="s">
        <v>8</v>
      </c>
      <c r="AP626" s="27" t="s">
        <v>7</v>
      </c>
      <c r="AQ626" s="27" t="s">
        <v>8</v>
      </c>
    </row>
    <row r="627" spans="1:43" x14ac:dyDescent="0.25">
      <c r="A627" s="7">
        <v>0.45289041518523643</v>
      </c>
      <c r="B627"/>
      <c r="C627"/>
      <c r="D627"/>
      <c r="E627"/>
      <c r="F627" s="27" t="s">
        <v>7</v>
      </c>
      <c r="I627" s="27" t="s">
        <v>8</v>
      </c>
      <c r="J627" s="27" t="s">
        <v>7</v>
      </c>
      <c r="AB627" s="27" t="s">
        <v>7</v>
      </c>
      <c r="AC627" s="27" t="s">
        <v>8</v>
      </c>
      <c r="AF627" s="27" t="s">
        <v>7</v>
      </c>
      <c r="AG627" s="27" t="s">
        <v>8</v>
      </c>
      <c r="AH627" s="27" t="s">
        <v>7</v>
      </c>
      <c r="AI627" s="27" t="s">
        <v>8</v>
      </c>
      <c r="AJ627" s="27" t="s">
        <v>7</v>
      </c>
      <c r="AK627" s="27" t="s">
        <v>8</v>
      </c>
      <c r="AL627" s="27" t="s">
        <v>7</v>
      </c>
      <c r="AN627" s="27" t="s">
        <v>7</v>
      </c>
      <c r="AO627" s="27" t="s">
        <v>8</v>
      </c>
      <c r="AP627" s="27" t="s">
        <v>7</v>
      </c>
      <c r="AQ627" s="27" t="s">
        <v>8</v>
      </c>
    </row>
    <row r="628" spans="1:43" x14ac:dyDescent="0.25">
      <c r="A628" s="7">
        <v>0.44401021096591808</v>
      </c>
      <c r="B628"/>
      <c r="C628"/>
      <c r="D628"/>
      <c r="E628"/>
      <c r="F628" s="27" t="s">
        <v>7</v>
      </c>
      <c r="I628" s="27" t="s">
        <v>8</v>
      </c>
      <c r="AB628" s="27" t="s">
        <v>7</v>
      </c>
      <c r="AC628" s="27" t="s">
        <v>8</v>
      </c>
      <c r="AF628" s="27" t="s">
        <v>7</v>
      </c>
      <c r="AH628" s="27" t="s">
        <v>7</v>
      </c>
      <c r="AI628" s="27" t="s">
        <v>8</v>
      </c>
      <c r="AJ628" s="27" t="s">
        <v>7</v>
      </c>
      <c r="AK628" s="27" t="s">
        <v>8</v>
      </c>
      <c r="AN628" s="27" t="s">
        <v>7</v>
      </c>
      <c r="AO628" s="27" t="s">
        <v>8</v>
      </c>
      <c r="AP628" s="27" t="s">
        <v>7</v>
      </c>
      <c r="AQ628" s="27" t="s">
        <v>8</v>
      </c>
    </row>
    <row r="629" spans="1:43" x14ac:dyDescent="0.25">
      <c r="A629" s="7">
        <v>0.4353041283979589</v>
      </c>
      <c r="B629"/>
      <c r="C629"/>
      <c r="D629"/>
      <c r="E629"/>
      <c r="F629" s="27" t="s">
        <v>7</v>
      </c>
      <c r="I629" s="27" t="s">
        <v>8</v>
      </c>
      <c r="AB629" s="27" t="s">
        <v>7</v>
      </c>
      <c r="AC629" s="27" t="s">
        <v>8</v>
      </c>
      <c r="AH629" s="27" t="s">
        <v>7</v>
      </c>
      <c r="AI629" s="27" t="s">
        <v>8</v>
      </c>
      <c r="AJ629" s="27" t="s">
        <v>7</v>
      </c>
      <c r="AK629" s="27" t="s">
        <v>8</v>
      </c>
      <c r="AN629" s="27" t="s">
        <v>7</v>
      </c>
      <c r="AO629" s="27" t="s">
        <v>8</v>
      </c>
      <c r="AP629" s="27" t="s">
        <v>7</v>
      </c>
      <c r="AQ629" s="27" t="s">
        <v>8</v>
      </c>
    </row>
    <row r="630" spans="1:43" x14ac:dyDescent="0.25">
      <c r="A630" s="7">
        <v>0.4267687533313323</v>
      </c>
      <c r="B630"/>
      <c r="C630"/>
      <c r="D630"/>
      <c r="E630"/>
      <c r="F630" s="27" t="s">
        <v>7</v>
      </c>
      <c r="I630" s="27" t="s">
        <v>8</v>
      </c>
      <c r="AB630" s="27" t="s">
        <v>7</v>
      </c>
      <c r="AH630" s="27" t="s">
        <v>7</v>
      </c>
      <c r="AI630" s="27" t="s">
        <v>8</v>
      </c>
      <c r="AJ630" s="27" t="s">
        <v>7</v>
      </c>
      <c r="AK630" s="27" t="s">
        <v>8</v>
      </c>
      <c r="AN630" s="27" t="s">
        <v>7</v>
      </c>
      <c r="AP630" s="27" t="s">
        <v>7</v>
      </c>
    </row>
    <row r="631" spans="1:43" x14ac:dyDescent="0.25">
      <c r="A631" s="7">
        <v>0.41840073856012971</v>
      </c>
      <c r="B631"/>
      <c r="C631"/>
      <c r="D631"/>
      <c r="E631"/>
      <c r="F631" s="27" t="s">
        <v>7</v>
      </c>
      <c r="G631" s="27" t="s">
        <v>8</v>
      </c>
      <c r="I631" s="27" t="s">
        <v>8</v>
      </c>
      <c r="AH631" s="27" t="s">
        <v>7</v>
      </c>
      <c r="AJ631" s="27" t="s">
        <v>7</v>
      </c>
      <c r="AK631" s="27" t="s">
        <v>8</v>
      </c>
    </row>
    <row r="632" spans="1:43" x14ac:dyDescent="0.25">
      <c r="A632" s="7">
        <v>0.41019680250993112</v>
      </c>
      <c r="B632"/>
      <c r="C632"/>
      <c r="D632"/>
      <c r="E632"/>
      <c r="F632" s="27" t="s">
        <v>7</v>
      </c>
      <c r="G632" s="27" t="s">
        <v>8</v>
      </c>
      <c r="H632" s="27" t="s">
        <v>7</v>
      </c>
      <c r="I632" s="27" t="s">
        <v>8</v>
      </c>
      <c r="AJ632" s="27" t="s">
        <v>7</v>
      </c>
    </row>
    <row r="633" spans="1:43" x14ac:dyDescent="0.25">
      <c r="A633" s="7">
        <v>0.40215372795091286</v>
      </c>
      <c r="B633"/>
      <c r="C633"/>
      <c r="D633"/>
      <c r="E633"/>
      <c r="F633" s="27" t="s">
        <v>7</v>
      </c>
      <c r="G633" s="27" t="s">
        <v>8</v>
      </c>
      <c r="H633" s="27" t="s">
        <v>7</v>
      </c>
      <c r="I633" s="27" t="s">
        <v>8</v>
      </c>
    </row>
    <row r="634" spans="1:43" x14ac:dyDescent="0.25">
      <c r="A634" s="7">
        <v>0.39426836073618904</v>
      </c>
      <c r="B634"/>
      <c r="C634"/>
      <c r="D634"/>
      <c r="E634"/>
      <c r="F634" s="27" t="s">
        <v>7</v>
      </c>
      <c r="H634" s="27" t="s">
        <v>7</v>
      </c>
      <c r="I634" s="27" t="s">
        <v>8</v>
      </c>
    </row>
    <row r="635" spans="1:43" x14ac:dyDescent="0.25">
      <c r="A635" s="7">
        <v>0.38653760856489122</v>
      </c>
      <c r="B635"/>
      <c r="C635"/>
      <c r="D635"/>
      <c r="E635"/>
      <c r="H635" s="27" t="s">
        <v>7</v>
      </c>
      <c r="I635" s="27" t="s">
        <v>8</v>
      </c>
    </row>
    <row r="636" spans="1:43" x14ac:dyDescent="0.25">
      <c r="A636" s="7">
        <v>0.37895843976950117</v>
      </c>
      <c r="B636"/>
      <c r="C636"/>
      <c r="D636"/>
      <c r="E636"/>
      <c r="H636" s="27" t="s">
        <v>7</v>
      </c>
    </row>
    <row r="637" spans="1:43" x14ac:dyDescent="0.25">
      <c r="A637" s="7">
        <v>0.37152788212696197</v>
      </c>
      <c r="B637"/>
      <c r="C637"/>
      <c r="D637"/>
      <c r="E637"/>
    </row>
    <row r="638" spans="1:43" x14ac:dyDescent="0.25">
      <c r="A638" s="7">
        <v>0.36424302169310002</v>
      </c>
      <c r="B638"/>
      <c r="C638"/>
      <c r="D638"/>
      <c r="E638"/>
    </row>
    <row r="639" spans="1:43" x14ac:dyDescent="0.25">
      <c r="A639" s="7">
        <v>0.35710100165990194</v>
      </c>
      <c r="B639"/>
      <c r="C639"/>
      <c r="D639"/>
      <c r="E639"/>
    </row>
    <row r="640" spans="1:43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41" operator="equal">
      <formula>$U$1</formula>
    </cfRule>
    <cfRule type="cellIs" dxfId="89" priority="842" operator="equal">
      <formula>$S$1</formula>
    </cfRule>
  </conditionalFormatting>
  <conditionalFormatting sqref="D27">
    <cfRule type="cellIs" dxfId="88" priority="839" operator="equal">
      <formula>$S$1</formula>
    </cfRule>
    <cfRule type="cellIs" dxfId="87" priority="840" operator="equal">
      <formula>$U$1</formula>
    </cfRule>
  </conditionalFormatting>
  <conditionalFormatting sqref="C164">
    <cfRule type="cellIs" dxfId="86" priority="837" operator="equal">
      <formula>$U$1</formula>
    </cfRule>
    <cfRule type="cellIs" dxfId="85" priority="838" operator="equal">
      <formula>$S$1</formula>
    </cfRule>
  </conditionalFormatting>
  <conditionalFormatting sqref="D164">
    <cfRule type="cellIs" dxfId="84" priority="835" operator="equal">
      <formula>$S$1</formula>
    </cfRule>
    <cfRule type="cellIs" dxfId="83" priority="836" operator="equal">
      <formula>$U$1</formula>
    </cfRule>
  </conditionalFormatting>
  <conditionalFormatting sqref="C55">
    <cfRule type="cellIs" dxfId="82" priority="833" operator="equal">
      <formula>$U$1</formula>
    </cfRule>
    <cfRule type="cellIs" dxfId="81" priority="834" operator="equal">
      <formula>$S$1</formula>
    </cfRule>
  </conditionalFormatting>
  <conditionalFormatting sqref="D55">
    <cfRule type="cellIs" dxfId="80" priority="831" operator="equal">
      <formula>$S$1</formula>
    </cfRule>
    <cfRule type="cellIs" dxfId="79" priority="832" operator="equal">
      <formula>$U$1</formula>
    </cfRule>
  </conditionalFormatting>
  <conditionalFormatting sqref="C89">
    <cfRule type="cellIs" dxfId="78" priority="829" operator="equal">
      <formula>$U$1</formula>
    </cfRule>
    <cfRule type="cellIs" dxfId="77" priority="830" operator="equal">
      <formula>$S$1</formula>
    </cfRule>
  </conditionalFormatting>
  <conditionalFormatting sqref="D89">
    <cfRule type="cellIs" dxfId="76" priority="827" operator="equal">
      <formula>$S$1</formula>
    </cfRule>
    <cfRule type="cellIs" dxfId="75" priority="828" operator="equal">
      <formula>$U$1</formula>
    </cfRule>
  </conditionalFormatting>
  <conditionalFormatting sqref="C136">
    <cfRule type="cellIs" dxfId="74" priority="825" operator="equal">
      <formula>$U$1</formula>
    </cfRule>
    <cfRule type="cellIs" dxfId="73" priority="826" operator="equal">
      <formula>$S$1</formula>
    </cfRule>
  </conditionalFormatting>
  <conditionalFormatting sqref="D136">
    <cfRule type="cellIs" dxfId="72" priority="823" operator="equal">
      <formula>$S$1</formula>
    </cfRule>
    <cfRule type="cellIs" dxfId="71" priority="824" operator="equal">
      <formula>$U$1</formula>
    </cfRule>
  </conditionalFormatting>
  <conditionalFormatting sqref="C1">
    <cfRule type="cellIs" dxfId="70" priority="82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G241" sqref="EG24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$A$240</v>
      </c>
      <c r="D111" s="1" t="str">
        <f>ADDRESS(C121-1,D121,1,1)</f>
        <v>$EG$240</v>
      </c>
      <c r="E111"/>
    </row>
    <row r="112" spans="1:5" x14ac:dyDescent="0.25">
      <c r="A112" s="30">
        <v>515.50191262726139</v>
      </c>
      <c r="C112" s="1" t="str">
        <f>ADDRESS(C121,1,1,1)</f>
        <v>$A$241</v>
      </c>
      <c r="D112" s="1" t="str">
        <f>ADDRESS(C121,D121-1,1,1)</f>
        <v>$EF$241</v>
      </c>
      <c r="E112"/>
    </row>
    <row r="113" spans="1:5" x14ac:dyDescent="0.25">
      <c r="A113" s="30">
        <v>490.95420250215363</v>
      </c>
      <c r="C113" s="1" t="str">
        <f>ADDRESS(C121+1,1,1,1)</f>
        <v>$A$242</v>
      </c>
      <c r="D113" s="1" t="str">
        <f>ADDRESS(C121-1,D121+1,1,1)</f>
        <v>$EH$240</v>
      </c>
    </row>
    <row r="114" spans="1:5" x14ac:dyDescent="0.25">
      <c r="A114" s="30">
        <v>467.57543095443202</v>
      </c>
      <c r="C114" s="1" t="str">
        <f>ADDRESS(C121,D121,1,1)</f>
        <v>$EG$241</v>
      </c>
      <c r="D114" s="1" t="str">
        <f>ADDRESS(C121+1,D121+1,1,1)</f>
        <v>$EH$242</v>
      </c>
    </row>
    <row r="115" spans="1:5" x14ac:dyDescent="0.25">
      <c r="A115" s="30">
        <v>445.30993424231622</v>
      </c>
      <c r="C115" s="1" t="str">
        <f>ADDRESS(C121+1,D121,1,1)</f>
        <v>$EG$242</v>
      </c>
    </row>
    <row r="116" spans="1:5" x14ac:dyDescent="0.25">
      <c r="A116" s="30">
        <v>424.10469927839637</v>
      </c>
      <c r="C116" s="1">
        <f>C117-1</f>
        <v>240</v>
      </c>
    </row>
    <row r="117" spans="1:5" x14ac:dyDescent="0.25">
      <c r="A117" s="30">
        <v>403.9092374079965</v>
      </c>
      <c r="C117" s="1">
        <f>C121</f>
        <v>241</v>
      </c>
      <c r="D117" s="1">
        <f>D121</f>
        <v>137</v>
      </c>
    </row>
    <row r="118" spans="1:5" x14ac:dyDescent="0.25">
      <c r="A118" s="30">
        <v>384.6754641980919</v>
      </c>
      <c r="C118" s="1">
        <f>C117+1</f>
        <v>242</v>
      </c>
      <c r="D118" s="1">
        <f>D117+1</f>
        <v>138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241</v>
      </c>
      <c r="D121" s="19">
        <v>137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R241</v>
      </c>
      <c r="D123" s="1" t="str">
        <f>"C"&amp;D121</f>
        <v>C137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0.952380952380952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26" x14ac:dyDescent="0.25">
      <c r="A209" s="30">
        <v>4.5380394939082018</v>
      </c>
      <c r="E209"/>
      <c r="BQ209" s="27" t="s">
        <v>8</v>
      </c>
    </row>
    <row r="210" spans="1:126" x14ac:dyDescent="0.25">
      <c r="A210" s="30">
        <v>4.3219423751506678</v>
      </c>
      <c r="C210"/>
      <c r="E210"/>
      <c r="BQ210" s="27" t="s">
        <v>8</v>
      </c>
      <c r="BR210" s="27" t="s">
        <v>7</v>
      </c>
    </row>
    <row r="211" spans="1:126" x14ac:dyDescent="0.25">
      <c r="A211" s="30">
        <v>4.1161355953815884</v>
      </c>
      <c r="E211"/>
      <c r="BQ211" s="27" t="s">
        <v>8</v>
      </c>
      <c r="BR211" s="27" t="s">
        <v>7</v>
      </c>
    </row>
    <row r="212" spans="1:126" x14ac:dyDescent="0.25">
      <c r="A212" s="30">
        <v>3.9201291384586554</v>
      </c>
      <c r="E212"/>
      <c r="BQ212" s="27" t="s">
        <v>8</v>
      </c>
      <c r="BR212" s="27" t="s">
        <v>7</v>
      </c>
    </row>
    <row r="213" spans="1:126" x14ac:dyDescent="0.25">
      <c r="A213" s="30">
        <v>3.7334563223415764</v>
      </c>
      <c r="E213"/>
      <c r="BQ213" s="27" t="s">
        <v>8</v>
      </c>
      <c r="BR213" s="27" t="s">
        <v>7</v>
      </c>
    </row>
    <row r="214" spans="1:126" x14ac:dyDescent="0.25">
      <c r="A214" s="30">
        <v>3.5556726879443583</v>
      </c>
      <c r="E214"/>
      <c r="BQ214" s="27" t="s">
        <v>8</v>
      </c>
      <c r="BR214" s="27" t="s">
        <v>7</v>
      </c>
    </row>
    <row r="215" spans="1:126" x14ac:dyDescent="0.25">
      <c r="A215" s="30">
        <v>3.3863549408993889</v>
      </c>
      <c r="E215"/>
      <c r="BM215" s="27" t="s">
        <v>8</v>
      </c>
      <c r="BO215" s="27" t="s">
        <v>8</v>
      </c>
      <c r="BQ215" s="27" t="s">
        <v>8</v>
      </c>
      <c r="BR215" s="27" t="s">
        <v>7</v>
      </c>
      <c r="BS215" s="27" t="s">
        <v>8</v>
      </c>
    </row>
    <row r="216" spans="1:126" x14ac:dyDescent="0.25">
      <c r="A216" s="30">
        <v>3.2250999437137038</v>
      </c>
      <c r="E216"/>
      <c r="BM216" s="27" t="s">
        <v>8</v>
      </c>
      <c r="BN216" s="27" t="s">
        <v>7</v>
      </c>
      <c r="BO216" s="27" t="s">
        <v>8</v>
      </c>
      <c r="BP216" s="27" t="s">
        <v>7</v>
      </c>
      <c r="BQ216" s="27" t="s">
        <v>8</v>
      </c>
      <c r="BR216" s="27" t="s">
        <v>7</v>
      </c>
      <c r="BS216" s="27" t="s">
        <v>8</v>
      </c>
      <c r="BT216" s="27" t="s">
        <v>7</v>
      </c>
    </row>
    <row r="217" spans="1:126" x14ac:dyDescent="0.25">
      <c r="A217" s="30">
        <v>3.0715237559178128</v>
      </c>
      <c r="E217"/>
      <c r="BM217" s="27" t="s">
        <v>8</v>
      </c>
      <c r="BN217" s="27" t="s">
        <v>7</v>
      </c>
      <c r="BO217" s="27" t="s">
        <v>8</v>
      </c>
      <c r="BP217" s="27" t="s">
        <v>7</v>
      </c>
      <c r="BQ217" s="27" t="s">
        <v>8</v>
      </c>
      <c r="BR217" s="27" t="s">
        <v>7</v>
      </c>
      <c r="BS217" s="27" t="s">
        <v>8</v>
      </c>
      <c r="BT217" s="27" t="s">
        <v>7</v>
      </c>
      <c r="DE217" s="27" t="s">
        <v>8</v>
      </c>
    </row>
    <row r="218" spans="1:126" x14ac:dyDescent="0.25">
      <c r="A218" s="30">
        <v>2.9252607199217264</v>
      </c>
      <c r="E218"/>
      <c r="BE218" s="27" t="s">
        <v>8</v>
      </c>
      <c r="BM218" s="27" t="s">
        <v>8</v>
      </c>
      <c r="BN218" s="27" t="s">
        <v>7</v>
      </c>
      <c r="BP218" s="27" t="s">
        <v>7</v>
      </c>
      <c r="BR218" s="27" t="s">
        <v>7</v>
      </c>
      <c r="BT218" s="27" t="s">
        <v>7</v>
      </c>
      <c r="BU218" s="27" t="s">
        <v>8</v>
      </c>
      <c r="DE218" s="27" t="s">
        <v>8</v>
      </c>
      <c r="DF218" s="27" t="s">
        <v>7</v>
      </c>
      <c r="DG218" s="27" t="s">
        <v>8</v>
      </c>
    </row>
    <row r="219" spans="1:126" x14ac:dyDescent="0.25">
      <c r="A219" s="30">
        <v>2.7859625904016441</v>
      </c>
      <c r="E219"/>
      <c r="BE219" s="27" t="s">
        <v>8</v>
      </c>
      <c r="BF219" s="27" t="s">
        <v>7</v>
      </c>
      <c r="BG219" s="27" t="s">
        <v>8</v>
      </c>
      <c r="BM219" s="27" t="s">
        <v>8</v>
      </c>
      <c r="BT219" s="27" t="s">
        <v>7</v>
      </c>
      <c r="BU219" s="27" t="s">
        <v>8</v>
      </c>
      <c r="BV219" s="27" t="s">
        <v>7</v>
      </c>
      <c r="DE219" s="27" t="s">
        <v>8</v>
      </c>
      <c r="DF219" s="27" t="s">
        <v>7</v>
      </c>
      <c r="DG219" s="27" t="s">
        <v>8</v>
      </c>
      <c r="DH219" s="27" t="s">
        <v>7</v>
      </c>
      <c r="DK219" s="27" t="s">
        <v>8</v>
      </c>
    </row>
    <row r="220" spans="1:126" x14ac:dyDescent="0.25">
      <c r="A220" s="30">
        <v>2.6532977051444226</v>
      </c>
      <c r="E220"/>
      <c r="BC220" s="27" t="s">
        <v>8</v>
      </c>
      <c r="BE220" s="27" t="s">
        <v>8</v>
      </c>
      <c r="BF220" s="27" t="s">
        <v>7</v>
      </c>
      <c r="BG220" s="27" t="s">
        <v>8</v>
      </c>
      <c r="BH220" s="27" t="s">
        <v>7</v>
      </c>
      <c r="BM220" s="27" t="s">
        <v>8</v>
      </c>
      <c r="BT220" s="27" t="s">
        <v>7</v>
      </c>
      <c r="BU220" s="27" t="s">
        <v>8</v>
      </c>
      <c r="BV220" s="27" t="s">
        <v>7</v>
      </c>
      <c r="DC220" s="27" t="s">
        <v>8</v>
      </c>
      <c r="DE220" s="27" t="s">
        <v>8</v>
      </c>
      <c r="DF220" s="27" t="s">
        <v>7</v>
      </c>
      <c r="DG220" s="27" t="s">
        <v>8</v>
      </c>
      <c r="DH220" s="27" t="s">
        <v>7</v>
      </c>
      <c r="DK220" s="27" t="s">
        <v>8</v>
      </c>
      <c r="DL220" s="27" t="s">
        <v>7</v>
      </c>
      <c r="DM220" s="27" t="s">
        <v>8</v>
      </c>
      <c r="DS220" s="27" t="s">
        <v>8</v>
      </c>
    </row>
    <row r="221" spans="1:126" x14ac:dyDescent="0.25">
      <c r="A221" s="30">
        <v>2.5269501953756404</v>
      </c>
      <c r="E221"/>
      <c r="BC221" s="27" t="s">
        <v>8</v>
      </c>
      <c r="BD221" s="27" t="s">
        <v>7</v>
      </c>
      <c r="BE221" s="27" t="s">
        <v>8</v>
      </c>
      <c r="BF221" s="27" t="s">
        <v>7</v>
      </c>
      <c r="BG221" s="27" t="s">
        <v>8</v>
      </c>
      <c r="BH221" s="27" t="s">
        <v>7</v>
      </c>
      <c r="BM221" s="27" t="s">
        <v>8</v>
      </c>
      <c r="BT221" s="27" t="s">
        <v>7</v>
      </c>
      <c r="BU221" s="27" t="s">
        <v>8</v>
      </c>
      <c r="BV221" s="27" t="s">
        <v>7</v>
      </c>
      <c r="DC221" s="27" t="s">
        <v>8</v>
      </c>
      <c r="DD221" s="27" t="s">
        <v>7</v>
      </c>
      <c r="DE221" s="27" t="s">
        <v>8</v>
      </c>
      <c r="DF221" s="27" t="s">
        <v>7</v>
      </c>
      <c r="DG221" s="27" t="s">
        <v>8</v>
      </c>
      <c r="DH221" s="27" t="s">
        <v>7</v>
      </c>
      <c r="DK221" s="27" t="s">
        <v>8</v>
      </c>
      <c r="DL221" s="27" t="s">
        <v>7</v>
      </c>
      <c r="DM221" s="27" t="s">
        <v>8</v>
      </c>
      <c r="DN221" s="27" t="s">
        <v>7</v>
      </c>
      <c r="DS221" s="27" t="s">
        <v>8</v>
      </c>
      <c r="DT221" s="27" t="s">
        <v>7</v>
      </c>
    </row>
    <row r="222" spans="1:126" x14ac:dyDescent="0.25">
      <c r="A222" s="30">
        <v>2.4066192336910861</v>
      </c>
      <c r="E222"/>
      <c r="BC222" s="27" t="s">
        <v>8</v>
      </c>
      <c r="BD222" s="27" t="s">
        <v>7</v>
      </c>
      <c r="BE222" s="27" t="s">
        <v>8</v>
      </c>
      <c r="BF222" s="27" t="s">
        <v>7</v>
      </c>
      <c r="BG222" s="27" t="s">
        <v>8</v>
      </c>
      <c r="BH222" s="27" t="s">
        <v>7</v>
      </c>
      <c r="BI222" s="27" t="s">
        <v>8</v>
      </c>
      <c r="BM222" s="27" t="s">
        <v>8</v>
      </c>
      <c r="BT222" s="27" t="s">
        <v>7</v>
      </c>
      <c r="BV222" s="27" t="s">
        <v>7</v>
      </c>
      <c r="BW222" s="27" t="s">
        <v>8</v>
      </c>
      <c r="DC222" s="27" t="s">
        <v>8</v>
      </c>
      <c r="DD222" s="27" t="s">
        <v>7</v>
      </c>
      <c r="DE222" s="27" t="s">
        <v>8</v>
      </c>
      <c r="DF222" s="27" t="s">
        <v>7</v>
      </c>
      <c r="DG222" s="27" t="s">
        <v>8</v>
      </c>
      <c r="DH222" s="27" t="s">
        <v>7</v>
      </c>
      <c r="DK222" s="27" t="s">
        <v>8</v>
      </c>
      <c r="DL222" s="27" t="s">
        <v>7</v>
      </c>
      <c r="DM222" s="27" t="s">
        <v>8</v>
      </c>
      <c r="DN222" s="27" t="s">
        <v>7</v>
      </c>
      <c r="DQ222" s="27" t="s">
        <v>8</v>
      </c>
      <c r="DS222" s="27" t="s">
        <v>8</v>
      </c>
      <c r="DT222" s="27" t="s">
        <v>7</v>
      </c>
      <c r="DU222" s="27" t="s">
        <v>8</v>
      </c>
    </row>
    <row r="223" spans="1:126" x14ac:dyDescent="0.25">
      <c r="A223" s="30">
        <v>2.2920183178010345</v>
      </c>
      <c r="E223"/>
      <c r="AK223" s="27" t="s">
        <v>8</v>
      </c>
      <c r="BA223" s="27" t="s">
        <v>8</v>
      </c>
      <c r="BC223" s="27" t="s">
        <v>8</v>
      </c>
      <c r="BD223" s="27" t="s">
        <v>7</v>
      </c>
      <c r="BE223" s="27" t="s">
        <v>8</v>
      </c>
      <c r="BF223" s="27" t="s">
        <v>7</v>
      </c>
      <c r="BH223" s="27" t="s">
        <v>7</v>
      </c>
      <c r="BI223" s="27" t="s">
        <v>8</v>
      </c>
      <c r="BJ223" s="27" t="s">
        <v>7</v>
      </c>
      <c r="BK223" s="27" t="s">
        <v>8</v>
      </c>
      <c r="BM223" s="27" t="s">
        <v>8</v>
      </c>
      <c r="BV223" s="27" t="s">
        <v>7</v>
      </c>
      <c r="BW223" s="27" t="s">
        <v>8</v>
      </c>
      <c r="BX223" s="27" t="s">
        <v>7</v>
      </c>
      <c r="DA223" s="27" t="s">
        <v>8</v>
      </c>
      <c r="DC223" s="27" t="s">
        <v>8</v>
      </c>
      <c r="DD223" s="27" t="s">
        <v>7</v>
      </c>
      <c r="DF223" s="27" t="s">
        <v>7</v>
      </c>
      <c r="DG223" s="27" t="s">
        <v>8</v>
      </c>
      <c r="DH223" s="27" t="s">
        <v>7</v>
      </c>
      <c r="DK223" s="27" t="s">
        <v>8</v>
      </c>
      <c r="DL223" s="27" t="s">
        <v>7</v>
      </c>
      <c r="DN223" s="27" t="s">
        <v>7</v>
      </c>
      <c r="DO223" s="27" t="s">
        <v>8</v>
      </c>
      <c r="DQ223" s="27" t="s">
        <v>8</v>
      </c>
      <c r="DR223" s="27" t="s">
        <v>7</v>
      </c>
      <c r="DS223" s="27" t="s">
        <v>8</v>
      </c>
      <c r="DT223" s="27" t="s">
        <v>7</v>
      </c>
      <c r="DU223" s="27" t="s">
        <v>8</v>
      </c>
      <c r="DV223" s="27" t="s">
        <v>7</v>
      </c>
    </row>
    <row r="224" spans="1:126" x14ac:dyDescent="0.25">
      <c r="A224" s="30">
        <v>2.1828745883819374</v>
      </c>
      <c r="E224"/>
      <c r="AK224" s="27" t="s">
        <v>8</v>
      </c>
      <c r="AL224" s="27" t="s">
        <v>7</v>
      </c>
      <c r="BA224" s="27" t="s">
        <v>8</v>
      </c>
      <c r="BB224" s="27" t="s">
        <v>7</v>
      </c>
      <c r="BC224" s="27" t="s">
        <v>8</v>
      </c>
      <c r="BD224" s="27" t="s">
        <v>7</v>
      </c>
      <c r="BE224" s="27" t="s">
        <v>8</v>
      </c>
      <c r="BH224" s="27" t="s">
        <v>7</v>
      </c>
      <c r="BI224" s="27" t="s">
        <v>8</v>
      </c>
      <c r="BJ224" s="27" t="s">
        <v>7</v>
      </c>
      <c r="BK224" s="27" t="s">
        <v>8</v>
      </c>
      <c r="BL224" s="27" t="s">
        <v>7</v>
      </c>
      <c r="BM224" s="27" t="s">
        <v>8</v>
      </c>
      <c r="BV224" s="27" t="s">
        <v>7</v>
      </c>
      <c r="BW224" s="27" t="s">
        <v>8</v>
      </c>
      <c r="BX224" s="27" t="s">
        <v>7</v>
      </c>
      <c r="CY224" s="27" t="s">
        <v>8</v>
      </c>
      <c r="DA224" s="27" t="s">
        <v>8</v>
      </c>
      <c r="DB224" s="27" t="s">
        <v>7</v>
      </c>
      <c r="DC224" s="27" t="s">
        <v>8</v>
      </c>
      <c r="DF224" s="27" t="s">
        <v>7</v>
      </c>
      <c r="DG224" s="27" t="s">
        <v>8</v>
      </c>
      <c r="DH224" s="27" t="s">
        <v>7</v>
      </c>
      <c r="DI224" s="27" t="s">
        <v>8</v>
      </c>
      <c r="DK224" s="27" t="s">
        <v>8</v>
      </c>
      <c r="DN224" s="27" t="s">
        <v>7</v>
      </c>
      <c r="DO224" s="27" t="s">
        <v>8</v>
      </c>
      <c r="DP224" s="27" t="s">
        <v>7</v>
      </c>
      <c r="DQ224" s="27" t="s">
        <v>8</v>
      </c>
      <c r="DR224" s="27" t="s">
        <v>7</v>
      </c>
      <c r="DS224" s="27" t="s">
        <v>8</v>
      </c>
      <c r="DT224" s="27" t="s">
        <v>7</v>
      </c>
      <c r="DU224" s="27" t="s">
        <v>8</v>
      </c>
      <c r="DV224" s="27" t="s">
        <v>7</v>
      </c>
    </row>
    <row r="225" spans="1:136" x14ac:dyDescent="0.25">
      <c r="A225" s="30">
        <v>2.0789281794113688</v>
      </c>
      <c r="E225"/>
      <c r="AK225" s="27" t="s">
        <v>8</v>
      </c>
      <c r="AL225" s="27" t="s">
        <v>7</v>
      </c>
      <c r="BA225" s="27" t="s">
        <v>8</v>
      </c>
      <c r="BB225" s="27" t="s">
        <v>7</v>
      </c>
      <c r="BC225" s="27" t="s">
        <v>8</v>
      </c>
      <c r="BD225" s="27" t="s">
        <v>7</v>
      </c>
      <c r="BH225" s="27" t="s">
        <v>7</v>
      </c>
      <c r="BI225" s="27" t="s">
        <v>8</v>
      </c>
      <c r="BJ225" s="27" t="s">
        <v>7</v>
      </c>
      <c r="BK225" s="27" t="s">
        <v>8</v>
      </c>
      <c r="BL225" s="27" t="s">
        <v>7</v>
      </c>
      <c r="BM225" s="27" t="s">
        <v>8</v>
      </c>
      <c r="BV225" s="27" t="s">
        <v>7</v>
      </c>
      <c r="BW225" s="27" t="s">
        <v>8</v>
      </c>
      <c r="BX225" s="27" t="s">
        <v>7</v>
      </c>
      <c r="CY225" s="27" t="s">
        <v>8</v>
      </c>
      <c r="CZ225" s="27" t="s">
        <v>7</v>
      </c>
      <c r="DA225" s="27" t="s">
        <v>8</v>
      </c>
      <c r="DB225" s="27" t="s">
        <v>7</v>
      </c>
      <c r="DC225" s="27" t="s">
        <v>8</v>
      </c>
      <c r="DF225" s="27" t="s">
        <v>7</v>
      </c>
      <c r="DH225" s="27" t="s">
        <v>7</v>
      </c>
      <c r="DI225" s="27" t="s">
        <v>8</v>
      </c>
      <c r="DJ225" s="27" t="s">
        <v>7</v>
      </c>
      <c r="DK225" s="27" t="s">
        <v>8</v>
      </c>
      <c r="DN225" s="27" t="s">
        <v>7</v>
      </c>
      <c r="DO225" s="27" t="s">
        <v>8</v>
      </c>
      <c r="DP225" s="27" t="s">
        <v>7</v>
      </c>
      <c r="DQ225" s="27" t="s">
        <v>8</v>
      </c>
      <c r="DR225" s="27" t="s">
        <v>7</v>
      </c>
      <c r="DS225" s="27" t="s">
        <v>8</v>
      </c>
      <c r="DT225" s="27" t="s">
        <v>7</v>
      </c>
      <c r="DU225" s="27" t="s">
        <v>8</v>
      </c>
      <c r="DV225" s="27" t="s">
        <v>7</v>
      </c>
    </row>
    <row r="226" spans="1:136" x14ac:dyDescent="0.25">
      <c r="A226" s="30">
        <v>1.9799315994393987</v>
      </c>
      <c r="E226"/>
      <c r="AK226" s="27" t="s">
        <v>8</v>
      </c>
      <c r="AL226" s="27" t="s">
        <v>7</v>
      </c>
      <c r="BA226" s="27" t="s">
        <v>8</v>
      </c>
      <c r="BB226" s="27" t="s">
        <v>7</v>
      </c>
      <c r="BH226" s="27" t="s">
        <v>7</v>
      </c>
      <c r="BI226" s="27" t="s">
        <v>8</v>
      </c>
      <c r="BJ226" s="27" t="s">
        <v>7</v>
      </c>
      <c r="BK226" s="27" t="s">
        <v>8</v>
      </c>
      <c r="BL226" s="27" t="s">
        <v>7</v>
      </c>
      <c r="BV226" s="27" t="s">
        <v>7</v>
      </c>
      <c r="BW226" s="27" t="s">
        <v>8</v>
      </c>
      <c r="BX226" s="27" t="s">
        <v>7</v>
      </c>
      <c r="CC226" s="27" t="s">
        <v>8</v>
      </c>
      <c r="CQ226" s="27" t="s">
        <v>8</v>
      </c>
      <c r="CS226" s="27" t="s">
        <v>8</v>
      </c>
      <c r="CW226" s="27" t="s">
        <v>8</v>
      </c>
      <c r="CY226" s="27" t="s">
        <v>8</v>
      </c>
      <c r="CZ226" s="27" t="s">
        <v>7</v>
      </c>
      <c r="DA226" s="27" t="s">
        <v>8</v>
      </c>
      <c r="DB226" s="27" t="s">
        <v>7</v>
      </c>
      <c r="DH226" s="27" t="s">
        <v>7</v>
      </c>
      <c r="DI226" s="27" t="s">
        <v>8</v>
      </c>
      <c r="DJ226" s="27" t="s">
        <v>7</v>
      </c>
      <c r="DK226" s="27" t="s">
        <v>8</v>
      </c>
      <c r="DN226" s="27" t="s">
        <v>7</v>
      </c>
      <c r="DP226" s="27" t="s">
        <v>7</v>
      </c>
      <c r="DQ226" s="27" t="s">
        <v>8</v>
      </c>
      <c r="DR226" s="27" t="s">
        <v>7</v>
      </c>
      <c r="DS226" s="27" t="s">
        <v>8</v>
      </c>
      <c r="DT226" s="27" t="s">
        <v>7</v>
      </c>
      <c r="DU226" s="27" t="s">
        <v>8</v>
      </c>
      <c r="DV226" s="27" t="s">
        <v>7</v>
      </c>
    </row>
    <row r="227" spans="1:136" x14ac:dyDescent="0.25">
      <c r="A227" s="30">
        <v>1.8856491423232367</v>
      </c>
      <c r="E227"/>
      <c r="AK227" s="27" t="s">
        <v>8</v>
      </c>
      <c r="AL227" s="27" t="s">
        <v>7</v>
      </c>
      <c r="AM227" s="27" t="s">
        <v>8</v>
      </c>
      <c r="BA227" s="27" t="s">
        <v>8</v>
      </c>
      <c r="BH227" s="27" t="s">
        <v>7</v>
      </c>
      <c r="BJ227" s="27" t="s">
        <v>7</v>
      </c>
      <c r="BK227" s="27" t="s">
        <v>8</v>
      </c>
      <c r="BV227" s="27" t="s">
        <v>7</v>
      </c>
      <c r="BW227" s="27" t="s">
        <v>8</v>
      </c>
      <c r="BX227" s="27" t="s">
        <v>7</v>
      </c>
      <c r="CC227" s="27" t="s">
        <v>8</v>
      </c>
      <c r="CD227" s="27" t="s">
        <v>7</v>
      </c>
      <c r="CO227" s="27" t="s">
        <v>8</v>
      </c>
      <c r="CQ227" s="27" t="s">
        <v>8</v>
      </c>
      <c r="CR227" s="27" t="s">
        <v>7</v>
      </c>
      <c r="CS227" s="27" t="s">
        <v>8</v>
      </c>
      <c r="CT227" s="27" t="s">
        <v>7</v>
      </c>
      <c r="CW227" s="27" t="s">
        <v>8</v>
      </c>
      <c r="CX227" s="27" t="s">
        <v>7</v>
      </c>
      <c r="CY227" s="27" t="s">
        <v>8</v>
      </c>
      <c r="CZ227" s="27" t="s">
        <v>7</v>
      </c>
      <c r="DH227" s="27" t="s">
        <v>7</v>
      </c>
      <c r="DJ227" s="27" t="s">
        <v>7</v>
      </c>
      <c r="DK227" s="27" t="s">
        <v>8</v>
      </c>
      <c r="DP227" s="27" t="s">
        <v>7</v>
      </c>
      <c r="DR227" s="27" t="s">
        <v>7</v>
      </c>
      <c r="DT227" s="27" t="s">
        <v>7</v>
      </c>
      <c r="DV227" s="27" t="s">
        <v>7</v>
      </c>
    </row>
    <row r="228" spans="1:136" x14ac:dyDescent="0.25">
      <c r="A228" s="30">
        <v>1.7958563260221301</v>
      </c>
      <c r="C228" s="7"/>
      <c r="D228"/>
      <c r="E228"/>
      <c r="AK228" s="27" t="s">
        <v>8</v>
      </c>
      <c r="AL228" s="27" t="s">
        <v>7</v>
      </c>
      <c r="AM228" s="27" t="s">
        <v>8</v>
      </c>
      <c r="AN228" s="27" t="s">
        <v>7</v>
      </c>
      <c r="AY228" s="27" t="s">
        <v>8</v>
      </c>
      <c r="BA228" s="27" t="s">
        <v>8</v>
      </c>
      <c r="BJ228" s="27" t="s">
        <v>7</v>
      </c>
      <c r="BK228" s="27" t="s">
        <v>8</v>
      </c>
      <c r="BV228" s="27" t="s">
        <v>7</v>
      </c>
      <c r="BW228" s="27" t="s">
        <v>8</v>
      </c>
      <c r="BX228" s="27" t="s">
        <v>7</v>
      </c>
      <c r="CA228" s="27" t="s">
        <v>8</v>
      </c>
      <c r="CC228" s="27" t="s">
        <v>8</v>
      </c>
      <c r="CD228" s="27" t="s">
        <v>7</v>
      </c>
      <c r="CG228" s="27" t="s">
        <v>8</v>
      </c>
      <c r="CK228" s="27" t="s">
        <v>8</v>
      </c>
      <c r="CO228" s="27" t="s">
        <v>8</v>
      </c>
      <c r="CP228" s="27" t="s">
        <v>7</v>
      </c>
      <c r="CQ228" s="27" t="s">
        <v>8</v>
      </c>
      <c r="CR228" s="27" t="s">
        <v>7</v>
      </c>
      <c r="CS228" s="27" t="s">
        <v>8</v>
      </c>
      <c r="CT228" s="27" t="s">
        <v>7</v>
      </c>
      <c r="CW228" s="27" t="s">
        <v>8</v>
      </c>
      <c r="CX228" s="27" t="s">
        <v>7</v>
      </c>
      <c r="CY228" s="27" t="s">
        <v>8</v>
      </c>
      <c r="DJ228" s="27" t="s">
        <v>7</v>
      </c>
      <c r="DK228" s="27" t="s">
        <v>8</v>
      </c>
      <c r="DV228" s="27" t="s">
        <v>7</v>
      </c>
      <c r="DY228" s="27" t="s">
        <v>8</v>
      </c>
    </row>
    <row r="229" spans="1:136" x14ac:dyDescent="0.25">
      <c r="A229" s="30">
        <v>1.7103393581163142</v>
      </c>
      <c r="E229"/>
      <c r="AK229" s="27" t="s">
        <v>8</v>
      </c>
      <c r="AL229" s="27" t="s">
        <v>7</v>
      </c>
      <c r="AM229" s="27" t="s">
        <v>8</v>
      </c>
      <c r="AN229" s="27" t="s">
        <v>7</v>
      </c>
      <c r="AS229" s="27" t="s">
        <v>8</v>
      </c>
      <c r="AW229" s="27" t="s">
        <v>8</v>
      </c>
      <c r="AY229" s="27" t="s">
        <v>8</v>
      </c>
      <c r="AZ229" s="27" t="s">
        <v>7</v>
      </c>
      <c r="BA229" s="27" t="s">
        <v>8</v>
      </c>
      <c r="BJ229" s="27" t="s">
        <v>7</v>
      </c>
      <c r="BK229" s="27" t="s">
        <v>8</v>
      </c>
      <c r="BV229" s="27" t="s">
        <v>7</v>
      </c>
      <c r="BW229" s="27" t="s">
        <v>8</v>
      </c>
      <c r="BX229" s="27" t="s">
        <v>7</v>
      </c>
      <c r="BY229" s="27" t="s">
        <v>8</v>
      </c>
      <c r="CA229" s="27" t="s">
        <v>8</v>
      </c>
      <c r="CB229" s="27" t="s">
        <v>7</v>
      </c>
      <c r="CC229" s="27" t="s">
        <v>8</v>
      </c>
      <c r="CD229" s="27" t="s">
        <v>7</v>
      </c>
      <c r="CG229" s="27" t="s">
        <v>8</v>
      </c>
      <c r="CH229" s="27" t="s">
        <v>7</v>
      </c>
      <c r="CK229" s="27" t="s">
        <v>8</v>
      </c>
      <c r="CL229" s="27" t="s">
        <v>7</v>
      </c>
      <c r="CO229" s="27" t="s">
        <v>8</v>
      </c>
      <c r="CP229" s="27" t="s">
        <v>7</v>
      </c>
      <c r="CQ229" s="27" t="s">
        <v>8</v>
      </c>
      <c r="CR229" s="27" t="s">
        <v>7</v>
      </c>
      <c r="CS229" s="27" t="s">
        <v>8</v>
      </c>
      <c r="CT229" s="27" t="s">
        <v>7</v>
      </c>
      <c r="CW229" s="27" t="s">
        <v>8</v>
      </c>
      <c r="CX229" s="27" t="s">
        <v>7</v>
      </c>
      <c r="CY229" s="27" t="s">
        <v>8</v>
      </c>
      <c r="DJ229" s="27" t="s">
        <v>7</v>
      </c>
      <c r="DK229" s="27" t="s">
        <v>8</v>
      </c>
      <c r="DV229" s="27" t="s">
        <v>7</v>
      </c>
      <c r="DW229" s="27" t="s">
        <v>8</v>
      </c>
      <c r="DY229" s="27" t="s">
        <v>8</v>
      </c>
      <c r="DZ229" s="27" t="s">
        <v>7</v>
      </c>
    </row>
    <row r="230" spans="1:136" x14ac:dyDescent="0.25">
      <c r="A230" s="30">
        <v>1.628894626777442</v>
      </c>
      <c r="E230"/>
      <c r="AK230" s="27" t="s">
        <v>8</v>
      </c>
      <c r="AL230" s="27" t="s">
        <v>7</v>
      </c>
      <c r="AM230" s="27" t="s">
        <v>8</v>
      </c>
      <c r="AN230" s="27" t="s">
        <v>7</v>
      </c>
      <c r="AS230" s="27" t="s">
        <v>8</v>
      </c>
      <c r="AT230" s="27" t="s">
        <v>7</v>
      </c>
      <c r="AW230" s="27" t="s">
        <v>8</v>
      </c>
      <c r="AX230" s="27" t="s">
        <v>7</v>
      </c>
      <c r="AY230" s="27" t="s">
        <v>8</v>
      </c>
      <c r="AZ230" s="27" t="s">
        <v>7</v>
      </c>
      <c r="BA230" s="27" t="s">
        <v>8</v>
      </c>
      <c r="BJ230" s="27" t="s">
        <v>7</v>
      </c>
      <c r="BK230" s="27" t="s">
        <v>8</v>
      </c>
      <c r="BV230" s="27" t="s">
        <v>7</v>
      </c>
      <c r="BW230" s="27" t="s">
        <v>8</v>
      </c>
      <c r="BX230" s="27" t="s">
        <v>7</v>
      </c>
      <c r="BY230" s="27" t="s">
        <v>8</v>
      </c>
      <c r="BZ230" s="27" t="s">
        <v>7</v>
      </c>
      <c r="CA230" s="27" t="s">
        <v>8</v>
      </c>
      <c r="CB230" s="27" t="s">
        <v>7</v>
      </c>
      <c r="CC230" s="27" t="s">
        <v>8</v>
      </c>
      <c r="CD230" s="27" t="s">
        <v>7</v>
      </c>
      <c r="CE230" s="27" t="s">
        <v>8</v>
      </c>
      <c r="CG230" s="27" t="s">
        <v>8</v>
      </c>
      <c r="CH230" s="27" t="s">
        <v>7</v>
      </c>
      <c r="CK230" s="27" t="s">
        <v>8</v>
      </c>
      <c r="CL230" s="27" t="s">
        <v>7</v>
      </c>
      <c r="CO230" s="27" t="s">
        <v>8</v>
      </c>
      <c r="CP230" s="27" t="s">
        <v>7</v>
      </c>
      <c r="CQ230" s="27" t="s">
        <v>8</v>
      </c>
      <c r="CR230" s="27" t="s">
        <v>7</v>
      </c>
      <c r="CS230" s="27" t="s">
        <v>8</v>
      </c>
      <c r="CT230" s="27" t="s">
        <v>7</v>
      </c>
      <c r="CU230" s="27" t="s">
        <v>8</v>
      </c>
      <c r="CW230" s="27" t="s">
        <v>8</v>
      </c>
      <c r="CX230" s="27" t="s">
        <v>7</v>
      </c>
      <c r="CY230" s="27" t="s">
        <v>8</v>
      </c>
      <c r="DJ230" s="27" t="s">
        <v>7</v>
      </c>
      <c r="DV230" s="27" t="s">
        <v>7</v>
      </c>
      <c r="DW230" s="27" t="s">
        <v>8</v>
      </c>
      <c r="DX230" s="27" t="s">
        <v>7</v>
      </c>
      <c r="DY230" s="27" t="s">
        <v>8</v>
      </c>
      <c r="DZ230" s="27" t="s">
        <v>7</v>
      </c>
      <c r="EC230" s="27" t="s">
        <v>8</v>
      </c>
    </row>
    <row r="231" spans="1:136" x14ac:dyDescent="0.25">
      <c r="A231" s="30">
        <v>1.5513282159785162</v>
      </c>
      <c r="C231"/>
      <c r="D231"/>
      <c r="E231"/>
      <c r="AK231" s="27" t="s">
        <v>8</v>
      </c>
      <c r="AL231" s="27" t="s">
        <v>7</v>
      </c>
      <c r="AN231" s="27" t="s">
        <v>7</v>
      </c>
      <c r="AS231" s="27" t="s">
        <v>8</v>
      </c>
      <c r="AT231" s="27" t="s">
        <v>7</v>
      </c>
      <c r="AU231" s="27" t="s">
        <v>8</v>
      </c>
      <c r="AW231" s="27" t="s">
        <v>8</v>
      </c>
      <c r="AX231" s="27" t="s">
        <v>7</v>
      </c>
      <c r="AY231" s="27" t="s">
        <v>8</v>
      </c>
      <c r="AZ231" s="27" t="s">
        <v>7</v>
      </c>
      <c r="BA231" s="27" t="s">
        <v>8</v>
      </c>
      <c r="BJ231" s="27" t="s">
        <v>7</v>
      </c>
      <c r="BK231" s="27" t="s">
        <v>8</v>
      </c>
      <c r="BV231" s="27" t="s">
        <v>7</v>
      </c>
      <c r="BW231" s="27" t="s">
        <v>8</v>
      </c>
      <c r="BX231" s="27" t="s">
        <v>7</v>
      </c>
      <c r="BY231" s="27" t="s">
        <v>8</v>
      </c>
      <c r="BZ231" s="27" t="s">
        <v>7</v>
      </c>
      <c r="CA231" s="27" t="s">
        <v>8</v>
      </c>
      <c r="CB231" s="27" t="s">
        <v>7</v>
      </c>
      <c r="CC231" s="27" t="s">
        <v>8</v>
      </c>
      <c r="CD231" s="27" t="s">
        <v>7</v>
      </c>
      <c r="CE231" s="27" t="s">
        <v>8</v>
      </c>
      <c r="CF231" s="27" t="s">
        <v>7</v>
      </c>
      <c r="CG231" s="27" t="s">
        <v>8</v>
      </c>
      <c r="CH231" s="27" t="s">
        <v>7</v>
      </c>
      <c r="CI231" s="27" t="s">
        <v>8</v>
      </c>
      <c r="CK231" s="27" t="s">
        <v>8</v>
      </c>
      <c r="CL231" s="27" t="s">
        <v>7</v>
      </c>
      <c r="CO231" s="27" t="s">
        <v>8</v>
      </c>
      <c r="CP231" s="27" t="s">
        <v>7</v>
      </c>
      <c r="CR231" s="27" t="s">
        <v>7</v>
      </c>
      <c r="CS231" s="27" t="s">
        <v>8</v>
      </c>
      <c r="CT231" s="27" t="s">
        <v>7</v>
      </c>
      <c r="CU231" s="27" t="s">
        <v>8</v>
      </c>
      <c r="CV231" s="27" t="s">
        <v>7</v>
      </c>
      <c r="CW231" s="27" t="s">
        <v>8</v>
      </c>
      <c r="CX231" s="27" t="s">
        <v>7</v>
      </c>
      <c r="DV231" s="27" t="s">
        <v>7</v>
      </c>
      <c r="DW231" s="27" t="s">
        <v>8</v>
      </c>
      <c r="DX231" s="27" t="s">
        <v>7</v>
      </c>
      <c r="DY231" s="27" t="s">
        <v>8</v>
      </c>
      <c r="DZ231" s="27" t="s">
        <v>7</v>
      </c>
      <c r="EA231" s="27" t="s">
        <v>8</v>
      </c>
      <c r="EC231" s="27" t="s">
        <v>8</v>
      </c>
      <c r="ED231" s="27" t="s">
        <v>7</v>
      </c>
    </row>
    <row r="232" spans="1:136" x14ac:dyDescent="0.25">
      <c r="A232" s="30">
        <v>1.477455443789063</v>
      </c>
      <c r="E232"/>
      <c r="AK232" s="27" t="s">
        <v>8</v>
      </c>
      <c r="AN232" s="27" t="s">
        <v>7</v>
      </c>
      <c r="AS232" s="27" t="s">
        <v>8</v>
      </c>
      <c r="AT232" s="27" t="s">
        <v>7</v>
      </c>
      <c r="AU232" s="27" t="s">
        <v>8</v>
      </c>
      <c r="AV232" s="27" t="s">
        <v>7</v>
      </c>
      <c r="AW232" s="27" t="s">
        <v>8</v>
      </c>
      <c r="AX232" s="27" t="s">
        <v>7</v>
      </c>
      <c r="AZ232" s="27" t="s">
        <v>7</v>
      </c>
      <c r="BA232" s="27" t="s">
        <v>8</v>
      </c>
      <c r="BJ232" s="27" t="s">
        <v>7</v>
      </c>
      <c r="BK232" s="27" t="s">
        <v>8</v>
      </c>
      <c r="BV232" s="27" t="s">
        <v>7</v>
      </c>
      <c r="BW232" s="27" t="s">
        <v>8</v>
      </c>
      <c r="BX232" s="27" t="s">
        <v>7</v>
      </c>
      <c r="BZ232" s="27" t="s">
        <v>7</v>
      </c>
      <c r="CA232" s="27" t="s">
        <v>8</v>
      </c>
      <c r="CB232" s="27" t="s">
        <v>7</v>
      </c>
      <c r="CD232" s="27" t="s">
        <v>7</v>
      </c>
      <c r="CE232" s="27" t="s">
        <v>8</v>
      </c>
      <c r="CF232" s="27" t="s">
        <v>7</v>
      </c>
      <c r="CG232" s="27" t="s">
        <v>8</v>
      </c>
      <c r="CH232" s="27" t="s">
        <v>7</v>
      </c>
      <c r="CI232" s="27" t="s">
        <v>8</v>
      </c>
      <c r="CJ232" s="27" t="s">
        <v>7</v>
      </c>
      <c r="CK232" s="27" t="s">
        <v>8</v>
      </c>
      <c r="CL232" s="27" t="s">
        <v>7</v>
      </c>
      <c r="CO232" s="27" t="s">
        <v>8</v>
      </c>
      <c r="CR232" s="27" t="s">
        <v>7</v>
      </c>
      <c r="CT232" s="27" t="s">
        <v>7</v>
      </c>
      <c r="CU232" s="27" t="s">
        <v>8</v>
      </c>
      <c r="CV232" s="27" t="s">
        <v>7</v>
      </c>
      <c r="CW232" s="27" t="s">
        <v>8</v>
      </c>
      <c r="DV232" s="27" t="s">
        <v>7</v>
      </c>
      <c r="DW232" s="27" t="s">
        <v>8</v>
      </c>
      <c r="DX232" s="27" t="s">
        <v>7</v>
      </c>
      <c r="DY232" s="27" t="s">
        <v>8</v>
      </c>
      <c r="DZ232" s="27" t="s">
        <v>7</v>
      </c>
      <c r="EA232" s="27" t="s">
        <v>8</v>
      </c>
      <c r="EB232" s="27" t="s">
        <v>7</v>
      </c>
      <c r="EC232" s="27" t="s">
        <v>8</v>
      </c>
      <c r="ED232" s="27" t="s">
        <v>7</v>
      </c>
    </row>
    <row r="233" spans="1:136" x14ac:dyDescent="0.25">
      <c r="A233" s="30">
        <v>1.4071004226562505</v>
      </c>
      <c r="E233"/>
      <c r="AK233" s="27" t="s">
        <v>8</v>
      </c>
      <c r="AN233" s="27" t="s">
        <v>7</v>
      </c>
      <c r="AO233" s="27" t="s">
        <v>8</v>
      </c>
      <c r="AS233" s="27" t="s">
        <v>8</v>
      </c>
      <c r="AT233" s="27" t="s">
        <v>7</v>
      </c>
      <c r="AU233" s="27" t="s">
        <v>8</v>
      </c>
      <c r="AV233" s="27" t="s">
        <v>7</v>
      </c>
      <c r="AW233" s="27" t="s">
        <v>8</v>
      </c>
      <c r="AZ233" s="27" t="s">
        <v>7</v>
      </c>
      <c r="BJ233" s="27" t="s">
        <v>7</v>
      </c>
      <c r="BV233" s="27" t="s">
        <v>7</v>
      </c>
      <c r="BW233" s="27" t="s">
        <v>8</v>
      </c>
      <c r="BZ233" s="27" t="s">
        <v>7</v>
      </c>
      <c r="CA233" s="27" t="s">
        <v>8</v>
      </c>
      <c r="CD233" s="27" t="s">
        <v>7</v>
      </c>
      <c r="CE233" s="27" t="s">
        <v>8</v>
      </c>
      <c r="CF233" s="27" t="s">
        <v>7</v>
      </c>
      <c r="CH233" s="27" t="s">
        <v>7</v>
      </c>
      <c r="CI233" s="27" t="s">
        <v>8</v>
      </c>
      <c r="CJ233" s="27" t="s">
        <v>7</v>
      </c>
      <c r="CK233" s="27" t="s">
        <v>8</v>
      </c>
      <c r="CL233" s="27" t="s">
        <v>7</v>
      </c>
      <c r="CO233" s="27" t="s">
        <v>8</v>
      </c>
      <c r="CT233" s="27" t="s">
        <v>7</v>
      </c>
      <c r="CV233" s="18" t="s">
        <v>7</v>
      </c>
      <c r="CW233" s="27" t="s">
        <v>8</v>
      </c>
      <c r="DV233" s="27" t="s">
        <v>7</v>
      </c>
      <c r="DW233" s="27" t="s">
        <v>8</v>
      </c>
      <c r="DX233" s="27" t="s">
        <v>7</v>
      </c>
      <c r="DZ233" s="27" t="s">
        <v>7</v>
      </c>
      <c r="EA233" s="27" t="s">
        <v>8</v>
      </c>
      <c r="EB233" s="27" t="s">
        <v>7</v>
      </c>
      <c r="EC233" s="27" t="s">
        <v>8</v>
      </c>
      <c r="ED233" s="27" t="s">
        <v>7</v>
      </c>
      <c r="EE233" s="27" t="s">
        <v>8</v>
      </c>
    </row>
    <row r="234" spans="1:136" x14ac:dyDescent="0.25">
      <c r="A234" s="30">
        <v>1.3400956406250004</v>
      </c>
      <c r="E234"/>
      <c r="AK234" s="27" t="s">
        <v>8</v>
      </c>
      <c r="AN234" s="27" t="s">
        <v>7</v>
      </c>
      <c r="AO234" s="27" t="s">
        <v>8</v>
      </c>
      <c r="AP234" s="27" t="s">
        <v>7</v>
      </c>
      <c r="AS234" s="27" t="s">
        <v>8</v>
      </c>
      <c r="AT234" s="27" t="s">
        <v>7</v>
      </c>
      <c r="AU234" s="27" t="s">
        <v>8</v>
      </c>
      <c r="AV234" s="27" t="s">
        <v>7</v>
      </c>
      <c r="BV234" s="27" t="s">
        <v>7</v>
      </c>
      <c r="BZ234" s="27" t="s">
        <v>7</v>
      </c>
      <c r="CA234" s="27" t="s">
        <v>8</v>
      </c>
      <c r="CD234" s="27" t="s">
        <v>7</v>
      </c>
      <c r="CH234" s="27" t="s">
        <v>7</v>
      </c>
      <c r="CJ234" s="27" t="s">
        <v>7</v>
      </c>
      <c r="CK234" s="27" t="s">
        <v>8</v>
      </c>
      <c r="CL234" s="27" t="s">
        <v>7</v>
      </c>
      <c r="CM234" s="27" t="s">
        <v>8</v>
      </c>
      <c r="CO234" s="27" t="s">
        <v>8</v>
      </c>
      <c r="CV234" s="27" t="s">
        <v>7</v>
      </c>
      <c r="CW234" s="27" t="s">
        <v>8</v>
      </c>
      <c r="DV234" s="27" t="s">
        <v>7</v>
      </c>
      <c r="DW234" s="27" t="s">
        <v>8</v>
      </c>
      <c r="DZ234" s="27" t="s">
        <v>7</v>
      </c>
      <c r="EA234" s="27" t="s">
        <v>8</v>
      </c>
      <c r="EB234" s="27" t="s">
        <v>7</v>
      </c>
      <c r="ED234" s="27" t="s">
        <v>7</v>
      </c>
      <c r="EE234" s="27" t="s">
        <v>8</v>
      </c>
      <c r="EF234" s="27" t="s">
        <v>7</v>
      </c>
    </row>
    <row r="235" spans="1:136" x14ac:dyDescent="0.25">
      <c r="A235" s="30">
        <v>1.2762815625000004</v>
      </c>
      <c r="C235"/>
      <c r="E235"/>
      <c r="AK235" s="27" t="s">
        <v>8</v>
      </c>
      <c r="AN235" s="27" t="s">
        <v>7</v>
      </c>
      <c r="AO235" s="27" t="s">
        <v>8</v>
      </c>
      <c r="AP235" s="27" t="s">
        <v>7</v>
      </c>
      <c r="AS235" s="27" t="s">
        <v>8</v>
      </c>
      <c r="AT235" s="27" t="s">
        <v>7</v>
      </c>
      <c r="BZ235" s="27" t="s">
        <v>7</v>
      </c>
      <c r="CA235" s="27" t="s">
        <v>8</v>
      </c>
      <c r="CJ235" s="27" t="s">
        <v>7</v>
      </c>
      <c r="CK235" s="27" t="s">
        <v>8</v>
      </c>
      <c r="CL235" s="27" t="s">
        <v>7</v>
      </c>
      <c r="CM235" s="27" t="s">
        <v>8</v>
      </c>
      <c r="CN235" s="27" t="s">
        <v>7</v>
      </c>
      <c r="CO235" s="27" t="s">
        <v>8</v>
      </c>
      <c r="CV235" s="27" t="s">
        <v>7</v>
      </c>
      <c r="CW235" s="27" t="s">
        <v>8</v>
      </c>
      <c r="DV235" s="27" t="s">
        <v>7</v>
      </c>
      <c r="DZ235" s="27" t="s">
        <v>7</v>
      </c>
      <c r="ED235" s="27" t="s">
        <v>7</v>
      </c>
      <c r="EE235" s="27" t="s">
        <v>8</v>
      </c>
      <c r="EF235" s="27" t="s">
        <v>7</v>
      </c>
    </row>
    <row r="236" spans="1:136" x14ac:dyDescent="0.25">
      <c r="A236" s="30">
        <v>1.2155062500000002</v>
      </c>
      <c r="E236"/>
      <c r="AK236" s="27" t="s">
        <v>8</v>
      </c>
      <c r="AN236" s="27" t="s">
        <v>7</v>
      </c>
      <c r="AO236" s="27" t="s">
        <v>8</v>
      </c>
      <c r="AP236" s="27" t="s">
        <v>7</v>
      </c>
      <c r="AQ236" s="27" t="s">
        <v>8</v>
      </c>
      <c r="AS236" s="27" t="s">
        <v>8</v>
      </c>
      <c r="BZ236" s="27" t="s">
        <v>7</v>
      </c>
      <c r="CJ236" s="27" t="s">
        <v>7</v>
      </c>
      <c r="CK236" s="27" t="s">
        <v>8</v>
      </c>
      <c r="CL236" s="27" t="s">
        <v>7</v>
      </c>
      <c r="CM236" s="27" t="s">
        <v>8</v>
      </c>
      <c r="CN236" s="27" t="s">
        <v>7</v>
      </c>
      <c r="CO236" s="27" t="s">
        <v>8</v>
      </c>
      <c r="CV236" s="27" t="s">
        <v>7</v>
      </c>
      <c r="ED236" s="27" t="s">
        <v>7</v>
      </c>
      <c r="EF236" s="27" t="s">
        <v>7</v>
      </c>
    </row>
    <row r="237" spans="1:136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I237" s="27" t="s">
        <v>8</v>
      </c>
      <c r="AK237" s="27" t="s">
        <v>8</v>
      </c>
      <c r="AN237" s="27" t="s">
        <v>7</v>
      </c>
      <c r="AO237" s="27" t="s">
        <v>8</v>
      </c>
      <c r="AP237" s="27" t="s">
        <v>7</v>
      </c>
      <c r="AQ237" s="27" t="s">
        <v>8</v>
      </c>
      <c r="AR237" s="27" t="s">
        <v>7</v>
      </c>
      <c r="AS237" s="27" t="s">
        <v>8</v>
      </c>
      <c r="CJ237" s="27" t="s">
        <v>7</v>
      </c>
      <c r="CK237" s="27" t="s">
        <v>8</v>
      </c>
      <c r="CL237" s="27" t="s">
        <v>7</v>
      </c>
      <c r="CM237" s="27" t="s">
        <v>8</v>
      </c>
      <c r="CN237" s="27" t="s">
        <v>7</v>
      </c>
      <c r="EF237" s="27" t="s">
        <v>7</v>
      </c>
    </row>
    <row r="238" spans="1:136" x14ac:dyDescent="0.25">
      <c r="A238" s="30">
        <v>1.1025</v>
      </c>
      <c r="E238"/>
      <c r="AI238" s="27" t="s">
        <v>8</v>
      </c>
      <c r="AJ238" s="27" t="s">
        <v>7</v>
      </c>
      <c r="AK238" s="27" t="s">
        <v>8</v>
      </c>
      <c r="AN238" s="27" t="s">
        <v>7</v>
      </c>
      <c r="AO238" s="27" t="s">
        <v>8</v>
      </c>
      <c r="AP238" s="27" t="s">
        <v>7</v>
      </c>
      <c r="AQ238" s="27" t="s">
        <v>8</v>
      </c>
      <c r="AR238" s="27" t="s">
        <v>7</v>
      </c>
      <c r="AS238" s="27" t="s">
        <v>8</v>
      </c>
      <c r="CJ238" s="27" t="s">
        <v>7</v>
      </c>
      <c r="CK238" s="27" t="s">
        <v>8</v>
      </c>
      <c r="CL238" s="27" t="s">
        <v>7</v>
      </c>
      <c r="CM238" s="27" t="s">
        <v>8</v>
      </c>
      <c r="EF238" s="27" t="s">
        <v>7</v>
      </c>
    </row>
    <row r="239" spans="1:136" x14ac:dyDescent="0.25">
      <c r="A239" s="30">
        <v>1.05</v>
      </c>
      <c r="E239"/>
      <c r="AI239" s="27" t="s">
        <v>8</v>
      </c>
      <c r="AJ239" s="27" t="s">
        <v>7</v>
      </c>
      <c r="AK239" s="27" t="s">
        <v>8</v>
      </c>
      <c r="AN239" s="27" t="s">
        <v>7</v>
      </c>
      <c r="AO239" s="27" t="s">
        <v>8</v>
      </c>
      <c r="AP239" s="27" t="s">
        <v>7</v>
      </c>
      <c r="AR239" s="27" t="s">
        <v>7</v>
      </c>
      <c r="CJ239" s="27" t="s">
        <v>7</v>
      </c>
      <c r="CL239" s="27" t="s">
        <v>7</v>
      </c>
      <c r="EF239" s="27" t="s">
        <v>7</v>
      </c>
    </row>
    <row r="240" spans="1:136" x14ac:dyDescent="0.25">
      <c r="A240" s="30">
        <v>1</v>
      </c>
      <c r="E240" s="29" t="s">
        <v>8</v>
      </c>
      <c r="AI240" s="27" t="s">
        <v>8</v>
      </c>
      <c r="AJ240" s="27" t="s">
        <v>7</v>
      </c>
      <c r="AN240" s="27" t="s">
        <v>7</v>
      </c>
      <c r="EF240" s="27" t="s">
        <v>7</v>
      </c>
    </row>
    <row r="241" spans="1:137" x14ac:dyDescent="0.25">
      <c r="A241" s="30">
        <v>0.952380952380952</v>
      </c>
      <c r="B241"/>
      <c r="C241"/>
      <c r="D241"/>
      <c r="E241"/>
      <c r="F241" s="27" t="s">
        <v>7</v>
      </c>
      <c r="AI241" s="27" t="s">
        <v>8</v>
      </c>
      <c r="EF241" s="27" t="s">
        <v>7</v>
      </c>
      <c r="EG241" s="27" t="s">
        <v>8</v>
      </c>
    </row>
    <row r="242" spans="1:137" x14ac:dyDescent="0.25">
      <c r="A242" s="30">
        <v>0.90702947845804915</v>
      </c>
      <c r="B242"/>
      <c r="C242"/>
      <c r="D242"/>
      <c r="E242"/>
      <c r="F242" s="27" t="s">
        <v>7</v>
      </c>
      <c r="AI242" s="27" t="s">
        <v>8</v>
      </c>
      <c r="EF242" s="27" t="s">
        <v>7</v>
      </c>
      <c r="EG242" s="27" t="s">
        <v>8</v>
      </c>
    </row>
    <row r="243" spans="1:137" x14ac:dyDescent="0.25">
      <c r="A243" s="30">
        <v>0.86383759853147501</v>
      </c>
      <c r="B243"/>
      <c r="C243"/>
      <c r="D243"/>
      <c r="E243"/>
      <c r="F243" s="27" t="s">
        <v>7</v>
      </c>
      <c r="AI243" s="27" t="s">
        <v>8</v>
      </c>
      <c r="EF243" s="27" t="s">
        <v>7</v>
      </c>
    </row>
    <row r="244" spans="1:137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  <c r="AC244" s="27" t="s">
        <v>8</v>
      </c>
      <c r="AG244" s="27" t="s">
        <v>8</v>
      </c>
      <c r="AI244" s="27" t="s">
        <v>8</v>
      </c>
    </row>
    <row r="245" spans="1:137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H245" s="27" t="s">
        <v>7</v>
      </c>
      <c r="AC245" s="27" t="s">
        <v>8</v>
      </c>
      <c r="AD245" s="27" t="s">
        <v>7</v>
      </c>
      <c r="AE245" s="27" t="s">
        <v>8</v>
      </c>
      <c r="AG245" s="27" t="s">
        <v>8</v>
      </c>
      <c r="AH245" s="27" t="s">
        <v>7</v>
      </c>
      <c r="AI245" s="27" t="s">
        <v>8</v>
      </c>
    </row>
    <row r="246" spans="1:137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H246" s="27" t="s">
        <v>7</v>
      </c>
      <c r="I246" s="27" t="s">
        <v>8</v>
      </c>
      <c r="AC246" s="27" t="s">
        <v>8</v>
      </c>
      <c r="AD246" s="27" t="s">
        <v>7</v>
      </c>
      <c r="AE246" s="27" t="s">
        <v>8</v>
      </c>
      <c r="AF246" s="27" t="s">
        <v>7</v>
      </c>
      <c r="AG246" s="27" t="s">
        <v>8</v>
      </c>
      <c r="AH246" s="27" t="s">
        <v>7</v>
      </c>
      <c r="AI246" s="27" t="s">
        <v>8</v>
      </c>
    </row>
    <row r="247" spans="1:137" x14ac:dyDescent="0.25">
      <c r="A247" s="30">
        <v>0.71068133013011958</v>
      </c>
      <c r="B247"/>
      <c r="C247"/>
      <c r="D247"/>
      <c r="E247"/>
      <c r="F247" s="27" t="s">
        <v>7</v>
      </c>
      <c r="G247" s="27" t="s">
        <v>8</v>
      </c>
      <c r="H247" s="27" t="s">
        <v>7</v>
      </c>
      <c r="I247" s="27" t="s">
        <v>8</v>
      </c>
      <c r="J247" s="27" t="s">
        <v>7</v>
      </c>
      <c r="AC247" s="27" t="s">
        <v>8</v>
      </c>
      <c r="AD247" s="27" t="s">
        <v>7</v>
      </c>
      <c r="AE247" s="27" t="s">
        <v>8</v>
      </c>
      <c r="AF247" s="27" t="s">
        <v>7</v>
      </c>
      <c r="AG247" s="27" t="s">
        <v>8</v>
      </c>
      <c r="AH247" s="27" t="s">
        <v>7</v>
      </c>
    </row>
    <row r="248" spans="1:137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H248" s="27" t="s">
        <v>7</v>
      </c>
      <c r="I248" s="27" t="s">
        <v>8</v>
      </c>
      <c r="J248" s="27" t="s">
        <v>7</v>
      </c>
      <c r="K248" s="27" t="s">
        <v>8</v>
      </c>
      <c r="AC248" s="27" t="s">
        <v>8</v>
      </c>
      <c r="AD248" s="27" t="s">
        <v>7</v>
      </c>
      <c r="AF248" s="27" t="s">
        <v>7</v>
      </c>
    </row>
    <row r="249" spans="1:137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  <c r="H249" s="27" t="s">
        <v>7</v>
      </c>
      <c r="I249" s="27" t="s">
        <v>8</v>
      </c>
      <c r="J249" s="27" t="s">
        <v>7</v>
      </c>
      <c r="K249" s="27" t="s">
        <v>8</v>
      </c>
      <c r="L249" s="27" t="s">
        <v>7</v>
      </c>
      <c r="AA249" s="27" t="s">
        <v>8</v>
      </c>
      <c r="AC249" s="27" t="s">
        <v>8</v>
      </c>
    </row>
    <row r="250" spans="1:137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H250" s="27" t="s">
        <v>7</v>
      </c>
      <c r="I250" s="27" t="s">
        <v>8</v>
      </c>
      <c r="J250" s="27" t="s">
        <v>7</v>
      </c>
      <c r="K250" s="27" t="s">
        <v>8</v>
      </c>
      <c r="L250" s="27" t="s">
        <v>7</v>
      </c>
      <c r="M250" s="27" t="s">
        <v>8</v>
      </c>
      <c r="Y250" s="27" t="s">
        <v>8</v>
      </c>
      <c r="AA250" s="27" t="s">
        <v>8</v>
      </c>
      <c r="AB250" s="27" t="s">
        <v>7</v>
      </c>
      <c r="AC250" s="27" t="s">
        <v>8</v>
      </c>
    </row>
    <row r="251" spans="1:137" x14ac:dyDescent="0.25">
      <c r="A251" s="30">
        <v>0.58467928908643485</v>
      </c>
      <c r="B251"/>
      <c r="C251"/>
      <c r="D251"/>
      <c r="E251"/>
      <c r="F251" s="27" t="s">
        <v>7</v>
      </c>
      <c r="G251" s="27" t="s">
        <v>8</v>
      </c>
      <c r="H251" s="27" t="s">
        <v>7</v>
      </c>
      <c r="I251" s="27" t="s">
        <v>8</v>
      </c>
      <c r="J251" s="27" t="s">
        <v>7</v>
      </c>
      <c r="K251" s="27" t="s">
        <v>8</v>
      </c>
      <c r="L251" s="27" t="s">
        <v>7</v>
      </c>
      <c r="M251" s="27" t="s">
        <v>8</v>
      </c>
      <c r="N251" s="27" t="s">
        <v>7</v>
      </c>
      <c r="S251" s="27" t="s">
        <v>8</v>
      </c>
      <c r="U251" s="27" t="s">
        <v>8</v>
      </c>
      <c r="Y251" s="27" t="s">
        <v>8</v>
      </c>
      <c r="Z251" s="27" t="s">
        <v>7</v>
      </c>
      <c r="AA251" s="27" t="s">
        <v>8</v>
      </c>
      <c r="AB251" s="27" t="s">
        <v>7</v>
      </c>
      <c r="AC251" s="27" t="s">
        <v>8</v>
      </c>
    </row>
    <row r="252" spans="1:137" x14ac:dyDescent="0.25">
      <c r="A252" s="30">
        <v>0.55683741817755672</v>
      </c>
      <c r="B252"/>
      <c r="C252"/>
      <c r="D252"/>
      <c r="E252"/>
      <c r="F252" s="27" t="s">
        <v>7</v>
      </c>
      <c r="G252" s="27" t="s">
        <v>8</v>
      </c>
      <c r="H252" s="27" t="s">
        <v>7</v>
      </c>
      <c r="I252" s="27" t="s">
        <v>8</v>
      </c>
      <c r="J252" s="27" t="s">
        <v>7</v>
      </c>
      <c r="K252" s="27" t="s">
        <v>8</v>
      </c>
      <c r="L252" s="27" t="s">
        <v>7</v>
      </c>
      <c r="M252" s="27" t="s">
        <v>8</v>
      </c>
      <c r="N252" s="27" t="s">
        <v>7</v>
      </c>
      <c r="S252" s="27" t="s">
        <v>8</v>
      </c>
      <c r="T252" s="27" t="s">
        <v>7</v>
      </c>
      <c r="U252" s="27" t="s">
        <v>8</v>
      </c>
      <c r="V252" s="27" t="s">
        <v>7</v>
      </c>
      <c r="Y252" s="27" t="s">
        <v>8</v>
      </c>
      <c r="Z252" s="27" t="s">
        <v>7</v>
      </c>
      <c r="AA252" s="27" t="s">
        <v>8</v>
      </c>
      <c r="AB252" s="27" t="s">
        <v>7</v>
      </c>
    </row>
    <row r="253" spans="1:137" x14ac:dyDescent="0.25">
      <c r="A253" s="30">
        <v>0.53032135064529184</v>
      </c>
      <c r="B253"/>
      <c r="C253"/>
      <c r="D253"/>
      <c r="E253"/>
      <c r="F253" s="27" t="s">
        <v>7</v>
      </c>
      <c r="G253" s="27" t="s">
        <v>8</v>
      </c>
      <c r="H253" s="27" t="s">
        <v>7</v>
      </c>
      <c r="I253" s="27" t="s">
        <v>8</v>
      </c>
      <c r="J253" s="27" t="s">
        <v>7</v>
      </c>
      <c r="L253" s="27" t="s">
        <v>7</v>
      </c>
      <c r="M253" s="27" t="s">
        <v>8</v>
      </c>
      <c r="N253" s="27" t="s">
        <v>7</v>
      </c>
      <c r="O253" s="27" t="s">
        <v>8</v>
      </c>
      <c r="S253" s="27" t="s">
        <v>8</v>
      </c>
      <c r="T253" s="27" t="s">
        <v>7</v>
      </c>
      <c r="U253" s="27" t="s">
        <v>8</v>
      </c>
      <c r="V253" s="27" t="s">
        <v>7</v>
      </c>
      <c r="Y253" s="27" t="s">
        <v>8</v>
      </c>
      <c r="Z253" s="27" t="s">
        <v>7</v>
      </c>
      <c r="AA253" s="27" t="s">
        <v>8</v>
      </c>
    </row>
    <row r="254" spans="1:137" x14ac:dyDescent="0.25">
      <c r="A254" s="30">
        <v>0.50506795299551588</v>
      </c>
      <c r="B254"/>
      <c r="C254"/>
      <c r="D254"/>
      <c r="E254"/>
      <c r="F254" s="27" t="s">
        <v>7</v>
      </c>
      <c r="G254" s="27" t="s">
        <v>8</v>
      </c>
      <c r="H254" s="27" t="s">
        <v>7</v>
      </c>
      <c r="I254" s="27" t="s">
        <v>8</v>
      </c>
      <c r="L254" s="27" t="s">
        <v>7</v>
      </c>
      <c r="N254" s="27" t="s">
        <v>7</v>
      </c>
      <c r="O254" s="27" t="s">
        <v>8</v>
      </c>
      <c r="P254" s="27" t="s">
        <v>7</v>
      </c>
      <c r="S254" s="27" t="s">
        <v>8</v>
      </c>
      <c r="T254" s="27" t="s">
        <v>7</v>
      </c>
      <c r="U254" s="27" t="s">
        <v>8</v>
      </c>
      <c r="V254" s="27" t="s">
        <v>7</v>
      </c>
      <c r="W254" s="27" t="s">
        <v>8</v>
      </c>
      <c r="Y254" s="27" t="s">
        <v>8</v>
      </c>
      <c r="Z254" s="27" t="s">
        <v>7</v>
      </c>
      <c r="AA254" s="27" t="s">
        <v>8</v>
      </c>
    </row>
    <row r="255" spans="1:137" x14ac:dyDescent="0.25">
      <c r="A255" s="30">
        <v>0.48101709809096732</v>
      </c>
      <c r="E255"/>
      <c r="F255" s="27" t="s">
        <v>7</v>
      </c>
      <c r="G255" s="27" t="s">
        <v>8</v>
      </c>
      <c r="H255" s="27" t="s">
        <v>7</v>
      </c>
      <c r="I255" s="27" t="s">
        <v>8</v>
      </c>
      <c r="N255" s="27" t="s">
        <v>7</v>
      </c>
      <c r="O255" s="27" t="s">
        <v>8</v>
      </c>
      <c r="P255" s="27" t="s">
        <v>7</v>
      </c>
      <c r="Q255" s="27" t="s">
        <v>8</v>
      </c>
      <c r="S255" s="27" t="s">
        <v>8</v>
      </c>
      <c r="T255" s="27" t="s">
        <v>7</v>
      </c>
      <c r="U255" s="27" t="s">
        <v>8</v>
      </c>
      <c r="V255" s="27" t="s">
        <v>7</v>
      </c>
      <c r="W255" s="27" t="s">
        <v>8</v>
      </c>
      <c r="X255" s="27" t="s">
        <v>7</v>
      </c>
      <c r="Y255" s="27" t="s">
        <v>8</v>
      </c>
      <c r="Z255" s="27" t="s">
        <v>7</v>
      </c>
    </row>
    <row r="256" spans="1:137" x14ac:dyDescent="0.25">
      <c r="A256" s="30">
        <v>0.45811152199139726</v>
      </c>
      <c r="E256"/>
      <c r="F256" s="27" t="s">
        <v>7</v>
      </c>
      <c r="G256" s="27" t="s">
        <v>8</v>
      </c>
      <c r="H256" s="27" t="s">
        <v>7</v>
      </c>
      <c r="N256" s="27" t="s">
        <v>7</v>
      </c>
      <c r="O256" s="27" t="s">
        <v>8</v>
      </c>
      <c r="P256" s="27" t="s">
        <v>7</v>
      </c>
      <c r="Q256" s="27" t="s">
        <v>8</v>
      </c>
      <c r="R256" s="27" t="s">
        <v>7</v>
      </c>
      <c r="S256" s="27" t="s">
        <v>8</v>
      </c>
      <c r="T256" s="27" t="s">
        <v>7</v>
      </c>
      <c r="V256" s="27" t="s">
        <v>7</v>
      </c>
      <c r="W256" s="27" t="s">
        <v>8</v>
      </c>
      <c r="X256" s="27" t="s">
        <v>7</v>
      </c>
      <c r="Y256" s="27" t="s">
        <v>8</v>
      </c>
    </row>
    <row r="257" spans="1:24" x14ac:dyDescent="0.25">
      <c r="A257" s="30">
        <v>0.43629668761085438</v>
      </c>
      <c r="B257"/>
      <c r="C257"/>
      <c r="D257"/>
      <c r="E257"/>
      <c r="F257" s="27" t="s">
        <v>7</v>
      </c>
      <c r="G257" s="27" t="s">
        <v>8</v>
      </c>
      <c r="N257" s="27" t="s">
        <v>7</v>
      </c>
      <c r="P257" s="27" t="s">
        <v>7</v>
      </c>
      <c r="Q257" s="27" t="s">
        <v>8</v>
      </c>
      <c r="R257" s="27" t="s">
        <v>7</v>
      </c>
      <c r="S257" s="27" t="s">
        <v>8</v>
      </c>
      <c r="V257" s="27" t="s">
        <v>7</v>
      </c>
      <c r="X257" s="27" t="s">
        <v>7</v>
      </c>
    </row>
    <row r="258" spans="1:24" x14ac:dyDescent="0.25">
      <c r="A258" s="30">
        <v>0.41552065486748019</v>
      </c>
      <c r="B258"/>
      <c r="C258"/>
      <c r="D258"/>
      <c r="E258"/>
      <c r="F258" s="27" t="s">
        <v>7</v>
      </c>
      <c r="G258" s="27" t="s">
        <v>8</v>
      </c>
      <c r="P258" s="27" t="s">
        <v>7</v>
      </c>
      <c r="R258" s="27" t="s">
        <v>7</v>
      </c>
    </row>
    <row r="259" spans="1:24" x14ac:dyDescent="0.25">
      <c r="A259" s="30">
        <v>0.39573395701664765</v>
      </c>
      <c r="B259"/>
      <c r="C259"/>
      <c r="D259"/>
      <c r="E259"/>
      <c r="F259" s="27" t="s">
        <v>7</v>
      </c>
      <c r="G259" s="27" t="s">
        <v>8</v>
      </c>
    </row>
    <row r="260" spans="1:24" x14ac:dyDescent="0.25">
      <c r="A260" s="30">
        <v>0.37688948287299762</v>
      </c>
      <c r="B260"/>
      <c r="C260"/>
      <c r="D260"/>
      <c r="E260"/>
      <c r="F260" s="27" t="s">
        <v>7</v>
      </c>
    </row>
    <row r="261" spans="1:24" x14ac:dyDescent="0.25">
      <c r="A261" s="30">
        <v>0.35894236464094997</v>
      </c>
      <c r="B261"/>
      <c r="C261"/>
      <c r="D261"/>
      <c r="E261"/>
    </row>
    <row r="262" spans="1:24" x14ac:dyDescent="0.25">
      <c r="A262" s="30">
        <v>0.34184987108661891</v>
      </c>
      <c r="B262"/>
      <c r="C262"/>
      <c r="D262"/>
      <c r="E262"/>
    </row>
    <row r="263" spans="1:24" x14ac:dyDescent="0.25">
      <c r="A263" s="30">
        <v>0.32557130579677979</v>
      </c>
      <c r="B263"/>
      <c r="C263"/>
      <c r="D263"/>
      <c r="E263"/>
    </row>
    <row r="264" spans="1:24" x14ac:dyDescent="0.25">
      <c r="A264" s="30">
        <v>0.3100679102826473</v>
      </c>
      <c r="B264"/>
      <c r="C264"/>
      <c r="D264"/>
      <c r="E264"/>
    </row>
    <row r="265" spans="1:24" x14ac:dyDescent="0.25">
      <c r="A265" s="30">
        <v>0.2953027716977592</v>
      </c>
      <c r="B265"/>
      <c r="C265"/>
      <c r="D265"/>
      <c r="E265"/>
    </row>
    <row r="266" spans="1:24" x14ac:dyDescent="0.25">
      <c r="A266" s="30">
        <v>0.28124073495024676</v>
      </c>
      <c r="B266"/>
      <c r="C266"/>
      <c r="D266"/>
      <c r="E266"/>
    </row>
    <row r="267" spans="1:24" x14ac:dyDescent="0.25">
      <c r="A267" s="30">
        <v>0.26784831900023492</v>
      </c>
      <c r="B267"/>
      <c r="C267"/>
      <c r="D267"/>
      <c r="E267"/>
    </row>
    <row r="268" spans="1:24" x14ac:dyDescent="0.25">
      <c r="A268" s="30">
        <v>0.25509363714308075</v>
      </c>
      <c r="B268"/>
      <c r="C268"/>
      <c r="D268"/>
      <c r="E268"/>
    </row>
    <row r="269" spans="1:24" x14ac:dyDescent="0.25">
      <c r="A269" s="30">
        <v>0.24294632108864825</v>
      </c>
      <c r="B269"/>
      <c r="C269"/>
      <c r="D269"/>
      <c r="E269"/>
    </row>
    <row r="270" spans="1:24" x14ac:dyDescent="0.25">
      <c r="A270" s="30">
        <v>0.23137744865585538</v>
      </c>
      <c r="B270"/>
      <c r="C270"/>
      <c r="D270"/>
      <c r="E270"/>
    </row>
    <row r="271" spans="1:24" x14ac:dyDescent="0.25">
      <c r="A271" s="30">
        <v>0.22035947491033836</v>
      </c>
      <c r="B271"/>
      <c r="C271"/>
      <c r="D271"/>
      <c r="E271"/>
    </row>
    <row r="272" spans="1:24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56" operator="equal">
      <formula>$U$1</formula>
    </cfRule>
    <cfRule type="cellIs" dxfId="67" priority="857" operator="equal">
      <formula>$S$1</formula>
    </cfRule>
  </conditionalFormatting>
  <conditionalFormatting sqref="D136">
    <cfRule type="cellIs" dxfId="66" priority="854" operator="equal">
      <formula>$S$1</formula>
    </cfRule>
    <cfRule type="cellIs" dxfId="65" priority="855" operator="equal">
      <formula>$U$1</formula>
    </cfRule>
  </conditionalFormatting>
  <conditionalFormatting sqref="C162">
    <cfRule type="cellIs" dxfId="64" priority="852" operator="equal">
      <formula>$U$1</formula>
    </cfRule>
    <cfRule type="cellIs" dxfId="63" priority="853" operator="equal">
      <formula>$S$1</formula>
    </cfRule>
  </conditionalFormatting>
  <conditionalFormatting sqref="D162">
    <cfRule type="cellIs" dxfId="62" priority="850" operator="equal">
      <formula>$S$1</formula>
    </cfRule>
    <cfRule type="cellIs" dxfId="61" priority="851" operator="equal">
      <formula>$U$1</formula>
    </cfRule>
  </conditionalFormatting>
  <conditionalFormatting sqref="C187">
    <cfRule type="cellIs" dxfId="60" priority="848" operator="equal">
      <formula>$U$1</formula>
    </cfRule>
    <cfRule type="cellIs" dxfId="59" priority="849" operator="equal">
      <formula>$S$1</formula>
    </cfRule>
  </conditionalFormatting>
  <conditionalFormatting sqref="D187">
    <cfRule type="cellIs" dxfId="58" priority="846" operator="equal">
      <formula>$S$1</formula>
    </cfRule>
    <cfRule type="cellIs" dxfId="57" priority="847" operator="equal">
      <formula>$U$1</formula>
    </cfRule>
  </conditionalFormatting>
  <conditionalFormatting sqref="C212">
    <cfRule type="cellIs" dxfId="56" priority="844" operator="equal">
      <formula>$U$1</formula>
    </cfRule>
    <cfRule type="cellIs" dxfId="55" priority="845" operator="equal">
      <formula>$S$1</formula>
    </cfRule>
  </conditionalFormatting>
  <conditionalFormatting sqref="D212">
    <cfRule type="cellIs" dxfId="54" priority="842" operator="equal">
      <formula>$S$1</formula>
    </cfRule>
    <cfRule type="cellIs" dxfId="53" priority="843" operator="equal">
      <formula>$U$1</formula>
    </cfRule>
  </conditionalFormatting>
  <conditionalFormatting sqref="C237">
    <cfRule type="cellIs" dxfId="52" priority="840" operator="equal">
      <formula>$U$1</formula>
    </cfRule>
    <cfRule type="cellIs" dxfId="51" priority="841" operator="equal">
      <formula>$S$1</formula>
    </cfRule>
  </conditionalFormatting>
  <conditionalFormatting sqref="D237">
    <cfRule type="cellIs" dxfId="50" priority="838" operator="equal">
      <formula>$S$1</formula>
    </cfRule>
    <cfRule type="cellIs" dxfId="49" priority="839" operator="equal">
      <formula>$U$1</formula>
    </cfRule>
  </conditionalFormatting>
  <conditionalFormatting sqref="C106">
    <cfRule type="cellIs" dxfId="48" priority="836" operator="equal">
      <formula>$U$1</formula>
    </cfRule>
    <cfRule type="cellIs" dxfId="47" priority="837" operator="equal">
      <formula>$S$1</formula>
    </cfRule>
  </conditionalFormatting>
  <conditionalFormatting sqref="D106">
    <cfRule type="cellIs" dxfId="46" priority="834" operator="equal">
      <formula>$S$1</formula>
    </cfRule>
    <cfRule type="cellIs" dxfId="45" priority="835" operator="equal">
      <formula>$U$1</formula>
    </cfRule>
  </conditionalFormatting>
  <conditionalFormatting sqref="C81">
    <cfRule type="cellIs" dxfId="44" priority="832" operator="equal">
      <formula>$U$1</formula>
    </cfRule>
    <cfRule type="cellIs" dxfId="43" priority="833" operator="equal">
      <formula>$S$1</formula>
    </cfRule>
  </conditionalFormatting>
  <conditionalFormatting sqref="D81">
    <cfRule type="cellIs" dxfId="42" priority="830" operator="equal">
      <formula>$S$1</formula>
    </cfRule>
    <cfRule type="cellIs" dxfId="41" priority="831" operator="equal">
      <formula>$U$1</formula>
    </cfRule>
  </conditionalFormatting>
  <conditionalFormatting sqref="C56">
    <cfRule type="cellIs" dxfId="40" priority="828" operator="equal">
      <formula>$U$1</formula>
    </cfRule>
    <cfRule type="cellIs" dxfId="39" priority="829" operator="equal">
      <formula>$S$1</formula>
    </cfRule>
  </conditionalFormatting>
  <conditionalFormatting sqref="D56">
    <cfRule type="cellIs" dxfId="38" priority="826" operator="equal">
      <formula>$S$1</formula>
    </cfRule>
    <cfRule type="cellIs" dxfId="37" priority="827" operator="equal">
      <formula>$U$1</formula>
    </cfRule>
  </conditionalFormatting>
  <conditionalFormatting sqref="C31">
    <cfRule type="cellIs" dxfId="36" priority="824" operator="equal">
      <formula>$U$1</formula>
    </cfRule>
    <cfRule type="cellIs" dxfId="35" priority="825" operator="equal">
      <formula>$S$1</formula>
    </cfRule>
  </conditionalFormatting>
  <conditionalFormatting sqref="D31">
    <cfRule type="cellIs" dxfId="34" priority="822" operator="equal">
      <formula>$S$1</formula>
    </cfRule>
    <cfRule type="cellIs" dxfId="33" priority="82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L122" sqref="AL12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36" x14ac:dyDescent="0.25">
      <c r="A97" s="30">
        <v>9.849732675807628</v>
      </c>
      <c r="E97"/>
    </row>
    <row r="98" spans="1:36" x14ac:dyDescent="0.25">
      <c r="A98" s="30">
        <v>8.9543024325523888</v>
      </c>
      <c r="C98" s="1" t="s">
        <v>13</v>
      </c>
      <c r="E98"/>
    </row>
    <row r="99" spans="1:36" x14ac:dyDescent="0.25">
      <c r="A99" s="30">
        <v>8.140274938683989</v>
      </c>
      <c r="C99" s="1">
        <f>C88</f>
        <v>0</v>
      </c>
      <c r="E99"/>
    </row>
    <row r="100" spans="1:36" x14ac:dyDescent="0.25">
      <c r="A100" s="30">
        <v>7.4002499442581717</v>
      </c>
      <c r="C100"/>
      <c r="D100"/>
      <c r="E100"/>
    </row>
    <row r="101" spans="1:36" x14ac:dyDescent="0.25">
      <c r="A101" s="30">
        <v>6.72749994932561</v>
      </c>
      <c r="C101" s="1" t="s">
        <v>14</v>
      </c>
      <c r="E101"/>
    </row>
    <row r="102" spans="1:36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36" x14ac:dyDescent="0.25">
      <c r="A103" s="30">
        <v>5.5599173134922388</v>
      </c>
      <c r="E103"/>
    </row>
    <row r="104" spans="1:36" x14ac:dyDescent="0.25">
      <c r="A104" s="30">
        <v>5.0544702849929442</v>
      </c>
      <c r="E104"/>
    </row>
    <row r="105" spans="1:36" x14ac:dyDescent="0.25">
      <c r="A105" s="30">
        <v>4.594972986357222</v>
      </c>
      <c r="E105"/>
    </row>
    <row r="106" spans="1:36" x14ac:dyDescent="0.25">
      <c r="A106" s="30">
        <v>4.1772481694156562</v>
      </c>
      <c r="E106"/>
      <c r="Q106" s="27" t="s">
        <v>8</v>
      </c>
    </row>
    <row r="107" spans="1:36" x14ac:dyDescent="0.25">
      <c r="A107" s="30">
        <v>3.7974983358324148</v>
      </c>
      <c r="E107"/>
      <c r="Q107" s="27" t="s">
        <v>8</v>
      </c>
      <c r="R107" s="27" t="s">
        <v>7</v>
      </c>
    </row>
    <row r="108" spans="1:36" x14ac:dyDescent="0.25">
      <c r="A108" s="30">
        <v>3.4522712143931042</v>
      </c>
      <c r="E108"/>
      <c r="Q108" s="27" t="s">
        <v>8</v>
      </c>
      <c r="R108" s="27" t="s">
        <v>7</v>
      </c>
    </row>
    <row r="109" spans="1:36" x14ac:dyDescent="0.25">
      <c r="A109" s="30">
        <v>3.1384283767210035</v>
      </c>
      <c r="E109"/>
      <c r="Q109" s="27" t="s">
        <v>8</v>
      </c>
      <c r="R109" s="27" t="s">
        <v>7</v>
      </c>
      <c r="AC109" s="27" t="s">
        <v>8</v>
      </c>
    </row>
    <row r="110" spans="1:36" x14ac:dyDescent="0.25">
      <c r="A110" s="30">
        <v>2.8531167061100029</v>
      </c>
      <c r="E110"/>
      <c r="O110" s="27" t="s">
        <v>8</v>
      </c>
      <c r="Q110" s="27" t="s">
        <v>8</v>
      </c>
      <c r="R110" s="27" t="s">
        <v>7</v>
      </c>
      <c r="AC110" s="27" t="s">
        <v>8</v>
      </c>
      <c r="AD110" s="27" t="s">
        <v>7</v>
      </c>
      <c r="AE110" s="27" t="s">
        <v>8</v>
      </c>
    </row>
    <row r="111" spans="1:36" x14ac:dyDescent="0.25">
      <c r="A111" s="30">
        <v>2.5937424601000023</v>
      </c>
      <c r="C111" s="1" t="str">
        <f>ADDRESS(C121-1,1,1,1)</f>
        <v>$A$121</v>
      </c>
      <c r="D111" s="1" t="str">
        <f>ADDRESS(C121-1,D121,1,1)</f>
        <v>$AL$121</v>
      </c>
      <c r="E111"/>
      <c r="O111" s="27" t="s">
        <v>8</v>
      </c>
      <c r="P111" s="27" t="s">
        <v>7</v>
      </c>
      <c r="Q111" s="27" t="s">
        <v>8</v>
      </c>
      <c r="R111" s="27" t="s">
        <v>7</v>
      </c>
      <c r="AC111" s="27" t="s">
        <v>8</v>
      </c>
      <c r="AD111" s="27" t="s">
        <v>7</v>
      </c>
      <c r="AE111" s="27" t="s">
        <v>8</v>
      </c>
      <c r="AF111" s="27" t="s">
        <v>7</v>
      </c>
      <c r="AG111" s="27" t="s">
        <v>8</v>
      </c>
      <c r="AI111" s="27" t="s">
        <v>8</v>
      </c>
    </row>
    <row r="112" spans="1:36" x14ac:dyDescent="0.25">
      <c r="A112" s="30">
        <v>2.3579476910000019</v>
      </c>
      <c r="C112" s="1" t="str">
        <f>ADDRESS(C121,1,1,1)</f>
        <v>$A$122</v>
      </c>
      <c r="D112" s="1" t="str">
        <f>ADDRESS(C121,D121-1,1,1)</f>
        <v>$AK$122</v>
      </c>
      <c r="E112"/>
      <c r="M112" s="27" t="s">
        <v>8</v>
      </c>
      <c r="O112" s="27" t="s">
        <v>8</v>
      </c>
      <c r="P112" s="27" t="s">
        <v>7</v>
      </c>
      <c r="Q112" s="27" t="s">
        <v>8</v>
      </c>
      <c r="R112" s="27" t="s">
        <v>7</v>
      </c>
      <c r="S112" s="27" t="s">
        <v>8</v>
      </c>
      <c r="AC112" s="27" t="s">
        <v>8</v>
      </c>
      <c r="AD112" s="27" t="s">
        <v>7</v>
      </c>
      <c r="AE112" s="27" t="s">
        <v>8</v>
      </c>
      <c r="AF112" s="27" t="s">
        <v>7</v>
      </c>
      <c r="AG112" s="27" t="s">
        <v>8</v>
      </c>
      <c r="AH112" s="27" t="s">
        <v>7</v>
      </c>
      <c r="AI112" s="27" t="s">
        <v>8</v>
      </c>
      <c r="AJ112" s="27" t="s">
        <v>7</v>
      </c>
    </row>
    <row r="113" spans="1:38" x14ac:dyDescent="0.25">
      <c r="A113" s="30">
        <v>2.1435888100000016</v>
      </c>
      <c r="C113" s="1" t="str">
        <f>ADDRESS(C121+1,1,1,1)</f>
        <v>$A$123</v>
      </c>
      <c r="D113" s="1" t="str">
        <f>ADDRESS(C121-1,D121+1,1,1)</f>
        <v>$AM$121</v>
      </c>
      <c r="M113" s="27" t="s">
        <v>8</v>
      </c>
      <c r="N113" s="27" t="s">
        <v>7</v>
      </c>
      <c r="O113" s="27" t="s">
        <v>8</v>
      </c>
      <c r="P113" s="27" t="s">
        <v>7</v>
      </c>
      <c r="Q113" s="27" t="s">
        <v>8</v>
      </c>
      <c r="R113" s="27" t="s">
        <v>7</v>
      </c>
      <c r="S113" s="27" t="s">
        <v>8</v>
      </c>
      <c r="T113" s="27" t="s">
        <v>7</v>
      </c>
      <c r="AC113" s="27" t="s">
        <v>8</v>
      </c>
      <c r="AD113" s="27" t="s">
        <v>7</v>
      </c>
      <c r="AF113" s="27" t="s">
        <v>7</v>
      </c>
      <c r="AG113" s="27" t="s">
        <v>8</v>
      </c>
      <c r="AH113" s="27" t="s">
        <v>7</v>
      </c>
      <c r="AI113" s="27" t="s">
        <v>8</v>
      </c>
      <c r="AJ113" s="27" t="s">
        <v>7</v>
      </c>
    </row>
    <row r="114" spans="1:38" x14ac:dyDescent="0.25">
      <c r="A114" s="30">
        <v>1.9487171000000014</v>
      </c>
      <c r="C114" s="1" t="str">
        <f>ADDRESS(C121,D121,1,1)</f>
        <v>$AL$122</v>
      </c>
      <c r="D114" s="1" t="str">
        <f>ADDRESS(C121+1,D121+1,1,1)</f>
        <v>$AM$123</v>
      </c>
      <c r="M114" s="27" t="s">
        <v>8</v>
      </c>
      <c r="N114" s="27" t="s">
        <v>7</v>
      </c>
      <c r="O114" s="27" t="s">
        <v>8</v>
      </c>
      <c r="P114" s="27" t="s">
        <v>7</v>
      </c>
      <c r="Q114" s="27" t="s">
        <v>8</v>
      </c>
      <c r="R114" s="27" t="s">
        <v>7</v>
      </c>
      <c r="S114" s="27" t="s">
        <v>8</v>
      </c>
      <c r="T114" s="27" t="s">
        <v>7</v>
      </c>
      <c r="U114" s="27" t="s">
        <v>8</v>
      </c>
      <c r="AA114" s="27" t="s">
        <v>8</v>
      </c>
      <c r="AC114" s="27" t="s">
        <v>8</v>
      </c>
      <c r="AF114" s="27" t="s">
        <v>7</v>
      </c>
      <c r="AG114" s="27" t="s">
        <v>8</v>
      </c>
      <c r="AH114" s="27" t="s">
        <v>7</v>
      </c>
      <c r="AJ114" s="27" t="s">
        <v>7</v>
      </c>
    </row>
    <row r="115" spans="1:38" x14ac:dyDescent="0.25">
      <c r="A115" s="30">
        <v>1.7715610000000011</v>
      </c>
      <c r="C115" s="1" t="str">
        <f>ADDRESS(C121+1,D121,1,1)</f>
        <v>$AL$123</v>
      </c>
      <c r="M115" s="27" t="s">
        <v>8</v>
      </c>
      <c r="N115" s="27" t="s">
        <v>7</v>
      </c>
      <c r="O115" s="27" t="s">
        <v>8</v>
      </c>
      <c r="P115" s="27" t="s">
        <v>7</v>
      </c>
      <c r="Q115" s="27" t="s">
        <v>8</v>
      </c>
      <c r="R115" s="27" t="s">
        <v>7</v>
      </c>
      <c r="S115" s="27" t="s">
        <v>8</v>
      </c>
      <c r="T115" s="27" t="s">
        <v>7</v>
      </c>
      <c r="U115" s="27" t="s">
        <v>8</v>
      </c>
      <c r="V115" s="27" t="s">
        <v>7</v>
      </c>
      <c r="W115" s="27" t="s">
        <v>8</v>
      </c>
      <c r="Y115" s="27" t="s">
        <v>8</v>
      </c>
      <c r="AA115" s="27" t="s">
        <v>8</v>
      </c>
      <c r="AB115" s="27" t="s">
        <v>7</v>
      </c>
      <c r="AC115" s="27" t="s">
        <v>8</v>
      </c>
      <c r="AF115" s="27" t="s">
        <v>7</v>
      </c>
      <c r="AJ115" s="27" t="s">
        <v>7</v>
      </c>
      <c r="AK115" s="27" t="s">
        <v>8</v>
      </c>
    </row>
    <row r="116" spans="1:38" x14ac:dyDescent="0.25">
      <c r="A116" s="30">
        <v>1.6105100000000008</v>
      </c>
      <c r="C116" s="1">
        <f>C117-1</f>
        <v>121</v>
      </c>
      <c r="M116" s="27" t="s">
        <v>8</v>
      </c>
      <c r="N116" s="27" t="s">
        <v>7</v>
      </c>
      <c r="O116" s="27" t="s">
        <v>8</v>
      </c>
      <c r="P116" s="27" t="s">
        <v>7</v>
      </c>
      <c r="Q116" s="27" t="s">
        <v>8</v>
      </c>
      <c r="R116" s="27" t="s">
        <v>7</v>
      </c>
      <c r="S116" s="27" t="s">
        <v>8</v>
      </c>
      <c r="T116" s="27" t="s">
        <v>7</v>
      </c>
      <c r="U116" s="27" t="s">
        <v>8</v>
      </c>
      <c r="V116" s="27" t="s">
        <v>7</v>
      </c>
      <c r="W116" s="27" t="s">
        <v>8</v>
      </c>
      <c r="X116" s="27" t="s">
        <v>7</v>
      </c>
      <c r="Y116" s="27" t="s">
        <v>8</v>
      </c>
      <c r="Z116" s="27" t="s">
        <v>7</v>
      </c>
      <c r="AA116" s="27" t="s">
        <v>8</v>
      </c>
      <c r="AB116" s="27" t="s">
        <v>7</v>
      </c>
      <c r="AC116" s="27" t="s">
        <v>8</v>
      </c>
      <c r="AJ116" s="27" t="s">
        <v>7</v>
      </c>
      <c r="AK116" s="27" t="s">
        <v>8</v>
      </c>
      <c r="AL116" s="27" t="s">
        <v>7</v>
      </c>
    </row>
    <row r="117" spans="1:38" x14ac:dyDescent="0.25">
      <c r="A117" s="30">
        <v>1.4641000000000006</v>
      </c>
      <c r="C117" s="1">
        <f>C121</f>
        <v>122</v>
      </c>
      <c r="D117" s="1">
        <f>D121</f>
        <v>38</v>
      </c>
      <c r="M117" s="27" t="s">
        <v>8</v>
      </c>
      <c r="N117" s="27" t="s">
        <v>7</v>
      </c>
      <c r="O117" s="27" t="s">
        <v>8</v>
      </c>
      <c r="P117" s="27" t="s">
        <v>7</v>
      </c>
      <c r="R117" s="27" t="s">
        <v>7</v>
      </c>
      <c r="T117" s="27" t="s">
        <v>7</v>
      </c>
      <c r="U117" s="27" t="s">
        <v>8</v>
      </c>
      <c r="V117" s="27" t="s">
        <v>7</v>
      </c>
      <c r="W117" s="27" t="s">
        <v>8</v>
      </c>
      <c r="X117" s="27" t="s">
        <v>7</v>
      </c>
      <c r="Y117" s="27" t="s">
        <v>8</v>
      </c>
      <c r="Z117" s="27" t="s">
        <v>7</v>
      </c>
      <c r="AA117" s="27" t="s">
        <v>8</v>
      </c>
      <c r="AB117" s="18" t="s">
        <v>7</v>
      </c>
      <c r="AC117" s="27" t="s">
        <v>8</v>
      </c>
      <c r="AJ117" s="27" t="s">
        <v>7</v>
      </c>
      <c r="AK117" s="27" t="s">
        <v>8</v>
      </c>
      <c r="AL117" s="27" t="s">
        <v>7</v>
      </c>
    </row>
    <row r="118" spans="1:38" x14ac:dyDescent="0.25">
      <c r="A118" s="30">
        <v>1.3310000000000004</v>
      </c>
      <c r="C118" s="1">
        <f>C117+1</f>
        <v>123</v>
      </c>
      <c r="D118" s="1">
        <f>D117+1</f>
        <v>39</v>
      </c>
      <c r="M118" s="27" t="s">
        <v>8</v>
      </c>
      <c r="N118" s="27" t="s">
        <v>7</v>
      </c>
      <c r="O118" s="27" t="s">
        <v>8</v>
      </c>
      <c r="T118" s="27" t="s">
        <v>7</v>
      </c>
      <c r="U118" s="27" t="s">
        <v>8</v>
      </c>
      <c r="V118" s="27" t="s">
        <v>7</v>
      </c>
      <c r="X118" s="27" t="s">
        <v>7</v>
      </c>
      <c r="Y118" s="27" t="s">
        <v>8</v>
      </c>
      <c r="Z118" s="27" t="s">
        <v>7</v>
      </c>
      <c r="AA118" s="27" t="s">
        <v>8</v>
      </c>
      <c r="AB118" s="27" t="s">
        <v>7</v>
      </c>
      <c r="AC118" s="27" t="s">
        <v>8</v>
      </c>
      <c r="AJ118" s="27" t="s">
        <v>7</v>
      </c>
      <c r="AL118" s="27" t="s">
        <v>7</v>
      </c>
    </row>
    <row r="119" spans="1:38" x14ac:dyDescent="0.25">
      <c r="A119" s="30">
        <v>1.2100000000000002</v>
      </c>
      <c r="M119" s="27" t="s">
        <v>8</v>
      </c>
      <c r="N119" s="27" t="s">
        <v>7</v>
      </c>
      <c r="O119" s="27" t="s">
        <v>8</v>
      </c>
      <c r="T119" s="27" t="s">
        <v>7</v>
      </c>
      <c r="X119" s="27" t="s">
        <v>7</v>
      </c>
      <c r="Y119" s="27" t="s">
        <v>8</v>
      </c>
      <c r="Z119" s="27" t="s">
        <v>7</v>
      </c>
      <c r="AA119" s="27" t="s">
        <v>8</v>
      </c>
      <c r="AB119" s="27" t="s">
        <v>7</v>
      </c>
      <c r="AL119" s="27" t="s">
        <v>7</v>
      </c>
    </row>
    <row r="120" spans="1:38" x14ac:dyDescent="0.25">
      <c r="A120" s="30">
        <v>1.1000000000000001</v>
      </c>
      <c r="C120" s="1" t="s">
        <v>9</v>
      </c>
      <c r="M120" s="27" t="s">
        <v>8</v>
      </c>
      <c r="N120" s="27" t="s">
        <v>7</v>
      </c>
      <c r="O120" s="27" t="s">
        <v>8</v>
      </c>
      <c r="X120" s="27" t="s">
        <v>7</v>
      </c>
      <c r="Z120" s="27" t="s">
        <v>7</v>
      </c>
      <c r="AL120" s="27" t="s">
        <v>7</v>
      </c>
    </row>
    <row r="121" spans="1:38" x14ac:dyDescent="0.25">
      <c r="A121" s="30">
        <v>1</v>
      </c>
      <c r="C121" s="18">
        <v>122</v>
      </c>
      <c r="D121" s="19">
        <v>38</v>
      </c>
      <c r="E121" s="18" t="s">
        <v>8</v>
      </c>
      <c r="M121" s="27" t="s">
        <v>8</v>
      </c>
      <c r="N121" s="27" t="s">
        <v>7</v>
      </c>
      <c r="AL121" s="27" t="s">
        <v>7</v>
      </c>
    </row>
    <row r="122" spans="1:38" x14ac:dyDescent="0.25">
      <c r="A122" s="30">
        <v>0.90909090909090895</v>
      </c>
      <c r="C122" s="1" t="str">
        <f>INDEX(1:1048576,C117,D117)</f>
        <v>O</v>
      </c>
      <c r="F122" s="27" t="s">
        <v>7</v>
      </c>
      <c r="M122" s="27" t="s">
        <v>8</v>
      </c>
      <c r="AL122" s="27" t="s">
        <v>7</v>
      </c>
    </row>
    <row r="123" spans="1:38" x14ac:dyDescent="0.25">
      <c r="A123" s="30">
        <v>0.82644628099173523</v>
      </c>
      <c r="C123" s="1" t="str">
        <f>"R"&amp;C121</f>
        <v>R122</v>
      </c>
      <c r="D123" s="1" t="str">
        <f>"C"&amp;D121</f>
        <v>C38</v>
      </c>
      <c r="F123" s="27" t="s">
        <v>7</v>
      </c>
      <c r="G123" s="27" t="s">
        <v>8</v>
      </c>
      <c r="M123" s="27" t="s">
        <v>8</v>
      </c>
    </row>
    <row r="124" spans="1:3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H124" s="27" t="s">
        <v>7</v>
      </c>
      <c r="I124" s="27" t="s">
        <v>8</v>
      </c>
      <c r="M124" s="27" t="s">
        <v>8</v>
      </c>
    </row>
    <row r="125" spans="1:38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I125" s="27" t="s">
        <v>8</v>
      </c>
      <c r="J125" s="27" t="s">
        <v>7</v>
      </c>
      <c r="M125" s="27" t="s">
        <v>8</v>
      </c>
    </row>
    <row r="126" spans="1:38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I126" s="27" t="s">
        <v>8</v>
      </c>
      <c r="J126" s="27" t="s">
        <v>7</v>
      </c>
      <c r="M126" s="27" t="s">
        <v>8</v>
      </c>
    </row>
    <row r="127" spans="1:38" x14ac:dyDescent="0.25">
      <c r="A127" s="30">
        <v>0.56447393005377677</v>
      </c>
      <c r="C127" s="30">
        <v>0.90909090909090895</v>
      </c>
      <c r="D127"/>
      <c r="F127" s="27" t="s">
        <v>7</v>
      </c>
      <c r="G127" s="27" t="s">
        <v>8</v>
      </c>
      <c r="H127" s="27" t="s">
        <v>7</v>
      </c>
      <c r="I127" s="27" t="s">
        <v>8</v>
      </c>
      <c r="J127" s="27" t="s">
        <v>7</v>
      </c>
      <c r="K127" s="27" t="s">
        <v>8</v>
      </c>
      <c r="M127" s="27" t="s">
        <v>8</v>
      </c>
    </row>
    <row r="128" spans="1:38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I128" s="27" t="s">
        <v>8</v>
      </c>
      <c r="J128" s="27" t="s">
        <v>7</v>
      </c>
      <c r="K128" s="27" t="s">
        <v>8</v>
      </c>
      <c r="L128" s="27" t="s">
        <v>7</v>
      </c>
      <c r="M128" s="27" t="s">
        <v>8</v>
      </c>
    </row>
    <row r="129" spans="1:13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H129" s="27" t="s">
        <v>7</v>
      </c>
      <c r="J129" s="27" t="s">
        <v>7</v>
      </c>
      <c r="K129" s="27" t="s">
        <v>8</v>
      </c>
      <c r="L129" s="27" t="s">
        <v>7</v>
      </c>
      <c r="M129" s="27" t="s">
        <v>8</v>
      </c>
    </row>
    <row r="130" spans="1:13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J130" s="27" t="s">
        <v>7</v>
      </c>
      <c r="L130" s="27" t="s">
        <v>7</v>
      </c>
    </row>
    <row r="131" spans="1:13" x14ac:dyDescent="0.25">
      <c r="A131" s="30">
        <v>0.38554328942953109</v>
      </c>
      <c r="E131"/>
      <c r="F131" s="27" t="s">
        <v>7</v>
      </c>
    </row>
    <row r="132" spans="1:13" x14ac:dyDescent="0.25">
      <c r="A132" s="30">
        <v>0.35049389948139187</v>
      </c>
      <c r="C132" s="1" t="s">
        <v>13</v>
      </c>
      <c r="E132"/>
    </row>
    <row r="133" spans="1:13" x14ac:dyDescent="0.25">
      <c r="A133" s="30">
        <v>0.31863081771035617</v>
      </c>
      <c r="C133" s="1" t="str">
        <f>C122</f>
        <v>O</v>
      </c>
      <c r="E133"/>
    </row>
    <row r="134" spans="1:13" x14ac:dyDescent="0.25">
      <c r="A134" s="30">
        <v>0.28966437973668741</v>
      </c>
      <c r="C134"/>
      <c r="D134"/>
      <c r="E134"/>
    </row>
    <row r="135" spans="1:13" x14ac:dyDescent="0.25">
      <c r="A135" s="30">
        <v>0.2633312543060794</v>
      </c>
      <c r="C135" s="1" t="s">
        <v>14</v>
      </c>
      <c r="E135"/>
    </row>
    <row r="136" spans="1:13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13" x14ac:dyDescent="0.25">
      <c r="A137" s="30">
        <v>0.2176291357901482</v>
      </c>
      <c r="E137"/>
    </row>
    <row r="138" spans="1:13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13" x14ac:dyDescent="0.25">
      <c r="A139" s="30">
        <v>0.17985878990921333</v>
      </c>
      <c r="E139"/>
    </row>
    <row r="140" spans="1:13" x14ac:dyDescent="0.25">
      <c r="A140" s="30">
        <v>0.16350799082655756</v>
      </c>
      <c r="C140" s="1">
        <v>0</v>
      </c>
      <c r="E140"/>
    </row>
    <row r="141" spans="1:13" x14ac:dyDescent="0.25">
      <c r="A141" s="30">
        <v>0.14864362802414322</v>
      </c>
      <c r="C141" s="1">
        <v>1</v>
      </c>
      <c r="E141"/>
    </row>
    <row r="142" spans="1:13" x14ac:dyDescent="0.25">
      <c r="A142" s="30">
        <v>0.13513057093103928</v>
      </c>
      <c r="C142" s="1">
        <v>2</v>
      </c>
      <c r="E142"/>
    </row>
    <row r="143" spans="1:13" x14ac:dyDescent="0.25">
      <c r="A143" s="30">
        <v>0.12284597357367205</v>
      </c>
      <c r="C143" s="1">
        <v>3</v>
      </c>
      <c r="E143"/>
    </row>
    <row r="144" spans="1:13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40" operator="equal">
      <formula>$U$1</formula>
    </cfRule>
    <cfRule type="cellIs" dxfId="30" priority="841" operator="equal">
      <formula>$S$1</formula>
    </cfRule>
  </conditionalFormatting>
  <conditionalFormatting sqref="D136">
    <cfRule type="cellIs" dxfId="29" priority="838" operator="equal">
      <formula>$S$1</formula>
    </cfRule>
    <cfRule type="cellIs" dxfId="28" priority="839" operator="equal">
      <formula>$U$1</formula>
    </cfRule>
  </conditionalFormatting>
  <conditionalFormatting sqref="C102">
    <cfRule type="cellIs" dxfId="27" priority="836" operator="equal">
      <formula>$U$1</formula>
    </cfRule>
    <cfRule type="cellIs" dxfId="26" priority="837" operator="equal">
      <formula>$S$1</formula>
    </cfRule>
  </conditionalFormatting>
  <conditionalFormatting sqref="D102">
    <cfRule type="cellIs" dxfId="25" priority="834" operator="equal">
      <formula>$S$1</formula>
    </cfRule>
    <cfRule type="cellIs" dxfId="24" priority="835" operator="equal">
      <formula>$U$1</formula>
    </cfRule>
  </conditionalFormatting>
  <conditionalFormatting sqref="C77">
    <cfRule type="cellIs" dxfId="23" priority="832" operator="equal">
      <formula>$U$1</formula>
    </cfRule>
    <cfRule type="cellIs" dxfId="22" priority="833" operator="equal">
      <formula>$S$1</formula>
    </cfRule>
  </conditionalFormatting>
  <conditionalFormatting sqref="D77">
    <cfRule type="cellIs" dxfId="21" priority="830" operator="equal">
      <formula>$S$1</formula>
    </cfRule>
    <cfRule type="cellIs" dxfId="20" priority="831" operator="equal">
      <formula>$U$1</formula>
    </cfRule>
  </conditionalFormatting>
  <conditionalFormatting sqref="C52">
    <cfRule type="cellIs" dxfId="19" priority="828" operator="equal">
      <formula>$U$1</formula>
    </cfRule>
    <cfRule type="cellIs" dxfId="18" priority="829" operator="equal">
      <formula>$S$1</formula>
    </cfRule>
  </conditionalFormatting>
  <conditionalFormatting sqref="D52">
    <cfRule type="cellIs" dxfId="17" priority="826" operator="equal">
      <formula>$S$1</formula>
    </cfRule>
    <cfRule type="cellIs" dxfId="16" priority="827" operator="equal">
      <formula>$U$1</formula>
    </cfRule>
  </conditionalFormatting>
  <conditionalFormatting sqref="C26">
    <cfRule type="cellIs" dxfId="15" priority="824" operator="equal">
      <formula>$U$1</formula>
    </cfRule>
    <cfRule type="cellIs" dxfId="14" priority="825" operator="equal">
      <formula>$S$1</formula>
    </cfRule>
  </conditionalFormatting>
  <conditionalFormatting sqref="D26">
    <cfRule type="cellIs" dxfId="13" priority="822" operator="equal">
      <formula>$S$1</formula>
    </cfRule>
    <cfRule type="cellIs" dxfId="12" priority="82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2022-01-28T01:21:36Z</dcterms:modified>
</cp:coreProperties>
</file>