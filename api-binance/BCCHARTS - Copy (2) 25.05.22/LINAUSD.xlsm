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E0A4411-B67C-4025-9D9D-C6E0C099905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3"/>
  <c r="C133" i="3" s="1"/>
  <c r="D136" i="3" s="1"/>
  <c r="C122" i="5"/>
  <c r="C133" i="5" s="1"/>
  <c r="D136" i="5" s="1"/>
  <c r="C118" i="5"/>
  <c r="C122" i="4"/>
  <c r="C133" i="4" s="1"/>
  <c r="D136" i="4" s="1"/>
  <c r="C118" i="4"/>
  <c r="C118" i="3"/>
  <c r="C116" i="3"/>
  <c r="R765" i="1"/>
  <c r="C136" i="3" l="1"/>
  <c r="C138" i="3" s="1"/>
  <c r="C136" i="5"/>
  <c r="C138" i="5" s="1"/>
  <c r="C136" i="4"/>
  <c r="C138" i="4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S181" i="1" l="1"/>
  <c r="T181" i="1" s="1"/>
  <c r="R180" i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S109" i="1" l="1"/>
  <c r="T109" i="1" s="1"/>
  <c r="R108" i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<sst xmlns="http://schemas.openxmlformats.org/spreadsheetml/2006/main" count="5076" uniqueCount="34">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</sst>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1038.3499999999999</c:v>
                </c:pt>
                <c:pt idx="1">
                  <c:v>1092.97</c:v>
                </c:pt>
                <c:pt idx="2">
                  <c:v>1138.05</c:v>
                </c:pt>
                <c:pt idx="3">
                  <c:v>1182.22</c:v>
                </c:pt>
                <c:pt idx="4">
                  <c:v>1247</c:v>
                </c:pt>
                <c:pt idx="5">
                  <c:v>1038.07</c:v>
                </c:pt>
                <c:pt idx="6">
                  <c:v>1060.26</c:v>
                </c:pt>
                <c:pt idx="7">
                  <c:v>1347.88</c:v>
                </c:pt>
                <c:pt idx="8">
                  <c:v>1539.56</c:v>
                </c:pt>
                <c:pt idx="9">
                  <c:v>1419.34</c:v>
                </c:pt>
                <c:pt idx="10">
                  <c:v>1596.52</c:v>
                </c:pt>
                <c:pt idx="11">
                  <c:v>1865.06</c:v>
                </c:pt>
                <c:pt idx="12">
                  <c:v>1677.08</c:v>
                </c:pt>
                <c:pt idx="13">
                  <c:v>1685.86</c:v>
                </c:pt>
                <c:pt idx="14">
                  <c:v>1560.38</c:v>
                </c:pt>
                <c:pt idx="15">
                  <c:v>1491.98</c:v>
                </c:pt>
                <c:pt idx="16">
                  <c:v>1365.98</c:v>
                </c:pt>
                <c:pt idx="17">
                  <c:v>1064.46</c:v>
                </c:pt>
                <c:pt idx="18">
                  <c:v>1062.6500000000001</c:v>
                </c:pt>
                <c:pt idx="19">
                  <c:v>1090.98</c:v>
                </c:pt>
                <c:pt idx="20">
                  <c:v>1203.8599999999999</c:v>
                </c:pt>
                <c:pt idx="21">
                  <c:v>1298</c:v>
                </c:pt>
                <c:pt idx="22">
                  <c:v>1057.74</c:v>
                </c:pt>
                <c:pt idx="23">
                  <c:v>1167.08</c:v>
                </c:pt>
                <c:pt idx="24">
                  <c:v>1293.9000000000001</c:v>
                </c:pt>
                <c:pt idx="25">
                  <c:v>1181.1199999999999</c:v>
                </c:pt>
                <c:pt idx="26">
                  <c:v>1204.6500000000001</c:v>
                </c:pt>
                <c:pt idx="27">
                  <c:v>892.75</c:v>
                </c:pt>
                <c:pt idx="28">
                  <c:v>722.97</c:v>
                </c:pt>
                <c:pt idx="29">
                  <c:v>722.11</c:v>
                </c:pt>
                <c:pt idx="30">
                  <c:v>746.54</c:v>
                </c:pt>
                <c:pt idx="31">
                  <c:v>813.05</c:v>
                </c:pt>
                <c:pt idx="32">
                  <c:v>860.5</c:v>
                </c:pt>
                <c:pt idx="33">
                  <c:v>881</c:v>
                </c:pt>
                <c:pt idx="34">
                  <c:v>878.44</c:v>
                </c:pt>
                <c:pt idx="35">
                  <c:v>959.98</c:v>
                </c:pt>
                <c:pt idx="36">
                  <c:v>869.64</c:v>
                </c:pt>
                <c:pt idx="37">
                  <c:v>883</c:v>
                </c:pt>
                <c:pt idx="38">
                  <c:v>772.36</c:v>
                </c:pt>
                <c:pt idx="39">
                  <c:v>762.71</c:v>
                </c:pt>
                <c:pt idx="40">
                  <c:v>791.81</c:v>
                </c:pt>
                <c:pt idx="41">
                  <c:v>653.39</c:v>
                </c:pt>
                <c:pt idx="42">
                  <c:v>709.06</c:v>
                </c:pt>
                <c:pt idx="43">
                  <c:v>707</c:v>
                </c:pt>
                <c:pt idx="44">
                  <c:v>598.16</c:v>
                </c:pt>
                <c:pt idx="45">
                  <c:v>608.99</c:v>
                </c:pt>
                <c:pt idx="46">
                  <c:v>732.86</c:v>
                </c:pt>
                <c:pt idx="47">
                  <c:v>776.35</c:v>
                </c:pt>
                <c:pt idx="48">
                  <c:v>776.19</c:v>
                </c:pt>
                <c:pt idx="49">
                  <c:v>791.66</c:v>
                </c:pt>
                <c:pt idx="50">
                  <c:v>848.87</c:v>
                </c:pt>
                <c:pt idx="51">
                  <c:v>867.61</c:v>
                </c:pt>
                <c:pt idx="52">
                  <c:v>866.04</c:v>
                </c:pt>
                <c:pt idx="53">
                  <c:v>1090.6400000000001</c:v>
                </c:pt>
                <c:pt idx="54">
                  <c:v>807.34</c:v>
                </c:pt>
                <c:pt idx="55">
                  <c:v>967.92</c:v>
                </c:pt>
                <c:pt idx="56">
                  <c:v>1035.8599999999999</c:v>
                </c:pt>
                <c:pt idx="57">
                  <c:v>1078.6199999999999</c:v>
                </c:pt>
                <c:pt idx="58">
                  <c:v>1080.6300000000001</c:v>
                </c:pt>
                <c:pt idx="59">
                  <c:v>1120.5899999999999</c:v>
                </c:pt>
                <c:pt idx="60">
                  <c:v>1179.54</c:v>
                </c:pt>
                <c:pt idx="61">
                  <c:v>1036.1500000000001</c:v>
                </c:pt>
                <c:pt idx="62">
                  <c:v>1005</c:v>
                </c:pt>
                <c:pt idx="63">
                  <c:v>1203.1099999999999</c:v>
                </c:pt>
                <c:pt idx="64">
                  <c:v>1290.54</c:v>
                </c:pt>
                <c:pt idx="65">
                  <c:v>1302</c:v>
                </c:pt>
                <c:pt idx="66">
                  <c:v>1327.26</c:v>
                </c:pt>
                <c:pt idx="67">
                  <c:v>1227.33</c:v>
                </c:pt>
                <c:pt idx="68">
                  <c:v>1212.1099999999999</c:v>
                </c:pt>
                <c:pt idx="69">
                  <c:v>1294.52</c:v>
                </c:pt>
                <c:pt idx="70">
                  <c:v>1263.82</c:v>
                </c:pt>
                <c:pt idx="71">
                  <c:v>1443.05</c:v>
                </c:pt>
                <c:pt idx="72">
                  <c:v>1586.67</c:v>
                </c:pt>
                <c:pt idx="73">
                  <c:v>1640.01</c:v>
                </c:pt>
                <c:pt idx="74">
                  <c:v>1670.04</c:v>
                </c:pt>
                <c:pt idx="75">
                  <c:v>1658.01</c:v>
                </c:pt>
                <c:pt idx="76">
                  <c:v>1490.57</c:v>
                </c:pt>
                <c:pt idx="77">
                  <c:v>1056.0899999999999</c:v>
                </c:pt>
                <c:pt idx="78">
                  <c:v>1130.06</c:v>
                </c:pt>
                <c:pt idx="79">
                  <c:v>804</c:v>
                </c:pt>
                <c:pt idx="80">
                  <c:v>446.08</c:v>
                </c:pt>
                <c:pt idx="81">
                  <c:v>357.86</c:v>
                </c:pt>
                <c:pt idx="82">
                  <c:v>337.97</c:v>
                </c:pt>
                <c:pt idx="83">
                  <c:v>328.88</c:v>
                </c:pt>
                <c:pt idx="84">
                  <c:v>329.99</c:v>
                </c:pt>
                <c:pt idx="85">
                  <c:v>358.75</c:v>
                </c:pt>
                <c:pt idx="86">
                  <c:v>371.27</c:v>
                </c:pt>
                <c:pt idx="87">
                  <c:v>366.16</c:v>
                </c:pt>
                <c:pt idx="88">
                  <c:v>366.33</c:v>
                </c:pt>
                <c:pt idx="89">
                  <c:v>371.84</c:v>
                </c:pt>
                <c:pt idx="90">
                  <c:v>386.84</c:v>
                </c:pt>
                <c:pt idx="91">
                  <c:v>384.93</c:v>
                </c:pt>
                <c:pt idx="92">
                  <c:v>350.51</c:v>
                </c:pt>
                <c:pt idx="93">
                  <c:v>384.89</c:v>
                </c:pt>
                <c:pt idx="94">
                  <c:v>383</c:v>
                </c:pt>
                <c:pt idx="95">
                  <c:v>334.95</c:v>
                </c:pt>
                <c:pt idx="96">
                  <c:v>328</c:v>
                </c:pt>
                <c:pt idx="97">
                  <c:v>312.69</c:v>
                </c:pt>
                <c:pt idx="98">
                  <c:v>314.74</c:v>
                </c:pt>
                <c:pt idx="99">
                  <c:v>322.45</c:v>
                </c:pt>
                <c:pt idx="100">
                  <c:v>312.07</c:v>
                </c:pt>
                <c:pt idx="101">
                  <c:v>308.69</c:v>
                </c:pt>
                <c:pt idx="102">
                  <c:v>311</c:v>
                </c:pt>
                <c:pt idx="103">
                  <c:v>311.70999999999998</c:v>
                </c:pt>
                <c:pt idx="104">
                  <c:v>325.79000000000002</c:v>
                </c:pt>
                <c:pt idx="105">
                  <c:v>335.78</c:v>
                </c:pt>
                <c:pt idx="106">
                  <c:v>322.35000000000002</c:v>
                </c:pt>
                <c:pt idx="107">
                  <c:v>321.60000000000002</c:v>
                </c:pt>
                <c:pt idx="108">
                  <c:v>310.97000000000003</c:v>
                </c:pt>
                <c:pt idx="109">
                  <c:v>306.08</c:v>
                </c:pt>
                <c:pt idx="110">
                  <c:v>328.22</c:v>
                </c:pt>
                <c:pt idx="111">
                  <c:v>341.67</c:v>
                </c:pt>
                <c:pt idx="112">
                  <c:v>303.08999999999997</c:v>
                </c:pt>
                <c:pt idx="113">
                  <c:v>306.16000000000003</c:v>
                </c:pt>
                <c:pt idx="114">
                  <c:v>310.41000000000003</c:v>
                </c:pt>
                <c:pt idx="115">
                  <c:v>307.22000000000003</c:v>
                </c:pt>
                <c:pt idx="116">
                  <c:v>322.17</c:v>
                </c:pt>
                <c:pt idx="117">
                  <c:v>330</c:v>
                </c:pt>
                <c:pt idx="118">
                  <c:v>324.58999999999997</c:v>
                </c:pt>
                <c:pt idx="119">
                  <c:v>299.33999999999997</c:v>
                </c:pt>
                <c:pt idx="120">
                  <c:v>279.66000000000003</c:v>
                </c:pt>
                <c:pt idx="121">
                  <c:v>276</c:v>
                </c:pt>
                <c:pt idx="122">
                  <c:v>293.64999999999998</c:v>
                </c:pt>
                <c:pt idx="123">
                  <c:v>308.91000000000003</c:v>
                </c:pt>
                <c:pt idx="124">
                  <c:v>336.67</c:v>
                </c:pt>
                <c:pt idx="125">
                  <c:v>332.48</c:v>
                </c:pt>
                <c:pt idx="126">
                  <c:v>361.52</c:v>
                </c:pt>
                <c:pt idx="127">
                  <c:v>366.59</c:v>
                </c:pt>
                <c:pt idx="128">
                  <c:v>304.8</c:v>
                </c:pt>
                <c:pt idx="129">
                  <c:v>355.42</c:v>
                </c:pt>
                <c:pt idx="130">
                  <c:v>380.87</c:v>
                </c:pt>
                <c:pt idx="131">
                  <c:v>407.52</c:v>
                </c:pt>
                <c:pt idx="132">
                  <c:v>405.12</c:v>
                </c:pt>
                <c:pt idx="133">
                  <c:v>429.54</c:v>
                </c:pt>
                <c:pt idx="134">
                  <c:v>455.32</c:v>
                </c:pt>
                <c:pt idx="135">
                  <c:v>437.95</c:v>
                </c:pt>
                <c:pt idx="136">
                  <c:v>437.41</c:v>
                </c:pt>
                <c:pt idx="137">
                  <c:v>419.43</c:v>
                </c:pt>
                <c:pt idx="138">
                  <c:v>417.47</c:v>
                </c:pt>
                <c:pt idx="139">
                  <c:v>461.7</c:v>
                </c:pt>
                <c:pt idx="140">
                  <c:v>337.96</c:v>
                </c:pt>
                <c:pt idx="141">
                  <c:v>300</c:v>
                </c:pt>
                <c:pt idx="142">
                  <c:v>337.62</c:v>
                </c:pt>
                <c:pt idx="143">
                  <c:v>377.25</c:v>
                </c:pt>
                <c:pt idx="144">
                  <c:v>389.01</c:v>
                </c:pt>
                <c:pt idx="145">
                  <c:v>403.22</c:v>
                </c:pt>
                <c:pt idx="146">
                  <c:v>378.69</c:v>
                </c:pt>
                <c:pt idx="147">
                  <c:v>373.53</c:v>
                </c:pt>
                <c:pt idx="148">
                  <c:v>340.56</c:v>
                </c:pt>
                <c:pt idx="149">
                  <c:v>245.72</c:v>
                </c:pt>
                <c:pt idx="150">
                  <c:v>262.77999999999997</c:v>
                </c:pt>
                <c:pt idx="151">
                  <c:v>200.37</c:v>
                </c:pt>
                <c:pt idx="152">
                  <c:v>195.24</c:v>
                </c:pt>
                <c:pt idx="153">
                  <c:v>203.1</c:v>
                </c:pt>
                <c:pt idx="154">
                  <c:v>167.64</c:v>
                </c:pt>
                <c:pt idx="155">
                  <c:v>186.05</c:v>
                </c:pt>
                <c:pt idx="156">
                  <c:v>171.48</c:v>
                </c:pt>
                <c:pt idx="157">
                  <c:v>184.46</c:v>
                </c:pt>
                <c:pt idx="158">
                  <c:v>199.01</c:v>
                </c:pt>
                <c:pt idx="159">
                  <c:v>194.74</c:v>
                </c:pt>
                <c:pt idx="160">
                  <c:v>152.09</c:v>
                </c:pt>
                <c:pt idx="161">
                  <c:v>139.61000000000001</c:v>
                </c:pt>
                <c:pt idx="162">
                  <c:v>139.07</c:v>
                </c:pt>
                <c:pt idx="163">
                  <c:v>135.69999999999999</c:v>
                </c:pt>
                <c:pt idx="164">
                  <c:v>141.80000000000001</c:v>
                </c:pt>
                <c:pt idx="165">
                  <c:v>145.6</c:v>
                </c:pt>
                <c:pt idx="166">
                  <c:v>148.43</c:v>
                </c:pt>
                <c:pt idx="167">
                  <c:v>155.75</c:v>
                </c:pt>
                <c:pt idx="168">
                  <c:v>138.76</c:v>
                </c:pt>
                <c:pt idx="169">
                  <c:v>135.6</c:v>
                </c:pt>
                <c:pt idx="170">
                  <c:v>133</c:v>
                </c:pt>
                <c:pt idx="171">
                  <c:v>136.88999999999999</c:v>
                </c:pt>
                <c:pt idx="172">
                  <c:v>126.31</c:v>
                </c:pt>
                <c:pt idx="173">
                  <c:v>144.49</c:v>
                </c:pt>
                <c:pt idx="174">
                  <c:v>158.56</c:v>
                </c:pt>
                <c:pt idx="175">
                  <c:v>141.57</c:v>
                </c:pt>
                <c:pt idx="176">
                  <c:v>86.08</c:v>
                </c:pt>
                <c:pt idx="177">
                  <c:v>85.36</c:v>
                </c:pt>
                <c:pt idx="178">
                  <c:v>88.52</c:v>
                </c:pt>
                <c:pt idx="179">
                  <c:v>89.1</c:v>
                </c:pt>
                <c:pt idx="180">
                  <c:v>87.98</c:v>
                </c:pt>
                <c:pt idx="181">
                  <c:v>87.29</c:v>
                </c:pt>
                <c:pt idx="182">
                  <c:v>83.1</c:v>
                </c:pt>
                <c:pt idx="183">
                  <c:v>82.94</c:v>
                </c:pt>
                <c:pt idx="184">
                  <c:v>80.569999999999993</c:v>
                </c:pt>
                <c:pt idx="185">
                  <c:v>80</c:v>
                </c:pt>
                <c:pt idx="186">
                  <c:v>83.83</c:v>
                </c:pt>
                <c:pt idx="187">
                  <c:v>79.91</c:v>
                </c:pt>
                <c:pt idx="188">
                  <c:v>77.31</c:v>
                </c:pt>
                <c:pt idx="189">
                  <c:v>71.14</c:v>
                </c:pt>
                <c:pt idx="190">
                  <c:v>70.760000000000005</c:v>
                </c:pt>
                <c:pt idx="191">
                  <c:v>68.010000000000005</c:v>
                </c:pt>
                <c:pt idx="192">
                  <c:v>2.8799999999999999E-2</c:v>
                </c:pt>
                <c:pt idx="193">
                  <c:v>3.1E-2</c:v>
                </c:pt>
                <c:pt idx="194">
                  <c:v>3.0599999999999999E-2</c:v>
                </c:pt>
                <c:pt idx="195">
                  <c:v>3.0700000000000002E-2</c:v>
                </c:pt>
                <c:pt idx="196">
                  <c:v>3.39E-2</c:v>
                </c:pt>
                <c:pt idx="197">
                  <c:v>3.6299999999999999E-2</c:v>
                </c:pt>
                <c:pt idx="198">
                  <c:v>3.2800000000000003E-2</c:v>
                </c:pt>
                <c:pt idx="199">
                  <c:v>3.4200000000000001E-2</c:v>
                </c:pt>
                <c:pt idx="200">
                  <c:v>3.6799999999999999E-2</c:v>
                </c:pt>
                <c:pt idx="201">
                  <c:v>3.5299999999999998E-2</c:v>
                </c:pt>
                <c:pt idx="202">
                  <c:v>3.3599999999999998E-2</c:v>
                </c:pt>
                <c:pt idx="203">
                  <c:v>3.3399999999999999E-2</c:v>
                </c:pt>
                <c:pt idx="204">
                  <c:v>3.8100000000000002E-2</c:v>
                </c:pt>
                <c:pt idx="205">
                  <c:v>4.2200000000000001E-2</c:v>
                </c:pt>
                <c:pt idx="206">
                  <c:v>3.32E-2</c:v>
                </c:pt>
                <c:pt idx="207">
                  <c:v>3.1800000000000002E-2</c:v>
                </c:pt>
                <c:pt idx="208">
                  <c:v>2.7199999999999998E-2</c:v>
                </c:pt>
                <c:pt idx="209">
                  <c:v>2.63E-2</c:v>
                </c:pt>
                <c:pt idx="210">
                  <c:v>2.7400000000000001E-2</c:v>
                </c:pt>
                <c:pt idx="211">
                  <c:v>2.5899999999999999E-2</c:v>
                </c:pt>
                <c:pt idx="212">
                  <c:v>2.5999999999999999E-2</c:v>
                </c:pt>
                <c:pt idx="213">
                  <c:v>2.4400000000000002E-2</c:v>
                </c:pt>
                <c:pt idx="214">
                  <c:v>2.3099999999999999E-2</c:v>
                </c:pt>
                <c:pt idx="215">
                  <c:v>2.18E-2</c:v>
                </c:pt>
                <c:pt idx="216">
                  <c:v>2.1899999999999999E-2</c:v>
                </c:pt>
                <c:pt idx="217">
                  <c:v>2.4500000000000001E-2</c:v>
                </c:pt>
                <c:pt idx="218">
                  <c:v>2.4400000000000002E-2</c:v>
                </c:pt>
                <c:pt idx="219">
                  <c:v>2.2599999999999999E-2</c:v>
                </c:pt>
                <c:pt idx="220">
                  <c:v>2.3400000000000001E-2</c:v>
                </c:pt>
                <c:pt idx="221">
                  <c:v>2.9399999999999999E-2</c:v>
                </c:pt>
                <c:pt idx="222">
                  <c:v>2.9899999999999999E-2</c:v>
                </c:pt>
                <c:pt idx="223">
                  <c:v>3.1E-2</c:v>
                </c:pt>
                <c:pt idx="224">
                  <c:v>3.3799999999999997E-2</c:v>
                </c:pt>
                <c:pt idx="225">
                  <c:v>3.4099999999999998E-2</c:v>
                </c:pt>
                <c:pt idx="226">
                  <c:v>3.5200000000000002E-2</c:v>
                </c:pt>
                <c:pt idx="227">
                  <c:v>3.39E-2</c:v>
                </c:pt>
                <c:pt idx="228">
                  <c:v>3.32E-2</c:v>
                </c:pt>
                <c:pt idx="229">
                  <c:v>3.1099999999999999E-2</c:v>
                </c:pt>
                <c:pt idx="230">
                  <c:v>3.27E-2</c:v>
                </c:pt>
                <c:pt idx="231">
                  <c:v>3.4500000000000003E-2</c:v>
                </c:pt>
                <c:pt idx="232">
                  <c:v>3.9199999999999999E-2</c:v>
                </c:pt>
                <c:pt idx="233">
                  <c:v>3.6299999999999999E-2</c:v>
                </c:pt>
                <c:pt idx="234">
                  <c:v>3.8399999999999997E-2</c:v>
                </c:pt>
                <c:pt idx="235">
                  <c:v>4.1599999999999998E-2</c:v>
                </c:pt>
                <c:pt idx="236">
                  <c:v>4.1300000000000003E-2</c:v>
                </c:pt>
                <c:pt idx="237">
                  <c:v>4.3400000000000001E-2</c:v>
                </c:pt>
                <c:pt idx="238">
                  <c:v>4.9299999999999997E-2</c:v>
                </c:pt>
                <c:pt idx="239">
                  <c:v>4.6199999999999998E-2</c:v>
                </c:pt>
                <c:pt idx="240">
                  <c:v>4.2700000000000002E-2</c:v>
                </c:pt>
                <c:pt idx="241">
                  <c:v>4.36E-2</c:v>
                </c:pt>
                <c:pt idx="242">
                  <c:v>4.0500000000000001E-2</c:v>
                </c:pt>
                <c:pt idx="243">
                  <c:v>3.9399999999999998E-2</c:v>
                </c:pt>
                <c:pt idx="244">
                  <c:v>4.2500000000000003E-2</c:v>
                </c:pt>
                <c:pt idx="245">
                  <c:v>5.11E-2</c:v>
                </c:pt>
                <c:pt idx="246">
                  <c:v>4.9299999999999997E-2</c:v>
                </c:pt>
                <c:pt idx="247">
                  <c:v>4.3900000000000002E-2</c:v>
                </c:pt>
                <c:pt idx="248">
                  <c:v>4.4900000000000002E-2</c:v>
                </c:pt>
                <c:pt idx="249">
                  <c:v>3.8600000000000002E-2</c:v>
                </c:pt>
                <c:pt idx="250">
                  <c:v>5.3100000000000001E-2</c:v>
                </c:pt>
                <c:pt idx="251">
                  <c:v>4.0099999999999997E-2</c:v>
                </c:pt>
                <c:pt idx="252">
                  <c:v>4.7600000000000003E-2</c:v>
                </c:pt>
                <c:pt idx="253">
                  <c:v>4.0399999999999998E-2</c:v>
                </c:pt>
                <c:pt idx="254">
                  <c:v>7.0400000000000004E-2</c:v>
                </c:pt>
                <c:pt idx="255">
                  <c:v>6.6699999999999995E-2</c:v>
                </c:pt>
                <c:pt idx="256">
                  <c:v>7.4999999999999997E-2</c:v>
                </c:pt>
                <c:pt idx="257">
                  <c:v>7.3099999999999998E-2</c:v>
                </c:pt>
                <c:pt idx="258">
                  <c:v>8.09E-2</c:v>
                </c:pt>
                <c:pt idx="259">
                  <c:v>7.5700000000000003E-2</c:v>
                </c:pt>
                <c:pt idx="260">
                  <c:v>7.4899999999999994E-2</c:v>
                </c:pt>
                <c:pt idx="261">
                  <c:v>0.09</c:v>
                </c:pt>
                <c:pt idx="262">
                  <c:v>8.6199999999999999E-2</c:v>
                </c:pt>
                <c:pt idx="263">
                  <c:v>9.9299999999999999E-2</c:v>
                </c:pt>
                <c:pt idx="264">
                  <c:v>0.10100000000000001</c:v>
                </c:pt>
                <c:pt idx="265">
                  <c:v>9.9500000000000005E-2</c:v>
                </c:pt>
                <c:pt idx="266">
                  <c:v>0.10290000000000001</c:v>
                </c:pt>
                <c:pt idx="267">
                  <c:v>0.11070000000000001</c:v>
                </c:pt>
                <c:pt idx="268">
                  <c:v>0.1042</c:v>
                </c:pt>
                <c:pt idx="269">
                  <c:v>0.1225</c:v>
                </c:pt>
                <c:pt idx="270">
                  <c:v>0.1244</c:v>
                </c:pt>
                <c:pt idx="271">
                  <c:v>0.1135</c:v>
                </c:pt>
                <c:pt idx="272">
                  <c:v>0.1062</c:v>
                </c:pt>
                <c:pt idx="273">
                  <c:v>0.1022</c:v>
                </c:pt>
                <c:pt idx="274">
                  <c:v>9.1800000000000007E-2</c:v>
                </c:pt>
                <c:pt idx="275">
                  <c:v>9.1200000000000003E-2</c:v>
                </c:pt>
                <c:pt idx="276">
                  <c:v>8.7300000000000003E-2</c:v>
                </c:pt>
                <c:pt idx="277">
                  <c:v>7.4300000000000005E-2</c:v>
                </c:pt>
                <c:pt idx="278">
                  <c:v>7.3800000000000004E-2</c:v>
                </c:pt>
                <c:pt idx="279">
                  <c:v>8.1100000000000005E-2</c:v>
                </c:pt>
                <c:pt idx="280">
                  <c:v>9.01E-2</c:v>
                </c:pt>
                <c:pt idx="281">
                  <c:v>9.1399999999999995E-2</c:v>
                </c:pt>
                <c:pt idx="282">
                  <c:v>9.9299999999999999E-2</c:v>
                </c:pt>
                <c:pt idx="283">
                  <c:v>9.6199999999999994E-2</c:v>
                </c:pt>
                <c:pt idx="284">
                  <c:v>0.1066</c:v>
                </c:pt>
                <c:pt idx="285">
                  <c:v>0.12280000000000001</c:v>
                </c:pt>
                <c:pt idx="286">
                  <c:v>0.1241</c:v>
                </c:pt>
                <c:pt idx="287">
                  <c:v>0.13420000000000001</c:v>
                </c:pt>
                <c:pt idx="288">
                  <c:v>0.13070000000000001</c:v>
                </c:pt>
                <c:pt idx="289">
                  <c:v>0.13600000000000001</c:v>
                </c:pt>
                <c:pt idx="290">
                  <c:v>0.14149999999999999</c:v>
                </c:pt>
                <c:pt idx="291">
                  <c:v>0.1489</c:v>
                </c:pt>
                <c:pt idx="292">
                  <c:v>0.14330000000000001</c:v>
                </c:pt>
                <c:pt idx="293">
                  <c:v>0.13270000000000001</c:v>
                </c:pt>
                <c:pt idx="294">
                  <c:v>0.1193</c:v>
                </c:pt>
                <c:pt idx="295">
                  <c:v>0.11</c:v>
                </c:pt>
                <c:pt idx="296">
                  <c:v>0.1283</c:v>
                </c:pt>
                <c:pt idx="297">
                  <c:v>0.13020000000000001</c:v>
                </c:pt>
                <c:pt idx="298">
                  <c:v>0.13139999999999999</c:v>
                </c:pt>
                <c:pt idx="299">
                  <c:v>0.1242</c:v>
                </c:pt>
                <c:pt idx="300">
                  <c:v>0.13969999999999999</c:v>
                </c:pt>
                <c:pt idx="301">
                  <c:v>0.13539999999999999</c:v>
                </c:pt>
                <c:pt idx="302">
                  <c:v>0.13830000000000001</c:v>
                </c:pt>
                <c:pt idx="303">
                  <c:v>0.1452</c:v>
                </c:pt>
                <c:pt idx="304">
                  <c:v>0.1434</c:v>
                </c:pt>
                <c:pt idx="305">
                  <c:v>0.1454</c:v>
                </c:pt>
                <c:pt idx="306">
                  <c:v>0.13830000000000001</c:v>
                </c:pt>
                <c:pt idx="307">
                  <c:v>0.13059999999999999</c:v>
                </c:pt>
                <c:pt idx="308">
                  <c:v>0.115</c:v>
                </c:pt>
                <c:pt idx="309">
                  <c:v>0.12130000000000001</c:v>
                </c:pt>
                <c:pt idx="310">
                  <c:v>0.13039999999999999</c:v>
                </c:pt>
                <c:pt idx="311">
                  <c:v>0.1409</c:v>
                </c:pt>
                <c:pt idx="312">
                  <c:v>0.16919999999999999</c:v>
                </c:pt>
                <c:pt idx="313">
                  <c:v>0.15590000000000001</c:v>
                </c:pt>
                <c:pt idx="314">
                  <c:v>0.16850000000000001</c:v>
                </c:pt>
                <c:pt idx="315">
                  <c:v>0.2054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56-4B9C-BD15-06D4B794436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-44.326042567261666</c:v>
                </c:pt>
                <c:pt idx="1">
                  <c:v>-44.326030054661665</c:v>
                </c:pt>
                <c:pt idx="2">
                  <c:v>-44.325945722587463</c:v>
                </c:pt>
                <c:pt idx="3">
                  <c:v>-44.325882432743114</c:v>
                </c:pt>
                <c:pt idx="4">
                  <c:v>-44.326021927037061</c:v>
                </c:pt>
                <c:pt idx="5">
                  <c:v>-44.326151054320846</c:v>
                </c:pt>
                <c:pt idx="6">
                  <c:v>-44.32625326814965</c:v>
                </c:pt>
                <c:pt idx="7">
                  <c:v>-44.326111157753402</c:v>
                </c:pt>
                <c:pt idx="8">
                  <c:v>-44.325995919247426</c:v>
                </c:pt>
                <c:pt idx="9">
                  <c:v>-44.32604191562168</c:v>
                </c:pt>
                <c:pt idx="10">
                  <c:v>-44.325980333654478</c:v>
                </c:pt>
                <c:pt idx="11">
                  <c:v>-44.32586317637616</c:v>
                </c:pt>
                <c:pt idx="12">
                  <c:v>-44.325938364230389</c:v>
                </c:pt>
                <c:pt idx="13">
                  <c:v>-44.325882922909869</c:v>
                </c:pt>
                <c:pt idx="14">
                  <c:v>-44.32596600478341</c:v>
                </c:pt>
                <c:pt idx="15">
                  <c:v>-44.325978476323847</c:v>
                </c:pt>
                <c:pt idx="16">
                  <c:v>-44.32601483956212</c:v>
                </c:pt>
                <c:pt idx="17">
                  <c:v>-44.326282859900168</c:v>
                </c:pt>
                <c:pt idx="18">
                  <c:v>-44.326354529305746</c:v>
                </c:pt>
                <c:pt idx="19">
                  <c:v>-44.326309484864055</c:v>
                </c:pt>
                <c:pt idx="20">
                  <c:v>-44.326268864484625</c:v>
                </c:pt>
                <c:pt idx="21">
                  <c:v>-44.32613296573296</c:v>
                </c:pt>
                <c:pt idx="22">
                  <c:v>-44.3263705292566</c:v>
                </c:pt>
                <c:pt idx="23">
                  <c:v>-44.3263255897702</c:v>
                </c:pt>
                <c:pt idx="24">
                  <c:v>-44.326178720592949</c:v>
                </c:pt>
                <c:pt idx="25">
                  <c:v>-44.326275468291598</c:v>
                </c:pt>
                <c:pt idx="26">
                  <c:v>-44.326005795090801</c:v>
                </c:pt>
                <c:pt idx="27">
                  <c:v>-44.326488227046241</c:v>
                </c:pt>
                <c:pt idx="28">
                  <c:v>-44.326526247688108</c:v>
                </c:pt>
                <c:pt idx="29">
                  <c:v>-44.326526917010852</c:v>
                </c:pt>
                <c:pt idx="30">
                  <c:v>-44.326497407160744</c:v>
                </c:pt>
                <c:pt idx="31">
                  <c:v>-44.326466212196912</c:v>
                </c:pt>
                <c:pt idx="32">
                  <c:v>-44.32641805622368</c:v>
                </c:pt>
                <c:pt idx="33">
                  <c:v>-44.326406836805909</c:v>
                </c:pt>
                <c:pt idx="34">
                  <c:v>-44.32640041835031</c:v>
                </c:pt>
                <c:pt idx="35">
                  <c:v>-44.32635681379692</c:v>
                </c:pt>
                <c:pt idx="36">
                  <c:v>-44.326414464890611</c:v>
                </c:pt>
                <c:pt idx="37">
                  <c:v>-44.326317864960274</c:v>
                </c:pt>
                <c:pt idx="38">
                  <c:v>-44.326414152554818</c:v>
                </c:pt>
                <c:pt idx="39">
                  <c:v>-44.326446043525074</c:v>
                </c:pt>
                <c:pt idx="40">
                  <c:v>-44.326273378822691</c:v>
                </c:pt>
                <c:pt idx="41">
                  <c:v>-44.326386818687013</c:v>
                </c:pt>
                <c:pt idx="42">
                  <c:v>-44.326348376364095</c:v>
                </c:pt>
                <c:pt idx="43">
                  <c:v>-44.326107531559209</c:v>
                </c:pt>
                <c:pt idx="44">
                  <c:v>-44.326150490738399</c:v>
                </c:pt>
                <c:pt idx="45">
                  <c:v>-44.326144416873355</c:v>
                </c:pt>
                <c:pt idx="46">
                  <c:v>-44.326082662716715</c:v>
                </c:pt>
                <c:pt idx="47">
                  <c:v>-44.326061814589529</c:v>
                </c:pt>
                <c:pt idx="48">
                  <c:v>-44.326062257059327</c:v>
                </c:pt>
                <c:pt idx="49">
                  <c:v>-44.326050450385218</c:v>
                </c:pt>
                <c:pt idx="50">
                  <c:v>-44.325999088983622</c:v>
                </c:pt>
                <c:pt idx="51">
                  <c:v>-44.326013682922245</c:v>
                </c:pt>
                <c:pt idx="52">
                  <c:v>-44.326015259117597</c:v>
                </c:pt>
                <c:pt idx="53">
                  <c:v>-44.325923827588745</c:v>
                </c:pt>
                <c:pt idx="54">
                  <c:v>-44.326049127285259</c:v>
                </c:pt>
                <c:pt idx="55">
                  <c:v>-44.326054510117132</c:v>
                </c:pt>
                <c:pt idx="56">
                  <c:v>-44.326045673407435</c:v>
                </c:pt>
                <c:pt idx="57">
                  <c:v>-44.326009237947716</c:v>
                </c:pt>
                <c:pt idx="58">
                  <c:v>-44.325968706632786</c:v>
                </c:pt>
                <c:pt idx="59">
                  <c:v>-44.325955992748462</c:v>
                </c:pt>
                <c:pt idx="60">
                  <c:v>-44.32590925272283</c:v>
                </c:pt>
                <c:pt idx="61">
                  <c:v>-44.325936706945335</c:v>
                </c:pt>
                <c:pt idx="62">
                  <c:v>-44.325883101310446</c:v>
                </c:pt>
                <c:pt idx="63">
                  <c:v>-44.325773324807329</c:v>
                </c:pt>
                <c:pt idx="64">
                  <c:v>-44.325730060397532</c:v>
                </c:pt>
                <c:pt idx="65">
                  <c:v>-44.325735130803338</c:v>
                </c:pt>
                <c:pt idx="66">
                  <c:v>-44.325715166318886</c:v>
                </c:pt>
                <c:pt idx="67">
                  <c:v>-44.325389642290965</c:v>
                </c:pt>
                <c:pt idx="68">
                  <c:v>-44.325445626374659</c:v>
                </c:pt>
                <c:pt idx="69">
                  <c:v>-44.325440385027811</c:v>
                </c:pt>
                <c:pt idx="70">
                  <c:v>-44.325445495669769</c:v>
                </c:pt>
                <c:pt idx="71">
                  <c:v>-44.325383451644051</c:v>
                </c:pt>
                <c:pt idx="72">
                  <c:v>-44.325346048932019</c:v>
                </c:pt>
                <c:pt idx="73">
                  <c:v>-44.325255771984303</c:v>
                </c:pt>
                <c:pt idx="74">
                  <c:v>-44.325172003518631</c:v>
                </c:pt>
                <c:pt idx="75">
                  <c:v>-44.325208017785563</c:v>
                </c:pt>
                <c:pt idx="76">
                  <c:v>-44.324823529215017</c:v>
                </c:pt>
                <c:pt idx="77">
                  <c:v>-44.325021122075881</c:v>
                </c:pt>
                <c:pt idx="78">
                  <c:v>-44.324415844794835</c:v>
                </c:pt>
                <c:pt idx="79">
                  <c:v>-44.325201020387794</c:v>
                </c:pt>
                <c:pt idx="80">
                  <c:v>-44.326071077312136</c:v>
                </c:pt>
                <c:pt idx="81">
                  <c:v>-44.326172484633332</c:v>
                </c:pt>
                <c:pt idx="82">
                  <c:v>-44.326126144365574</c:v>
                </c:pt>
                <c:pt idx="83">
                  <c:v>-44.326148557619305</c:v>
                </c:pt>
                <c:pt idx="84">
                  <c:v>-44.326141432568946</c:v>
                </c:pt>
                <c:pt idx="85">
                  <c:v>-44.326109444958149</c:v>
                </c:pt>
                <c:pt idx="86">
                  <c:v>-44.326099301599541</c:v>
                </c:pt>
                <c:pt idx="87">
                  <c:v>-44.326100537328891</c:v>
                </c:pt>
                <c:pt idx="88">
                  <c:v>-44.326100898841709</c:v>
                </c:pt>
                <c:pt idx="89">
                  <c:v>-44.326101313066744</c:v>
                </c:pt>
                <c:pt idx="90">
                  <c:v>-44.326092718709575</c:v>
                </c:pt>
                <c:pt idx="91">
                  <c:v>-44.326093902274742</c:v>
                </c:pt>
                <c:pt idx="92">
                  <c:v>-44.326130243969587</c:v>
                </c:pt>
                <c:pt idx="93">
                  <c:v>-44.326067373272693</c:v>
                </c:pt>
                <c:pt idx="94">
                  <c:v>-44.325939924810868</c:v>
                </c:pt>
                <c:pt idx="95">
                  <c:v>-44.325863235816499</c:v>
                </c:pt>
                <c:pt idx="96">
                  <c:v>-44.325841859805699</c:v>
                </c:pt>
                <c:pt idx="97">
                  <c:v>-44.325835842055376</c:v>
                </c:pt>
                <c:pt idx="98">
                  <c:v>-44.325824051241476</c:v>
                </c:pt>
                <c:pt idx="99">
                  <c:v>-44.325798060544976</c:v>
                </c:pt>
                <c:pt idx="100">
                  <c:v>-44.3258271437264</c:v>
                </c:pt>
                <c:pt idx="101">
                  <c:v>-44.325837303657366</c:v>
                </c:pt>
                <c:pt idx="102">
                  <c:v>-44.325833846383567</c:v>
                </c:pt>
                <c:pt idx="103">
                  <c:v>-44.325837257557744</c:v>
                </c:pt>
                <c:pt idx="104">
                  <c:v>-44.325814209189957</c:v>
                </c:pt>
                <c:pt idx="105">
                  <c:v>-44.325797078270924</c:v>
                </c:pt>
                <c:pt idx="106">
                  <c:v>-44.325811119192466</c:v>
                </c:pt>
                <c:pt idx="107">
                  <c:v>-44.325827263103818</c:v>
                </c:pt>
                <c:pt idx="108">
                  <c:v>-44.325858970455819</c:v>
                </c:pt>
                <c:pt idx="109">
                  <c:v>-44.325848393180308</c:v>
                </c:pt>
                <c:pt idx="110">
                  <c:v>-44.325806566081312</c:v>
                </c:pt>
                <c:pt idx="111">
                  <c:v>-44.325776384807398</c:v>
                </c:pt>
                <c:pt idx="112">
                  <c:v>-44.325795531863619</c:v>
                </c:pt>
                <c:pt idx="113">
                  <c:v>-44.325789112145166</c:v>
                </c:pt>
                <c:pt idx="114">
                  <c:v>-44.325796738617704</c:v>
                </c:pt>
                <c:pt idx="115">
                  <c:v>-44.325808618206814</c:v>
                </c:pt>
                <c:pt idx="116">
                  <c:v>-44.325797389176586</c:v>
                </c:pt>
                <c:pt idx="117">
                  <c:v>-44.325785264421675</c:v>
                </c:pt>
                <c:pt idx="118">
                  <c:v>-44.325765601304788</c:v>
                </c:pt>
                <c:pt idx="119">
                  <c:v>-44.325810000545125</c:v>
                </c:pt>
                <c:pt idx="120">
                  <c:v>-44.325772070163289</c:v>
                </c:pt>
                <c:pt idx="121">
                  <c:v>-44.325772070163289</c:v>
                </c:pt>
                <c:pt idx="122">
                  <c:v>-44.325725126363288</c:v>
                </c:pt>
                <c:pt idx="123">
                  <c:v>-44.325675059937396</c:v>
                </c:pt>
                <c:pt idx="124">
                  <c:v>-44.325647950109094</c:v>
                </c:pt>
                <c:pt idx="125">
                  <c:v>-44.325648556908213</c:v>
                </c:pt>
                <c:pt idx="126">
                  <c:v>-44.325630910381129</c:v>
                </c:pt>
                <c:pt idx="127">
                  <c:v>-44.325623444879788</c:v>
                </c:pt>
                <c:pt idx="128">
                  <c:v>-44.325736097287354</c:v>
                </c:pt>
                <c:pt idx="129">
                  <c:v>-44.325660601736189</c:v>
                </c:pt>
                <c:pt idx="130">
                  <c:v>-44.325645641392839</c:v>
                </c:pt>
                <c:pt idx="131">
                  <c:v>-44.325612778757019</c:v>
                </c:pt>
                <c:pt idx="132">
                  <c:v>-44.325618721367029</c:v>
                </c:pt>
                <c:pt idx="133">
                  <c:v>-44.325590600162563</c:v>
                </c:pt>
                <c:pt idx="134">
                  <c:v>-44.325513718029356</c:v>
                </c:pt>
                <c:pt idx="135">
                  <c:v>-44.325533451113778</c:v>
                </c:pt>
                <c:pt idx="136">
                  <c:v>-44.325497876931664</c:v>
                </c:pt>
                <c:pt idx="137">
                  <c:v>-44.325580735475768</c:v>
                </c:pt>
                <c:pt idx="138">
                  <c:v>-44.325514835977806</c:v>
                </c:pt>
                <c:pt idx="139">
                  <c:v>-44.325246063183855</c:v>
                </c:pt>
                <c:pt idx="140">
                  <c:v>-44.325488266722978</c:v>
                </c:pt>
                <c:pt idx="141">
                  <c:v>-44.32553175717068</c:v>
                </c:pt>
                <c:pt idx="142">
                  <c:v>-44.325464985595858</c:v>
                </c:pt>
                <c:pt idx="143">
                  <c:v>-44.325557959494404</c:v>
                </c:pt>
                <c:pt idx="144">
                  <c:v>-44.325492383787982</c:v>
                </c:pt>
                <c:pt idx="145">
                  <c:v>-44.325444268368749</c:v>
                </c:pt>
                <c:pt idx="146">
                  <c:v>-44.325437153050579</c:v>
                </c:pt>
                <c:pt idx="147">
                  <c:v>-44.325284029938473</c:v>
                </c:pt>
                <c:pt idx="148">
                  <c:v>-44.324883170697703</c:v>
                </c:pt>
                <c:pt idx="149">
                  <c:v>-44.325186044515952</c:v>
                </c:pt>
                <c:pt idx="150">
                  <c:v>-44.325045301661653</c:v>
                </c:pt>
                <c:pt idx="151">
                  <c:v>-44.325277957570179</c:v>
                </c:pt>
                <c:pt idx="152">
                  <c:v>-44.325204782956902</c:v>
                </c:pt>
                <c:pt idx="153">
                  <c:v>-44.324986341134888</c:v>
                </c:pt>
                <c:pt idx="154">
                  <c:v>-44.325040739035302</c:v>
                </c:pt>
                <c:pt idx="155">
                  <c:v>-44.324989719868896</c:v>
                </c:pt>
                <c:pt idx="156">
                  <c:v>-44.325068510439245</c:v>
                </c:pt>
                <c:pt idx="157">
                  <c:v>-44.324957394961046</c:v>
                </c:pt>
                <c:pt idx="158">
                  <c:v>-44.324875357935092</c:v>
                </c:pt>
                <c:pt idx="159">
                  <c:v>-44.324966087213177</c:v>
                </c:pt>
                <c:pt idx="160">
                  <c:v>-44.325118252906847</c:v>
                </c:pt>
                <c:pt idx="161">
                  <c:v>-44.325160290829452</c:v>
                </c:pt>
                <c:pt idx="162">
                  <c:v>-44.325184756188527</c:v>
                </c:pt>
                <c:pt idx="163">
                  <c:v>-44.32516112893213</c:v>
                </c:pt>
                <c:pt idx="164">
                  <c:v>-44.325098270737065</c:v>
                </c:pt>
                <c:pt idx="165">
                  <c:v>-44.324999627701629</c:v>
                </c:pt>
                <c:pt idx="166">
                  <c:v>-44.324990866382606</c:v>
                </c:pt>
                <c:pt idx="167">
                  <c:v>-44.324956367584761</c:v>
                </c:pt>
                <c:pt idx="168">
                  <c:v>-44.324937272763989</c:v>
                </c:pt>
                <c:pt idx="169">
                  <c:v>-44.324971506793368</c:v>
                </c:pt>
                <c:pt idx="170">
                  <c:v>-44.324735421193267</c:v>
                </c:pt>
                <c:pt idx="171">
                  <c:v>-44.324662261055899</c:v>
                </c:pt>
                <c:pt idx="172">
                  <c:v>-44.32473064595716</c:v>
                </c:pt>
                <c:pt idx="173">
                  <c:v>-44.324524766866084</c:v>
                </c:pt>
                <c:pt idx="174">
                  <c:v>-44.32431724007953</c:v>
                </c:pt>
                <c:pt idx="175">
                  <c:v>-44.323012798196288</c:v>
                </c:pt>
                <c:pt idx="176">
                  <c:v>-44.322435326221296</c:v>
                </c:pt>
                <c:pt idx="177">
                  <c:v>-44.322423231963121</c:v>
                </c:pt>
                <c:pt idx="178">
                  <c:v>-44.322423580948339</c:v>
                </c:pt>
                <c:pt idx="179">
                  <c:v>-44.322423757605172</c:v>
                </c:pt>
                <c:pt idx="180">
                  <c:v>-44.322437262690379</c:v>
                </c:pt>
                <c:pt idx="181">
                  <c:v>-44.322432011250385</c:v>
                </c:pt>
                <c:pt idx="182">
                  <c:v>-44.322465064136487</c:v>
                </c:pt>
                <c:pt idx="183">
                  <c:v>-44.322469991649498</c:v>
                </c:pt>
                <c:pt idx="184">
                  <c:v>-44.32247851299482</c:v>
                </c:pt>
                <c:pt idx="185">
                  <c:v>-44.322452682794868</c:v>
                </c:pt>
                <c:pt idx="186">
                  <c:v>-44.322383161000836</c:v>
                </c:pt>
                <c:pt idx="187">
                  <c:v>-44.322410773396832</c:v>
                </c:pt>
                <c:pt idx="188">
                  <c:v>-44.322421826910215</c:v>
                </c:pt>
                <c:pt idx="189">
                  <c:v>-44.322441771383346</c:v>
                </c:pt>
                <c:pt idx="190">
                  <c:v>-44.322436404281</c:v>
                </c:pt>
                <c:pt idx="191">
                  <c:v>-44.322450665521941</c:v>
                </c:pt>
                <c:pt idx="192">
                  <c:v>-44.322455356777184</c:v>
                </c:pt>
                <c:pt idx="193">
                  <c:v>-43.860401101504451</c:v>
                </c:pt>
                <c:pt idx="194">
                  <c:v>-43.78420607406327</c:v>
                </c:pt>
                <c:pt idx="195">
                  <c:v>-42.796089068984323</c:v>
                </c:pt>
                <c:pt idx="196">
                  <c:v>-39.92137160847129</c:v>
                </c:pt>
                <c:pt idx="197">
                  <c:v>-33.439739991033584</c:v>
                </c:pt>
                <c:pt idx="198">
                  <c:v>-37.677031232403436</c:v>
                </c:pt>
                <c:pt idx="199">
                  <c:v>-37.258184790103442</c:v>
                </c:pt>
                <c:pt idx="200">
                  <c:v>-35.854000883589158</c:v>
                </c:pt>
                <c:pt idx="201">
                  <c:v>-35.086439196197269</c:v>
                </c:pt>
                <c:pt idx="202">
                  <c:v>-35.745095369597259</c:v>
                </c:pt>
                <c:pt idx="203">
                  <c:v>-35.989941252565671</c:v>
                </c:pt>
                <c:pt idx="204">
                  <c:v>-30.551258110649538</c:v>
                </c:pt>
                <c:pt idx="205">
                  <c:v>-23.862183834419309</c:v>
                </c:pt>
                <c:pt idx="206">
                  <c:v>-33.336164826195017</c:v>
                </c:pt>
                <c:pt idx="207">
                  <c:v>-36.065345214451938</c:v>
                </c:pt>
                <c:pt idx="208">
                  <c:v>-38.977162195009917</c:v>
                </c:pt>
                <c:pt idx="209">
                  <c:v>-39.561217704514675</c:v>
                </c:pt>
                <c:pt idx="210">
                  <c:v>-39.561217704514675</c:v>
                </c:pt>
                <c:pt idx="211">
                  <c:v>-42.257729121541345</c:v>
                </c:pt>
                <c:pt idx="212">
                  <c:v>-43.14744701044134</c:v>
                </c:pt>
                <c:pt idx="213">
                  <c:v>-42.850299458895392</c:v>
                </c:pt>
                <c:pt idx="214">
                  <c:v>-43.892011420875392</c:v>
                </c:pt>
                <c:pt idx="215">
                  <c:v>-45.039003329053173</c:v>
                </c:pt>
                <c:pt idx="216">
                  <c:v>-45.531924078580445</c:v>
                </c:pt>
                <c:pt idx="217">
                  <c:v>-44.098937597226389</c:v>
                </c:pt>
                <c:pt idx="218">
                  <c:v>-44.632441158726394</c:v>
                </c:pt>
                <c:pt idx="219">
                  <c:v>-45.737257491783154</c:v>
                </c:pt>
                <c:pt idx="220">
                  <c:v>-45.439515327886859</c:v>
                </c:pt>
                <c:pt idx="221">
                  <c:v>-42.829148588580885</c:v>
                </c:pt>
                <c:pt idx="222">
                  <c:v>-43.210337011391694</c:v>
                </c:pt>
                <c:pt idx="223">
                  <c:v>-41.792579897965609</c:v>
                </c:pt>
                <c:pt idx="224">
                  <c:v>-41.044485652614448</c:v>
                </c:pt>
                <c:pt idx="225">
                  <c:v>-40.372076416239445</c:v>
                </c:pt>
                <c:pt idx="226">
                  <c:v>-37.176360689589444</c:v>
                </c:pt>
                <c:pt idx="227">
                  <c:v>-38.878924281114458</c:v>
                </c:pt>
                <c:pt idx="228">
                  <c:v>-40.067667707842446</c:v>
                </c:pt>
                <c:pt idx="229">
                  <c:v>-40.811471849012669</c:v>
                </c:pt>
                <c:pt idx="230">
                  <c:v>-40.294600126271291</c:v>
                </c:pt>
                <c:pt idx="231">
                  <c:v>-38.60754595202684</c:v>
                </c:pt>
                <c:pt idx="232">
                  <c:v>-36.392405203392364</c:v>
                </c:pt>
                <c:pt idx="233">
                  <c:v>-38.663416033178073</c:v>
                </c:pt>
                <c:pt idx="234">
                  <c:v>-38.709057886145345</c:v>
                </c:pt>
                <c:pt idx="235">
                  <c:v>-36.996057138511013</c:v>
                </c:pt>
                <c:pt idx="236">
                  <c:v>-36.632221504225292</c:v>
                </c:pt>
                <c:pt idx="237">
                  <c:v>-35.620512484921726</c:v>
                </c:pt>
                <c:pt idx="238">
                  <c:v>-34.637813187072837</c:v>
                </c:pt>
                <c:pt idx="239">
                  <c:v>-36.277776731657454</c:v>
                </c:pt>
                <c:pt idx="240">
                  <c:v>-37.486811407939413</c:v>
                </c:pt>
                <c:pt idx="241">
                  <c:v>-37.268607382259418</c:v>
                </c:pt>
                <c:pt idx="242">
                  <c:v>-39.203210575853532</c:v>
                </c:pt>
                <c:pt idx="243">
                  <c:v>-39.803283491949536</c:v>
                </c:pt>
                <c:pt idx="244">
                  <c:v>-38.620302362082867</c:v>
                </c:pt>
                <c:pt idx="245">
                  <c:v>-36.466363639352778</c:v>
                </c:pt>
                <c:pt idx="246">
                  <c:v>-38.015017337804778</c:v>
                </c:pt>
                <c:pt idx="247">
                  <c:v>-40.366742453066799</c:v>
                </c:pt>
                <c:pt idx="248">
                  <c:v>-40.198210083917864</c:v>
                </c:pt>
                <c:pt idx="249">
                  <c:v>-45.501872321497281</c:v>
                </c:pt>
                <c:pt idx="250">
                  <c:v>-42.178572690325183</c:v>
                </c:pt>
                <c:pt idx="251">
                  <c:v>-50.53645868606462</c:v>
                </c:pt>
                <c:pt idx="252">
                  <c:v>-49.174649313931297</c:v>
                </c:pt>
                <c:pt idx="253">
                  <c:v>-51.969607006070426</c:v>
                </c:pt>
                <c:pt idx="254">
                  <c:v>-47.66192451792179</c:v>
                </c:pt>
                <c:pt idx="255">
                  <c:v>-48.556789650424399</c:v>
                </c:pt>
                <c:pt idx="256">
                  <c:v>-47.050279719338299</c:v>
                </c:pt>
                <c:pt idx="257">
                  <c:v>-45.877815930938304</c:v>
                </c:pt>
                <c:pt idx="258">
                  <c:v>-44.089412930503009</c:v>
                </c:pt>
                <c:pt idx="259">
                  <c:v>-44.274320818586027</c:v>
                </c:pt>
                <c:pt idx="260">
                  <c:v>-43.703654912362666</c:v>
                </c:pt>
                <c:pt idx="261">
                  <c:v>-41.269792904512208</c:v>
                </c:pt>
                <c:pt idx="262">
                  <c:v>-42.739899520039479</c:v>
                </c:pt>
                <c:pt idx="263">
                  <c:v>-41.853814026239476</c:v>
                </c:pt>
                <c:pt idx="264">
                  <c:v>-42.497394717981898</c:v>
                </c:pt>
                <c:pt idx="265">
                  <c:v>-41.825753199201472</c:v>
                </c:pt>
                <c:pt idx="266">
                  <c:v>-40.373277460153858</c:v>
                </c:pt>
                <c:pt idx="267">
                  <c:v>-36.971647662595792</c:v>
                </c:pt>
                <c:pt idx="268">
                  <c:v>-38.403487428652952</c:v>
                </c:pt>
                <c:pt idx="269">
                  <c:v>-32.54317074138843</c:v>
                </c:pt>
                <c:pt idx="270">
                  <c:v>-28.792020266123213</c:v>
                </c:pt>
                <c:pt idx="271">
                  <c:v>-34.376696356271545</c:v>
                </c:pt>
                <c:pt idx="272">
                  <c:v>-35.920478055341327</c:v>
                </c:pt>
                <c:pt idx="273">
                  <c:v>-33.577951826392365</c:v>
                </c:pt>
                <c:pt idx="274">
                  <c:v>-36.992136028340077</c:v>
                </c:pt>
                <c:pt idx="275">
                  <c:v>-38.574998098458011</c:v>
                </c:pt>
                <c:pt idx="276">
                  <c:v>-39.747526873850873</c:v>
                </c:pt>
                <c:pt idx="277">
                  <c:v>-40.290800146106022</c:v>
                </c:pt>
                <c:pt idx="278">
                  <c:v>-39.639677150592064</c:v>
                </c:pt>
                <c:pt idx="279">
                  <c:v>-38.729521532032663</c:v>
                </c:pt>
                <c:pt idx="280">
                  <c:v>-38.864763144497267</c:v>
                </c:pt>
                <c:pt idx="281">
                  <c:v>-36.58198335063976</c:v>
                </c:pt>
                <c:pt idx="282">
                  <c:v>-34.296701465662622</c:v>
                </c:pt>
                <c:pt idx="283">
                  <c:v>-35.102539788052816</c:v>
                </c:pt>
                <c:pt idx="284">
                  <c:v>-33.363385460564032</c:v>
                </c:pt>
                <c:pt idx="285">
                  <c:v>-32.837035963250585</c:v>
                </c:pt>
                <c:pt idx="286">
                  <c:v>-31.485949230421735</c:v>
                </c:pt>
                <c:pt idx="287">
                  <c:v>-30.91157505380907</c:v>
                </c:pt>
                <c:pt idx="288">
                  <c:v>-30.484788695484081</c:v>
                </c:pt>
                <c:pt idx="289">
                  <c:v>-30.613388540664506</c:v>
                </c:pt>
                <c:pt idx="290">
                  <c:v>-30.018422027850622</c:v>
                </c:pt>
                <c:pt idx="291">
                  <c:v>-28.039528700854873</c:v>
                </c:pt>
                <c:pt idx="292">
                  <c:v>-26.780141435534873</c:v>
                </c:pt>
                <c:pt idx="293">
                  <c:v>-23.186471059024857</c:v>
                </c:pt>
                <c:pt idx="294">
                  <c:v>-25.108929168651443</c:v>
                </c:pt>
                <c:pt idx="295">
                  <c:v>-26.135196524999476</c:v>
                </c:pt>
                <c:pt idx="296">
                  <c:v>-25.451623434774064</c:v>
                </c:pt>
                <c:pt idx="297">
                  <c:v>-24.941593899813746</c:v>
                </c:pt>
                <c:pt idx="298">
                  <c:v>-24.619860816059905</c:v>
                </c:pt>
                <c:pt idx="299">
                  <c:v>-25.12209889743432</c:v>
                </c:pt>
                <c:pt idx="300">
                  <c:v>-24.018258173498573</c:v>
                </c:pt>
                <c:pt idx="301">
                  <c:v>-23.699098252135158</c:v>
                </c:pt>
                <c:pt idx="302">
                  <c:v>-23.114853781905925</c:v>
                </c:pt>
                <c:pt idx="303">
                  <c:v>-22.845319278540707</c:v>
                </c:pt>
                <c:pt idx="304">
                  <c:v>-22.324547435937255</c:v>
                </c:pt>
                <c:pt idx="305">
                  <c:v>-21.528821771344234</c:v>
                </c:pt>
                <c:pt idx="306">
                  <c:v>-21.070579021951893</c:v>
                </c:pt>
                <c:pt idx="307">
                  <c:v>-21.688059252544861</c:v>
                </c:pt>
                <c:pt idx="308">
                  <c:v>-22.498202969414017</c:v>
                </c:pt>
                <c:pt idx="309">
                  <c:v>-21.691442305903422</c:v>
                </c:pt>
                <c:pt idx="310">
                  <c:v>-20.314720798608718</c:v>
                </c:pt>
                <c:pt idx="311">
                  <c:v>-19.118034889248715</c:v>
                </c:pt>
                <c:pt idx="312">
                  <c:v>-17.945867090055732</c:v>
                </c:pt>
                <c:pt idx="313">
                  <c:v>-18.411589296521871</c:v>
                </c:pt>
                <c:pt idx="314">
                  <c:v>-16.075487292079639</c:v>
                </c:pt>
                <c:pt idx="315">
                  <c:v>-12.338377500593925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56-4B9C-BD15-06D4B7944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34576"/>
        <c:axId val="614034992"/>
      </c:lineChart>
      <c:dateAx>
        <c:axId val="614034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034992"/>
        <c:crosses val="autoZero"/>
        <c:auto val="1"/>
        <c:lblOffset val="100"/>
        <c:baseTimeUnit val="days"/>
      </c:dateAx>
      <c:valAx>
        <c:axId val="61403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03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21A762-765B-4A64-9FA5-23EE6B9BC493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B68AC8-F3D2-4CBB-A94A-041CE2EF9EB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2065</v>
      </c>
      <c r="D2" s="4">
        <f>MIN(D3:D1912)</f>
        <v>2.01E-2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1091.0999999999999</v>
      </c>
      <c r="C5">
        <v>1093</v>
      </c>
      <c r="D5">
        <v>1038.3499999999999</v>
      </c>
      <c r="E5">
        <v>1038.3499999999999</v>
      </c>
      <c r="F5">
        <v>1251.26</v>
      </c>
      <c r="G5">
        <v>1038.3499999999999</v>
      </c>
      <c r="L5" t="s">
        <v>7</v>
      </c>
      <c r="M5" t="s">
        <v>8</v>
      </c>
      <c r="N5" t="s">
        <v>8</v>
      </c>
      <c r="P5">
        <f t="shared" ref="P5" si="0">IF(C5=D5,0,((E5-D5)-(C5-E5))/(C5-D5))</f>
        <v>-1</v>
      </c>
      <c r="Q5">
        <f t="shared" ref="Q5" si="1">F5*P5</f>
        <v>-1251.26</v>
      </c>
      <c r="R5">
        <f t="shared" ref="R5" si="2">R6+Q5</f>
        <v>-4432604256.7261667</v>
      </c>
      <c r="S5">
        <f t="shared" ref="S5" si="3">R5/100000</f>
        <v>-44326.042567261669</v>
      </c>
      <c r="T5">
        <f t="shared" ref="T5" si="4">S5/1000</f>
        <v>-44.326042567261666</v>
      </c>
    </row>
    <row r="6" spans="1:20" x14ac:dyDescent="0.25">
      <c r="A6" s="5">
        <v>44587</v>
      </c>
      <c r="B6">
        <v>1139.72</v>
      </c>
      <c r="C6">
        <v>1210</v>
      </c>
      <c r="D6">
        <v>1060</v>
      </c>
      <c r="E6">
        <v>1092.97</v>
      </c>
      <c r="F6">
        <v>15048.55</v>
      </c>
      <c r="G6">
        <v>1092.97</v>
      </c>
      <c r="L6" t="s">
        <v>7</v>
      </c>
      <c r="M6" t="s">
        <v>8</v>
      </c>
      <c r="N6" t="s">
        <v>8</v>
      </c>
      <c r="P6">
        <f t="shared" ref="P6" si="5">IF(C6=D6,0,((E6-D6)-(C6-E6))/(C6-D6))</f>
        <v>-0.56039999999999968</v>
      </c>
      <c r="Q6">
        <f t="shared" ref="Q6" si="6">F6*P6</f>
        <v>-8433.2074199999952</v>
      </c>
      <c r="R6">
        <f t="shared" ref="R6" si="7">R7+Q6</f>
        <v>-4432603005.4661665</v>
      </c>
      <c r="S6">
        <f t="shared" ref="S6" si="8">R6/100000</f>
        <v>-44326.030054661664</v>
      </c>
      <c r="T6">
        <f t="shared" ref="T6" si="9">S6/1000</f>
        <v>-44.326030054661665</v>
      </c>
    </row>
    <row r="7" spans="1:20" x14ac:dyDescent="0.25">
      <c r="A7" s="5">
        <v>44586</v>
      </c>
      <c r="B7">
        <v>1186.21</v>
      </c>
      <c r="C7">
        <v>1217.3699999999999</v>
      </c>
      <c r="D7">
        <v>1114</v>
      </c>
      <c r="E7">
        <v>1138.05</v>
      </c>
      <c r="F7">
        <v>11836.93</v>
      </c>
      <c r="G7">
        <v>1138.05</v>
      </c>
      <c r="L7" t="s">
        <v>8</v>
      </c>
      <c r="M7" t="s">
        <v>8</v>
      </c>
      <c r="N7" t="s">
        <v>8</v>
      </c>
      <c r="P7">
        <f t="shared" ref="P7" si="10">IF(C7=D7,0,((E7-D7)-(C7-E7))/(C7-D7))</f>
        <v>-0.53468124213988621</v>
      </c>
      <c r="Q7">
        <f t="shared" ref="Q7" si="11">F7*P7</f>
        <v>-6328.9844355228834</v>
      </c>
      <c r="R7">
        <f t="shared" ref="R7" si="12">R8+Q7</f>
        <v>-4432594572.2587461</v>
      </c>
      <c r="S7">
        <f t="shared" ref="S7" si="13">R7/100000</f>
        <v>-44325.945722587465</v>
      </c>
      <c r="T7">
        <f t="shared" ref="T7" si="14">S7/1000</f>
        <v>-44.325945722587463</v>
      </c>
    </row>
    <row r="8" spans="1:20" x14ac:dyDescent="0.25">
      <c r="A8" s="5">
        <v>44585</v>
      </c>
      <c r="B8">
        <v>1247.47</v>
      </c>
      <c r="C8">
        <v>1249.94</v>
      </c>
      <c r="D8">
        <v>1008.56</v>
      </c>
      <c r="E8">
        <v>1182.22</v>
      </c>
      <c r="F8">
        <v>31783.21</v>
      </c>
      <c r="G8">
        <v>1182.22</v>
      </c>
      <c r="L8" t="s">
        <v>7</v>
      </c>
      <c r="M8" t="s">
        <v>7</v>
      </c>
      <c r="N8" t="s">
        <v>8</v>
      </c>
      <c r="P8">
        <f t="shared" ref="P8" si="15">IF(C8=D8,0,((E8-D8)-(C8-E8))/(C8-D8))</f>
        <v>0.43889303173419508</v>
      </c>
      <c r="Q8">
        <f t="shared" ref="Q8" si="16">F8*P8</f>
        <v>13949.429395144585</v>
      </c>
      <c r="R8">
        <f t="shared" ref="R8" si="17">R9+Q8</f>
        <v>-4432588243.2743111</v>
      </c>
      <c r="S8">
        <f t="shared" ref="S8" si="18">R8/100000</f>
        <v>-44325.882432743114</v>
      </c>
      <c r="T8">
        <f t="shared" ref="T8" si="19">S8/1000</f>
        <v>-44.325882432743114</v>
      </c>
    </row>
    <row r="9" spans="1:20" x14ac:dyDescent="0.25">
      <c r="A9" s="5">
        <v>44584</v>
      </c>
      <c r="B9">
        <v>1038.1400000000001</v>
      </c>
      <c r="C9">
        <v>1350</v>
      </c>
      <c r="D9">
        <v>1033.1300000000001</v>
      </c>
      <c r="E9">
        <v>1247</v>
      </c>
      <c r="F9">
        <v>36904.99</v>
      </c>
      <c r="G9">
        <v>1247</v>
      </c>
      <c r="L9" t="s">
        <v>8</v>
      </c>
      <c r="M9" t="s">
        <v>8</v>
      </c>
      <c r="N9" t="s">
        <v>8</v>
      </c>
      <c r="P9">
        <f t="shared" ref="P9" si="20">IF(C9=D9,0,((E9-D9)-(C9-E9))/(C9-D9))</f>
        <v>0.34989112254236732</v>
      </c>
      <c r="Q9">
        <f t="shared" ref="Q9" si="21">F9*P9</f>
        <v>12912.728378514839</v>
      </c>
      <c r="R9">
        <f t="shared" ref="R9" si="22">R10+Q9</f>
        <v>-4432602192.7037058</v>
      </c>
      <c r="S9">
        <f t="shared" ref="S9" si="23">R9/100000</f>
        <v>-44326.021927037058</v>
      </c>
      <c r="T9">
        <f t="shared" ref="T9" si="24">S9/1000</f>
        <v>-44.326021927037061</v>
      </c>
    </row>
    <row r="10" spans="1:20" x14ac:dyDescent="0.25">
      <c r="A10" s="5">
        <v>44583</v>
      </c>
      <c r="B10">
        <v>1060.28</v>
      </c>
      <c r="C10">
        <v>1176.83</v>
      </c>
      <c r="D10">
        <v>760</v>
      </c>
      <c r="E10">
        <v>1038.07</v>
      </c>
      <c r="F10">
        <v>30583.439999999999</v>
      </c>
      <c r="G10">
        <v>1038.07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0.33421298850850462</v>
      </c>
      <c r="Q10">
        <f t="shared" ref="Q10" si="26">F10*P10</f>
        <v>10221.38288127054</v>
      </c>
      <c r="R10">
        <f t="shared" ref="R10" si="27">R11+Q10</f>
        <v>-4432615105.4320841</v>
      </c>
      <c r="S10">
        <f t="shared" ref="S10" si="28">R10/100000</f>
        <v>-44326.151054320842</v>
      </c>
      <c r="T10">
        <f t="shared" ref="T10" si="29">S10/1000</f>
        <v>-44.326151054320846</v>
      </c>
    </row>
    <row r="11" spans="1:20" x14ac:dyDescent="0.25">
      <c r="A11" s="5">
        <v>44582</v>
      </c>
      <c r="B11">
        <v>1349.14</v>
      </c>
      <c r="C11">
        <v>1411.67</v>
      </c>
      <c r="D11">
        <v>1020</v>
      </c>
      <c r="E11">
        <v>1060.26</v>
      </c>
      <c r="F11">
        <v>17888.599999999999</v>
      </c>
      <c r="G11">
        <v>1060.26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-0.79441877090407753</v>
      </c>
      <c r="Q11">
        <f t="shared" ref="Q11" si="31">F11*P11</f>
        <v>-14211.03962519468</v>
      </c>
      <c r="R11">
        <f t="shared" ref="R11" si="32">R12+Q11</f>
        <v>-4432625326.8149652</v>
      </c>
      <c r="S11">
        <f t="shared" ref="S11" si="33">R11/100000</f>
        <v>-44326.253268149652</v>
      </c>
      <c r="T11">
        <f t="shared" ref="T11" si="34">S11/1000</f>
        <v>-44.32625326814965</v>
      </c>
    </row>
    <row r="12" spans="1:20" x14ac:dyDescent="0.25">
      <c r="A12" s="5">
        <v>44581</v>
      </c>
      <c r="B12">
        <v>1539.56</v>
      </c>
      <c r="C12">
        <v>1547.26</v>
      </c>
      <c r="D12">
        <v>1343.19</v>
      </c>
      <c r="E12">
        <v>1347.88</v>
      </c>
      <c r="F12">
        <v>12079.06</v>
      </c>
      <c r="G12">
        <v>1347.88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-0.95403538001666044</v>
      </c>
      <c r="Q12">
        <f t="shared" ref="Q12" si="36">F12*P12</f>
        <v>-11523.850597344042</v>
      </c>
      <c r="R12">
        <f t="shared" ref="R12" si="37">R13+Q12</f>
        <v>-4432611115.7753401</v>
      </c>
      <c r="S12">
        <f t="shared" ref="S12" si="38">R12/100000</f>
        <v>-44326.111157753403</v>
      </c>
      <c r="T12">
        <f t="shared" ref="T12" si="39">S12/1000</f>
        <v>-44.326111157753402</v>
      </c>
    </row>
    <row r="13" spans="1:20" x14ac:dyDescent="0.25">
      <c r="A13" s="5">
        <v>44580</v>
      </c>
      <c r="B13">
        <v>1418.2</v>
      </c>
      <c r="C13">
        <v>1668.99</v>
      </c>
      <c r="D13">
        <v>1335.71</v>
      </c>
      <c r="E13">
        <v>1539.56</v>
      </c>
      <c r="F13">
        <v>20598.86</v>
      </c>
      <c r="G13">
        <v>1539.56</v>
      </c>
      <c r="L13" t="s">
        <v>8</v>
      </c>
      <c r="M13" t="s">
        <v>8</v>
      </c>
      <c r="N13" t="s">
        <v>7</v>
      </c>
      <c r="P13">
        <f t="shared" ref="P13" si="40">IF(C13=D13,0,((E13-D13)-(C13-E13))/(C13-D13))</f>
        <v>0.22329572731637018</v>
      </c>
      <c r="Q13">
        <f t="shared" ref="Q13" si="41">F13*P13</f>
        <v>4599.6374255880855</v>
      </c>
      <c r="R13">
        <f t="shared" ref="R13" si="42">R14+Q13</f>
        <v>-4432599591.9247427</v>
      </c>
      <c r="S13">
        <f t="shared" ref="S13" si="43">R13/100000</f>
        <v>-44325.995919247427</v>
      </c>
      <c r="T13">
        <f t="shared" ref="T13" si="44">S13/1000</f>
        <v>-44.325995919247426</v>
      </c>
    </row>
    <row r="14" spans="1:20" x14ac:dyDescent="0.25">
      <c r="A14" s="5">
        <v>44579</v>
      </c>
      <c r="B14">
        <v>1599.27</v>
      </c>
      <c r="C14">
        <v>1621.77</v>
      </c>
      <c r="D14">
        <v>1334</v>
      </c>
      <c r="E14">
        <v>1419.34</v>
      </c>
      <c r="F14">
        <v>15134.89</v>
      </c>
      <c r="G14">
        <v>1419.34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-0.40688744483441691</v>
      </c>
      <c r="Q14">
        <f t="shared" ref="Q14" si="46">F14*P14</f>
        <v>-6158.1967199499677</v>
      </c>
      <c r="R14">
        <f t="shared" ref="R14" si="47">R15+Q14</f>
        <v>-4432604191.5621681</v>
      </c>
      <c r="S14">
        <f t="shared" ref="S14" si="48">R14/100000</f>
        <v>-44326.041915621681</v>
      </c>
      <c r="T14">
        <f t="shared" ref="T14" si="49">S14/1000</f>
        <v>-44.32604191562168</v>
      </c>
    </row>
    <row r="15" spans="1:20" x14ac:dyDescent="0.25">
      <c r="A15" s="5">
        <v>44578</v>
      </c>
      <c r="B15">
        <v>1869.88</v>
      </c>
      <c r="C15">
        <v>1935</v>
      </c>
      <c r="D15">
        <v>1523.9</v>
      </c>
      <c r="E15">
        <v>1596.52</v>
      </c>
      <c r="F15">
        <v>18116.060000000001</v>
      </c>
      <c r="G15">
        <v>1596.52</v>
      </c>
      <c r="L15" t="s">
        <v>8</v>
      </c>
      <c r="M15" t="s">
        <v>8</v>
      </c>
      <c r="N15" t="s">
        <v>8</v>
      </c>
      <c r="P15">
        <f t="shared" ref="P15" si="50">IF(C15=D15,0,((E15-D15)-(C15-E15))/(C15-D15))</f>
        <v>-0.64670396497202676</v>
      </c>
      <c r="Q15">
        <f t="shared" ref="Q15" si="51">F15*P15</f>
        <v>-11715.727831671136</v>
      </c>
      <c r="R15">
        <f t="shared" ref="R15" si="52">R16+Q15</f>
        <v>-4432598033.365448</v>
      </c>
      <c r="S15">
        <f t="shared" ref="S15" si="53">R15/100000</f>
        <v>-44325.980333654479</v>
      </c>
      <c r="T15">
        <f t="shared" ref="T15" si="54">S15/1000</f>
        <v>-44.325980333654478</v>
      </c>
    </row>
    <row r="16" spans="1:20" x14ac:dyDescent="0.25">
      <c r="A16" s="5">
        <v>44577</v>
      </c>
      <c r="B16">
        <v>1677.08</v>
      </c>
      <c r="C16">
        <v>1895.71</v>
      </c>
      <c r="D16">
        <v>1668</v>
      </c>
      <c r="E16">
        <v>1865.06</v>
      </c>
      <c r="F16">
        <v>10288.459999999999</v>
      </c>
      <c r="G16">
        <v>1865.06</v>
      </c>
      <c r="L16" t="s">
        <v>8</v>
      </c>
      <c r="M16" t="s">
        <v>8</v>
      </c>
      <c r="N16" t="s">
        <v>8</v>
      </c>
      <c r="P16">
        <f t="shared" ref="P16" si="55">IF(C16=D16,0,((E16-D16)-(C16-E16))/(C16-D16))</f>
        <v>0.73079794475429194</v>
      </c>
      <c r="Q16">
        <f t="shared" ref="Q16" si="56">F16*P16</f>
        <v>7518.7854226867421</v>
      </c>
      <c r="R16">
        <f t="shared" ref="R16" si="57">R17+Q16</f>
        <v>-4432586317.6376162</v>
      </c>
      <c r="S16">
        <f t="shared" ref="S16" si="58">R16/100000</f>
        <v>-44325.863176376159</v>
      </c>
      <c r="T16">
        <f t="shared" ref="T16" si="59">S16/1000</f>
        <v>-44.32586317637616</v>
      </c>
    </row>
    <row r="17" spans="1:20" x14ac:dyDescent="0.25">
      <c r="A17" s="5">
        <v>44576</v>
      </c>
      <c r="B17">
        <v>1685</v>
      </c>
      <c r="C17">
        <v>1768.18</v>
      </c>
      <c r="D17">
        <v>1652.71</v>
      </c>
      <c r="E17">
        <v>1677.08</v>
      </c>
      <c r="F17">
        <v>9593.6</v>
      </c>
      <c r="G17">
        <v>1677.08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-0.57789902139083948</v>
      </c>
      <c r="Q17">
        <f t="shared" ref="Q17" si="61">F17*P17</f>
        <v>-5544.1320516151582</v>
      </c>
      <c r="R17">
        <f t="shared" ref="R17" si="62">R18+Q17</f>
        <v>-4432593836.4230385</v>
      </c>
      <c r="S17">
        <f t="shared" ref="S17" si="63">R17/100000</f>
        <v>-44325.938364230387</v>
      </c>
      <c r="T17">
        <f t="shared" ref="T17" si="64">S17/1000</f>
        <v>-44.325938364230389</v>
      </c>
    </row>
    <row r="18" spans="1:20" x14ac:dyDescent="0.25">
      <c r="A18" s="5">
        <v>44575</v>
      </c>
      <c r="B18">
        <v>1560</v>
      </c>
      <c r="C18">
        <v>1745.12</v>
      </c>
      <c r="D18">
        <v>1475</v>
      </c>
      <c r="E18">
        <v>1685.86</v>
      </c>
      <c r="F18">
        <v>14803.48</v>
      </c>
      <c r="G18">
        <v>1685.86</v>
      </c>
      <c r="L18" t="s">
        <v>8</v>
      </c>
      <c r="M18" t="s">
        <v>8</v>
      </c>
      <c r="N18" t="s">
        <v>8</v>
      </c>
      <c r="P18">
        <f t="shared" ref="P18" si="65">IF(C18=D18,0,((E18-D18)-(C18-E18))/(C18-D18))</f>
        <v>0.56123204501702939</v>
      </c>
      <c r="Q18">
        <f t="shared" ref="Q18" si="66">F18*P18</f>
        <v>8308.1873537686934</v>
      </c>
      <c r="R18">
        <f t="shared" ref="R18" si="67">R19+Q18</f>
        <v>-4432588292.290987</v>
      </c>
      <c r="S18">
        <f t="shared" ref="S18" si="68">R18/100000</f>
        <v>-44325.88292290987</v>
      </c>
      <c r="T18">
        <f t="shared" ref="T18" si="69">S18/1000</f>
        <v>-44.325882922909869</v>
      </c>
    </row>
    <row r="19" spans="1:20" x14ac:dyDescent="0.25">
      <c r="A19" s="5">
        <v>44574</v>
      </c>
      <c r="B19">
        <v>1492</v>
      </c>
      <c r="C19">
        <v>1650.03</v>
      </c>
      <c r="D19">
        <v>1457.2</v>
      </c>
      <c r="E19">
        <v>1560.38</v>
      </c>
      <c r="F19">
        <v>17774.48</v>
      </c>
      <c r="G19">
        <v>1560.38</v>
      </c>
      <c r="L19" t="s">
        <v>7</v>
      </c>
      <c r="M19" t="s">
        <v>8</v>
      </c>
      <c r="N19" t="s">
        <v>8</v>
      </c>
      <c r="P19">
        <f t="shared" ref="P19" si="70">IF(C19=D19,0,((E19-D19)-(C19-E19))/(C19-D19))</f>
        <v>7.0165430690246361E-2</v>
      </c>
      <c r="Q19">
        <f t="shared" ref="Q19" si="71">F19*P19</f>
        <v>1247.1540444951702</v>
      </c>
      <c r="R19">
        <f t="shared" ref="R19" si="72">R20+Q19</f>
        <v>-4432596600.4783411</v>
      </c>
      <c r="S19">
        <f t="shared" ref="S19" si="73">R19/100000</f>
        <v>-44325.966004783411</v>
      </c>
      <c r="T19">
        <f t="shared" ref="T19" si="74">S19/1000</f>
        <v>-44.32596600478341</v>
      </c>
    </row>
    <row r="20" spans="1:20" x14ac:dyDescent="0.25">
      <c r="A20" s="5">
        <v>44573</v>
      </c>
      <c r="B20">
        <v>1365.94</v>
      </c>
      <c r="C20">
        <v>1690.11</v>
      </c>
      <c r="D20">
        <v>1253.99</v>
      </c>
      <c r="E20">
        <v>1491.98</v>
      </c>
      <c r="F20">
        <v>39786.089999999997</v>
      </c>
      <c r="G20">
        <v>1491.98</v>
      </c>
      <c r="L20" t="s">
        <v>8</v>
      </c>
      <c r="M20" t="s">
        <v>8</v>
      </c>
      <c r="N20" t="s">
        <v>8</v>
      </c>
      <c r="P20">
        <f t="shared" ref="P20" si="75">IF(C20=D20,0,((E20-D20)-(C20-E20))/(C20-D20))</f>
        <v>9.1396863248647472E-2</v>
      </c>
      <c r="Q20">
        <f t="shared" ref="Q20" si="76">F20*P20</f>
        <v>3636.3238269283802</v>
      </c>
      <c r="R20">
        <f t="shared" ref="R20" si="77">R21+Q20</f>
        <v>-4432597847.6323853</v>
      </c>
      <c r="S20">
        <f t="shared" ref="S20" si="78">R20/100000</f>
        <v>-44325.978476323849</v>
      </c>
      <c r="T20">
        <f t="shared" ref="T20" si="79">S20/1000</f>
        <v>-44.325978476323847</v>
      </c>
    </row>
    <row r="21" spans="1:20" x14ac:dyDescent="0.25">
      <c r="A21" s="5">
        <v>44572</v>
      </c>
      <c r="B21">
        <v>1064.5899999999999</v>
      </c>
      <c r="C21">
        <v>1368</v>
      </c>
      <c r="D21">
        <v>1054.3900000000001</v>
      </c>
      <c r="E21">
        <v>1365.98</v>
      </c>
      <c r="F21">
        <v>27151.81</v>
      </c>
      <c r="G21">
        <v>1365.98</v>
      </c>
      <c r="L21" t="s">
        <v>8</v>
      </c>
      <c r="M21" t="s">
        <v>8</v>
      </c>
      <c r="N21" t="s">
        <v>8</v>
      </c>
      <c r="P21">
        <f t="shared" ref="P21" si="80">IF(C21=D21,0,((E21-D21)-(C21-E21))/(C21-D21))</f>
        <v>0.98711775772456245</v>
      </c>
      <c r="Q21">
        <f t="shared" ref="Q21" si="81">F21*P21</f>
        <v>26802.033805363353</v>
      </c>
      <c r="R21">
        <f t="shared" ref="R21" si="82">R22+Q21</f>
        <v>-4432601483.956212</v>
      </c>
      <c r="S21">
        <f t="shared" ref="S21" si="83">R21/100000</f>
        <v>-44326.014839562122</v>
      </c>
      <c r="T21">
        <f t="shared" ref="T21" si="84">S21/1000</f>
        <v>-44.32601483956212</v>
      </c>
    </row>
    <row r="22" spans="1:20" x14ac:dyDescent="0.25">
      <c r="A22" s="5">
        <v>44571</v>
      </c>
      <c r="B22">
        <v>1061.01</v>
      </c>
      <c r="C22">
        <v>1080</v>
      </c>
      <c r="D22">
        <v>941.1</v>
      </c>
      <c r="E22">
        <v>1064.46</v>
      </c>
      <c r="F22">
        <v>9232.8700000000008</v>
      </c>
      <c r="G22">
        <v>1064.46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0.77624190064794862</v>
      </c>
      <c r="Q22">
        <f t="shared" ref="Q22" si="86">F22*P22</f>
        <v>7166.9405572354262</v>
      </c>
      <c r="R22">
        <f t="shared" ref="R22" si="87">R23+Q22</f>
        <v>-4432628285.9900169</v>
      </c>
      <c r="S22">
        <f t="shared" ref="S22" si="88">R22/100000</f>
        <v>-44326.282859900166</v>
      </c>
      <c r="T22">
        <f t="shared" ref="T22" si="89">S22/1000</f>
        <v>-44.326282859900168</v>
      </c>
    </row>
    <row r="23" spans="1:20" x14ac:dyDescent="0.25">
      <c r="A23" s="5">
        <v>44570</v>
      </c>
      <c r="B23">
        <v>1090.21</v>
      </c>
      <c r="C23">
        <v>1149.99</v>
      </c>
      <c r="D23">
        <v>1050</v>
      </c>
      <c r="E23">
        <v>1062.6500000000001</v>
      </c>
      <c r="F23">
        <v>6030.25</v>
      </c>
      <c r="G23">
        <v>1062.6500000000001</v>
      </c>
      <c r="L23" t="s">
        <v>8</v>
      </c>
      <c r="M23" t="s">
        <v>7</v>
      </c>
      <c r="N23" t="s">
        <v>8</v>
      </c>
      <c r="P23">
        <f t="shared" ref="P23" si="90">IF(C23=D23,0,((E23-D23)-(C23-E23))/(C23-D23))</f>
        <v>-0.74697469746974521</v>
      </c>
      <c r="Q23">
        <f t="shared" ref="Q23" si="91">F23*P23</f>
        <v>-4504.4441694169309</v>
      </c>
      <c r="R23">
        <f t="shared" ref="R23" si="92">R24+Q23</f>
        <v>-4432635452.9305744</v>
      </c>
      <c r="S23">
        <f t="shared" ref="S23" si="93">R23/100000</f>
        <v>-44326.354529305747</v>
      </c>
      <c r="T23">
        <f t="shared" ref="T23" si="94">S23/1000</f>
        <v>-44.326354529305746</v>
      </c>
    </row>
    <row r="24" spans="1:20" x14ac:dyDescent="0.25">
      <c r="A24" s="5">
        <v>44569</v>
      </c>
      <c r="B24">
        <v>1206.5899999999999</v>
      </c>
      <c r="C24">
        <v>1217.99</v>
      </c>
      <c r="D24">
        <v>1032.6199999999999</v>
      </c>
      <c r="E24">
        <v>1090.98</v>
      </c>
      <c r="F24">
        <v>10968.39</v>
      </c>
      <c r="G24">
        <v>1090.98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-0.37034040028051907</v>
      </c>
      <c r="Q24">
        <f t="shared" ref="Q24" si="96">F24*P24</f>
        <v>-4062.0379430328421</v>
      </c>
      <c r="R24">
        <f t="shared" ref="R24" si="97">R25+Q24</f>
        <v>-4432630948.4864054</v>
      </c>
      <c r="S24">
        <f t="shared" ref="S24" si="98">R24/100000</f>
        <v>-44326.309484864054</v>
      </c>
      <c r="T24">
        <f t="shared" ref="T24" si="99">S24/1000</f>
        <v>-44.326309484864055</v>
      </c>
    </row>
    <row r="25" spans="1:20" x14ac:dyDescent="0.25">
      <c r="A25" s="5">
        <v>44568</v>
      </c>
      <c r="B25">
        <v>1295.67</v>
      </c>
      <c r="C25">
        <v>1371</v>
      </c>
      <c r="D25">
        <v>1160.1600000000001</v>
      </c>
      <c r="E25">
        <v>1203.8599999999999</v>
      </c>
      <c r="F25">
        <v>23212</v>
      </c>
      <c r="G25">
        <v>1203.8599999999999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-0.58546765319673844</v>
      </c>
      <c r="Q25">
        <f t="shared" ref="Q25" si="101">F25*P25</f>
        <v>-13589.875166002692</v>
      </c>
      <c r="R25">
        <f t="shared" ref="R25" si="102">R26+Q25</f>
        <v>-4432626886.4484625</v>
      </c>
      <c r="S25">
        <f t="shared" ref="S25" si="103">R25/100000</f>
        <v>-44326.268864484628</v>
      </c>
      <c r="T25">
        <f t="shared" ref="T25" si="104">S25/1000</f>
        <v>-44.326268864484625</v>
      </c>
    </row>
    <row r="26" spans="1:20" x14ac:dyDescent="0.25">
      <c r="A26" s="5">
        <v>44567</v>
      </c>
      <c r="B26">
        <v>1055.96</v>
      </c>
      <c r="C26">
        <v>1374.64</v>
      </c>
      <c r="D26">
        <v>1000</v>
      </c>
      <c r="E26">
        <v>1298</v>
      </c>
      <c r="F26">
        <v>40206.36</v>
      </c>
      <c r="G26">
        <v>1298</v>
      </c>
      <c r="L26" t="s">
        <v>8</v>
      </c>
      <c r="M26" t="s">
        <v>8</v>
      </c>
      <c r="N26" t="s">
        <v>8</v>
      </c>
      <c r="P26">
        <f t="shared" ref="P26" si="105">IF(C26=D26,0,((E26-D26)-(C26-E26))/(C26-D26))</f>
        <v>0.59086055947042448</v>
      </c>
      <c r="Q26">
        <f t="shared" ref="Q26" si="106">F26*P26</f>
        <v>23756.352363869297</v>
      </c>
      <c r="R26">
        <f t="shared" ref="R26" si="107">R27+Q26</f>
        <v>-4432613296.5732965</v>
      </c>
      <c r="S26">
        <f t="shared" ref="S26" si="108">R26/100000</f>
        <v>-44326.132965732962</v>
      </c>
      <c r="T26">
        <f t="shared" ref="T26" si="109">S26/1000</f>
        <v>-44.32613296573296</v>
      </c>
    </row>
    <row r="27" spans="1:20" x14ac:dyDescent="0.25">
      <c r="A27" s="5">
        <v>44566</v>
      </c>
      <c r="B27">
        <v>1166.5</v>
      </c>
      <c r="C27">
        <v>1230</v>
      </c>
      <c r="D27">
        <v>980.93</v>
      </c>
      <c r="E27">
        <v>1057.74</v>
      </c>
      <c r="F27">
        <v>11726.64</v>
      </c>
      <c r="G27">
        <v>1057.74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-0.38322559922913202</v>
      </c>
      <c r="Q27">
        <f t="shared" ref="Q27" si="111">F27*P27</f>
        <v>-4493.9486409443089</v>
      </c>
      <c r="R27">
        <f t="shared" ref="R27" si="112">R28+Q27</f>
        <v>-4432637052.9256601</v>
      </c>
      <c r="S27">
        <f t="shared" ref="S27" si="113">R27/100000</f>
        <v>-44326.370529256601</v>
      </c>
      <c r="T27">
        <f t="shared" ref="T27" si="114">S27/1000</f>
        <v>-44.3263705292566</v>
      </c>
    </row>
    <row r="28" spans="1:20" x14ac:dyDescent="0.25">
      <c r="A28" s="5">
        <v>44565</v>
      </c>
      <c r="B28">
        <v>1292.53</v>
      </c>
      <c r="C28">
        <v>1330</v>
      </c>
      <c r="D28">
        <v>1165.44</v>
      </c>
      <c r="E28">
        <v>1167.08</v>
      </c>
      <c r="F28">
        <v>14985.61</v>
      </c>
      <c r="G28">
        <v>1167.08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-0.98006806028196558</v>
      </c>
      <c r="Q28">
        <f t="shared" ref="Q28" si="116">F28*P28</f>
        <v>-14686.917724842027</v>
      </c>
      <c r="R28">
        <f t="shared" ref="R28" si="117">R29+Q28</f>
        <v>-4432632558.9770193</v>
      </c>
      <c r="S28">
        <f t="shared" ref="S28" si="118">R28/100000</f>
        <v>-44326.325589770197</v>
      </c>
      <c r="T28">
        <f t="shared" ref="T28" si="119">S28/1000</f>
        <v>-44.3263255897702</v>
      </c>
    </row>
    <row r="29" spans="1:20" x14ac:dyDescent="0.25">
      <c r="A29" s="5">
        <v>44564</v>
      </c>
      <c r="B29">
        <v>1180.3599999999999</v>
      </c>
      <c r="C29">
        <v>1347.76</v>
      </c>
      <c r="D29">
        <v>1154.97</v>
      </c>
      <c r="E29">
        <v>1293.9000000000001</v>
      </c>
      <c r="F29">
        <v>21925.46</v>
      </c>
      <c r="G29">
        <v>1293.9000000000001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0.44125732662482586</v>
      </c>
      <c r="Q29">
        <f t="shared" ref="Q29" si="121">F29*P29</f>
        <v>9674.7698646195549</v>
      </c>
      <c r="R29">
        <f t="shared" ref="R29" si="122">R30+Q29</f>
        <v>-4432617872.0592947</v>
      </c>
      <c r="S29">
        <f t="shared" ref="S29" si="123">R29/100000</f>
        <v>-44326.17872059295</v>
      </c>
      <c r="T29">
        <f t="shared" ref="T29" si="124">S29/1000</f>
        <v>-44.326178720592949</v>
      </c>
    </row>
    <row r="30" spans="1:20" x14ac:dyDescent="0.25">
      <c r="A30" s="5">
        <v>44563</v>
      </c>
      <c r="B30">
        <v>1204.6400000000001</v>
      </c>
      <c r="C30">
        <v>1385</v>
      </c>
      <c r="D30">
        <v>1144</v>
      </c>
      <c r="E30">
        <v>1181.1199999999999</v>
      </c>
      <c r="F30">
        <v>38972.92</v>
      </c>
      <c r="G30">
        <v>1181.1199999999999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-0.69195020746888058</v>
      </c>
      <c r="Q30">
        <f t="shared" ref="Q30" si="126">F30*P30</f>
        <v>-26967.320079668083</v>
      </c>
      <c r="R30">
        <f t="shared" ref="R30" si="127">R31+Q30</f>
        <v>-4432627546.8291597</v>
      </c>
      <c r="S30">
        <f t="shared" ref="S30" si="128">R30/100000</f>
        <v>-44326.275468291598</v>
      </c>
      <c r="T30">
        <f t="shared" ref="T30" si="129">S30/1000</f>
        <v>-44.326275468291598</v>
      </c>
    </row>
    <row r="31" spans="1:20" x14ac:dyDescent="0.25">
      <c r="A31" s="5">
        <v>44562</v>
      </c>
      <c r="B31">
        <v>893.21</v>
      </c>
      <c r="C31">
        <v>1289.98</v>
      </c>
      <c r="D31">
        <v>868.54</v>
      </c>
      <c r="E31">
        <v>1204.6500000000001</v>
      </c>
      <c r="F31">
        <v>81073.5</v>
      </c>
      <c r="G31">
        <v>1204.6500000000001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0.59505504935459419</v>
      </c>
      <c r="Q31">
        <f t="shared" ref="Q31" si="131">F31*P31</f>
        <v>48243.195543849695</v>
      </c>
      <c r="R31">
        <f t="shared" ref="R31" si="132">R32+Q31</f>
        <v>-4432600579.5090799</v>
      </c>
      <c r="S31">
        <f t="shared" ref="S31" si="133">R31/100000</f>
        <v>-44326.005795090801</v>
      </c>
      <c r="T31">
        <f t="shared" ref="T31" si="134">S31/1000</f>
        <v>-44.326005795090801</v>
      </c>
    </row>
    <row r="32" spans="1:20" x14ac:dyDescent="0.25">
      <c r="A32" s="5">
        <v>44561</v>
      </c>
      <c r="B32">
        <v>724.96</v>
      </c>
      <c r="C32">
        <v>1040</v>
      </c>
      <c r="D32">
        <v>722.54</v>
      </c>
      <c r="E32">
        <v>892.75</v>
      </c>
      <c r="F32">
        <v>52569.83</v>
      </c>
      <c r="G32">
        <v>892.75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7.2324072324072425E-2</v>
      </c>
      <c r="Q32">
        <f t="shared" ref="Q32" si="136">F32*P32</f>
        <v>3802.0641869841925</v>
      </c>
      <c r="R32">
        <f t="shared" ref="R32" si="137">R33+Q32</f>
        <v>-4432648822.7046242</v>
      </c>
      <c r="S32">
        <f t="shared" ref="S32" si="138">R32/100000</f>
        <v>-44326.48822704624</v>
      </c>
      <c r="T32">
        <f t="shared" ref="T32" si="139">S32/1000</f>
        <v>-44.326488227046241</v>
      </c>
    </row>
    <row r="33" spans="1:20" x14ac:dyDescent="0.25">
      <c r="A33" s="5">
        <v>44560</v>
      </c>
      <c r="B33">
        <v>722.86</v>
      </c>
      <c r="C33">
        <v>740.19</v>
      </c>
      <c r="D33">
        <v>705.09</v>
      </c>
      <c r="E33">
        <v>722.97</v>
      </c>
      <c r="F33">
        <v>3559.58</v>
      </c>
      <c r="G33">
        <v>722.97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1.8803418803417883E-2</v>
      </c>
      <c r="Q33">
        <f t="shared" ref="Q33" si="141">F33*P33</f>
        <v>66.932273504270228</v>
      </c>
      <c r="R33">
        <f t="shared" ref="R33" si="142">R34+Q33</f>
        <v>-4432652624.7688112</v>
      </c>
      <c r="S33">
        <f t="shared" ref="S33" si="143">R33/100000</f>
        <v>-44326.526247688111</v>
      </c>
      <c r="T33">
        <f t="shared" ref="T33" si="144">S33/1000</f>
        <v>-44.326526247688108</v>
      </c>
    </row>
    <row r="34" spans="1:20" x14ac:dyDescent="0.25">
      <c r="A34" s="5">
        <v>44559</v>
      </c>
      <c r="B34">
        <v>746.58</v>
      </c>
      <c r="C34">
        <v>763.38</v>
      </c>
      <c r="D34">
        <v>717</v>
      </c>
      <c r="E34">
        <v>722.11</v>
      </c>
      <c r="F34">
        <v>3785.03</v>
      </c>
      <c r="G34">
        <v>722.11</v>
      </c>
      <c r="L34" t="s">
        <v>8</v>
      </c>
      <c r="M34" t="s">
        <v>7</v>
      </c>
      <c r="N34" t="s">
        <v>7</v>
      </c>
      <c r="P34">
        <f t="shared" ref="P34" si="145">IF(C34=D34,0,((E34-D34)-(C34-E34))/(C34-D34))</f>
        <v>-0.77964639931004687</v>
      </c>
      <c r="Q34">
        <f t="shared" ref="Q34" si="146">F34*P34</f>
        <v>-2950.9850107805069</v>
      </c>
      <c r="R34">
        <f t="shared" ref="R34" si="147">R35+Q34</f>
        <v>-4432652691.7010851</v>
      </c>
      <c r="S34">
        <f t="shared" ref="S34" si="148">R34/100000</f>
        <v>-44326.526917010851</v>
      </c>
      <c r="T34">
        <f t="shared" ref="T34" si="149">S34/1000</f>
        <v>-44.326526917010852</v>
      </c>
    </row>
    <row r="35" spans="1:20" x14ac:dyDescent="0.25">
      <c r="A35" s="5">
        <v>44558</v>
      </c>
      <c r="B35">
        <v>813.07</v>
      </c>
      <c r="C35">
        <v>828</v>
      </c>
      <c r="D35">
        <v>715</v>
      </c>
      <c r="E35">
        <v>746.54</v>
      </c>
      <c r="F35">
        <v>7061.36</v>
      </c>
      <c r="G35">
        <v>746.54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-0.44176991150442541</v>
      </c>
      <c r="Q35">
        <f t="shared" ref="Q35" si="151">F35*P35</f>
        <v>-3119.4963823008893</v>
      </c>
      <c r="R35">
        <f t="shared" ref="R35" si="152">R36+Q35</f>
        <v>-4432649740.716074</v>
      </c>
      <c r="S35">
        <f t="shared" ref="S35" si="153">R35/100000</f>
        <v>-44326.497407160743</v>
      </c>
      <c r="T35">
        <f t="shared" ref="T35" si="154">S35/1000</f>
        <v>-44.326497407160744</v>
      </c>
    </row>
    <row r="36" spans="1:20" x14ac:dyDescent="0.25">
      <c r="A36" s="5">
        <v>44557</v>
      </c>
      <c r="B36">
        <v>862.42</v>
      </c>
      <c r="C36">
        <v>890</v>
      </c>
      <c r="D36">
        <v>797.04</v>
      </c>
      <c r="E36">
        <v>813.05</v>
      </c>
      <c r="F36">
        <v>7345.88</v>
      </c>
      <c r="G36">
        <v>813.05</v>
      </c>
      <c r="L36" t="s">
        <v>7</v>
      </c>
      <c r="M36" t="s">
        <v>7</v>
      </c>
      <c r="N36" t="s">
        <v>8</v>
      </c>
      <c r="P36">
        <f t="shared" ref="P36" si="155">IF(C36=D36,0,((E36-D36)-(C36-E36))/(C36-D36))</f>
        <v>-0.65555077452667843</v>
      </c>
      <c r="Q36">
        <f t="shared" ref="Q36" si="156">F36*P36</f>
        <v>-4815.5973235800366</v>
      </c>
      <c r="R36">
        <f t="shared" ref="R36" si="157">R37+Q36</f>
        <v>-4432646621.2196913</v>
      </c>
      <c r="S36">
        <f t="shared" ref="S36" si="158">R36/100000</f>
        <v>-44326.466212196916</v>
      </c>
      <c r="T36">
        <f t="shared" ref="T36" si="159">S36/1000</f>
        <v>-44.326466212196912</v>
      </c>
    </row>
    <row r="37" spans="1:20" x14ac:dyDescent="0.25">
      <c r="A37" s="5">
        <v>44556</v>
      </c>
      <c r="B37">
        <v>881</v>
      </c>
      <c r="C37">
        <v>894.16</v>
      </c>
      <c r="D37">
        <v>843.57</v>
      </c>
      <c r="E37">
        <v>860.5</v>
      </c>
      <c r="F37">
        <v>3392.65</v>
      </c>
      <c r="G37">
        <v>860.5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-0.33069776635698844</v>
      </c>
      <c r="Q37">
        <f t="shared" ref="Q37" si="161">F37*P37</f>
        <v>-1121.941777031037</v>
      </c>
      <c r="R37">
        <f t="shared" ref="R37" si="162">R38+Q37</f>
        <v>-4432641805.6223679</v>
      </c>
      <c r="S37">
        <f t="shared" ref="S37" si="163">R37/100000</f>
        <v>-44326.41805622368</v>
      </c>
      <c r="T37">
        <f t="shared" ref="T37" si="164">S37/1000</f>
        <v>-44.32641805622368</v>
      </c>
    </row>
    <row r="38" spans="1:20" x14ac:dyDescent="0.25">
      <c r="A38" s="5">
        <v>44555</v>
      </c>
      <c r="B38">
        <v>878.45</v>
      </c>
      <c r="C38">
        <v>899.99</v>
      </c>
      <c r="D38">
        <v>868.69</v>
      </c>
      <c r="E38">
        <v>881</v>
      </c>
      <c r="F38">
        <v>3007.45</v>
      </c>
      <c r="G38">
        <v>881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-0.21341853035144004</v>
      </c>
      <c r="Q38">
        <f t="shared" ref="Q38" si="166">F38*P38</f>
        <v>-641.84555910543827</v>
      </c>
      <c r="R38">
        <f t="shared" ref="R38" si="167">R39+Q38</f>
        <v>-4432640683.6805906</v>
      </c>
      <c r="S38">
        <f t="shared" ref="S38" si="168">R38/100000</f>
        <v>-44326.406836805909</v>
      </c>
      <c r="T38">
        <f t="shared" ref="T38" si="169">S38/1000</f>
        <v>-44.326406836805909</v>
      </c>
    </row>
    <row r="39" spans="1:20" x14ac:dyDescent="0.25">
      <c r="A39" s="5">
        <v>44554</v>
      </c>
      <c r="B39">
        <v>959.91</v>
      </c>
      <c r="C39">
        <v>964.29</v>
      </c>
      <c r="D39">
        <v>867.38</v>
      </c>
      <c r="E39">
        <v>878.44</v>
      </c>
      <c r="F39">
        <v>5650.11</v>
      </c>
      <c r="G39">
        <v>878.44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-0.77174698173562972</v>
      </c>
      <c r="Q39">
        <f t="shared" ref="Q39" si="171">F39*P39</f>
        <v>-4360.4553389742987</v>
      </c>
      <c r="R39">
        <f t="shared" ref="R39" si="172">R40+Q39</f>
        <v>-4432640041.8350315</v>
      </c>
      <c r="S39">
        <f t="shared" ref="S39" si="173">R39/100000</f>
        <v>-44326.400418350313</v>
      </c>
      <c r="T39">
        <f t="shared" ref="T39" si="174">S39/1000</f>
        <v>-44.32640041835031</v>
      </c>
    </row>
    <row r="40" spans="1:20" x14ac:dyDescent="0.25">
      <c r="A40" s="5">
        <v>44553</v>
      </c>
      <c r="B40">
        <v>868.48</v>
      </c>
      <c r="C40">
        <v>979</v>
      </c>
      <c r="D40">
        <v>849.31</v>
      </c>
      <c r="E40">
        <v>959.98</v>
      </c>
      <c r="F40">
        <v>8157.96</v>
      </c>
      <c r="G40">
        <v>959.98</v>
      </c>
      <c r="L40" t="s">
        <v>7</v>
      </c>
      <c r="M40" t="s">
        <v>8</v>
      </c>
      <c r="N40" t="s">
        <v>8</v>
      </c>
      <c r="P40">
        <f t="shared" ref="P40" si="175">IF(C40=D40,0,((E40-D40)-(C40-E40))/(C40-D40))</f>
        <v>0.70668517233402772</v>
      </c>
      <c r="Q40">
        <f t="shared" ref="Q40" si="176">F40*P40</f>
        <v>5765.1093684941052</v>
      </c>
      <c r="R40">
        <f t="shared" ref="R40" si="177">R41+Q40</f>
        <v>-4432635681.3796921</v>
      </c>
      <c r="S40">
        <f t="shared" ref="S40" si="178">R40/100000</f>
        <v>-44326.35681379692</v>
      </c>
      <c r="T40">
        <f t="shared" ref="T40" si="179">S40/1000</f>
        <v>-44.32635681379692</v>
      </c>
    </row>
    <row r="41" spans="1:20" x14ac:dyDescent="0.25">
      <c r="A41" s="5">
        <v>44552</v>
      </c>
      <c r="B41">
        <v>887.91</v>
      </c>
      <c r="C41">
        <v>986.4</v>
      </c>
      <c r="D41">
        <v>867.32</v>
      </c>
      <c r="E41">
        <v>869.64</v>
      </c>
      <c r="F41">
        <v>10051.66</v>
      </c>
      <c r="G41">
        <v>869.64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-0.96103459858918483</v>
      </c>
      <c r="Q41">
        <f t="shared" ref="Q41" si="181">F41*P41</f>
        <v>-9659.9930332549648</v>
      </c>
      <c r="R41">
        <f t="shared" ref="R41" si="182">R42+Q41</f>
        <v>-4432641446.4890604</v>
      </c>
      <c r="S41">
        <f t="shared" ref="S41" si="183">R41/100000</f>
        <v>-44326.414464890608</v>
      </c>
      <c r="T41">
        <f t="shared" ref="T41" si="184">S41/1000</f>
        <v>-44.326414464890611</v>
      </c>
    </row>
    <row r="42" spans="1:20" x14ac:dyDescent="0.25">
      <c r="A42" s="5">
        <v>44551</v>
      </c>
      <c r="B42">
        <v>772.36</v>
      </c>
      <c r="C42">
        <v>893.69</v>
      </c>
      <c r="D42">
        <v>762.01</v>
      </c>
      <c r="E42">
        <v>883</v>
      </c>
      <c r="F42">
        <v>11495.15</v>
      </c>
      <c r="G42">
        <v>883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0.83763669501822524</v>
      </c>
      <c r="Q42">
        <f t="shared" ref="Q42" si="186">F42*P42</f>
        <v>9628.7594547387507</v>
      </c>
      <c r="R42">
        <f t="shared" ref="R42" si="187">R43+Q42</f>
        <v>-4432631786.496027</v>
      </c>
      <c r="S42">
        <f t="shared" ref="S42" si="188">R42/100000</f>
        <v>-44326.317864960271</v>
      </c>
      <c r="T42">
        <f t="shared" ref="T42" si="189">S42/1000</f>
        <v>-44.326317864960274</v>
      </c>
    </row>
    <row r="43" spans="1:20" x14ac:dyDescent="0.25">
      <c r="A43" s="5">
        <v>44550</v>
      </c>
      <c r="B43">
        <v>764.49</v>
      </c>
      <c r="C43">
        <v>798.03</v>
      </c>
      <c r="D43">
        <v>712.16</v>
      </c>
      <c r="E43">
        <v>772.36</v>
      </c>
      <c r="F43">
        <v>7930.72</v>
      </c>
      <c r="G43">
        <v>772.36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0.40211948293932787</v>
      </c>
      <c r="Q43">
        <f t="shared" ref="Q43" si="191">F43*P43</f>
        <v>3189.0970257365866</v>
      </c>
      <c r="R43">
        <f t="shared" ref="R43" si="192">R44+Q43</f>
        <v>-4432641415.2554817</v>
      </c>
      <c r="S43">
        <f t="shared" ref="S43" si="193">R43/100000</f>
        <v>-44326.414152554818</v>
      </c>
      <c r="T43">
        <f t="shared" ref="T43" si="194">S43/1000</f>
        <v>-44.326414152554818</v>
      </c>
    </row>
    <row r="44" spans="1:20" x14ac:dyDescent="0.25">
      <c r="A44" s="5">
        <v>44549</v>
      </c>
      <c r="B44">
        <v>787.44</v>
      </c>
      <c r="C44">
        <v>873.28</v>
      </c>
      <c r="D44">
        <v>755</v>
      </c>
      <c r="E44">
        <v>762.71</v>
      </c>
      <c r="F44">
        <v>19854.93</v>
      </c>
      <c r="G44">
        <v>762.71</v>
      </c>
      <c r="L44" t="s">
        <v>7</v>
      </c>
      <c r="M44" t="s">
        <v>8</v>
      </c>
      <c r="N44" t="s">
        <v>8</v>
      </c>
      <c r="P44">
        <f t="shared" ref="P44" si="195">IF(C44=D44,0,((E44-D44)-(C44-E44))/(C44-D44))</f>
        <v>-0.869631383158606</v>
      </c>
      <c r="Q44">
        <f t="shared" ref="Q44" si="196">F44*P44</f>
        <v>-17266.4702384173</v>
      </c>
      <c r="R44">
        <f t="shared" ref="R44" si="197">R45+Q44</f>
        <v>-4432644604.3525076</v>
      </c>
      <c r="S44">
        <f t="shared" ref="S44" si="198">R44/100000</f>
        <v>-44326.446043525073</v>
      </c>
      <c r="T44">
        <f t="shared" ref="T44" si="199">S44/1000</f>
        <v>-44.326446043525074</v>
      </c>
    </row>
    <row r="45" spans="1:20" x14ac:dyDescent="0.25">
      <c r="A45" s="5">
        <v>44548</v>
      </c>
      <c r="B45">
        <v>654.62</v>
      </c>
      <c r="C45">
        <v>858.31</v>
      </c>
      <c r="D45">
        <v>639.03</v>
      </c>
      <c r="E45">
        <v>791.81</v>
      </c>
      <c r="F45">
        <v>28830.66</v>
      </c>
      <c r="G45">
        <v>791.81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0.39346953666545048</v>
      </c>
      <c r="Q45">
        <f t="shared" ref="Q45" si="201">F45*P45</f>
        <v>11343.986431959136</v>
      </c>
      <c r="R45">
        <f t="shared" ref="R45" si="202">R46+Q45</f>
        <v>-4432627337.8822689</v>
      </c>
      <c r="S45">
        <f t="shared" ref="S45" si="203">R45/100000</f>
        <v>-44326.273378822691</v>
      </c>
      <c r="T45">
        <f t="shared" ref="T45" si="204">S45/1000</f>
        <v>-44.326273378822691</v>
      </c>
    </row>
    <row r="46" spans="1:20" x14ac:dyDescent="0.25">
      <c r="A46" s="5">
        <v>44547</v>
      </c>
      <c r="B46">
        <v>707.46</v>
      </c>
      <c r="C46">
        <v>715</v>
      </c>
      <c r="D46">
        <v>630.41999999999996</v>
      </c>
      <c r="E46">
        <v>653.39</v>
      </c>
      <c r="F46">
        <v>8414.73</v>
      </c>
      <c r="G46">
        <v>653.39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-0.45684558997398872</v>
      </c>
      <c r="Q46">
        <f t="shared" ref="Q46" si="206">F46*P46</f>
        <v>-3844.2322913218218</v>
      </c>
      <c r="R46">
        <f t="shared" ref="R46" si="207">R47+Q46</f>
        <v>-4432638681.868701</v>
      </c>
      <c r="S46">
        <f t="shared" ref="S46" si="208">R46/100000</f>
        <v>-44326.38681868701</v>
      </c>
      <c r="T46">
        <f t="shared" ref="T46" si="209">S46/1000</f>
        <v>-44.326386818687013</v>
      </c>
    </row>
    <row r="47" spans="1:20" x14ac:dyDescent="0.25">
      <c r="A47" s="5">
        <v>44546</v>
      </c>
      <c r="B47">
        <v>706.05</v>
      </c>
      <c r="C47">
        <v>815</v>
      </c>
      <c r="D47">
        <v>685.33</v>
      </c>
      <c r="E47">
        <v>709.06</v>
      </c>
      <c r="F47">
        <v>37988.5</v>
      </c>
      <c r="G47">
        <v>709.06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-0.63399398473047097</v>
      </c>
      <c r="Q47">
        <f t="shared" ref="Q47" si="211">F47*P47</f>
        <v>-24084.480488933496</v>
      </c>
      <c r="R47">
        <f t="shared" ref="R47" si="212">R48+Q47</f>
        <v>-4432634837.6364098</v>
      </c>
      <c r="S47">
        <f t="shared" ref="S47" si="213">R47/100000</f>
        <v>-44326.348376364098</v>
      </c>
      <c r="T47">
        <f t="shared" ref="T47" si="214">S47/1000</f>
        <v>-44.326348376364095</v>
      </c>
    </row>
    <row r="48" spans="1:20" x14ac:dyDescent="0.25">
      <c r="A48" s="5">
        <v>44545</v>
      </c>
      <c r="B48">
        <v>598.95000000000005</v>
      </c>
      <c r="C48">
        <v>820</v>
      </c>
      <c r="D48">
        <v>547.25</v>
      </c>
      <c r="E48">
        <v>707</v>
      </c>
      <c r="F48">
        <v>25063.35</v>
      </c>
      <c r="G48">
        <v>707</v>
      </c>
      <c r="L48" t="s">
        <v>7</v>
      </c>
      <c r="M48" t="s">
        <v>7</v>
      </c>
      <c r="N48" t="s">
        <v>8</v>
      </c>
      <c r="P48">
        <f t="shared" ref="P48" si="215">IF(C48=D48,0,((E48-D48)-(C48-E48))/(C48-D48))</f>
        <v>0.17140238313473877</v>
      </c>
      <c r="Q48">
        <f t="shared" ref="Q48" si="216">F48*P48</f>
        <v>4295.9179193400551</v>
      </c>
      <c r="R48">
        <f t="shared" ref="R48" si="217">R49+Q48</f>
        <v>-4432610753.155921</v>
      </c>
      <c r="S48">
        <f t="shared" ref="S48" si="218">R48/100000</f>
        <v>-44326.10753155921</v>
      </c>
      <c r="T48">
        <f t="shared" ref="T48" si="219">S48/1000</f>
        <v>-44.326107531559209</v>
      </c>
    </row>
    <row r="49" spans="1:20" x14ac:dyDescent="0.25">
      <c r="A49" s="5">
        <v>44544</v>
      </c>
      <c r="B49">
        <v>608.99</v>
      </c>
      <c r="C49">
        <v>625.99</v>
      </c>
      <c r="D49">
        <v>575.07000000000005</v>
      </c>
      <c r="E49">
        <v>598.16</v>
      </c>
      <c r="F49">
        <v>6524.92</v>
      </c>
      <c r="G49">
        <v>598.16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-9.3087195600945138E-2</v>
      </c>
      <c r="Q49">
        <f t="shared" ref="Q49" si="221">F49*P49</f>
        <v>-607.38650432051895</v>
      </c>
      <c r="R49">
        <f t="shared" ref="R49" si="222">R50+Q49</f>
        <v>-4432615049.0738401</v>
      </c>
      <c r="S49">
        <f t="shared" ref="S49" si="223">R49/100000</f>
        <v>-44326.150490738401</v>
      </c>
      <c r="T49">
        <f t="shared" ref="T49" si="224">S49/1000</f>
        <v>-44.326150490738399</v>
      </c>
    </row>
    <row r="50" spans="1:20" x14ac:dyDescent="0.25">
      <c r="A50" s="5">
        <v>44543</v>
      </c>
      <c r="B50">
        <v>732</v>
      </c>
      <c r="C50">
        <v>732.16</v>
      </c>
      <c r="D50">
        <v>597.27</v>
      </c>
      <c r="E50">
        <v>608.99</v>
      </c>
      <c r="F50">
        <v>7474.22</v>
      </c>
      <c r="G50">
        <v>608.99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-0.82622877900511482</v>
      </c>
      <c r="Q50">
        <f t="shared" ref="Q50" si="226">F50*P50</f>
        <v>-6175.4156646156098</v>
      </c>
      <c r="R50">
        <f t="shared" ref="R50" si="227">R51+Q50</f>
        <v>-4432614441.687336</v>
      </c>
      <c r="S50">
        <f t="shared" ref="S50" si="228">R50/100000</f>
        <v>-44326.144416873358</v>
      </c>
      <c r="T50">
        <f t="shared" ref="T50" si="229">S50/1000</f>
        <v>-44.326144416873355</v>
      </c>
    </row>
    <row r="51" spans="1:20" x14ac:dyDescent="0.25">
      <c r="A51" s="5">
        <v>44542</v>
      </c>
      <c r="B51">
        <v>802.23</v>
      </c>
      <c r="C51">
        <v>802.63</v>
      </c>
      <c r="D51">
        <v>687.68</v>
      </c>
      <c r="E51">
        <v>732.86</v>
      </c>
      <c r="F51">
        <v>9745.7999999999993</v>
      </c>
      <c r="G51">
        <v>732.86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-0.21391909525880737</v>
      </c>
      <c r="Q51">
        <f t="shared" ref="Q51" si="231">F51*P51</f>
        <v>-2084.8127185732847</v>
      </c>
      <c r="R51">
        <f t="shared" ref="R51" si="232">R52+Q51</f>
        <v>-4432608266.2716713</v>
      </c>
      <c r="S51">
        <f t="shared" ref="S51" si="233">R51/100000</f>
        <v>-44326.082662716712</v>
      </c>
      <c r="T51">
        <f t="shared" ref="T51" si="234">S51/1000</f>
        <v>-44.326082662716715</v>
      </c>
    </row>
    <row r="52" spans="1:20" x14ac:dyDescent="0.25">
      <c r="A52" s="5">
        <v>44541</v>
      </c>
      <c r="B52">
        <v>776.06</v>
      </c>
      <c r="C52">
        <v>781.17</v>
      </c>
      <c r="D52">
        <v>761.14</v>
      </c>
      <c r="E52">
        <v>776.35</v>
      </c>
      <c r="F52">
        <v>85.3</v>
      </c>
      <c r="G52">
        <v>776.35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0.51872191712431925</v>
      </c>
      <c r="Q52">
        <f t="shared" ref="Q52" si="236">F52*P52</f>
        <v>44.246979530704429</v>
      </c>
      <c r="R52">
        <f t="shared" ref="R52" si="237">R53+Q52</f>
        <v>-4432606181.4589529</v>
      </c>
      <c r="S52">
        <f t="shared" ref="S52" si="238">R52/100000</f>
        <v>-44326.061814589528</v>
      </c>
      <c r="T52">
        <f t="shared" ref="T52" si="239">S52/1000</f>
        <v>-44.326061814589529</v>
      </c>
    </row>
    <row r="53" spans="1:20" x14ac:dyDescent="0.25">
      <c r="A53" s="5">
        <v>44540</v>
      </c>
      <c r="B53">
        <v>791.01</v>
      </c>
      <c r="C53">
        <v>821.24</v>
      </c>
      <c r="D53">
        <v>761.03</v>
      </c>
      <c r="E53">
        <v>776.19</v>
      </c>
      <c r="F53">
        <v>2378.3200000000002</v>
      </c>
      <c r="G53">
        <v>776.19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-0.49642916459059716</v>
      </c>
      <c r="Q53">
        <f t="shared" ref="Q53" si="241">F53*P53</f>
        <v>-1180.6674107291092</v>
      </c>
      <c r="R53">
        <f t="shared" ref="R53" si="242">R54+Q53</f>
        <v>-4432606225.7059326</v>
      </c>
      <c r="S53">
        <f t="shared" ref="S53" si="243">R53/100000</f>
        <v>-44326.062257059326</v>
      </c>
      <c r="T53">
        <f t="shared" ref="T53" si="244">S53/1000</f>
        <v>-44.326062257059327</v>
      </c>
    </row>
    <row r="54" spans="1:20" x14ac:dyDescent="0.25">
      <c r="A54" s="5">
        <v>44539</v>
      </c>
      <c r="B54">
        <v>848.8</v>
      </c>
      <c r="C54">
        <v>881.11</v>
      </c>
      <c r="D54">
        <v>790.26</v>
      </c>
      <c r="E54">
        <v>791.66</v>
      </c>
      <c r="F54">
        <v>5299.47</v>
      </c>
      <c r="G54">
        <v>791.66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-0.96917996697853659</v>
      </c>
      <c r="Q54">
        <f t="shared" ref="Q54" si="246">F54*P54</f>
        <v>-5136.1401596037458</v>
      </c>
      <c r="R54">
        <f t="shared" ref="R54" si="247">R55+Q54</f>
        <v>-4432605045.0385218</v>
      </c>
      <c r="S54">
        <f t="shared" ref="S54" si="248">R54/100000</f>
        <v>-44326.050450385221</v>
      </c>
      <c r="T54">
        <f t="shared" ref="T54" si="249">S54/1000</f>
        <v>-44.326050450385218</v>
      </c>
    </row>
    <row r="55" spans="1:20" x14ac:dyDescent="0.25">
      <c r="A55" s="5">
        <v>44538</v>
      </c>
      <c r="B55">
        <v>862.92</v>
      </c>
      <c r="C55">
        <v>870.48</v>
      </c>
      <c r="D55">
        <v>802.23</v>
      </c>
      <c r="E55">
        <v>848.87</v>
      </c>
      <c r="F55">
        <v>3979.37</v>
      </c>
      <c r="G55">
        <v>848.87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0.36673992673992634</v>
      </c>
      <c r="Q55">
        <f t="shared" ref="Q55" si="251">F55*P55</f>
        <v>1459.3938622710607</v>
      </c>
      <c r="R55">
        <f t="shared" ref="R55" si="252">R56+Q55</f>
        <v>-4432599908.8983622</v>
      </c>
      <c r="S55">
        <f t="shared" ref="S55" si="253">R55/100000</f>
        <v>-44325.999088983619</v>
      </c>
      <c r="T55">
        <f t="shared" ref="T55" si="254">S55/1000</f>
        <v>-44.325999088983622</v>
      </c>
    </row>
    <row r="56" spans="1:20" x14ac:dyDescent="0.25">
      <c r="A56" s="5">
        <v>44537</v>
      </c>
      <c r="B56">
        <v>866.75</v>
      </c>
      <c r="C56">
        <v>913.29</v>
      </c>
      <c r="D56">
        <v>820.43</v>
      </c>
      <c r="E56">
        <v>867.61</v>
      </c>
      <c r="F56">
        <v>9757.7000000000007</v>
      </c>
      <c r="G56">
        <v>867.61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1.615334912772037E-2</v>
      </c>
      <c r="Q56">
        <f t="shared" ref="Q56" si="256">F56*P56</f>
        <v>157.61953478355707</v>
      </c>
      <c r="R56">
        <f t="shared" ref="R56" si="257">R57+Q56</f>
        <v>-4432601368.2922249</v>
      </c>
      <c r="S56">
        <f t="shared" ref="S56" si="258">R56/100000</f>
        <v>-44326.013682922247</v>
      </c>
      <c r="T56">
        <f t="shared" ref="T56" si="259">S56/1000</f>
        <v>-44.326013682922245</v>
      </c>
    </row>
    <row r="57" spans="1:20" x14ac:dyDescent="0.25">
      <c r="A57" s="5">
        <v>44536</v>
      </c>
      <c r="B57">
        <v>1090.6400000000001</v>
      </c>
      <c r="C57">
        <v>1093</v>
      </c>
      <c r="D57">
        <v>738.6</v>
      </c>
      <c r="E57">
        <v>866.04</v>
      </c>
      <c r="F57">
        <v>32559.62</v>
      </c>
      <c r="G57">
        <v>866.04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-0.28081264108352172</v>
      </c>
      <c r="Q57">
        <f t="shared" ref="Q57" si="261">F57*P57</f>
        <v>-9143.1528848758553</v>
      </c>
      <c r="R57">
        <f t="shared" ref="R57" si="262">R58+Q57</f>
        <v>-4432601525.9117594</v>
      </c>
      <c r="S57">
        <f t="shared" ref="S57" si="263">R57/100000</f>
        <v>-44326.015259117594</v>
      </c>
      <c r="T57">
        <f t="shared" ref="T57" si="264">S57/1000</f>
        <v>-44.326015259117597</v>
      </c>
    </row>
    <row r="58" spans="1:20" x14ac:dyDescent="0.25">
      <c r="A58" s="5">
        <v>44535</v>
      </c>
      <c r="B58">
        <v>807.97</v>
      </c>
      <c r="C58">
        <v>1137.28</v>
      </c>
      <c r="D58">
        <v>740.33</v>
      </c>
      <c r="E58">
        <v>1090.6400000000001</v>
      </c>
      <c r="F58">
        <v>16378.87</v>
      </c>
      <c r="G58">
        <v>1090.6400000000001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0.76500818742914789</v>
      </c>
      <c r="Q58">
        <f t="shared" ref="Q58" si="266">F58*P58</f>
        <v>12529.969650837647</v>
      </c>
      <c r="R58">
        <f t="shared" ref="R58" si="267">R59+Q58</f>
        <v>-4432592382.7588749</v>
      </c>
      <c r="S58">
        <f t="shared" ref="S58" si="268">R58/100000</f>
        <v>-44325.923827588747</v>
      </c>
      <c r="T58">
        <f t="shared" ref="T58" si="269">S58/1000</f>
        <v>-44.325923827588745</v>
      </c>
    </row>
    <row r="59" spans="1:20" x14ac:dyDescent="0.25">
      <c r="A59" s="5">
        <v>44534</v>
      </c>
      <c r="B59">
        <v>969.9</v>
      </c>
      <c r="C59">
        <v>969.9</v>
      </c>
      <c r="D59">
        <v>617.66</v>
      </c>
      <c r="E59">
        <v>807.34</v>
      </c>
      <c r="F59">
        <v>6991.33</v>
      </c>
      <c r="G59">
        <v>807.34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7.6992959345900849E-2</v>
      </c>
      <c r="Q59">
        <f t="shared" ref="Q59" si="271">F59*P59</f>
        <v>538.28318646377693</v>
      </c>
      <c r="R59">
        <f t="shared" ref="R59" si="272">R60+Q59</f>
        <v>-4432604912.7285261</v>
      </c>
      <c r="S59">
        <f t="shared" ref="S59" si="273">R59/100000</f>
        <v>-44326.04912728526</v>
      </c>
      <c r="T59">
        <f t="shared" ref="T59" si="274">S59/1000</f>
        <v>-44.326049127285259</v>
      </c>
    </row>
    <row r="60" spans="1:20" x14ac:dyDescent="0.25">
      <c r="A60" s="5">
        <v>44533</v>
      </c>
      <c r="B60">
        <v>1034.7</v>
      </c>
      <c r="C60">
        <v>1050.4000000000001</v>
      </c>
      <c r="D60">
        <v>908.67</v>
      </c>
      <c r="E60">
        <v>967.92</v>
      </c>
      <c r="F60">
        <v>5391.42</v>
      </c>
      <c r="G60">
        <v>967.92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-0.16390319621816207</v>
      </c>
      <c r="Q60">
        <f t="shared" ref="Q60" si="276">F60*P60</f>
        <v>-883.67097015452339</v>
      </c>
      <c r="R60">
        <f t="shared" ref="R60" si="277">R61+Q60</f>
        <v>-4432605451.011713</v>
      </c>
      <c r="S60">
        <f t="shared" ref="S60" si="278">R60/100000</f>
        <v>-44326.05451011713</v>
      </c>
      <c r="T60">
        <f t="shared" ref="T60" si="279">S60/1000</f>
        <v>-44.326054510117132</v>
      </c>
    </row>
    <row r="61" spans="1:20" x14ac:dyDescent="0.25">
      <c r="A61" s="5">
        <v>44532</v>
      </c>
      <c r="B61">
        <v>1081.1500000000001</v>
      </c>
      <c r="C61">
        <v>1138</v>
      </c>
      <c r="D61">
        <v>1028.03</v>
      </c>
      <c r="E61">
        <v>1035.8599999999999</v>
      </c>
      <c r="F61">
        <v>4248.55</v>
      </c>
      <c r="G61">
        <v>1035.8599999999999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-0.85759752659816446</v>
      </c>
      <c r="Q61">
        <f t="shared" ref="Q61" si="281">F61*P61</f>
        <v>-3643.5459716286318</v>
      </c>
      <c r="R61">
        <f t="shared" ref="R61" si="282">R62+Q61</f>
        <v>-4432604567.3407431</v>
      </c>
      <c r="S61">
        <f t="shared" ref="S61" si="283">R61/100000</f>
        <v>-44326.045673407432</v>
      </c>
      <c r="T61">
        <f t="shared" ref="T61" si="284">S61/1000</f>
        <v>-44.326045673407435</v>
      </c>
    </row>
    <row r="62" spans="1:20" x14ac:dyDescent="0.25">
      <c r="A62" s="5">
        <v>44531</v>
      </c>
      <c r="B62">
        <v>1077.26</v>
      </c>
      <c r="C62">
        <v>1157.99</v>
      </c>
      <c r="D62">
        <v>1065</v>
      </c>
      <c r="E62">
        <v>1078.6199999999999</v>
      </c>
      <c r="F62">
        <v>5732.33</v>
      </c>
      <c r="G62">
        <v>1078.6199999999999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-0.70706527583611378</v>
      </c>
      <c r="Q62">
        <f t="shared" ref="Q62" si="286">F62*P62</f>
        <v>-4053.1314926336299</v>
      </c>
      <c r="R62">
        <f t="shared" ref="R62" si="287">R63+Q62</f>
        <v>-4432600923.7947712</v>
      </c>
      <c r="S62">
        <f t="shared" ref="S62" si="288">R62/100000</f>
        <v>-44326.009237947714</v>
      </c>
      <c r="T62">
        <f t="shared" ref="T62" si="289">S62/1000</f>
        <v>-44.326009237947716</v>
      </c>
    </row>
    <row r="63" spans="1:20" x14ac:dyDescent="0.25">
      <c r="A63" s="5">
        <v>44530</v>
      </c>
      <c r="B63">
        <v>1120.5899999999999</v>
      </c>
      <c r="C63">
        <v>1130</v>
      </c>
      <c r="D63">
        <v>1051</v>
      </c>
      <c r="E63">
        <v>1080.6300000000001</v>
      </c>
      <c r="F63">
        <v>5088.13</v>
      </c>
      <c r="G63">
        <v>1080.6300000000001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-0.24987341772151622</v>
      </c>
      <c r="Q63">
        <f t="shared" ref="Q63" si="291">F63*P63</f>
        <v>-1271.3884329113785</v>
      </c>
      <c r="R63">
        <f t="shared" ref="R63" si="292">R64+Q63</f>
        <v>-4432596870.6632786</v>
      </c>
      <c r="S63">
        <f t="shared" ref="S63" si="293">R63/100000</f>
        <v>-44325.968706632782</v>
      </c>
      <c r="T63">
        <f t="shared" ref="T63" si="294">S63/1000</f>
        <v>-44.325968706632786</v>
      </c>
    </row>
    <row r="64" spans="1:20" x14ac:dyDescent="0.25">
      <c r="A64" s="5">
        <v>44529</v>
      </c>
      <c r="B64">
        <v>1181.8599999999999</v>
      </c>
      <c r="C64">
        <v>1195.81</v>
      </c>
      <c r="D64">
        <v>1105.01</v>
      </c>
      <c r="E64">
        <v>1120.5899999999999</v>
      </c>
      <c r="F64">
        <v>7116.02</v>
      </c>
      <c r="G64">
        <v>1120.5899999999999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-0.6568281938326006</v>
      </c>
      <c r="Q64">
        <f t="shared" ref="Q64" si="296">F64*P64</f>
        <v>-4674.0025638766629</v>
      </c>
      <c r="R64">
        <f t="shared" ref="R64" si="297">R65+Q64</f>
        <v>-4432595599.2748461</v>
      </c>
      <c r="S64">
        <f t="shared" ref="S64" si="298">R64/100000</f>
        <v>-44325.955992748459</v>
      </c>
      <c r="T64">
        <f t="shared" ref="T64" si="299">S64/1000</f>
        <v>-44.325955992748462</v>
      </c>
    </row>
    <row r="65" spans="1:20" x14ac:dyDescent="0.25">
      <c r="A65" s="5">
        <v>44528</v>
      </c>
      <c r="B65">
        <v>1036.92</v>
      </c>
      <c r="C65">
        <v>1342.28</v>
      </c>
      <c r="D65">
        <v>1000</v>
      </c>
      <c r="E65">
        <v>1179.54</v>
      </c>
      <c r="F65">
        <v>55934.71</v>
      </c>
      <c r="G65">
        <v>1179.54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4.9082622414397439E-2</v>
      </c>
      <c r="Q65">
        <f t="shared" ref="Q65" si="301">F65*P65</f>
        <v>2745.4222507888207</v>
      </c>
      <c r="R65">
        <f t="shared" ref="R65" si="302">R66+Q65</f>
        <v>-4432590925.2722826</v>
      </c>
      <c r="S65">
        <f t="shared" ref="S65" si="303">R65/100000</f>
        <v>-44325.909252722828</v>
      </c>
      <c r="T65">
        <f t="shared" ref="T65" si="304">S65/1000</f>
        <v>-44.32590925272283</v>
      </c>
    </row>
    <row r="66" spans="1:20" x14ac:dyDescent="0.25">
      <c r="A66" s="5">
        <v>44527</v>
      </c>
      <c r="B66">
        <v>1005.29</v>
      </c>
      <c r="C66">
        <v>1146.24</v>
      </c>
      <c r="D66">
        <v>988.99</v>
      </c>
      <c r="E66">
        <v>1036.1500000000001</v>
      </c>
      <c r="F66">
        <v>13395.02</v>
      </c>
      <c r="G66">
        <v>1036.1500000000001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-0.40019077901430739</v>
      </c>
      <c r="Q66">
        <f t="shared" ref="Q66" si="306">F66*P66</f>
        <v>-5360.5634887122278</v>
      </c>
      <c r="R66">
        <f t="shared" ref="R66" si="307">R67+Q66</f>
        <v>-4432593670.6945333</v>
      </c>
      <c r="S66">
        <f t="shared" ref="S66" si="308">R66/100000</f>
        <v>-44325.936706945336</v>
      </c>
      <c r="T66">
        <f t="shared" ref="T66" si="309">S66/1000</f>
        <v>-44.325936706945335</v>
      </c>
    </row>
    <row r="67" spans="1:20" x14ac:dyDescent="0.25">
      <c r="A67" s="5">
        <v>44526</v>
      </c>
      <c r="B67">
        <v>1203.1199999999999</v>
      </c>
      <c r="C67">
        <v>1260</v>
      </c>
      <c r="D67">
        <v>1003</v>
      </c>
      <c r="E67">
        <v>1005</v>
      </c>
      <c r="F67">
        <v>11151.21</v>
      </c>
      <c r="G67">
        <v>1005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-0.98443579766536971</v>
      </c>
      <c r="Q67">
        <f t="shared" ref="Q67" si="311">F67*P67</f>
        <v>-10977.650311284047</v>
      </c>
      <c r="R67">
        <f t="shared" ref="R67" si="312">R68+Q67</f>
        <v>-4432588310.1310444</v>
      </c>
      <c r="S67">
        <f t="shared" ref="S67" si="313">R67/100000</f>
        <v>-44325.883101310443</v>
      </c>
      <c r="T67">
        <f t="shared" ref="T67" si="314">S67/1000</f>
        <v>-44.325883101310446</v>
      </c>
    </row>
    <row r="68" spans="1:20" x14ac:dyDescent="0.25">
      <c r="A68" s="5">
        <v>44525</v>
      </c>
      <c r="B68">
        <v>1219.6199999999999</v>
      </c>
      <c r="C68">
        <v>1319</v>
      </c>
      <c r="D68">
        <v>1150</v>
      </c>
      <c r="E68">
        <v>1203.1099999999999</v>
      </c>
      <c r="F68">
        <v>11646.52</v>
      </c>
      <c r="G68">
        <v>1203.1099999999999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-0.37147928994082957</v>
      </c>
      <c r="Q68">
        <f t="shared" ref="Q68" si="316">F68*P68</f>
        <v>-4326.4409798816705</v>
      </c>
      <c r="R68">
        <f t="shared" ref="R68" si="317">R69+Q68</f>
        <v>-4432577332.4807329</v>
      </c>
      <c r="S68">
        <f t="shared" ref="S68" si="318">R68/100000</f>
        <v>-44325.773324807327</v>
      </c>
      <c r="T68">
        <f t="shared" ref="T68" si="319">S68/1000</f>
        <v>-44.325773324807329</v>
      </c>
    </row>
    <row r="69" spans="1:20" x14ac:dyDescent="0.25">
      <c r="A69" s="5">
        <v>44524</v>
      </c>
      <c r="B69">
        <v>1302</v>
      </c>
      <c r="C69">
        <v>1339.99</v>
      </c>
      <c r="D69">
        <v>1220</v>
      </c>
      <c r="E69">
        <v>1290.54</v>
      </c>
      <c r="F69">
        <v>2884.77</v>
      </c>
      <c r="G69">
        <v>1290.54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0.17576464705392048</v>
      </c>
      <c r="Q69">
        <f t="shared" ref="Q69" si="321">F69*P69</f>
        <v>507.04058088173815</v>
      </c>
      <c r="R69">
        <f t="shared" ref="R69" si="322">R70+Q69</f>
        <v>-4432573006.039753</v>
      </c>
      <c r="S69">
        <f t="shared" ref="S69" si="323">R69/100000</f>
        <v>-44325.730060397531</v>
      </c>
      <c r="T69">
        <f t="shared" ref="T69" si="324">S69/1000</f>
        <v>-44.325730060397532</v>
      </c>
    </row>
    <row r="70" spans="1:20" x14ac:dyDescent="0.25">
      <c r="A70" s="5">
        <v>44523</v>
      </c>
      <c r="B70">
        <v>1330.74</v>
      </c>
      <c r="C70">
        <v>1420</v>
      </c>
      <c r="D70">
        <v>1212.58</v>
      </c>
      <c r="E70">
        <v>1302</v>
      </c>
      <c r="F70">
        <v>14489.27</v>
      </c>
      <c r="G70">
        <v>1302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-0.13778806286761122</v>
      </c>
      <c r="Q70">
        <f t="shared" ref="Q70" si="326">F70*P70</f>
        <v>-1996.4484456657933</v>
      </c>
      <c r="R70">
        <f t="shared" ref="R70" si="327">R71+Q70</f>
        <v>-4432573513.0803337</v>
      </c>
      <c r="S70">
        <f t="shared" ref="S70" si="328">R70/100000</f>
        <v>-44325.735130803339</v>
      </c>
      <c r="T70">
        <f t="shared" ref="T70" si="329">S70/1000</f>
        <v>-44.325735130803338</v>
      </c>
    </row>
    <row r="71" spans="1:20" x14ac:dyDescent="0.25">
      <c r="A71" s="5">
        <v>44522</v>
      </c>
      <c r="B71">
        <v>1222.67</v>
      </c>
      <c r="C71">
        <v>1762.07</v>
      </c>
      <c r="D71">
        <v>1176.43</v>
      </c>
      <c r="E71">
        <v>1327.26</v>
      </c>
      <c r="F71">
        <v>67131.45</v>
      </c>
      <c r="G71">
        <v>1327.26</v>
      </c>
      <c r="L71" t="s">
        <v>8</v>
      </c>
      <c r="M71" t="s">
        <v>8</v>
      </c>
      <c r="N71" t="s">
        <v>8</v>
      </c>
      <c r="P71">
        <f t="shared" ref="P71" si="330">IF(C71=D71,0,((E71-D71)-(C71-E71))/(C71-D71))</f>
        <v>-0.48490540263643206</v>
      </c>
      <c r="Q71">
        <f t="shared" ref="Q71" si="331">F71*P71</f>
        <v>-32552.402791817505</v>
      </c>
      <c r="R71">
        <f t="shared" ref="R71" si="332">R72+Q71</f>
        <v>-4432571516.6318884</v>
      </c>
      <c r="S71">
        <f t="shared" ref="S71" si="333">R71/100000</f>
        <v>-44325.715166318885</v>
      </c>
      <c r="T71">
        <f t="shared" ref="T71" si="334">S71/1000</f>
        <v>-44.325715166318886</v>
      </c>
    </row>
    <row r="72" spans="1:20" x14ac:dyDescent="0.25">
      <c r="A72" s="5">
        <v>44521</v>
      </c>
      <c r="B72">
        <v>1213.3599999999999</v>
      </c>
      <c r="C72">
        <v>1290</v>
      </c>
      <c r="D72">
        <v>1064.9100000000001</v>
      </c>
      <c r="E72">
        <v>1227.33</v>
      </c>
      <c r="F72">
        <v>12633.04</v>
      </c>
      <c r="G72">
        <v>1227.33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0.4431560709049705</v>
      </c>
      <c r="Q72">
        <f t="shared" ref="Q72" si="336">F72*P72</f>
        <v>5598.408369985329</v>
      </c>
      <c r="R72">
        <f t="shared" ref="R72" si="337">R73+Q72</f>
        <v>-4432538964.2290964</v>
      </c>
      <c r="S72">
        <f t="shared" ref="S72" si="338">R72/100000</f>
        <v>-44325.389642290967</v>
      </c>
      <c r="T72">
        <f t="shared" ref="T72" si="339">S72/1000</f>
        <v>-44.325389642290965</v>
      </c>
    </row>
    <row r="73" spans="1:20" x14ac:dyDescent="0.25">
      <c r="A73" s="5">
        <v>44520</v>
      </c>
      <c r="B73">
        <v>1294.47</v>
      </c>
      <c r="C73">
        <v>1295</v>
      </c>
      <c r="D73">
        <v>1136.8399999999999</v>
      </c>
      <c r="E73">
        <v>1212.1099999999999</v>
      </c>
      <c r="F73">
        <v>10878.89</v>
      </c>
      <c r="G73">
        <v>1212.1099999999999</v>
      </c>
      <c r="L73" t="s">
        <v>7</v>
      </c>
      <c r="M73" t="s">
        <v>7</v>
      </c>
      <c r="N73" t="s">
        <v>7</v>
      </c>
      <c r="P73">
        <f t="shared" ref="P73" si="340">IF(C73=D73,0,((E73-D73)-(C73-E73))/(C73-D73))</f>
        <v>-4.8179059180577355E-2</v>
      </c>
      <c r="Q73">
        <f t="shared" ref="Q73" si="341">F73*P73</f>
        <v>-524.13468512899112</v>
      </c>
      <c r="R73">
        <f t="shared" ref="R73" si="342">R74+Q73</f>
        <v>-4432544562.6374664</v>
      </c>
      <c r="S73">
        <f t="shared" ref="S73" si="343">R73/100000</f>
        <v>-44325.445626374662</v>
      </c>
      <c r="T73">
        <f t="shared" ref="T73" si="344">S73/1000</f>
        <v>-44.325445626374659</v>
      </c>
    </row>
    <row r="74" spans="1:20" x14ac:dyDescent="0.25">
      <c r="A74" s="5">
        <v>44519</v>
      </c>
      <c r="B74">
        <v>1265.75</v>
      </c>
      <c r="C74">
        <v>1390</v>
      </c>
      <c r="D74">
        <v>1190</v>
      </c>
      <c r="E74">
        <v>1294.52</v>
      </c>
      <c r="F74">
        <v>11306.73</v>
      </c>
      <c r="G74">
        <v>1294.52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4.5199999999999817E-2</v>
      </c>
      <c r="Q74">
        <f t="shared" ref="Q74" si="346">F74*P74</f>
        <v>511.06419599999793</v>
      </c>
      <c r="R74">
        <f t="shared" ref="R74" si="347">R75+Q74</f>
        <v>-4432544038.5027809</v>
      </c>
      <c r="S74">
        <f t="shared" ref="S74" si="348">R74/100000</f>
        <v>-44325.44038502781</v>
      </c>
      <c r="T74">
        <f t="shared" ref="T74" si="349">S74/1000</f>
        <v>-44.325440385027811</v>
      </c>
    </row>
    <row r="75" spans="1:20" x14ac:dyDescent="0.25">
      <c r="A75" s="5">
        <v>44518</v>
      </c>
      <c r="B75">
        <v>1443.79</v>
      </c>
      <c r="C75">
        <v>1550</v>
      </c>
      <c r="D75">
        <v>1133.1600000000001</v>
      </c>
      <c r="E75">
        <v>1263.82</v>
      </c>
      <c r="F75">
        <v>16629.650000000001</v>
      </c>
      <c r="G75">
        <v>1263.82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-0.37309279339794704</v>
      </c>
      <c r="Q75">
        <f t="shared" ref="Q75" si="351">F75*P75</f>
        <v>-6204.4025717301702</v>
      </c>
      <c r="R75">
        <f t="shared" ref="R75" si="352">R76+Q75</f>
        <v>-4432544549.5669765</v>
      </c>
      <c r="S75">
        <f t="shared" ref="S75" si="353">R75/100000</f>
        <v>-44325.445495669766</v>
      </c>
      <c r="T75">
        <f t="shared" ref="T75" si="354">S75/1000</f>
        <v>-44.325445495669769</v>
      </c>
    </row>
    <row r="76" spans="1:20" x14ac:dyDescent="0.25">
      <c r="A76" s="5">
        <v>44517</v>
      </c>
      <c r="B76">
        <v>1585.06</v>
      </c>
      <c r="C76">
        <v>1585.36</v>
      </c>
      <c r="D76">
        <v>1366.65</v>
      </c>
      <c r="E76">
        <v>1443.05</v>
      </c>
      <c r="F76">
        <v>12411.39</v>
      </c>
      <c r="G76">
        <v>1443.05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-0.30135796259887587</v>
      </c>
      <c r="Q76">
        <f t="shared" ref="Q76" si="356">F76*P76</f>
        <v>-3740.2712034200617</v>
      </c>
      <c r="R76">
        <f t="shared" ref="R76" si="357">R77+Q76</f>
        <v>-4432538345.1644049</v>
      </c>
      <c r="S76">
        <f t="shared" ref="S76" si="358">R76/100000</f>
        <v>-44325.383451644047</v>
      </c>
      <c r="T76">
        <f t="shared" ref="T76" si="359">S76/1000</f>
        <v>-44.325383451644051</v>
      </c>
    </row>
    <row r="77" spans="1:20" x14ac:dyDescent="0.25">
      <c r="A77" s="5">
        <v>44516</v>
      </c>
      <c r="B77">
        <v>1640.02</v>
      </c>
      <c r="C77">
        <v>1809.5</v>
      </c>
      <c r="D77">
        <v>1480.3</v>
      </c>
      <c r="E77">
        <v>1586.67</v>
      </c>
      <c r="F77">
        <v>25518.78</v>
      </c>
      <c r="G77">
        <v>1586.67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-0.35376670716889363</v>
      </c>
      <c r="Q77">
        <f t="shared" ref="Q77" si="361">F77*P77</f>
        <v>-9027.6947715674196</v>
      </c>
      <c r="R77">
        <f t="shared" ref="R77" si="362">R78+Q77</f>
        <v>-4432534604.8932018</v>
      </c>
      <c r="S77">
        <f t="shared" ref="S77" si="363">R77/100000</f>
        <v>-44325.34604893202</v>
      </c>
      <c r="T77">
        <f t="shared" ref="T77" si="364">S77/1000</f>
        <v>-44.325346048932019</v>
      </c>
    </row>
    <row r="78" spans="1:20" x14ac:dyDescent="0.25">
      <c r="A78" s="5">
        <v>44515</v>
      </c>
      <c r="B78">
        <v>1674.09</v>
      </c>
      <c r="C78">
        <v>1939.16</v>
      </c>
      <c r="D78">
        <v>1448.88</v>
      </c>
      <c r="E78">
        <v>1640.01</v>
      </c>
      <c r="F78">
        <v>38020.74</v>
      </c>
      <c r="G78">
        <v>1640.01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-0.22032308068858655</v>
      </c>
      <c r="Q78">
        <f t="shared" ref="Q78" si="366">F78*P78</f>
        <v>-8376.8465668597692</v>
      </c>
      <c r="R78">
        <f t="shared" ref="R78" si="367">R79+Q78</f>
        <v>-4432525577.1984301</v>
      </c>
      <c r="S78">
        <f t="shared" ref="S78" si="368">R78/100000</f>
        <v>-44325.255771984303</v>
      </c>
      <c r="T78">
        <f t="shared" ref="T78" si="369">S78/1000</f>
        <v>-44.325255771984303</v>
      </c>
    </row>
    <row r="79" spans="1:20" x14ac:dyDescent="0.25">
      <c r="A79" s="5">
        <v>44514</v>
      </c>
      <c r="B79">
        <v>1655</v>
      </c>
      <c r="C79">
        <v>1850</v>
      </c>
      <c r="D79">
        <v>1433.11</v>
      </c>
      <c r="E79">
        <v>1670.04</v>
      </c>
      <c r="F79">
        <v>26354.2</v>
      </c>
      <c r="G79">
        <v>1670.04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0.13665475305236396</v>
      </c>
      <c r="Q79">
        <f t="shared" ref="Q79" si="371">F79*P79</f>
        <v>3601.4266928926104</v>
      </c>
      <c r="R79">
        <f t="shared" ref="R79" si="372">R80+Q79</f>
        <v>-4432517200.3518629</v>
      </c>
      <c r="S79">
        <f t="shared" ref="S79" si="373">R79/100000</f>
        <v>-44325.17200351863</v>
      </c>
      <c r="T79">
        <f t="shared" ref="T79" si="374">S79/1000</f>
        <v>-44.325172003518631</v>
      </c>
    </row>
    <row r="80" spans="1:20" x14ac:dyDescent="0.25">
      <c r="A80" s="5">
        <v>44513</v>
      </c>
      <c r="B80">
        <v>1490.44</v>
      </c>
      <c r="C80">
        <v>2065</v>
      </c>
      <c r="D80">
        <v>1460.61</v>
      </c>
      <c r="E80">
        <v>1658.01</v>
      </c>
      <c r="F80">
        <v>110874.11</v>
      </c>
      <c r="G80">
        <v>1658.01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-0.34677939740895758</v>
      </c>
      <c r="Q80">
        <f t="shared" ref="Q80" si="376">F80*P80</f>
        <v>-38448.857054054475</v>
      </c>
      <c r="R80">
        <f t="shared" ref="R80" si="377">R81+Q80</f>
        <v>-4432520801.7785559</v>
      </c>
      <c r="S80">
        <f t="shared" ref="S80" si="378">R80/100000</f>
        <v>-44325.208017785561</v>
      </c>
      <c r="T80">
        <f t="shared" ref="T80" si="379">S80/1000</f>
        <v>-44.325208017785563</v>
      </c>
    </row>
    <row r="81" spans="1:20" x14ac:dyDescent="0.25">
      <c r="A81" s="5">
        <v>44512</v>
      </c>
      <c r="B81">
        <v>1049.3499999999999</v>
      </c>
      <c r="C81">
        <v>1542.21</v>
      </c>
      <c r="D81">
        <v>930.42</v>
      </c>
      <c r="E81">
        <v>1490.57</v>
      </c>
      <c r="F81">
        <v>23772.46</v>
      </c>
      <c r="G81">
        <v>1490.57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0.83118390297324218</v>
      </c>
      <c r="Q81">
        <f t="shared" ref="Q81" si="381">F81*P81</f>
        <v>19759.286086075281</v>
      </c>
      <c r="R81">
        <f t="shared" ref="R81" si="382">R82+Q81</f>
        <v>-4432482352.9215021</v>
      </c>
      <c r="S81">
        <f t="shared" ref="S81" si="383">R81/100000</f>
        <v>-44324.82352921502</v>
      </c>
      <c r="T81">
        <f t="shared" ref="T81" si="384">S81/1000</f>
        <v>-44.324823529215017</v>
      </c>
    </row>
    <row r="82" spans="1:20" x14ac:dyDescent="0.25">
      <c r="A82" s="5">
        <v>44511</v>
      </c>
      <c r="B82">
        <v>1123.9000000000001</v>
      </c>
      <c r="C82">
        <v>1400</v>
      </c>
      <c r="D82">
        <v>1030</v>
      </c>
      <c r="E82">
        <v>1056.0899999999999</v>
      </c>
      <c r="F82">
        <v>70465.23</v>
      </c>
      <c r="G82">
        <v>1056.0899999999999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-0.85897297297297337</v>
      </c>
      <c r="Q82">
        <f t="shared" ref="Q82" si="386">F82*P82</f>
        <v>-60527.728104324349</v>
      </c>
      <c r="R82">
        <f t="shared" ref="R82" si="387">R83+Q82</f>
        <v>-4432502112.2075882</v>
      </c>
      <c r="S82">
        <f t="shared" ref="S82" si="388">R82/100000</f>
        <v>-44325.021122075879</v>
      </c>
      <c r="T82">
        <f t="shared" ref="T82" si="389">S82/1000</f>
        <v>-44.325021122075881</v>
      </c>
    </row>
    <row r="83" spans="1:20" x14ac:dyDescent="0.25">
      <c r="A83" s="5">
        <v>44510</v>
      </c>
      <c r="B83">
        <v>807.49</v>
      </c>
      <c r="C83">
        <v>1370.41</v>
      </c>
      <c r="D83">
        <v>661.5</v>
      </c>
      <c r="E83">
        <v>1130.06</v>
      </c>
      <c r="F83">
        <v>243906.41497000001</v>
      </c>
      <c r="G83">
        <v>1130.06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0.32191674542607635</v>
      </c>
      <c r="Q83">
        <f t="shared" ref="Q83" si="391">F83*P83</f>
        <v>78517.559295684434</v>
      </c>
      <c r="R83">
        <f t="shared" ref="R83" si="392">R84+Q83</f>
        <v>-4432441584.4794836</v>
      </c>
      <c r="S83">
        <f t="shared" ref="S83" si="393">R83/100000</f>
        <v>-44324.415844794836</v>
      </c>
      <c r="T83">
        <f t="shared" ref="T83" si="394">S83/1000</f>
        <v>-44.324415844794835</v>
      </c>
    </row>
    <row r="84" spans="1:20" x14ac:dyDescent="0.25">
      <c r="A84" s="5">
        <v>44509</v>
      </c>
      <c r="B84">
        <v>446.44</v>
      </c>
      <c r="C84">
        <v>819</v>
      </c>
      <c r="D84">
        <v>414.71</v>
      </c>
      <c r="E84">
        <v>804</v>
      </c>
      <c r="F84">
        <v>93979.351290000006</v>
      </c>
      <c r="G84">
        <v>804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0.92579583962007472</v>
      </c>
      <c r="Q84">
        <f t="shared" ref="Q84" si="396">F84*P84</f>
        <v>87005.69243447551</v>
      </c>
      <c r="R84">
        <f t="shared" ref="R84" si="397">R85+Q84</f>
        <v>-4432520102.0387793</v>
      </c>
      <c r="S84">
        <f t="shared" ref="S84" si="398">R84/100000</f>
        <v>-44325.201020387794</v>
      </c>
      <c r="T84">
        <f t="shared" ref="T84" si="399">S84/1000</f>
        <v>-44.325201020387794</v>
      </c>
    </row>
    <row r="85" spans="1:20" x14ac:dyDescent="0.25">
      <c r="A85" s="5">
        <v>44508</v>
      </c>
      <c r="B85">
        <v>357.87</v>
      </c>
      <c r="C85">
        <v>450</v>
      </c>
      <c r="D85">
        <v>353.36</v>
      </c>
      <c r="E85">
        <v>446.08</v>
      </c>
      <c r="F85">
        <v>11036.04</v>
      </c>
      <c r="G85">
        <v>446.08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0.9188741721854301</v>
      </c>
      <c r="Q85">
        <f t="shared" ref="Q85" si="401">F85*P85</f>
        <v>10140.732119205295</v>
      </c>
      <c r="R85">
        <f t="shared" ref="R85" si="402">R86+Q85</f>
        <v>-4432607107.7312136</v>
      </c>
      <c r="S85">
        <f t="shared" ref="S85" si="403">R85/100000</f>
        <v>-44326.071077312139</v>
      </c>
      <c r="T85">
        <f t="shared" ref="T85" si="404">S85/1000</f>
        <v>-44.326071077312136</v>
      </c>
    </row>
    <row r="86" spans="1:20" x14ac:dyDescent="0.25">
      <c r="A86" s="5">
        <v>44507</v>
      </c>
      <c r="B86">
        <v>337.98</v>
      </c>
      <c r="C86">
        <v>418</v>
      </c>
      <c r="D86">
        <v>328.18</v>
      </c>
      <c r="E86">
        <v>357.86</v>
      </c>
      <c r="F86">
        <v>13664.75</v>
      </c>
      <c r="G86">
        <v>357.86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-0.33912268982409244</v>
      </c>
      <c r="Q86">
        <f t="shared" ref="Q86" si="406">F86*P86</f>
        <v>-4634.0267757737674</v>
      </c>
      <c r="R86">
        <f t="shared" ref="R86" si="407">R87+Q86</f>
        <v>-4432617248.4633331</v>
      </c>
      <c r="S86">
        <f t="shared" ref="S86" si="408">R86/100000</f>
        <v>-44326.172484633331</v>
      </c>
      <c r="T86">
        <f t="shared" ref="T86" si="409">S86/1000</f>
        <v>-44.326172484633332</v>
      </c>
    </row>
    <row r="87" spans="1:20" x14ac:dyDescent="0.25">
      <c r="A87" s="5">
        <v>44506</v>
      </c>
      <c r="B87">
        <v>328.88</v>
      </c>
      <c r="C87">
        <v>339.02</v>
      </c>
      <c r="D87">
        <v>315.81</v>
      </c>
      <c r="E87">
        <v>337.97</v>
      </c>
      <c r="F87">
        <v>2464.29</v>
      </c>
      <c r="G87">
        <v>337.97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0.90952175786299394</v>
      </c>
      <c r="Q87">
        <f t="shared" ref="Q87" si="411">F87*P87</f>
        <v>2241.3253726841972</v>
      </c>
      <c r="R87">
        <f t="shared" ref="R87" si="412">R88+Q87</f>
        <v>-4432612614.4365578</v>
      </c>
      <c r="S87">
        <f t="shared" ref="S87" si="413">R87/100000</f>
        <v>-44326.126144365575</v>
      </c>
      <c r="T87">
        <f t="shared" ref="T87" si="414">S87/1000</f>
        <v>-44.326126144365574</v>
      </c>
    </row>
    <row r="88" spans="1:20" x14ac:dyDescent="0.25">
      <c r="A88" s="5">
        <v>44505</v>
      </c>
      <c r="B88">
        <v>330.82</v>
      </c>
      <c r="C88">
        <v>339.29</v>
      </c>
      <c r="D88">
        <v>322.20999999999998</v>
      </c>
      <c r="E88">
        <v>328.88</v>
      </c>
      <c r="F88">
        <v>3253.9</v>
      </c>
      <c r="G88">
        <v>328.88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-0.21896955503512883</v>
      </c>
      <c r="Q88">
        <f t="shared" ref="Q88" si="416">F88*P88</f>
        <v>-712.50503512880573</v>
      </c>
      <c r="R88">
        <f t="shared" ref="R88" si="417">R89+Q88</f>
        <v>-4432614855.7619305</v>
      </c>
      <c r="S88">
        <f t="shared" ref="S88" si="418">R88/100000</f>
        <v>-44326.148557619308</v>
      </c>
      <c r="T88">
        <f t="shared" ref="T88" si="419">S88/1000</f>
        <v>-44.326148557619305</v>
      </c>
    </row>
    <row r="89" spans="1:20" x14ac:dyDescent="0.25">
      <c r="A89" s="5">
        <v>44504</v>
      </c>
      <c r="B89">
        <v>358.78</v>
      </c>
      <c r="C89">
        <v>359.86</v>
      </c>
      <c r="D89">
        <v>320.60000000000002</v>
      </c>
      <c r="E89">
        <v>329.99</v>
      </c>
      <c r="F89">
        <v>6132</v>
      </c>
      <c r="G89">
        <v>329.99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-0.52165053489556856</v>
      </c>
      <c r="Q89">
        <f t="shared" ref="Q89" si="421">F89*P89</f>
        <v>-3198.7610799796266</v>
      </c>
      <c r="R89">
        <f t="shared" ref="R89" si="422">R90+Q89</f>
        <v>-4432614143.2568951</v>
      </c>
      <c r="S89">
        <f t="shared" ref="S89" si="423">R89/100000</f>
        <v>-44326.141432568947</v>
      </c>
      <c r="T89">
        <f t="shared" ref="T89" si="424">S89/1000</f>
        <v>-44.326141432568946</v>
      </c>
    </row>
    <row r="90" spans="1:20" x14ac:dyDescent="0.25">
      <c r="A90" s="5">
        <v>44503</v>
      </c>
      <c r="B90">
        <v>371.27</v>
      </c>
      <c r="C90">
        <v>377.74</v>
      </c>
      <c r="D90">
        <v>350</v>
      </c>
      <c r="E90">
        <v>358.75</v>
      </c>
      <c r="F90">
        <v>2747.82</v>
      </c>
      <c r="G90">
        <v>358.75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-0.36914203316510474</v>
      </c>
      <c r="Q90">
        <f t="shared" ref="Q90" si="426">F90*P90</f>
        <v>-1014.3358615717382</v>
      </c>
      <c r="R90">
        <f t="shared" ref="R90" si="427">R91+Q90</f>
        <v>-4432610944.4958153</v>
      </c>
      <c r="S90">
        <f t="shared" ref="S90" si="428">R90/100000</f>
        <v>-44326.109444958151</v>
      </c>
      <c r="T90">
        <f t="shared" ref="T90" si="429">S90/1000</f>
        <v>-44.326109444958149</v>
      </c>
    </row>
    <row r="91" spans="1:20" x14ac:dyDescent="0.25">
      <c r="A91" s="5">
        <v>44502</v>
      </c>
      <c r="B91">
        <v>365.93</v>
      </c>
      <c r="C91">
        <v>380</v>
      </c>
      <c r="D91">
        <v>361.4</v>
      </c>
      <c r="E91">
        <v>371.27</v>
      </c>
      <c r="F91">
        <v>2016.19</v>
      </c>
      <c r="G91">
        <v>371.27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6.1290322580644353E-2</v>
      </c>
      <c r="Q91">
        <f t="shared" ref="Q91" si="431">F91*P91</f>
        <v>123.57293548386934</v>
      </c>
      <c r="R91">
        <f t="shared" ref="R91" si="432">R92+Q91</f>
        <v>-4432609930.1599541</v>
      </c>
      <c r="S91">
        <f t="shared" ref="S91" si="433">R91/100000</f>
        <v>-44326.099301599541</v>
      </c>
      <c r="T91">
        <f t="shared" ref="T91" si="434">S91/1000</f>
        <v>-44.326099301599541</v>
      </c>
    </row>
    <row r="92" spans="1:20" x14ac:dyDescent="0.25">
      <c r="A92" s="5">
        <v>44501</v>
      </c>
      <c r="B92">
        <v>366.98</v>
      </c>
      <c r="C92">
        <v>376.85</v>
      </c>
      <c r="D92">
        <v>355</v>
      </c>
      <c r="E92">
        <v>366.16</v>
      </c>
      <c r="F92">
        <v>1680.65</v>
      </c>
      <c r="G92">
        <v>366.16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2.1510297482838756E-2</v>
      </c>
      <c r="Q92">
        <f t="shared" ref="Q92" si="436">F92*P92</f>
        <v>36.151281464532957</v>
      </c>
      <c r="R92">
        <f t="shared" ref="R92" si="437">R93+Q92</f>
        <v>-4432610053.7328892</v>
      </c>
      <c r="S92">
        <f t="shared" ref="S92" si="438">R92/100000</f>
        <v>-44326.100537328894</v>
      </c>
      <c r="T92">
        <f t="shared" ref="T92" si="439">S92/1000</f>
        <v>-44.326100537328891</v>
      </c>
    </row>
    <row r="93" spans="1:20" x14ac:dyDescent="0.25">
      <c r="A93" s="5">
        <v>44500</v>
      </c>
      <c r="B93">
        <v>370.91</v>
      </c>
      <c r="C93">
        <v>376.72</v>
      </c>
      <c r="D93">
        <v>355.39</v>
      </c>
      <c r="E93">
        <v>366.33</v>
      </c>
      <c r="F93">
        <v>1606.44</v>
      </c>
      <c r="G93">
        <v>366.33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2.5785278949833731E-2</v>
      </c>
      <c r="Q93">
        <f t="shared" ref="Q93" si="441">F93*P93</f>
        <v>41.422503516170899</v>
      </c>
      <c r="R93">
        <f t="shared" ref="R93" si="442">R94+Q93</f>
        <v>-4432610089.8841705</v>
      </c>
      <c r="S93">
        <f t="shared" ref="S93" si="443">R93/100000</f>
        <v>-44326.100898841709</v>
      </c>
      <c r="T93">
        <f t="shared" ref="T93" si="444">S93/1000</f>
        <v>-44.326100898841709</v>
      </c>
    </row>
    <row r="94" spans="1:20" x14ac:dyDescent="0.25">
      <c r="A94" s="5">
        <v>44499</v>
      </c>
      <c r="B94">
        <v>386.85</v>
      </c>
      <c r="C94">
        <v>392.44</v>
      </c>
      <c r="D94">
        <v>365.71</v>
      </c>
      <c r="E94">
        <v>371.84</v>
      </c>
      <c r="F94">
        <v>1587.61</v>
      </c>
      <c r="G94">
        <v>371.84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-0.54133931911709754</v>
      </c>
      <c r="Q94">
        <f t="shared" ref="Q94" si="446">F94*P94</f>
        <v>-859.43571642349514</v>
      </c>
      <c r="R94">
        <f t="shared" ref="R94" si="447">R95+Q94</f>
        <v>-4432610131.306674</v>
      </c>
      <c r="S94">
        <f t="shared" ref="S94" si="448">R94/100000</f>
        <v>-44326.101313066742</v>
      </c>
      <c r="T94">
        <f t="shared" ref="T94" si="449">S94/1000</f>
        <v>-44.326101313066744</v>
      </c>
    </row>
    <row r="95" spans="1:20" x14ac:dyDescent="0.25">
      <c r="A95" s="5">
        <v>44498</v>
      </c>
      <c r="B95">
        <v>384</v>
      </c>
      <c r="C95">
        <v>398.08</v>
      </c>
      <c r="D95">
        <v>374.88</v>
      </c>
      <c r="E95">
        <v>386.84</v>
      </c>
      <c r="F95">
        <v>3813.71</v>
      </c>
      <c r="G95">
        <v>386.84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3.103448275861943E-2</v>
      </c>
      <c r="Q95">
        <f t="shared" ref="Q95" si="451">F95*P95</f>
        <v>118.3565172413745</v>
      </c>
      <c r="R95">
        <f t="shared" ref="R95" si="452">R96+Q95</f>
        <v>-4432609271.8709574</v>
      </c>
      <c r="S95">
        <f t="shared" ref="S95" si="453">R95/100000</f>
        <v>-44326.092718709573</v>
      </c>
      <c r="T95">
        <f t="shared" ref="T95" si="454">S95/1000</f>
        <v>-44.326092718709575</v>
      </c>
    </row>
    <row r="96" spans="1:20" x14ac:dyDescent="0.25">
      <c r="A96" s="5">
        <v>44497</v>
      </c>
      <c r="B96">
        <v>350.51</v>
      </c>
      <c r="C96">
        <v>400</v>
      </c>
      <c r="D96">
        <v>350</v>
      </c>
      <c r="E96">
        <v>384.93</v>
      </c>
      <c r="F96">
        <v>9149.4699999999993</v>
      </c>
      <c r="G96">
        <v>384.93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0.39720000000000028</v>
      </c>
      <c r="Q96">
        <f t="shared" ref="Q96" si="456">F96*P96</f>
        <v>3634.1694840000023</v>
      </c>
      <c r="R96">
        <f t="shared" ref="R96" si="457">R97+Q96</f>
        <v>-4432609390.2274742</v>
      </c>
      <c r="S96">
        <f t="shared" ref="S96" si="458">R96/100000</f>
        <v>-44326.093902274741</v>
      </c>
      <c r="T96">
        <f t="shared" ref="T96" si="459">S96/1000</f>
        <v>-44.326093902274742</v>
      </c>
    </row>
    <row r="97" spans="1:20" x14ac:dyDescent="0.25">
      <c r="A97" s="5">
        <v>44496</v>
      </c>
      <c r="B97">
        <v>384.9</v>
      </c>
      <c r="C97">
        <v>394.3</v>
      </c>
      <c r="D97">
        <v>350</v>
      </c>
      <c r="E97">
        <v>350.51</v>
      </c>
      <c r="F97">
        <v>6435.24</v>
      </c>
      <c r="G97">
        <v>350.51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-0.9769751693002261</v>
      </c>
      <c r="Q97">
        <f t="shared" ref="Q97" si="461">F97*P97</f>
        <v>-6287.069688487587</v>
      </c>
      <c r="R97">
        <f t="shared" ref="R97" si="462">R98+Q97</f>
        <v>-4432613024.3969584</v>
      </c>
      <c r="S97">
        <f t="shared" ref="S97" si="463">R97/100000</f>
        <v>-44326.130243969586</v>
      </c>
      <c r="T97">
        <f t="shared" ref="T97" si="464">S97/1000</f>
        <v>-44.326130243969587</v>
      </c>
    </row>
    <row r="98" spans="1:20" x14ac:dyDescent="0.25">
      <c r="A98" s="5">
        <v>44495</v>
      </c>
      <c r="B98">
        <v>382.99</v>
      </c>
      <c r="C98">
        <v>442</v>
      </c>
      <c r="D98">
        <v>376.11</v>
      </c>
      <c r="E98">
        <v>384.89</v>
      </c>
      <c r="F98">
        <v>17375.5</v>
      </c>
      <c r="G98">
        <v>384.89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-0.73349521930490291</v>
      </c>
      <c r="Q98">
        <f t="shared" ref="Q98" si="466">F98*P98</f>
        <v>-12744.846183032341</v>
      </c>
      <c r="R98">
        <f t="shared" ref="R98" si="467">R99+Q98</f>
        <v>-4432606737.3272696</v>
      </c>
      <c r="S98">
        <f t="shared" ref="S98" si="468">R98/100000</f>
        <v>-44326.067373272694</v>
      </c>
      <c r="T98">
        <f t="shared" ref="T98" si="469">S98/1000</f>
        <v>-44.326067373272693</v>
      </c>
    </row>
    <row r="99" spans="1:20" x14ac:dyDescent="0.25">
      <c r="A99" s="5">
        <v>44494</v>
      </c>
      <c r="B99">
        <v>333.85</v>
      </c>
      <c r="C99">
        <v>450</v>
      </c>
      <c r="D99">
        <v>331.66</v>
      </c>
      <c r="E99">
        <v>383</v>
      </c>
      <c r="F99">
        <v>57952.59</v>
      </c>
      <c r="G99">
        <v>383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-0.13233057292546924</v>
      </c>
      <c r="Q99">
        <f t="shared" ref="Q99" si="471">F99*P99</f>
        <v>-7668.899437214819</v>
      </c>
      <c r="R99">
        <f t="shared" ref="R99" si="472">R100+Q99</f>
        <v>-4432593992.4810867</v>
      </c>
      <c r="S99">
        <f t="shared" ref="S99" si="473">R99/100000</f>
        <v>-44325.939924810868</v>
      </c>
      <c r="T99">
        <f t="shared" ref="T99" si="474">S99/1000</f>
        <v>-44.325939924810868</v>
      </c>
    </row>
    <row r="100" spans="1:20" x14ac:dyDescent="0.25">
      <c r="A100" s="5">
        <v>44493</v>
      </c>
      <c r="B100">
        <v>328.36</v>
      </c>
      <c r="C100">
        <v>358.99</v>
      </c>
      <c r="D100">
        <v>320.64</v>
      </c>
      <c r="E100">
        <v>334.95</v>
      </c>
      <c r="F100">
        <v>8425.18</v>
      </c>
      <c r="G100">
        <v>334.95</v>
      </c>
      <c r="L100" t="s">
        <v>8</v>
      </c>
      <c r="M100" t="s">
        <v>7</v>
      </c>
      <c r="N100" t="s">
        <v>8</v>
      </c>
      <c r="P100">
        <f t="shared" ref="P100" si="475">IF(C100=D100,0,((E100-D100)-(C100-E100))/(C100-D100))</f>
        <v>-0.25371577574967435</v>
      </c>
      <c r="Q100">
        <f t="shared" ref="Q100" si="476">F100*P100</f>
        <v>-2137.6010795306415</v>
      </c>
      <c r="R100">
        <f t="shared" ref="R100" si="477">R101+Q100</f>
        <v>-4432586323.5816498</v>
      </c>
      <c r="S100">
        <f t="shared" ref="S100" si="478">R100/100000</f>
        <v>-44325.863235816498</v>
      </c>
      <c r="T100">
        <f t="shared" ref="T100" si="479">S100/1000</f>
        <v>-44.325863235816499</v>
      </c>
    </row>
    <row r="101" spans="1:20" x14ac:dyDescent="0.25">
      <c r="A101" s="5">
        <v>44492</v>
      </c>
      <c r="B101">
        <v>312.69</v>
      </c>
      <c r="C101">
        <v>349</v>
      </c>
      <c r="D101">
        <v>310.25</v>
      </c>
      <c r="E101">
        <v>328</v>
      </c>
      <c r="F101">
        <v>7175.01</v>
      </c>
      <c r="G101">
        <v>328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-8.387096774193549E-2</v>
      </c>
      <c r="Q101">
        <f t="shared" ref="Q101" si="481">F101*P101</f>
        <v>-601.77503225806458</v>
      </c>
      <c r="R101">
        <f t="shared" ref="R101" si="482">R102+Q101</f>
        <v>-4432584185.9805698</v>
      </c>
      <c r="S101">
        <f t="shared" ref="S101" si="483">R101/100000</f>
        <v>-44325.841859805696</v>
      </c>
      <c r="T101">
        <f t="shared" ref="T101" si="484">S101/1000</f>
        <v>-44.325841859805699</v>
      </c>
    </row>
    <row r="102" spans="1:20" x14ac:dyDescent="0.25">
      <c r="A102" s="5">
        <v>44491</v>
      </c>
      <c r="B102">
        <v>315.45</v>
      </c>
      <c r="C102">
        <v>327.12</v>
      </c>
      <c r="D102">
        <v>310</v>
      </c>
      <c r="E102">
        <v>312.69</v>
      </c>
      <c r="F102">
        <v>1719.41</v>
      </c>
      <c r="G102">
        <v>312.69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-0.68574766355140226</v>
      </c>
      <c r="Q102">
        <f t="shared" ref="Q102" si="486">F102*P102</f>
        <v>-1179.0813901869167</v>
      </c>
      <c r="R102">
        <f t="shared" ref="R102" si="487">R103+Q102</f>
        <v>-4432583584.2055378</v>
      </c>
      <c r="S102">
        <f t="shared" ref="S102" si="488">R102/100000</f>
        <v>-44325.835842055378</v>
      </c>
      <c r="T102">
        <f t="shared" ref="T102" si="489">S102/1000</f>
        <v>-44.325835842055376</v>
      </c>
    </row>
    <row r="103" spans="1:20" x14ac:dyDescent="0.25">
      <c r="A103" s="5">
        <v>44490</v>
      </c>
      <c r="B103">
        <v>322.61</v>
      </c>
      <c r="C103">
        <v>340.37</v>
      </c>
      <c r="D103">
        <v>313</v>
      </c>
      <c r="E103">
        <v>314.74</v>
      </c>
      <c r="F103">
        <v>2977.67</v>
      </c>
      <c r="G103">
        <v>314.74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-0.87285348922177497</v>
      </c>
      <c r="Q103">
        <f t="shared" ref="Q103" si="491">F103*P103</f>
        <v>-2599.0696492510028</v>
      </c>
      <c r="R103">
        <f t="shared" ref="R103" si="492">R104+Q103</f>
        <v>-4432582405.1241474</v>
      </c>
      <c r="S103">
        <f t="shared" ref="S103" si="493">R103/100000</f>
        <v>-44325.824051241478</v>
      </c>
      <c r="T103">
        <f t="shared" ref="T103" si="494">S103/1000</f>
        <v>-44.325824051241476</v>
      </c>
    </row>
    <row r="104" spans="1:20" x14ac:dyDescent="0.25">
      <c r="A104" s="5">
        <v>44489</v>
      </c>
      <c r="B104">
        <v>311.64999999999998</v>
      </c>
      <c r="C104">
        <v>325</v>
      </c>
      <c r="D104">
        <v>306.58999999999997</v>
      </c>
      <c r="E104">
        <v>322.45</v>
      </c>
      <c r="F104">
        <v>4022.7</v>
      </c>
      <c r="G104">
        <v>322.45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0.72297664312873355</v>
      </c>
      <c r="Q104">
        <f t="shared" ref="Q104" si="496">F104*P104</f>
        <v>2908.3181423139563</v>
      </c>
      <c r="R104">
        <f t="shared" ref="R104" si="497">R105+Q104</f>
        <v>-4432579806.0544977</v>
      </c>
      <c r="S104">
        <f t="shared" ref="S104" si="498">R104/100000</f>
        <v>-44325.798060544977</v>
      </c>
      <c r="T104">
        <f t="shared" ref="T104" si="499">S104/1000</f>
        <v>-44.325798060544976</v>
      </c>
    </row>
    <row r="105" spans="1:20" x14ac:dyDescent="0.25">
      <c r="A105" s="5">
        <v>44488</v>
      </c>
      <c r="B105">
        <v>309.29000000000002</v>
      </c>
      <c r="C105">
        <v>315.3</v>
      </c>
      <c r="D105">
        <v>304</v>
      </c>
      <c r="E105">
        <v>312.07</v>
      </c>
      <c r="F105">
        <v>2372.0500000000002</v>
      </c>
      <c r="G105">
        <v>312.07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0.42831858407079382</v>
      </c>
      <c r="Q105">
        <f t="shared" ref="Q105" si="501">F105*P105</f>
        <v>1015.9930973451266</v>
      </c>
      <c r="R105">
        <f t="shared" ref="R105" si="502">R106+Q105</f>
        <v>-4432582714.3726397</v>
      </c>
      <c r="S105">
        <f t="shared" ref="S105" si="503">R105/100000</f>
        <v>-44325.827143726397</v>
      </c>
      <c r="T105">
        <f t="shared" ref="T105" si="504">S105/1000</f>
        <v>-44.3258271437264</v>
      </c>
    </row>
    <row r="106" spans="1:20" x14ac:dyDescent="0.25">
      <c r="A106" s="5">
        <v>44487</v>
      </c>
      <c r="B106">
        <v>309.74</v>
      </c>
      <c r="C106">
        <v>314.61</v>
      </c>
      <c r="D106">
        <v>304</v>
      </c>
      <c r="E106">
        <v>308.69</v>
      </c>
      <c r="F106">
        <v>2982.25</v>
      </c>
      <c r="G106">
        <v>308.69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-0.11592836946277253</v>
      </c>
      <c r="Q106">
        <f t="shared" ref="Q106" si="506">F106*P106</f>
        <v>-345.72737983035336</v>
      </c>
      <c r="R106">
        <f t="shared" ref="R106" si="507">R107+Q106</f>
        <v>-4432583730.365737</v>
      </c>
      <c r="S106">
        <f t="shared" ref="S106" si="508">R106/100000</f>
        <v>-44325.837303657368</v>
      </c>
      <c r="T106">
        <f t="shared" ref="T106" si="509">S106/1000</f>
        <v>-44.325837303657366</v>
      </c>
    </row>
    <row r="107" spans="1:20" x14ac:dyDescent="0.25">
      <c r="A107" s="5">
        <v>44486</v>
      </c>
      <c r="B107">
        <v>311.41000000000003</v>
      </c>
      <c r="C107">
        <v>316.97000000000003</v>
      </c>
      <c r="D107">
        <v>304</v>
      </c>
      <c r="E107">
        <v>311</v>
      </c>
      <c r="F107">
        <v>4295.43</v>
      </c>
      <c r="G107">
        <v>311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7.9414032382418703E-2</v>
      </c>
      <c r="Q107">
        <f t="shared" ref="Q107" si="511">F107*P107</f>
        <v>341.11741711641281</v>
      </c>
      <c r="R107">
        <f t="shared" ref="R107" si="512">R108+Q107</f>
        <v>-4432583384.6383572</v>
      </c>
      <c r="S107">
        <f t="shared" ref="S107" si="513">R107/100000</f>
        <v>-44325.833846383568</v>
      </c>
      <c r="T107">
        <f t="shared" ref="T107" si="514">S107/1000</f>
        <v>-44.325833846383567</v>
      </c>
    </row>
    <row r="108" spans="1:20" x14ac:dyDescent="0.25">
      <c r="A108" s="5">
        <v>44485</v>
      </c>
      <c r="B108">
        <v>324.89999999999998</v>
      </c>
      <c r="C108">
        <v>332.16</v>
      </c>
      <c r="D108">
        <v>308.88</v>
      </c>
      <c r="E108">
        <v>311.70999999999998</v>
      </c>
      <c r="F108">
        <v>3045.21</v>
      </c>
      <c r="G108">
        <v>311.70999999999998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-0.75687285223367862</v>
      </c>
      <c r="Q108">
        <f t="shared" ref="Q108" si="516">F108*P108</f>
        <v>-2304.8367783505205</v>
      </c>
      <c r="R108">
        <f t="shared" ref="R108" si="517">R109+Q108</f>
        <v>-4432583725.7557745</v>
      </c>
      <c r="S108">
        <f t="shared" ref="S108" si="518">R108/100000</f>
        <v>-44325.837257557745</v>
      </c>
      <c r="T108">
        <f t="shared" ref="T108" si="519">S108/1000</f>
        <v>-44.325837257557744</v>
      </c>
    </row>
    <row r="109" spans="1:20" x14ac:dyDescent="0.25">
      <c r="A109" s="5">
        <v>44484</v>
      </c>
      <c r="B109">
        <v>335.6</v>
      </c>
      <c r="C109">
        <v>341.62</v>
      </c>
      <c r="D109">
        <v>320.82</v>
      </c>
      <c r="E109">
        <v>325.79000000000002</v>
      </c>
      <c r="F109">
        <v>3281.06</v>
      </c>
      <c r="G109">
        <v>325.79000000000002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-0.52211538461538221</v>
      </c>
      <c r="Q109">
        <f t="shared" ref="Q109" si="521">F109*P109</f>
        <v>-1713.0919038461459</v>
      </c>
      <c r="R109">
        <f t="shared" ref="R109" si="522">R110+Q109</f>
        <v>-4432581420.9189959</v>
      </c>
      <c r="S109">
        <f t="shared" ref="S109" si="523">R109/100000</f>
        <v>-44325.814209189957</v>
      </c>
      <c r="T109">
        <f t="shared" ref="T109" si="524">S109/1000</f>
        <v>-44.325814209189957</v>
      </c>
    </row>
    <row r="110" spans="1:20" x14ac:dyDescent="0.25">
      <c r="A110" s="5">
        <v>44483</v>
      </c>
      <c r="B110">
        <v>323.11</v>
      </c>
      <c r="C110">
        <v>345</v>
      </c>
      <c r="D110">
        <v>315.81</v>
      </c>
      <c r="E110">
        <v>335.78</v>
      </c>
      <c r="F110">
        <v>3812.6</v>
      </c>
      <c r="G110">
        <v>335.78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0.36827680712572608</v>
      </c>
      <c r="Q110">
        <f t="shared" ref="Q110" si="526">F110*P110</f>
        <v>1404.0921548475433</v>
      </c>
      <c r="R110">
        <f t="shared" ref="R110" si="527">R111+Q110</f>
        <v>-4432579707.8270922</v>
      </c>
      <c r="S110">
        <f t="shared" ref="S110" si="528">R110/100000</f>
        <v>-44325.797078270924</v>
      </c>
      <c r="T110">
        <f t="shared" ref="T110" si="529">S110/1000</f>
        <v>-44.325797078270924</v>
      </c>
    </row>
    <row r="111" spans="1:20" x14ac:dyDescent="0.25">
      <c r="A111" s="5">
        <v>44482</v>
      </c>
      <c r="B111">
        <v>321.07</v>
      </c>
      <c r="C111">
        <v>325.89</v>
      </c>
      <c r="D111">
        <v>306.60000000000002</v>
      </c>
      <c r="E111">
        <v>322.35000000000002</v>
      </c>
      <c r="F111">
        <v>2550.5</v>
      </c>
      <c r="G111">
        <v>322.35000000000002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0.63297045101088956</v>
      </c>
      <c r="Q111">
        <f t="shared" ref="Q111" si="531">F111*P111</f>
        <v>1614.3911353032738</v>
      </c>
      <c r="R111">
        <f t="shared" ref="R111" si="532">R112+Q111</f>
        <v>-4432581111.9192467</v>
      </c>
      <c r="S111">
        <f t="shared" ref="S111" si="533">R111/100000</f>
        <v>-44325.811119192469</v>
      </c>
      <c r="T111">
        <f t="shared" ref="T111" si="534">S111/1000</f>
        <v>-44.325811119192466</v>
      </c>
    </row>
    <row r="112" spans="1:20" x14ac:dyDescent="0.25">
      <c r="A112" s="5">
        <v>44481</v>
      </c>
      <c r="B112">
        <v>310.97000000000003</v>
      </c>
      <c r="C112">
        <v>324</v>
      </c>
      <c r="D112">
        <v>304</v>
      </c>
      <c r="E112">
        <v>321.60000000000002</v>
      </c>
      <c r="F112">
        <v>4172.0200000000004</v>
      </c>
      <c r="G112">
        <v>321.60000000000002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0.76000000000000223</v>
      </c>
      <c r="Q112">
        <f t="shared" ref="Q112" si="536">F112*P112</f>
        <v>3170.7352000000096</v>
      </c>
      <c r="R112">
        <f t="shared" ref="R112" si="537">R113+Q112</f>
        <v>-4432582726.3103819</v>
      </c>
      <c r="S112">
        <f t="shared" ref="S112" si="538">R112/100000</f>
        <v>-44325.82726310382</v>
      </c>
      <c r="T112">
        <f t="shared" ref="T112" si="539">S112/1000</f>
        <v>-44.325827263103818</v>
      </c>
    </row>
    <row r="113" spans="1:20" x14ac:dyDescent="0.25">
      <c r="A113" s="5">
        <v>44480</v>
      </c>
      <c r="B113">
        <v>306.01</v>
      </c>
      <c r="C113">
        <v>323.33</v>
      </c>
      <c r="D113">
        <v>304.70999999999998</v>
      </c>
      <c r="E113">
        <v>310.97000000000003</v>
      </c>
      <c r="F113">
        <v>3228.67</v>
      </c>
      <c r="G113">
        <v>310.97000000000003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-0.32760472610096175</v>
      </c>
      <c r="Q113">
        <f t="shared" ref="Q113" si="541">F113*P113</f>
        <v>-1057.7275510203922</v>
      </c>
      <c r="R113">
        <f t="shared" ref="R113" si="542">R114+Q113</f>
        <v>-4432585897.0455818</v>
      </c>
      <c r="S113">
        <f t="shared" ref="S113" si="543">R113/100000</f>
        <v>-44325.858970455818</v>
      </c>
      <c r="T113">
        <f t="shared" ref="T113" si="544">S113/1000</f>
        <v>-44.325858970455819</v>
      </c>
    </row>
    <row r="114" spans="1:20" x14ac:dyDescent="0.25">
      <c r="A114" s="5">
        <v>44479</v>
      </c>
      <c r="B114">
        <v>328.22</v>
      </c>
      <c r="C114">
        <v>328.88</v>
      </c>
      <c r="D114">
        <v>305</v>
      </c>
      <c r="E114">
        <v>306.08</v>
      </c>
      <c r="F114">
        <v>4598.67</v>
      </c>
      <c r="G114">
        <v>306.08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-0.90954773869346861</v>
      </c>
      <c r="Q114">
        <f t="shared" ref="Q114" si="546">F114*P114</f>
        <v>-4182.7098994974931</v>
      </c>
      <c r="R114">
        <f t="shared" ref="R114" si="547">R115+Q114</f>
        <v>-4432584839.3180304</v>
      </c>
      <c r="S114">
        <f t="shared" ref="S114" si="548">R114/100000</f>
        <v>-44325.848393180306</v>
      </c>
      <c r="T114">
        <f t="shared" ref="T114" si="549">S114/1000</f>
        <v>-44.325848393180308</v>
      </c>
    </row>
    <row r="115" spans="1:20" x14ac:dyDescent="0.25">
      <c r="A115" s="5">
        <v>44478</v>
      </c>
      <c r="B115">
        <v>341.02</v>
      </c>
      <c r="C115">
        <v>355</v>
      </c>
      <c r="D115">
        <v>311.61</v>
      </c>
      <c r="E115">
        <v>328.22</v>
      </c>
      <c r="F115">
        <v>12876.75</v>
      </c>
      <c r="G115">
        <v>328.22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-0.23438580318045546</v>
      </c>
      <c r="Q115">
        <f t="shared" ref="Q115" si="551">F115*P115</f>
        <v>-3018.1273911039298</v>
      </c>
      <c r="R115">
        <f t="shared" ref="R115" si="552">R116+Q115</f>
        <v>-4432580656.6081305</v>
      </c>
      <c r="S115">
        <f t="shared" ref="S115" si="553">R115/100000</f>
        <v>-44325.806566081308</v>
      </c>
      <c r="T115">
        <f t="shared" ref="T115" si="554">S115/1000</f>
        <v>-44.325806566081312</v>
      </c>
    </row>
    <row r="116" spans="1:20" x14ac:dyDescent="0.25">
      <c r="A116" s="5">
        <v>44477</v>
      </c>
      <c r="B116">
        <v>301.52999999999997</v>
      </c>
      <c r="C116">
        <v>380.83</v>
      </c>
      <c r="D116">
        <v>297.62</v>
      </c>
      <c r="E116">
        <v>341.67</v>
      </c>
      <c r="F116">
        <v>32581.32</v>
      </c>
      <c r="G116">
        <v>341.67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5.8766975123182845E-2</v>
      </c>
      <c r="Q116">
        <f t="shared" ref="Q116" si="556">F116*P116</f>
        <v>1914.7056219204596</v>
      </c>
      <c r="R116">
        <f t="shared" ref="R116" si="557">R117+Q116</f>
        <v>-4432577638.4807396</v>
      </c>
      <c r="S116">
        <f t="shared" ref="S116" si="558">R116/100000</f>
        <v>-44325.776384807396</v>
      </c>
      <c r="T116">
        <f t="shared" ref="T116" si="559">S116/1000</f>
        <v>-44.325776384807398</v>
      </c>
    </row>
    <row r="117" spans="1:20" x14ac:dyDescent="0.25">
      <c r="A117" s="5">
        <v>44476</v>
      </c>
      <c r="B117">
        <v>306.19</v>
      </c>
      <c r="C117">
        <v>314</v>
      </c>
      <c r="D117">
        <v>293.94</v>
      </c>
      <c r="E117">
        <v>303.08999999999997</v>
      </c>
      <c r="F117">
        <v>7317.02</v>
      </c>
      <c r="G117">
        <v>303.08999999999997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-8.7736789631109049E-2</v>
      </c>
      <c r="Q117">
        <f t="shared" ref="Q117" si="561">F117*P117</f>
        <v>-641.97184446661754</v>
      </c>
      <c r="R117">
        <f t="shared" ref="R117" si="562">R118+Q117</f>
        <v>-4432579553.1863613</v>
      </c>
      <c r="S117">
        <f t="shared" ref="S117" si="563">R117/100000</f>
        <v>-44325.795531863616</v>
      </c>
      <c r="T117">
        <f t="shared" ref="T117" si="564">S117/1000</f>
        <v>-44.325795531863619</v>
      </c>
    </row>
    <row r="118" spans="1:20" x14ac:dyDescent="0.25">
      <c r="A118" s="5">
        <v>44475</v>
      </c>
      <c r="B118">
        <v>310.3</v>
      </c>
      <c r="C118">
        <v>315.67</v>
      </c>
      <c r="D118">
        <v>294</v>
      </c>
      <c r="E118">
        <v>306.16000000000003</v>
      </c>
      <c r="F118">
        <v>6236.44</v>
      </c>
      <c r="G118">
        <v>306.16000000000003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0.12228887863405778</v>
      </c>
      <c r="Q118">
        <f t="shared" ref="Q118" si="566">F118*P118</f>
        <v>762.64725426858331</v>
      </c>
      <c r="R118">
        <f t="shared" ref="R118" si="567">R119+Q118</f>
        <v>-4432578911.2145166</v>
      </c>
      <c r="S118">
        <f t="shared" ref="S118" si="568">R118/100000</f>
        <v>-44325.789112145168</v>
      </c>
      <c r="T118">
        <f t="shared" ref="T118" si="569">S118/1000</f>
        <v>-44.325789112145166</v>
      </c>
    </row>
    <row r="119" spans="1:20" x14ac:dyDescent="0.25">
      <c r="A119" s="5">
        <v>44474</v>
      </c>
      <c r="B119">
        <v>307.54000000000002</v>
      </c>
      <c r="C119">
        <v>317</v>
      </c>
      <c r="D119">
        <v>299.08999999999997</v>
      </c>
      <c r="E119">
        <v>310.41000000000003</v>
      </c>
      <c r="F119">
        <v>4498.17</v>
      </c>
      <c r="G119">
        <v>310.41000000000003</v>
      </c>
      <c r="L119" t="s">
        <v>7</v>
      </c>
      <c r="M119" t="s">
        <v>7</v>
      </c>
      <c r="N119" t="s">
        <v>7</v>
      </c>
      <c r="P119">
        <f t="shared" ref="P119" si="570">IF(C119=D119,0,((E119-D119)-(C119-E119))/(C119-D119))</f>
        <v>0.26409826912339857</v>
      </c>
      <c r="Q119">
        <f t="shared" ref="Q119" si="571">F119*P119</f>
        <v>1187.9589112227977</v>
      </c>
      <c r="R119">
        <f t="shared" ref="R119" si="572">R120+Q119</f>
        <v>-4432579673.8617706</v>
      </c>
      <c r="S119">
        <f t="shared" ref="S119" si="573">R119/100000</f>
        <v>-44325.796738617704</v>
      </c>
      <c r="T119">
        <f t="shared" ref="T119" si="574">S119/1000</f>
        <v>-44.325796738617704</v>
      </c>
    </row>
    <row r="120" spans="1:20" x14ac:dyDescent="0.25">
      <c r="A120" s="5">
        <v>44473</v>
      </c>
      <c r="B120">
        <v>321.10000000000002</v>
      </c>
      <c r="C120">
        <v>321.10000000000002</v>
      </c>
      <c r="D120">
        <v>299</v>
      </c>
      <c r="E120">
        <v>307.22000000000003</v>
      </c>
      <c r="F120">
        <v>4384.4799999999996</v>
      </c>
      <c r="G120">
        <v>307.22000000000003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-0.25610859728506619</v>
      </c>
      <c r="Q120">
        <f t="shared" ref="Q120" si="576">F120*P120</f>
        <v>-1122.903022624427</v>
      </c>
      <c r="R120">
        <f t="shared" ref="R120" si="577">R121+Q120</f>
        <v>-4432580861.8206816</v>
      </c>
      <c r="S120">
        <f t="shared" ref="S120" si="578">R120/100000</f>
        <v>-44325.808618206815</v>
      </c>
      <c r="T120">
        <f t="shared" ref="T120" si="579">S120/1000</f>
        <v>-44.325808618206814</v>
      </c>
    </row>
    <row r="121" spans="1:20" x14ac:dyDescent="0.25">
      <c r="A121" s="5">
        <v>44472</v>
      </c>
      <c r="B121">
        <v>330.03</v>
      </c>
      <c r="C121">
        <v>338.33</v>
      </c>
      <c r="D121">
        <v>312.91000000000003</v>
      </c>
      <c r="E121">
        <v>322.17</v>
      </c>
      <c r="F121">
        <v>4466.83</v>
      </c>
      <c r="G121">
        <v>322.17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-0.27143981117230481</v>
      </c>
      <c r="Q121">
        <f t="shared" ref="Q121" si="581">F121*P121</f>
        <v>-1212.4754917387863</v>
      </c>
      <c r="R121">
        <f t="shared" ref="R121" si="582">R122+Q121</f>
        <v>-4432579738.9176588</v>
      </c>
      <c r="S121">
        <f t="shared" ref="S121" si="583">R121/100000</f>
        <v>-44325.797389176587</v>
      </c>
      <c r="T121">
        <f t="shared" ref="T121" si="584">S121/1000</f>
        <v>-44.325797389176586</v>
      </c>
    </row>
    <row r="122" spans="1:20" x14ac:dyDescent="0.25">
      <c r="A122" s="5">
        <v>44471</v>
      </c>
      <c r="B122">
        <v>324.64</v>
      </c>
      <c r="C122">
        <v>357.43</v>
      </c>
      <c r="D122">
        <v>320</v>
      </c>
      <c r="E122">
        <v>330</v>
      </c>
      <c r="F122">
        <v>4222.55</v>
      </c>
      <c r="G122">
        <v>330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-0.46566924926529529</v>
      </c>
      <c r="Q122">
        <f t="shared" ref="Q122" si="586">F122*P122</f>
        <v>-1966.3116884851727</v>
      </c>
      <c r="R122">
        <f t="shared" ref="R122" si="587">R123+Q122</f>
        <v>-4432578526.4421673</v>
      </c>
      <c r="S122">
        <f t="shared" ref="S122" si="588">R122/100000</f>
        <v>-44325.785264421676</v>
      </c>
      <c r="T122">
        <f t="shared" ref="T122" si="589">S122/1000</f>
        <v>-44.325785264421675</v>
      </c>
    </row>
    <row r="123" spans="1:20" x14ac:dyDescent="0.25">
      <c r="A123" s="5">
        <v>44470</v>
      </c>
      <c r="B123">
        <v>299.33999999999997</v>
      </c>
      <c r="C123">
        <v>331</v>
      </c>
      <c r="D123">
        <v>293.25</v>
      </c>
      <c r="E123">
        <v>324.58999999999997</v>
      </c>
      <c r="F123">
        <v>6723.11</v>
      </c>
      <c r="G123">
        <v>324.58999999999997</v>
      </c>
      <c r="L123" t="s">
        <v>7</v>
      </c>
      <c r="M123" t="s">
        <v>8</v>
      </c>
      <c r="N123" t="s">
        <v>7</v>
      </c>
      <c r="P123">
        <f t="shared" ref="P123" si="590">IF(C123=D123,0,((E123-D123)-(C123-E123))/(C123-D123))</f>
        <v>0.66039735099337615</v>
      </c>
      <c r="Q123">
        <f t="shared" ref="Q123" si="591">F123*P123</f>
        <v>4439.9240344370774</v>
      </c>
      <c r="R123">
        <f t="shared" ref="R123" si="592">R124+Q123</f>
        <v>-4432576560.1304789</v>
      </c>
      <c r="S123">
        <f t="shared" ref="S123" si="593">R123/100000</f>
        <v>-44325.765601304789</v>
      </c>
      <c r="T123">
        <f t="shared" ref="T123" si="594">S123/1000</f>
        <v>-44.325765601304788</v>
      </c>
    </row>
    <row r="124" spans="1:20" x14ac:dyDescent="0.25">
      <c r="A124" s="5">
        <v>44469</v>
      </c>
      <c r="B124">
        <v>280</v>
      </c>
      <c r="C124">
        <v>329.7</v>
      </c>
      <c r="D124">
        <v>279.43</v>
      </c>
      <c r="E124">
        <v>299.33999999999997</v>
      </c>
      <c r="F124">
        <v>18246.509999999998</v>
      </c>
      <c r="G124">
        <v>299.33999999999997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-0.20787746170678434</v>
      </c>
      <c r="Q124">
        <f t="shared" ref="Q124" si="596">F124*P124</f>
        <v>-3793.0381838074572</v>
      </c>
      <c r="R124">
        <f t="shared" ref="R124" si="597">R125+Q124</f>
        <v>-4432581000.054513</v>
      </c>
      <c r="S124">
        <f t="shared" ref="S124" si="598">R124/100000</f>
        <v>-44325.810000545127</v>
      </c>
      <c r="T124">
        <f t="shared" ref="T124" si="599">S124/1000</f>
        <v>-44.325810000545125</v>
      </c>
    </row>
    <row r="125" spans="1:20" x14ac:dyDescent="0.25">
      <c r="A125" s="5">
        <v>44468</v>
      </c>
      <c r="B125">
        <v>276.75</v>
      </c>
      <c r="C125">
        <v>291.08</v>
      </c>
      <c r="D125">
        <v>268.24</v>
      </c>
      <c r="E125">
        <v>279.66000000000003</v>
      </c>
      <c r="F125">
        <v>4688.93</v>
      </c>
      <c r="G125">
        <v>279.66000000000003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2.4887661497726829E-15</v>
      </c>
      <c r="Q125">
        <f t="shared" ref="Q125" si="601">F125*P125</f>
        <v>1.1669650262653628E-11</v>
      </c>
      <c r="R125">
        <f t="shared" ref="R125" si="602">R126+Q125</f>
        <v>-4432577207.0163288</v>
      </c>
      <c r="S125">
        <f t="shared" ref="S125" si="603">R125/100000</f>
        <v>-44325.772070163286</v>
      </c>
      <c r="T125">
        <f t="shared" ref="T125" si="604">S125/1000</f>
        <v>-44.325772070163289</v>
      </c>
    </row>
    <row r="126" spans="1:20" x14ac:dyDescent="0.25">
      <c r="A126" s="5">
        <v>44467</v>
      </c>
      <c r="B126">
        <v>293.56</v>
      </c>
      <c r="C126">
        <v>295.86</v>
      </c>
      <c r="D126">
        <v>276</v>
      </c>
      <c r="E126">
        <v>276</v>
      </c>
      <c r="F126">
        <v>4694.38</v>
      </c>
      <c r="G126">
        <v>276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-1</v>
      </c>
      <c r="Q126">
        <f t="shared" ref="Q126" si="606">F126*P126</f>
        <v>-4694.38</v>
      </c>
      <c r="R126">
        <f t="shared" ref="R126" si="607">R127+Q126</f>
        <v>-4432577207.0163288</v>
      </c>
      <c r="S126">
        <f t="shared" ref="S126" si="608">R126/100000</f>
        <v>-44325.772070163286</v>
      </c>
      <c r="T126">
        <f t="shared" ref="T126" si="609">S126/1000</f>
        <v>-44.325772070163289</v>
      </c>
    </row>
    <row r="127" spans="1:20" x14ac:dyDescent="0.25">
      <c r="A127" s="5">
        <v>44466</v>
      </c>
      <c r="B127">
        <v>308.94</v>
      </c>
      <c r="C127">
        <v>323.83999999999997</v>
      </c>
      <c r="D127">
        <v>285.83</v>
      </c>
      <c r="E127">
        <v>293.64999999999998</v>
      </c>
      <c r="F127">
        <v>8507.0400000000009</v>
      </c>
      <c r="G127">
        <v>293.64999999999998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-0.58852933438568822</v>
      </c>
      <c r="Q127">
        <f t="shared" ref="Q127" si="611">F127*P127</f>
        <v>-5006.6425887924261</v>
      </c>
      <c r="R127">
        <f t="shared" ref="R127" si="612">R128+Q127</f>
        <v>-4432572512.6363287</v>
      </c>
      <c r="S127">
        <f t="shared" ref="S127" si="613">R127/100000</f>
        <v>-44325.725126363286</v>
      </c>
      <c r="T127">
        <f t="shared" ref="T127" si="614">S127/1000</f>
        <v>-44.325725126363288</v>
      </c>
    </row>
    <row r="128" spans="1:20" x14ac:dyDescent="0.25">
      <c r="A128" s="5">
        <v>44465</v>
      </c>
      <c r="B128">
        <v>336.67</v>
      </c>
      <c r="C128">
        <v>336.67</v>
      </c>
      <c r="D128">
        <v>288.77</v>
      </c>
      <c r="E128">
        <v>308.91000000000003</v>
      </c>
      <c r="F128">
        <v>17041.48</v>
      </c>
      <c r="G128">
        <v>308.91000000000003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-0.1590814196242159</v>
      </c>
      <c r="Q128">
        <f t="shared" ref="Q128" si="616">F128*P128</f>
        <v>-2710.9828308976826</v>
      </c>
      <c r="R128">
        <f t="shared" ref="R128" si="617">R129+Q128</f>
        <v>-4432567505.9937401</v>
      </c>
      <c r="S128">
        <f t="shared" ref="S128" si="618">R128/100000</f>
        <v>-44325.675059937399</v>
      </c>
      <c r="T128">
        <f t="shared" ref="T128" si="619">S128/1000</f>
        <v>-44.325675059937396</v>
      </c>
    </row>
    <row r="129" spans="1:20" x14ac:dyDescent="0.25">
      <c r="A129" s="5">
        <v>44464</v>
      </c>
      <c r="B129">
        <v>333.5</v>
      </c>
      <c r="C129">
        <v>345.07</v>
      </c>
      <c r="D129">
        <v>327.98</v>
      </c>
      <c r="E129">
        <v>336.67</v>
      </c>
      <c r="F129">
        <v>3575.93</v>
      </c>
      <c r="G129">
        <v>336.67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1.6968987712113567E-2</v>
      </c>
      <c r="Q129">
        <f t="shared" ref="Q129" si="621">F129*P129</f>
        <v>60.679912229378267</v>
      </c>
      <c r="R129">
        <f t="shared" ref="R129" si="622">R130+Q129</f>
        <v>-4432564795.0109091</v>
      </c>
      <c r="S129">
        <f t="shared" ref="S129" si="623">R129/100000</f>
        <v>-44325.647950109094</v>
      </c>
      <c r="T129">
        <f t="shared" ref="T129" si="624">S129/1000</f>
        <v>-44.325647950109094</v>
      </c>
    </row>
    <row r="130" spans="1:20" x14ac:dyDescent="0.25">
      <c r="A130" s="5">
        <v>44463</v>
      </c>
      <c r="B130">
        <v>360.63</v>
      </c>
      <c r="C130">
        <v>361.28</v>
      </c>
      <c r="D130">
        <v>313.51</v>
      </c>
      <c r="E130">
        <v>332.48</v>
      </c>
      <c r="F130">
        <v>8575.5300000000007</v>
      </c>
      <c r="G130">
        <v>332.48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-0.20577768473937474</v>
      </c>
      <c r="Q130">
        <f t="shared" ref="Q130" si="626">F130*P130</f>
        <v>-1764.6527088130504</v>
      </c>
      <c r="R130">
        <f t="shared" ref="R130" si="627">R131+Q130</f>
        <v>-4432564855.6908216</v>
      </c>
      <c r="S130">
        <f t="shared" ref="S130" si="628">R130/100000</f>
        <v>-44325.648556908214</v>
      </c>
      <c r="T130">
        <f t="shared" ref="T130" si="629">S130/1000</f>
        <v>-44.325648556908213</v>
      </c>
    </row>
    <row r="131" spans="1:20" x14ac:dyDescent="0.25">
      <c r="A131" s="5">
        <v>44462</v>
      </c>
      <c r="B131">
        <v>367.2</v>
      </c>
      <c r="C131">
        <v>379.77</v>
      </c>
      <c r="D131">
        <v>346.89</v>
      </c>
      <c r="E131">
        <v>361.52</v>
      </c>
      <c r="F131">
        <v>6780.82</v>
      </c>
      <c r="G131">
        <v>361.52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-0.11009732360097339</v>
      </c>
      <c r="Q131">
        <f t="shared" ref="Q131" si="631">F131*P131</f>
        <v>-746.55013381995241</v>
      </c>
      <c r="R131">
        <f t="shared" ref="R131" si="632">R132+Q131</f>
        <v>-4432563091.0381126</v>
      </c>
      <c r="S131">
        <f t="shared" ref="S131" si="633">R131/100000</f>
        <v>-44325.630910381129</v>
      </c>
      <c r="T131">
        <f t="shared" ref="T131" si="634">S131/1000</f>
        <v>-44.325630910381129</v>
      </c>
    </row>
    <row r="132" spans="1:20" x14ac:dyDescent="0.25">
      <c r="A132" s="5">
        <v>44461</v>
      </c>
      <c r="B132">
        <v>304.8</v>
      </c>
      <c r="C132">
        <v>398.53</v>
      </c>
      <c r="D132">
        <v>304.39999999999998</v>
      </c>
      <c r="E132">
        <v>366.59</v>
      </c>
      <c r="F132">
        <v>35054.449999999997</v>
      </c>
      <c r="G132">
        <v>366.59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0.32136407096568576</v>
      </c>
      <c r="Q132">
        <f t="shared" ref="Q132" si="636">F132*P132</f>
        <v>11265.240757463082</v>
      </c>
      <c r="R132">
        <f t="shared" ref="R132" si="637">R133+Q132</f>
        <v>-4432562344.4879789</v>
      </c>
      <c r="S132">
        <f t="shared" ref="S132" si="638">R132/100000</f>
        <v>-44325.623444879791</v>
      </c>
      <c r="T132">
        <f t="shared" ref="T132" si="639">S132/1000</f>
        <v>-44.325623444879788</v>
      </c>
    </row>
    <row r="133" spans="1:20" x14ac:dyDescent="0.25">
      <c r="A133" s="5">
        <v>44460</v>
      </c>
      <c r="B133">
        <v>316.93</v>
      </c>
      <c r="C133">
        <v>353.39</v>
      </c>
      <c r="D133">
        <v>300</v>
      </c>
      <c r="E133">
        <v>304.8</v>
      </c>
      <c r="F133">
        <v>9204.6299999999992</v>
      </c>
      <c r="G133">
        <v>304.8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-0.82019104701254875</v>
      </c>
      <c r="Q133">
        <f t="shared" ref="Q133" si="641">F133*P133</f>
        <v>-7549.5551170631161</v>
      </c>
      <c r="R133">
        <f t="shared" ref="R133" si="642">R134+Q133</f>
        <v>-4432573609.7287359</v>
      </c>
      <c r="S133">
        <f t="shared" ref="S133" si="643">R133/100000</f>
        <v>-44325.736097287358</v>
      </c>
      <c r="T133">
        <f t="shared" ref="T133" si="644">S133/1000</f>
        <v>-44.325736097287354</v>
      </c>
    </row>
    <row r="134" spans="1:20" x14ac:dyDescent="0.25">
      <c r="A134" s="5">
        <v>44459</v>
      </c>
      <c r="B134">
        <v>382.11</v>
      </c>
      <c r="C134">
        <v>386.07</v>
      </c>
      <c r="D134">
        <v>344.41</v>
      </c>
      <c r="E134">
        <v>355.42</v>
      </c>
      <c r="F134">
        <v>3173.36</v>
      </c>
      <c r="G134">
        <v>355.42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-0.47143542966874702</v>
      </c>
      <c r="Q134">
        <f t="shared" ref="Q134" si="646">F134*P134</f>
        <v>-1496.034335093615</v>
      </c>
      <c r="R134">
        <f t="shared" ref="R134" si="647">R135+Q134</f>
        <v>-4432566060.1736193</v>
      </c>
      <c r="S134">
        <f t="shared" ref="S134" si="648">R134/100000</f>
        <v>-44325.660601736192</v>
      </c>
      <c r="T134">
        <f t="shared" ref="T134" si="649">S134/1000</f>
        <v>-44.325660601736189</v>
      </c>
    </row>
    <row r="135" spans="1:20" x14ac:dyDescent="0.25">
      <c r="A135" s="5">
        <v>44458</v>
      </c>
      <c r="B135">
        <v>408.97</v>
      </c>
      <c r="C135">
        <v>409.66</v>
      </c>
      <c r="D135">
        <v>380.01</v>
      </c>
      <c r="E135">
        <v>380.87</v>
      </c>
      <c r="F135">
        <v>3488.64</v>
      </c>
      <c r="G135">
        <v>380.87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-0.9419898819561543</v>
      </c>
      <c r="Q135">
        <f t="shared" ref="Q135" si="651">F135*P135</f>
        <v>-3286.263581787518</v>
      </c>
      <c r="R135">
        <f t="shared" ref="R135" si="652">R136+Q135</f>
        <v>-4432564564.1392841</v>
      </c>
      <c r="S135">
        <f t="shared" ref="S135" si="653">R135/100000</f>
        <v>-44325.645641392839</v>
      </c>
      <c r="T135">
        <f t="shared" ref="T135" si="654">S135/1000</f>
        <v>-44.325645641392839</v>
      </c>
    </row>
    <row r="136" spans="1:20" x14ac:dyDescent="0.25">
      <c r="A136" s="5">
        <v>44457</v>
      </c>
      <c r="B136">
        <v>406.26</v>
      </c>
      <c r="C136">
        <v>421.77</v>
      </c>
      <c r="D136">
        <v>390</v>
      </c>
      <c r="E136">
        <v>407.52</v>
      </c>
      <c r="F136">
        <v>5773.6</v>
      </c>
      <c r="G136">
        <v>407.52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0.10292728989612791</v>
      </c>
      <c r="Q136">
        <f t="shared" ref="Q136" si="656">F136*P136</f>
        <v>594.26100094428421</v>
      </c>
      <c r="R136">
        <f t="shared" ref="R136" si="657">R137+Q136</f>
        <v>-4432561277.8757019</v>
      </c>
      <c r="S136">
        <f t="shared" ref="S136" si="658">R136/100000</f>
        <v>-44325.612778757022</v>
      </c>
      <c r="T136">
        <f t="shared" ref="T136" si="659">S136/1000</f>
        <v>-44.325612778757019</v>
      </c>
    </row>
    <row r="137" spans="1:20" x14ac:dyDescent="0.25">
      <c r="A137" s="5">
        <v>44456</v>
      </c>
      <c r="B137">
        <v>429.54</v>
      </c>
      <c r="C137">
        <v>434.79</v>
      </c>
      <c r="D137">
        <v>390.91</v>
      </c>
      <c r="E137">
        <v>405.12</v>
      </c>
      <c r="F137">
        <v>7981.62</v>
      </c>
      <c r="G137">
        <v>405.12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-0.35232452142206105</v>
      </c>
      <c r="Q137">
        <f t="shared" ref="Q137" si="661">F137*P137</f>
        <v>-2812.1204466727509</v>
      </c>
      <c r="R137">
        <f t="shared" ref="R137" si="662">R138+Q137</f>
        <v>-4432561872.1367025</v>
      </c>
      <c r="S137">
        <f t="shared" ref="S137" si="663">R137/100000</f>
        <v>-44325.618721367027</v>
      </c>
      <c r="T137">
        <f t="shared" ref="T137" si="664">S137/1000</f>
        <v>-44.325618721367029</v>
      </c>
    </row>
    <row r="138" spans="1:20" x14ac:dyDescent="0.25">
      <c r="A138" s="5">
        <v>44455</v>
      </c>
      <c r="B138">
        <v>456.05</v>
      </c>
      <c r="C138">
        <v>486.82</v>
      </c>
      <c r="D138">
        <v>422.56</v>
      </c>
      <c r="E138">
        <v>429.54</v>
      </c>
      <c r="F138">
        <v>9821.9599999999991</v>
      </c>
      <c r="G138">
        <v>429.54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-0.78275754746342918</v>
      </c>
      <c r="Q138">
        <f t="shared" ref="Q138" si="666">F138*P138</f>
        <v>-7688.2133208839023</v>
      </c>
      <c r="R138">
        <f t="shared" ref="R138" si="667">R139+Q138</f>
        <v>-4432559060.0162563</v>
      </c>
      <c r="S138">
        <f t="shared" ref="S138" si="668">R138/100000</f>
        <v>-44325.590600162563</v>
      </c>
      <c r="T138">
        <f t="shared" ref="T138" si="669">S138/1000</f>
        <v>-44.325590600162563</v>
      </c>
    </row>
    <row r="139" spans="1:20" x14ac:dyDescent="0.25">
      <c r="A139" s="5">
        <v>44454</v>
      </c>
      <c r="B139">
        <v>437.93</v>
      </c>
      <c r="C139">
        <v>476.08</v>
      </c>
      <c r="D139">
        <v>422.92</v>
      </c>
      <c r="E139">
        <v>455.32</v>
      </c>
      <c r="F139">
        <v>9012.1200000000008</v>
      </c>
      <c r="G139">
        <v>455.32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0.21896162528216692</v>
      </c>
      <c r="Q139">
        <f t="shared" ref="Q139" si="671">F139*P139</f>
        <v>1973.3084424379224</v>
      </c>
      <c r="R139">
        <f t="shared" ref="R139" si="672">R140+Q139</f>
        <v>-4432551371.8029356</v>
      </c>
      <c r="S139">
        <f t="shared" ref="S139" si="673">R139/100000</f>
        <v>-44325.513718029353</v>
      </c>
      <c r="T139">
        <f t="shared" ref="T139" si="674">S139/1000</f>
        <v>-44.325513718029356</v>
      </c>
    </row>
    <row r="140" spans="1:20" x14ac:dyDescent="0.25">
      <c r="A140" s="5">
        <v>44453</v>
      </c>
      <c r="B140">
        <v>439.06</v>
      </c>
      <c r="C140">
        <v>465</v>
      </c>
      <c r="D140">
        <v>417.49</v>
      </c>
      <c r="E140">
        <v>437.95</v>
      </c>
      <c r="F140">
        <v>25646.880000000001</v>
      </c>
      <c r="G140">
        <v>437.95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-0.13870764049673823</v>
      </c>
      <c r="Q140">
        <f t="shared" ref="Q140" si="676">F140*P140</f>
        <v>-3557.4182109029857</v>
      </c>
      <c r="R140">
        <f t="shared" ref="R140" si="677">R141+Q140</f>
        <v>-4432553345.1113777</v>
      </c>
      <c r="S140">
        <f t="shared" ref="S140" si="678">R140/100000</f>
        <v>-44325.533451113777</v>
      </c>
      <c r="T140">
        <f t="shared" ref="T140" si="679">S140/1000</f>
        <v>-44.325533451113778</v>
      </c>
    </row>
    <row r="141" spans="1:20" x14ac:dyDescent="0.25">
      <c r="A141" s="5">
        <v>44452</v>
      </c>
      <c r="B141">
        <v>419.43</v>
      </c>
      <c r="C141">
        <v>466.99</v>
      </c>
      <c r="D141">
        <v>372</v>
      </c>
      <c r="E141">
        <v>437.41</v>
      </c>
      <c r="F141">
        <v>21966.880000000001</v>
      </c>
      <c r="G141">
        <v>437.41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0.37719759974734224</v>
      </c>
      <c r="Q141">
        <f t="shared" ref="Q141" si="681">F141*P141</f>
        <v>8285.8544099378978</v>
      </c>
      <c r="R141">
        <f t="shared" ref="R141" si="682">R142+Q141</f>
        <v>-4432549787.6931667</v>
      </c>
      <c r="S141">
        <f t="shared" ref="S141" si="683">R141/100000</f>
        <v>-44325.497876931666</v>
      </c>
      <c r="T141">
        <f t="shared" ref="T141" si="684">S141/1000</f>
        <v>-44.325497876931664</v>
      </c>
    </row>
    <row r="142" spans="1:20" x14ac:dyDescent="0.25">
      <c r="A142" s="5">
        <v>44451</v>
      </c>
      <c r="B142">
        <v>417.41</v>
      </c>
      <c r="C142">
        <v>460</v>
      </c>
      <c r="D142">
        <v>401.01</v>
      </c>
      <c r="E142">
        <v>419.43</v>
      </c>
      <c r="F142">
        <v>17550.39</v>
      </c>
      <c r="G142">
        <v>419.43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-0.37548737074080307</v>
      </c>
      <c r="Q142">
        <f t="shared" ref="Q142" si="686">F142*P142</f>
        <v>-6589.9497965756827</v>
      </c>
      <c r="R142">
        <f t="shared" ref="R142" si="687">R143+Q142</f>
        <v>-4432558073.5475769</v>
      </c>
      <c r="S142">
        <f t="shared" ref="S142" si="688">R142/100000</f>
        <v>-44325.580735475771</v>
      </c>
      <c r="T142">
        <f t="shared" ref="T142" si="689">S142/1000</f>
        <v>-44.325580735475768</v>
      </c>
    </row>
    <row r="143" spans="1:20" x14ac:dyDescent="0.25">
      <c r="A143" s="5">
        <v>44450</v>
      </c>
      <c r="B143">
        <v>461.52</v>
      </c>
      <c r="C143">
        <v>490</v>
      </c>
      <c r="D143">
        <v>408</v>
      </c>
      <c r="E143">
        <v>417.47</v>
      </c>
      <c r="F143">
        <v>34949.839999999997</v>
      </c>
      <c r="G143">
        <v>417.47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-0.76902439024390179</v>
      </c>
      <c r="Q143">
        <f t="shared" ref="Q143" si="691">F143*P143</f>
        <v>-26877.279395121925</v>
      </c>
      <c r="R143">
        <f t="shared" ref="R143" si="692">R144+Q143</f>
        <v>-4432551483.5977802</v>
      </c>
      <c r="S143">
        <f t="shared" ref="S143" si="693">R143/100000</f>
        <v>-44325.514835977803</v>
      </c>
      <c r="T143">
        <f t="shared" ref="T143" si="694">S143/1000</f>
        <v>-44.325514835977806</v>
      </c>
    </row>
    <row r="144" spans="1:20" x14ac:dyDescent="0.25">
      <c r="A144" s="5">
        <v>44449</v>
      </c>
      <c r="B144">
        <v>338.33</v>
      </c>
      <c r="C144">
        <v>563.64</v>
      </c>
      <c r="D144">
        <v>337.95</v>
      </c>
      <c r="E144">
        <v>461.7</v>
      </c>
      <c r="F144">
        <v>250632.35555000001</v>
      </c>
      <c r="G144">
        <v>461.7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9.6636979928220137E-2</v>
      </c>
      <c r="Q144">
        <f t="shared" ref="Q144" si="696">F144*P144</f>
        <v>24220.353912647883</v>
      </c>
      <c r="R144">
        <f t="shared" ref="R144" si="697">R145+Q144</f>
        <v>-4432524606.3183851</v>
      </c>
      <c r="S144">
        <f t="shared" ref="S144" si="698">R144/100000</f>
        <v>-44325.246063183855</v>
      </c>
      <c r="T144">
        <f t="shared" ref="T144" si="699">S144/1000</f>
        <v>-44.325246063183855</v>
      </c>
    </row>
    <row r="145" spans="1:20" x14ac:dyDescent="0.25">
      <c r="A145" s="5">
        <v>44448</v>
      </c>
      <c r="B145">
        <v>300.95999999999998</v>
      </c>
      <c r="C145">
        <v>364.77</v>
      </c>
      <c r="D145">
        <v>290</v>
      </c>
      <c r="E145">
        <v>337.96</v>
      </c>
      <c r="F145">
        <v>15374.85</v>
      </c>
      <c r="G145">
        <v>337.96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0.28286746021131448</v>
      </c>
      <c r="Q145">
        <f t="shared" ref="Q145" si="701">F145*P145</f>
        <v>4349.0447706299283</v>
      </c>
      <c r="R145">
        <f t="shared" ref="R145" si="702">R146+Q145</f>
        <v>-4432548826.6722975</v>
      </c>
      <c r="S145">
        <f t="shared" ref="S145" si="703">R145/100000</f>
        <v>-44325.488266722976</v>
      </c>
      <c r="T145">
        <f t="shared" ref="T145" si="704">S145/1000</f>
        <v>-44.325488266722978</v>
      </c>
    </row>
    <row r="146" spans="1:20" x14ac:dyDescent="0.25">
      <c r="A146" s="5">
        <v>44447</v>
      </c>
      <c r="B146">
        <v>338.01</v>
      </c>
      <c r="C146">
        <v>343.97</v>
      </c>
      <c r="D146">
        <v>283.04000000000002</v>
      </c>
      <c r="E146">
        <v>300</v>
      </c>
      <c r="F146">
        <v>15062.54</v>
      </c>
      <c r="G146">
        <v>300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-0.44329558509765377</v>
      </c>
      <c r="Q146">
        <f t="shared" ref="Q146" si="706">F146*P146</f>
        <v>-6677.1574823568144</v>
      </c>
      <c r="R146">
        <f t="shared" ref="R146" si="707">R147+Q146</f>
        <v>-4432553175.7170677</v>
      </c>
      <c r="S146">
        <f t="shared" ref="S146" si="708">R146/100000</f>
        <v>-44325.531757170676</v>
      </c>
      <c r="T146">
        <f t="shared" ref="T146" si="709">S146/1000</f>
        <v>-44.32553175717068</v>
      </c>
    </row>
    <row r="147" spans="1:20" x14ac:dyDescent="0.25">
      <c r="A147" s="5">
        <v>44446</v>
      </c>
      <c r="B147">
        <v>378</v>
      </c>
      <c r="C147">
        <v>378.5</v>
      </c>
      <c r="D147">
        <v>250</v>
      </c>
      <c r="E147">
        <v>337.62</v>
      </c>
      <c r="F147">
        <v>25560.86</v>
      </c>
      <c r="G147">
        <v>337.62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0.36373540856031134</v>
      </c>
      <c r="Q147">
        <f t="shared" ref="Q147" si="711">F147*P147</f>
        <v>9297.389855252919</v>
      </c>
      <c r="R147">
        <f t="shared" ref="R147" si="712">R148+Q147</f>
        <v>-4432546498.5595856</v>
      </c>
      <c r="S147">
        <f t="shared" ref="S147" si="713">R147/100000</f>
        <v>-44325.464985595856</v>
      </c>
      <c r="T147">
        <f t="shared" ref="T147" si="714">S147/1000</f>
        <v>-44.325464985595858</v>
      </c>
    </row>
    <row r="148" spans="1:20" x14ac:dyDescent="0.25">
      <c r="A148" s="5">
        <v>44445</v>
      </c>
      <c r="B148">
        <v>389.01</v>
      </c>
      <c r="C148">
        <v>400</v>
      </c>
      <c r="D148">
        <v>368.89</v>
      </c>
      <c r="E148">
        <v>377.25</v>
      </c>
      <c r="F148">
        <v>14176.93</v>
      </c>
      <c r="G148">
        <v>377.25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-0.46255223400835682</v>
      </c>
      <c r="Q148">
        <f t="shared" ref="Q148" si="716">F148*P148</f>
        <v>-6557.5706428800941</v>
      </c>
      <c r="R148">
        <f t="shared" ref="R148" si="717">R149+Q148</f>
        <v>-4432555795.949441</v>
      </c>
      <c r="S148">
        <f t="shared" ref="S148" si="718">R148/100000</f>
        <v>-44325.557959494407</v>
      </c>
      <c r="T148">
        <f t="shared" ref="T148" si="719">S148/1000</f>
        <v>-44.325557959494404</v>
      </c>
    </row>
    <row r="149" spans="1:20" x14ac:dyDescent="0.25">
      <c r="A149" s="5">
        <v>44444</v>
      </c>
      <c r="B149">
        <v>403.26</v>
      </c>
      <c r="C149">
        <v>403.28</v>
      </c>
      <c r="D149">
        <v>382.33</v>
      </c>
      <c r="E149">
        <v>389.01</v>
      </c>
      <c r="F149">
        <v>13280.87</v>
      </c>
      <c r="G149">
        <v>389.01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-0.36229116945107298</v>
      </c>
      <c r="Q149">
        <f t="shared" ref="Q149" si="721">F149*P149</f>
        <v>-4811.5419236276721</v>
      </c>
      <c r="R149">
        <f t="shared" ref="R149" si="722">R150+Q149</f>
        <v>-4432549238.3787985</v>
      </c>
      <c r="S149">
        <f t="shared" ref="S149" si="723">R149/100000</f>
        <v>-44325.492383787983</v>
      </c>
      <c r="T149">
        <f t="shared" ref="T149" si="724">S149/1000</f>
        <v>-44.325492383787982</v>
      </c>
    </row>
    <row r="150" spans="1:20" x14ac:dyDescent="0.25">
      <c r="A150" s="5">
        <v>44443</v>
      </c>
      <c r="B150">
        <v>378.69</v>
      </c>
      <c r="C150">
        <v>440</v>
      </c>
      <c r="D150">
        <v>368</v>
      </c>
      <c r="E150">
        <v>403.22</v>
      </c>
      <c r="F150">
        <v>32839.93</v>
      </c>
      <c r="G150">
        <v>403.22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-2.1666666666665908E-2</v>
      </c>
      <c r="Q150">
        <f t="shared" ref="Q150" si="726">F150*P150</f>
        <v>-711.5318166666417</v>
      </c>
      <c r="R150">
        <f t="shared" ref="R150" si="727">R151+Q150</f>
        <v>-4432544426.836875</v>
      </c>
      <c r="S150">
        <f t="shared" ref="S150" si="728">R150/100000</f>
        <v>-44325.444268368752</v>
      </c>
      <c r="T150">
        <f t="shared" ref="T150" si="729">S150/1000</f>
        <v>-44.325444268368749</v>
      </c>
    </row>
    <row r="151" spans="1:20" x14ac:dyDescent="0.25">
      <c r="A151" s="5">
        <v>44442</v>
      </c>
      <c r="B151">
        <v>373.53</v>
      </c>
      <c r="C151">
        <v>417.93</v>
      </c>
      <c r="D151">
        <v>360</v>
      </c>
      <c r="E151">
        <v>378.69</v>
      </c>
      <c r="F151">
        <v>43165.07</v>
      </c>
      <c r="G151">
        <v>378.69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-0.35473847747281217</v>
      </c>
      <c r="Q151">
        <f t="shared" ref="Q151" si="731">F151*P151</f>
        <v>-15312.31121180736</v>
      </c>
      <c r="R151">
        <f t="shared" ref="R151" si="732">R152+Q151</f>
        <v>-4432543715.3050585</v>
      </c>
      <c r="S151">
        <f t="shared" ref="S151" si="733">R151/100000</f>
        <v>-44325.437153050581</v>
      </c>
      <c r="T151">
        <f t="shared" ref="T151" si="734">S151/1000</f>
        <v>-44.325437153050579</v>
      </c>
    </row>
    <row r="152" spans="1:20" x14ac:dyDescent="0.25">
      <c r="A152" s="5">
        <v>44441</v>
      </c>
      <c r="B152">
        <v>340.06</v>
      </c>
      <c r="C152">
        <v>459</v>
      </c>
      <c r="D152">
        <v>325.5</v>
      </c>
      <c r="E152">
        <v>373.53</v>
      </c>
      <c r="F152">
        <v>142934.58504999999</v>
      </c>
      <c r="G152">
        <v>373.53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-0.2804494382022476</v>
      </c>
      <c r="Q152">
        <f t="shared" ref="Q152" si="736">F152*P152</f>
        <v>-40085.924076943877</v>
      </c>
      <c r="R152">
        <f t="shared" ref="R152" si="737">R153+Q152</f>
        <v>-4432528402.9938469</v>
      </c>
      <c r="S152">
        <f t="shared" ref="S152" si="738">R152/100000</f>
        <v>-44325.28402993847</v>
      </c>
      <c r="T152">
        <f t="shared" ref="T152" si="739">S152/1000</f>
        <v>-44.325284029938473</v>
      </c>
    </row>
    <row r="153" spans="1:20" x14ac:dyDescent="0.25">
      <c r="A153" s="5">
        <v>44440</v>
      </c>
      <c r="B153">
        <v>245.73</v>
      </c>
      <c r="C153">
        <v>397.25</v>
      </c>
      <c r="D153">
        <v>235.99</v>
      </c>
      <c r="E153">
        <v>340.56</v>
      </c>
      <c r="F153">
        <v>102008.00320000001</v>
      </c>
      <c r="G153">
        <v>340.56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0.29691181942205136</v>
      </c>
      <c r="Q153">
        <f t="shared" ref="Q153" si="741">F153*P153</f>
        <v>30287.381825722437</v>
      </c>
      <c r="R153">
        <f t="shared" ref="R153" si="742">R154+Q153</f>
        <v>-4432488317.0697699</v>
      </c>
      <c r="S153">
        <f t="shared" ref="S153" si="743">R153/100000</f>
        <v>-44324.8831706977</v>
      </c>
      <c r="T153">
        <f t="shared" ref="T153" si="744">S153/1000</f>
        <v>-44.324883170697703</v>
      </c>
    </row>
    <row r="154" spans="1:20" x14ac:dyDescent="0.25">
      <c r="A154" s="5">
        <v>44439</v>
      </c>
      <c r="B154">
        <v>263.8</v>
      </c>
      <c r="C154">
        <v>280</v>
      </c>
      <c r="D154">
        <v>233</v>
      </c>
      <c r="E154">
        <v>245.72</v>
      </c>
      <c r="F154">
        <v>30681.42</v>
      </c>
      <c r="G154">
        <v>245.72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-0.45872340425531921</v>
      </c>
      <c r="Q154">
        <f t="shared" ref="Q154" si="746">F154*P154</f>
        <v>-14074.285429787235</v>
      </c>
      <c r="R154">
        <f t="shared" ref="R154" si="747">R155+Q154</f>
        <v>-4432518604.4515953</v>
      </c>
      <c r="S154">
        <f t="shared" ref="S154" si="748">R154/100000</f>
        <v>-44325.186044515955</v>
      </c>
      <c r="T154">
        <f t="shared" ref="T154" si="749">S154/1000</f>
        <v>-44.325186044515952</v>
      </c>
    </row>
    <row r="155" spans="1:20" x14ac:dyDescent="0.25">
      <c r="A155" s="5">
        <v>44438</v>
      </c>
      <c r="B155">
        <v>201.14</v>
      </c>
      <c r="C155">
        <v>309</v>
      </c>
      <c r="D155">
        <v>200</v>
      </c>
      <c r="E155">
        <v>262.77999999999997</v>
      </c>
      <c r="F155">
        <v>153137.04123999999</v>
      </c>
      <c r="G155">
        <v>262.77999999999997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0.15192660550458664</v>
      </c>
      <c r="Q155">
        <f t="shared" ref="Q155" si="751">F155*P155</f>
        <v>23265.590852609093</v>
      </c>
      <c r="R155">
        <f t="shared" ref="R155" si="752">R156+Q155</f>
        <v>-4432504530.1661654</v>
      </c>
      <c r="S155">
        <f t="shared" ref="S155" si="753">R155/100000</f>
        <v>-44325.045301661652</v>
      </c>
      <c r="T155">
        <f t="shared" ref="T155" si="754">S155/1000</f>
        <v>-44.325045301661653</v>
      </c>
    </row>
    <row r="156" spans="1:20" x14ac:dyDescent="0.25">
      <c r="A156" s="5">
        <v>44437</v>
      </c>
      <c r="B156">
        <v>195.24</v>
      </c>
      <c r="C156">
        <v>230</v>
      </c>
      <c r="D156">
        <v>186</v>
      </c>
      <c r="E156">
        <v>200.37</v>
      </c>
      <c r="F156">
        <v>21098.84</v>
      </c>
      <c r="G156">
        <v>200.37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-0.34681818181818164</v>
      </c>
      <c r="Q156">
        <f t="shared" ref="Q156" si="756">F156*P156</f>
        <v>-7317.4613272727238</v>
      </c>
      <c r="R156">
        <f t="shared" ref="R156" si="757">R157+Q156</f>
        <v>-4432527795.7570181</v>
      </c>
      <c r="S156">
        <f t="shared" ref="S156" si="758">R156/100000</f>
        <v>-44325.277957570179</v>
      </c>
      <c r="T156">
        <f t="shared" ref="T156" si="759">S156/1000</f>
        <v>-44.325277957570179</v>
      </c>
    </row>
    <row r="157" spans="1:20" x14ac:dyDescent="0.25">
      <c r="A157" s="5">
        <v>44436</v>
      </c>
      <c r="B157">
        <v>203.1</v>
      </c>
      <c r="C157">
        <v>212</v>
      </c>
      <c r="D157">
        <v>192.11</v>
      </c>
      <c r="E157">
        <v>195.24</v>
      </c>
      <c r="F157">
        <v>31876.799999999999</v>
      </c>
      <c r="G157">
        <v>195.24</v>
      </c>
      <c r="L157" t="s">
        <v>7</v>
      </c>
      <c r="M157" t="s">
        <v>7</v>
      </c>
      <c r="N157" t="s">
        <v>8</v>
      </c>
      <c r="P157">
        <f t="shared" ref="P157" si="760">IF(C157=D157,0,((E157-D157)-(C157-E157))/(C157-D157))</f>
        <v>-0.68526897938662668</v>
      </c>
      <c r="Q157">
        <f t="shared" ref="Q157" si="761">F157*P157</f>
        <v>-21844.18220211162</v>
      </c>
      <c r="R157">
        <f t="shared" ref="R157" si="762">R158+Q157</f>
        <v>-4432520478.2956905</v>
      </c>
      <c r="S157">
        <f t="shared" ref="S157" si="763">R157/100000</f>
        <v>-44325.204782956906</v>
      </c>
      <c r="T157">
        <f t="shared" ref="T157" si="764">S157/1000</f>
        <v>-44.325204782956902</v>
      </c>
    </row>
    <row r="158" spans="1:20" x14ac:dyDescent="0.25">
      <c r="A158" s="5">
        <v>44435</v>
      </c>
      <c r="B158">
        <v>167.64</v>
      </c>
      <c r="C158">
        <v>237</v>
      </c>
      <c r="D158">
        <v>162.88</v>
      </c>
      <c r="E158">
        <v>203.1</v>
      </c>
      <c r="F158">
        <v>63797.031320000002</v>
      </c>
      <c r="G158">
        <v>203.1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8.5267134376686357E-2</v>
      </c>
      <c r="Q158">
        <f t="shared" ref="Q158" si="766">F158*P158</f>
        <v>5439.7900423961082</v>
      </c>
      <c r="R158">
        <f t="shared" ref="R158" si="767">R159+Q158</f>
        <v>-4432498634.1134882</v>
      </c>
      <c r="S158">
        <f t="shared" ref="S158" si="768">R158/100000</f>
        <v>-44324.986341134885</v>
      </c>
      <c r="T158">
        <f t="shared" ref="T158" si="769">S158/1000</f>
        <v>-44.324986341134888</v>
      </c>
    </row>
    <row r="159" spans="1:20" x14ac:dyDescent="0.25">
      <c r="A159" s="5">
        <v>44434</v>
      </c>
      <c r="B159">
        <v>186</v>
      </c>
      <c r="C159">
        <v>189.38</v>
      </c>
      <c r="D159">
        <v>160.86000000000001</v>
      </c>
      <c r="E159">
        <v>167.64</v>
      </c>
      <c r="F159">
        <v>9726.3811900000001</v>
      </c>
      <c r="G159">
        <v>167.64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-0.52454417952314325</v>
      </c>
      <c r="Q159">
        <f t="shared" ref="Q159" si="771">F159*P159</f>
        <v>-5101.9166410378839</v>
      </c>
      <c r="R159">
        <f t="shared" ref="R159" si="772">R160+Q159</f>
        <v>-4432504073.9035301</v>
      </c>
      <c r="S159">
        <f t="shared" ref="S159" si="773">R159/100000</f>
        <v>-44325.040739035299</v>
      </c>
      <c r="T159">
        <f t="shared" ref="T159" si="774">S159/1000</f>
        <v>-44.325040739035302</v>
      </c>
    </row>
    <row r="160" spans="1:20" x14ac:dyDescent="0.25">
      <c r="A160" s="5">
        <v>44433</v>
      </c>
      <c r="B160">
        <v>171.48</v>
      </c>
      <c r="C160">
        <v>192.23</v>
      </c>
      <c r="D160">
        <v>164</v>
      </c>
      <c r="E160">
        <v>186.05</v>
      </c>
      <c r="F160">
        <v>14015.487090000001</v>
      </c>
      <c r="G160">
        <v>186.05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0.56216790648246684</v>
      </c>
      <c r="Q160">
        <f t="shared" ref="Q160" si="776">F160*P160</f>
        <v>7879.0570357173419</v>
      </c>
      <c r="R160">
        <f t="shared" ref="R160" si="777">R161+Q160</f>
        <v>-4432498971.9868889</v>
      </c>
      <c r="S160">
        <f t="shared" ref="S160" si="778">R160/100000</f>
        <v>-44324.989719868892</v>
      </c>
      <c r="T160">
        <f t="shared" ref="T160" si="779">S160/1000</f>
        <v>-44.324989719868896</v>
      </c>
    </row>
    <row r="161" spans="1:20" x14ac:dyDescent="0.25">
      <c r="A161" s="5">
        <v>44432</v>
      </c>
      <c r="B161">
        <v>184.45</v>
      </c>
      <c r="C161">
        <v>187.44</v>
      </c>
      <c r="D161">
        <v>170.39</v>
      </c>
      <c r="E161">
        <v>171.48</v>
      </c>
      <c r="F161">
        <v>12740.54407</v>
      </c>
      <c r="G161">
        <v>171.48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-0.87214076246334282</v>
      </c>
      <c r="Q161">
        <f t="shared" ref="Q161" si="781">F161*P161</f>
        <v>-11111.54781940762</v>
      </c>
      <c r="R161">
        <f t="shared" ref="R161" si="782">R162+Q161</f>
        <v>-4432506851.0439243</v>
      </c>
      <c r="S161">
        <f t="shared" ref="S161" si="783">R161/100000</f>
        <v>-44325.068510439247</v>
      </c>
      <c r="T161">
        <f t="shared" ref="T161" si="784">S161/1000</f>
        <v>-44.325068510439245</v>
      </c>
    </row>
    <row r="162" spans="1:20" x14ac:dyDescent="0.25">
      <c r="A162" s="5">
        <v>44431</v>
      </c>
      <c r="B162">
        <v>191.91</v>
      </c>
      <c r="C162">
        <v>197.07</v>
      </c>
      <c r="D162">
        <v>180.51</v>
      </c>
      <c r="E162">
        <v>184.46</v>
      </c>
      <c r="F162">
        <v>15687.449769999999</v>
      </c>
      <c r="G162">
        <v>184.46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-0.52294685990337963</v>
      </c>
      <c r="Q162">
        <f t="shared" ref="Q162" si="786">F162*P162</f>
        <v>-8203.7025971134954</v>
      </c>
      <c r="R162">
        <f t="shared" ref="R162" si="787">R163+Q162</f>
        <v>-4432495739.4961052</v>
      </c>
      <c r="S162">
        <f t="shared" ref="S162" si="788">R162/100000</f>
        <v>-44324.957394961049</v>
      </c>
      <c r="T162">
        <f t="shared" ref="T162" si="789">S162/1000</f>
        <v>-44.324957394961046</v>
      </c>
    </row>
    <row r="163" spans="1:20" x14ac:dyDescent="0.25">
      <c r="A163" s="5">
        <v>44430</v>
      </c>
      <c r="B163">
        <v>194.01</v>
      </c>
      <c r="C163">
        <v>202.5</v>
      </c>
      <c r="D163">
        <v>186.06</v>
      </c>
      <c r="E163">
        <v>199.01</v>
      </c>
      <c r="F163">
        <v>15767.329089999999</v>
      </c>
      <c r="G163">
        <v>199.01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0.57542579075425671</v>
      </c>
      <c r="Q163">
        <f t="shared" ref="Q163" si="791">F163*P163</f>
        <v>9072.9278096958442</v>
      </c>
      <c r="R163">
        <f t="shared" ref="R163" si="792">R164+Q163</f>
        <v>-4432487535.7935085</v>
      </c>
      <c r="S163">
        <f t="shared" ref="S163" si="793">R163/100000</f>
        <v>-44324.875357935089</v>
      </c>
      <c r="T163">
        <f t="shared" ref="T163" si="794">S163/1000</f>
        <v>-44.324875357935092</v>
      </c>
    </row>
    <row r="164" spans="1:20" x14ac:dyDescent="0.25">
      <c r="A164" s="5">
        <v>44429</v>
      </c>
      <c r="B164">
        <v>152.5</v>
      </c>
      <c r="C164">
        <v>233</v>
      </c>
      <c r="D164">
        <v>150.07</v>
      </c>
      <c r="E164">
        <v>194.74</v>
      </c>
      <c r="F164">
        <v>196865.84985</v>
      </c>
      <c r="G164">
        <v>194.74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7.729410346075033E-2</v>
      </c>
      <c r="Q164">
        <f t="shared" ref="Q164" si="796">F164*P164</f>
        <v>15216.569366194439</v>
      </c>
      <c r="R164">
        <f t="shared" ref="R164" si="797">R165+Q164</f>
        <v>-4432496608.7213182</v>
      </c>
      <c r="S164">
        <f t="shared" ref="S164" si="798">R164/100000</f>
        <v>-44324.966087213179</v>
      </c>
      <c r="T164">
        <f t="shared" ref="T164" si="799">S164/1000</f>
        <v>-44.324966087213177</v>
      </c>
    </row>
    <row r="165" spans="1:20" x14ac:dyDescent="0.25">
      <c r="A165" s="5">
        <v>44428</v>
      </c>
      <c r="B165">
        <v>140.16999999999999</v>
      </c>
      <c r="C165">
        <v>159.80000000000001</v>
      </c>
      <c r="D165">
        <v>139.88</v>
      </c>
      <c r="E165">
        <v>152.09</v>
      </c>
      <c r="F165">
        <v>18608.787069999998</v>
      </c>
      <c r="G165">
        <v>152.09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0.22590361445783114</v>
      </c>
      <c r="Q165">
        <f t="shared" ref="Q165" si="801">F165*P165</f>
        <v>4203.7922597891529</v>
      </c>
      <c r="R165">
        <f t="shared" ref="R165" si="802">R166+Q165</f>
        <v>-4432511825.2906847</v>
      </c>
      <c r="S165">
        <f t="shared" ref="S165" si="803">R165/100000</f>
        <v>-44325.118252906846</v>
      </c>
      <c r="T165">
        <f t="shared" ref="T165" si="804">S165/1000</f>
        <v>-44.325118252906847</v>
      </c>
    </row>
    <row r="166" spans="1:20" x14ac:dyDescent="0.25">
      <c r="A166" s="5">
        <v>44427</v>
      </c>
      <c r="B166">
        <v>138.66999999999999</v>
      </c>
      <c r="C166">
        <v>144.55000000000001</v>
      </c>
      <c r="D166">
        <v>132.08000000000001</v>
      </c>
      <c r="E166">
        <v>139.61000000000001</v>
      </c>
      <c r="F166">
        <v>11779.26748</v>
      </c>
      <c r="G166">
        <v>139.61000000000001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0.20769847634322403</v>
      </c>
      <c r="Q166">
        <f t="shared" ref="Q166" si="806">F166*P166</f>
        <v>2446.5359080352882</v>
      </c>
      <c r="R166">
        <f t="shared" ref="R166" si="807">R167+Q166</f>
        <v>-4432516029.0829449</v>
      </c>
      <c r="S166">
        <f t="shared" ref="S166" si="808">R166/100000</f>
        <v>-44325.160290829452</v>
      </c>
      <c r="T166">
        <f t="shared" ref="T166" si="809">S166/1000</f>
        <v>-44.325160290829452</v>
      </c>
    </row>
    <row r="167" spans="1:20" x14ac:dyDescent="0.25">
      <c r="A167" s="5">
        <v>44426</v>
      </c>
      <c r="B167">
        <v>135.71</v>
      </c>
      <c r="C167">
        <v>149</v>
      </c>
      <c r="D167">
        <v>132</v>
      </c>
      <c r="E167">
        <v>139.07</v>
      </c>
      <c r="F167">
        <v>14044.17338</v>
      </c>
      <c r="G167">
        <v>139.07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-0.16823529411764787</v>
      </c>
      <c r="Q167">
        <f t="shared" ref="Q167" si="811">F167*P167</f>
        <v>-2362.7256392235408</v>
      </c>
      <c r="R167">
        <f t="shared" ref="R167" si="812">R168+Q167</f>
        <v>-4432518475.6188526</v>
      </c>
      <c r="S167">
        <f t="shared" ref="S167" si="813">R167/100000</f>
        <v>-44325.18475618853</v>
      </c>
      <c r="T167">
        <f t="shared" ref="T167" si="814">S167/1000</f>
        <v>-44.325184756188527</v>
      </c>
    </row>
    <row r="168" spans="1:20" x14ac:dyDescent="0.25">
      <c r="A168" s="5">
        <v>44425</v>
      </c>
      <c r="B168">
        <v>141.38</v>
      </c>
      <c r="C168">
        <v>148.93</v>
      </c>
      <c r="D168">
        <v>134</v>
      </c>
      <c r="E168">
        <v>135.69999999999999</v>
      </c>
      <c r="F168">
        <v>8139.4002799999998</v>
      </c>
      <c r="G168">
        <v>135.69999999999999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-0.77227059611520588</v>
      </c>
      <c r="Q168">
        <f t="shared" ref="Q168" si="816">F168*P168</f>
        <v>-6285.8195062558734</v>
      </c>
      <c r="R168">
        <f t="shared" ref="R168" si="817">R169+Q168</f>
        <v>-4432516112.8932133</v>
      </c>
      <c r="S168">
        <f t="shared" ref="S168" si="818">R168/100000</f>
        <v>-44325.16112893213</v>
      </c>
      <c r="T168">
        <f t="shared" ref="T168" si="819">S168/1000</f>
        <v>-44.32516112893213</v>
      </c>
    </row>
    <row r="169" spans="1:20" x14ac:dyDescent="0.25">
      <c r="A169" s="5">
        <v>44424</v>
      </c>
      <c r="B169">
        <v>146.22999999999999</v>
      </c>
      <c r="C169">
        <v>154.01</v>
      </c>
      <c r="D169">
        <v>140.01</v>
      </c>
      <c r="E169">
        <v>141.80000000000001</v>
      </c>
      <c r="F169">
        <v>13253.382879999999</v>
      </c>
      <c r="G169">
        <v>141.80000000000001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-0.74428571428571133</v>
      </c>
      <c r="Q169">
        <f t="shared" ref="Q169" si="821">F169*P169</f>
        <v>-9864.3035435428174</v>
      </c>
      <c r="R169">
        <f t="shared" ref="R169" si="822">R170+Q169</f>
        <v>-4432509827.0737066</v>
      </c>
      <c r="S169">
        <f t="shared" ref="S169" si="823">R169/100000</f>
        <v>-44325.098270737064</v>
      </c>
      <c r="T169">
        <f t="shared" ref="T169" si="824">S169/1000</f>
        <v>-44.325098270737065</v>
      </c>
    </row>
    <row r="170" spans="1:20" x14ac:dyDescent="0.25">
      <c r="A170" s="5">
        <v>44423</v>
      </c>
      <c r="B170">
        <v>148.47</v>
      </c>
      <c r="C170">
        <v>151.02000000000001</v>
      </c>
      <c r="D170">
        <v>141.27000000000001</v>
      </c>
      <c r="E170">
        <v>145.6</v>
      </c>
      <c r="F170">
        <v>7836.9596799999999</v>
      </c>
      <c r="G170">
        <v>145.6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-0.11179487179487506</v>
      </c>
      <c r="Q170">
        <f t="shared" ref="Q170" si="826">F170*P170</f>
        <v>-876.13190268720507</v>
      </c>
      <c r="R170">
        <f t="shared" ref="R170" si="827">R171+Q170</f>
        <v>-4432499962.7701635</v>
      </c>
      <c r="S170">
        <f t="shared" ref="S170" si="828">R170/100000</f>
        <v>-44324.999627701633</v>
      </c>
      <c r="T170">
        <f t="shared" ref="T170" si="829">S170/1000</f>
        <v>-44.324999627701629</v>
      </c>
    </row>
    <row r="171" spans="1:20" x14ac:dyDescent="0.25">
      <c r="A171" s="5">
        <v>44422</v>
      </c>
      <c r="B171">
        <v>155.97999999999999</v>
      </c>
      <c r="C171">
        <v>158.41</v>
      </c>
      <c r="D171">
        <v>141.91999999999999</v>
      </c>
      <c r="E171">
        <v>148.43</v>
      </c>
      <c r="F171">
        <v>16394.385490000001</v>
      </c>
      <c r="G171">
        <v>148.43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-0.21043056397816667</v>
      </c>
      <c r="Q171">
        <f t="shared" ref="Q171" si="831">F171*P171</f>
        <v>-3449.8797847361725</v>
      </c>
      <c r="R171">
        <f t="shared" ref="R171" si="832">R172+Q171</f>
        <v>-4432499086.6382608</v>
      </c>
      <c r="S171">
        <f t="shared" ref="S171" si="833">R171/100000</f>
        <v>-44324.990866382606</v>
      </c>
      <c r="T171">
        <f t="shared" ref="T171" si="834">S171/1000</f>
        <v>-44.324990866382606</v>
      </c>
    </row>
    <row r="172" spans="1:20" x14ac:dyDescent="0.25">
      <c r="A172" s="5">
        <v>44421</v>
      </c>
      <c r="B172">
        <v>138.83000000000001</v>
      </c>
      <c r="C172">
        <v>173.99</v>
      </c>
      <c r="D172">
        <v>138.79</v>
      </c>
      <c r="E172">
        <v>155.75</v>
      </c>
      <c r="F172">
        <v>52510.757109999999</v>
      </c>
      <c r="G172">
        <v>155.75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-3.6363636363636376E-2</v>
      </c>
      <c r="Q172">
        <f t="shared" ref="Q172" si="836">F172*P172</f>
        <v>-1909.4820767272734</v>
      </c>
      <c r="R172">
        <f t="shared" ref="R172" si="837">R173+Q172</f>
        <v>-4432495636.7584763</v>
      </c>
      <c r="S172">
        <f t="shared" ref="S172" si="838">R172/100000</f>
        <v>-44324.95636758476</v>
      </c>
      <c r="T172">
        <f t="shared" ref="T172" si="839">S172/1000</f>
        <v>-44.324956367584761</v>
      </c>
    </row>
    <row r="173" spans="1:20" x14ac:dyDescent="0.25">
      <c r="A173" s="5">
        <v>44420</v>
      </c>
      <c r="B173">
        <v>135.52000000000001</v>
      </c>
      <c r="C173">
        <v>146.13999999999999</v>
      </c>
      <c r="D173">
        <v>129.56</v>
      </c>
      <c r="E173">
        <v>138.76</v>
      </c>
      <c r="F173">
        <v>31186.824560000001</v>
      </c>
      <c r="G173">
        <v>138.76</v>
      </c>
      <c r="L173" t="s">
        <v>7</v>
      </c>
      <c r="M173" t="s">
        <v>7</v>
      </c>
      <c r="N173" t="s">
        <v>7</v>
      </c>
      <c r="P173">
        <f t="shared" ref="P173" si="840">IF(C173=D173,0,((E173-D173)-(C173-E173))/(C173-D173))</f>
        <v>0.10977080820265349</v>
      </c>
      <c r="Q173">
        <f t="shared" ref="Q173" si="841">F173*P173</f>
        <v>3423.4029372255632</v>
      </c>
      <c r="R173">
        <f t="shared" ref="R173" si="842">R174+Q173</f>
        <v>-4432493727.2763996</v>
      </c>
      <c r="S173">
        <f t="shared" ref="S173" si="843">R173/100000</f>
        <v>-44324.937272763993</v>
      </c>
      <c r="T173">
        <f t="shared" ref="T173" si="844">S173/1000</f>
        <v>-44.324937272763989</v>
      </c>
    </row>
    <row r="174" spans="1:20" x14ac:dyDescent="0.25">
      <c r="A174" s="5">
        <v>44419</v>
      </c>
      <c r="B174">
        <v>133</v>
      </c>
      <c r="C174">
        <v>160.87</v>
      </c>
      <c r="D174">
        <v>131</v>
      </c>
      <c r="E174">
        <v>135.6</v>
      </c>
      <c r="F174">
        <v>34116.482219999998</v>
      </c>
      <c r="G174">
        <v>135.6</v>
      </c>
      <c r="L174" t="s">
        <v>8</v>
      </c>
      <c r="M174" t="s">
        <v>8</v>
      </c>
      <c r="N174" t="s">
        <v>7</v>
      </c>
      <c r="P174">
        <f t="shared" ref="P174" si="845">IF(C174=D174,0,((E174-D174)-(C174-E174))/(C174-D174))</f>
        <v>-0.69199866086374329</v>
      </c>
      <c r="Q174">
        <f t="shared" ref="Q174" si="846">F174*P174</f>
        <v>-23608.560009621706</v>
      </c>
      <c r="R174">
        <f t="shared" ref="R174" si="847">R175+Q174</f>
        <v>-4432497150.6793365</v>
      </c>
      <c r="S174">
        <f t="shared" ref="S174" si="848">R174/100000</f>
        <v>-44324.971506793365</v>
      </c>
      <c r="T174">
        <f t="shared" ref="T174" si="849">S174/1000</f>
        <v>-44.324971506793368</v>
      </c>
    </row>
    <row r="175" spans="1:20" x14ac:dyDescent="0.25">
      <c r="A175" s="5">
        <v>44418</v>
      </c>
      <c r="B175">
        <v>136.09</v>
      </c>
      <c r="C175">
        <v>142.96</v>
      </c>
      <c r="D175">
        <v>129.55000000000001</v>
      </c>
      <c r="E175">
        <v>133</v>
      </c>
      <c r="F175">
        <v>15070.31401</v>
      </c>
      <c r="G175">
        <v>133</v>
      </c>
      <c r="L175" t="s">
        <v>8</v>
      </c>
      <c r="M175" t="s">
        <v>8</v>
      </c>
      <c r="N175" t="s">
        <v>7</v>
      </c>
      <c r="P175">
        <f t="shared" ref="P175" si="850">IF(C175=D175,0,((E175-D175)-(C175-E175))/(C175-D175))</f>
        <v>-0.48545861297539306</v>
      </c>
      <c r="Q175">
        <f t="shared" ref="Q175" si="851">F175*P175</f>
        <v>-7316.013736398234</v>
      </c>
      <c r="R175">
        <f t="shared" ref="R175" si="852">R176+Q175</f>
        <v>-4432473542.1193266</v>
      </c>
      <c r="S175">
        <f t="shared" ref="S175" si="853">R175/100000</f>
        <v>-44324.735421193269</v>
      </c>
      <c r="T175">
        <f t="shared" ref="T175" si="854">S175/1000</f>
        <v>-44.324735421193267</v>
      </c>
    </row>
    <row r="176" spans="1:20" x14ac:dyDescent="0.25">
      <c r="A176" s="5">
        <v>44417</v>
      </c>
      <c r="B176">
        <v>126.56</v>
      </c>
      <c r="C176">
        <v>147</v>
      </c>
      <c r="D176">
        <v>120.37</v>
      </c>
      <c r="E176">
        <v>136.88999999999999</v>
      </c>
      <c r="F176">
        <v>28410.139169999999</v>
      </c>
      <c r="G176">
        <v>136.88999999999999</v>
      </c>
      <c r="L176" t="s">
        <v>7</v>
      </c>
      <c r="M176" t="s">
        <v>8</v>
      </c>
      <c r="N176" t="s">
        <v>7</v>
      </c>
      <c r="P176">
        <f t="shared" ref="P176" si="855">IF(C176=D176,0,((E176-D176)-(C176-E176))/(C176-D176))</f>
        <v>0.24070597070972471</v>
      </c>
      <c r="Q176">
        <f t="shared" ref="Q176" si="856">F176*P176</f>
        <v>6838.4901269132224</v>
      </c>
      <c r="R176">
        <f t="shared" ref="R176" si="857">R177+Q176</f>
        <v>-4432466226.1055899</v>
      </c>
      <c r="S176">
        <f t="shared" ref="S176" si="858">R176/100000</f>
        <v>-44324.662261055899</v>
      </c>
      <c r="T176">
        <f t="shared" ref="T176" si="859">S176/1000</f>
        <v>-44.324662261055899</v>
      </c>
    </row>
    <row r="177" spans="1:20" x14ac:dyDescent="0.25">
      <c r="A177" s="5">
        <v>44416</v>
      </c>
      <c r="B177">
        <v>144.01</v>
      </c>
      <c r="C177">
        <v>144.9</v>
      </c>
      <c r="D177">
        <v>123.61</v>
      </c>
      <c r="E177">
        <v>126.31</v>
      </c>
      <c r="F177">
        <v>27584.429510000002</v>
      </c>
      <c r="G177">
        <v>126.31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-0.74635979333020175</v>
      </c>
      <c r="Q177">
        <f t="shared" ref="Q177" si="861">F177*P177</f>
        <v>-20587.909108215121</v>
      </c>
      <c r="R177">
        <f t="shared" ref="R177" si="862">R178+Q177</f>
        <v>-4432473064.5957165</v>
      </c>
      <c r="S177">
        <f t="shared" ref="S177" si="863">R177/100000</f>
        <v>-44324.730645957163</v>
      </c>
      <c r="T177">
        <f t="shared" ref="T177" si="864">S177/1000</f>
        <v>-44.32473064595716</v>
      </c>
    </row>
    <row r="178" spans="1:20" x14ac:dyDescent="0.25">
      <c r="A178" s="5">
        <v>44415</v>
      </c>
      <c r="B178">
        <v>158.52000000000001</v>
      </c>
      <c r="C178">
        <v>165.64</v>
      </c>
      <c r="D178">
        <v>135.78</v>
      </c>
      <c r="E178">
        <v>144.49</v>
      </c>
      <c r="F178">
        <v>49813.10166</v>
      </c>
      <c r="G178">
        <v>144.49</v>
      </c>
      <c r="L178" t="s">
        <v>8</v>
      </c>
      <c r="M178" t="s">
        <v>8</v>
      </c>
      <c r="N178" t="s">
        <v>7</v>
      </c>
      <c r="P178">
        <f t="shared" ref="P178" si="865">IF(C178=D178,0,((E178-D178)-(C178-E178))/(C178-D178))</f>
        <v>-0.41661085063630193</v>
      </c>
      <c r="Q178">
        <f t="shared" ref="Q178" si="866">F178*P178</f>
        <v>-20752.678655405183</v>
      </c>
      <c r="R178">
        <f t="shared" ref="R178" si="867">R179+Q178</f>
        <v>-4432452476.6866083</v>
      </c>
      <c r="S178">
        <f t="shared" ref="S178" si="868">R178/100000</f>
        <v>-44324.524766866081</v>
      </c>
      <c r="T178">
        <f t="shared" ref="T178" si="869">S178/1000</f>
        <v>-44.324524766866084</v>
      </c>
    </row>
    <row r="179" spans="1:20" x14ac:dyDescent="0.25">
      <c r="A179" s="5">
        <v>44414</v>
      </c>
      <c r="B179">
        <v>142.19</v>
      </c>
      <c r="C179">
        <v>228</v>
      </c>
      <c r="D179">
        <v>127.68</v>
      </c>
      <c r="E179">
        <v>158.56</v>
      </c>
      <c r="F179">
        <v>339371.39451999997</v>
      </c>
      <c r="G179">
        <v>158.56</v>
      </c>
      <c r="L179" t="s">
        <v>7</v>
      </c>
      <c r="M179" t="s">
        <v>7</v>
      </c>
      <c r="N179" t="s">
        <v>7</v>
      </c>
      <c r="P179">
        <f t="shared" ref="P179" si="870">IF(C179=D179,0,((E179-D179)-(C179-E179))/(C179-D179))</f>
        <v>-0.38437001594896336</v>
      </c>
      <c r="Q179">
        <f t="shared" ref="Q179" si="871">F179*P179</f>
        <v>-130444.18832427432</v>
      </c>
      <c r="R179">
        <f t="shared" ref="R179" si="872">R180+Q179</f>
        <v>-4432431724.0079527</v>
      </c>
      <c r="S179">
        <f t="shared" ref="S179" si="873">R179/100000</f>
        <v>-44324.31724007953</v>
      </c>
      <c r="T179">
        <f t="shared" ref="T179" si="874">S179/1000</f>
        <v>-44.32431724007953</v>
      </c>
    </row>
    <row r="180" spans="1:20" x14ac:dyDescent="0.25">
      <c r="A180" s="5">
        <v>44413</v>
      </c>
      <c r="B180">
        <v>86.02</v>
      </c>
      <c r="C180">
        <v>240</v>
      </c>
      <c r="D180">
        <v>83.08</v>
      </c>
      <c r="E180">
        <v>141.57</v>
      </c>
      <c r="F180">
        <v>226882.57965999999</v>
      </c>
      <c r="G180">
        <v>141.57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-0.25452459852153969</v>
      </c>
      <c r="Q180">
        <f t="shared" ref="Q180" si="876">F180*P180</f>
        <v>-57747.197499492744</v>
      </c>
      <c r="R180">
        <f t="shared" ref="R180" si="877">R181+Q180</f>
        <v>-4432301279.8196287</v>
      </c>
      <c r="S180">
        <f t="shared" ref="S180" si="878">R180/100000</f>
        <v>-44323.012798196287</v>
      </c>
      <c r="T180">
        <f t="shared" ref="T180" si="879">S180/1000</f>
        <v>-44.323012798196288</v>
      </c>
    </row>
    <row r="181" spans="1:20" x14ac:dyDescent="0.25">
      <c r="A181" s="5">
        <v>44412</v>
      </c>
      <c r="B181">
        <v>85.36</v>
      </c>
      <c r="C181">
        <v>90.47</v>
      </c>
      <c r="D181">
        <v>83.95</v>
      </c>
      <c r="E181">
        <v>86.08</v>
      </c>
      <c r="F181">
        <v>3489.1399700000002</v>
      </c>
      <c r="G181">
        <v>86.08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-0.34662576687116664</v>
      </c>
      <c r="Q181">
        <f t="shared" ref="Q181" si="881">F181*P181</f>
        <v>-1209.4258178220894</v>
      </c>
      <c r="R181">
        <f t="shared" ref="R181" si="882">R182+Q181</f>
        <v>-4432243532.6221294</v>
      </c>
      <c r="S181">
        <f t="shared" ref="S181" si="883">R181/100000</f>
        <v>-44322.435326221297</v>
      </c>
      <c r="T181">
        <f t="shared" ref="T181" si="884">S181/1000</f>
        <v>-44.322435326221296</v>
      </c>
    </row>
    <row r="182" spans="1:20" x14ac:dyDescent="0.25">
      <c r="A182" s="5">
        <v>44411</v>
      </c>
      <c r="B182">
        <v>88.52</v>
      </c>
      <c r="C182">
        <v>88.52</v>
      </c>
      <c r="D182">
        <v>82.12</v>
      </c>
      <c r="E182">
        <v>85.36</v>
      </c>
      <c r="F182">
        <v>2791.88175</v>
      </c>
      <c r="G182">
        <v>85.36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1.2499999999999751E-2</v>
      </c>
      <c r="Q182">
        <f t="shared" ref="Q182" si="886">F182*P182</f>
        <v>34.898521874999304</v>
      </c>
      <c r="R182">
        <f t="shared" ref="R182" si="887">R183+Q182</f>
        <v>-4432242323.196312</v>
      </c>
      <c r="S182">
        <f t="shared" ref="S182" si="888">R182/100000</f>
        <v>-44322.423231963119</v>
      </c>
      <c r="T182">
        <f t="shared" ref="T182" si="889">S182/1000</f>
        <v>-44.322423231963121</v>
      </c>
    </row>
    <row r="183" spans="1:20" x14ac:dyDescent="0.25">
      <c r="A183" s="5">
        <v>44410</v>
      </c>
      <c r="B183">
        <v>89.1</v>
      </c>
      <c r="C183">
        <v>91.02</v>
      </c>
      <c r="D183">
        <v>86</v>
      </c>
      <c r="E183">
        <v>88.52</v>
      </c>
      <c r="F183">
        <v>4434.0865999999996</v>
      </c>
      <c r="G183">
        <v>88.52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3.984063745019131E-3</v>
      </c>
      <c r="Q183">
        <f t="shared" ref="Q183" si="891">F183*P183</f>
        <v>17.665683665335145</v>
      </c>
      <c r="R183">
        <f t="shared" ref="R183" si="892">R184+Q183</f>
        <v>-4432242358.0948334</v>
      </c>
      <c r="S183">
        <f t="shared" ref="S183" si="893">R183/100000</f>
        <v>-44322.423580948336</v>
      </c>
      <c r="T183">
        <f t="shared" ref="T183" si="894">S183/1000</f>
        <v>-44.322423580948339</v>
      </c>
    </row>
    <row r="184" spans="1:20" x14ac:dyDescent="0.25">
      <c r="A184" s="5">
        <v>44409</v>
      </c>
      <c r="B184">
        <v>87.98</v>
      </c>
      <c r="C184">
        <v>92</v>
      </c>
      <c r="D184">
        <v>84.47</v>
      </c>
      <c r="E184">
        <v>89.1</v>
      </c>
      <c r="F184">
        <v>5878.2249499999998</v>
      </c>
      <c r="G184">
        <v>89.1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0.22974767596281401</v>
      </c>
      <c r="Q184">
        <f t="shared" ref="Q184" si="896">F184*P184</f>
        <v>1350.5085210491286</v>
      </c>
      <c r="R184">
        <f t="shared" ref="R184" si="897">R185+Q184</f>
        <v>-4432242375.7605171</v>
      </c>
      <c r="S184">
        <f t="shared" ref="S184" si="898">R184/100000</f>
        <v>-44322.423757605175</v>
      </c>
      <c r="T184">
        <f t="shared" ref="T184" si="899">S184/1000</f>
        <v>-44.322423757605172</v>
      </c>
    </row>
    <row r="185" spans="1:20" x14ac:dyDescent="0.25">
      <c r="A185" s="5">
        <v>44408</v>
      </c>
      <c r="B185">
        <v>86.44</v>
      </c>
      <c r="C185">
        <v>91</v>
      </c>
      <c r="D185">
        <v>85.44</v>
      </c>
      <c r="E185">
        <v>87.98</v>
      </c>
      <c r="F185">
        <v>6082.9179999999997</v>
      </c>
      <c r="G185">
        <v>87.98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-8.6330935251796692E-2</v>
      </c>
      <c r="Q185">
        <f t="shared" ref="Q185" si="901">F185*P185</f>
        <v>-525.14399999998864</v>
      </c>
      <c r="R185">
        <f t="shared" ref="R185" si="902">R186+Q185</f>
        <v>-4432243726.2690382</v>
      </c>
      <c r="S185">
        <f t="shared" ref="S185" si="903">R185/100000</f>
        <v>-44322.437262690379</v>
      </c>
      <c r="T185">
        <f t="shared" ref="T185" si="904">S185/1000</f>
        <v>-44.322437262690379</v>
      </c>
    </row>
    <row r="186" spans="1:20" x14ac:dyDescent="0.25">
      <c r="A186" s="5">
        <v>44407</v>
      </c>
      <c r="B186">
        <v>83.21</v>
      </c>
      <c r="C186">
        <v>90</v>
      </c>
      <c r="D186">
        <v>80.400000000000006</v>
      </c>
      <c r="E186">
        <v>87.29</v>
      </c>
      <c r="F186">
        <v>7591.0934600000001</v>
      </c>
      <c r="G186">
        <v>87.29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0.43541666666666762</v>
      </c>
      <c r="Q186">
        <f t="shared" ref="Q186" si="906">F186*P186</f>
        <v>3305.2886107083405</v>
      </c>
      <c r="R186">
        <f t="shared" ref="R186" si="907">R187+Q186</f>
        <v>-4432243201.1250381</v>
      </c>
      <c r="S186">
        <f t="shared" ref="S186" si="908">R186/100000</f>
        <v>-44322.432011250385</v>
      </c>
      <c r="T186">
        <f t="shared" ref="T186" si="909">S186/1000</f>
        <v>-44.322432011250385</v>
      </c>
    </row>
    <row r="187" spans="1:20" x14ac:dyDescent="0.25">
      <c r="A187" s="5">
        <v>44406</v>
      </c>
      <c r="B187">
        <v>82.44</v>
      </c>
      <c r="C187">
        <v>85</v>
      </c>
      <c r="D187">
        <v>80.5</v>
      </c>
      <c r="E187">
        <v>83.1</v>
      </c>
      <c r="F187">
        <v>3167.68694</v>
      </c>
      <c r="G187">
        <v>83.1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0.15555555555555303</v>
      </c>
      <c r="Q187">
        <f t="shared" ref="Q187" si="911">F187*P187</f>
        <v>492.75130177776981</v>
      </c>
      <c r="R187">
        <f t="shared" ref="R187" si="912">R188+Q187</f>
        <v>-4432246506.4136486</v>
      </c>
      <c r="S187">
        <f t="shared" ref="S187" si="913">R187/100000</f>
        <v>-44322.465064136486</v>
      </c>
      <c r="T187">
        <f t="shared" ref="T187" si="914">S187/1000</f>
        <v>-44.322465064136487</v>
      </c>
    </row>
    <row r="188" spans="1:20" x14ac:dyDescent="0.25">
      <c r="A188" s="5">
        <v>44405</v>
      </c>
      <c r="B188">
        <v>81.11</v>
      </c>
      <c r="C188">
        <v>85.1</v>
      </c>
      <c r="D188">
        <v>79.489999999999995</v>
      </c>
      <c r="E188">
        <v>82.94</v>
      </c>
      <c r="F188">
        <v>3705.7943599999999</v>
      </c>
      <c r="G188">
        <v>82.94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0.22994652406417226</v>
      </c>
      <c r="Q188">
        <f t="shared" ref="Q188" si="916">F188*P188</f>
        <v>852.13453197861384</v>
      </c>
      <c r="R188">
        <f t="shared" ref="R188" si="917">R189+Q188</f>
        <v>-4432246999.1649504</v>
      </c>
      <c r="S188">
        <f t="shared" ref="S188" si="918">R188/100000</f>
        <v>-44322.469991649501</v>
      </c>
      <c r="T188">
        <f t="shared" ref="T188" si="919">S188/1000</f>
        <v>-44.322469991649498</v>
      </c>
    </row>
    <row r="189" spans="1:20" x14ac:dyDescent="0.25">
      <c r="A189" s="5">
        <v>44404</v>
      </c>
      <c r="B189">
        <v>80.28</v>
      </c>
      <c r="C189">
        <v>85.59</v>
      </c>
      <c r="D189">
        <v>78.37</v>
      </c>
      <c r="E189">
        <v>80.569999999999993</v>
      </c>
      <c r="F189">
        <v>6613.2639600000002</v>
      </c>
      <c r="G189">
        <v>80.569999999999993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-0.39058171745152659</v>
      </c>
      <c r="Q189">
        <f t="shared" ref="Q189" si="921">F189*P189</f>
        <v>-2583.019995457084</v>
      </c>
      <c r="R189">
        <f t="shared" ref="R189" si="922">R190+Q189</f>
        <v>-4432247851.2994823</v>
      </c>
      <c r="S189">
        <f t="shared" ref="S189" si="923">R189/100000</f>
        <v>-44322.478512994821</v>
      </c>
      <c r="T189">
        <f t="shared" ref="T189" si="924">S189/1000</f>
        <v>-44.32247851299482</v>
      </c>
    </row>
    <row r="190" spans="1:20" x14ac:dyDescent="0.25">
      <c r="A190" s="5">
        <v>44403</v>
      </c>
      <c r="B190">
        <v>83.83</v>
      </c>
      <c r="C190">
        <v>90</v>
      </c>
      <c r="D190">
        <v>79</v>
      </c>
      <c r="E190">
        <v>80</v>
      </c>
      <c r="F190">
        <v>8497.1081599999998</v>
      </c>
      <c r="G190">
        <v>80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-0.81818181818181823</v>
      </c>
      <c r="Q190">
        <f t="shared" ref="Q190" si="926">F190*P190</f>
        <v>-6952.1794036363635</v>
      </c>
      <c r="R190">
        <f t="shared" ref="R190" si="927">R191+Q190</f>
        <v>-4432245268.2794867</v>
      </c>
      <c r="S190">
        <f t="shared" ref="S190" si="928">R190/100000</f>
        <v>-44322.452682794865</v>
      </c>
      <c r="T190">
        <f t="shared" ref="T190" si="929">S190/1000</f>
        <v>-44.322452682794868</v>
      </c>
    </row>
    <row r="191" spans="1:20" x14ac:dyDescent="0.25">
      <c r="A191" s="5">
        <v>44402</v>
      </c>
      <c r="B191">
        <v>80.010000000000005</v>
      </c>
      <c r="C191">
        <v>87</v>
      </c>
      <c r="D191">
        <v>77.02</v>
      </c>
      <c r="E191">
        <v>83.83</v>
      </c>
      <c r="F191">
        <v>7570.6514299999999</v>
      </c>
      <c r="G191">
        <v>83.83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0.36472945891783559</v>
      </c>
      <c r="Q191">
        <f t="shared" ref="Q191" si="931">F191*P191</f>
        <v>2761.239599719438</v>
      </c>
      <c r="R191">
        <f t="shared" ref="R191" si="932">R192+Q191</f>
        <v>-4432238316.1000834</v>
      </c>
      <c r="S191">
        <f t="shared" ref="S191" si="933">R191/100000</f>
        <v>-44322.383161000835</v>
      </c>
      <c r="T191">
        <f t="shared" ref="T191:T197" si="934">S191/1000</f>
        <v>-44.322383161000836</v>
      </c>
    </row>
    <row r="192" spans="1:20" x14ac:dyDescent="0.25">
      <c r="A192" s="5">
        <v>44401</v>
      </c>
      <c r="B192">
        <v>77.430000000000007</v>
      </c>
      <c r="C192">
        <v>82.76</v>
      </c>
      <c r="D192">
        <v>76.180000000000007</v>
      </c>
      <c r="E192">
        <v>79.91</v>
      </c>
      <c r="F192">
        <v>8265.0134099999996</v>
      </c>
      <c r="G192">
        <v>79.91</v>
      </c>
      <c r="L192" t="s">
        <v>7</v>
      </c>
      <c r="M192" t="s">
        <v>8</v>
      </c>
      <c r="N192" t="s">
        <v>8</v>
      </c>
      <c r="P192">
        <f t="shared" ref="P192" si="935">IF(C192=D192,0,((E192-D192)-(C192-E192))/(C192-D192))</f>
        <v>0.13373860182370539</v>
      </c>
      <c r="Q192">
        <f t="shared" ref="Q192" si="936">F192*P192</f>
        <v>1105.3513375075754</v>
      </c>
      <c r="R192">
        <f t="shared" ref="R192" si="937">R193+Q192</f>
        <v>-4432241077.3396835</v>
      </c>
      <c r="S192">
        <f t="shared" ref="S192" si="938">R192/100000</f>
        <v>-44322.410773396834</v>
      </c>
      <c r="T192">
        <f t="shared" si="934"/>
        <v>-44.322410773396832</v>
      </c>
    </row>
    <row r="193" spans="1:20" x14ac:dyDescent="0.25">
      <c r="A193" s="5">
        <v>44400</v>
      </c>
      <c r="B193">
        <v>71.53</v>
      </c>
      <c r="C193">
        <v>82</v>
      </c>
      <c r="D193">
        <v>71.16</v>
      </c>
      <c r="E193">
        <v>77.31</v>
      </c>
      <c r="F193">
        <v>14808.08827</v>
      </c>
      <c r="G193">
        <v>77.31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0.13468634686346934</v>
      </c>
      <c r="Q193">
        <f t="shared" ref="Q193" si="940">F193*P193</f>
        <v>1994.4473131180916</v>
      </c>
      <c r="R193">
        <f t="shared" ref="R193" si="941">R194+Q193</f>
        <v>-4432242182.691021</v>
      </c>
      <c r="S193">
        <f t="shared" ref="S193" si="942">R193/100000</f>
        <v>-44322.421826910213</v>
      </c>
      <c r="T193">
        <f t="shared" si="934"/>
        <v>-44.322421826910215</v>
      </c>
    </row>
    <row r="194" spans="1:20" x14ac:dyDescent="0.25">
      <c r="A194" s="5">
        <v>44399</v>
      </c>
      <c r="B194">
        <v>70.430000000000007</v>
      </c>
      <c r="C194">
        <v>73.47</v>
      </c>
      <c r="D194">
        <v>69.38</v>
      </c>
      <c r="E194">
        <v>71.14</v>
      </c>
      <c r="F194">
        <v>3851.1313300000002</v>
      </c>
      <c r="G194">
        <v>71.14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-0.13936430317848233</v>
      </c>
      <c r="Q194">
        <f t="shared" ref="Q194" si="944">F194*P194</f>
        <v>-536.71023425427188</v>
      </c>
      <c r="R194">
        <f t="shared" ref="R194" si="945">R195+Q194</f>
        <v>-4432244177.1383343</v>
      </c>
      <c r="S194">
        <f t="shared" ref="S194" si="946">R194/100000</f>
        <v>-44322.441771383346</v>
      </c>
      <c r="T194">
        <f t="shared" si="934"/>
        <v>-44.322441771383346</v>
      </c>
    </row>
    <row r="195" spans="1:20" x14ac:dyDescent="0.25">
      <c r="A195" s="5">
        <v>44398</v>
      </c>
      <c r="B195">
        <v>68.010000000000005</v>
      </c>
      <c r="C195">
        <v>74</v>
      </c>
      <c r="D195">
        <v>65.78</v>
      </c>
      <c r="E195">
        <v>70.760000000000005</v>
      </c>
      <c r="F195">
        <v>6737.2069300000003</v>
      </c>
      <c r="G195">
        <v>70.760000000000005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0.21167883211678945</v>
      </c>
      <c r="Q195">
        <f t="shared" ref="Q195" si="948">F195*P195</f>
        <v>1426.1240946715404</v>
      </c>
      <c r="R195">
        <f t="shared" ref="R195" si="949">R196+Q195</f>
        <v>-4432243640.4280996</v>
      </c>
      <c r="S195">
        <f t="shared" ref="S195" si="950">R195/100000</f>
        <v>-44322.436404280998</v>
      </c>
      <c r="T195">
        <f t="shared" si="934"/>
        <v>-44.322436404281</v>
      </c>
    </row>
    <row r="196" spans="1:20" x14ac:dyDescent="0.25">
      <c r="A196" s="5">
        <v>44397</v>
      </c>
      <c r="B196">
        <v>68.97</v>
      </c>
      <c r="C196">
        <v>70.989999999999995</v>
      </c>
      <c r="D196">
        <v>64.150000000000006</v>
      </c>
      <c r="E196">
        <v>68.010000000000005</v>
      </c>
      <c r="F196">
        <v>3646.3847500000002</v>
      </c>
      <c r="G196">
        <v>68.010000000000005</v>
      </c>
      <c r="L196" t="s">
        <v>8</v>
      </c>
      <c r="M196" t="s">
        <v>8</v>
      </c>
      <c r="N196" t="s">
        <v>8</v>
      </c>
      <c r="P196">
        <f t="shared" ref="P196" si="951">IF(C196=D196,0,((E196-D196)-(C196-E196))/(C196-D196))</f>
        <v>0.12865497076023552</v>
      </c>
      <c r="Q196">
        <f t="shared" ref="Q196" si="952">F196*P196</f>
        <v>469.12552339181872</v>
      </c>
      <c r="R196">
        <f t="shared" ref="R196" si="953">R197+Q196</f>
        <v>-4432245066.5521946</v>
      </c>
      <c r="S196">
        <f t="shared" ref="S196" si="954">R196/100000</f>
        <v>-44322.450665521945</v>
      </c>
      <c r="T196">
        <f t="shared" si="934"/>
        <v>-44.322450665521941</v>
      </c>
    </row>
    <row r="197" spans="1:20" x14ac:dyDescent="0.25">
      <c r="A197" s="5">
        <v>44396</v>
      </c>
      <c r="B197">
        <v>3.09E-2</v>
      </c>
      <c r="C197">
        <v>3.09E-2</v>
      </c>
      <c r="D197">
        <v>2.76E-2</v>
      </c>
      <c r="E197">
        <v>2.8799999999999999E-2</v>
      </c>
      <c r="F197">
        <v>169419893.59999999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-0.2727272727272731</v>
      </c>
      <c r="Q197">
        <f t="shared" ref="Q197" si="956">F197*P197</f>
        <v>-46205425.527272791</v>
      </c>
      <c r="R197">
        <f t="shared" ref="R197" si="957">R198+Q197</f>
        <v>-4432245535.6777182</v>
      </c>
      <c r="S197">
        <f t="shared" ref="S197" si="958">R197/100000</f>
        <v>-44322.45535677718</v>
      </c>
      <c r="T197">
        <f t="shared" si="934"/>
        <v>-44.322455356777184</v>
      </c>
    </row>
    <row r="198" spans="1:20" x14ac:dyDescent="0.25">
      <c r="A198" s="5">
        <v>44395</v>
      </c>
      <c r="B198">
        <v>3.0499999999999999E-2</v>
      </c>
      <c r="C198">
        <v>3.1899999999999998E-2</v>
      </c>
      <c r="D198">
        <v>3.0200000000000001E-2</v>
      </c>
      <c r="E198">
        <v>3.1E-2</v>
      </c>
      <c r="F198">
        <v>129531546.65000001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-5.8823529411764469E-2</v>
      </c>
      <c r="Q198">
        <f t="shared" ref="Q198:Q261" si="960">F198*P198</f>
        <v>-7619502.7441176167</v>
      </c>
      <c r="R198">
        <f t="shared" ref="R198:R261" si="961">R199+Q198</f>
        <v>-4386040110.150445</v>
      </c>
      <c r="S198">
        <f t="shared" ref="S198:S261" si="962">R198/100000</f>
        <v>-43860.401101504453</v>
      </c>
      <c r="T198">
        <f t="shared" ref="T198:T261" si="963">S198/1000</f>
        <v>-43.860401101504451</v>
      </c>
    </row>
    <row r="199" spans="1:20" x14ac:dyDescent="0.25">
      <c r="A199" s="5">
        <v>44394</v>
      </c>
      <c r="B199">
        <v>3.0700000000000002E-2</v>
      </c>
      <c r="C199">
        <v>3.2000000000000001E-2</v>
      </c>
      <c r="D199">
        <v>3.0099999999999998E-2</v>
      </c>
      <c r="E199">
        <v>3.0599999999999999E-2</v>
      </c>
      <c r="F199">
        <v>208602478.84999999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-0.47368421052631599</v>
      </c>
      <c r="Q199">
        <f t="shared" si="960"/>
        <v>-98811700.507894769</v>
      </c>
      <c r="R199">
        <f t="shared" si="961"/>
        <v>-4378420607.4063272</v>
      </c>
      <c r="S199">
        <f t="shared" si="962"/>
        <v>-43784.206074063273</v>
      </c>
      <c r="T199">
        <f t="shared" si="963"/>
        <v>-43.78420607406327</v>
      </c>
    </row>
    <row r="200" spans="1:20" x14ac:dyDescent="0.25">
      <c r="A200" s="5">
        <v>44393</v>
      </c>
      <c r="B200">
        <v>3.39E-2</v>
      </c>
      <c r="C200">
        <v>3.5099999999999999E-2</v>
      </c>
      <c r="D200">
        <v>3.0499999999999999E-2</v>
      </c>
      <c r="E200">
        <v>3.0700000000000002E-2</v>
      </c>
      <c r="F200">
        <v>314850007.57999998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-0.91304347826086862</v>
      </c>
      <c r="Q200">
        <f t="shared" si="960"/>
        <v>-287471746.05130404</v>
      </c>
      <c r="R200">
        <f t="shared" si="961"/>
        <v>-4279608906.8984323</v>
      </c>
      <c r="S200">
        <f t="shared" si="962"/>
        <v>-42796.089068984322</v>
      </c>
      <c r="T200">
        <f t="shared" si="963"/>
        <v>-42.796089068984323</v>
      </c>
    </row>
    <row r="201" spans="1:20" x14ac:dyDescent="0.25">
      <c r="A201" s="5">
        <v>44392</v>
      </c>
      <c r="B201">
        <v>3.6299999999999999E-2</v>
      </c>
      <c r="C201">
        <v>3.9300000000000002E-2</v>
      </c>
      <c r="D201">
        <v>3.32E-2</v>
      </c>
      <c r="E201">
        <v>3.39E-2</v>
      </c>
      <c r="F201">
        <v>841233039.71000004</v>
      </c>
      <c r="G201">
        <v>0</v>
      </c>
      <c r="L201" t="s">
        <v>8</v>
      </c>
      <c r="M201" t="s">
        <v>8</v>
      </c>
      <c r="N201" t="s">
        <v>7</v>
      </c>
      <c r="P201">
        <f t="shared" si="959"/>
        <v>-0.77049180327868882</v>
      </c>
      <c r="Q201">
        <f t="shared" si="960"/>
        <v>-648163161.74377072</v>
      </c>
      <c r="R201">
        <f t="shared" si="961"/>
        <v>-3992137160.8471284</v>
      </c>
      <c r="S201">
        <f t="shared" si="962"/>
        <v>-39921.371608471287</v>
      </c>
      <c r="T201">
        <f t="shared" si="963"/>
        <v>-39.92137160847129</v>
      </c>
    </row>
    <row r="202" spans="1:20" x14ac:dyDescent="0.25">
      <c r="A202" s="5">
        <v>44391</v>
      </c>
      <c r="B202">
        <v>3.2800000000000003E-2</v>
      </c>
      <c r="C202">
        <v>3.6999999999999998E-2</v>
      </c>
      <c r="D202">
        <v>2.9700000000000001E-2</v>
      </c>
      <c r="E202">
        <v>3.6299999999999999E-2</v>
      </c>
      <c r="F202">
        <v>524275018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0.8082191780821919</v>
      </c>
      <c r="Q202">
        <f t="shared" si="960"/>
        <v>423729124.13698637</v>
      </c>
      <c r="R202">
        <f t="shared" si="961"/>
        <v>-3343973999.1033578</v>
      </c>
      <c r="S202">
        <f t="shared" si="962"/>
        <v>-33439.739991033581</v>
      </c>
      <c r="T202">
        <f t="shared" si="963"/>
        <v>-33.439739991033584</v>
      </c>
    </row>
    <row r="203" spans="1:20" x14ac:dyDescent="0.25">
      <c r="A203" s="5">
        <v>44390</v>
      </c>
      <c r="B203">
        <v>3.4200000000000001E-2</v>
      </c>
      <c r="C203">
        <v>3.44E-2</v>
      </c>
      <c r="D203">
        <v>3.1600000000000003E-2</v>
      </c>
      <c r="E203">
        <v>3.2800000000000003E-2</v>
      </c>
      <c r="F203">
        <v>293192509.61000001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-0.14285714285714216</v>
      </c>
      <c r="Q203">
        <f t="shared" si="960"/>
        <v>-41884644.229999796</v>
      </c>
      <c r="R203">
        <f t="shared" si="961"/>
        <v>-3767703123.240344</v>
      </c>
      <c r="S203">
        <f t="shared" si="962"/>
        <v>-37677.031232403438</v>
      </c>
      <c r="T203">
        <f t="shared" si="963"/>
        <v>-37.677031232403436</v>
      </c>
    </row>
    <row r="204" spans="1:20" x14ac:dyDescent="0.25">
      <c r="A204" s="5">
        <v>44389</v>
      </c>
      <c r="B204">
        <v>3.6799999999999999E-2</v>
      </c>
      <c r="C204">
        <v>3.7699999999999997E-2</v>
      </c>
      <c r="D204">
        <v>3.2800000000000003E-2</v>
      </c>
      <c r="E204">
        <v>3.4200000000000001E-2</v>
      </c>
      <c r="F204">
        <v>327642911.51999998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-0.42857142857142855</v>
      </c>
      <c r="Q204">
        <f t="shared" si="960"/>
        <v>-140418390.65142855</v>
      </c>
      <c r="R204">
        <f t="shared" si="961"/>
        <v>-3725818479.010344</v>
      </c>
      <c r="S204">
        <f t="shared" si="962"/>
        <v>-37258.184790103442</v>
      </c>
      <c r="T204">
        <f t="shared" si="963"/>
        <v>-37.258184790103442</v>
      </c>
    </row>
    <row r="205" spans="1:20" x14ac:dyDescent="0.25">
      <c r="A205" s="5">
        <v>44388</v>
      </c>
      <c r="B205">
        <v>3.5299999999999998E-2</v>
      </c>
      <c r="C205">
        <v>3.8899999999999997E-2</v>
      </c>
      <c r="D205">
        <v>3.5200000000000002E-2</v>
      </c>
      <c r="E205">
        <v>3.6799999999999999E-2</v>
      </c>
      <c r="F205">
        <v>567995648.66999996</v>
      </c>
      <c r="G205">
        <v>0</v>
      </c>
      <c r="L205" t="s">
        <v>8</v>
      </c>
      <c r="M205" t="s">
        <v>8</v>
      </c>
      <c r="N205" t="s">
        <v>7</v>
      </c>
      <c r="P205">
        <f t="shared" si="959"/>
        <v>-0.13513513513513545</v>
      </c>
      <c r="Q205">
        <f t="shared" si="960"/>
        <v>-76756168.739189357</v>
      </c>
      <c r="R205">
        <f t="shared" si="961"/>
        <v>-3585400088.3589153</v>
      </c>
      <c r="S205">
        <f t="shared" si="962"/>
        <v>-35854.000883589157</v>
      </c>
      <c r="T205">
        <f t="shared" si="963"/>
        <v>-35.854000883589158</v>
      </c>
    </row>
    <row r="206" spans="1:20" x14ac:dyDescent="0.25">
      <c r="A206" s="5">
        <v>44387</v>
      </c>
      <c r="B206">
        <v>3.3599999999999998E-2</v>
      </c>
      <c r="C206">
        <v>3.7499999999999999E-2</v>
      </c>
      <c r="D206">
        <v>3.2500000000000001E-2</v>
      </c>
      <c r="E206">
        <v>3.5299999999999998E-2</v>
      </c>
      <c r="F206">
        <v>548880144.5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0.11999999999999933</v>
      </c>
      <c r="Q206">
        <f t="shared" si="960"/>
        <v>65865617.339999631</v>
      </c>
      <c r="R206">
        <f t="shared" si="961"/>
        <v>-3508643919.6197262</v>
      </c>
      <c r="S206">
        <f t="shared" si="962"/>
        <v>-35086.439196197265</v>
      </c>
      <c r="T206">
        <f t="shared" si="963"/>
        <v>-35.086439196197269</v>
      </c>
    </row>
    <row r="207" spans="1:20" x14ac:dyDescent="0.25">
      <c r="A207" s="5">
        <v>44386</v>
      </c>
      <c r="B207">
        <v>3.3300000000000003E-2</v>
      </c>
      <c r="C207">
        <v>3.5400000000000001E-2</v>
      </c>
      <c r="D207">
        <v>3.1600000000000003E-2</v>
      </c>
      <c r="E207">
        <v>3.3599999999999998E-2</v>
      </c>
      <c r="F207">
        <v>465207177.63999999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5.2631578947366309E-2</v>
      </c>
      <c r="Q207">
        <f t="shared" si="960"/>
        <v>24484588.296841122</v>
      </c>
      <c r="R207">
        <f t="shared" si="961"/>
        <v>-3574509536.9597259</v>
      </c>
      <c r="S207">
        <f t="shared" si="962"/>
        <v>-35745.095369597257</v>
      </c>
      <c r="T207">
        <f t="shared" si="963"/>
        <v>-35.745095369597259</v>
      </c>
    </row>
    <row r="208" spans="1:20" x14ac:dyDescent="0.25">
      <c r="A208" s="5">
        <v>44385</v>
      </c>
      <c r="B208">
        <v>3.8100000000000002E-2</v>
      </c>
      <c r="C208">
        <v>3.8699999999999998E-2</v>
      </c>
      <c r="D208">
        <v>3.2500000000000001E-2</v>
      </c>
      <c r="E208">
        <v>3.3399999999999999E-2</v>
      </c>
      <c r="F208">
        <v>766359897.26999998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-0.70967741935483919</v>
      </c>
      <c r="Q208">
        <f t="shared" si="960"/>
        <v>-543868314.19161332</v>
      </c>
      <c r="R208">
        <f t="shared" si="961"/>
        <v>-3598994125.256567</v>
      </c>
      <c r="S208">
        <f t="shared" si="962"/>
        <v>-35989.941252565673</v>
      </c>
      <c r="T208">
        <f t="shared" si="963"/>
        <v>-35.989941252565671</v>
      </c>
    </row>
    <row r="209" spans="1:20" x14ac:dyDescent="0.25">
      <c r="A209" s="5">
        <v>44384</v>
      </c>
      <c r="B209">
        <v>4.2200000000000001E-2</v>
      </c>
      <c r="C209">
        <v>4.5499999999999999E-2</v>
      </c>
      <c r="D209">
        <v>3.6900000000000002E-2</v>
      </c>
      <c r="E209">
        <v>3.8100000000000002E-2</v>
      </c>
      <c r="F209">
        <v>927839335.09000003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-0.72093023255813948</v>
      </c>
      <c r="Q209">
        <f t="shared" si="960"/>
        <v>-668907427.62302327</v>
      </c>
      <c r="R209">
        <f t="shared" si="961"/>
        <v>-3055125811.0649538</v>
      </c>
      <c r="S209">
        <f t="shared" si="962"/>
        <v>-30551.258110649538</v>
      </c>
      <c r="T209">
        <f t="shared" si="963"/>
        <v>-30.551258110649538</v>
      </c>
    </row>
    <row r="210" spans="1:20" x14ac:dyDescent="0.25">
      <c r="A210" s="5">
        <v>44383</v>
      </c>
      <c r="B210">
        <v>3.32E-2</v>
      </c>
      <c r="C210">
        <v>4.3799999999999999E-2</v>
      </c>
      <c r="D210">
        <v>3.3099999999999997E-2</v>
      </c>
      <c r="E210">
        <v>4.2200000000000001E-2</v>
      </c>
      <c r="F210">
        <v>1351621288.1600001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0.70093457943925286</v>
      </c>
      <c r="Q210">
        <f t="shared" si="960"/>
        <v>947398099.17757082</v>
      </c>
      <c r="R210">
        <f t="shared" si="961"/>
        <v>-2386218383.4419308</v>
      </c>
      <c r="S210">
        <f t="shared" si="962"/>
        <v>-23862.183834419309</v>
      </c>
      <c r="T210">
        <f t="shared" si="963"/>
        <v>-23.862183834419309</v>
      </c>
    </row>
    <row r="211" spans="1:20" x14ac:dyDescent="0.25">
      <c r="A211" s="5">
        <v>44382</v>
      </c>
      <c r="B211">
        <v>3.1899999999999998E-2</v>
      </c>
      <c r="C211">
        <v>3.5499999999999997E-2</v>
      </c>
      <c r="D211">
        <v>2.9000000000000001E-2</v>
      </c>
      <c r="E211">
        <v>3.32E-2</v>
      </c>
      <c r="F211">
        <v>933666974.92999995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0.29230769230769288</v>
      </c>
      <c r="Q211">
        <f t="shared" si="960"/>
        <v>272918038.82569283</v>
      </c>
      <c r="R211">
        <f t="shared" si="961"/>
        <v>-3333616482.6195016</v>
      </c>
      <c r="S211">
        <f t="shared" si="962"/>
        <v>-33336.164826195018</v>
      </c>
      <c r="T211">
        <f t="shared" si="963"/>
        <v>-33.336164826195017</v>
      </c>
    </row>
    <row r="212" spans="1:20" x14ac:dyDescent="0.25">
      <c r="A212" s="5">
        <v>44381</v>
      </c>
      <c r="B212">
        <v>2.7300000000000001E-2</v>
      </c>
      <c r="C212">
        <v>3.32E-2</v>
      </c>
      <c r="D212">
        <v>2.63E-2</v>
      </c>
      <c r="E212">
        <v>3.1800000000000002E-2</v>
      </c>
      <c r="F212">
        <v>490037491.85000002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0.59420289855072506</v>
      </c>
      <c r="Q212">
        <f t="shared" si="960"/>
        <v>291181698.05579734</v>
      </c>
      <c r="R212">
        <f t="shared" si="961"/>
        <v>-3606534521.4451942</v>
      </c>
      <c r="S212">
        <f t="shared" si="962"/>
        <v>-36065.34521445194</v>
      </c>
      <c r="T212">
        <f t="shared" si="963"/>
        <v>-36.065345214451938</v>
      </c>
    </row>
    <row r="213" spans="1:20" x14ac:dyDescent="0.25">
      <c r="A213" s="5">
        <v>44380</v>
      </c>
      <c r="B213">
        <v>2.63E-2</v>
      </c>
      <c r="C213">
        <v>2.7699999999999999E-2</v>
      </c>
      <c r="D213">
        <v>2.5600000000000001E-2</v>
      </c>
      <c r="E213">
        <v>2.7199999999999998E-2</v>
      </c>
      <c r="F213">
        <v>111501506.36</v>
      </c>
      <c r="G213">
        <v>0</v>
      </c>
      <c r="L213" t="s">
        <v>7</v>
      </c>
      <c r="M213" t="s">
        <v>8</v>
      </c>
      <c r="N213" t="s">
        <v>7</v>
      </c>
      <c r="P213">
        <f t="shared" si="959"/>
        <v>0.52380952380952284</v>
      </c>
      <c r="Q213">
        <f t="shared" si="960"/>
        <v>58405550.95047608</v>
      </c>
      <c r="R213">
        <f t="shared" si="961"/>
        <v>-3897716219.5009913</v>
      </c>
      <c r="S213">
        <f t="shared" si="962"/>
        <v>-38977.162195009914</v>
      </c>
      <c r="T213">
        <f t="shared" si="963"/>
        <v>-38.977162195009917</v>
      </c>
    </row>
    <row r="214" spans="1:20" x14ac:dyDescent="0.25">
      <c r="A214" s="5">
        <v>44379</v>
      </c>
      <c r="B214">
        <v>2.7400000000000001E-2</v>
      </c>
      <c r="C214">
        <v>2.76E-2</v>
      </c>
      <c r="D214">
        <v>2.5000000000000001E-2</v>
      </c>
      <c r="E214">
        <v>2.63E-2</v>
      </c>
      <c r="F214">
        <v>267317441.58000001</v>
      </c>
      <c r="G214">
        <v>0</v>
      </c>
      <c r="L214" t="s">
        <v>8</v>
      </c>
      <c r="M214" t="s">
        <v>8</v>
      </c>
      <c r="N214" t="s">
        <v>7</v>
      </c>
      <c r="P214">
        <f t="shared" si="959"/>
        <v>0</v>
      </c>
      <c r="Q214">
        <f t="shared" si="960"/>
        <v>0</v>
      </c>
      <c r="R214">
        <f t="shared" si="961"/>
        <v>-3956121770.4514675</v>
      </c>
      <c r="S214">
        <f t="shared" si="962"/>
        <v>-39561.217704514675</v>
      </c>
      <c r="T214">
        <f t="shared" si="963"/>
        <v>-39.561217704514675</v>
      </c>
    </row>
    <row r="215" spans="1:20" x14ac:dyDescent="0.25">
      <c r="A215" s="5">
        <v>44378</v>
      </c>
      <c r="B215">
        <v>2.5999999999999999E-2</v>
      </c>
      <c r="C215">
        <v>2.7799999999999998E-2</v>
      </c>
      <c r="D215">
        <v>2.3300000000000001E-2</v>
      </c>
      <c r="E215">
        <v>2.7400000000000001E-2</v>
      </c>
      <c r="F215">
        <v>327954091.25999999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0.82222222222222319</v>
      </c>
      <c r="Q215">
        <f t="shared" si="960"/>
        <v>269651141.702667</v>
      </c>
      <c r="R215">
        <f t="shared" si="961"/>
        <v>-3956121770.4514675</v>
      </c>
      <c r="S215">
        <f t="shared" si="962"/>
        <v>-39561.217704514675</v>
      </c>
      <c r="T215">
        <f t="shared" si="963"/>
        <v>-39.561217704514675</v>
      </c>
    </row>
    <row r="216" spans="1:20" x14ac:dyDescent="0.25">
      <c r="A216" s="5">
        <v>44377</v>
      </c>
      <c r="B216">
        <v>2.5999999999999999E-2</v>
      </c>
      <c r="C216">
        <v>2.6499999999999999E-2</v>
      </c>
      <c r="D216">
        <v>2.41E-2</v>
      </c>
      <c r="E216">
        <v>2.5899999999999999E-2</v>
      </c>
      <c r="F216">
        <v>177943577.78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0.5</v>
      </c>
      <c r="Q216">
        <f t="shared" si="960"/>
        <v>88971788.890000001</v>
      </c>
      <c r="R216">
        <f t="shared" si="961"/>
        <v>-4225772912.1541343</v>
      </c>
      <c r="S216">
        <f t="shared" si="962"/>
        <v>-42257.729121541342</v>
      </c>
      <c r="T216">
        <f t="shared" si="963"/>
        <v>-42.257729121541345</v>
      </c>
    </row>
    <row r="217" spans="1:20" x14ac:dyDescent="0.25">
      <c r="A217" s="5">
        <v>44376</v>
      </c>
      <c r="B217">
        <v>2.4400000000000002E-2</v>
      </c>
      <c r="C217">
        <v>2.8000000000000001E-2</v>
      </c>
      <c r="D217">
        <v>2.4299999999999999E-2</v>
      </c>
      <c r="E217">
        <v>2.5999999999999999E-2</v>
      </c>
      <c r="F217">
        <v>366481980.24000001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-8.1081081081081488E-2</v>
      </c>
      <c r="Q217">
        <f t="shared" si="960"/>
        <v>-29714755.154594745</v>
      </c>
      <c r="R217">
        <f t="shared" si="961"/>
        <v>-4314744701.0441341</v>
      </c>
      <c r="S217">
        <f t="shared" si="962"/>
        <v>-43147.447010441341</v>
      </c>
      <c r="T217">
        <f t="shared" si="963"/>
        <v>-43.14744701044134</v>
      </c>
    </row>
    <row r="218" spans="1:20" x14ac:dyDescent="0.25">
      <c r="A218" s="5">
        <v>44375</v>
      </c>
      <c r="B218">
        <v>2.3099999999999999E-2</v>
      </c>
      <c r="C218">
        <v>2.4799999999999999E-2</v>
      </c>
      <c r="D218">
        <v>2.2800000000000001E-2</v>
      </c>
      <c r="E218">
        <v>2.4400000000000002E-2</v>
      </c>
      <c r="F218">
        <v>173618660.33000001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0.60000000000000209</v>
      </c>
      <c r="Q218">
        <f t="shared" si="960"/>
        <v>104171196.19800037</v>
      </c>
      <c r="R218">
        <f t="shared" si="961"/>
        <v>-4285029945.8895392</v>
      </c>
      <c r="S218">
        <f t="shared" si="962"/>
        <v>-42850.299458895395</v>
      </c>
      <c r="T218">
        <f t="shared" si="963"/>
        <v>-42.850299458895392</v>
      </c>
    </row>
    <row r="219" spans="1:20" x14ac:dyDescent="0.25">
      <c r="A219" s="5">
        <v>44374</v>
      </c>
      <c r="B219">
        <v>2.18E-2</v>
      </c>
      <c r="C219">
        <v>2.3199999999999998E-2</v>
      </c>
      <c r="D219">
        <v>2.1399999999999999E-2</v>
      </c>
      <c r="E219">
        <v>2.3099999999999999E-2</v>
      </c>
      <c r="F219">
        <v>129036589.67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0.88888888888888951</v>
      </c>
      <c r="Q219">
        <f t="shared" si="960"/>
        <v>114699190.81777786</v>
      </c>
      <c r="R219">
        <f t="shared" si="961"/>
        <v>-4389201142.0875397</v>
      </c>
      <c r="S219">
        <f t="shared" si="962"/>
        <v>-43892.011420875395</v>
      </c>
      <c r="T219">
        <f t="shared" si="963"/>
        <v>-43.892011420875392</v>
      </c>
    </row>
    <row r="220" spans="1:20" x14ac:dyDescent="0.25">
      <c r="A220" s="5">
        <v>44373</v>
      </c>
      <c r="B220">
        <v>2.18E-2</v>
      </c>
      <c r="C220">
        <v>2.2499999999999999E-2</v>
      </c>
      <c r="D220">
        <v>2.0299999999999999E-2</v>
      </c>
      <c r="E220">
        <v>2.18E-2</v>
      </c>
      <c r="F220">
        <v>135553206.12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0.36363636363636448</v>
      </c>
      <c r="Q220">
        <f t="shared" si="960"/>
        <v>49292074.952727392</v>
      </c>
      <c r="R220">
        <f t="shared" si="961"/>
        <v>-4503900332.9053173</v>
      </c>
      <c r="S220">
        <f t="shared" si="962"/>
        <v>-45039.003329053172</v>
      </c>
      <c r="T220">
        <f t="shared" si="963"/>
        <v>-45.039003329053173</v>
      </c>
    </row>
    <row r="221" spans="1:20" x14ac:dyDescent="0.25">
      <c r="A221" s="5">
        <v>44372</v>
      </c>
      <c r="B221">
        <v>2.4400000000000002E-2</v>
      </c>
      <c r="C221">
        <v>2.52E-2</v>
      </c>
      <c r="D221">
        <v>2.1499999999999998E-2</v>
      </c>
      <c r="E221">
        <v>2.1899999999999999E-2</v>
      </c>
      <c r="F221">
        <v>182829309.69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-0.78378378378378333</v>
      </c>
      <c r="Q221">
        <f t="shared" si="960"/>
        <v>-143298648.13540533</v>
      </c>
      <c r="R221">
        <f t="shared" si="961"/>
        <v>-4553192407.8580446</v>
      </c>
      <c r="S221">
        <f t="shared" si="962"/>
        <v>-45531.924078580443</v>
      </c>
      <c r="T221">
        <f t="shared" si="963"/>
        <v>-45.531924078580445</v>
      </c>
    </row>
    <row r="222" spans="1:20" x14ac:dyDescent="0.25">
      <c r="A222" s="5">
        <v>44371</v>
      </c>
      <c r="B222">
        <v>2.4400000000000002E-2</v>
      </c>
      <c r="C222">
        <v>2.5100000000000001E-2</v>
      </c>
      <c r="D222">
        <v>2.3199999999999998E-2</v>
      </c>
      <c r="E222">
        <v>2.4500000000000001E-2</v>
      </c>
      <c r="F222">
        <v>144808109.55000001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0.36842105263157993</v>
      </c>
      <c r="Q222">
        <f t="shared" si="960"/>
        <v>53350356.150000148</v>
      </c>
      <c r="R222">
        <f t="shared" si="961"/>
        <v>-4409893759.7226391</v>
      </c>
      <c r="S222">
        <f t="shared" si="962"/>
        <v>-44098.937597226388</v>
      </c>
      <c r="T222">
        <f t="shared" si="963"/>
        <v>-44.098937597226389</v>
      </c>
    </row>
    <row r="223" spans="1:20" x14ac:dyDescent="0.25">
      <c r="A223" s="5">
        <v>44370</v>
      </c>
      <c r="B223">
        <v>2.2499999999999999E-2</v>
      </c>
      <c r="C223">
        <v>2.5399999999999999E-2</v>
      </c>
      <c r="D223">
        <v>2.1700000000000001E-2</v>
      </c>
      <c r="E223">
        <v>2.4400000000000002E-2</v>
      </c>
      <c r="F223">
        <v>240460025.43000001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0.45945945945946065</v>
      </c>
      <c r="Q223">
        <f t="shared" si="960"/>
        <v>110481633.30567597</v>
      </c>
      <c r="R223">
        <f t="shared" si="961"/>
        <v>-4463244115.8726397</v>
      </c>
      <c r="S223">
        <f t="shared" si="962"/>
        <v>-44632.441158726397</v>
      </c>
      <c r="T223">
        <f t="shared" si="963"/>
        <v>-44.632441158726394</v>
      </c>
    </row>
    <row r="224" spans="1:20" x14ac:dyDescent="0.25">
      <c r="A224" s="5">
        <v>44369</v>
      </c>
      <c r="B224">
        <v>2.35E-2</v>
      </c>
      <c r="C224">
        <v>2.5499999999999998E-2</v>
      </c>
      <c r="D224">
        <v>2.01E-2</v>
      </c>
      <c r="E224">
        <v>2.2599999999999999E-2</v>
      </c>
      <c r="F224">
        <v>401951921.25999999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-7.4074074074074292E-2</v>
      </c>
      <c r="Q224">
        <f t="shared" si="960"/>
        <v>-29774216.389629718</v>
      </c>
      <c r="R224">
        <f t="shared" si="961"/>
        <v>-4573725749.1783152</v>
      </c>
      <c r="S224">
        <f t="shared" si="962"/>
        <v>-45737.257491783152</v>
      </c>
      <c r="T224">
        <f t="shared" si="963"/>
        <v>-45.737257491783154</v>
      </c>
    </row>
    <row r="225" spans="1:20" x14ac:dyDescent="0.25">
      <c r="A225" s="5">
        <v>44368</v>
      </c>
      <c r="B225">
        <v>2.9399999999999999E-2</v>
      </c>
      <c r="C225">
        <v>2.98E-2</v>
      </c>
      <c r="D225">
        <v>2.3099999999999999E-2</v>
      </c>
      <c r="E225">
        <v>2.3400000000000001E-2</v>
      </c>
      <c r="F225">
        <v>286712412.35000002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-0.91044776119402937</v>
      </c>
      <c r="Q225">
        <f t="shared" si="960"/>
        <v>-261036673.93059689</v>
      </c>
      <c r="R225">
        <f t="shared" si="961"/>
        <v>-4543951532.7886858</v>
      </c>
      <c r="S225">
        <f t="shared" si="962"/>
        <v>-45439.51532788686</v>
      </c>
      <c r="T225">
        <f t="shared" si="963"/>
        <v>-45.439515327886859</v>
      </c>
    </row>
    <row r="226" spans="1:20" x14ac:dyDescent="0.25">
      <c r="A226" s="5">
        <v>44367</v>
      </c>
      <c r="B226">
        <v>2.9899999999999999E-2</v>
      </c>
      <c r="C226">
        <v>3.09E-2</v>
      </c>
      <c r="D226">
        <v>2.7199999999999998E-2</v>
      </c>
      <c r="E226">
        <v>2.9399999999999999E-2</v>
      </c>
      <c r="F226">
        <v>201485309.19999999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0.18918918918918889</v>
      </c>
      <c r="Q226">
        <f t="shared" si="960"/>
        <v>38118842.281081021</v>
      </c>
      <c r="R226">
        <f t="shared" si="961"/>
        <v>-4282914858.8580885</v>
      </c>
      <c r="S226">
        <f t="shared" si="962"/>
        <v>-42829.148588580887</v>
      </c>
      <c r="T226">
        <f t="shared" si="963"/>
        <v>-42.829148588580885</v>
      </c>
    </row>
    <row r="227" spans="1:20" x14ac:dyDescent="0.25">
      <c r="A227" s="5">
        <v>44366</v>
      </c>
      <c r="B227">
        <v>3.1E-2</v>
      </c>
      <c r="C227">
        <v>3.2000000000000001E-2</v>
      </c>
      <c r="D227">
        <v>2.9700000000000001E-2</v>
      </c>
      <c r="E227">
        <v>2.9899999999999999E-2</v>
      </c>
      <c r="F227">
        <v>171623229.52000001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-0.82608695652174013</v>
      </c>
      <c r="Q227">
        <f t="shared" si="960"/>
        <v>-141775711.34260887</v>
      </c>
      <c r="R227">
        <f t="shared" si="961"/>
        <v>-4321033701.1391697</v>
      </c>
      <c r="S227">
        <f t="shared" si="962"/>
        <v>-43210.337011391697</v>
      </c>
      <c r="T227">
        <f t="shared" si="963"/>
        <v>-43.210337011391694</v>
      </c>
    </row>
    <row r="228" spans="1:20" x14ac:dyDescent="0.25">
      <c r="A228" s="5">
        <v>44365</v>
      </c>
      <c r="B228">
        <v>3.3700000000000001E-2</v>
      </c>
      <c r="C228">
        <v>3.4000000000000002E-2</v>
      </c>
      <c r="D228">
        <v>2.9700000000000001E-2</v>
      </c>
      <c r="E228">
        <v>3.1E-2</v>
      </c>
      <c r="F228">
        <v>189223838.53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-0.39534883720930303</v>
      </c>
      <c r="Q228">
        <f t="shared" si="960"/>
        <v>-74809424.535116419</v>
      </c>
      <c r="R228">
        <f t="shared" si="961"/>
        <v>-4179257989.7965612</v>
      </c>
      <c r="S228">
        <f t="shared" si="962"/>
        <v>-41792.57989796561</v>
      </c>
      <c r="T228">
        <f t="shared" si="963"/>
        <v>-41.792579897965609</v>
      </c>
    </row>
    <row r="229" spans="1:20" x14ac:dyDescent="0.25">
      <c r="A229" s="5">
        <v>44364</v>
      </c>
      <c r="B229">
        <v>3.4099999999999998E-2</v>
      </c>
      <c r="C229">
        <v>3.5999999999999997E-2</v>
      </c>
      <c r="D229">
        <v>3.2800000000000003E-2</v>
      </c>
      <c r="E229">
        <v>3.3799999999999997E-2</v>
      </c>
      <c r="F229">
        <v>179309129.69999999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-0.37500000000000272</v>
      </c>
      <c r="Q229">
        <f t="shared" si="960"/>
        <v>-67240923.63750048</v>
      </c>
      <c r="R229">
        <f t="shared" si="961"/>
        <v>-4104448565.261445</v>
      </c>
      <c r="S229">
        <f t="shared" si="962"/>
        <v>-41044.48565261445</v>
      </c>
      <c r="T229">
        <f t="shared" si="963"/>
        <v>-41.044485652614448</v>
      </c>
    </row>
    <row r="230" spans="1:20" x14ac:dyDescent="0.25">
      <c r="A230" s="5">
        <v>44363</v>
      </c>
      <c r="B230">
        <v>3.5099999999999999E-2</v>
      </c>
      <c r="C230">
        <v>3.8300000000000001E-2</v>
      </c>
      <c r="D230">
        <v>3.3500000000000002E-2</v>
      </c>
      <c r="E230">
        <v>3.4099999999999998E-2</v>
      </c>
      <c r="F230">
        <v>426095430.22000003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-0.75000000000000144</v>
      </c>
      <c r="Q230">
        <f t="shared" si="960"/>
        <v>-319571572.66500062</v>
      </c>
      <c r="R230">
        <f t="shared" si="961"/>
        <v>-4037207641.6239448</v>
      </c>
      <c r="S230">
        <f t="shared" si="962"/>
        <v>-40372.076416239448</v>
      </c>
      <c r="T230">
        <f t="shared" si="963"/>
        <v>-40.372076416239445</v>
      </c>
    </row>
    <row r="231" spans="1:20" x14ac:dyDescent="0.25">
      <c r="A231" s="5">
        <v>44362</v>
      </c>
      <c r="B231">
        <v>3.39E-2</v>
      </c>
      <c r="C231">
        <v>3.5499999999999997E-2</v>
      </c>
      <c r="D231">
        <v>3.3099999999999997E-2</v>
      </c>
      <c r="E231">
        <v>3.5200000000000002E-2</v>
      </c>
      <c r="F231">
        <v>227008478.87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0.75000000000000433</v>
      </c>
      <c r="Q231">
        <f t="shared" si="960"/>
        <v>170256359.15250099</v>
      </c>
      <c r="R231">
        <f t="shared" si="961"/>
        <v>-3717636068.9589443</v>
      </c>
      <c r="S231">
        <f t="shared" si="962"/>
        <v>-37176.360689589441</v>
      </c>
      <c r="T231">
        <f t="shared" si="963"/>
        <v>-37.176360689589444</v>
      </c>
    </row>
    <row r="232" spans="1:20" x14ac:dyDescent="0.25">
      <c r="A232" s="5">
        <v>44361</v>
      </c>
      <c r="B232">
        <v>3.32E-2</v>
      </c>
      <c r="C232">
        <v>3.4500000000000003E-2</v>
      </c>
      <c r="D232">
        <v>3.2000000000000001E-2</v>
      </c>
      <c r="E232">
        <v>3.39E-2</v>
      </c>
      <c r="F232">
        <v>228604505.13999999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0.5199999999999978</v>
      </c>
      <c r="Q232">
        <f t="shared" si="960"/>
        <v>118874342.67279948</v>
      </c>
      <c r="R232">
        <f t="shared" si="961"/>
        <v>-3887892428.1114454</v>
      </c>
      <c r="S232">
        <f t="shared" si="962"/>
        <v>-38878.924281114458</v>
      </c>
      <c r="T232">
        <f t="shared" si="963"/>
        <v>-38.878924281114458</v>
      </c>
    </row>
    <row r="233" spans="1:20" x14ac:dyDescent="0.25">
      <c r="A233" s="5">
        <v>44360</v>
      </c>
      <c r="B233">
        <v>3.1099999999999999E-2</v>
      </c>
      <c r="C233">
        <v>3.4799999999999998E-2</v>
      </c>
      <c r="D233">
        <v>3.0099999999999998E-2</v>
      </c>
      <c r="E233">
        <v>3.32E-2</v>
      </c>
      <c r="F233">
        <v>233058630.90000001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0.31914893617021384</v>
      </c>
      <c r="Q233">
        <f t="shared" si="960"/>
        <v>74380414.117021531</v>
      </c>
      <c r="R233">
        <f t="shared" si="961"/>
        <v>-4006766770.784245</v>
      </c>
      <c r="S233">
        <f t="shared" si="962"/>
        <v>-40067.667707842447</v>
      </c>
      <c r="T233">
        <f t="shared" si="963"/>
        <v>-40.067667707842446</v>
      </c>
    </row>
    <row r="234" spans="1:20" x14ac:dyDescent="0.25">
      <c r="A234" s="5">
        <v>44359</v>
      </c>
      <c r="B234">
        <v>3.27E-2</v>
      </c>
      <c r="C234">
        <v>3.2899999999999999E-2</v>
      </c>
      <c r="D234">
        <v>0.03</v>
      </c>
      <c r="E234">
        <v>3.1099999999999999E-2</v>
      </c>
      <c r="F234">
        <v>214132570.84999999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-0.24137931034482735</v>
      </c>
      <c r="Q234">
        <f t="shared" si="960"/>
        <v>-51687172.274137877</v>
      </c>
      <c r="R234">
        <f t="shared" si="961"/>
        <v>-4081147184.9012666</v>
      </c>
      <c r="S234">
        <f t="shared" si="962"/>
        <v>-40811.471849012669</v>
      </c>
      <c r="T234">
        <f t="shared" si="963"/>
        <v>-40.811471849012669</v>
      </c>
    </row>
    <row r="235" spans="1:20" x14ac:dyDescent="0.25">
      <c r="A235" s="5">
        <v>44358</v>
      </c>
      <c r="B235">
        <v>3.4500000000000003E-2</v>
      </c>
      <c r="C235">
        <v>3.5099999999999999E-2</v>
      </c>
      <c r="D235">
        <v>3.2399999999999998E-2</v>
      </c>
      <c r="E235">
        <v>3.27E-2</v>
      </c>
      <c r="F235">
        <v>216906965.25999999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-0.77777777777777668</v>
      </c>
      <c r="Q235">
        <f t="shared" si="960"/>
        <v>-168705417.4244442</v>
      </c>
      <c r="R235">
        <f t="shared" si="961"/>
        <v>-4029460012.6271286</v>
      </c>
      <c r="S235">
        <f t="shared" si="962"/>
        <v>-40294.600126271289</v>
      </c>
      <c r="T235">
        <f t="shared" si="963"/>
        <v>-40.294600126271291</v>
      </c>
    </row>
    <row r="236" spans="1:20" x14ac:dyDescent="0.25">
      <c r="A236" s="5">
        <v>44357</v>
      </c>
      <c r="B236">
        <v>3.9300000000000002E-2</v>
      </c>
      <c r="C236">
        <v>3.9800000000000002E-2</v>
      </c>
      <c r="D236">
        <v>3.4000000000000002E-2</v>
      </c>
      <c r="E236">
        <v>3.4500000000000003E-2</v>
      </c>
      <c r="F236">
        <v>267662840.46000001</v>
      </c>
      <c r="G236">
        <v>0</v>
      </c>
      <c r="L236" t="s">
        <v>8</v>
      </c>
      <c r="M236" t="s">
        <v>7</v>
      </c>
      <c r="N236" t="s">
        <v>7</v>
      </c>
      <c r="P236">
        <f t="shared" si="959"/>
        <v>-0.8275862068965516</v>
      </c>
      <c r="Q236">
        <f t="shared" si="960"/>
        <v>-221514074.86344826</v>
      </c>
      <c r="R236">
        <f t="shared" si="961"/>
        <v>-3860754595.2026844</v>
      </c>
      <c r="S236">
        <f t="shared" si="962"/>
        <v>-38607.545952026841</v>
      </c>
      <c r="T236">
        <f t="shared" si="963"/>
        <v>-38.60754595202684</v>
      </c>
    </row>
    <row r="237" spans="1:20" x14ac:dyDescent="0.25">
      <c r="A237" s="5">
        <v>44356</v>
      </c>
      <c r="B237">
        <v>3.6200000000000003E-2</v>
      </c>
      <c r="C237">
        <v>3.9300000000000002E-2</v>
      </c>
      <c r="D237">
        <v>3.44E-2</v>
      </c>
      <c r="E237">
        <v>3.9199999999999999E-2</v>
      </c>
      <c r="F237">
        <v>236764958.84999999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0.9591836734693866</v>
      </c>
      <c r="Q237">
        <f t="shared" si="960"/>
        <v>227101082.97857115</v>
      </c>
      <c r="R237">
        <f t="shared" si="961"/>
        <v>-3639240520.3392363</v>
      </c>
      <c r="S237">
        <f t="shared" si="962"/>
        <v>-36392.405203392365</v>
      </c>
      <c r="T237">
        <f t="shared" si="963"/>
        <v>-36.392405203392364</v>
      </c>
    </row>
    <row r="238" spans="1:20" x14ac:dyDescent="0.25">
      <c r="A238" s="5">
        <v>44355</v>
      </c>
      <c r="B238">
        <v>3.8399999999999997E-2</v>
      </c>
      <c r="C238">
        <v>3.9E-2</v>
      </c>
      <c r="D238">
        <v>3.3500000000000002E-2</v>
      </c>
      <c r="E238">
        <v>3.6299999999999999E-2</v>
      </c>
      <c r="F238">
        <v>251030191.31999999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1.8181818181817449E-2</v>
      </c>
      <c r="Q238">
        <f t="shared" si="960"/>
        <v>4564185.2967270883</v>
      </c>
      <c r="R238">
        <f t="shared" si="961"/>
        <v>-3866341603.3178072</v>
      </c>
      <c r="S238">
        <f t="shared" si="962"/>
        <v>-38663.416033178073</v>
      </c>
      <c r="T238">
        <f t="shared" si="963"/>
        <v>-38.663416033178073</v>
      </c>
    </row>
    <row r="239" spans="1:20" x14ac:dyDescent="0.25">
      <c r="A239" s="5">
        <v>44354</v>
      </c>
      <c r="B239">
        <v>4.1599999999999998E-2</v>
      </c>
      <c r="C239">
        <v>4.4499999999999998E-2</v>
      </c>
      <c r="D239">
        <v>3.78E-2</v>
      </c>
      <c r="E239">
        <v>3.8399999999999997E-2</v>
      </c>
      <c r="F239">
        <v>208674636.53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-0.82089552238806074</v>
      </c>
      <c r="Q239">
        <f t="shared" si="960"/>
        <v>-171300074.76343304</v>
      </c>
      <c r="R239">
        <f t="shared" si="961"/>
        <v>-3870905788.6145344</v>
      </c>
      <c r="S239">
        <f t="shared" si="962"/>
        <v>-38709.057886145347</v>
      </c>
      <c r="T239">
        <f t="shared" si="963"/>
        <v>-38.709057886145345</v>
      </c>
    </row>
    <row r="240" spans="1:20" x14ac:dyDescent="0.25">
      <c r="A240" s="5">
        <v>44353</v>
      </c>
      <c r="B240">
        <v>4.1300000000000003E-2</v>
      </c>
      <c r="C240">
        <v>4.3400000000000001E-2</v>
      </c>
      <c r="D240">
        <v>4.0599999999999997E-2</v>
      </c>
      <c r="E240">
        <v>4.1599999999999998E-2</v>
      </c>
      <c r="F240">
        <v>127342472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-0.28571428571428609</v>
      </c>
      <c r="Q240">
        <f t="shared" si="960"/>
        <v>-36383563.428571478</v>
      </c>
      <c r="R240">
        <f t="shared" si="961"/>
        <v>-3699605713.8511014</v>
      </c>
      <c r="S240">
        <f t="shared" si="962"/>
        <v>-36996.057138511016</v>
      </c>
      <c r="T240">
        <f t="shared" si="963"/>
        <v>-36.996057138511013</v>
      </c>
    </row>
    <row r="241" spans="1:20" x14ac:dyDescent="0.25">
      <c r="A241" s="5">
        <v>44352</v>
      </c>
      <c r="B241">
        <v>4.3400000000000001E-2</v>
      </c>
      <c r="C241">
        <v>4.5600000000000002E-2</v>
      </c>
      <c r="D241">
        <v>0.04</v>
      </c>
      <c r="E241">
        <v>4.1300000000000003E-2</v>
      </c>
      <c r="F241">
        <v>188852350.27000001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-0.53571428571428492</v>
      </c>
      <c r="Q241">
        <f t="shared" si="960"/>
        <v>-101170901.93035699</v>
      </c>
      <c r="R241">
        <f t="shared" si="961"/>
        <v>-3663222150.4225297</v>
      </c>
      <c r="S241">
        <f t="shared" si="962"/>
        <v>-36632.221504225294</v>
      </c>
      <c r="T241">
        <f t="shared" si="963"/>
        <v>-36.632221504225292</v>
      </c>
    </row>
    <row r="242" spans="1:20" x14ac:dyDescent="0.25">
      <c r="A242" s="5">
        <v>44351</v>
      </c>
      <c r="B242">
        <v>4.9299999999999997E-2</v>
      </c>
      <c r="C242">
        <v>4.9500000000000002E-2</v>
      </c>
      <c r="D242">
        <v>4.0500000000000001E-2</v>
      </c>
      <c r="E242">
        <v>4.3400000000000001E-2</v>
      </c>
      <c r="F242">
        <v>276384177.51999998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-0.35555555555555568</v>
      </c>
      <c r="Q242">
        <f t="shared" si="960"/>
        <v>-98269929.784888923</v>
      </c>
      <c r="R242">
        <f t="shared" si="961"/>
        <v>-3562051248.4921727</v>
      </c>
      <c r="S242">
        <f t="shared" si="962"/>
        <v>-35620.512484921725</v>
      </c>
      <c r="T242">
        <f t="shared" si="963"/>
        <v>-35.620512484921726</v>
      </c>
    </row>
    <row r="243" spans="1:20" x14ac:dyDescent="0.25">
      <c r="A243" s="5">
        <v>44350</v>
      </c>
      <c r="B243">
        <v>4.6199999999999998E-2</v>
      </c>
      <c r="C243">
        <v>5.0799999999999998E-2</v>
      </c>
      <c r="D243">
        <v>4.4299999999999999E-2</v>
      </c>
      <c r="E243">
        <v>4.9299999999999997E-2</v>
      </c>
      <c r="F243">
        <v>304564658.27999997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0.53846153846153799</v>
      </c>
      <c r="Q243">
        <f t="shared" si="960"/>
        <v>163996354.45846137</v>
      </c>
      <c r="R243">
        <f t="shared" si="961"/>
        <v>-3463781318.707284</v>
      </c>
      <c r="S243">
        <f t="shared" si="962"/>
        <v>-34637.813187072839</v>
      </c>
      <c r="T243">
        <f t="shared" si="963"/>
        <v>-34.637813187072837</v>
      </c>
    </row>
    <row r="244" spans="1:20" x14ac:dyDescent="0.25">
      <c r="A244" s="5">
        <v>44349</v>
      </c>
      <c r="B244">
        <v>4.2799999999999998E-2</v>
      </c>
      <c r="C244">
        <v>4.7600000000000003E-2</v>
      </c>
      <c r="D244">
        <v>4.1500000000000002E-2</v>
      </c>
      <c r="E244">
        <v>4.6199999999999998E-2</v>
      </c>
      <c r="F244">
        <v>223488228.03999999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0.54098360655737532</v>
      </c>
      <c r="Q244">
        <f t="shared" si="960"/>
        <v>120903467.62819633</v>
      </c>
      <c r="R244">
        <f t="shared" si="961"/>
        <v>-3627777673.1657453</v>
      </c>
      <c r="S244">
        <f t="shared" si="962"/>
        <v>-36277.776731657454</v>
      </c>
      <c r="T244">
        <f t="shared" si="963"/>
        <v>-36.277776731657454</v>
      </c>
    </row>
    <row r="245" spans="1:20" x14ac:dyDescent="0.25">
      <c r="A245" s="5">
        <v>44348</v>
      </c>
      <c r="B245">
        <v>4.36E-2</v>
      </c>
      <c r="C245">
        <v>4.4900000000000002E-2</v>
      </c>
      <c r="D245">
        <v>4.0899999999999999E-2</v>
      </c>
      <c r="E245">
        <v>4.2700000000000002E-2</v>
      </c>
      <c r="F245">
        <v>218204025.68000001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-9.9999999999999312E-2</v>
      </c>
      <c r="Q245">
        <f t="shared" si="960"/>
        <v>-21820402.567999851</v>
      </c>
      <c r="R245">
        <f t="shared" si="961"/>
        <v>-3748681140.7939415</v>
      </c>
      <c r="S245">
        <f t="shared" si="962"/>
        <v>-37486.811407939414</v>
      </c>
      <c r="T245">
        <f t="shared" si="963"/>
        <v>-37.486811407939413</v>
      </c>
    </row>
    <row r="246" spans="1:20" x14ac:dyDescent="0.25">
      <c r="A246" s="5">
        <v>44347</v>
      </c>
      <c r="B246">
        <v>4.0399999999999998E-2</v>
      </c>
      <c r="C246">
        <v>4.3799999999999999E-2</v>
      </c>
      <c r="D246">
        <v>3.8699999999999998E-2</v>
      </c>
      <c r="E246">
        <v>4.36E-2</v>
      </c>
      <c r="F246">
        <v>209925027.38999999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0.92156862745098089</v>
      </c>
      <c r="Q246">
        <f t="shared" si="960"/>
        <v>193460319.35941187</v>
      </c>
      <c r="R246">
        <f t="shared" si="961"/>
        <v>-3726860738.2259417</v>
      </c>
      <c r="S246">
        <f t="shared" si="962"/>
        <v>-37268.607382259419</v>
      </c>
      <c r="T246">
        <f t="shared" si="963"/>
        <v>-37.268607382259418</v>
      </c>
    </row>
    <row r="247" spans="1:20" x14ac:dyDescent="0.25">
      <c r="A247" s="5">
        <v>44346</v>
      </c>
      <c r="B247">
        <v>3.9300000000000002E-2</v>
      </c>
      <c r="C247">
        <v>4.2200000000000001E-2</v>
      </c>
      <c r="D247">
        <v>3.7199999999999997E-2</v>
      </c>
      <c r="E247">
        <v>4.0500000000000001E-2</v>
      </c>
      <c r="F247">
        <v>187522786.28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0.32000000000000056</v>
      </c>
      <c r="Q247">
        <f t="shared" si="960"/>
        <v>60007291.609600104</v>
      </c>
      <c r="R247">
        <f t="shared" si="961"/>
        <v>-3920321057.5853534</v>
      </c>
      <c r="S247">
        <f t="shared" si="962"/>
        <v>-39203.210575853533</v>
      </c>
      <c r="T247">
        <f t="shared" si="963"/>
        <v>-39.203210575853532</v>
      </c>
    </row>
    <row r="248" spans="1:20" x14ac:dyDescent="0.25">
      <c r="A248" s="5">
        <v>44345</v>
      </c>
      <c r="B248">
        <v>4.2599999999999999E-2</v>
      </c>
      <c r="C248">
        <v>4.3999999999999997E-2</v>
      </c>
      <c r="D248">
        <v>3.7999999999999999E-2</v>
      </c>
      <c r="E248">
        <v>3.9399999999999998E-2</v>
      </c>
      <c r="F248">
        <v>221808961.84999999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-0.53333333333333377</v>
      </c>
      <c r="Q248">
        <f t="shared" si="960"/>
        <v>-118298112.98666675</v>
      </c>
      <c r="R248">
        <f t="shared" si="961"/>
        <v>-3980328349.1949534</v>
      </c>
      <c r="S248">
        <f t="shared" si="962"/>
        <v>-39803.283491949536</v>
      </c>
      <c r="T248">
        <f t="shared" si="963"/>
        <v>-39.803283491949536</v>
      </c>
    </row>
    <row r="249" spans="1:20" x14ac:dyDescent="0.25">
      <c r="A249" s="5">
        <v>44344</v>
      </c>
      <c r="B249">
        <v>5.11E-2</v>
      </c>
      <c r="C249">
        <v>5.1299999999999998E-2</v>
      </c>
      <c r="D249">
        <v>0.04</v>
      </c>
      <c r="E249">
        <v>4.2500000000000003E-2</v>
      </c>
      <c r="F249">
        <v>386341389.94999999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-0.55752212389380484</v>
      </c>
      <c r="Q249">
        <f t="shared" si="960"/>
        <v>-215393872.27300867</v>
      </c>
      <c r="R249">
        <f t="shared" si="961"/>
        <v>-3862030236.2082868</v>
      </c>
      <c r="S249">
        <f t="shared" si="962"/>
        <v>-38620.302362082868</v>
      </c>
      <c r="T249">
        <f t="shared" si="963"/>
        <v>-38.620302362082867</v>
      </c>
    </row>
    <row r="250" spans="1:20" x14ac:dyDescent="0.25">
      <c r="A250" s="5">
        <v>44343</v>
      </c>
      <c r="B250">
        <v>4.9299999999999997E-2</v>
      </c>
      <c r="C250">
        <v>5.3999999999999999E-2</v>
      </c>
      <c r="D250">
        <v>4.3999999999999997E-2</v>
      </c>
      <c r="E250">
        <v>5.11E-2</v>
      </c>
      <c r="F250">
        <v>368727071.06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0.42000000000000015</v>
      </c>
      <c r="Q250">
        <f t="shared" si="960"/>
        <v>154865369.84520006</v>
      </c>
      <c r="R250">
        <f t="shared" si="961"/>
        <v>-3646636363.9352779</v>
      </c>
      <c r="S250">
        <f t="shared" si="962"/>
        <v>-36466.363639352778</v>
      </c>
      <c r="T250">
        <f t="shared" si="963"/>
        <v>-36.466363639352778</v>
      </c>
    </row>
    <row r="251" spans="1:20" x14ac:dyDescent="0.25">
      <c r="A251" s="5">
        <v>44342</v>
      </c>
      <c r="B251">
        <v>4.3999999999999997E-2</v>
      </c>
      <c r="C251">
        <v>5.0599999999999999E-2</v>
      </c>
      <c r="D251">
        <v>4.2700000000000002E-2</v>
      </c>
      <c r="E251">
        <v>4.9299999999999997E-2</v>
      </c>
      <c r="F251">
        <v>350540158.69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0.67088607594936633</v>
      </c>
      <c r="Q251">
        <f t="shared" si="960"/>
        <v>235172511.52620226</v>
      </c>
      <c r="R251">
        <f t="shared" si="961"/>
        <v>-3801501733.780478</v>
      </c>
      <c r="S251">
        <f t="shared" si="962"/>
        <v>-38015.017337804777</v>
      </c>
      <c r="T251">
        <f t="shared" si="963"/>
        <v>-38.015017337804778</v>
      </c>
    </row>
    <row r="252" spans="1:20" x14ac:dyDescent="0.25">
      <c r="A252" s="5">
        <v>44341</v>
      </c>
      <c r="B252">
        <v>4.4900000000000002E-2</v>
      </c>
      <c r="C252">
        <v>4.8800000000000003E-2</v>
      </c>
      <c r="D252">
        <v>3.9399999999999998E-2</v>
      </c>
      <c r="E252">
        <v>4.3900000000000002E-2</v>
      </c>
      <c r="F252">
        <v>396051067.5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-4.2553191489361417E-2</v>
      </c>
      <c r="Q252">
        <f t="shared" si="960"/>
        <v>-16853236.914893504</v>
      </c>
      <c r="R252">
        <f t="shared" si="961"/>
        <v>-4036674245.3066802</v>
      </c>
      <c r="S252">
        <f t="shared" si="962"/>
        <v>-40366.742453066799</v>
      </c>
      <c r="T252">
        <f t="shared" si="963"/>
        <v>-40.366742453066799</v>
      </c>
    </row>
    <row r="253" spans="1:20" x14ac:dyDescent="0.25">
      <c r="A253" s="5">
        <v>44340</v>
      </c>
      <c r="B253">
        <v>3.8600000000000002E-2</v>
      </c>
      <c r="C253">
        <v>4.5400000000000003E-2</v>
      </c>
      <c r="D253">
        <v>3.8600000000000002E-2</v>
      </c>
      <c r="E253">
        <v>4.4900000000000002E-2</v>
      </c>
      <c r="F253">
        <v>621808676.13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0.85294117647058809</v>
      </c>
      <c r="Q253">
        <f t="shared" si="960"/>
        <v>530366223.75794107</v>
      </c>
      <c r="R253">
        <f t="shared" si="961"/>
        <v>-4019821008.3917866</v>
      </c>
      <c r="S253">
        <f t="shared" si="962"/>
        <v>-40198.210083917867</v>
      </c>
      <c r="T253">
        <f t="shared" si="963"/>
        <v>-40.198210083917864</v>
      </c>
    </row>
    <row r="254" spans="1:20" x14ac:dyDescent="0.25">
      <c r="A254" s="5">
        <v>44339</v>
      </c>
      <c r="B254">
        <v>5.3100000000000001E-2</v>
      </c>
      <c r="C254">
        <v>5.3199999999999997E-2</v>
      </c>
      <c r="D254">
        <v>3.1699999999999999E-2</v>
      </c>
      <c r="E254">
        <v>3.8600000000000002E-2</v>
      </c>
      <c r="F254">
        <v>927934312.60000002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-0.35813953488372058</v>
      </c>
      <c r="Q254">
        <f t="shared" si="960"/>
        <v>-332329963.11720896</v>
      </c>
      <c r="R254">
        <f t="shared" si="961"/>
        <v>-4550187232.1497278</v>
      </c>
      <c r="S254">
        <f t="shared" si="962"/>
        <v>-45501.872321497278</v>
      </c>
      <c r="T254">
        <f t="shared" si="963"/>
        <v>-45.501872321497281</v>
      </c>
    </row>
    <row r="255" spans="1:20" x14ac:dyDescent="0.25">
      <c r="A255" s="5">
        <v>44338</v>
      </c>
      <c r="B255">
        <v>4.02E-2</v>
      </c>
      <c r="C255">
        <v>5.6000000000000001E-2</v>
      </c>
      <c r="D255">
        <v>3.4700000000000002E-2</v>
      </c>
      <c r="E255">
        <v>5.3100000000000001E-2</v>
      </c>
      <c r="F255">
        <v>1148535301.3499999</v>
      </c>
      <c r="G255">
        <v>0</v>
      </c>
      <c r="L255" t="s">
        <v>8</v>
      </c>
      <c r="M255" t="s">
        <v>8</v>
      </c>
      <c r="N255" t="s">
        <v>8</v>
      </c>
      <c r="P255">
        <f t="shared" si="959"/>
        <v>0.72769953051643199</v>
      </c>
      <c r="Q255">
        <f t="shared" si="960"/>
        <v>835788599.57394361</v>
      </c>
      <c r="R255">
        <f t="shared" si="961"/>
        <v>-4217857269.0325189</v>
      </c>
      <c r="S255">
        <f t="shared" si="962"/>
        <v>-42178.572690325185</v>
      </c>
      <c r="T255">
        <f t="shared" si="963"/>
        <v>-42.178572690325183</v>
      </c>
    </row>
    <row r="256" spans="1:20" x14ac:dyDescent="0.25">
      <c r="A256" s="5">
        <v>44337</v>
      </c>
      <c r="B256">
        <v>4.7600000000000003E-2</v>
      </c>
      <c r="C256">
        <v>5.1400000000000001E-2</v>
      </c>
      <c r="D256">
        <v>3.4599999999999999E-2</v>
      </c>
      <c r="E256">
        <v>4.0099999999999997E-2</v>
      </c>
      <c r="F256">
        <v>394455128.48000002</v>
      </c>
      <c r="G256">
        <v>0</v>
      </c>
      <c r="L256" t="s">
        <v>8</v>
      </c>
      <c r="M256" t="s">
        <v>8</v>
      </c>
      <c r="N256" t="s">
        <v>7</v>
      </c>
      <c r="P256">
        <f t="shared" si="959"/>
        <v>-0.34523809523809557</v>
      </c>
      <c r="Q256">
        <f t="shared" si="960"/>
        <v>-136180937.21333346</v>
      </c>
      <c r="R256">
        <f t="shared" si="961"/>
        <v>-5053645868.6064625</v>
      </c>
      <c r="S256">
        <f t="shared" si="962"/>
        <v>-50536.458686064623</v>
      </c>
      <c r="T256">
        <f t="shared" si="963"/>
        <v>-50.53645868606462</v>
      </c>
    </row>
    <row r="257" spans="1:20" x14ac:dyDescent="0.25">
      <c r="A257" s="5">
        <v>44336</v>
      </c>
      <c r="B257">
        <v>4.0599999999999997E-2</v>
      </c>
      <c r="C257">
        <v>4.9799999999999997E-2</v>
      </c>
      <c r="D257">
        <v>3.5999999999999997E-2</v>
      </c>
      <c r="E257">
        <v>4.7600000000000003E-2</v>
      </c>
      <c r="F257">
        <v>410323576.07999998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0.68115942028985599</v>
      </c>
      <c r="Q257">
        <f t="shared" si="960"/>
        <v>279495769.21391338</v>
      </c>
      <c r="R257">
        <f t="shared" si="961"/>
        <v>-4917464931.3931293</v>
      </c>
      <c r="S257">
        <f t="shared" si="962"/>
        <v>-49174.649313931295</v>
      </c>
      <c r="T257">
        <f t="shared" si="963"/>
        <v>-49.174649313931297</v>
      </c>
    </row>
    <row r="258" spans="1:20" x14ac:dyDescent="0.25">
      <c r="A258" s="5">
        <v>44335</v>
      </c>
      <c r="B258">
        <v>7.0499999999999993E-2</v>
      </c>
      <c r="C258">
        <v>7.1900000000000006E-2</v>
      </c>
      <c r="D258">
        <v>3.1800000000000002E-2</v>
      </c>
      <c r="E258">
        <v>4.0399999999999998E-2</v>
      </c>
      <c r="F258">
        <v>754314706.44000006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-0.57107231920199519</v>
      </c>
      <c r="Q258">
        <f t="shared" si="960"/>
        <v>-430768248.81486303</v>
      </c>
      <c r="R258">
        <f t="shared" si="961"/>
        <v>-5196960700.6070423</v>
      </c>
      <c r="S258">
        <f t="shared" si="962"/>
        <v>-51969.607006070422</v>
      </c>
      <c r="T258">
        <f t="shared" si="963"/>
        <v>-51.969607006070426</v>
      </c>
    </row>
    <row r="259" spans="1:20" x14ac:dyDescent="0.25">
      <c r="A259" s="5">
        <v>44334</v>
      </c>
      <c r="B259">
        <v>6.6600000000000006E-2</v>
      </c>
      <c r="C259">
        <v>7.3099999999999998E-2</v>
      </c>
      <c r="D259">
        <v>6.54E-2</v>
      </c>
      <c r="E259">
        <v>7.0400000000000004E-2</v>
      </c>
      <c r="F259">
        <v>299585283.49000001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0.29870129870130013</v>
      </c>
      <c r="Q259">
        <f t="shared" si="960"/>
        <v>89486513.250260174</v>
      </c>
      <c r="R259">
        <f t="shared" si="961"/>
        <v>-4766192451.7921791</v>
      </c>
      <c r="S259">
        <f t="shared" si="962"/>
        <v>-47661.924517921791</v>
      </c>
      <c r="T259">
        <f t="shared" si="963"/>
        <v>-47.66192451792179</v>
      </c>
    </row>
    <row r="260" spans="1:20" x14ac:dyDescent="0.25">
      <c r="A260" s="5">
        <v>44333</v>
      </c>
      <c r="B260">
        <v>7.4899999999999994E-2</v>
      </c>
      <c r="C260">
        <v>7.51E-2</v>
      </c>
      <c r="D260">
        <v>6.3600000000000004E-2</v>
      </c>
      <c r="E260">
        <v>6.6699999999999995E-2</v>
      </c>
      <c r="F260">
        <v>326884230.32999998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-0.46086956521739258</v>
      </c>
      <c r="Q260">
        <f t="shared" si="960"/>
        <v>-150650993.10860911</v>
      </c>
      <c r="R260">
        <f t="shared" si="961"/>
        <v>-4855678965.0424395</v>
      </c>
      <c r="S260">
        <f t="shared" si="962"/>
        <v>-48556.789650424398</v>
      </c>
      <c r="T260">
        <f t="shared" si="963"/>
        <v>-48.556789650424399</v>
      </c>
    </row>
    <row r="261" spans="1:20" x14ac:dyDescent="0.25">
      <c r="A261" s="5">
        <v>44332</v>
      </c>
      <c r="B261">
        <v>7.3200000000000001E-2</v>
      </c>
      <c r="C261">
        <v>8.5599999999999996E-2</v>
      </c>
      <c r="D261">
        <v>7.0300000000000001E-2</v>
      </c>
      <c r="E261">
        <v>7.4999999999999997E-2</v>
      </c>
      <c r="F261">
        <v>304045694.27999997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-0.38562091503268003</v>
      </c>
      <c r="Q261">
        <f t="shared" si="960"/>
        <v>-117246378.84000008</v>
      </c>
      <c r="R261">
        <f t="shared" si="961"/>
        <v>-4705027971.9338303</v>
      </c>
      <c r="S261">
        <f t="shared" si="962"/>
        <v>-47050.279719338301</v>
      </c>
      <c r="T261">
        <f t="shared" si="963"/>
        <v>-47.050279719338299</v>
      </c>
    </row>
    <row r="262" spans="1:20" x14ac:dyDescent="0.25">
      <c r="A262" s="5">
        <v>44331</v>
      </c>
      <c r="B262">
        <v>8.09E-2</v>
      </c>
      <c r="C262">
        <v>8.2299999999999998E-2</v>
      </c>
      <c r="D262">
        <v>7.2099999999999997E-2</v>
      </c>
      <c r="E262">
        <v>7.3099999999999998E-2</v>
      </c>
      <c r="F262">
        <v>222459885.41999999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-0.80392156862745079</v>
      </c>
      <c r="Q262">
        <f t="shared" ref="Q262:Q325" si="965">F262*P262</f>
        <v>-178840300.04352936</v>
      </c>
      <c r="R262">
        <f t="shared" ref="R262:R325" si="966">R263+Q262</f>
        <v>-4587781593.0938301</v>
      </c>
      <c r="S262">
        <f t="shared" ref="S262:S325" si="967">R262/100000</f>
        <v>-45877.815930938305</v>
      </c>
      <c r="T262">
        <f t="shared" ref="T262:T325" si="968">S262/1000</f>
        <v>-45.877815930938304</v>
      </c>
    </row>
    <row r="263" spans="1:20" x14ac:dyDescent="0.25">
      <c r="A263" s="5">
        <v>44330</v>
      </c>
      <c r="B263">
        <v>7.5800000000000006E-2</v>
      </c>
      <c r="C263">
        <v>8.5800000000000001E-2</v>
      </c>
      <c r="D263">
        <v>7.5200000000000003E-2</v>
      </c>
      <c r="E263">
        <v>8.09E-2</v>
      </c>
      <c r="F263">
        <v>245002951.71000001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7.54716981132071E-2</v>
      </c>
      <c r="Q263">
        <f t="shared" si="965"/>
        <v>18490788.808301777</v>
      </c>
      <c r="R263">
        <f t="shared" si="966"/>
        <v>-4408941293.0503006</v>
      </c>
      <c r="S263">
        <f t="shared" si="967"/>
        <v>-44089.412930503007</v>
      </c>
      <c r="T263">
        <f t="shared" si="968"/>
        <v>-44.089412930503009</v>
      </c>
    </row>
    <row r="264" spans="1:20" x14ac:dyDescent="0.25">
      <c r="A264" s="5">
        <v>44329</v>
      </c>
      <c r="B264">
        <v>7.4300000000000005E-2</v>
      </c>
      <c r="C264">
        <v>8.3699999999999997E-2</v>
      </c>
      <c r="D264">
        <v>7.0000000000000007E-2</v>
      </c>
      <c r="E264">
        <v>7.5700000000000003E-2</v>
      </c>
      <c r="F264">
        <v>339918387.62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-0.167883211678832</v>
      </c>
      <c r="Q264">
        <f t="shared" si="965"/>
        <v>-57066590.622335725</v>
      </c>
      <c r="R264">
        <f t="shared" si="966"/>
        <v>-4427432081.8586025</v>
      </c>
      <c r="S264">
        <f t="shared" si="967"/>
        <v>-44274.320818586028</v>
      </c>
      <c r="T264">
        <f t="shared" si="968"/>
        <v>-44.274320818586027</v>
      </c>
    </row>
    <row r="265" spans="1:20" x14ac:dyDescent="0.25">
      <c r="A265" s="5">
        <v>44328</v>
      </c>
      <c r="B265">
        <v>0.09</v>
      </c>
      <c r="C265">
        <v>9.3600000000000003E-2</v>
      </c>
      <c r="D265">
        <v>7.22E-2</v>
      </c>
      <c r="E265">
        <v>7.4899999999999994E-2</v>
      </c>
      <c r="F265">
        <v>325529043.55000001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-0.74766355140186969</v>
      </c>
      <c r="Q265">
        <f t="shared" si="965"/>
        <v>-243386200.78504691</v>
      </c>
      <c r="R265">
        <f t="shared" si="966"/>
        <v>-4370365491.2362671</v>
      </c>
      <c r="S265">
        <f t="shared" si="967"/>
        <v>-43703.654912362668</v>
      </c>
      <c r="T265">
        <f t="shared" si="968"/>
        <v>-43.703654912362666</v>
      </c>
    </row>
    <row r="266" spans="1:20" x14ac:dyDescent="0.25">
      <c r="A266" s="5">
        <v>44327</v>
      </c>
      <c r="B266">
        <v>8.6199999999999999E-2</v>
      </c>
      <c r="C266">
        <v>9.1999999999999998E-2</v>
      </c>
      <c r="D266">
        <v>8.3199999999999996E-2</v>
      </c>
      <c r="E266">
        <v>0.09</v>
      </c>
      <c r="F266">
        <v>269519546.18000001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0.54545454545454519</v>
      </c>
      <c r="Q266">
        <f t="shared" si="965"/>
        <v>147010661.55272719</v>
      </c>
      <c r="R266">
        <f t="shared" si="966"/>
        <v>-4126979290.4512205</v>
      </c>
      <c r="S266">
        <f t="shared" si="967"/>
        <v>-41269.792904512207</v>
      </c>
      <c r="T266">
        <f t="shared" si="968"/>
        <v>-41.269792904512208</v>
      </c>
    </row>
    <row r="267" spans="1:20" x14ac:dyDescent="0.25">
      <c r="A267" s="5">
        <v>44326</v>
      </c>
      <c r="B267">
        <v>9.9400000000000002E-2</v>
      </c>
      <c r="C267">
        <v>0.1022</v>
      </c>
      <c r="D267">
        <v>7.6700000000000004E-2</v>
      </c>
      <c r="E267">
        <v>8.6199999999999999E-2</v>
      </c>
      <c r="F267">
        <v>347618155.25999999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-0.25490196078431399</v>
      </c>
      <c r="Q267">
        <f t="shared" si="965"/>
        <v>-88608549.380000085</v>
      </c>
      <c r="R267">
        <f t="shared" si="966"/>
        <v>-4273989952.0039477</v>
      </c>
      <c r="S267">
        <f t="shared" si="967"/>
        <v>-42739.899520039478</v>
      </c>
      <c r="T267">
        <f t="shared" si="968"/>
        <v>-42.739899520039479</v>
      </c>
    </row>
    <row r="268" spans="1:20" x14ac:dyDescent="0.25">
      <c r="A268" s="5">
        <v>44325</v>
      </c>
      <c r="B268">
        <v>0.10100000000000001</v>
      </c>
      <c r="C268">
        <v>0.10299999999999999</v>
      </c>
      <c r="D268">
        <v>9.3100000000000002E-2</v>
      </c>
      <c r="E268">
        <v>9.9299999999999999E-2</v>
      </c>
      <c r="F268">
        <v>254857953.93000001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0.25252525252525293</v>
      </c>
      <c r="Q268">
        <f t="shared" si="965"/>
        <v>64358069.174242526</v>
      </c>
      <c r="R268">
        <f t="shared" si="966"/>
        <v>-4185381402.6239476</v>
      </c>
      <c r="S268">
        <f t="shared" si="967"/>
        <v>-41853.814026239474</v>
      </c>
      <c r="T268">
        <f t="shared" si="968"/>
        <v>-41.853814026239476</v>
      </c>
    </row>
    <row r="269" spans="1:20" x14ac:dyDescent="0.25">
      <c r="A269" s="5">
        <v>44324</v>
      </c>
      <c r="B269">
        <v>9.9500000000000005E-2</v>
      </c>
      <c r="C269">
        <v>0.1067</v>
      </c>
      <c r="D269">
        <v>9.7500000000000003E-2</v>
      </c>
      <c r="E269">
        <v>0.10100000000000001</v>
      </c>
      <c r="F269">
        <v>280868271.49000001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-0.23913043478260801</v>
      </c>
      <c r="Q269">
        <f t="shared" si="965"/>
        <v>-67164151.878043294</v>
      </c>
      <c r="R269">
        <f t="shared" si="966"/>
        <v>-4249739471.7981901</v>
      </c>
      <c r="S269">
        <f t="shared" si="967"/>
        <v>-42497.394717981901</v>
      </c>
      <c r="T269">
        <f t="shared" si="968"/>
        <v>-42.497394717981898</v>
      </c>
    </row>
    <row r="270" spans="1:20" x14ac:dyDescent="0.25">
      <c r="A270" s="5">
        <v>44323</v>
      </c>
      <c r="B270">
        <v>0.10290000000000001</v>
      </c>
      <c r="C270">
        <v>0.10879999999999999</v>
      </c>
      <c r="D270">
        <v>9.6199999999999994E-2</v>
      </c>
      <c r="E270">
        <v>9.9500000000000005E-2</v>
      </c>
      <c r="F270">
        <v>305019905.19999999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-0.47619047619047439</v>
      </c>
      <c r="Q270">
        <f t="shared" si="965"/>
        <v>-145247573.90476134</v>
      </c>
      <c r="R270">
        <f t="shared" si="966"/>
        <v>-4182575319.9201469</v>
      </c>
      <c r="S270">
        <f t="shared" si="967"/>
        <v>-41825.75319920147</v>
      </c>
      <c r="T270">
        <f t="shared" si="968"/>
        <v>-41.825753199201472</v>
      </c>
    </row>
    <row r="271" spans="1:20" x14ac:dyDescent="0.25">
      <c r="A271" s="5">
        <v>44322</v>
      </c>
      <c r="B271">
        <v>0.11070000000000001</v>
      </c>
      <c r="C271">
        <v>0.1144</v>
      </c>
      <c r="D271">
        <v>0.10199999999999999</v>
      </c>
      <c r="E271">
        <v>0.10290000000000001</v>
      </c>
      <c r="F271">
        <v>397926504.62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-0.85483870967741749</v>
      </c>
      <c r="Q271">
        <f t="shared" si="965"/>
        <v>-340162979.75580573</v>
      </c>
      <c r="R271">
        <f t="shared" si="966"/>
        <v>-4037327746.0153856</v>
      </c>
      <c r="S271">
        <f t="shared" si="967"/>
        <v>-40373.277460153855</v>
      </c>
      <c r="T271">
        <f t="shared" si="968"/>
        <v>-40.373277460153858</v>
      </c>
    </row>
    <row r="272" spans="1:20" x14ac:dyDescent="0.25">
      <c r="A272" s="5">
        <v>44321</v>
      </c>
      <c r="B272">
        <v>0.1042</v>
      </c>
      <c r="C272">
        <v>0.11459999999999999</v>
      </c>
      <c r="D272">
        <v>0.10199999999999999</v>
      </c>
      <c r="E272">
        <v>0.11070000000000001</v>
      </c>
      <c r="F272">
        <v>375857938.58999997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0.38095238095238304</v>
      </c>
      <c r="Q272">
        <f t="shared" si="965"/>
        <v>143183976.60571507</v>
      </c>
      <c r="R272">
        <f t="shared" si="966"/>
        <v>-3697164766.2595797</v>
      </c>
      <c r="S272">
        <f t="shared" si="967"/>
        <v>-36971.647662595795</v>
      </c>
      <c r="T272">
        <f t="shared" si="968"/>
        <v>-36.971647662595792</v>
      </c>
    </row>
    <row r="273" spans="1:20" x14ac:dyDescent="0.25">
      <c r="A273" s="5">
        <v>44320</v>
      </c>
      <c r="B273">
        <v>0.1225</v>
      </c>
      <c r="C273">
        <v>0.125</v>
      </c>
      <c r="D273">
        <v>0.1033</v>
      </c>
      <c r="E273">
        <v>0.1042</v>
      </c>
      <c r="F273">
        <v>639039558.36000001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-0.91705069124423977</v>
      </c>
      <c r="Q273">
        <f t="shared" si="965"/>
        <v>-586031668.72645175</v>
      </c>
      <c r="R273">
        <f t="shared" si="966"/>
        <v>-3840348742.8652949</v>
      </c>
      <c r="S273">
        <f t="shared" si="967"/>
        <v>-38403.487428652952</v>
      </c>
      <c r="T273">
        <f t="shared" si="968"/>
        <v>-38.403487428652952</v>
      </c>
    </row>
    <row r="274" spans="1:20" x14ac:dyDescent="0.25">
      <c r="A274" s="5">
        <v>44319</v>
      </c>
      <c r="B274">
        <v>0.12429999999999999</v>
      </c>
      <c r="C274">
        <v>0.1361</v>
      </c>
      <c r="D274">
        <v>0.1177</v>
      </c>
      <c r="E274">
        <v>0.1225</v>
      </c>
      <c r="F274">
        <v>784331463.00999999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-0.47826086956521752</v>
      </c>
      <c r="Q274">
        <f t="shared" si="965"/>
        <v>-375115047.52652186</v>
      </c>
      <c r="R274">
        <f t="shared" si="966"/>
        <v>-3254317074.1388431</v>
      </c>
      <c r="S274">
        <f t="shared" si="967"/>
        <v>-32543.170741388432</v>
      </c>
      <c r="T274">
        <f t="shared" si="968"/>
        <v>-32.54317074138843</v>
      </c>
    </row>
    <row r="275" spans="1:20" x14ac:dyDescent="0.25">
      <c r="A275" s="5">
        <v>44318</v>
      </c>
      <c r="B275">
        <v>0.1137</v>
      </c>
      <c r="C275">
        <v>0.1246</v>
      </c>
      <c r="D275">
        <v>0.10059999999999999</v>
      </c>
      <c r="E275">
        <v>0.1244</v>
      </c>
      <c r="F275">
        <v>567933161.71000004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0.98333333333333284</v>
      </c>
      <c r="Q275">
        <f t="shared" si="965"/>
        <v>558467609.01483309</v>
      </c>
      <c r="R275">
        <f t="shared" si="966"/>
        <v>-2879202026.6123214</v>
      </c>
      <c r="S275">
        <f t="shared" si="967"/>
        <v>-28792.020266123214</v>
      </c>
      <c r="T275">
        <f t="shared" si="968"/>
        <v>-28.792020266123213</v>
      </c>
    </row>
    <row r="276" spans="1:20" x14ac:dyDescent="0.25">
      <c r="A276" s="5">
        <v>44317</v>
      </c>
      <c r="B276">
        <v>0.1062</v>
      </c>
      <c r="C276">
        <v>0.1179</v>
      </c>
      <c r="D276">
        <v>0.104</v>
      </c>
      <c r="E276">
        <v>0.1135</v>
      </c>
      <c r="F276">
        <v>420756188.56999999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0.36690647482014416</v>
      </c>
      <c r="Q276">
        <f t="shared" si="965"/>
        <v>154378169.90697852</v>
      </c>
      <c r="R276">
        <f t="shared" si="966"/>
        <v>-3437669635.6271544</v>
      </c>
      <c r="S276">
        <f t="shared" si="967"/>
        <v>-34376.696356271546</v>
      </c>
      <c r="T276">
        <f t="shared" si="968"/>
        <v>-34.376696356271545</v>
      </c>
    </row>
    <row r="277" spans="1:20" x14ac:dyDescent="0.25">
      <c r="A277" s="5">
        <v>44316</v>
      </c>
      <c r="B277">
        <v>0.1022</v>
      </c>
      <c r="C277">
        <v>0.1164</v>
      </c>
      <c r="D277">
        <v>0.1019</v>
      </c>
      <c r="E277">
        <v>0.1062</v>
      </c>
      <c r="F277">
        <v>575705598.63999999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-0.40689655172413813</v>
      </c>
      <c r="Q277">
        <f t="shared" si="965"/>
        <v>-234252622.89489666</v>
      </c>
      <c r="R277">
        <f t="shared" si="966"/>
        <v>-3592047805.534133</v>
      </c>
      <c r="S277">
        <f t="shared" si="967"/>
        <v>-35920.478055341329</v>
      </c>
      <c r="T277">
        <f t="shared" si="968"/>
        <v>-35.920478055341327</v>
      </c>
    </row>
    <row r="278" spans="1:20" x14ac:dyDescent="0.25">
      <c r="A278" s="5">
        <v>44315</v>
      </c>
      <c r="B278">
        <v>9.1899999999999996E-2</v>
      </c>
      <c r="C278">
        <v>0.1077</v>
      </c>
      <c r="D278">
        <v>8.7999999999999995E-2</v>
      </c>
      <c r="E278">
        <v>0.1022</v>
      </c>
      <c r="F278">
        <v>773096882.50999999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0.44162436548223327</v>
      </c>
      <c r="Q278">
        <f t="shared" si="965"/>
        <v>341418420.19477141</v>
      </c>
      <c r="R278">
        <f t="shared" si="966"/>
        <v>-3357795182.6392365</v>
      </c>
      <c r="S278">
        <f t="shared" si="967"/>
        <v>-33577.951826392367</v>
      </c>
      <c r="T278">
        <f t="shared" si="968"/>
        <v>-33.577951826392365</v>
      </c>
    </row>
    <row r="279" spans="1:20" x14ac:dyDescent="0.25">
      <c r="A279" s="5">
        <v>44314</v>
      </c>
      <c r="B279">
        <v>9.1200000000000003E-2</v>
      </c>
      <c r="C279">
        <v>9.6199999999999994E-2</v>
      </c>
      <c r="D279">
        <v>8.1699999999999995E-2</v>
      </c>
      <c r="E279">
        <v>9.1800000000000007E-2</v>
      </c>
      <c r="F279">
        <v>402657895.02999997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0.3931034482758638</v>
      </c>
      <c r="Q279">
        <f t="shared" si="965"/>
        <v>158286207.01179379</v>
      </c>
      <c r="R279">
        <f t="shared" si="966"/>
        <v>-3699213602.8340077</v>
      </c>
      <c r="S279">
        <f t="shared" si="967"/>
        <v>-36992.136028340079</v>
      </c>
      <c r="T279">
        <f t="shared" si="968"/>
        <v>-36.992136028340077</v>
      </c>
    </row>
    <row r="280" spans="1:20" x14ac:dyDescent="0.25">
      <c r="A280" s="5">
        <v>44313</v>
      </c>
      <c r="B280">
        <v>8.72E-2</v>
      </c>
      <c r="C280">
        <v>9.3899999999999997E-2</v>
      </c>
      <c r="D280">
        <v>8.5500000000000007E-2</v>
      </c>
      <c r="E280">
        <v>9.1200000000000003E-2</v>
      </c>
      <c r="F280">
        <v>328308057.11000001</v>
      </c>
      <c r="G280">
        <v>0</v>
      </c>
      <c r="L280" t="s">
        <v>7</v>
      </c>
      <c r="M280" t="s">
        <v>8</v>
      </c>
      <c r="N280" t="s">
        <v>8</v>
      </c>
      <c r="P280">
        <f t="shared" si="964"/>
        <v>0.35714285714285787</v>
      </c>
      <c r="Q280">
        <f t="shared" si="965"/>
        <v>117252877.53928596</v>
      </c>
      <c r="R280">
        <f t="shared" si="966"/>
        <v>-3857499809.8458014</v>
      </c>
      <c r="S280">
        <f t="shared" si="967"/>
        <v>-38574.998098458011</v>
      </c>
      <c r="T280">
        <f t="shared" si="968"/>
        <v>-38.574998098458011</v>
      </c>
    </row>
    <row r="281" spans="1:20" x14ac:dyDescent="0.25">
      <c r="A281" s="5">
        <v>44312</v>
      </c>
      <c r="B281">
        <v>7.4300000000000005E-2</v>
      </c>
      <c r="C281">
        <v>9.7699999999999995E-2</v>
      </c>
      <c r="D281">
        <v>7.3400000000000007E-2</v>
      </c>
      <c r="E281">
        <v>8.7300000000000003E-2</v>
      </c>
      <c r="F281">
        <v>377186871.88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0.14403292181069979</v>
      </c>
      <c r="Q281">
        <f t="shared" si="965"/>
        <v>54327327.225514479</v>
      </c>
      <c r="R281">
        <f t="shared" si="966"/>
        <v>-3974752687.3850875</v>
      </c>
      <c r="S281">
        <f t="shared" si="967"/>
        <v>-39747.526873850875</v>
      </c>
      <c r="T281">
        <f t="shared" si="968"/>
        <v>-39.747526873850873</v>
      </c>
    </row>
    <row r="282" spans="1:20" x14ac:dyDescent="0.25">
      <c r="A282" s="5">
        <v>44311</v>
      </c>
      <c r="B282">
        <v>7.3800000000000004E-2</v>
      </c>
      <c r="C282">
        <v>8.2600000000000007E-2</v>
      </c>
      <c r="D282">
        <v>6.9699999999999998E-2</v>
      </c>
      <c r="E282">
        <v>7.4300000000000005E-2</v>
      </c>
      <c r="F282">
        <v>227013152.49000001</v>
      </c>
      <c r="G282">
        <v>0</v>
      </c>
      <c r="L282" t="s">
        <v>8</v>
      </c>
      <c r="M282" t="s">
        <v>7</v>
      </c>
      <c r="N282" t="s">
        <v>7</v>
      </c>
      <c r="P282">
        <f t="shared" si="964"/>
        <v>-0.28682170542635599</v>
      </c>
      <c r="Q282">
        <f t="shared" si="965"/>
        <v>-65112299.551395215</v>
      </c>
      <c r="R282">
        <f t="shared" si="966"/>
        <v>-4029080014.6106019</v>
      </c>
      <c r="S282">
        <f t="shared" si="967"/>
        <v>-40290.800146106019</v>
      </c>
      <c r="T282">
        <f t="shared" si="968"/>
        <v>-40.290800146106022</v>
      </c>
    </row>
    <row r="283" spans="1:20" x14ac:dyDescent="0.25">
      <c r="A283" s="5">
        <v>44310</v>
      </c>
      <c r="B283">
        <v>8.1000000000000003E-2</v>
      </c>
      <c r="C283">
        <v>8.1299999999999997E-2</v>
      </c>
      <c r="D283">
        <v>7.1199999999999999E-2</v>
      </c>
      <c r="E283">
        <v>7.3800000000000004E-2</v>
      </c>
      <c r="F283">
        <v>187603505.05000001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-0.48514851485148403</v>
      </c>
      <c r="Q283">
        <f t="shared" si="965"/>
        <v>-91015561.855940387</v>
      </c>
      <c r="R283">
        <f t="shared" si="966"/>
        <v>-3963967715.0592065</v>
      </c>
      <c r="S283">
        <f t="shared" si="967"/>
        <v>-39639.677150592062</v>
      </c>
      <c r="T283">
        <f t="shared" si="968"/>
        <v>-39.639677150592064</v>
      </c>
    </row>
    <row r="284" spans="1:20" x14ac:dyDescent="0.25">
      <c r="A284" s="5">
        <v>44309</v>
      </c>
      <c r="B284">
        <v>9.01E-2</v>
      </c>
      <c r="C284">
        <v>9.1899999999999996E-2</v>
      </c>
      <c r="D284">
        <v>6.93E-2</v>
      </c>
      <c r="E284">
        <v>8.1100000000000005E-2</v>
      </c>
      <c r="F284">
        <v>305646044.17000002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4.4247787610620135E-2</v>
      </c>
      <c r="Q284">
        <f t="shared" si="965"/>
        <v>13524161.246460382</v>
      </c>
      <c r="R284">
        <f t="shared" si="966"/>
        <v>-3872952153.2032661</v>
      </c>
      <c r="S284">
        <f t="shared" si="967"/>
        <v>-38729.521532032661</v>
      </c>
      <c r="T284">
        <f t="shared" si="968"/>
        <v>-38.729521532032663</v>
      </c>
    </row>
    <row r="285" spans="1:20" x14ac:dyDescent="0.25">
      <c r="A285" s="5">
        <v>44308</v>
      </c>
      <c r="B285">
        <v>9.1600000000000001E-2</v>
      </c>
      <c r="C285">
        <v>0.10440000000000001</v>
      </c>
      <c r="D285">
        <v>8.8400000000000006E-2</v>
      </c>
      <c r="E285">
        <v>9.01E-2</v>
      </c>
      <c r="F285">
        <v>289876799.22000003</v>
      </c>
      <c r="G285">
        <v>0</v>
      </c>
      <c r="L285" t="s">
        <v>7</v>
      </c>
      <c r="M285" t="s">
        <v>8</v>
      </c>
      <c r="N285" t="s">
        <v>7</v>
      </c>
      <c r="P285">
        <f t="shared" si="964"/>
        <v>-0.78750000000000087</v>
      </c>
      <c r="Q285">
        <f t="shared" si="965"/>
        <v>-228277979.38575026</v>
      </c>
      <c r="R285">
        <f t="shared" si="966"/>
        <v>-3886476314.4497266</v>
      </c>
      <c r="S285">
        <f t="shared" si="967"/>
        <v>-38864.763144497265</v>
      </c>
      <c r="T285">
        <f t="shared" si="968"/>
        <v>-38.864763144497267</v>
      </c>
    </row>
    <row r="286" spans="1:20" x14ac:dyDescent="0.25">
      <c r="A286" s="5">
        <v>44307</v>
      </c>
      <c r="B286">
        <v>9.9500000000000005E-2</v>
      </c>
      <c r="C286">
        <v>0.105</v>
      </c>
      <c r="D286">
        <v>9.0999999999999998E-2</v>
      </c>
      <c r="E286">
        <v>9.1399999999999995E-2</v>
      </c>
      <c r="F286">
        <v>242378381.74000001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-0.94285714285714317</v>
      </c>
      <c r="Q286">
        <f t="shared" si="965"/>
        <v>-228528188.49771437</v>
      </c>
      <c r="R286">
        <f t="shared" si="966"/>
        <v>-3658198335.0639763</v>
      </c>
      <c r="S286">
        <f t="shared" si="967"/>
        <v>-36581.983350639763</v>
      </c>
      <c r="T286">
        <f t="shared" si="968"/>
        <v>-36.58198335063976</v>
      </c>
    </row>
    <row r="287" spans="1:20" x14ac:dyDescent="0.25">
      <c r="A287" s="5">
        <v>44306</v>
      </c>
      <c r="B287">
        <v>9.64E-2</v>
      </c>
      <c r="C287">
        <v>0.10879999999999999</v>
      </c>
      <c r="D287">
        <v>8.3299999999999999E-2</v>
      </c>
      <c r="E287">
        <v>9.9299999999999999E-2</v>
      </c>
      <c r="F287">
        <v>316136572.63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0.25490196078431399</v>
      </c>
      <c r="Q287">
        <f t="shared" si="965"/>
        <v>80583832.239019692</v>
      </c>
      <c r="R287">
        <f t="shared" si="966"/>
        <v>-3429670146.5662618</v>
      </c>
      <c r="S287">
        <f t="shared" si="967"/>
        <v>-34296.70146566262</v>
      </c>
      <c r="T287">
        <f t="shared" si="968"/>
        <v>-34.296701465662622</v>
      </c>
    </row>
    <row r="288" spans="1:20" x14ac:dyDescent="0.25">
      <c r="A288" s="5">
        <v>44305</v>
      </c>
      <c r="B288">
        <v>0.10680000000000001</v>
      </c>
      <c r="C288">
        <v>0.11409999999999999</v>
      </c>
      <c r="D288">
        <v>9.3600000000000003E-2</v>
      </c>
      <c r="E288">
        <v>9.6199999999999994E-2</v>
      </c>
      <c r="F288">
        <v>233023945.84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-0.74634146341463492</v>
      </c>
      <c r="Q288">
        <f t="shared" si="965"/>
        <v>-173915432.74887824</v>
      </c>
      <c r="R288">
        <f t="shared" si="966"/>
        <v>-3510253978.8052816</v>
      </c>
      <c r="S288">
        <f t="shared" si="967"/>
        <v>-35102.539788052818</v>
      </c>
      <c r="T288">
        <f t="shared" si="968"/>
        <v>-35.102539788052816</v>
      </c>
    </row>
    <row r="289" spans="1:20" x14ac:dyDescent="0.25">
      <c r="A289" s="5">
        <v>44304</v>
      </c>
      <c r="B289">
        <v>0.12280000000000001</v>
      </c>
      <c r="C289">
        <v>0.1245</v>
      </c>
      <c r="D289">
        <v>9.4E-2</v>
      </c>
      <c r="E289">
        <v>0.1066</v>
      </c>
      <c r="F289">
        <v>302899239.01999998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-0.17377049180327866</v>
      </c>
      <c r="Q289">
        <f t="shared" si="965"/>
        <v>-52634949.731344253</v>
      </c>
      <c r="R289">
        <f t="shared" si="966"/>
        <v>-3336338546.0564032</v>
      </c>
      <c r="S289">
        <f t="shared" si="967"/>
        <v>-33363.38546056403</v>
      </c>
      <c r="T289">
        <f t="shared" si="968"/>
        <v>-33.363385460564032</v>
      </c>
    </row>
    <row r="290" spans="1:20" x14ac:dyDescent="0.25">
      <c r="A290" s="5">
        <v>44303</v>
      </c>
      <c r="B290">
        <v>0.1241</v>
      </c>
      <c r="C290">
        <v>0.13500000000000001</v>
      </c>
      <c r="D290">
        <v>0.1201</v>
      </c>
      <c r="E290">
        <v>0.12280000000000001</v>
      </c>
      <c r="F290">
        <v>211907287.56999999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-0.63758389261744886</v>
      </c>
      <c r="Q290">
        <f t="shared" si="965"/>
        <v>-135108673.28288573</v>
      </c>
      <c r="R290">
        <f t="shared" si="966"/>
        <v>-3283703596.3250589</v>
      </c>
      <c r="S290">
        <f t="shared" si="967"/>
        <v>-32837.035963250586</v>
      </c>
      <c r="T290">
        <f t="shared" si="968"/>
        <v>-32.837035963250585</v>
      </c>
    </row>
    <row r="291" spans="1:20" x14ac:dyDescent="0.25">
      <c r="A291" s="5">
        <v>44302</v>
      </c>
      <c r="B291">
        <v>0.13420000000000001</v>
      </c>
      <c r="C291">
        <v>0.13850000000000001</v>
      </c>
      <c r="D291">
        <v>0.11559999999999999</v>
      </c>
      <c r="E291">
        <v>0.1241</v>
      </c>
      <c r="F291">
        <v>222935061.77000001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-0.25764192139737985</v>
      </c>
      <c r="Q291">
        <f t="shared" si="965"/>
        <v>-57437417.661266364</v>
      </c>
      <c r="R291">
        <f t="shared" si="966"/>
        <v>-3148594923.0421734</v>
      </c>
      <c r="S291">
        <f t="shared" si="967"/>
        <v>-31485.949230421735</v>
      </c>
      <c r="T291">
        <f t="shared" si="968"/>
        <v>-31.485949230421735</v>
      </c>
    </row>
    <row r="292" spans="1:20" x14ac:dyDescent="0.25">
      <c r="A292" s="5">
        <v>44301</v>
      </c>
      <c r="B292">
        <v>0.13089999999999999</v>
      </c>
      <c r="C292">
        <v>0.14019999999999999</v>
      </c>
      <c r="D292">
        <v>0.13059999999999999</v>
      </c>
      <c r="E292">
        <v>0.13420000000000001</v>
      </c>
      <c r="F292">
        <v>170714543.33000001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-0.24999999999999567</v>
      </c>
      <c r="Q292">
        <f t="shared" si="965"/>
        <v>-42678635.832499266</v>
      </c>
      <c r="R292">
        <f t="shared" si="966"/>
        <v>-3091157505.3809071</v>
      </c>
      <c r="S292">
        <f t="shared" si="967"/>
        <v>-30911.575053809069</v>
      </c>
      <c r="T292">
        <f t="shared" si="968"/>
        <v>-30.91157505380907</v>
      </c>
    </row>
    <row r="293" spans="1:20" x14ac:dyDescent="0.25">
      <c r="A293" s="5">
        <v>44300</v>
      </c>
      <c r="B293">
        <v>0.13600000000000001</v>
      </c>
      <c r="C293">
        <v>0.13739999999999999</v>
      </c>
      <c r="D293">
        <v>0.1231</v>
      </c>
      <c r="E293">
        <v>0.13070000000000001</v>
      </c>
      <c r="F293">
        <v>204330865.12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6.2937062937064775E-2</v>
      </c>
      <c r="Q293">
        <f t="shared" si="965"/>
        <v>12859984.518042333</v>
      </c>
      <c r="R293">
        <f t="shared" si="966"/>
        <v>-3048478869.548408</v>
      </c>
      <c r="S293">
        <f t="shared" si="967"/>
        <v>-30484.78869548408</v>
      </c>
      <c r="T293">
        <f t="shared" si="968"/>
        <v>-30.484788695484081</v>
      </c>
    </row>
    <row r="294" spans="1:20" x14ac:dyDescent="0.25">
      <c r="A294" s="5">
        <v>44299</v>
      </c>
      <c r="B294">
        <v>0.14149999999999999</v>
      </c>
      <c r="C294">
        <v>0.14549999999999999</v>
      </c>
      <c r="D294">
        <v>0.13109999999999999</v>
      </c>
      <c r="E294">
        <v>0.13600000000000001</v>
      </c>
      <c r="F294">
        <v>186250386.62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-0.31944444444444209</v>
      </c>
      <c r="Q294">
        <f t="shared" si="965"/>
        <v>-59496651.281388454</v>
      </c>
      <c r="R294">
        <f t="shared" si="966"/>
        <v>-3061338854.0664506</v>
      </c>
      <c r="S294">
        <f t="shared" si="967"/>
        <v>-30613.388540664506</v>
      </c>
      <c r="T294">
        <f t="shared" si="968"/>
        <v>-30.613388540664506</v>
      </c>
    </row>
    <row r="295" spans="1:20" x14ac:dyDescent="0.25">
      <c r="A295" s="5">
        <v>44298</v>
      </c>
      <c r="B295">
        <v>0.14879999999999999</v>
      </c>
      <c r="C295">
        <v>0.161</v>
      </c>
      <c r="D295">
        <v>0.13750000000000001</v>
      </c>
      <c r="E295">
        <v>0.14149999999999999</v>
      </c>
      <c r="F295">
        <v>300025762.48000002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-0.65957446808510833</v>
      </c>
      <c r="Q295">
        <f t="shared" si="965"/>
        <v>-197889332.69957507</v>
      </c>
      <c r="R295">
        <f t="shared" si="966"/>
        <v>-3001842202.7850623</v>
      </c>
      <c r="S295">
        <f t="shared" si="967"/>
        <v>-30018.422027850622</v>
      </c>
      <c r="T295">
        <f t="shared" si="968"/>
        <v>-30.018422027850622</v>
      </c>
    </row>
    <row r="296" spans="1:20" x14ac:dyDescent="0.25">
      <c r="A296" s="5">
        <v>44297</v>
      </c>
      <c r="B296">
        <v>0.14319999999999999</v>
      </c>
      <c r="C296">
        <v>0.16600000000000001</v>
      </c>
      <c r="D296">
        <v>0.13750000000000001</v>
      </c>
      <c r="E296">
        <v>0.1489</v>
      </c>
      <c r="F296">
        <v>629693632.65999997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-0.2000000000000004</v>
      </c>
      <c r="Q296">
        <f t="shared" si="965"/>
        <v>-125938726.53200024</v>
      </c>
      <c r="R296">
        <f t="shared" si="966"/>
        <v>-2803952870.0854874</v>
      </c>
      <c r="S296">
        <f t="shared" si="967"/>
        <v>-28039.528700854873</v>
      </c>
      <c r="T296">
        <f t="shared" si="968"/>
        <v>-28.039528700854873</v>
      </c>
    </row>
    <row r="297" spans="1:20" x14ac:dyDescent="0.25">
      <c r="A297" s="5">
        <v>44296</v>
      </c>
      <c r="B297">
        <v>0.13270000000000001</v>
      </c>
      <c r="C297">
        <v>0.17399999999999999</v>
      </c>
      <c r="D297">
        <v>0.12909999999999999</v>
      </c>
      <c r="E297">
        <v>0.14330000000000001</v>
      </c>
      <c r="F297">
        <v>977913938.82000005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-0.3674832962138076</v>
      </c>
      <c r="Q297">
        <f t="shared" si="965"/>
        <v>-359367037.65100139</v>
      </c>
      <c r="R297">
        <f t="shared" si="966"/>
        <v>-2678014143.5534873</v>
      </c>
      <c r="S297">
        <f t="shared" si="967"/>
        <v>-26780.141435534872</v>
      </c>
      <c r="T297">
        <f t="shared" si="968"/>
        <v>-26.780141435534873</v>
      </c>
    </row>
    <row r="298" spans="1:20" x14ac:dyDescent="0.25">
      <c r="A298" s="5">
        <v>44295</v>
      </c>
      <c r="B298">
        <v>0.1193</v>
      </c>
      <c r="C298">
        <v>0.13450000000000001</v>
      </c>
      <c r="D298">
        <v>0.1187</v>
      </c>
      <c r="E298">
        <v>0.13270000000000001</v>
      </c>
      <c r="F298">
        <v>248974083.05000001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0.77215189873417789</v>
      </c>
      <c r="Q298">
        <f t="shared" si="965"/>
        <v>192245810.96265841</v>
      </c>
      <c r="R298">
        <f t="shared" si="966"/>
        <v>-2318647105.9024858</v>
      </c>
      <c r="S298">
        <f t="shared" si="967"/>
        <v>-23186.471059024858</v>
      </c>
      <c r="T298">
        <f t="shared" si="968"/>
        <v>-23.186471059024857</v>
      </c>
    </row>
    <row r="299" spans="1:20" x14ac:dyDescent="0.25">
      <c r="A299" s="5">
        <v>44294</v>
      </c>
      <c r="B299">
        <v>0.11</v>
      </c>
      <c r="C299">
        <v>0.12180000000000001</v>
      </c>
      <c r="D299">
        <v>0.1091</v>
      </c>
      <c r="E299">
        <v>0.1193</v>
      </c>
      <c r="F299">
        <v>169267473.06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0.6062992125984249</v>
      </c>
      <c r="Q299">
        <f t="shared" si="965"/>
        <v>102626735.6348031</v>
      </c>
      <c r="R299">
        <f t="shared" si="966"/>
        <v>-2510892916.8651443</v>
      </c>
      <c r="S299">
        <f t="shared" si="967"/>
        <v>-25108.929168651444</v>
      </c>
      <c r="T299">
        <f t="shared" si="968"/>
        <v>-25.108929168651443</v>
      </c>
    </row>
    <row r="300" spans="1:20" x14ac:dyDescent="0.25">
      <c r="A300" s="5">
        <v>44293</v>
      </c>
      <c r="B300">
        <v>0.1283</v>
      </c>
      <c r="C300">
        <v>0.129</v>
      </c>
      <c r="D300">
        <v>9.8699999999999996E-2</v>
      </c>
      <c r="E300">
        <v>0.11</v>
      </c>
      <c r="F300">
        <v>268990449.79000002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-0.25412541254125404</v>
      </c>
      <c r="Q300">
        <f t="shared" si="965"/>
        <v>-68357309.02254124</v>
      </c>
      <c r="R300">
        <f t="shared" si="966"/>
        <v>-2613519652.4999475</v>
      </c>
      <c r="S300">
        <f t="shared" si="967"/>
        <v>-26135.196524999476</v>
      </c>
      <c r="T300">
        <f t="shared" si="968"/>
        <v>-26.135196524999476</v>
      </c>
    </row>
    <row r="301" spans="1:20" x14ac:dyDescent="0.25">
      <c r="A301" s="5">
        <v>44292</v>
      </c>
      <c r="B301">
        <v>0.13020000000000001</v>
      </c>
      <c r="C301">
        <v>0.1371</v>
      </c>
      <c r="D301">
        <v>0.1245</v>
      </c>
      <c r="E301">
        <v>0.1283</v>
      </c>
      <c r="F301">
        <v>128527442.81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-0.39682539682539719</v>
      </c>
      <c r="Q301">
        <f t="shared" si="965"/>
        <v>-51002953.496031791</v>
      </c>
      <c r="R301">
        <f t="shared" si="966"/>
        <v>-2545162343.4774065</v>
      </c>
      <c r="S301">
        <f t="shared" si="967"/>
        <v>-25451.623434774065</v>
      </c>
      <c r="T301">
        <f t="shared" si="968"/>
        <v>-25.451623434774064</v>
      </c>
    </row>
    <row r="302" spans="1:20" x14ac:dyDescent="0.25">
      <c r="A302" s="5">
        <v>44291</v>
      </c>
      <c r="B302">
        <v>0.13159999999999999</v>
      </c>
      <c r="C302">
        <v>0.1396</v>
      </c>
      <c r="D302">
        <v>0.124</v>
      </c>
      <c r="E302">
        <v>0.13020000000000001</v>
      </c>
      <c r="F302">
        <v>156844878.33000001</v>
      </c>
      <c r="G302">
        <v>0</v>
      </c>
      <c r="L302" t="s">
        <v>8</v>
      </c>
      <c r="M302" t="s">
        <v>7</v>
      </c>
      <c r="N302" t="s">
        <v>7</v>
      </c>
      <c r="P302">
        <f t="shared" si="964"/>
        <v>-0.20512820512820384</v>
      </c>
      <c r="Q302">
        <f t="shared" si="965"/>
        <v>-32173308.375384416</v>
      </c>
      <c r="R302">
        <f t="shared" si="966"/>
        <v>-2494159389.9813747</v>
      </c>
      <c r="S302">
        <f t="shared" si="967"/>
        <v>-24941.593899813746</v>
      </c>
      <c r="T302">
        <f t="shared" si="968"/>
        <v>-24.941593899813746</v>
      </c>
    </row>
    <row r="303" spans="1:20" x14ac:dyDescent="0.25">
      <c r="A303" s="5">
        <v>44290</v>
      </c>
      <c r="B303">
        <v>0.1239</v>
      </c>
      <c r="C303">
        <v>0.13500000000000001</v>
      </c>
      <c r="D303">
        <v>0.1221</v>
      </c>
      <c r="E303">
        <v>0.13139999999999999</v>
      </c>
      <c r="F303">
        <v>113664407.89</v>
      </c>
      <c r="G303">
        <v>0</v>
      </c>
      <c r="L303" t="s">
        <v>8</v>
      </c>
      <c r="M303" t="s">
        <v>7</v>
      </c>
      <c r="N303" t="s">
        <v>7</v>
      </c>
      <c r="P303">
        <f t="shared" si="964"/>
        <v>0.44186046511627636</v>
      </c>
      <c r="Q303">
        <f t="shared" si="965"/>
        <v>50223808.137441553</v>
      </c>
      <c r="R303">
        <f t="shared" si="966"/>
        <v>-2461986081.6059904</v>
      </c>
      <c r="S303">
        <f t="shared" si="967"/>
        <v>-24619.860816059903</v>
      </c>
      <c r="T303">
        <f t="shared" si="968"/>
        <v>-24.619860816059905</v>
      </c>
    </row>
    <row r="304" spans="1:20" x14ac:dyDescent="0.25">
      <c r="A304" s="5">
        <v>44289</v>
      </c>
      <c r="B304">
        <v>0.13969999999999999</v>
      </c>
      <c r="C304">
        <v>0.14199999999999999</v>
      </c>
      <c r="D304">
        <v>0.12130000000000001</v>
      </c>
      <c r="E304">
        <v>0.1242</v>
      </c>
      <c r="F304">
        <v>153352369.03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-0.71980676328502391</v>
      </c>
      <c r="Q304">
        <f t="shared" si="965"/>
        <v>-110384072.39357485</v>
      </c>
      <c r="R304">
        <f t="shared" si="966"/>
        <v>-2512209889.743432</v>
      </c>
      <c r="S304">
        <f t="shared" si="967"/>
        <v>-25122.09889743432</v>
      </c>
      <c r="T304">
        <f t="shared" si="968"/>
        <v>-25.12209889743432</v>
      </c>
    </row>
    <row r="305" spans="1:20" x14ac:dyDescent="0.25">
      <c r="A305" s="5">
        <v>44288</v>
      </c>
      <c r="B305">
        <v>0.1353</v>
      </c>
      <c r="C305">
        <v>0.14929999999999999</v>
      </c>
      <c r="D305">
        <v>0.13289999999999999</v>
      </c>
      <c r="E305">
        <v>0.13969999999999999</v>
      </c>
      <c r="F305">
        <v>186936525.37</v>
      </c>
      <c r="G305">
        <v>0</v>
      </c>
      <c r="L305" t="s">
        <v>8</v>
      </c>
      <c r="M305" t="s">
        <v>7</v>
      </c>
      <c r="N305" t="s">
        <v>7</v>
      </c>
      <c r="P305">
        <f t="shared" si="964"/>
        <v>-0.17073170731707302</v>
      </c>
      <c r="Q305">
        <f t="shared" si="965"/>
        <v>-31915992.136341434</v>
      </c>
      <c r="R305">
        <f t="shared" si="966"/>
        <v>-2401825817.3498573</v>
      </c>
      <c r="S305">
        <f t="shared" si="967"/>
        <v>-24018.258173498572</v>
      </c>
      <c r="T305">
        <f t="shared" si="968"/>
        <v>-24.018258173498573</v>
      </c>
    </row>
    <row r="306" spans="1:20" x14ac:dyDescent="0.25">
      <c r="A306" s="5">
        <v>44287</v>
      </c>
      <c r="B306">
        <v>0.1384</v>
      </c>
      <c r="C306">
        <v>0.14499999999999999</v>
      </c>
      <c r="D306">
        <v>0.13200000000000001</v>
      </c>
      <c r="E306">
        <v>0.13539999999999999</v>
      </c>
      <c r="F306">
        <v>122502872.79000001</v>
      </c>
      <c r="G306">
        <v>0</v>
      </c>
      <c r="L306" t="s">
        <v>8</v>
      </c>
      <c r="M306" t="s">
        <v>7</v>
      </c>
      <c r="N306" t="s">
        <v>7</v>
      </c>
      <c r="P306">
        <f t="shared" si="964"/>
        <v>-0.47692307692307839</v>
      </c>
      <c r="Q306">
        <f t="shared" si="965"/>
        <v>-58424447.022923261</v>
      </c>
      <c r="R306">
        <f t="shared" si="966"/>
        <v>-2369909825.2135158</v>
      </c>
      <c r="S306">
        <f t="shared" si="967"/>
        <v>-23699.098252135158</v>
      </c>
      <c r="T306">
        <f t="shared" si="968"/>
        <v>-23.699098252135158</v>
      </c>
    </row>
    <row r="307" spans="1:20" x14ac:dyDescent="0.25">
      <c r="A307" s="5">
        <v>44286</v>
      </c>
      <c r="B307">
        <v>0.1452</v>
      </c>
      <c r="C307">
        <v>0.1489</v>
      </c>
      <c r="D307">
        <v>0.1305</v>
      </c>
      <c r="E307">
        <v>0.13830000000000001</v>
      </c>
      <c r="F307">
        <v>177122673.63999999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-0.1521739130434781</v>
      </c>
      <c r="Q307">
        <f t="shared" si="965"/>
        <v>-26953450.336521707</v>
      </c>
      <c r="R307">
        <f t="shared" si="966"/>
        <v>-2311485378.1905923</v>
      </c>
      <c r="S307">
        <f t="shared" si="967"/>
        <v>-23114.853781905924</v>
      </c>
      <c r="T307">
        <f t="shared" si="968"/>
        <v>-23.114853781905925</v>
      </c>
    </row>
    <row r="308" spans="1:20" x14ac:dyDescent="0.25">
      <c r="A308" s="5">
        <v>44285</v>
      </c>
      <c r="B308">
        <v>0.14349999999999999</v>
      </c>
      <c r="C308">
        <v>0.1545</v>
      </c>
      <c r="D308">
        <v>0.14000000000000001</v>
      </c>
      <c r="E308">
        <v>0.1452</v>
      </c>
      <c r="F308">
        <v>184175407.75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-0.28275862068965685</v>
      </c>
      <c r="Q308">
        <f t="shared" si="965"/>
        <v>-52077184.260345139</v>
      </c>
      <c r="R308">
        <f t="shared" si="966"/>
        <v>-2284531927.8540707</v>
      </c>
      <c r="S308">
        <f t="shared" si="967"/>
        <v>-22845.319278540708</v>
      </c>
      <c r="T308">
        <f t="shared" si="968"/>
        <v>-22.845319278540707</v>
      </c>
    </row>
    <row r="309" spans="1:20" x14ac:dyDescent="0.25">
      <c r="A309" s="5">
        <v>44284</v>
      </c>
      <c r="B309">
        <v>0.1454</v>
      </c>
      <c r="C309">
        <v>0.153</v>
      </c>
      <c r="D309">
        <v>0.1401</v>
      </c>
      <c r="E309">
        <v>0.1434</v>
      </c>
      <c r="F309">
        <v>162934302.75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-0.48837209302325602</v>
      </c>
      <c r="Q309">
        <f t="shared" si="965"/>
        <v>-79572566.459302366</v>
      </c>
      <c r="R309">
        <f t="shared" si="966"/>
        <v>-2232454743.5937257</v>
      </c>
      <c r="S309">
        <f t="shared" si="967"/>
        <v>-22324.547435937257</v>
      </c>
      <c r="T309">
        <f t="shared" si="968"/>
        <v>-22.324547435937255</v>
      </c>
    </row>
    <row r="310" spans="1:20" x14ac:dyDescent="0.25">
      <c r="A310" s="5">
        <v>44283</v>
      </c>
      <c r="B310">
        <v>0.1384</v>
      </c>
      <c r="C310">
        <v>0.159</v>
      </c>
      <c r="D310">
        <v>0.13550000000000001</v>
      </c>
      <c r="E310">
        <v>0.1454</v>
      </c>
      <c r="F310">
        <v>291046070.56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-0.15744680851063872</v>
      </c>
      <c r="Q310">
        <f t="shared" si="965"/>
        <v>-45824274.939234167</v>
      </c>
      <c r="R310">
        <f t="shared" si="966"/>
        <v>-2152882177.1344233</v>
      </c>
      <c r="S310">
        <f t="shared" si="967"/>
        <v>-21528.821771344232</v>
      </c>
      <c r="T310">
        <f t="shared" si="968"/>
        <v>-21.528821771344234</v>
      </c>
    </row>
    <row r="311" spans="1:20" x14ac:dyDescent="0.25">
      <c r="A311" s="5">
        <v>44282</v>
      </c>
      <c r="B311">
        <v>0.13070000000000001</v>
      </c>
      <c r="C311">
        <v>0.14499999999999999</v>
      </c>
      <c r="D311">
        <v>0.12509999999999999</v>
      </c>
      <c r="E311">
        <v>0.13830000000000001</v>
      </c>
      <c r="F311">
        <v>189043947.52000001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0.32663316582914742</v>
      </c>
      <c r="Q311">
        <f t="shared" si="965"/>
        <v>61748023.059296809</v>
      </c>
      <c r="R311">
        <f t="shared" si="966"/>
        <v>-2107057902.1951892</v>
      </c>
      <c r="S311">
        <f t="shared" si="967"/>
        <v>-21070.579021951893</v>
      </c>
      <c r="T311">
        <f t="shared" si="968"/>
        <v>-21.070579021951893</v>
      </c>
    </row>
    <row r="312" spans="1:20" x14ac:dyDescent="0.25">
      <c r="A312" s="5">
        <v>44281</v>
      </c>
      <c r="B312">
        <v>0.1149</v>
      </c>
      <c r="C312">
        <v>0.1363</v>
      </c>
      <c r="D312">
        <v>0.1149</v>
      </c>
      <c r="E312">
        <v>0.13059999999999999</v>
      </c>
      <c r="F312">
        <v>173370755.41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0.46728971962616728</v>
      </c>
      <c r="Q312">
        <f t="shared" si="965"/>
        <v>81014371.686915725</v>
      </c>
      <c r="R312">
        <f t="shared" si="966"/>
        <v>-2168805925.2544861</v>
      </c>
      <c r="S312">
        <f t="shared" si="967"/>
        <v>-21688.059252544859</v>
      </c>
      <c r="T312">
        <f t="shared" si="968"/>
        <v>-21.688059252544861</v>
      </c>
    </row>
    <row r="313" spans="1:20" x14ac:dyDescent="0.25">
      <c r="A313" s="5">
        <v>44280</v>
      </c>
      <c r="B313">
        <v>0.1212</v>
      </c>
      <c r="C313">
        <v>0.12690000000000001</v>
      </c>
      <c r="D313">
        <v>0.1118</v>
      </c>
      <c r="E313">
        <v>0.115</v>
      </c>
      <c r="F313">
        <v>140023977.22999999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-0.57615894039735038</v>
      </c>
      <c r="Q313">
        <f t="shared" si="965"/>
        <v>-80676066.351059511</v>
      </c>
      <c r="R313">
        <f t="shared" si="966"/>
        <v>-2249820296.941402</v>
      </c>
      <c r="S313">
        <f t="shared" si="967"/>
        <v>-22498.202969414018</v>
      </c>
      <c r="T313">
        <f t="shared" si="968"/>
        <v>-22.498202969414017</v>
      </c>
    </row>
    <row r="314" spans="1:20" x14ac:dyDescent="0.25">
      <c r="A314" s="5">
        <v>44279</v>
      </c>
      <c r="B314">
        <v>0.13039999999999999</v>
      </c>
      <c r="C314">
        <v>0.14899999999999999</v>
      </c>
      <c r="D314">
        <v>0.115</v>
      </c>
      <c r="E314">
        <v>0.12130000000000001</v>
      </c>
      <c r="F314">
        <v>218731454.43000001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-0.62941176470588223</v>
      </c>
      <c r="Q314">
        <f t="shared" si="965"/>
        <v>-137672150.72947055</v>
      </c>
      <c r="R314">
        <f t="shared" si="966"/>
        <v>-2169144230.5903425</v>
      </c>
      <c r="S314">
        <f t="shared" si="967"/>
        <v>-21691.442305903423</v>
      </c>
      <c r="T314">
        <f t="shared" si="968"/>
        <v>-21.691442305903422</v>
      </c>
    </row>
    <row r="315" spans="1:20" x14ac:dyDescent="0.25">
      <c r="A315" s="5">
        <v>44278</v>
      </c>
      <c r="B315">
        <v>0.14069999999999999</v>
      </c>
      <c r="C315">
        <v>0.14799999999999999</v>
      </c>
      <c r="D315">
        <v>0.126</v>
      </c>
      <c r="E315">
        <v>0.13039999999999999</v>
      </c>
      <c r="F315">
        <v>199447651.56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-0.60000000000000098</v>
      </c>
      <c r="Q315">
        <f t="shared" si="965"/>
        <v>-119668590.9360002</v>
      </c>
      <c r="R315">
        <f t="shared" si="966"/>
        <v>-2031472079.8608718</v>
      </c>
      <c r="S315">
        <f t="shared" si="967"/>
        <v>-20314.72079860872</v>
      </c>
      <c r="T315">
        <f t="shared" si="968"/>
        <v>-20.314720798608718</v>
      </c>
    </row>
    <row r="316" spans="1:20" x14ac:dyDescent="0.25">
      <c r="A316" s="5">
        <v>44277</v>
      </c>
      <c r="B316">
        <v>0.16950000000000001</v>
      </c>
      <c r="C316">
        <v>0.16980000000000001</v>
      </c>
      <c r="D316">
        <v>0.1313</v>
      </c>
      <c r="E316">
        <v>0.1409</v>
      </c>
      <c r="F316">
        <v>233826219.00999999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-0.50129870129870147</v>
      </c>
      <c r="Q316">
        <f t="shared" si="965"/>
        <v>-117216779.91929874</v>
      </c>
      <c r="R316">
        <f t="shared" si="966"/>
        <v>-1911803488.9248717</v>
      </c>
      <c r="S316">
        <f t="shared" si="967"/>
        <v>-19118.034889248716</v>
      </c>
      <c r="T316">
        <f t="shared" si="968"/>
        <v>-19.118034889248715</v>
      </c>
    </row>
    <row r="317" spans="1:20" x14ac:dyDescent="0.25">
      <c r="A317" s="5">
        <v>44276</v>
      </c>
      <c r="B317">
        <v>0.156</v>
      </c>
      <c r="C317">
        <v>0.18</v>
      </c>
      <c r="D317">
        <v>0.15459999999999999</v>
      </c>
      <c r="E317">
        <v>0.16919999999999999</v>
      </c>
      <c r="F317">
        <v>311298527.48000002</v>
      </c>
      <c r="G317">
        <v>0</v>
      </c>
      <c r="L317" t="s">
        <v>8</v>
      </c>
      <c r="M317" t="s">
        <v>7</v>
      </c>
      <c r="N317" t="s">
        <v>7</v>
      </c>
      <c r="P317">
        <f t="shared" si="964"/>
        <v>0.1496062992125983</v>
      </c>
      <c r="Q317">
        <f t="shared" si="965"/>
        <v>46572220.646614134</v>
      </c>
      <c r="R317">
        <f t="shared" si="966"/>
        <v>-1794586709.005573</v>
      </c>
      <c r="S317">
        <f t="shared" si="967"/>
        <v>-17945.86709005573</v>
      </c>
      <c r="T317">
        <f t="shared" si="968"/>
        <v>-17.945867090055732</v>
      </c>
    </row>
    <row r="318" spans="1:20" x14ac:dyDescent="0.25">
      <c r="A318" s="5">
        <v>44275</v>
      </c>
      <c r="B318">
        <v>0.16839999999999999</v>
      </c>
      <c r="C318">
        <v>0.1777</v>
      </c>
      <c r="D318">
        <v>0.15260000000000001</v>
      </c>
      <c r="E318">
        <v>0.15590000000000001</v>
      </c>
      <c r="F318">
        <v>316952217.89999998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-0.73705179282868527</v>
      </c>
      <c r="Q318">
        <f t="shared" si="965"/>
        <v>-233610200.44422311</v>
      </c>
      <c r="R318">
        <f t="shared" si="966"/>
        <v>-1841158929.6521871</v>
      </c>
      <c r="S318">
        <f t="shared" si="967"/>
        <v>-18411.58929652187</v>
      </c>
      <c r="T318">
        <f t="shared" si="968"/>
        <v>-18.411589296521871</v>
      </c>
    </row>
    <row r="319" spans="1:20" x14ac:dyDescent="0.25">
      <c r="A319" s="5">
        <v>44274</v>
      </c>
      <c r="B319">
        <v>0.2054</v>
      </c>
      <c r="C319">
        <v>0.20569999999999999</v>
      </c>
      <c r="D319">
        <v>0.16650000000000001</v>
      </c>
      <c r="E319">
        <v>0.16850000000000001</v>
      </c>
      <c r="F319">
        <v>416178135.87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-0.89795918367346927</v>
      </c>
      <c r="Q319">
        <f t="shared" si="965"/>
        <v>-373710979.14857137</v>
      </c>
      <c r="R319">
        <f t="shared" si="966"/>
        <v>-1607548729.2079639</v>
      </c>
      <c r="S319">
        <f t="shared" si="967"/>
        <v>-16075.487292079639</v>
      </c>
      <c r="T319">
        <f t="shared" si="968"/>
        <v>-16.075487292079639</v>
      </c>
    </row>
    <row r="320" spans="1:20" x14ac:dyDescent="0.25">
      <c r="A320" s="5">
        <v>44273</v>
      </c>
      <c r="B320">
        <v>8.5000000000000006E-2</v>
      </c>
      <c r="C320">
        <v>1</v>
      </c>
      <c r="D320">
        <v>8.5000000000000006E-2</v>
      </c>
      <c r="E320">
        <v>0.2054</v>
      </c>
      <c r="F320">
        <v>1674520233.3199999</v>
      </c>
      <c r="G320">
        <v>0</v>
      </c>
      <c r="P320">
        <f t="shared" si="964"/>
        <v>-0.73683060109289622</v>
      </c>
      <c r="Q320">
        <f t="shared" si="965"/>
        <v>-1233837750.0593925</v>
      </c>
      <c r="R320">
        <f t="shared" si="966"/>
        <v>-1233837750.0593925</v>
      </c>
      <c r="S320">
        <f t="shared" si="967"/>
        <v>-12338.377500593924</v>
      </c>
      <c r="T320">
        <f t="shared" si="968"/>
        <v>-12.338377500593925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H236" sqref="FH23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$A$235</v>
      </c>
      <c r="D111" s="1" t="str">
        <f>ADDRESS(C121-1,D121,1,1)</f>
        <v>$FH$235</v>
      </c>
      <c r="E111"/>
    </row>
    <row r="112" spans="1:5" x14ac:dyDescent="0.25">
      <c r="A112" s="7">
        <v>12164.144957890772</v>
      </c>
      <c r="C112" s="1" t="str">
        <f>ADDRESS(C121,1,1,1)</f>
        <v>$A$236</v>
      </c>
      <c r="D112" s="1" t="str">
        <f>ADDRESS(C121,D121-1,1,1)</f>
        <v>$FG$236</v>
      </c>
      <c r="E112"/>
    </row>
    <row r="113" spans="1:5" x14ac:dyDescent="0.25">
      <c r="A113" s="7">
        <v>11925.63231165762</v>
      </c>
      <c r="C113" s="1" t="str">
        <f>ADDRESS(C121+1,1,1,1)</f>
        <v>$A$237</v>
      </c>
      <c r="D113" s="1" t="str">
        <f>ADDRESS(C121-1,D121+1,1,1)</f>
        <v>$FI$235</v>
      </c>
    </row>
    <row r="114" spans="1:5" x14ac:dyDescent="0.25">
      <c r="A114" s="7">
        <v>11691.796383978059</v>
      </c>
      <c r="C114" s="1" t="str">
        <f>ADDRESS(C121,D121,1,1)</f>
        <v>$FH$236</v>
      </c>
      <c r="D114" s="1" t="str">
        <f>ADDRESS(C121+1,D121+1,1,1)</f>
        <v>$FI$237</v>
      </c>
    </row>
    <row r="115" spans="1:5" x14ac:dyDescent="0.25">
      <c r="A115" s="7">
        <v>11462.545474488292</v>
      </c>
      <c r="C115" s="1" t="str">
        <f>ADDRESS(C121+1,D121,1,1)</f>
        <v>$FH$237</v>
      </c>
    </row>
    <row r="116" spans="1:5" x14ac:dyDescent="0.25">
      <c r="A116" s="7">
        <v>11237.789680870874</v>
      </c>
      <c r="C116" s="1">
        <f>C117-1</f>
        <v>235</v>
      </c>
    </row>
    <row r="117" spans="1:5" x14ac:dyDescent="0.25">
      <c r="A117" s="7">
        <v>11017.440863598895</v>
      </c>
      <c r="C117" s="1">
        <f>C121</f>
        <v>236</v>
      </c>
      <c r="D117" s="1">
        <f>D121</f>
        <v>164</v>
      </c>
    </row>
    <row r="118" spans="1:5" x14ac:dyDescent="0.25">
      <c r="A118" s="7">
        <v>10801.412611371465</v>
      </c>
      <c r="C118" s="1">
        <f>C117+1</f>
        <v>237</v>
      </c>
      <c r="D118" s="1">
        <f>D117+1</f>
        <v>165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236</v>
      </c>
      <c r="D121" s="19">
        <v>164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R236</v>
      </c>
      <c r="D123" s="1" t="str">
        <f>"C"&amp;D121</f>
        <v>C164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1043.9033431419039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158" x14ac:dyDescent="0.25">
      <c r="A193" s="7">
        <v>2446.0632016595778</v>
      </c>
      <c r="B193"/>
      <c r="C193"/>
      <c r="D193"/>
      <c r="E193"/>
    </row>
    <row r="194" spans="1:158" x14ac:dyDescent="0.25">
      <c r="A194" s="7">
        <v>2398.1011780976251</v>
      </c>
      <c r="B194"/>
      <c r="C194"/>
      <c r="D194"/>
      <c r="E194"/>
    </row>
    <row r="195" spans="1:158" x14ac:dyDescent="0.25">
      <c r="A195" s="7">
        <v>2351.0795863702206</v>
      </c>
      <c r="B195"/>
      <c r="C195"/>
      <c r="D195"/>
      <c r="E195"/>
    </row>
    <row r="196" spans="1:158" x14ac:dyDescent="0.25">
      <c r="A196" s="7">
        <v>2304.979986637471</v>
      </c>
      <c r="B196"/>
      <c r="C196"/>
      <c r="D196"/>
      <c r="E196"/>
    </row>
    <row r="197" spans="1:158" x14ac:dyDescent="0.25">
      <c r="A197" s="7">
        <v>2259.7843006249714</v>
      </c>
      <c r="B197"/>
      <c r="C197"/>
      <c r="D197"/>
      <c r="E197"/>
    </row>
    <row r="198" spans="1:158" x14ac:dyDescent="0.25">
      <c r="A198" s="7">
        <v>2215.4748045342858</v>
      </c>
      <c r="B198"/>
      <c r="C198"/>
      <c r="D198"/>
      <c r="E198"/>
    </row>
    <row r="199" spans="1:158" x14ac:dyDescent="0.25">
      <c r="A199" s="7">
        <v>2172.034122092437</v>
      </c>
      <c r="B199"/>
      <c r="C199"/>
      <c r="D199"/>
      <c r="E199"/>
    </row>
    <row r="200" spans="1:158" x14ac:dyDescent="0.25">
      <c r="A200" s="7">
        <v>2129.4452177376834</v>
      </c>
      <c r="B200"/>
      <c r="C200"/>
      <c r="D200"/>
      <c r="E200"/>
    </row>
    <row r="201" spans="1:158" x14ac:dyDescent="0.25">
      <c r="A201" s="7">
        <v>2087.6913899389051</v>
      </c>
      <c r="B201"/>
      <c r="C201"/>
      <c r="D201"/>
      <c r="E201"/>
    </row>
    <row r="202" spans="1:158" x14ac:dyDescent="0.25">
      <c r="A202" s="7">
        <v>2046.7562646459853</v>
      </c>
      <c r="B202"/>
      <c r="C202"/>
      <c r="D202"/>
      <c r="E202"/>
      <c r="DO202" s="27" t="s">
        <v>8</v>
      </c>
    </row>
    <row r="203" spans="1:158" x14ac:dyDescent="0.25">
      <c r="A203" s="7">
        <v>2006.623788868613</v>
      </c>
      <c r="B203"/>
      <c r="C203"/>
      <c r="D203"/>
      <c r="E203"/>
      <c r="DO203" s="27" t="s">
        <v>8</v>
      </c>
      <c r="DP203" s="27" t="s">
        <v>7</v>
      </c>
    </row>
    <row r="204" spans="1:158" x14ac:dyDescent="0.25">
      <c r="A204" s="7">
        <v>1967.2782243809932</v>
      </c>
      <c r="B204"/>
      <c r="C204"/>
      <c r="D204"/>
      <c r="E204"/>
      <c r="DO204" s="27" t="s">
        <v>8</v>
      </c>
      <c r="DP204" s="27" t="s">
        <v>7</v>
      </c>
    </row>
    <row r="205" spans="1:158" x14ac:dyDescent="0.25">
      <c r="A205" s="7">
        <v>1928.7041415499932</v>
      </c>
      <c r="B205"/>
      <c r="C205"/>
      <c r="D205"/>
      <c r="E205"/>
      <c r="DO205" s="27" t="s">
        <v>8</v>
      </c>
      <c r="DP205" s="27" t="s">
        <v>7</v>
      </c>
      <c r="DQ205" s="27" t="s">
        <v>8</v>
      </c>
      <c r="FA205" s="27" t="s">
        <v>8</v>
      </c>
    </row>
    <row r="206" spans="1:158" x14ac:dyDescent="0.25">
      <c r="A206" s="7">
        <v>1890.8864132843071</v>
      </c>
      <c r="B206"/>
      <c r="C206"/>
      <c r="D206"/>
      <c r="E206"/>
      <c r="DO206" s="27" t="s">
        <v>8</v>
      </c>
      <c r="DP206" s="27" t="s">
        <v>7</v>
      </c>
      <c r="DQ206" s="27" t="s">
        <v>8</v>
      </c>
      <c r="DR206" s="27" t="s">
        <v>7</v>
      </c>
      <c r="FA206" s="27" t="s">
        <v>8</v>
      </c>
      <c r="FB206" s="27" t="s">
        <v>7</v>
      </c>
    </row>
    <row r="207" spans="1:158" x14ac:dyDescent="0.25">
      <c r="A207" s="7">
        <v>1853.8102091022618</v>
      </c>
      <c r="B207"/>
      <c r="C207"/>
      <c r="D207"/>
      <c r="E207"/>
      <c r="DO207" s="27" t="s">
        <v>8</v>
      </c>
      <c r="DP207" s="27" t="s">
        <v>7</v>
      </c>
      <c r="DQ207" s="27" t="s">
        <v>8</v>
      </c>
      <c r="DR207" s="27" t="s">
        <v>7</v>
      </c>
      <c r="FA207" s="27" t="s">
        <v>8</v>
      </c>
      <c r="FB207" s="27" t="s">
        <v>7</v>
      </c>
    </row>
    <row r="208" spans="1:158" x14ac:dyDescent="0.25">
      <c r="A208" s="7">
        <v>1817.4609893159429</v>
      </c>
      <c r="B208"/>
      <c r="C208"/>
      <c r="D208"/>
      <c r="E208"/>
      <c r="DO208" s="27" t="s">
        <v>8</v>
      </c>
      <c r="DP208" s="27" t="s">
        <v>7</v>
      </c>
      <c r="DQ208" s="27" t="s">
        <v>8</v>
      </c>
      <c r="DR208" s="27" t="s">
        <v>7</v>
      </c>
      <c r="FA208" s="27" t="s">
        <v>8</v>
      </c>
      <c r="FB208" s="27" t="s">
        <v>7</v>
      </c>
    </row>
    <row r="209" spans="1:161" x14ac:dyDescent="0.25">
      <c r="A209" s="7">
        <v>1781.8244993293558</v>
      </c>
      <c r="B209"/>
      <c r="C209"/>
      <c r="D209"/>
      <c r="E209"/>
      <c r="DO209" s="27" t="s">
        <v>8</v>
      </c>
      <c r="DP209" s="27" t="s">
        <v>7</v>
      </c>
      <c r="DQ209" s="27" t="s">
        <v>8</v>
      </c>
      <c r="DR209" s="27" t="s">
        <v>7</v>
      </c>
      <c r="FA209" s="27" t="s">
        <v>8</v>
      </c>
      <c r="FB209" s="27" t="s">
        <v>7</v>
      </c>
    </row>
    <row r="210" spans="1:161" x14ac:dyDescent="0.25">
      <c r="A210" s="7">
        <v>1746.8867640483879</v>
      </c>
      <c r="B210"/>
      <c r="C210"/>
      <c r="D210"/>
      <c r="E210"/>
      <c r="DO210" s="27" t="s">
        <v>8</v>
      </c>
      <c r="DP210" s="27" t="s">
        <v>7</v>
      </c>
      <c r="DQ210" s="27" t="s">
        <v>8</v>
      </c>
      <c r="DR210" s="27" t="s">
        <v>7</v>
      </c>
      <c r="DU210" s="27" t="s">
        <v>8</v>
      </c>
      <c r="FA210" s="27" t="s">
        <v>8</v>
      </c>
      <c r="FB210" s="27" t="s">
        <v>7</v>
      </c>
    </row>
    <row r="211" spans="1:161" x14ac:dyDescent="0.25">
      <c r="A211" s="7">
        <v>1712.6340824003803</v>
      </c>
      <c r="B211"/>
      <c r="C211"/>
      <c r="D211"/>
      <c r="E211"/>
      <c r="DO211" s="27" t="s">
        <v>8</v>
      </c>
      <c r="DP211" s="27" t="s">
        <v>7</v>
      </c>
      <c r="DQ211" s="27" t="s">
        <v>8</v>
      </c>
      <c r="DR211" s="27" t="s">
        <v>7</v>
      </c>
      <c r="DU211" s="27" t="s">
        <v>8</v>
      </c>
      <c r="DV211" s="27" t="s">
        <v>7</v>
      </c>
      <c r="FA211" s="27" t="s">
        <v>8</v>
      </c>
      <c r="FB211" s="27" t="s">
        <v>7</v>
      </c>
    </row>
    <row r="212" spans="1:161" x14ac:dyDescent="0.25">
      <c r="A212" s="7">
        <v>1679.0530219611571</v>
      </c>
      <c r="B212"/>
      <c r="C212"/>
      <c r="D212"/>
      <c r="E212"/>
      <c r="DO212" s="27" t="s">
        <v>8</v>
      </c>
      <c r="DP212" s="27" t="s">
        <v>7</v>
      </c>
      <c r="DQ212" s="27" t="s">
        <v>8</v>
      </c>
      <c r="DR212" s="27" t="s">
        <v>7</v>
      </c>
      <c r="DU212" s="27" t="s">
        <v>8</v>
      </c>
      <c r="DV212" s="27" t="s">
        <v>7</v>
      </c>
      <c r="EY212" s="27" t="s">
        <v>8</v>
      </c>
      <c r="FA212" s="27" t="s">
        <v>8</v>
      </c>
      <c r="FB212" s="27" t="s">
        <v>7</v>
      </c>
    </row>
    <row r="213" spans="1:161" x14ac:dyDescent="0.25">
      <c r="A213" s="7">
        <v>1646.1304136874089</v>
      </c>
      <c r="B213"/>
      <c r="C213"/>
      <c r="D213"/>
      <c r="E213"/>
      <c r="DO213" s="27" t="s">
        <v>8</v>
      </c>
      <c r="DP213" s="27" t="s">
        <v>7</v>
      </c>
      <c r="DQ213" s="27" t="s">
        <v>8</v>
      </c>
      <c r="DR213" s="27" t="s">
        <v>7</v>
      </c>
      <c r="DU213" s="27" t="s">
        <v>8</v>
      </c>
      <c r="DV213" s="27" t="s">
        <v>7</v>
      </c>
      <c r="EY213" s="27" t="s">
        <v>8</v>
      </c>
      <c r="EZ213" s="27" t="s">
        <v>7</v>
      </c>
      <c r="FA213" s="27" t="s">
        <v>8</v>
      </c>
      <c r="FB213" s="27" t="s">
        <v>7</v>
      </c>
      <c r="FC213" s="27" t="s">
        <v>8</v>
      </c>
    </row>
    <row r="214" spans="1:161" x14ac:dyDescent="0.25">
      <c r="A214" s="7">
        <v>1613.8533467523616</v>
      </c>
      <c r="B214"/>
      <c r="C214"/>
      <c r="D214"/>
      <c r="E214"/>
      <c r="DO214" s="27" t="s">
        <v>8</v>
      </c>
      <c r="DP214" s="27" t="s">
        <v>7</v>
      </c>
      <c r="DQ214" s="27" t="s">
        <v>8</v>
      </c>
      <c r="DR214" s="27" t="s">
        <v>7</v>
      </c>
      <c r="DU214" s="27" t="s">
        <v>8</v>
      </c>
      <c r="DV214" s="27" t="s">
        <v>7</v>
      </c>
      <c r="EY214" s="27" t="s">
        <v>8</v>
      </c>
      <c r="EZ214" s="27" t="s">
        <v>7</v>
      </c>
      <c r="FA214" s="27" t="s">
        <v>8</v>
      </c>
      <c r="FB214" s="27" t="s">
        <v>7</v>
      </c>
      <c r="FC214" s="27" t="s">
        <v>8</v>
      </c>
      <c r="FD214" s="27" t="s">
        <v>7</v>
      </c>
    </row>
    <row r="215" spans="1:161" x14ac:dyDescent="0.25">
      <c r="A215" s="7">
        <v>1582.2091634827075</v>
      </c>
      <c r="B215"/>
      <c r="C215"/>
      <c r="D215"/>
      <c r="E215"/>
      <c r="DO215" s="27" t="s">
        <v>8</v>
      </c>
      <c r="DP215" s="27" t="s">
        <v>7</v>
      </c>
      <c r="DQ215" s="27" t="s">
        <v>8</v>
      </c>
      <c r="DR215" s="27" t="s">
        <v>7</v>
      </c>
      <c r="DU215" s="27" t="s">
        <v>8</v>
      </c>
      <c r="DV215" s="27" t="s">
        <v>7</v>
      </c>
      <c r="EY215" s="27" t="s">
        <v>8</v>
      </c>
      <c r="EZ215" s="27" t="s">
        <v>7</v>
      </c>
      <c r="FA215" s="27" t="s">
        <v>8</v>
      </c>
      <c r="FB215" s="27" t="s">
        <v>7</v>
      </c>
      <c r="FC215" s="27" t="s">
        <v>8</v>
      </c>
      <c r="FD215" s="27" t="s">
        <v>7</v>
      </c>
    </row>
    <row r="216" spans="1:161" x14ac:dyDescent="0.25">
      <c r="A216" s="7">
        <v>1551.1854543948111</v>
      </c>
      <c r="B216"/>
      <c r="C216"/>
      <c r="D216"/>
      <c r="E216"/>
      <c r="DO216" s="27" t="s">
        <v>8</v>
      </c>
      <c r="DP216" s="27" t="s">
        <v>7</v>
      </c>
      <c r="DQ216" s="27" t="s">
        <v>8</v>
      </c>
      <c r="DR216" s="27" t="s">
        <v>7</v>
      </c>
      <c r="DU216" s="27" t="s">
        <v>8</v>
      </c>
      <c r="DV216" s="27" t="s">
        <v>7</v>
      </c>
      <c r="EY216" s="27" t="s">
        <v>8</v>
      </c>
      <c r="EZ216" s="27" t="s">
        <v>7</v>
      </c>
      <c r="FA216" s="27" t="s">
        <v>8</v>
      </c>
      <c r="FB216" s="27" t="s">
        <v>7</v>
      </c>
      <c r="FC216" s="27" t="s">
        <v>8</v>
      </c>
      <c r="FD216" s="27" t="s">
        <v>7</v>
      </c>
    </row>
    <row r="217" spans="1:161" x14ac:dyDescent="0.25">
      <c r="A217" s="7">
        <v>1520.7700533282461</v>
      </c>
      <c r="B217"/>
      <c r="C217"/>
      <c r="D217"/>
      <c r="E217"/>
      <c r="DO217" s="27" t="s">
        <v>8</v>
      </c>
      <c r="DP217" s="27" t="s">
        <v>7</v>
      </c>
      <c r="DQ217" s="27" t="s">
        <v>8</v>
      </c>
      <c r="DR217" s="27" t="s">
        <v>7</v>
      </c>
      <c r="DU217" s="27" t="s">
        <v>8</v>
      </c>
      <c r="DV217" s="27" t="s">
        <v>7</v>
      </c>
      <c r="EY217" s="27" t="s">
        <v>8</v>
      </c>
      <c r="EZ217" s="27" t="s">
        <v>7</v>
      </c>
      <c r="FA217" s="27" t="s">
        <v>8</v>
      </c>
      <c r="FB217" s="27" t="s">
        <v>7</v>
      </c>
      <c r="FC217" s="27" t="s">
        <v>8</v>
      </c>
      <c r="FD217" s="27" t="s">
        <v>7</v>
      </c>
    </row>
    <row r="218" spans="1:161" x14ac:dyDescent="0.25">
      <c r="A218" s="7">
        <v>1490.9510326747511</v>
      </c>
      <c r="B218"/>
      <c r="C218"/>
      <c r="D218"/>
      <c r="E218"/>
      <c r="DO218" s="27" t="s">
        <v>8</v>
      </c>
      <c r="DP218" s="27" t="s">
        <v>7</v>
      </c>
      <c r="DQ218" s="27" t="s">
        <v>8</v>
      </c>
      <c r="DR218" s="27" t="s">
        <v>7</v>
      </c>
      <c r="DU218" s="27" t="s">
        <v>8</v>
      </c>
      <c r="DV218" s="27" t="s">
        <v>7</v>
      </c>
      <c r="EY218" s="27" t="s">
        <v>8</v>
      </c>
      <c r="EZ218" s="27" t="s">
        <v>7</v>
      </c>
      <c r="FA218" s="27" t="s">
        <v>8</v>
      </c>
      <c r="FB218" s="27" t="s">
        <v>7</v>
      </c>
      <c r="FC218" s="27" t="s">
        <v>8</v>
      </c>
      <c r="FD218" s="27" t="s">
        <v>7</v>
      </c>
    </row>
    <row r="219" spans="1:161" x14ac:dyDescent="0.25">
      <c r="A219" s="7">
        <v>1461.7166987007363</v>
      </c>
      <c r="B219"/>
      <c r="C219"/>
      <c r="D219"/>
      <c r="E219"/>
      <c r="DO219" s="27" t="s">
        <v>8</v>
      </c>
      <c r="DP219" s="27" t="s">
        <v>7</v>
      </c>
      <c r="DR219" s="27" t="s">
        <v>7</v>
      </c>
      <c r="DU219" s="27" t="s">
        <v>8</v>
      </c>
      <c r="DV219" s="27" t="s">
        <v>7</v>
      </c>
      <c r="EY219" s="27" t="s">
        <v>8</v>
      </c>
      <c r="EZ219" s="27" t="s">
        <v>7</v>
      </c>
      <c r="FB219" s="27" t="s">
        <v>7</v>
      </c>
      <c r="FC219" s="27" t="s">
        <v>8</v>
      </c>
      <c r="FD219" s="27" t="s">
        <v>7</v>
      </c>
    </row>
    <row r="220" spans="1:161" x14ac:dyDescent="0.25">
      <c r="A220" s="7">
        <v>1433.0555869615062</v>
      </c>
      <c r="B220"/>
      <c r="C220"/>
      <c r="D220"/>
      <c r="E220"/>
      <c r="DO220" s="27" t="s">
        <v>8</v>
      </c>
      <c r="DR220" s="27" t="s">
        <v>7</v>
      </c>
      <c r="DU220" s="27" t="s">
        <v>8</v>
      </c>
      <c r="DV220" s="27" t="s">
        <v>7</v>
      </c>
      <c r="EY220" s="27" t="s">
        <v>8</v>
      </c>
      <c r="FB220" s="27" t="s">
        <v>7</v>
      </c>
      <c r="FC220" s="27" t="s">
        <v>8</v>
      </c>
      <c r="FD220" s="27" t="s">
        <v>7</v>
      </c>
    </row>
    <row r="221" spans="1:161" x14ac:dyDescent="0.25">
      <c r="A221" s="7">
        <v>1404.9564578053983</v>
      </c>
      <c r="B221"/>
      <c r="C221"/>
      <c r="D221"/>
      <c r="E221"/>
      <c r="DO221" s="27" t="s">
        <v>8</v>
      </c>
      <c r="DR221" s="27" t="s">
        <v>7</v>
      </c>
      <c r="DU221" s="27" t="s">
        <v>8</v>
      </c>
      <c r="DV221" s="27" t="s">
        <v>7</v>
      </c>
      <c r="EY221" s="27" t="s">
        <v>8</v>
      </c>
      <c r="FB221" s="27" t="s">
        <v>7</v>
      </c>
      <c r="FC221" s="27" t="s">
        <v>8</v>
      </c>
      <c r="FD221" s="27" t="s">
        <v>7</v>
      </c>
    </row>
    <row r="222" spans="1:161" x14ac:dyDescent="0.25">
      <c r="A222" s="7">
        <v>1377.4082919660766</v>
      </c>
      <c r="B222"/>
      <c r="C222"/>
      <c r="D222"/>
      <c r="E222"/>
      <c r="DO222" s="27" t="s">
        <v>8</v>
      </c>
      <c r="DR222" s="27" t="s">
        <v>7</v>
      </c>
      <c r="DS222" s="27" t="s">
        <v>8</v>
      </c>
      <c r="DU222" s="27" t="s">
        <v>8</v>
      </c>
      <c r="DV222" s="27" t="s">
        <v>7</v>
      </c>
      <c r="EQ222" s="27" t="s">
        <v>8</v>
      </c>
      <c r="EY222" s="27" t="s">
        <v>8</v>
      </c>
      <c r="FB222" s="27" t="s">
        <v>7</v>
      </c>
      <c r="FC222" s="27" t="s">
        <v>8</v>
      </c>
      <c r="FD222" s="27" t="s">
        <v>7</v>
      </c>
    </row>
    <row r="223" spans="1:161" x14ac:dyDescent="0.25">
      <c r="A223" s="7">
        <v>1350.4002862412515</v>
      </c>
      <c r="B223"/>
      <c r="C223"/>
      <c r="D223"/>
      <c r="E223"/>
      <c r="DO223" s="27" t="s">
        <v>8</v>
      </c>
      <c r="DR223" s="27" t="s">
        <v>7</v>
      </c>
      <c r="DS223" s="27" t="s">
        <v>8</v>
      </c>
      <c r="DT223" s="27" t="s">
        <v>7</v>
      </c>
      <c r="DU223" s="27" t="s">
        <v>8</v>
      </c>
      <c r="DV223" s="27" t="s">
        <v>7</v>
      </c>
      <c r="EQ223" s="27" t="s">
        <v>8</v>
      </c>
      <c r="ER223" s="27" t="s">
        <v>7</v>
      </c>
      <c r="EU223" s="27" t="s">
        <v>8</v>
      </c>
      <c r="EY223" s="27" t="s">
        <v>8</v>
      </c>
      <c r="FB223" s="27" t="s">
        <v>7</v>
      </c>
      <c r="FD223" s="27" t="s">
        <v>7</v>
      </c>
    </row>
    <row r="224" spans="1:161" x14ac:dyDescent="0.25">
      <c r="A224" s="7">
        <v>1323.9218492561288</v>
      </c>
      <c r="B224"/>
      <c r="C224"/>
      <c r="D224"/>
      <c r="E224"/>
      <c r="DO224" s="27" t="s">
        <v>8</v>
      </c>
      <c r="DR224" s="27" t="s">
        <v>7</v>
      </c>
      <c r="DS224" s="27" t="s">
        <v>8</v>
      </c>
      <c r="DT224" s="27" t="s">
        <v>7</v>
      </c>
      <c r="DU224" s="27" t="s">
        <v>8</v>
      </c>
      <c r="DV224" s="27" t="s">
        <v>7</v>
      </c>
      <c r="DW224" s="27" t="s">
        <v>8</v>
      </c>
      <c r="DY224" s="27" t="s">
        <v>8</v>
      </c>
      <c r="EQ224" s="27" t="s">
        <v>8</v>
      </c>
      <c r="ER224" s="27" t="s">
        <v>7</v>
      </c>
      <c r="ES224" s="27" t="s">
        <v>8</v>
      </c>
      <c r="EU224" s="27" t="s">
        <v>8</v>
      </c>
      <c r="EV224" s="27" t="s">
        <v>7</v>
      </c>
      <c r="EY224" s="27" t="s">
        <v>8</v>
      </c>
      <c r="FD224" s="27" t="s">
        <v>7</v>
      </c>
      <c r="FE224" s="27" t="s">
        <v>8</v>
      </c>
    </row>
    <row r="225" spans="1:164" x14ac:dyDescent="0.25">
      <c r="A225" s="7">
        <v>1297.9625973099301</v>
      </c>
      <c r="B225"/>
      <c r="C225"/>
      <c r="D225"/>
      <c r="E225"/>
      <c r="DO225" s="27" t="s">
        <v>8</v>
      </c>
      <c r="DR225" s="27" t="s">
        <v>7</v>
      </c>
      <c r="DS225" s="27" t="s">
        <v>8</v>
      </c>
      <c r="DT225" s="27" t="s">
        <v>7</v>
      </c>
      <c r="DU225" s="27" t="s">
        <v>8</v>
      </c>
      <c r="DV225" s="27" t="s">
        <v>7</v>
      </c>
      <c r="DW225" s="27" t="s">
        <v>8</v>
      </c>
      <c r="DX225" s="27" t="s">
        <v>7</v>
      </c>
      <c r="DY225" s="27" t="s">
        <v>8</v>
      </c>
      <c r="DZ225" s="27" t="s">
        <v>7</v>
      </c>
      <c r="EQ225" s="27" t="s">
        <v>8</v>
      </c>
      <c r="ER225" s="27" t="s">
        <v>7</v>
      </c>
      <c r="ES225" s="27" t="s">
        <v>8</v>
      </c>
      <c r="ET225" s="27" t="s">
        <v>7</v>
      </c>
      <c r="EU225" s="27" t="s">
        <v>8</v>
      </c>
      <c r="EV225" s="27" t="s">
        <v>7</v>
      </c>
      <c r="EY225" s="27" t="s">
        <v>8</v>
      </c>
      <c r="FD225" s="27" t="s">
        <v>7</v>
      </c>
      <c r="FE225" s="27" t="s">
        <v>8</v>
      </c>
      <c r="FF225" s="27" t="s">
        <v>7</v>
      </c>
    </row>
    <row r="226" spans="1:164" x14ac:dyDescent="0.25">
      <c r="A226" s="7">
        <v>1272.5123503038531</v>
      </c>
      <c r="B226"/>
      <c r="C226"/>
      <c r="D226"/>
      <c r="E226"/>
      <c r="DO226" s="27" t="s">
        <v>8</v>
      </c>
      <c r="DR226" s="27" t="s">
        <v>7</v>
      </c>
      <c r="DS226" s="27" t="s">
        <v>8</v>
      </c>
      <c r="DT226" s="27" t="s">
        <v>7</v>
      </c>
      <c r="DU226" s="27" t="s">
        <v>8</v>
      </c>
      <c r="DV226" s="27" t="s">
        <v>7</v>
      </c>
      <c r="DW226" s="27" t="s">
        <v>8</v>
      </c>
      <c r="DX226" s="27" t="s">
        <v>7</v>
      </c>
      <c r="DY226" s="27" t="s">
        <v>8</v>
      </c>
      <c r="DZ226" s="27" t="s">
        <v>7</v>
      </c>
      <c r="EQ226" s="27" t="s">
        <v>8</v>
      </c>
      <c r="ER226" s="27" t="s">
        <v>7</v>
      </c>
      <c r="ES226" s="27" t="s">
        <v>8</v>
      </c>
      <c r="ET226" s="27" t="s">
        <v>7</v>
      </c>
      <c r="EU226" s="27" t="s">
        <v>8</v>
      </c>
      <c r="EV226" s="27" t="s">
        <v>7</v>
      </c>
      <c r="EY226" s="27" t="s">
        <v>8</v>
      </c>
      <c r="FD226" s="27" t="s">
        <v>7</v>
      </c>
      <c r="FE226" s="27" t="s">
        <v>8</v>
      </c>
      <c r="FF226" s="27" t="s">
        <v>7</v>
      </c>
    </row>
    <row r="227" spans="1:164" x14ac:dyDescent="0.25">
      <c r="A227" s="7">
        <v>1247.5611277488756</v>
      </c>
      <c r="B227"/>
      <c r="C227"/>
      <c r="D227"/>
      <c r="E227"/>
      <c r="DO227" s="27" t="s">
        <v>8</v>
      </c>
      <c r="DR227" s="27" t="s">
        <v>7</v>
      </c>
      <c r="DS227" s="27" t="s">
        <v>8</v>
      </c>
      <c r="DT227" s="27" t="s">
        <v>7</v>
      </c>
      <c r="DU227" s="27" t="s">
        <v>8</v>
      </c>
      <c r="DV227" s="27" t="s">
        <v>7</v>
      </c>
      <c r="DW227" s="27" t="s">
        <v>8</v>
      </c>
      <c r="DX227" s="27" t="s">
        <v>7</v>
      </c>
      <c r="DY227" s="27" t="s">
        <v>8</v>
      </c>
      <c r="DZ227" s="27" t="s">
        <v>7</v>
      </c>
      <c r="EQ227" s="27" t="s">
        <v>8</v>
      </c>
      <c r="ER227" s="27" t="s">
        <v>7</v>
      </c>
      <c r="ES227" s="27" t="s">
        <v>8</v>
      </c>
      <c r="ET227" s="27" t="s">
        <v>7</v>
      </c>
      <c r="EU227" s="27" t="s">
        <v>8</v>
      </c>
      <c r="EV227" s="27" t="s">
        <v>7</v>
      </c>
      <c r="EY227" s="27" t="s">
        <v>8</v>
      </c>
      <c r="FD227" s="27" t="s">
        <v>7</v>
      </c>
      <c r="FE227" s="27" t="s">
        <v>8</v>
      </c>
      <c r="FF227" s="27" t="s">
        <v>7</v>
      </c>
    </row>
    <row r="228" spans="1:164" x14ac:dyDescent="0.25">
      <c r="A228" s="7">
        <v>1223.0991448518389</v>
      </c>
      <c r="B228"/>
      <c r="C228"/>
      <c r="D228"/>
      <c r="E228"/>
      <c r="DO228" s="27" t="s">
        <v>8</v>
      </c>
      <c r="DR228" s="27" t="s">
        <v>7</v>
      </c>
      <c r="DS228" s="27" t="s">
        <v>8</v>
      </c>
      <c r="DT228" s="27" t="s">
        <v>7</v>
      </c>
      <c r="DU228" s="27" t="s">
        <v>8</v>
      </c>
      <c r="DV228" s="27" t="s">
        <v>7</v>
      </c>
      <c r="DX228" s="27" t="s">
        <v>7</v>
      </c>
      <c r="DY228" s="27" t="s">
        <v>8</v>
      </c>
      <c r="DZ228" s="27" t="s">
        <v>7</v>
      </c>
      <c r="EQ228" s="27" t="s">
        <v>8</v>
      </c>
      <c r="ER228" s="27" t="s">
        <v>7</v>
      </c>
      <c r="ES228" s="27" t="s">
        <v>8</v>
      </c>
      <c r="ET228" s="27" t="s">
        <v>7</v>
      </c>
      <c r="EU228" s="27" t="s">
        <v>8</v>
      </c>
      <c r="EV228" s="27" t="s">
        <v>7</v>
      </c>
      <c r="EY228" s="27" t="s">
        <v>8</v>
      </c>
      <c r="FD228" s="27" t="s">
        <v>7</v>
      </c>
      <c r="FE228" s="27" t="s">
        <v>8</v>
      </c>
      <c r="FF228" s="27" t="s">
        <v>7</v>
      </c>
    </row>
    <row r="229" spans="1:164" x14ac:dyDescent="0.25">
      <c r="A229" s="7">
        <v>1199.1168086782734</v>
      </c>
      <c r="B229"/>
      <c r="C229"/>
      <c r="D229"/>
      <c r="E229"/>
      <c r="DO229" s="27" t="s">
        <v>8</v>
      </c>
      <c r="DR229" s="27" t="s">
        <v>7</v>
      </c>
      <c r="DS229" s="27" t="s">
        <v>8</v>
      </c>
      <c r="DT229" s="27" t="s">
        <v>7</v>
      </c>
      <c r="DU229" s="27" t="s">
        <v>8</v>
      </c>
      <c r="DX229" s="27" t="s">
        <v>7</v>
      </c>
      <c r="DY229" s="27" t="s">
        <v>8</v>
      </c>
      <c r="DZ229" s="27" t="s">
        <v>7</v>
      </c>
      <c r="EQ229" s="27" t="s">
        <v>8</v>
      </c>
      <c r="ER229" s="27" t="s">
        <v>7</v>
      </c>
      <c r="ES229" s="27" t="s">
        <v>8</v>
      </c>
      <c r="ET229" s="27" t="s">
        <v>7</v>
      </c>
      <c r="EU229" s="27" t="s">
        <v>8</v>
      </c>
      <c r="EV229" s="27" t="s">
        <v>7</v>
      </c>
      <c r="EY229" s="27" t="s">
        <v>8</v>
      </c>
      <c r="FD229" s="27" t="s">
        <v>7</v>
      </c>
      <c r="FE229" s="27" t="s">
        <v>8</v>
      </c>
      <c r="FF229" s="27" t="s">
        <v>7</v>
      </c>
      <c r="FG229" s="27" t="s">
        <v>8</v>
      </c>
    </row>
    <row r="230" spans="1:164" x14ac:dyDescent="0.25">
      <c r="A230" s="7">
        <v>1175.6047143904641</v>
      </c>
      <c r="B230"/>
      <c r="C230"/>
      <c r="D230"/>
      <c r="E230"/>
      <c r="DO230" s="27" t="s">
        <v>8</v>
      </c>
      <c r="DR230" s="27" t="s">
        <v>7</v>
      </c>
      <c r="DS230" s="27" t="s">
        <v>8</v>
      </c>
      <c r="DT230" s="27" t="s">
        <v>7</v>
      </c>
      <c r="DU230" s="27" t="s">
        <v>8</v>
      </c>
      <c r="DX230" s="27" t="s">
        <v>7</v>
      </c>
      <c r="DY230" s="27" t="s">
        <v>8</v>
      </c>
      <c r="DZ230" s="27" t="s">
        <v>7</v>
      </c>
      <c r="EQ230" s="27" t="s">
        <v>8</v>
      </c>
      <c r="ER230" s="27" t="s">
        <v>7</v>
      </c>
      <c r="ET230" s="27" t="s">
        <v>7</v>
      </c>
      <c r="EU230" s="27" t="s">
        <v>8</v>
      </c>
      <c r="EV230" s="27" t="s">
        <v>7</v>
      </c>
      <c r="EY230" s="27" t="s">
        <v>8</v>
      </c>
      <c r="FD230" s="27" t="s">
        <v>7</v>
      </c>
      <c r="FE230" s="27" t="s">
        <v>8</v>
      </c>
      <c r="FF230" s="27" t="s">
        <v>7</v>
      </c>
      <c r="FG230" s="27" t="s">
        <v>8</v>
      </c>
      <c r="FH230" s="27" t="s">
        <v>7</v>
      </c>
    </row>
    <row r="231" spans="1:164" x14ac:dyDescent="0.25">
      <c r="A231" s="7">
        <v>1152.5536415592785</v>
      </c>
      <c r="B231"/>
      <c r="C231"/>
      <c r="D231"/>
      <c r="E231"/>
      <c r="DO231" s="27" t="s">
        <v>8</v>
      </c>
      <c r="DR231" s="27" t="s">
        <v>7</v>
      </c>
      <c r="DT231" s="27" t="s">
        <v>7</v>
      </c>
      <c r="DU231" s="27" t="s">
        <v>8</v>
      </c>
      <c r="DX231" s="27" t="s">
        <v>7</v>
      </c>
      <c r="DY231" s="27" t="s">
        <v>8</v>
      </c>
      <c r="DZ231" s="27" t="s">
        <v>7</v>
      </c>
      <c r="EA231" s="27" t="s">
        <v>8</v>
      </c>
      <c r="EQ231" s="27" t="s">
        <v>8</v>
      </c>
      <c r="ET231" s="27" t="s">
        <v>7</v>
      </c>
      <c r="EU231" s="27" t="s">
        <v>8</v>
      </c>
      <c r="EV231" s="27" t="s">
        <v>7</v>
      </c>
      <c r="EY231" s="27" t="s">
        <v>8</v>
      </c>
      <c r="FD231" s="27" t="s">
        <v>7</v>
      </c>
      <c r="FE231" s="27" t="s">
        <v>8</v>
      </c>
      <c r="FF231" s="27" t="s">
        <v>7</v>
      </c>
      <c r="FG231" s="27" t="s">
        <v>8</v>
      </c>
      <c r="FH231" s="27" t="s">
        <v>7</v>
      </c>
    </row>
    <row r="232" spans="1:164" x14ac:dyDescent="0.25">
      <c r="A232" s="7">
        <v>1129.9545505483122</v>
      </c>
      <c r="B232"/>
      <c r="C232"/>
      <c r="D232"/>
      <c r="E232"/>
      <c r="DO232" s="27" t="s">
        <v>8</v>
      </c>
      <c r="DT232" s="27" t="s">
        <v>7</v>
      </c>
      <c r="DU232" s="27" t="s">
        <v>8</v>
      </c>
      <c r="DX232" s="27" t="s">
        <v>7</v>
      </c>
      <c r="DY232" s="27" t="s">
        <v>8</v>
      </c>
      <c r="DZ232" s="27" t="s">
        <v>7</v>
      </c>
      <c r="EA232" s="27" t="s">
        <v>8</v>
      </c>
      <c r="EB232" s="27" t="s">
        <v>7</v>
      </c>
      <c r="EC232" s="27" t="s">
        <v>8</v>
      </c>
      <c r="EQ232" s="27" t="s">
        <v>8</v>
      </c>
      <c r="ET232" s="27" t="s">
        <v>7</v>
      </c>
      <c r="EU232" s="27" t="s">
        <v>8</v>
      </c>
      <c r="EV232" s="27" t="s">
        <v>7</v>
      </c>
      <c r="EW232" s="27" t="s">
        <v>8</v>
      </c>
      <c r="EY232" s="27" t="s">
        <v>8</v>
      </c>
      <c r="FD232" s="27" t="s">
        <v>7</v>
      </c>
      <c r="FE232" s="27" t="s">
        <v>8</v>
      </c>
      <c r="FF232" s="27" t="s">
        <v>7</v>
      </c>
      <c r="FG232" s="27" t="s">
        <v>8</v>
      </c>
      <c r="FH232" s="27" t="s">
        <v>7</v>
      </c>
    </row>
    <row r="233" spans="1:164" x14ac:dyDescent="0.25">
      <c r="A233" s="7">
        <v>1107.7985789689335</v>
      </c>
      <c r="B233"/>
      <c r="C233"/>
      <c r="D233"/>
      <c r="E233"/>
      <c r="DO233" s="27" t="s">
        <v>8</v>
      </c>
      <c r="DT233" s="27" t="s">
        <v>7</v>
      </c>
      <c r="DU233" s="27" t="s">
        <v>8</v>
      </c>
      <c r="DX233" s="27" t="s">
        <v>7</v>
      </c>
      <c r="DY233" s="27" t="s">
        <v>8</v>
      </c>
      <c r="DZ233" s="27" t="s">
        <v>7</v>
      </c>
      <c r="EA233" s="27" t="s">
        <v>8</v>
      </c>
      <c r="EB233" s="27" t="s">
        <v>7</v>
      </c>
      <c r="EC233" s="27" t="s">
        <v>8</v>
      </c>
      <c r="ED233" s="27" t="s">
        <v>7</v>
      </c>
      <c r="EQ233" s="27" t="s">
        <v>8</v>
      </c>
      <c r="ET233" s="27" t="s">
        <v>7</v>
      </c>
      <c r="EU233" s="27" t="s">
        <v>8</v>
      </c>
      <c r="EV233" s="27" t="s">
        <v>7</v>
      </c>
      <c r="EW233" s="27" t="s">
        <v>8</v>
      </c>
      <c r="EX233" s="27" t="s">
        <v>7</v>
      </c>
      <c r="EY233" s="27" t="s">
        <v>8</v>
      </c>
      <c r="FD233" s="27" t="s">
        <v>7</v>
      </c>
      <c r="FE233" s="27" t="s">
        <v>8</v>
      </c>
      <c r="FF233" s="27" t="s">
        <v>7</v>
      </c>
      <c r="FG233" s="27" t="s">
        <v>8</v>
      </c>
      <c r="FH233" s="27" t="s">
        <v>7</v>
      </c>
    </row>
    <row r="234" spans="1:164" x14ac:dyDescent="0.25">
      <c r="A234" s="7">
        <v>1086.0770382048368</v>
      </c>
      <c r="B234"/>
      <c r="C234"/>
      <c r="D234"/>
      <c r="E234"/>
      <c r="DO234" s="27" t="s">
        <v>8</v>
      </c>
      <c r="DT234" s="27" t="s">
        <v>7</v>
      </c>
      <c r="DX234" s="27" t="s">
        <v>7</v>
      </c>
      <c r="DY234" s="27" t="s">
        <v>8</v>
      </c>
      <c r="DZ234" s="27" t="s">
        <v>7</v>
      </c>
      <c r="EA234" s="27" t="s">
        <v>8</v>
      </c>
      <c r="EB234" s="27" t="s">
        <v>7</v>
      </c>
      <c r="EC234" s="27" t="s">
        <v>8</v>
      </c>
      <c r="ED234" s="27" t="s">
        <v>7</v>
      </c>
      <c r="EQ234" s="27" t="s">
        <v>8</v>
      </c>
      <c r="ET234" s="27" t="s">
        <v>7</v>
      </c>
      <c r="EU234" s="27" t="s">
        <v>8</v>
      </c>
      <c r="EV234" s="27" t="s">
        <v>7</v>
      </c>
      <c r="EW234" s="27" t="s">
        <v>8</v>
      </c>
      <c r="EX234" s="27" t="s">
        <v>7</v>
      </c>
      <c r="EY234" s="27" t="s">
        <v>8</v>
      </c>
      <c r="FD234" s="27" t="s">
        <v>7</v>
      </c>
      <c r="FE234" s="27" t="s">
        <v>8</v>
      </c>
      <c r="FF234" s="27" t="s">
        <v>7</v>
      </c>
      <c r="FG234" s="27" t="s">
        <v>8</v>
      </c>
      <c r="FH234" s="27" t="s">
        <v>7</v>
      </c>
    </row>
    <row r="235" spans="1:164" x14ac:dyDescent="0.25">
      <c r="A235" s="7">
        <v>1064.7814100047419</v>
      </c>
      <c r="B235"/>
      <c r="C235"/>
      <c r="D235"/>
      <c r="E235"/>
      <c r="DO235" s="27" t="s">
        <v>8</v>
      </c>
      <c r="DX235" s="27" t="s">
        <v>7</v>
      </c>
      <c r="DY235" s="27" t="s">
        <v>8</v>
      </c>
      <c r="DZ235" s="27" t="s">
        <v>7</v>
      </c>
      <c r="EB235" s="27" t="s">
        <v>7</v>
      </c>
      <c r="EC235" s="27" t="s">
        <v>8</v>
      </c>
      <c r="ED235" s="27" t="s">
        <v>7</v>
      </c>
      <c r="EQ235" s="27" t="s">
        <v>8</v>
      </c>
      <c r="ET235" s="27" t="s">
        <v>7</v>
      </c>
      <c r="EU235" s="27" t="s">
        <v>8</v>
      </c>
      <c r="EV235" s="27" t="s">
        <v>7</v>
      </c>
      <c r="EW235" s="27" t="s">
        <v>8</v>
      </c>
      <c r="EX235" s="27" t="s">
        <v>7</v>
      </c>
      <c r="EY235" s="27" t="s">
        <v>8</v>
      </c>
      <c r="FD235" s="27" t="s">
        <v>7</v>
      </c>
      <c r="FE235" s="27" t="s">
        <v>8</v>
      </c>
      <c r="FF235" s="27" t="s">
        <v>7</v>
      </c>
      <c r="FG235" s="27" t="s">
        <v>8</v>
      </c>
      <c r="FH235" s="27" t="s">
        <v>7</v>
      </c>
    </row>
    <row r="236" spans="1:164" x14ac:dyDescent="0.25">
      <c r="A236" s="7">
        <v>1043.9033431419039</v>
      </c>
      <c r="B236"/>
      <c r="C236"/>
      <c r="D236"/>
      <c r="E236"/>
      <c r="DO236" s="27" t="s">
        <v>8</v>
      </c>
      <c r="DX236" s="27" t="s">
        <v>7</v>
      </c>
      <c r="DY236" s="27" t="s">
        <v>8</v>
      </c>
      <c r="EB236" s="27" t="s">
        <v>7</v>
      </c>
      <c r="EC236" s="27" t="s">
        <v>8</v>
      </c>
      <c r="ED236" s="27" t="s">
        <v>7</v>
      </c>
      <c r="EQ236" s="27" t="s">
        <v>8</v>
      </c>
      <c r="ET236" s="27" t="s">
        <v>7</v>
      </c>
      <c r="EU236" s="27" t="s">
        <v>8</v>
      </c>
      <c r="EV236" s="27" t="s">
        <v>7</v>
      </c>
      <c r="EX236" s="27" t="s">
        <v>7</v>
      </c>
      <c r="EY236" s="27" t="s">
        <v>8</v>
      </c>
      <c r="FD236" s="27" t="s">
        <v>7</v>
      </c>
      <c r="FE236" s="27" t="s">
        <v>8</v>
      </c>
      <c r="FF236" s="27" t="s">
        <v>7</v>
      </c>
      <c r="FG236" s="27" t="s">
        <v>8</v>
      </c>
      <c r="FH236" s="27" t="s">
        <v>7</v>
      </c>
    </row>
    <row r="237" spans="1:164" x14ac:dyDescent="0.25">
      <c r="A237" s="7">
        <v>1023.4346501391215</v>
      </c>
      <c r="B237"/>
      <c r="C237"/>
      <c r="D237"/>
      <c r="E237"/>
      <c r="DO237" s="27" t="s">
        <v>8</v>
      </c>
      <c r="DX237" s="27" t="s">
        <v>7</v>
      </c>
      <c r="DY237" s="27" t="s">
        <v>8</v>
      </c>
      <c r="EB237" s="27" t="s">
        <v>7</v>
      </c>
      <c r="EC237" s="27" t="s">
        <v>8</v>
      </c>
      <c r="ED237" s="27" t="s">
        <v>7</v>
      </c>
      <c r="EQ237" s="27" t="s">
        <v>8</v>
      </c>
      <c r="ET237" s="27" t="s">
        <v>7</v>
      </c>
      <c r="EU237" s="27" t="s">
        <v>8</v>
      </c>
      <c r="EX237" s="27" t="s">
        <v>7</v>
      </c>
      <c r="EY237" s="27" t="s">
        <v>8</v>
      </c>
      <c r="FD237" s="27" t="s">
        <v>7</v>
      </c>
      <c r="FE237" s="27" t="s">
        <v>8</v>
      </c>
      <c r="FF237" s="27" t="s">
        <v>7</v>
      </c>
    </row>
    <row r="238" spans="1:164" x14ac:dyDescent="0.25">
      <c r="A238" s="7">
        <v>1003.3673040579622</v>
      </c>
      <c r="B238"/>
      <c r="C238"/>
      <c r="D238"/>
      <c r="E238"/>
      <c r="DO238" s="27" t="s">
        <v>8</v>
      </c>
      <c r="DX238" s="27" t="s">
        <v>7</v>
      </c>
      <c r="EB238" s="27" t="s">
        <v>7</v>
      </c>
      <c r="EC238" s="27" t="s">
        <v>8</v>
      </c>
      <c r="ED238" s="27" t="s">
        <v>7</v>
      </c>
      <c r="EQ238" s="27" t="s">
        <v>8</v>
      </c>
      <c r="ET238" s="27" t="s">
        <v>7</v>
      </c>
      <c r="EU238" s="27" t="s">
        <v>8</v>
      </c>
      <c r="EX238" s="27" t="s">
        <v>7</v>
      </c>
      <c r="EY238" s="27" t="s">
        <v>8</v>
      </c>
      <c r="FD238" s="27" t="s">
        <v>7</v>
      </c>
      <c r="FE238" s="27" t="s">
        <v>8</v>
      </c>
    </row>
    <row r="239" spans="1:164" x14ac:dyDescent="0.25">
      <c r="A239" s="7">
        <v>983.69343535094333</v>
      </c>
      <c r="B239"/>
      <c r="C239"/>
      <c r="D239"/>
      <c r="E239"/>
      <c r="DO239" s="27" t="s">
        <v>8</v>
      </c>
      <c r="EB239" s="27" t="s">
        <v>7</v>
      </c>
      <c r="EC239" s="27" t="s">
        <v>8</v>
      </c>
      <c r="ED239" s="27" t="s">
        <v>7</v>
      </c>
      <c r="EK239" s="27" t="s">
        <v>8</v>
      </c>
      <c r="EQ239" s="27" t="s">
        <v>8</v>
      </c>
      <c r="ET239" s="27" t="s">
        <v>7</v>
      </c>
      <c r="EX239" s="27" t="s">
        <v>7</v>
      </c>
      <c r="EY239" s="27" t="s">
        <v>8</v>
      </c>
      <c r="FD239" s="27" t="s">
        <v>7</v>
      </c>
      <c r="FE239" s="27" t="s">
        <v>8</v>
      </c>
    </row>
    <row r="240" spans="1:164" x14ac:dyDescent="0.25">
      <c r="A240" s="7">
        <v>964.40532877543467</v>
      </c>
      <c r="B240"/>
      <c r="C240"/>
      <c r="D240"/>
      <c r="E240"/>
      <c r="DO240" s="27" t="s">
        <v>8</v>
      </c>
      <c r="EB240" s="27" t="s">
        <v>7</v>
      </c>
      <c r="EC240" s="27" t="s">
        <v>8</v>
      </c>
      <c r="ED240" s="27" t="s">
        <v>7</v>
      </c>
      <c r="EK240" s="27" t="s">
        <v>8</v>
      </c>
      <c r="EL240" s="27" t="s">
        <v>7</v>
      </c>
      <c r="EQ240" s="27" t="s">
        <v>8</v>
      </c>
      <c r="EX240" s="27" t="s">
        <v>7</v>
      </c>
      <c r="EY240" s="27" t="s">
        <v>8</v>
      </c>
      <c r="FD240" s="27" t="s">
        <v>7</v>
      </c>
      <c r="FE240" s="27" t="s">
        <v>8</v>
      </c>
    </row>
    <row r="241" spans="1:161" x14ac:dyDescent="0.25">
      <c r="A241" s="7">
        <v>945.49542036807316</v>
      </c>
      <c r="B241"/>
      <c r="C241"/>
      <c r="D241"/>
      <c r="E241"/>
      <c r="DO241" s="27" t="s">
        <v>8</v>
      </c>
      <c r="EB241" s="27" t="s">
        <v>7</v>
      </c>
      <c r="EC241" s="27" t="s">
        <v>8</v>
      </c>
      <c r="ED241" s="27" t="s">
        <v>7</v>
      </c>
      <c r="EK241" s="27" t="s">
        <v>8</v>
      </c>
      <c r="EL241" s="27" t="s">
        <v>7</v>
      </c>
      <c r="EM241" s="27" t="s">
        <v>8</v>
      </c>
      <c r="EQ241" s="27" t="s">
        <v>8</v>
      </c>
      <c r="EX241" s="27" t="s">
        <v>7</v>
      </c>
      <c r="FD241" s="27" t="s">
        <v>7</v>
      </c>
      <c r="FE241" s="27" t="s">
        <v>8</v>
      </c>
    </row>
    <row r="242" spans="1:161" x14ac:dyDescent="0.25">
      <c r="A242" s="7">
        <v>926.95629447850308</v>
      </c>
      <c r="B242"/>
      <c r="C242"/>
      <c r="D242"/>
      <c r="E242"/>
      <c r="DO242" s="27" t="s">
        <v>8</v>
      </c>
      <c r="EB242" s="27" t="s">
        <v>7</v>
      </c>
      <c r="EC242" s="27" t="s">
        <v>8</v>
      </c>
      <c r="ED242" s="27" t="s">
        <v>7</v>
      </c>
      <c r="EK242" s="27" t="s">
        <v>8</v>
      </c>
      <c r="EL242" s="27" t="s">
        <v>7</v>
      </c>
      <c r="EM242" s="27" t="s">
        <v>8</v>
      </c>
      <c r="EN242" s="27" t="s">
        <v>7</v>
      </c>
      <c r="EQ242" s="27" t="s">
        <v>8</v>
      </c>
      <c r="FD242" s="27" t="s">
        <v>7</v>
      </c>
      <c r="FE242" s="27" t="s">
        <v>8</v>
      </c>
    </row>
    <row r="243" spans="1:161" x14ac:dyDescent="0.25">
      <c r="A243" s="7">
        <v>908.78068086127746</v>
      </c>
      <c r="B243"/>
      <c r="C243"/>
      <c r="D243"/>
      <c r="E243"/>
      <c r="DO243" s="27" t="s">
        <v>8</v>
      </c>
      <c r="EB243" s="27" t="s">
        <v>7</v>
      </c>
      <c r="EC243" s="27" t="s">
        <v>8</v>
      </c>
      <c r="ED243" s="27" t="s">
        <v>7</v>
      </c>
      <c r="EE243" s="27" t="s">
        <v>8</v>
      </c>
      <c r="EK243" s="27" t="s">
        <v>8</v>
      </c>
      <c r="EL243" s="27" t="s">
        <v>7</v>
      </c>
      <c r="EM243" s="27" t="s">
        <v>8</v>
      </c>
      <c r="EN243" s="27" t="s">
        <v>7</v>
      </c>
      <c r="EQ243" s="27" t="s">
        <v>8</v>
      </c>
      <c r="FD243" s="27" t="s">
        <v>7</v>
      </c>
      <c r="FE243" s="27" t="s">
        <v>8</v>
      </c>
    </row>
    <row r="244" spans="1:161" x14ac:dyDescent="0.25">
      <c r="A244" s="7">
        <v>890.96145182478176</v>
      </c>
      <c r="B244"/>
      <c r="C244"/>
      <c r="D244"/>
      <c r="E244"/>
      <c r="DO244" s="27" t="s">
        <v>8</v>
      </c>
      <c r="EB244" s="27" t="s">
        <v>7</v>
      </c>
      <c r="EC244" s="27" t="s">
        <v>8</v>
      </c>
      <c r="ED244" s="27" t="s">
        <v>7</v>
      </c>
      <c r="EE244" s="27" t="s">
        <v>8</v>
      </c>
      <c r="EF244" s="27" t="s">
        <v>7</v>
      </c>
      <c r="EK244" s="27" t="s">
        <v>8</v>
      </c>
      <c r="EL244" s="27" t="s">
        <v>7</v>
      </c>
      <c r="EM244" s="27" t="s">
        <v>8</v>
      </c>
      <c r="EN244" s="27" t="s">
        <v>7</v>
      </c>
      <c r="EQ244" s="27" t="s">
        <v>8</v>
      </c>
      <c r="FD244" s="27" t="s">
        <v>7</v>
      </c>
      <c r="FE244" s="27" t="s">
        <v>8</v>
      </c>
    </row>
    <row r="245" spans="1:161" x14ac:dyDescent="0.25">
      <c r="A245" s="7">
        <v>873.49161943606055</v>
      </c>
      <c r="B245"/>
      <c r="C245"/>
      <c r="D245"/>
      <c r="E245"/>
      <c r="DO245" s="27" t="s">
        <v>8</v>
      </c>
      <c r="EB245" s="27" t="s">
        <v>7</v>
      </c>
      <c r="EC245" s="27" t="s">
        <v>8</v>
      </c>
      <c r="ED245" s="27" t="s">
        <v>7</v>
      </c>
      <c r="EE245" s="27" t="s">
        <v>8</v>
      </c>
      <c r="EF245" s="27" t="s">
        <v>7</v>
      </c>
      <c r="EK245" s="27" t="s">
        <v>8</v>
      </c>
      <c r="EL245" s="27" t="s">
        <v>7</v>
      </c>
      <c r="EM245" s="27" t="s">
        <v>8</v>
      </c>
      <c r="EN245" s="27" t="s">
        <v>7</v>
      </c>
      <c r="EQ245" s="27" t="s">
        <v>8</v>
      </c>
      <c r="FD245" s="27" t="s">
        <v>7</v>
      </c>
      <c r="FE245" s="27" t="s">
        <v>8</v>
      </c>
    </row>
    <row r="246" spans="1:161" x14ac:dyDescent="0.25">
      <c r="A246" s="7">
        <v>856.36433278045149</v>
      </c>
      <c r="B246"/>
      <c r="C246"/>
      <c r="D246"/>
      <c r="E246"/>
      <c r="DO246" s="27" t="s">
        <v>8</v>
      </c>
      <c r="EB246" s="27" t="s">
        <v>7</v>
      </c>
      <c r="EC246" s="27" t="s">
        <v>8</v>
      </c>
      <c r="ED246" s="27" t="s">
        <v>7</v>
      </c>
      <c r="EE246" s="27" t="s">
        <v>8</v>
      </c>
      <c r="EF246" s="27" t="s">
        <v>7</v>
      </c>
      <c r="EI246" s="27" t="s">
        <v>8</v>
      </c>
      <c r="EK246" s="27" t="s">
        <v>8</v>
      </c>
      <c r="EL246" s="27" t="s">
        <v>7</v>
      </c>
      <c r="EN246" s="27" t="s">
        <v>7</v>
      </c>
      <c r="EQ246" s="27" t="s">
        <v>8</v>
      </c>
      <c r="FD246" s="27" t="s">
        <v>7</v>
      </c>
      <c r="FE246" s="27" t="s">
        <v>8</v>
      </c>
    </row>
    <row r="247" spans="1:161" x14ac:dyDescent="0.25">
      <c r="A247" s="7">
        <v>839.57287527495248</v>
      </c>
      <c r="B247"/>
      <c r="C247"/>
      <c r="D247"/>
      <c r="E247"/>
      <c r="DO247" s="27" t="s">
        <v>8</v>
      </c>
      <c r="EB247" s="27" t="s">
        <v>7</v>
      </c>
      <c r="EC247" s="27" t="s">
        <v>8</v>
      </c>
      <c r="ED247" s="27" t="s">
        <v>7</v>
      </c>
      <c r="EE247" s="27" t="s">
        <v>8</v>
      </c>
      <c r="EF247" s="27" t="s">
        <v>7</v>
      </c>
      <c r="EI247" s="27" t="s">
        <v>8</v>
      </c>
      <c r="EJ247" s="27" t="s">
        <v>7</v>
      </c>
      <c r="EK247" s="27" t="s">
        <v>8</v>
      </c>
      <c r="EN247" s="27" t="s">
        <v>7</v>
      </c>
      <c r="EQ247" s="27" t="s">
        <v>8</v>
      </c>
      <c r="FD247" s="27" t="s">
        <v>7</v>
      </c>
      <c r="FE247" s="27" t="s">
        <v>8</v>
      </c>
    </row>
    <row r="248" spans="1:161" x14ac:dyDescent="0.25">
      <c r="A248" s="7">
        <v>823.11066203426708</v>
      </c>
      <c r="B248"/>
      <c r="C248"/>
      <c r="D248"/>
      <c r="E248"/>
      <c r="DO248" s="27" t="s">
        <v>8</v>
      </c>
      <c r="EB248" s="27" t="s">
        <v>7</v>
      </c>
      <c r="EC248" s="27" t="s">
        <v>8</v>
      </c>
      <c r="ED248" s="27" t="s">
        <v>7</v>
      </c>
      <c r="EE248" s="27" t="s">
        <v>8</v>
      </c>
      <c r="EF248" s="27" t="s">
        <v>7</v>
      </c>
      <c r="EI248" s="27" t="s">
        <v>8</v>
      </c>
      <c r="EJ248" s="27" t="s">
        <v>7</v>
      </c>
      <c r="EK248" s="27" t="s">
        <v>8</v>
      </c>
      <c r="EN248" s="27" t="s">
        <v>7</v>
      </c>
      <c r="EQ248" s="27" t="s">
        <v>8</v>
      </c>
      <c r="FD248" s="27" t="s">
        <v>7</v>
      </c>
      <c r="FE248" s="27" t="s">
        <v>8</v>
      </c>
    </row>
    <row r="249" spans="1:161" x14ac:dyDescent="0.25">
      <c r="A249" s="7">
        <v>806.97123728849715</v>
      </c>
      <c r="B249"/>
      <c r="C249"/>
      <c r="D249"/>
      <c r="E249"/>
      <c r="DO249" s="27" t="s">
        <v>8</v>
      </c>
      <c r="EB249" s="27" t="s">
        <v>7</v>
      </c>
      <c r="EC249" s="27" t="s">
        <v>8</v>
      </c>
      <c r="ED249" s="27" t="s">
        <v>7</v>
      </c>
      <c r="EE249" s="27" t="s">
        <v>8</v>
      </c>
      <c r="EF249" s="27" t="s">
        <v>7</v>
      </c>
      <c r="EG249" s="27" t="s">
        <v>8</v>
      </c>
      <c r="EI249" s="27" t="s">
        <v>8</v>
      </c>
      <c r="EJ249" s="27" t="s">
        <v>7</v>
      </c>
      <c r="EK249" s="27" t="s">
        <v>8</v>
      </c>
      <c r="EN249" s="27" t="s">
        <v>7</v>
      </c>
      <c r="EQ249" s="27" t="s">
        <v>8</v>
      </c>
      <c r="FD249" s="27" t="s">
        <v>7</v>
      </c>
      <c r="FE249" s="27" t="s">
        <v>8</v>
      </c>
    </row>
    <row r="250" spans="1:161" x14ac:dyDescent="0.25">
      <c r="A250" s="7">
        <v>791.14827185146783</v>
      </c>
      <c r="B250"/>
      <c r="C250"/>
      <c r="D250"/>
      <c r="E250"/>
      <c r="DO250" s="27" t="s">
        <v>8</v>
      </c>
      <c r="EB250" s="27" t="s">
        <v>7</v>
      </c>
      <c r="EC250" s="27" t="s">
        <v>8</v>
      </c>
      <c r="ED250" s="27" t="s">
        <v>7</v>
      </c>
      <c r="EE250" s="27" t="s">
        <v>8</v>
      </c>
      <c r="EF250" s="27" t="s">
        <v>7</v>
      </c>
      <c r="EG250" s="27" t="s">
        <v>8</v>
      </c>
      <c r="EH250" s="27" t="s">
        <v>7</v>
      </c>
      <c r="EI250" s="27" t="s">
        <v>8</v>
      </c>
      <c r="EJ250" s="27" t="s">
        <v>7</v>
      </c>
      <c r="EK250" s="27" t="s">
        <v>8</v>
      </c>
      <c r="EN250" s="27" t="s">
        <v>7</v>
      </c>
      <c r="EQ250" s="27" t="s">
        <v>8</v>
      </c>
      <c r="FD250" s="27" t="s">
        <v>7</v>
      </c>
      <c r="FE250" s="27" t="s">
        <v>8</v>
      </c>
    </row>
    <row r="251" spans="1:161" x14ac:dyDescent="0.25">
      <c r="A251" s="7">
        <v>775.63556063869396</v>
      </c>
      <c r="B251"/>
      <c r="C251"/>
      <c r="D251"/>
      <c r="E251"/>
      <c r="DO251" s="27" t="s">
        <v>8</v>
      </c>
      <c r="EB251" s="27" t="s">
        <v>7</v>
      </c>
      <c r="EC251" s="27" t="s">
        <v>8</v>
      </c>
      <c r="ED251" s="27" t="s">
        <v>7</v>
      </c>
      <c r="EE251" s="27" t="s">
        <v>8</v>
      </c>
      <c r="EF251" s="27" t="s">
        <v>7</v>
      </c>
      <c r="EG251" s="27" t="s">
        <v>8</v>
      </c>
      <c r="EH251" s="27" t="s">
        <v>7</v>
      </c>
      <c r="EI251" s="27" t="s">
        <v>8</v>
      </c>
      <c r="EJ251" s="27" t="s">
        <v>7</v>
      </c>
      <c r="EK251" s="27" t="s">
        <v>8</v>
      </c>
      <c r="EN251" s="27" t="s">
        <v>7</v>
      </c>
      <c r="EQ251" s="27" t="s">
        <v>8</v>
      </c>
      <c r="FD251" s="27" t="s">
        <v>7</v>
      </c>
      <c r="FE251" s="27" t="s">
        <v>8</v>
      </c>
    </row>
    <row r="252" spans="1:161" x14ac:dyDescent="0.25">
      <c r="A252" s="7">
        <v>760.42702023401364</v>
      </c>
      <c r="B252"/>
      <c r="C252"/>
      <c r="D252"/>
      <c r="E252"/>
      <c r="DO252" s="27" t="s">
        <v>8</v>
      </c>
      <c r="EB252" s="27" t="s">
        <v>7</v>
      </c>
      <c r="EC252" s="27" t="s">
        <v>8</v>
      </c>
      <c r="ED252" s="27" t="s">
        <v>7</v>
      </c>
      <c r="EE252" s="27" t="s">
        <v>8</v>
      </c>
      <c r="EF252" s="27" t="s">
        <v>7</v>
      </c>
      <c r="EG252" s="27" t="s">
        <v>8</v>
      </c>
      <c r="EH252" s="27" t="s">
        <v>7</v>
      </c>
      <c r="EI252" s="27" t="s">
        <v>8</v>
      </c>
      <c r="EJ252" s="27" t="s">
        <v>7</v>
      </c>
      <c r="EK252" s="27" t="s">
        <v>8</v>
      </c>
      <c r="EN252" s="27" t="s">
        <v>7</v>
      </c>
      <c r="EO252" s="27" t="s">
        <v>8</v>
      </c>
      <c r="EQ252" s="27" t="s">
        <v>8</v>
      </c>
      <c r="FD252" s="27" t="s">
        <v>7</v>
      </c>
    </row>
    <row r="253" spans="1:161" x14ac:dyDescent="0.25">
      <c r="A253" s="7">
        <v>745.51668650393492</v>
      </c>
      <c r="B253"/>
      <c r="C253"/>
      <c r="D253"/>
      <c r="E253"/>
      <c r="DO253" s="27" t="s">
        <v>8</v>
      </c>
      <c r="EB253" s="27" t="s">
        <v>7</v>
      </c>
      <c r="EC253" s="27" t="s">
        <v>8</v>
      </c>
      <c r="ED253" s="27" t="s">
        <v>7</v>
      </c>
      <c r="EF253" s="27" t="s">
        <v>7</v>
      </c>
      <c r="EG253" s="27" t="s">
        <v>8</v>
      </c>
      <c r="EH253" s="27" t="s">
        <v>7</v>
      </c>
      <c r="EI253" s="27" t="s">
        <v>8</v>
      </c>
      <c r="EJ253" s="27" t="s">
        <v>7</v>
      </c>
      <c r="EK253" s="27" t="s">
        <v>8</v>
      </c>
      <c r="EN253" s="27" t="s">
        <v>7</v>
      </c>
      <c r="EO253" s="27" t="s">
        <v>8</v>
      </c>
      <c r="EP253" s="27" t="s">
        <v>7</v>
      </c>
      <c r="EQ253" s="27" t="s">
        <v>8</v>
      </c>
    </row>
    <row r="254" spans="1:161" x14ac:dyDescent="0.25">
      <c r="A254" s="7">
        <v>730.8987122587597</v>
      </c>
      <c r="B254"/>
      <c r="C254"/>
      <c r="D254"/>
      <c r="E254"/>
      <c r="DO254" s="27" t="s">
        <v>8</v>
      </c>
      <c r="EB254" s="27" t="s">
        <v>7</v>
      </c>
      <c r="EC254" s="27" t="s">
        <v>8</v>
      </c>
      <c r="EF254" s="27" t="s">
        <v>7</v>
      </c>
      <c r="EG254" s="27" t="s">
        <v>8</v>
      </c>
      <c r="EH254" s="27" t="s">
        <v>7</v>
      </c>
      <c r="EI254" s="27" t="s">
        <v>8</v>
      </c>
      <c r="EJ254" s="27" t="s">
        <v>7</v>
      </c>
      <c r="EK254" s="27" t="s">
        <v>8</v>
      </c>
      <c r="EN254" s="27" t="s">
        <v>7</v>
      </c>
      <c r="EO254" s="27" t="s">
        <v>8</v>
      </c>
      <c r="EP254" s="27" t="s">
        <v>7</v>
      </c>
      <c r="EQ254" s="27" t="s">
        <v>8</v>
      </c>
    </row>
    <row r="255" spans="1:161" x14ac:dyDescent="0.25">
      <c r="A255" s="7">
        <v>716.56736495956829</v>
      </c>
      <c r="B255"/>
      <c r="C255"/>
      <c r="D255"/>
      <c r="E255"/>
      <c r="DO255" s="27" t="s">
        <v>8</v>
      </c>
      <c r="EB255" s="27" t="s">
        <v>7</v>
      </c>
      <c r="EC255" s="27" t="s">
        <v>8</v>
      </c>
      <c r="EF255" s="27" t="s">
        <v>7</v>
      </c>
      <c r="EG255" s="27" t="s">
        <v>8</v>
      </c>
      <c r="EH255" s="27" t="s">
        <v>7</v>
      </c>
      <c r="EI255" s="27" t="s">
        <v>8</v>
      </c>
      <c r="EJ255" s="27" t="s">
        <v>7</v>
      </c>
      <c r="EN255" s="27" t="s">
        <v>7</v>
      </c>
      <c r="EP255" s="27" t="s">
        <v>7</v>
      </c>
    </row>
    <row r="256" spans="1:161" x14ac:dyDescent="0.25">
      <c r="A256" s="7">
        <v>702.51702447016498</v>
      </c>
      <c r="B256"/>
      <c r="C256"/>
      <c r="D256"/>
      <c r="E256"/>
      <c r="DO256" s="27" t="s">
        <v>8</v>
      </c>
      <c r="EB256" s="27" t="s">
        <v>7</v>
      </c>
      <c r="EC256" s="27" t="s">
        <v>8</v>
      </c>
      <c r="EF256" s="27" t="s">
        <v>7</v>
      </c>
      <c r="EG256" s="27" t="s">
        <v>8</v>
      </c>
      <c r="EH256" s="27" t="s">
        <v>7</v>
      </c>
      <c r="EI256" s="27" t="s">
        <v>8</v>
      </c>
    </row>
    <row r="257" spans="1:139" x14ac:dyDescent="0.25">
      <c r="A257" s="7">
        <v>688.74218085310292</v>
      </c>
      <c r="B257"/>
      <c r="C257"/>
      <c r="D257"/>
      <c r="E257"/>
      <c r="DO257" s="27" t="s">
        <v>8</v>
      </c>
      <c r="EB257" s="27" t="s">
        <v>7</v>
      </c>
      <c r="EC257" s="27" t="s">
        <v>8</v>
      </c>
      <c r="EF257" s="27" t="s">
        <v>7</v>
      </c>
      <c r="EG257" s="27" t="s">
        <v>8</v>
      </c>
      <c r="EH257" s="27" t="s">
        <v>7</v>
      </c>
      <c r="EI257" s="27" t="s">
        <v>8</v>
      </c>
    </row>
    <row r="258" spans="1:139" x14ac:dyDescent="0.25">
      <c r="A258" s="7">
        <v>675.23743220892447</v>
      </c>
      <c r="B258"/>
      <c r="C258"/>
      <c r="D258"/>
      <c r="E258"/>
      <c r="DO258" s="27" t="s">
        <v>8</v>
      </c>
      <c r="EB258" s="27" t="s">
        <v>7</v>
      </c>
      <c r="EC258" s="27" t="s">
        <v>8</v>
      </c>
      <c r="EF258" s="27" t="s">
        <v>7</v>
      </c>
      <c r="EG258" s="27" t="s">
        <v>8</v>
      </c>
      <c r="EH258" s="27" t="s">
        <v>7</v>
      </c>
      <c r="EI258" s="27" t="s">
        <v>8</v>
      </c>
    </row>
    <row r="259" spans="1:139" x14ac:dyDescent="0.25">
      <c r="A259" s="7">
        <v>661.9974825577691</v>
      </c>
      <c r="B259"/>
      <c r="C259"/>
      <c r="D259"/>
      <c r="E259"/>
      <c r="DO259" s="27" t="s">
        <v>8</v>
      </c>
      <c r="EB259" s="27" t="s">
        <v>7</v>
      </c>
      <c r="EC259" s="27" t="s">
        <v>8</v>
      </c>
      <c r="EF259" s="27" t="s">
        <v>7</v>
      </c>
      <c r="EG259" s="27" t="s">
        <v>8</v>
      </c>
      <c r="EH259" s="27" t="s">
        <v>7</v>
      </c>
      <c r="EI259" s="27" t="s">
        <v>8</v>
      </c>
    </row>
    <row r="260" spans="1:139" x14ac:dyDescent="0.25">
      <c r="A260" s="7">
        <v>649.0171397625187</v>
      </c>
      <c r="B260"/>
      <c r="C260"/>
      <c r="D260"/>
      <c r="E260"/>
      <c r="DO260" s="27" t="s">
        <v>8</v>
      </c>
      <c r="EB260" s="27" t="s">
        <v>7</v>
      </c>
      <c r="EC260" s="27" t="s">
        <v>8</v>
      </c>
      <c r="EF260" s="27" t="s">
        <v>7</v>
      </c>
      <c r="EG260" s="27" t="s">
        <v>8</v>
      </c>
      <c r="EH260" s="27" t="s">
        <v>7</v>
      </c>
      <c r="EI260" s="27" t="s">
        <v>8</v>
      </c>
    </row>
    <row r="261" spans="1:139" x14ac:dyDescent="0.25">
      <c r="A261" s="7">
        <v>636.29131349266538</v>
      </c>
      <c r="B261"/>
      <c r="C261"/>
      <c r="D261"/>
      <c r="E261"/>
      <c r="DO261" s="27" t="s">
        <v>8</v>
      </c>
      <c r="EB261" s="27" t="s">
        <v>7</v>
      </c>
      <c r="EC261" s="27" t="s">
        <v>8</v>
      </c>
      <c r="EF261" s="27" t="s">
        <v>7</v>
      </c>
      <c r="EG261" s="27" t="s">
        <v>8</v>
      </c>
      <c r="EH261" s="27" t="s">
        <v>7</v>
      </c>
    </row>
    <row r="262" spans="1:139" x14ac:dyDescent="0.25">
      <c r="A262" s="7">
        <v>623.81501322810334</v>
      </c>
      <c r="B262"/>
      <c r="C262"/>
      <c r="D262"/>
      <c r="E262"/>
      <c r="DO262" s="27" t="s">
        <v>8</v>
      </c>
      <c r="EB262" s="27" t="s">
        <v>7</v>
      </c>
      <c r="EF262" s="27" t="s">
        <v>7</v>
      </c>
      <c r="EG262" s="27" t="s">
        <v>8</v>
      </c>
    </row>
    <row r="263" spans="1:139" x14ac:dyDescent="0.25">
      <c r="A263" s="7">
        <v>611.58334630206207</v>
      </c>
      <c r="B263"/>
      <c r="C263"/>
      <c r="D263"/>
      <c r="E263"/>
      <c r="DO263" s="27" t="s">
        <v>8</v>
      </c>
      <c r="EF263" s="27" t="s">
        <v>7</v>
      </c>
      <c r="EG263" s="27" t="s">
        <v>8</v>
      </c>
    </row>
    <row r="264" spans="1:139" x14ac:dyDescent="0.25">
      <c r="A264" s="7">
        <v>599.59151598241374</v>
      </c>
      <c r="B264"/>
      <c r="C264"/>
      <c r="D264"/>
      <c r="E264"/>
      <c r="DO264" s="27" t="s">
        <v>8</v>
      </c>
      <c r="EF264" s="27" t="s">
        <v>7</v>
      </c>
      <c r="EG264" s="27" t="s">
        <v>8</v>
      </c>
    </row>
    <row r="265" spans="1:139" x14ac:dyDescent="0.25">
      <c r="A265" s="7">
        <v>587.83481959060168</v>
      </c>
      <c r="B265"/>
      <c r="C265"/>
      <c r="D265"/>
      <c r="E265"/>
      <c r="DO265" s="27" t="s">
        <v>8</v>
      </c>
      <c r="EF265" s="27" t="s">
        <v>7</v>
      </c>
      <c r="EG265" s="27" t="s">
        <v>8</v>
      </c>
    </row>
    <row r="266" spans="1:139" x14ac:dyDescent="0.25">
      <c r="A266" s="7">
        <v>576.30864665745264</v>
      </c>
      <c r="B266"/>
      <c r="C266"/>
      <c r="D266"/>
      <c r="E266"/>
      <c r="DO266" s="27" t="s">
        <v>8</v>
      </c>
      <c r="EF266" s="27" t="s">
        <v>7</v>
      </c>
      <c r="EG266" s="27" t="s">
        <v>8</v>
      </c>
    </row>
    <row r="267" spans="1:139" x14ac:dyDescent="0.25">
      <c r="A267" s="7">
        <v>565.00847711514962</v>
      </c>
      <c r="B267"/>
      <c r="C267"/>
      <c r="D267"/>
      <c r="E267"/>
      <c r="DO267" s="27" t="s">
        <v>8</v>
      </c>
      <c r="EF267" s="27" t="s">
        <v>7</v>
      </c>
      <c r="EG267" s="27" t="s">
        <v>8</v>
      </c>
    </row>
    <row r="268" spans="1:139" x14ac:dyDescent="0.25">
      <c r="A268" s="7">
        <v>553.92987952465649</v>
      </c>
      <c r="B268"/>
      <c r="C268"/>
      <c r="D268"/>
      <c r="E268"/>
      <c r="CQ268" s="27" t="s">
        <v>8</v>
      </c>
      <c r="DO268" s="27" t="s">
        <v>8</v>
      </c>
      <c r="EF268" s="27" t="s">
        <v>7</v>
      </c>
    </row>
    <row r="269" spans="1:139" x14ac:dyDescent="0.25">
      <c r="A269" s="7">
        <v>543.06850933789849</v>
      </c>
      <c r="B269"/>
      <c r="C269"/>
      <c r="D269"/>
      <c r="E269"/>
      <c r="CQ269" s="27" t="s">
        <v>8</v>
      </c>
      <c r="CR269" s="27" t="s">
        <v>7</v>
      </c>
      <c r="DO269" s="27" t="s">
        <v>8</v>
      </c>
    </row>
    <row r="270" spans="1:139" x14ac:dyDescent="0.25">
      <c r="A270" s="7">
        <v>532.4201071940181</v>
      </c>
      <c r="B270"/>
      <c r="C270"/>
      <c r="D270"/>
      <c r="E270"/>
      <c r="CQ270" s="27" t="s">
        <v>8</v>
      </c>
      <c r="CR270" s="27" t="s">
        <v>7</v>
      </c>
      <c r="DO270" s="27" t="s">
        <v>8</v>
      </c>
    </row>
    <row r="271" spans="1:139" x14ac:dyDescent="0.25">
      <c r="A271" s="7">
        <v>521.9804972490374</v>
      </c>
      <c r="B271"/>
      <c r="C271"/>
      <c r="D271"/>
      <c r="E271"/>
      <c r="CQ271" s="27" t="s">
        <v>8</v>
      </c>
      <c r="CR271" s="27" t="s">
        <v>7</v>
      </c>
      <c r="DO271" s="27" t="s">
        <v>8</v>
      </c>
    </row>
    <row r="272" spans="1:139" x14ac:dyDescent="0.25">
      <c r="A272" s="7">
        <v>511.74558553827194</v>
      </c>
      <c r="B272"/>
      <c r="C272"/>
      <c r="D272"/>
      <c r="E272"/>
      <c r="CQ272" s="27" t="s">
        <v>8</v>
      </c>
      <c r="CR272" s="27" t="s">
        <v>7</v>
      </c>
      <c r="DO272" s="27" t="s">
        <v>8</v>
      </c>
    </row>
    <row r="273" spans="1:119" x14ac:dyDescent="0.25">
      <c r="A273" s="7">
        <v>501.71135837085484</v>
      </c>
      <c r="B273"/>
      <c r="C273"/>
      <c r="D273"/>
      <c r="E273"/>
      <c r="CQ273" s="27" t="s">
        <v>8</v>
      </c>
      <c r="CR273" s="27" t="s">
        <v>7</v>
      </c>
      <c r="DO273" s="27" t="s">
        <v>8</v>
      </c>
    </row>
    <row r="274" spans="1:119" x14ac:dyDescent="0.25">
      <c r="A274" s="7">
        <v>491.87388075574</v>
      </c>
      <c r="B274"/>
      <c r="C274"/>
      <c r="D274"/>
      <c r="E274"/>
      <c r="CQ274" s="27" t="s">
        <v>8</v>
      </c>
      <c r="CR274" s="27" t="s">
        <v>7</v>
      </c>
      <c r="DO274" s="27" t="s">
        <v>8</v>
      </c>
    </row>
    <row r="275" spans="1:119" x14ac:dyDescent="0.25">
      <c r="A275" s="7">
        <v>482.22929485856861</v>
      </c>
      <c r="B275"/>
      <c r="C275"/>
      <c r="D275"/>
      <c r="E275"/>
      <c r="CQ275" s="27" t="s">
        <v>8</v>
      </c>
      <c r="CR275" s="27" t="s">
        <v>7</v>
      </c>
      <c r="CS275" s="27" t="s">
        <v>8</v>
      </c>
      <c r="DO275" s="27" t="s">
        <v>8</v>
      </c>
    </row>
    <row r="276" spans="1:119" x14ac:dyDescent="0.25">
      <c r="A276" s="7">
        <v>472.77381848879276</v>
      </c>
      <c r="B276"/>
      <c r="C276"/>
      <c r="D276"/>
      <c r="E276"/>
      <c r="CQ276" s="27" t="s">
        <v>8</v>
      </c>
      <c r="CR276" s="27" t="s">
        <v>7</v>
      </c>
      <c r="CS276" s="27" t="s">
        <v>8</v>
      </c>
      <c r="CT276" s="27" t="s">
        <v>7</v>
      </c>
      <c r="DO276" s="27" t="s">
        <v>8</v>
      </c>
    </row>
    <row r="277" spans="1:119" x14ac:dyDescent="0.25">
      <c r="A277" s="7">
        <v>463.50374361646345</v>
      </c>
      <c r="B277"/>
      <c r="C277"/>
      <c r="D277"/>
      <c r="E277"/>
      <c r="CQ277" s="27" t="s">
        <v>8</v>
      </c>
      <c r="CR277" s="27" t="s">
        <v>7</v>
      </c>
      <c r="CS277" s="27" t="s">
        <v>8</v>
      </c>
      <c r="CT277" s="27" t="s">
        <v>7</v>
      </c>
      <c r="DO277" s="27" t="s">
        <v>8</v>
      </c>
    </row>
    <row r="278" spans="1:119" x14ac:dyDescent="0.25">
      <c r="A278" s="7">
        <v>454.41543491810143</v>
      </c>
      <c r="B278"/>
      <c r="C278"/>
      <c r="D278"/>
      <c r="E278"/>
      <c r="CM278" s="27" t="s">
        <v>8</v>
      </c>
      <c r="CQ278" s="27" t="s">
        <v>8</v>
      </c>
      <c r="CR278" s="27" t="s">
        <v>7</v>
      </c>
      <c r="CS278" s="27" t="s">
        <v>8</v>
      </c>
      <c r="CT278" s="27" t="s">
        <v>7</v>
      </c>
      <c r="DO278" s="27" t="s">
        <v>8</v>
      </c>
    </row>
    <row r="279" spans="1:119" x14ac:dyDescent="0.25">
      <c r="A279" s="7">
        <v>445.50532835107981</v>
      </c>
      <c r="B279"/>
      <c r="C279"/>
      <c r="D279"/>
      <c r="E279"/>
      <c r="CM279" s="27" t="s">
        <v>8</v>
      </c>
      <c r="CN279" s="27" t="s">
        <v>7</v>
      </c>
      <c r="CQ279" s="27" t="s">
        <v>8</v>
      </c>
      <c r="CR279" s="27" t="s">
        <v>7</v>
      </c>
      <c r="CS279" s="27" t="s">
        <v>8</v>
      </c>
      <c r="CT279" s="27" t="s">
        <v>7</v>
      </c>
      <c r="DK279" s="27" t="s">
        <v>8</v>
      </c>
      <c r="DO279" s="27" t="s">
        <v>8</v>
      </c>
    </row>
    <row r="280" spans="1:119" x14ac:dyDescent="0.25">
      <c r="A280" s="7">
        <v>436.76992975596062</v>
      </c>
      <c r="B280"/>
      <c r="C280"/>
      <c r="D280"/>
      <c r="E280"/>
      <c r="CM280" s="27" t="s">
        <v>8</v>
      </c>
      <c r="CN280" s="27" t="s">
        <v>7</v>
      </c>
      <c r="CO280" s="27" t="s">
        <v>8</v>
      </c>
      <c r="CQ280" s="27" t="s">
        <v>8</v>
      </c>
      <c r="CR280" s="27" t="s">
        <v>7</v>
      </c>
      <c r="CS280" s="27" t="s">
        <v>8</v>
      </c>
      <c r="CT280" s="27" t="s">
        <v>7</v>
      </c>
      <c r="DK280" s="27" t="s">
        <v>8</v>
      </c>
      <c r="DL280" s="27" t="s">
        <v>7</v>
      </c>
      <c r="DO280" s="27" t="s">
        <v>8</v>
      </c>
    </row>
    <row r="281" spans="1:119" x14ac:dyDescent="0.25">
      <c r="A281" s="7">
        <v>428.20581348623591</v>
      </c>
      <c r="B281"/>
      <c r="C281"/>
      <c r="D281"/>
      <c r="E281"/>
      <c r="CM281" s="27" t="s">
        <v>8</v>
      </c>
      <c r="CN281" s="27" t="s">
        <v>7</v>
      </c>
      <c r="CO281" s="27" t="s">
        <v>8</v>
      </c>
      <c r="CP281" s="27" t="s">
        <v>7</v>
      </c>
      <c r="CQ281" s="27" t="s">
        <v>8</v>
      </c>
      <c r="CR281" s="27" t="s">
        <v>7</v>
      </c>
      <c r="CS281" s="27" t="s">
        <v>8</v>
      </c>
      <c r="CT281" s="27" t="s">
        <v>7</v>
      </c>
      <c r="DK281" s="27" t="s">
        <v>8</v>
      </c>
      <c r="DL281" s="27" t="s">
        <v>7</v>
      </c>
      <c r="DO281" s="27" t="s">
        <v>8</v>
      </c>
    </row>
    <row r="282" spans="1:119" x14ac:dyDescent="0.25">
      <c r="A282" s="7">
        <v>419.80962106493718</v>
      </c>
      <c r="B282"/>
      <c r="C282"/>
      <c r="D282"/>
      <c r="E282"/>
      <c r="CM282" s="27" t="s">
        <v>8</v>
      </c>
      <c r="CN282" s="27" t="s">
        <v>7</v>
      </c>
      <c r="CO282" s="27" t="s">
        <v>8</v>
      </c>
      <c r="CP282" s="27" t="s">
        <v>7</v>
      </c>
      <c r="CQ282" s="27" t="s">
        <v>8</v>
      </c>
      <c r="CR282" s="27" t="s">
        <v>7</v>
      </c>
      <c r="CS282" s="27" t="s">
        <v>8</v>
      </c>
      <c r="CT282" s="27" t="s">
        <v>7</v>
      </c>
      <c r="CU282" s="27" t="s">
        <v>8</v>
      </c>
      <c r="DK282" s="27" t="s">
        <v>8</v>
      </c>
      <c r="DL282" s="27" t="s">
        <v>7</v>
      </c>
      <c r="DO282" s="27" t="s">
        <v>8</v>
      </c>
    </row>
    <row r="283" spans="1:119" x14ac:dyDescent="0.25">
      <c r="A283" s="7">
        <v>411.57805986758547</v>
      </c>
      <c r="B283"/>
      <c r="C283"/>
      <c r="D283"/>
      <c r="E283"/>
      <c r="CM283" s="27" t="s">
        <v>8</v>
      </c>
      <c r="CN283" s="27" t="s">
        <v>7</v>
      </c>
      <c r="CO283" s="27" t="s">
        <v>8</v>
      </c>
      <c r="CP283" s="27" t="s">
        <v>7</v>
      </c>
      <c r="CQ283" s="27" t="s">
        <v>8</v>
      </c>
      <c r="CR283" s="27" t="s">
        <v>7</v>
      </c>
      <c r="CS283" s="27" t="s">
        <v>8</v>
      </c>
      <c r="CT283" s="27" t="s">
        <v>7</v>
      </c>
      <c r="CU283" s="27" t="s">
        <v>8</v>
      </c>
      <c r="CV283" s="27" t="s">
        <v>7</v>
      </c>
      <c r="DK283" s="27" t="s">
        <v>8</v>
      </c>
      <c r="DL283" s="27" t="s">
        <v>7</v>
      </c>
      <c r="DO283" s="27" t="s">
        <v>8</v>
      </c>
    </row>
    <row r="284" spans="1:119" x14ac:dyDescent="0.25">
      <c r="A284" s="7">
        <v>403.50790183096615</v>
      </c>
      <c r="B284"/>
      <c r="C284"/>
      <c r="D284"/>
      <c r="E284"/>
      <c r="CM284" s="27" t="s">
        <v>8</v>
      </c>
      <c r="CN284" s="27" t="s">
        <v>7</v>
      </c>
      <c r="CO284" s="27" t="s">
        <v>8</v>
      </c>
      <c r="CP284" s="27" t="s">
        <v>7</v>
      </c>
      <c r="CQ284" s="27" t="s">
        <v>8</v>
      </c>
      <c r="CR284" s="27" t="s">
        <v>7</v>
      </c>
      <c r="CS284" s="27" t="s">
        <v>8</v>
      </c>
      <c r="CT284" s="27" t="s">
        <v>7</v>
      </c>
      <c r="CU284" s="27" t="s">
        <v>8</v>
      </c>
      <c r="CV284" s="27" t="s">
        <v>7</v>
      </c>
      <c r="DK284" s="27" t="s">
        <v>8</v>
      </c>
      <c r="DL284" s="27" t="s">
        <v>7</v>
      </c>
      <c r="DO284" s="27" t="s">
        <v>8</v>
      </c>
    </row>
    <row r="285" spans="1:119" x14ac:dyDescent="0.25">
      <c r="A285" s="7">
        <v>395.59598218722169</v>
      </c>
      <c r="B285"/>
      <c r="C285"/>
      <c r="D285"/>
      <c r="E285"/>
      <c r="CM285" s="27" t="s">
        <v>8</v>
      </c>
      <c r="CN285" s="27" t="s">
        <v>7</v>
      </c>
      <c r="CO285" s="27" t="s">
        <v>8</v>
      </c>
      <c r="CP285" s="27" t="s">
        <v>7</v>
      </c>
      <c r="CQ285" s="27" t="s">
        <v>8</v>
      </c>
      <c r="CR285" s="27" t="s">
        <v>7</v>
      </c>
      <c r="CS285" s="27" t="s">
        <v>8</v>
      </c>
      <c r="CT285" s="27" t="s">
        <v>7</v>
      </c>
      <c r="CV285" s="27" t="s">
        <v>7</v>
      </c>
      <c r="CW285" s="27" t="s">
        <v>8</v>
      </c>
      <c r="DK285" s="27" t="s">
        <v>8</v>
      </c>
      <c r="DL285" s="27" t="s">
        <v>7</v>
      </c>
      <c r="DM285" s="27" t="s">
        <v>8</v>
      </c>
      <c r="DO285" s="27" t="s">
        <v>8</v>
      </c>
    </row>
    <row r="286" spans="1:119" x14ac:dyDescent="0.25">
      <c r="A286" s="7">
        <v>387.83919822276636</v>
      </c>
      <c r="B286"/>
      <c r="C286"/>
      <c r="D286"/>
      <c r="E286"/>
      <c r="CM286" s="27" t="s">
        <v>8</v>
      </c>
      <c r="CN286" s="27" t="s">
        <v>7</v>
      </c>
      <c r="CO286" s="27" t="s">
        <v>8</v>
      </c>
      <c r="CP286" s="27" t="s">
        <v>7</v>
      </c>
      <c r="CQ286" s="27" t="s">
        <v>8</v>
      </c>
      <c r="CR286" s="27" t="s">
        <v>7</v>
      </c>
      <c r="CS286" s="27" t="s">
        <v>8</v>
      </c>
      <c r="CV286" s="27" t="s">
        <v>7</v>
      </c>
      <c r="CW286" s="27" t="s">
        <v>8</v>
      </c>
      <c r="CX286" s="27" t="s">
        <v>7</v>
      </c>
      <c r="DK286" s="27" t="s">
        <v>8</v>
      </c>
      <c r="DL286" s="27" t="s">
        <v>7</v>
      </c>
      <c r="DM286" s="27" t="s">
        <v>8</v>
      </c>
      <c r="DN286" s="27" t="s">
        <v>7</v>
      </c>
      <c r="DO286" s="27" t="s">
        <v>8</v>
      </c>
    </row>
    <row r="287" spans="1:119" x14ac:dyDescent="0.25">
      <c r="A287" s="7">
        <v>380.23450806153562</v>
      </c>
      <c r="B287"/>
      <c r="C287"/>
      <c r="D287"/>
      <c r="E287"/>
      <c r="CM287" s="27" t="s">
        <v>8</v>
      </c>
      <c r="CN287" s="27" t="s">
        <v>7</v>
      </c>
      <c r="CO287" s="27" t="s">
        <v>8</v>
      </c>
      <c r="CP287" s="27" t="s">
        <v>7</v>
      </c>
      <c r="CQ287" s="27" t="s">
        <v>8</v>
      </c>
      <c r="CR287" s="27" t="s">
        <v>7</v>
      </c>
      <c r="CS287" s="27" t="s">
        <v>8</v>
      </c>
      <c r="CV287" s="27" t="s">
        <v>7</v>
      </c>
      <c r="CW287" s="27" t="s">
        <v>8</v>
      </c>
      <c r="CX287" s="27" t="s">
        <v>7</v>
      </c>
      <c r="DE287" s="27" t="s">
        <v>8</v>
      </c>
      <c r="DK287" s="27" t="s">
        <v>8</v>
      </c>
      <c r="DL287" s="27" t="s">
        <v>7</v>
      </c>
      <c r="DM287" s="27" t="s">
        <v>8</v>
      </c>
      <c r="DN287" s="27" t="s">
        <v>7</v>
      </c>
      <c r="DO287" s="27" t="s">
        <v>8</v>
      </c>
    </row>
    <row r="288" spans="1:119" x14ac:dyDescent="0.25">
      <c r="A288" s="7">
        <v>372.77892947209375</v>
      </c>
      <c r="B288"/>
      <c r="C288"/>
      <c r="D288"/>
      <c r="E288"/>
      <c r="CM288" s="27" t="s">
        <v>8</v>
      </c>
      <c r="CN288" s="27" t="s">
        <v>7</v>
      </c>
      <c r="CO288" s="27" t="s">
        <v>8</v>
      </c>
      <c r="CP288" s="27" t="s">
        <v>7</v>
      </c>
      <c r="CQ288" s="27" t="s">
        <v>8</v>
      </c>
      <c r="CR288" s="27" t="s">
        <v>7</v>
      </c>
      <c r="CV288" s="27" t="s">
        <v>7</v>
      </c>
      <c r="CW288" s="27" t="s">
        <v>8</v>
      </c>
      <c r="CX288" s="27" t="s">
        <v>7</v>
      </c>
      <c r="DE288" s="27" t="s">
        <v>8</v>
      </c>
      <c r="DF288" s="27" t="s">
        <v>7</v>
      </c>
      <c r="DK288" s="27" t="s">
        <v>8</v>
      </c>
      <c r="DL288" s="27" t="s">
        <v>7</v>
      </c>
      <c r="DM288" s="27" t="s">
        <v>8</v>
      </c>
      <c r="DN288" s="27" t="s">
        <v>7</v>
      </c>
      <c r="DO288" s="27" t="s">
        <v>8</v>
      </c>
    </row>
    <row r="289" spans="1:119" x14ac:dyDescent="0.25">
      <c r="A289" s="7">
        <v>365.46953869813115</v>
      </c>
      <c r="B289"/>
      <c r="C289"/>
      <c r="D289"/>
      <c r="E289"/>
      <c r="CM289" s="27" t="s">
        <v>8</v>
      </c>
      <c r="CN289" s="27" t="s">
        <v>7</v>
      </c>
      <c r="CP289" s="27" t="s">
        <v>7</v>
      </c>
      <c r="CQ289" s="27" t="s">
        <v>8</v>
      </c>
      <c r="CV289" s="27" t="s">
        <v>7</v>
      </c>
      <c r="CW289" s="27" t="s">
        <v>8</v>
      </c>
      <c r="CX289" s="27" t="s">
        <v>7</v>
      </c>
      <c r="DE289" s="27" t="s">
        <v>8</v>
      </c>
      <c r="DF289" s="27" t="s">
        <v>7</v>
      </c>
      <c r="DK289" s="27" t="s">
        <v>8</v>
      </c>
      <c r="DL289" s="27" t="s">
        <v>7</v>
      </c>
      <c r="DM289" s="27" t="s">
        <v>8</v>
      </c>
      <c r="DN289" s="27" t="s">
        <v>7</v>
      </c>
      <c r="DO289" s="27" t="s">
        <v>8</v>
      </c>
    </row>
    <row r="290" spans="1:119" x14ac:dyDescent="0.25">
      <c r="A290" s="7">
        <v>358.30346931189325</v>
      </c>
      <c r="B290"/>
      <c r="C290"/>
      <c r="D290"/>
      <c r="E290"/>
      <c r="CM290" s="27" t="s">
        <v>8</v>
      </c>
      <c r="CP290" s="27" t="s">
        <v>7</v>
      </c>
      <c r="CQ290" s="27" t="s">
        <v>8</v>
      </c>
      <c r="CV290" s="27" t="s">
        <v>7</v>
      </c>
      <c r="CW290" s="27" t="s">
        <v>8</v>
      </c>
      <c r="CX290" s="27" t="s">
        <v>7</v>
      </c>
      <c r="DE290" s="27" t="s">
        <v>8</v>
      </c>
      <c r="DF290" s="27" t="s">
        <v>7</v>
      </c>
      <c r="DK290" s="27" t="s">
        <v>8</v>
      </c>
      <c r="DL290" s="27" t="s">
        <v>7</v>
      </c>
      <c r="DM290" s="27" t="s">
        <v>8</v>
      </c>
      <c r="DN290" s="27" t="s">
        <v>7</v>
      </c>
      <c r="DO290" s="27" t="s">
        <v>8</v>
      </c>
    </row>
    <row r="291" spans="1:119" x14ac:dyDescent="0.25">
      <c r="A291" s="7">
        <v>351.27791109009144</v>
      </c>
      <c r="B291"/>
      <c r="C291"/>
      <c r="D291"/>
      <c r="E291"/>
      <c r="CM291" s="27" t="s">
        <v>8</v>
      </c>
      <c r="CP291" s="27" t="s">
        <v>7</v>
      </c>
      <c r="CQ291" s="27" t="s">
        <v>8</v>
      </c>
      <c r="CV291" s="27" t="s">
        <v>7</v>
      </c>
      <c r="CW291" s="27" t="s">
        <v>8</v>
      </c>
      <c r="CX291" s="27" t="s">
        <v>7</v>
      </c>
      <c r="DC291" s="27" t="s">
        <v>8</v>
      </c>
      <c r="DE291" s="27" t="s">
        <v>8</v>
      </c>
      <c r="DF291" s="27" t="s">
        <v>7</v>
      </c>
      <c r="DK291" s="27" t="s">
        <v>8</v>
      </c>
      <c r="DL291" s="27" t="s">
        <v>7</v>
      </c>
      <c r="DN291" s="27" t="s">
        <v>7</v>
      </c>
      <c r="DO291" s="27" t="s">
        <v>8</v>
      </c>
    </row>
    <row r="292" spans="1:119" x14ac:dyDescent="0.25">
      <c r="A292" s="7">
        <v>344.39010891185433</v>
      </c>
      <c r="B292"/>
      <c r="C292"/>
      <c r="D292"/>
      <c r="E292"/>
      <c r="CM292" s="27" t="s">
        <v>8</v>
      </c>
      <c r="CP292" s="27" t="s">
        <v>7</v>
      </c>
      <c r="CQ292" s="27" t="s">
        <v>8</v>
      </c>
      <c r="CV292" s="27" t="s">
        <v>7</v>
      </c>
      <c r="CW292" s="27" t="s">
        <v>8</v>
      </c>
      <c r="CX292" s="27" t="s">
        <v>7</v>
      </c>
      <c r="CY292" s="27" t="s">
        <v>8</v>
      </c>
      <c r="DC292" s="27" t="s">
        <v>8</v>
      </c>
      <c r="DD292" s="27" t="s">
        <v>7</v>
      </c>
      <c r="DE292" s="27" t="s">
        <v>8</v>
      </c>
      <c r="DF292" s="27" t="s">
        <v>7</v>
      </c>
      <c r="DG292" s="27" t="s">
        <v>8</v>
      </c>
      <c r="DK292" s="27" t="s">
        <v>8</v>
      </c>
      <c r="DN292" s="27" t="s">
        <v>7</v>
      </c>
      <c r="DO292" s="27" t="s">
        <v>8</v>
      </c>
    </row>
    <row r="293" spans="1:119" x14ac:dyDescent="0.25">
      <c r="A293" s="7">
        <v>337.63736167828853</v>
      </c>
      <c r="B293"/>
      <c r="C293"/>
      <c r="D293"/>
      <c r="E293"/>
      <c r="CM293" s="27" t="s">
        <v>8</v>
      </c>
      <c r="CP293" s="27" t="s">
        <v>7</v>
      </c>
      <c r="CQ293" s="27" t="s">
        <v>8</v>
      </c>
      <c r="CV293" s="27" t="s">
        <v>7</v>
      </c>
      <c r="CW293" s="27" t="s">
        <v>8</v>
      </c>
      <c r="CX293" s="27" t="s">
        <v>7</v>
      </c>
      <c r="CY293" s="27" t="s">
        <v>8</v>
      </c>
      <c r="CZ293" s="27" t="s">
        <v>7</v>
      </c>
      <c r="DC293" s="27" t="s">
        <v>8</v>
      </c>
      <c r="DD293" s="27" t="s">
        <v>7</v>
      </c>
      <c r="DE293" s="27" t="s">
        <v>8</v>
      </c>
      <c r="DF293" s="27" t="s">
        <v>7</v>
      </c>
      <c r="DG293" s="27" t="s">
        <v>8</v>
      </c>
      <c r="DH293" s="27" t="s">
        <v>7</v>
      </c>
      <c r="DI293" s="27" t="s">
        <v>8</v>
      </c>
      <c r="DK293" s="27" t="s">
        <v>8</v>
      </c>
      <c r="DN293" s="27" t="s">
        <v>7</v>
      </c>
      <c r="DO293" s="27" t="s">
        <v>8</v>
      </c>
    </row>
    <row r="294" spans="1:119" x14ac:dyDescent="0.25">
      <c r="A294" s="7">
        <v>331.01702125322402</v>
      </c>
      <c r="B294"/>
      <c r="C294"/>
      <c r="D294"/>
      <c r="E294"/>
      <c r="CM294" s="27" t="s">
        <v>8</v>
      </c>
      <c r="CP294" s="27" t="s">
        <v>7</v>
      </c>
      <c r="CQ294" s="27" t="s">
        <v>8</v>
      </c>
      <c r="CV294" s="27" t="s">
        <v>7</v>
      </c>
      <c r="CW294" s="27" t="s">
        <v>8</v>
      </c>
      <c r="CX294" s="27" t="s">
        <v>7</v>
      </c>
      <c r="CY294" s="27" t="s">
        <v>8</v>
      </c>
      <c r="CZ294" s="27" t="s">
        <v>7</v>
      </c>
      <c r="DC294" s="27" t="s">
        <v>8</v>
      </c>
      <c r="DD294" s="27" t="s">
        <v>7</v>
      </c>
      <c r="DE294" s="27" t="s">
        <v>8</v>
      </c>
      <c r="DF294" s="27" t="s">
        <v>7</v>
      </c>
      <c r="DG294" s="27" t="s">
        <v>8</v>
      </c>
      <c r="DH294" s="27" t="s">
        <v>7</v>
      </c>
      <c r="DI294" s="27" t="s">
        <v>8</v>
      </c>
      <c r="DJ294" s="27" t="s">
        <v>7</v>
      </c>
      <c r="DK294" s="27" t="s">
        <v>8</v>
      </c>
      <c r="DN294" s="27" t="s">
        <v>7</v>
      </c>
      <c r="DO294" s="27" t="s">
        <v>8</v>
      </c>
    </row>
    <row r="295" spans="1:119" x14ac:dyDescent="0.25">
      <c r="A295" s="7">
        <v>324.52649142472944</v>
      </c>
      <c r="B295"/>
      <c r="C295"/>
      <c r="D295"/>
      <c r="E295"/>
      <c r="CM295" s="27" t="s">
        <v>8</v>
      </c>
      <c r="CP295" s="27" t="s">
        <v>7</v>
      </c>
      <c r="CQ295" s="27" t="s">
        <v>8</v>
      </c>
      <c r="CV295" s="27" t="s">
        <v>7</v>
      </c>
      <c r="CW295" s="27" t="s">
        <v>8</v>
      </c>
      <c r="CX295" s="27" t="s">
        <v>7</v>
      </c>
      <c r="CY295" s="27" t="s">
        <v>8</v>
      </c>
      <c r="CZ295" s="27" t="s">
        <v>7</v>
      </c>
      <c r="DA295" s="27" t="s">
        <v>8</v>
      </c>
      <c r="DC295" s="27" t="s">
        <v>8</v>
      </c>
      <c r="DD295" s="27" t="s">
        <v>7</v>
      </c>
      <c r="DE295" s="27" t="s">
        <v>8</v>
      </c>
      <c r="DF295" s="27" t="s">
        <v>7</v>
      </c>
      <c r="DG295" s="27" t="s">
        <v>8</v>
      </c>
      <c r="DH295" s="27" t="s">
        <v>7</v>
      </c>
      <c r="DI295" s="27" t="s">
        <v>8</v>
      </c>
      <c r="DJ295" s="27" t="s">
        <v>7</v>
      </c>
      <c r="DK295" s="27" t="s">
        <v>8</v>
      </c>
      <c r="DN295" s="27" t="s">
        <v>7</v>
      </c>
      <c r="DO295" s="27" t="s">
        <v>8</v>
      </c>
    </row>
    <row r="296" spans="1:119" x14ac:dyDescent="0.25">
      <c r="A296" s="7">
        <v>318.16322688698966</v>
      </c>
      <c r="B296"/>
      <c r="C296"/>
      <c r="D296"/>
      <c r="E296"/>
      <c r="CM296" s="27" t="s">
        <v>8</v>
      </c>
      <c r="CP296" s="27" t="s">
        <v>7</v>
      </c>
      <c r="CQ296" s="27" t="s">
        <v>8</v>
      </c>
      <c r="CV296" s="27" t="s">
        <v>7</v>
      </c>
      <c r="CW296" s="27" t="s">
        <v>8</v>
      </c>
      <c r="CX296" s="27" t="s">
        <v>7</v>
      </c>
      <c r="CZ296" s="27" t="s">
        <v>7</v>
      </c>
      <c r="DA296" s="27" t="s">
        <v>8</v>
      </c>
      <c r="DB296" s="27" t="s">
        <v>7</v>
      </c>
      <c r="DC296" s="27" t="s">
        <v>8</v>
      </c>
      <c r="DD296" s="27" t="s">
        <v>7</v>
      </c>
      <c r="DE296" s="27" t="s">
        <v>8</v>
      </c>
      <c r="DF296" s="27" t="s">
        <v>7</v>
      </c>
      <c r="DG296" s="27" t="s">
        <v>8</v>
      </c>
      <c r="DH296" s="27" t="s">
        <v>7</v>
      </c>
      <c r="DI296" s="27" t="s">
        <v>8</v>
      </c>
      <c r="DJ296" s="27" t="s">
        <v>7</v>
      </c>
      <c r="DK296" s="27" t="s">
        <v>8</v>
      </c>
      <c r="DN296" s="27" t="s">
        <v>7</v>
      </c>
    </row>
    <row r="297" spans="1:119" x14ac:dyDescent="0.25">
      <c r="A297" s="7">
        <v>311.92473224214672</v>
      </c>
      <c r="B297"/>
      <c r="C297"/>
      <c r="D297"/>
      <c r="E297"/>
      <c r="CM297" s="27" t="s">
        <v>8</v>
      </c>
      <c r="CP297" s="27" t="s">
        <v>7</v>
      </c>
      <c r="CQ297" s="27" t="s">
        <v>8</v>
      </c>
      <c r="CV297" s="27" t="s">
        <v>7</v>
      </c>
      <c r="CW297" s="27" t="s">
        <v>8</v>
      </c>
      <c r="CZ297" s="27" t="s">
        <v>7</v>
      </c>
      <c r="DA297" s="27" t="s">
        <v>8</v>
      </c>
      <c r="DB297" s="27" t="s">
        <v>7</v>
      </c>
      <c r="DC297" s="27" t="s">
        <v>8</v>
      </c>
      <c r="DD297" s="27" t="s">
        <v>7</v>
      </c>
      <c r="DE297" s="27" t="s">
        <v>8</v>
      </c>
      <c r="DF297" s="27" t="s">
        <v>7</v>
      </c>
      <c r="DG297" s="27" t="s">
        <v>8</v>
      </c>
      <c r="DH297" s="27" t="s">
        <v>7</v>
      </c>
      <c r="DI297" s="27" t="s">
        <v>8</v>
      </c>
      <c r="DJ297" s="27" t="s">
        <v>7</v>
      </c>
    </row>
    <row r="298" spans="1:119" x14ac:dyDescent="0.25">
      <c r="A298" s="7">
        <v>305.80856102171248</v>
      </c>
      <c r="B298"/>
      <c r="C298"/>
      <c r="D298"/>
      <c r="E298"/>
      <c r="CK298" s="27" t="s">
        <v>8</v>
      </c>
      <c r="CM298" s="27" t="s">
        <v>8</v>
      </c>
      <c r="CP298" s="27" t="s">
        <v>7</v>
      </c>
      <c r="CQ298" s="27" t="s">
        <v>8</v>
      </c>
      <c r="CV298" s="27" t="s">
        <v>7</v>
      </c>
      <c r="CZ298" s="27" t="s">
        <v>7</v>
      </c>
      <c r="DA298" s="27" t="s">
        <v>8</v>
      </c>
      <c r="DB298" s="27" t="s">
        <v>7</v>
      </c>
      <c r="DC298" s="27" t="s">
        <v>8</v>
      </c>
      <c r="DD298" s="27" t="s">
        <v>7</v>
      </c>
      <c r="DE298" s="27" t="s">
        <v>8</v>
      </c>
      <c r="DF298" s="27" t="s">
        <v>7</v>
      </c>
      <c r="DH298" s="27" t="s">
        <v>7</v>
      </c>
    </row>
    <row r="299" spans="1:119" x14ac:dyDescent="0.25">
      <c r="A299" s="7">
        <v>299.81231472716911</v>
      </c>
      <c r="B299"/>
      <c r="C299"/>
      <c r="D299"/>
      <c r="E299"/>
      <c r="CK299" s="27" t="s">
        <v>8</v>
      </c>
      <c r="CL299" s="27" t="s">
        <v>7</v>
      </c>
      <c r="CM299" s="27" t="s">
        <v>8</v>
      </c>
      <c r="CP299" s="27" t="s">
        <v>7</v>
      </c>
      <c r="CQ299" s="27" t="s">
        <v>8</v>
      </c>
      <c r="CZ299" s="27" t="s">
        <v>7</v>
      </c>
      <c r="DA299" s="27" t="s">
        <v>8</v>
      </c>
      <c r="DB299" s="27" t="s">
        <v>7</v>
      </c>
      <c r="DC299" s="27" t="s">
        <v>8</v>
      </c>
      <c r="DD299" s="27" t="s">
        <v>7</v>
      </c>
    </row>
    <row r="300" spans="1:119" x14ac:dyDescent="0.25">
      <c r="A300" s="7">
        <v>293.93364188938148</v>
      </c>
      <c r="B300"/>
      <c r="C300"/>
      <c r="D300"/>
      <c r="E300"/>
      <c r="CK300" s="27" t="s">
        <v>8</v>
      </c>
      <c r="CL300" s="27" t="s">
        <v>7</v>
      </c>
      <c r="CM300" s="27" t="s">
        <v>8</v>
      </c>
      <c r="CP300" s="27" t="s">
        <v>7</v>
      </c>
      <c r="CQ300" s="27" t="s">
        <v>8</v>
      </c>
      <c r="CZ300" s="27" t="s">
        <v>7</v>
      </c>
      <c r="DA300" s="27" t="s">
        <v>8</v>
      </c>
      <c r="DB300" s="27" t="s">
        <v>7</v>
      </c>
    </row>
    <row r="301" spans="1:119" x14ac:dyDescent="0.25">
      <c r="A301" s="7">
        <v>288.17023714645245</v>
      </c>
      <c r="B301"/>
      <c r="C301"/>
      <c r="D301"/>
      <c r="E301"/>
      <c r="CK301" s="27" t="s">
        <v>8</v>
      </c>
      <c r="CL301" s="27" t="s">
        <v>7</v>
      </c>
      <c r="CM301" s="27" t="s">
        <v>8</v>
      </c>
      <c r="CP301" s="27" t="s">
        <v>7</v>
      </c>
      <c r="CQ301" s="27" t="s">
        <v>8</v>
      </c>
      <c r="CZ301" s="27" t="s">
        <v>7</v>
      </c>
      <c r="DA301" s="27" t="s">
        <v>8</v>
      </c>
    </row>
    <row r="302" spans="1:119" x14ac:dyDescent="0.25">
      <c r="A302" s="7">
        <v>282.51984033965925</v>
      </c>
      <c r="B302"/>
      <c r="C302"/>
      <c r="D302"/>
      <c r="E302"/>
      <c r="CK302" s="27" t="s">
        <v>8</v>
      </c>
      <c r="CL302" s="27" t="s">
        <v>7</v>
      </c>
      <c r="CM302" s="27" t="s">
        <v>8</v>
      </c>
      <c r="CP302" s="27" t="s">
        <v>7</v>
      </c>
      <c r="CQ302" s="27" t="s">
        <v>8</v>
      </c>
      <c r="CZ302" s="27" t="s">
        <v>7</v>
      </c>
      <c r="DA302" s="27" t="s">
        <v>8</v>
      </c>
    </row>
    <row r="303" spans="1:119" x14ac:dyDescent="0.25">
      <c r="A303" s="7">
        <v>276.98023562711688</v>
      </c>
      <c r="B303"/>
      <c r="C303"/>
      <c r="D303"/>
      <c r="E303"/>
      <c r="CK303" s="27" t="s">
        <v>8</v>
      </c>
      <c r="CL303" s="27" t="s">
        <v>7</v>
      </c>
      <c r="CM303" s="27" t="s">
        <v>8</v>
      </c>
      <c r="CP303" s="27" t="s">
        <v>7</v>
      </c>
      <c r="CQ303" s="27" t="s">
        <v>8</v>
      </c>
      <c r="CZ303" s="27" t="s">
        <v>7</v>
      </c>
      <c r="DA303" s="27" t="s">
        <v>8</v>
      </c>
    </row>
    <row r="304" spans="1:119" x14ac:dyDescent="0.25">
      <c r="A304" s="7">
        <v>271.54925061482049</v>
      </c>
      <c r="B304"/>
      <c r="C304"/>
      <c r="D304"/>
      <c r="E304"/>
      <c r="CK304" s="27" t="s">
        <v>8</v>
      </c>
      <c r="CL304" s="27" t="s">
        <v>7</v>
      </c>
      <c r="CM304" s="27" t="s">
        <v>8</v>
      </c>
      <c r="CP304" s="27" t="s">
        <v>7</v>
      </c>
      <c r="CQ304" s="27" t="s">
        <v>8</v>
      </c>
      <c r="CZ304" s="27" t="s">
        <v>7</v>
      </c>
    </row>
    <row r="305" spans="1:95" x14ac:dyDescent="0.25">
      <c r="A305" s="7">
        <v>266.22475550472598</v>
      </c>
      <c r="B305"/>
      <c r="C305"/>
      <c r="D305"/>
      <c r="E305"/>
      <c r="CK305" s="27" t="s">
        <v>8</v>
      </c>
      <c r="CL305" s="27" t="s">
        <v>7</v>
      </c>
      <c r="CM305" s="27" t="s">
        <v>8</v>
      </c>
      <c r="CP305" s="27" t="s">
        <v>7</v>
      </c>
      <c r="CQ305" s="27" t="s">
        <v>8</v>
      </c>
    </row>
    <row r="306" spans="1:95" x14ac:dyDescent="0.25">
      <c r="A306" s="7">
        <v>261.00466225953528</v>
      </c>
      <c r="B306"/>
      <c r="C306"/>
      <c r="D306"/>
      <c r="E306"/>
      <c r="CK306" s="27" t="s">
        <v>8</v>
      </c>
      <c r="CL306" s="27" t="s">
        <v>7</v>
      </c>
      <c r="CM306" s="27" t="s">
        <v>8</v>
      </c>
      <c r="CP306" s="27" t="s">
        <v>7</v>
      </c>
      <c r="CQ306" s="27" t="s">
        <v>8</v>
      </c>
    </row>
    <row r="307" spans="1:95" x14ac:dyDescent="0.25">
      <c r="A307" s="7">
        <v>255.88692378385809</v>
      </c>
      <c r="B307"/>
      <c r="C307"/>
      <c r="D307"/>
      <c r="E307"/>
      <c r="CK307" s="27" t="s">
        <v>8</v>
      </c>
      <c r="CL307" s="27" t="s">
        <v>7</v>
      </c>
      <c r="CM307" s="27" t="s">
        <v>8</v>
      </c>
      <c r="CP307" s="27" t="s">
        <v>7</v>
      </c>
      <c r="CQ307" s="27" t="s">
        <v>8</v>
      </c>
    </row>
    <row r="308" spans="1:95" x14ac:dyDescent="0.25">
      <c r="A308" s="7">
        <v>250.8695331214295</v>
      </c>
      <c r="B308"/>
      <c r="C308"/>
      <c r="D308"/>
      <c r="E308"/>
      <c r="CK308" s="27" t="s">
        <v>8</v>
      </c>
      <c r="CL308" s="27" t="s">
        <v>7</v>
      </c>
      <c r="CM308" s="27" t="s">
        <v>8</v>
      </c>
      <c r="CP308" s="27" t="s">
        <v>7</v>
      </c>
    </row>
    <row r="309" spans="1:95" x14ac:dyDescent="0.25">
      <c r="A309" s="7">
        <v>245.95052266806812</v>
      </c>
      <c r="B309"/>
      <c r="C309"/>
      <c r="D309"/>
      <c r="E309"/>
      <c r="CK309" s="27" t="s">
        <v>8</v>
      </c>
      <c r="CL309" s="27" t="s">
        <v>7</v>
      </c>
      <c r="CM309" s="27" t="s">
        <v>8</v>
      </c>
    </row>
    <row r="310" spans="1:95" x14ac:dyDescent="0.25">
      <c r="A310" s="7">
        <v>241.12796340006679</v>
      </c>
      <c r="B310"/>
      <c r="C310"/>
      <c r="D310"/>
      <c r="E310"/>
      <c r="CK310" s="27" t="s">
        <v>8</v>
      </c>
      <c r="CL310" s="27" t="s">
        <v>7</v>
      </c>
      <c r="CM310" s="27" t="s">
        <v>8</v>
      </c>
    </row>
    <row r="311" spans="1:95" x14ac:dyDescent="0.25">
      <c r="A311" s="7">
        <v>236.39996411771253</v>
      </c>
      <c r="B311"/>
      <c r="C311"/>
      <c r="D311"/>
      <c r="E311"/>
      <c r="BY311" s="27" t="s">
        <v>8</v>
      </c>
      <c r="CI311" s="27" t="s">
        <v>8</v>
      </c>
      <c r="CK311" s="27" t="s">
        <v>8</v>
      </c>
      <c r="CL311" s="27" t="s">
        <v>7</v>
      </c>
    </row>
    <row r="312" spans="1:95" x14ac:dyDescent="0.25">
      <c r="A312" s="7">
        <v>231.76467070363972</v>
      </c>
      <c r="B312"/>
      <c r="C312"/>
      <c r="D312"/>
      <c r="E312"/>
      <c r="BY312" s="27" t="s">
        <v>8</v>
      </c>
      <c r="BZ312" s="27" t="s">
        <v>7</v>
      </c>
      <c r="CG312" s="27" t="s">
        <v>8</v>
      </c>
      <c r="CI312" s="27" t="s">
        <v>8</v>
      </c>
      <c r="CJ312" s="27" t="s">
        <v>7</v>
      </c>
      <c r="CK312" s="27" t="s">
        <v>8</v>
      </c>
    </row>
    <row r="313" spans="1:95" x14ac:dyDescent="0.25">
      <c r="A313" s="7">
        <v>227.22026539572522</v>
      </c>
      <c r="B313"/>
      <c r="C313"/>
      <c r="D313"/>
      <c r="E313"/>
      <c r="BY313" s="27" t="s">
        <v>8</v>
      </c>
      <c r="BZ313" s="27" t="s">
        <v>7</v>
      </c>
      <c r="CG313" s="27" t="s">
        <v>8</v>
      </c>
      <c r="CH313" s="27" t="s">
        <v>7</v>
      </c>
      <c r="CI313" s="27" t="s">
        <v>8</v>
      </c>
      <c r="CJ313" s="27" t="s">
        <v>7</v>
      </c>
      <c r="CK313" s="27" t="s">
        <v>8</v>
      </c>
    </row>
    <row r="314" spans="1:95" x14ac:dyDescent="0.25">
      <c r="A314" s="7">
        <v>222.76496607424042</v>
      </c>
      <c r="B314"/>
      <c r="C314"/>
      <c r="D314"/>
      <c r="E314"/>
      <c r="BY314" s="27" t="s">
        <v>8</v>
      </c>
      <c r="BZ314" s="27" t="s">
        <v>7</v>
      </c>
      <c r="CG314" s="27" t="s">
        <v>8</v>
      </c>
      <c r="CH314" s="27" t="s">
        <v>7</v>
      </c>
      <c r="CI314" s="27" t="s">
        <v>8</v>
      </c>
      <c r="CJ314" s="27" t="s">
        <v>7</v>
      </c>
      <c r="CK314" s="27" t="s">
        <v>8</v>
      </c>
    </row>
    <row r="315" spans="1:95" x14ac:dyDescent="0.25">
      <c r="A315" s="7">
        <v>218.39702556298079</v>
      </c>
      <c r="B315"/>
      <c r="C315"/>
      <c r="D315"/>
      <c r="E315"/>
      <c r="BY315" s="27" t="s">
        <v>8</v>
      </c>
      <c r="BZ315" s="27" t="s">
        <v>7</v>
      </c>
      <c r="CG315" s="27" t="s">
        <v>8</v>
      </c>
      <c r="CH315" s="27" t="s">
        <v>7</v>
      </c>
      <c r="CI315" s="27" t="s">
        <v>8</v>
      </c>
      <c r="CJ315" s="27" t="s">
        <v>7</v>
      </c>
      <c r="CK315" s="27" t="s">
        <v>8</v>
      </c>
    </row>
    <row r="316" spans="1:95" x14ac:dyDescent="0.25">
      <c r="A316" s="7">
        <v>214.1147309440988</v>
      </c>
      <c r="B316"/>
      <c r="C316"/>
      <c r="D316"/>
      <c r="E316"/>
      <c r="BY316" s="27" t="s">
        <v>8</v>
      </c>
      <c r="BZ316" s="27" t="s">
        <v>7</v>
      </c>
      <c r="CG316" s="27" t="s">
        <v>8</v>
      </c>
      <c r="CH316" s="27" t="s">
        <v>7</v>
      </c>
      <c r="CI316" s="27" t="s">
        <v>8</v>
      </c>
      <c r="CJ316" s="27" t="s">
        <v>7</v>
      </c>
      <c r="CK316" s="27" t="s">
        <v>8</v>
      </c>
    </row>
    <row r="317" spans="1:95" x14ac:dyDescent="0.25">
      <c r="A317" s="7">
        <v>209.91640288637137</v>
      </c>
      <c r="B317"/>
      <c r="C317"/>
      <c r="D317"/>
      <c r="E317"/>
      <c r="BY317" s="27" t="s">
        <v>8</v>
      </c>
      <c r="BZ317" s="27" t="s">
        <v>7</v>
      </c>
      <c r="CG317" s="27" t="s">
        <v>8</v>
      </c>
      <c r="CH317" s="27" t="s">
        <v>7</v>
      </c>
      <c r="CI317" s="27" t="s">
        <v>8</v>
      </c>
      <c r="CJ317" s="27" t="s">
        <v>7</v>
      </c>
      <c r="CK317" s="27" t="s">
        <v>8</v>
      </c>
    </row>
    <row r="318" spans="1:95" x14ac:dyDescent="0.25">
      <c r="A318" s="7">
        <v>205.80039498663859</v>
      </c>
      <c r="B318"/>
      <c r="C318"/>
      <c r="D318"/>
      <c r="E318"/>
      <c r="BY318" s="27" t="s">
        <v>8</v>
      </c>
      <c r="BZ318" s="27" t="s">
        <v>7</v>
      </c>
      <c r="CG318" s="27" t="s">
        <v>8</v>
      </c>
      <c r="CH318" s="27" t="s">
        <v>7</v>
      </c>
      <c r="CI318" s="27" t="s">
        <v>8</v>
      </c>
      <c r="CJ318" s="27" t="s">
        <v>7</v>
      </c>
      <c r="CK318" s="27" t="s">
        <v>8</v>
      </c>
    </row>
    <row r="319" spans="1:95" x14ac:dyDescent="0.25">
      <c r="A319" s="7">
        <v>201.76509312415547</v>
      </c>
      <c r="B319"/>
      <c r="C319"/>
      <c r="D319"/>
      <c r="E319"/>
      <c r="BY319" s="27" t="s">
        <v>8</v>
      </c>
      <c r="BZ319" s="27" t="s">
        <v>7</v>
      </c>
      <c r="CG319" s="27" t="s">
        <v>8</v>
      </c>
      <c r="CH319" s="27" t="s">
        <v>7</v>
      </c>
      <c r="CI319" s="27" t="s">
        <v>8</v>
      </c>
      <c r="CJ319" s="27" t="s">
        <v>7</v>
      </c>
      <c r="CK319" s="27" t="s">
        <v>8</v>
      </c>
    </row>
    <row r="320" spans="1:95" x14ac:dyDescent="0.25">
      <c r="A320" s="7">
        <v>197.80891482760339</v>
      </c>
      <c r="B320"/>
      <c r="C320"/>
      <c r="D320"/>
      <c r="E320"/>
      <c r="BY320" s="27" t="s">
        <v>8</v>
      </c>
      <c r="BZ320" s="27" t="s">
        <v>7</v>
      </c>
      <c r="CG320" s="27" t="s">
        <v>8</v>
      </c>
      <c r="CH320" s="27" t="s">
        <v>7</v>
      </c>
      <c r="CI320" s="27" t="s">
        <v>8</v>
      </c>
      <c r="CJ320" s="27" t="s">
        <v>7</v>
      </c>
      <c r="CK320" s="27" t="s">
        <v>8</v>
      </c>
    </row>
    <row r="321" spans="1:89" x14ac:dyDescent="0.25">
      <c r="A321" s="7">
        <v>193.93030865451311</v>
      </c>
      <c r="B321"/>
      <c r="C321"/>
      <c r="D321"/>
      <c r="E321"/>
      <c r="BY321" s="27" t="s">
        <v>8</v>
      </c>
      <c r="BZ321" s="27" t="s">
        <v>7</v>
      </c>
      <c r="CG321" s="27" t="s">
        <v>8</v>
      </c>
      <c r="CH321" s="27" t="s">
        <v>7</v>
      </c>
      <c r="CI321" s="27" t="s">
        <v>8</v>
      </c>
      <c r="CJ321" s="27" t="s">
        <v>7</v>
      </c>
      <c r="CK321" s="27" t="s">
        <v>8</v>
      </c>
    </row>
    <row r="322" spans="1:89" x14ac:dyDescent="0.25">
      <c r="A322" s="7">
        <v>190.127753582856</v>
      </c>
      <c r="B322"/>
      <c r="C322"/>
      <c r="D322"/>
      <c r="E322"/>
      <c r="BY322" s="27" t="s">
        <v>8</v>
      </c>
      <c r="BZ322" s="27" t="s">
        <v>7</v>
      </c>
      <c r="CG322" s="27" t="s">
        <v>8</v>
      </c>
      <c r="CH322" s="27" t="s">
        <v>7</v>
      </c>
      <c r="CI322" s="27" t="s">
        <v>8</v>
      </c>
      <c r="CJ322" s="27" t="s">
        <v>7</v>
      </c>
      <c r="CK322" s="27" t="s">
        <v>8</v>
      </c>
    </row>
    <row r="323" spans="1:89" x14ac:dyDescent="0.25">
      <c r="A323" s="7">
        <v>186.3997584145647</v>
      </c>
      <c r="B323"/>
      <c r="C323"/>
      <c r="D323"/>
      <c r="E323"/>
      <c r="BY323" s="27" t="s">
        <v>8</v>
      </c>
      <c r="BZ323" s="27" t="s">
        <v>7</v>
      </c>
      <c r="CG323" s="27" t="s">
        <v>8</v>
      </c>
      <c r="CH323" s="27" t="s">
        <v>7</v>
      </c>
      <c r="CI323" s="27" t="s">
        <v>8</v>
      </c>
      <c r="CJ323" s="27" t="s">
        <v>7</v>
      </c>
    </row>
    <row r="324" spans="1:89" x14ac:dyDescent="0.25">
      <c r="A324" s="7">
        <v>182.7448611907497</v>
      </c>
      <c r="B324"/>
      <c r="C324"/>
      <c r="D324"/>
      <c r="E324"/>
      <c r="BY324" s="27" t="s">
        <v>8</v>
      </c>
      <c r="BZ324" s="27" t="s">
        <v>7</v>
      </c>
      <c r="CG324" s="27" t="s">
        <v>8</v>
      </c>
      <c r="CH324" s="27" t="s">
        <v>7</v>
      </c>
      <c r="CI324" s="27" t="s">
        <v>8</v>
      </c>
    </row>
    <row r="325" spans="1:89" x14ac:dyDescent="0.25">
      <c r="A325" s="7">
        <v>179.16162861838205</v>
      </c>
      <c r="B325"/>
      <c r="C325"/>
      <c r="D325"/>
      <c r="E325"/>
      <c r="BY325" s="27" t="s">
        <v>8</v>
      </c>
      <c r="BZ325" s="27" t="s">
        <v>7</v>
      </c>
      <c r="CG325" s="27" t="s">
        <v>8</v>
      </c>
      <c r="CH325" s="27" t="s">
        <v>7</v>
      </c>
      <c r="CI325" s="27" t="s">
        <v>8</v>
      </c>
    </row>
    <row r="326" spans="1:89" x14ac:dyDescent="0.25">
      <c r="A326" s="7">
        <v>175.6486555082177</v>
      </c>
      <c r="B326"/>
      <c r="C326"/>
      <c r="D326"/>
      <c r="E326"/>
      <c r="BY326" s="27" t="s">
        <v>8</v>
      </c>
      <c r="BZ326" s="27" t="s">
        <v>7</v>
      </c>
      <c r="CG326" s="27" t="s">
        <v>8</v>
      </c>
      <c r="CH326" s="27" t="s">
        <v>7</v>
      </c>
      <c r="CI326" s="27" t="s">
        <v>8</v>
      </c>
    </row>
    <row r="327" spans="1:89" x14ac:dyDescent="0.25">
      <c r="A327" s="7">
        <v>172.20456422374284</v>
      </c>
      <c r="B327"/>
      <c r="C327"/>
      <c r="D327"/>
      <c r="E327"/>
      <c r="BY327" s="27" t="s">
        <v>8</v>
      </c>
      <c r="BZ327" s="27" t="s">
        <v>7</v>
      </c>
      <c r="CE327" s="27" t="s">
        <v>8</v>
      </c>
      <c r="CG327" s="27" t="s">
        <v>8</v>
      </c>
      <c r="CH327" s="27" t="s">
        <v>7</v>
      </c>
      <c r="CI327" s="27" t="s">
        <v>8</v>
      </c>
    </row>
    <row r="328" spans="1:89" x14ac:dyDescent="0.25">
      <c r="A328" s="7">
        <v>168.82800414092435</v>
      </c>
      <c r="B328"/>
      <c r="C328"/>
      <c r="D328"/>
      <c r="E328"/>
      <c r="BY328" s="27" t="s">
        <v>8</v>
      </c>
      <c r="BZ328" s="27" t="s">
        <v>7</v>
      </c>
      <c r="CE328" s="27" t="s">
        <v>8</v>
      </c>
      <c r="CF328" s="27" t="s">
        <v>7</v>
      </c>
      <c r="CG328" s="27" t="s">
        <v>8</v>
      </c>
      <c r="CH328" s="27" t="s">
        <v>7</v>
      </c>
      <c r="CI328" s="27" t="s">
        <v>8</v>
      </c>
    </row>
    <row r="329" spans="1:89" x14ac:dyDescent="0.25">
      <c r="A329" s="7">
        <v>165.51765111855329</v>
      </c>
      <c r="B329"/>
      <c r="C329"/>
      <c r="D329"/>
      <c r="E329"/>
      <c r="BY329" s="27" t="s">
        <v>8</v>
      </c>
      <c r="BZ329" s="27" t="s">
        <v>7</v>
      </c>
      <c r="CA329" s="27" t="s">
        <v>8</v>
      </c>
      <c r="CE329" s="27" t="s">
        <v>8</v>
      </c>
      <c r="CF329" s="27" t="s">
        <v>7</v>
      </c>
      <c r="CG329" s="27" t="s">
        <v>8</v>
      </c>
      <c r="CH329" s="27" t="s">
        <v>7</v>
      </c>
      <c r="CI329" s="27" t="s">
        <v>8</v>
      </c>
    </row>
    <row r="330" spans="1:89" x14ac:dyDescent="0.25">
      <c r="A330" s="7">
        <v>162.2722069789738</v>
      </c>
      <c r="B330"/>
      <c r="C330"/>
      <c r="D330"/>
      <c r="E330"/>
      <c r="BY330" s="27" t="s">
        <v>8</v>
      </c>
      <c r="BZ330" s="27" t="s">
        <v>7</v>
      </c>
      <c r="CA330" s="27" t="s">
        <v>8</v>
      </c>
      <c r="CB330" s="27" t="s">
        <v>7</v>
      </c>
      <c r="CE330" s="27" t="s">
        <v>8</v>
      </c>
      <c r="CF330" s="27" t="s">
        <v>7</v>
      </c>
      <c r="CG330" s="27" t="s">
        <v>8</v>
      </c>
      <c r="CH330" s="27" t="s">
        <v>7</v>
      </c>
    </row>
    <row r="331" spans="1:89" x14ac:dyDescent="0.25">
      <c r="A331" s="7">
        <v>159.09039899899392</v>
      </c>
      <c r="B331"/>
      <c r="C331"/>
      <c r="D331"/>
      <c r="E331"/>
      <c r="BY331" s="27" t="s">
        <v>8</v>
      </c>
      <c r="BZ331" s="27" t="s">
        <v>7</v>
      </c>
      <c r="CA331" s="27" t="s">
        <v>8</v>
      </c>
      <c r="CB331" s="27" t="s">
        <v>7</v>
      </c>
      <c r="CC331" s="27" t="s">
        <v>8</v>
      </c>
      <c r="CE331" s="27" t="s">
        <v>8</v>
      </c>
      <c r="CF331" s="27" t="s">
        <v>7</v>
      </c>
      <c r="CG331" s="27" t="s">
        <v>8</v>
      </c>
    </row>
    <row r="332" spans="1:89" x14ac:dyDescent="0.25">
      <c r="A332" s="7">
        <v>155.97097941077834</v>
      </c>
      <c r="B332"/>
      <c r="C332"/>
      <c r="D332"/>
      <c r="E332"/>
      <c r="BY332" s="27" t="s">
        <v>8</v>
      </c>
      <c r="BZ332" s="27" t="s">
        <v>7</v>
      </c>
      <c r="CA332" s="27" t="s">
        <v>8</v>
      </c>
      <c r="CB332" s="27" t="s">
        <v>7</v>
      </c>
      <c r="CC332" s="27" t="s">
        <v>8</v>
      </c>
      <c r="CD332" s="27" t="s">
        <v>7</v>
      </c>
      <c r="CE332" s="27" t="s">
        <v>8</v>
      </c>
      <c r="CF332" s="27" t="s">
        <v>7</v>
      </c>
      <c r="CG332" s="27" t="s">
        <v>8</v>
      </c>
    </row>
    <row r="333" spans="1:89" x14ac:dyDescent="0.25">
      <c r="A333" s="7">
        <v>152.91272491252778</v>
      </c>
      <c r="B333"/>
      <c r="C333"/>
      <c r="D333"/>
      <c r="E333"/>
      <c r="BY333" s="27" t="s">
        <v>8</v>
      </c>
      <c r="BZ333" s="27" t="s">
        <v>7</v>
      </c>
      <c r="CA333" s="27" t="s">
        <v>8</v>
      </c>
      <c r="CB333" s="27" t="s">
        <v>7</v>
      </c>
      <c r="CC333" s="27" t="s">
        <v>8</v>
      </c>
      <c r="CD333" s="27" t="s">
        <v>7</v>
      </c>
      <c r="CE333" s="27" t="s">
        <v>8</v>
      </c>
      <c r="CF333" s="27" t="s">
        <v>7</v>
      </c>
      <c r="CG333" s="27" t="s">
        <v>8</v>
      </c>
    </row>
    <row r="334" spans="1:89" x14ac:dyDescent="0.25">
      <c r="A334" s="7">
        <v>149.91443618875272</v>
      </c>
      <c r="B334"/>
      <c r="C334"/>
      <c r="D334"/>
      <c r="E334"/>
      <c r="BY334" s="27" t="s">
        <v>8</v>
      </c>
      <c r="BZ334" s="27" t="s">
        <v>7</v>
      </c>
      <c r="CA334" s="27" t="s">
        <v>8</v>
      </c>
      <c r="CB334" s="27" t="s">
        <v>7</v>
      </c>
      <c r="CC334" s="27" t="s">
        <v>8</v>
      </c>
      <c r="CD334" s="27" t="s">
        <v>7</v>
      </c>
      <c r="CE334" s="27" t="s">
        <v>8</v>
      </c>
      <c r="CF334" s="27" t="s">
        <v>7</v>
      </c>
      <c r="CG334" s="27" t="s">
        <v>8</v>
      </c>
    </row>
    <row r="335" spans="1:89" x14ac:dyDescent="0.25">
      <c r="A335" s="7">
        <v>146.97493743995364</v>
      </c>
      <c r="B335"/>
      <c r="C335"/>
      <c r="D335"/>
      <c r="E335"/>
      <c r="BY335" s="27" t="s">
        <v>8</v>
      </c>
      <c r="BZ335" s="27" t="s">
        <v>7</v>
      </c>
      <c r="CA335" s="27" t="s">
        <v>8</v>
      </c>
      <c r="CB335" s="27" t="s">
        <v>7</v>
      </c>
      <c r="CC335" s="27" t="s">
        <v>8</v>
      </c>
      <c r="CD335" s="27" t="s">
        <v>7</v>
      </c>
      <c r="CE335" s="27" t="s">
        <v>8</v>
      </c>
      <c r="CF335" s="27" t="s">
        <v>7</v>
      </c>
      <c r="CG335" s="27" t="s">
        <v>8</v>
      </c>
    </row>
    <row r="336" spans="1:89" x14ac:dyDescent="0.25">
      <c r="A336" s="7">
        <v>144.09307592152317</v>
      </c>
      <c r="B336"/>
      <c r="C336"/>
      <c r="D336"/>
      <c r="E336"/>
      <c r="BY336" s="27" t="s">
        <v>8</v>
      </c>
      <c r="BZ336" s="27" t="s">
        <v>7</v>
      </c>
      <c r="CA336" s="27" t="s">
        <v>8</v>
      </c>
      <c r="CB336" s="27" t="s">
        <v>7</v>
      </c>
      <c r="CC336" s="27" t="s">
        <v>8</v>
      </c>
      <c r="CD336" s="27" t="s">
        <v>7</v>
      </c>
      <c r="CE336" s="27" t="s">
        <v>8</v>
      </c>
      <c r="CF336" s="27" t="s">
        <v>7</v>
      </c>
      <c r="CG336" s="27" t="s">
        <v>8</v>
      </c>
    </row>
    <row r="337" spans="1:85" x14ac:dyDescent="0.25">
      <c r="A337" s="7">
        <v>141.26772149168937</v>
      </c>
      <c r="B337"/>
      <c r="C337"/>
      <c r="D337"/>
      <c r="E337"/>
      <c r="BY337" s="27" t="s">
        <v>8</v>
      </c>
      <c r="BZ337" s="27" t="s">
        <v>7</v>
      </c>
      <c r="CA337" s="27" t="s">
        <v>8</v>
      </c>
      <c r="CB337" s="27" t="s">
        <v>7</v>
      </c>
      <c r="CC337" s="27" t="s">
        <v>8</v>
      </c>
      <c r="CD337" s="27" t="s">
        <v>7</v>
      </c>
      <c r="CE337" s="27" t="s">
        <v>8</v>
      </c>
      <c r="CF337" s="27" t="s">
        <v>7</v>
      </c>
      <c r="CG337" s="27" t="s">
        <v>8</v>
      </c>
    </row>
    <row r="338" spans="1:85" x14ac:dyDescent="0.25">
      <c r="A338" s="7">
        <v>138.4977661683229</v>
      </c>
      <c r="B338"/>
      <c r="C338"/>
      <c r="D338"/>
      <c r="E338"/>
      <c r="BY338" s="27" t="s">
        <v>8</v>
      </c>
      <c r="BZ338" s="27" t="s">
        <v>7</v>
      </c>
      <c r="CA338" s="27" t="s">
        <v>8</v>
      </c>
      <c r="CB338" s="27" t="s">
        <v>7</v>
      </c>
      <c r="CC338" s="27" t="s">
        <v>8</v>
      </c>
      <c r="CD338" s="27" t="s">
        <v>7</v>
      </c>
      <c r="CE338" s="27" t="s">
        <v>8</v>
      </c>
      <c r="CF338" s="27" t="s">
        <v>7</v>
      </c>
      <c r="CG338" s="27" t="s">
        <v>8</v>
      </c>
    </row>
    <row r="339" spans="1:85" x14ac:dyDescent="0.25">
      <c r="A339" s="7">
        <v>135.7821236944342</v>
      </c>
      <c r="B339"/>
      <c r="C339"/>
      <c r="D339"/>
      <c r="E339"/>
      <c r="BY339" s="27" t="s">
        <v>8</v>
      </c>
      <c r="BZ339" s="27" t="s">
        <v>7</v>
      </c>
      <c r="CA339" s="27" t="s">
        <v>8</v>
      </c>
      <c r="CB339" s="27" t="s">
        <v>7</v>
      </c>
      <c r="CC339" s="27" t="s">
        <v>8</v>
      </c>
      <c r="CD339" s="27" t="s">
        <v>7</v>
      </c>
      <c r="CE339" s="27" t="s">
        <v>8</v>
      </c>
      <c r="CF339" s="27" t="s">
        <v>7</v>
      </c>
      <c r="CG339" s="27" t="s">
        <v>8</v>
      </c>
    </row>
    <row r="340" spans="1:85" x14ac:dyDescent="0.25">
      <c r="A340" s="7">
        <v>133.11972911219038</v>
      </c>
      <c r="B340"/>
      <c r="C340"/>
      <c r="D340"/>
      <c r="E340"/>
      <c r="BY340" s="27" t="s">
        <v>8</v>
      </c>
      <c r="BZ340" s="27" t="s">
        <v>7</v>
      </c>
      <c r="CA340" s="27" t="s">
        <v>8</v>
      </c>
      <c r="CB340" s="27" t="s">
        <v>7</v>
      </c>
      <c r="CC340" s="27" t="s">
        <v>8</v>
      </c>
      <c r="CD340" s="27" t="s">
        <v>7</v>
      </c>
      <c r="CE340" s="27" t="s">
        <v>8</v>
      </c>
      <c r="CF340" s="27" t="s">
        <v>7</v>
      </c>
    </row>
    <row r="341" spans="1:85" x14ac:dyDescent="0.25">
      <c r="A341" s="7">
        <v>130.50953834528468</v>
      </c>
      <c r="B341"/>
      <c r="C341"/>
      <c r="D341"/>
      <c r="E341"/>
      <c r="BY341" s="27" t="s">
        <v>8</v>
      </c>
      <c r="BZ341" s="27" t="s">
        <v>7</v>
      </c>
      <c r="CA341" s="27" t="s">
        <v>8</v>
      </c>
      <c r="CB341" s="27" t="s">
        <v>7</v>
      </c>
      <c r="CC341" s="27" t="s">
        <v>8</v>
      </c>
      <c r="CD341" s="27" t="s">
        <v>7</v>
      </c>
    </row>
    <row r="342" spans="1:85" x14ac:dyDescent="0.25">
      <c r="A342" s="7">
        <v>127.95052778949477</v>
      </c>
      <c r="B342"/>
      <c r="C342"/>
      <c r="D342"/>
      <c r="E342"/>
      <c r="BY342" s="27" t="s">
        <v>8</v>
      </c>
      <c r="BZ342" s="27" t="s">
        <v>7</v>
      </c>
      <c r="CB342" s="27" t="s">
        <v>7</v>
      </c>
      <c r="CC342" s="27" t="s">
        <v>8</v>
      </c>
    </row>
    <row r="343" spans="1:85" x14ac:dyDescent="0.25">
      <c r="A343" s="7">
        <v>125.44169391126938</v>
      </c>
      <c r="B343"/>
      <c r="C343"/>
      <c r="D343"/>
      <c r="E343"/>
      <c r="BY343" s="27" t="s">
        <v>8</v>
      </c>
      <c r="CB343" s="27" t="s">
        <v>7</v>
      </c>
      <c r="CC343" s="27" t="s">
        <v>8</v>
      </c>
    </row>
    <row r="344" spans="1:85" x14ac:dyDescent="0.25">
      <c r="A344" s="7">
        <v>122.98205285418567</v>
      </c>
      <c r="B344"/>
      <c r="C344"/>
      <c r="D344"/>
      <c r="E344"/>
      <c r="BY344" s="27" t="s">
        <v>8</v>
      </c>
      <c r="CB344" s="27" t="s">
        <v>7</v>
      </c>
      <c r="CC344" s="27" t="s">
        <v>8</v>
      </c>
    </row>
    <row r="345" spans="1:85" x14ac:dyDescent="0.25">
      <c r="A345" s="7">
        <v>120.5706400531232</v>
      </c>
      <c r="B345"/>
      <c r="C345"/>
      <c r="D345"/>
      <c r="E345"/>
      <c r="BY345" s="27" t="s">
        <v>8</v>
      </c>
      <c r="CB345" s="27" t="s">
        <v>7</v>
      </c>
    </row>
    <row r="346" spans="1:85" x14ac:dyDescent="0.25">
      <c r="A346" s="7">
        <v>118.20650985600314</v>
      </c>
      <c r="B346"/>
      <c r="C346"/>
      <c r="D346"/>
      <c r="E346"/>
      <c r="BY346" s="27" t="s">
        <v>8</v>
      </c>
    </row>
    <row r="347" spans="1:85" x14ac:dyDescent="0.25">
      <c r="A347" s="7">
        <v>115.88873515294425</v>
      </c>
      <c r="B347"/>
      <c r="C347"/>
      <c r="D347"/>
      <c r="E347"/>
      <c r="BY347" s="27" t="s">
        <v>8</v>
      </c>
    </row>
    <row r="348" spans="1:85" x14ac:dyDescent="0.25">
      <c r="A348" s="7">
        <v>113.61640701269044</v>
      </c>
      <c r="B348"/>
      <c r="C348"/>
      <c r="D348"/>
      <c r="E348"/>
      <c r="BY348" s="27" t="s">
        <v>8</v>
      </c>
    </row>
    <row r="349" spans="1:85" x14ac:dyDescent="0.25">
      <c r="A349" s="7">
        <v>111.38863432616711</v>
      </c>
      <c r="B349"/>
      <c r="C349"/>
      <c r="D349"/>
      <c r="E349"/>
      <c r="BY349" s="27" t="s">
        <v>8</v>
      </c>
    </row>
    <row r="350" spans="1:85" x14ac:dyDescent="0.25">
      <c r="A350" s="7">
        <v>109.20454345702657</v>
      </c>
      <c r="B350"/>
      <c r="C350"/>
      <c r="D350"/>
      <c r="E350"/>
      <c r="BY350" s="27" t="s">
        <v>8</v>
      </c>
    </row>
    <row r="351" spans="1:85" x14ac:dyDescent="0.25">
      <c r="A351" s="7">
        <v>107.06327789904566</v>
      </c>
      <c r="B351"/>
      <c r="C351"/>
      <c r="D351"/>
      <c r="E351"/>
      <c r="BY351" s="27" t="s">
        <v>8</v>
      </c>
    </row>
    <row r="352" spans="1:85" x14ac:dyDescent="0.25">
      <c r="A352" s="7">
        <v>104.96399794024084</v>
      </c>
      <c r="B352"/>
      <c r="C352"/>
      <c r="D352"/>
      <c r="E352"/>
      <c r="BY352" s="27" t="s">
        <v>8</v>
      </c>
    </row>
    <row r="353" spans="1:77" x14ac:dyDescent="0.25">
      <c r="A353" s="7">
        <v>102.90588033356946</v>
      </c>
      <c r="B353"/>
      <c r="C353"/>
      <c r="D353"/>
      <c r="E353"/>
      <c r="BY353" s="27" t="s">
        <v>8</v>
      </c>
    </row>
    <row r="354" spans="1:77" x14ac:dyDescent="0.25">
      <c r="A354" s="7">
        <v>100.88811797408771</v>
      </c>
      <c r="B354"/>
      <c r="C354"/>
      <c r="D354"/>
      <c r="E354"/>
      <c r="BY354" s="27" t="s">
        <v>8</v>
      </c>
    </row>
    <row r="355" spans="1:77" x14ac:dyDescent="0.25">
      <c r="A355" s="7">
        <v>98.909919582438931</v>
      </c>
      <c r="B355"/>
      <c r="C355"/>
      <c r="D355"/>
      <c r="E355"/>
      <c r="BY355" s="27" t="s">
        <v>8</v>
      </c>
    </row>
    <row r="356" spans="1:77" x14ac:dyDescent="0.25">
      <c r="A356" s="7">
        <v>96.970509394547975</v>
      </c>
      <c r="B356"/>
      <c r="C356"/>
      <c r="D356"/>
      <c r="E356"/>
      <c r="BY356" s="27" t="s">
        <v>8</v>
      </c>
    </row>
    <row r="357" spans="1:77" x14ac:dyDescent="0.25">
      <c r="A357" s="7">
        <v>95.069126857399979</v>
      </c>
      <c r="B357"/>
      <c r="C357"/>
      <c r="D357"/>
      <c r="E357"/>
      <c r="BY357" s="27" t="s">
        <v>8</v>
      </c>
    </row>
    <row r="358" spans="1:77" x14ac:dyDescent="0.25">
      <c r="A358" s="7">
        <v>93.205026330784293</v>
      </c>
      <c r="B358"/>
      <c r="C358"/>
      <c r="D358"/>
      <c r="E358"/>
      <c r="BY358" s="27" t="s">
        <v>8</v>
      </c>
    </row>
    <row r="359" spans="1:77" x14ac:dyDescent="0.25">
      <c r="A359" s="7">
        <v>91.377476794886562</v>
      </c>
      <c r="B359"/>
      <c r="C359"/>
      <c r="D359"/>
      <c r="E359"/>
      <c r="BW359" s="27" t="s">
        <v>8</v>
      </c>
      <c r="BY359" s="27" t="s">
        <v>8</v>
      </c>
    </row>
    <row r="360" spans="1:77" x14ac:dyDescent="0.25">
      <c r="A360" s="7">
        <v>89.58576156361427</v>
      </c>
      <c r="B360"/>
      <c r="C360"/>
      <c r="D360"/>
      <c r="E360"/>
      <c r="BU360" s="27" t="s">
        <v>8</v>
      </c>
      <c r="BW360" s="27" t="s">
        <v>8</v>
      </c>
      <c r="BX360" s="27" t="s">
        <v>7</v>
      </c>
      <c r="BY360" s="27" t="s">
        <v>8</v>
      </c>
    </row>
    <row r="361" spans="1:77" x14ac:dyDescent="0.25">
      <c r="A361" s="7">
        <v>87.829178003543404</v>
      </c>
      <c r="B361"/>
      <c r="C361"/>
      <c r="D361"/>
      <c r="E361"/>
      <c r="BU361" s="27" t="s">
        <v>8</v>
      </c>
      <c r="BV361" s="27" t="s">
        <v>7</v>
      </c>
      <c r="BW361" s="27" t="s">
        <v>8</v>
      </c>
      <c r="BX361" s="27" t="s">
        <v>7</v>
      </c>
      <c r="BY361" s="27" t="s">
        <v>8</v>
      </c>
    </row>
    <row r="362" spans="1:77" x14ac:dyDescent="0.25">
      <c r="A362" s="7">
        <v>86.107037258375883</v>
      </c>
      <c r="B362"/>
      <c r="C362"/>
      <c r="D362"/>
      <c r="E362"/>
      <c r="BU362" s="27" t="s">
        <v>8</v>
      </c>
      <c r="BV362" s="27" t="s">
        <v>7</v>
      </c>
      <c r="BW362" s="27" t="s">
        <v>8</v>
      </c>
      <c r="BX362" s="27" t="s">
        <v>7</v>
      </c>
      <c r="BY362" s="27" t="s">
        <v>8</v>
      </c>
    </row>
    <row r="363" spans="1:77" x14ac:dyDescent="0.25">
      <c r="A363" s="7">
        <v>84.418663978799884</v>
      </c>
      <c r="B363"/>
      <c r="C363"/>
      <c r="D363"/>
      <c r="E363"/>
      <c r="BU363" s="27" t="s">
        <v>8</v>
      </c>
      <c r="BV363" s="27" t="s">
        <v>7</v>
      </c>
      <c r="BW363" s="27" t="s">
        <v>8</v>
      </c>
      <c r="BX363" s="27" t="s">
        <v>7</v>
      </c>
      <c r="BY363" s="27" t="s">
        <v>8</v>
      </c>
    </row>
    <row r="364" spans="1:77" x14ac:dyDescent="0.25">
      <c r="A364" s="7">
        <v>82.763396057646943</v>
      </c>
      <c r="B364"/>
      <c r="C364"/>
      <c r="D364"/>
      <c r="E364"/>
      <c r="BU364" s="27" t="s">
        <v>8</v>
      </c>
      <c r="BV364" s="27" t="s">
        <v>7</v>
      </c>
      <c r="BW364" s="27" t="s">
        <v>8</v>
      </c>
      <c r="BX364" s="27" t="s">
        <v>7</v>
      </c>
    </row>
    <row r="365" spans="1:77" x14ac:dyDescent="0.25">
      <c r="A365" s="7">
        <v>81.140584370242095</v>
      </c>
      <c r="B365"/>
      <c r="C365"/>
      <c r="D365"/>
      <c r="E365"/>
      <c r="BS365" s="27" t="s">
        <v>8</v>
      </c>
      <c r="BU365" s="27" t="s">
        <v>8</v>
      </c>
      <c r="BV365" s="27" t="s">
        <v>7</v>
      </c>
      <c r="BW365" s="27" t="s">
        <v>8</v>
      </c>
    </row>
    <row r="366" spans="1:77" x14ac:dyDescent="0.25">
      <c r="A366" s="7">
        <v>79.549592519845191</v>
      </c>
      <c r="B366"/>
      <c r="C366"/>
      <c r="D366"/>
      <c r="E366"/>
      <c r="BS366" s="27" t="s">
        <v>8</v>
      </c>
      <c r="BT366" s="27" t="s">
        <v>7</v>
      </c>
      <c r="BU366" s="27" t="s">
        <v>8</v>
      </c>
      <c r="BV366" s="27" t="s">
        <v>7</v>
      </c>
    </row>
    <row r="367" spans="1:77" x14ac:dyDescent="0.25">
      <c r="A367" s="7">
        <v>77.989796588083522</v>
      </c>
      <c r="B367"/>
      <c r="C367"/>
      <c r="D367"/>
      <c r="E367"/>
      <c r="BS367" s="27" t="s">
        <v>8</v>
      </c>
      <c r="BT367" s="27" t="s">
        <v>7</v>
      </c>
      <c r="BU367" s="27" t="s">
        <v>8</v>
      </c>
    </row>
    <row r="368" spans="1:77" x14ac:dyDescent="0.25">
      <c r="A368" s="7">
        <v>76.460584890277957</v>
      </c>
      <c r="B368"/>
      <c r="C368"/>
      <c r="D368"/>
      <c r="E368"/>
      <c r="BS368" s="27" t="s">
        <v>8</v>
      </c>
      <c r="BT368" s="27" t="s">
        <v>7</v>
      </c>
    </row>
    <row r="369" spans="1:71" x14ac:dyDescent="0.25">
      <c r="A369" s="7">
        <v>74.961357735566622</v>
      </c>
      <c r="B369"/>
      <c r="C369"/>
      <c r="D369"/>
      <c r="E369"/>
      <c r="BS369" s="27" t="s">
        <v>8</v>
      </c>
    </row>
    <row r="370" spans="1:71" x14ac:dyDescent="0.25">
      <c r="A370" s="7">
        <v>73.491527191731976</v>
      </c>
      <c r="B370"/>
      <c r="C370"/>
      <c r="D370"/>
      <c r="E370"/>
      <c r="BS370" s="27" t="s">
        <v>8</v>
      </c>
    </row>
    <row r="371" spans="1:71" x14ac:dyDescent="0.25">
      <c r="A371" s="7">
        <v>72.050516854639184</v>
      </c>
      <c r="B371"/>
      <c r="C371"/>
      <c r="D371"/>
      <c r="E371"/>
      <c r="BS371" s="27" t="s">
        <v>8</v>
      </c>
    </row>
    <row r="372" spans="1:71" x14ac:dyDescent="0.25">
      <c r="A372" s="7">
        <v>70.637761622195271</v>
      </c>
      <c r="B372"/>
      <c r="C372"/>
      <c r="D372"/>
      <c r="E372"/>
      <c r="BS372" s="27" t="s">
        <v>8</v>
      </c>
    </row>
    <row r="373" spans="1:71" x14ac:dyDescent="0.25">
      <c r="A373" s="7">
        <v>69.252707472740454</v>
      </c>
      <c r="B373"/>
      <c r="C373"/>
      <c r="D373"/>
      <c r="E373"/>
      <c r="BS373" s="27" t="s">
        <v>8</v>
      </c>
    </row>
    <row r="374" spans="1:71" x14ac:dyDescent="0.25">
      <c r="A374" s="7">
        <v>67.894811247784759</v>
      </c>
      <c r="B374"/>
      <c r="C374"/>
      <c r="D374"/>
      <c r="E374"/>
      <c r="BS374" s="27" t="s">
        <v>8</v>
      </c>
    </row>
    <row r="375" spans="1:71" x14ac:dyDescent="0.25">
      <c r="A375" s="7">
        <v>66.563540439004669</v>
      </c>
      <c r="B375"/>
      <c r="C375"/>
      <c r="D375"/>
      <c r="E375"/>
      <c r="BS375" s="27" t="s">
        <v>8</v>
      </c>
    </row>
    <row r="376" spans="1:71" x14ac:dyDescent="0.25">
      <c r="A376" s="7">
        <v>65.258372979416336</v>
      </c>
      <c r="B376"/>
      <c r="C376"/>
      <c r="D376"/>
      <c r="E376"/>
      <c r="BS376" s="27" t="s">
        <v>8</v>
      </c>
    </row>
    <row r="377" spans="1:71" x14ac:dyDescent="0.25">
      <c r="A377" s="7">
        <v>63.978797038643471</v>
      </c>
      <c r="B377"/>
      <c r="C377"/>
      <c r="D377"/>
      <c r="E377"/>
      <c r="BS377" s="27" t="s">
        <v>8</v>
      </c>
    </row>
    <row r="378" spans="1:71" x14ac:dyDescent="0.25">
      <c r="A378" s="7">
        <v>62.724310822199477</v>
      </c>
      <c r="B378"/>
      <c r="C378"/>
      <c r="D378"/>
      <c r="E378"/>
      <c r="BS378" s="27" t="s">
        <v>8</v>
      </c>
    </row>
    <row r="379" spans="1:71" x14ac:dyDescent="0.25">
      <c r="A379" s="7">
        <v>61.494422374705366</v>
      </c>
      <c r="B379"/>
      <c r="C379"/>
      <c r="D379"/>
      <c r="E379"/>
      <c r="BS379" s="27" t="s">
        <v>8</v>
      </c>
    </row>
    <row r="380" spans="1:71" x14ac:dyDescent="0.25">
      <c r="A380" s="7">
        <v>60.288649386966043</v>
      </c>
      <c r="B380"/>
      <c r="C380"/>
      <c r="D380"/>
      <c r="E380"/>
      <c r="BS380" s="27" t="s">
        <v>8</v>
      </c>
    </row>
    <row r="381" spans="1:71" x14ac:dyDescent="0.25">
      <c r="A381" s="7">
        <v>59.106519006829451</v>
      </c>
      <c r="B381"/>
      <c r="C381"/>
      <c r="D381"/>
      <c r="E381"/>
      <c r="BS381" s="27" t="s">
        <v>8</v>
      </c>
    </row>
    <row r="382" spans="1:71" x14ac:dyDescent="0.25">
      <c r="A382" s="7">
        <v>57.947567653754362</v>
      </c>
      <c r="B382"/>
      <c r="C382"/>
      <c r="D382"/>
      <c r="E382"/>
      <c r="BS382" s="27" t="s">
        <v>8</v>
      </c>
    </row>
    <row r="383" spans="1:71" x14ac:dyDescent="0.25">
      <c r="A383" s="7">
        <v>56.811340837014079</v>
      </c>
      <c r="B383"/>
      <c r="C383"/>
      <c r="D383"/>
      <c r="E383"/>
      <c r="BS383" s="27" t="s">
        <v>8</v>
      </c>
    </row>
    <row r="384" spans="1:71" x14ac:dyDescent="0.25">
      <c r="A384" s="7">
        <v>55.69739297746478</v>
      </c>
      <c r="B384"/>
      <c r="C384"/>
      <c r="D384"/>
      <c r="E384"/>
      <c r="BS384" s="27" t="s">
        <v>8</v>
      </c>
    </row>
    <row r="385" spans="1:71" x14ac:dyDescent="0.25">
      <c r="A385" s="7">
        <v>54.605287232808607</v>
      </c>
      <c r="B385"/>
      <c r="C385"/>
      <c r="D385"/>
      <c r="E385"/>
      <c r="BS385" s="27" t="s">
        <v>8</v>
      </c>
    </row>
    <row r="386" spans="1:71" x14ac:dyDescent="0.25">
      <c r="A386" s="7">
        <v>53.534595326282947</v>
      </c>
      <c r="B386"/>
      <c r="C386"/>
      <c r="D386"/>
      <c r="E386"/>
      <c r="BS386" s="27" t="s">
        <v>8</v>
      </c>
    </row>
    <row r="387" spans="1:71" x14ac:dyDescent="0.25">
      <c r="A387" s="7">
        <v>52.484897378708773</v>
      </c>
      <c r="B387"/>
      <c r="C387"/>
      <c r="D387"/>
      <c r="E387"/>
      <c r="BS387" s="27" t="s">
        <v>8</v>
      </c>
    </row>
    <row r="388" spans="1:71" x14ac:dyDescent="0.25">
      <c r="A388" s="7">
        <v>51.455781743832127</v>
      </c>
      <c r="B388"/>
      <c r="C388"/>
      <c r="D388"/>
      <c r="E388"/>
      <c r="BS388" s="27" t="s">
        <v>8</v>
      </c>
    </row>
    <row r="389" spans="1:71" x14ac:dyDescent="0.25">
      <c r="A389" s="7">
        <v>50.446844846894244</v>
      </c>
      <c r="B389"/>
      <c r="C389"/>
      <c r="D389"/>
      <c r="E389"/>
      <c r="BS389" s="27" t="s">
        <v>8</v>
      </c>
    </row>
    <row r="390" spans="1:71" x14ac:dyDescent="0.25">
      <c r="A390" s="7">
        <v>49.457691026366902</v>
      </c>
      <c r="B390"/>
      <c r="C390"/>
      <c r="D390"/>
      <c r="E390"/>
      <c r="BS390" s="27" t="s">
        <v>8</v>
      </c>
    </row>
    <row r="391" spans="1:71" x14ac:dyDescent="0.25">
      <c r="A391" s="7">
        <v>48.487932378791079</v>
      </c>
      <c r="B391"/>
      <c r="C391"/>
      <c r="D391"/>
      <c r="E391"/>
      <c r="BS391" s="27" t="s">
        <v>8</v>
      </c>
    </row>
    <row r="392" spans="1:71" x14ac:dyDescent="0.25">
      <c r="A392" s="7">
        <v>47.537188606657921</v>
      </c>
      <c r="B392"/>
      <c r="C392"/>
      <c r="D392"/>
      <c r="E392"/>
      <c r="BS392" s="27" t="s">
        <v>8</v>
      </c>
    </row>
    <row r="393" spans="1:71" x14ac:dyDescent="0.25">
      <c r="A393" s="7">
        <v>46.605086869272469</v>
      </c>
      <c r="B393"/>
      <c r="C393"/>
      <c r="D393"/>
      <c r="E393"/>
      <c r="BS393" s="27" t="s">
        <v>8</v>
      </c>
    </row>
    <row r="394" spans="1:71" x14ac:dyDescent="0.25">
      <c r="A394" s="7">
        <v>45.691261636541633</v>
      </c>
      <c r="B394"/>
      <c r="C394"/>
      <c r="D394"/>
      <c r="E394"/>
      <c r="BS394" s="27" t="s">
        <v>8</v>
      </c>
    </row>
    <row r="395" spans="1:71" x14ac:dyDescent="0.25">
      <c r="A395" s="7">
        <v>44.795354545629053</v>
      </c>
      <c r="B395"/>
      <c r="C395"/>
      <c r="D395"/>
      <c r="E395"/>
      <c r="BS395" s="27" t="s">
        <v>8</v>
      </c>
    </row>
    <row r="396" spans="1:71" x14ac:dyDescent="0.25">
      <c r="A396" s="7">
        <v>43.917014260420636</v>
      </c>
      <c r="B396"/>
      <c r="C396"/>
      <c r="D396"/>
      <c r="E396"/>
      <c r="BS396" s="27" t="s">
        <v>8</v>
      </c>
    </row>
    <row r="397" spans="1:71" x14ac:dyDescent="0.25">
      <c r="A397" s="7">
        <v>43.055896333745721</v>
      </c>
      <c r="B397"/>
      <c r="C397"/>
      <c r="D397"/>
      <c r="E397"/>
      <c r="BS397" s="27" t="s">
        <v>8</v>
      </c>
    </row>
    <row r="398" spans="1:71" x14ac:dyDescent="0.25">
      <c r="A398" s="7">
        <v>42.211663072299729</v>
      </c>
      <c r="B398"/>
      <c r="C398"/>
      <c r="D398"/>
      <c r="E398"/>
      <c r="BS398" s="27" t="s">
        <v>8</v>
      </c>
    </row>
    <row r="399" spans="1:71" x14ac:dyDescent="0.25">
      <c r="A399" s="7">
        <v>41.383983404215421</v>
      </c>
      <c r="B399"/>
      <c r="C399"/>
      <c r="D399"/>
      <c r="E399"/>
      <c r="BS399" s="27" t="s">
        <v>8</v>
      </c>
    </row>
    <row r="400" spans="1:71" x14ac:dyDescent="0.25">
      <c r="A400" s="7">
        <v>40.572532749230803</v>
      </c>
      <c r="B400"/>
      <c r="C400"/>
      <c r="D400"/>
      <c r="E400"/>
      <c r="BS400" s="27" t="s">
        <v>8</v>
      </c>
    </row>
    <row r="401" spans="1:71" x14ac:dyDescent="0.25">
      <c r="A401" s="7">
        <v>39.776992891402749</v>
      </c>
      <c r="B401"/>
      <c r="C401"/>
      <c r="D401"/>
      <c r="E401"/>
      <c r="BS401" s="27" t="s">
        <v>8</v>
      </c>
    </row>
    <row r="402" spans="1:71" x14ac:dyDescent="0.25">
      <c r="A402" s="7">
        <v>38.997051854316418</v>
      </c>
      <c r="B402"/>
      <c r="C402"/>
      <c r="D402"/>
      <c r="E402"/>
      <c r="BS402" s="27" t="s">
        <v>8</v>
      </c>
    </row>
    <row r="403" spans="1:71" x14ac:dyDescent="0.25">
      <c r="A403" s="7">
        <v>38.232403778741585</v>
      </c>
      <c r="B403"/>
      <c r="C403"/>
      <c r="D403"/>
      <c r="E403"/>
      <c r="BS403" s="27" t="s">
        <v>8</v>
      </c>
    </row>
    <row r="404" spans="1:71" x14ac:dyDescent="0.25">
      <c r="A404" s="7">
        <v>37.48274880268783</v>
      </c>
      <c r="B404"/>
      <c r="C404"/>
      <c r="D404"/>
      <c r="E404"/>
      <c r="BS404" s="27" t="s">
        <v>8</v>
      </c>
    </row>
    <row r="405" spans="1:71" x14ac:dyDescent="0.25">
      <c r="A405" s="7">
        <v>36.747792943811596</v>
      </c>
      <c r="B405"/>
      <c r="C405"/>
      <c r="D405"/>
      <c r="E405"/>
      <c r="BS405" s="27" t="s">
        <v>8</v>
      </c>
    </row>
    <row r="406" spans="1:71" x14ac:dyDescent="0.25">
      <c r="A406" s="7">
        <v>36.027247984129012</v>
      </c>
      <c r="B406"/>
      <c r="C406"/>
      <c r="D406"/>
      <c r="E406"/>
      <c r="BS406" s="27" t="s">
        <v>8</v>
      </c>
    </row>
    <row r="407" spans="1:71" x14ac:dyDescent="0.25">
      <c r="A407" s="7">
        <v>35.320831356989224</v>
      </c>
      <c r="B407"/>
      <c r="C407"/>
      <c r="D407"/>
      <c r="E407"/>
      <c r="BS407" s="27" t="s">
        <v>8</v>
      </c>
    </row>
    <row r="408" spans="1:71" x14ac:dyDescent="0.25">
      <c r="A408" s="7">
        <v>34.628266036263945</v>
      </c>
      <c r="B408"/>
      <c r="C408"/>
      <c r="D408"/>
      <c r="E408"/>
      <c r="BS408" s="27" t="s">
        <v>8</v>
      </c>
    </row>
    <row r="409" spans="1:71" x14ac:dyDescent="0.25">
      <c r="A409" s="7">
        <v>33.949280427709752</v>
      </c>
      <c r="B409"/>
      <c r="C409"/>
      <c r="D409"/>
      <c r="E409"/>
      <c r="BS409" s="27" t="s">
        <v>8</v>
      </c>
    </row>
    <row r="410" spans="1:71" x14ac:dyDescent="0.25">
      <c r="A410" s="7">
        <v>33.28360826246054</v>
      </c>
      <c r="B410"/>
      <c r="C410"/>
      <c r="D410"/>
      <c r="E410"/>
      <c r="BS410" s="27" t="s">
        <v>8</v>
      </c>
    </row>
    <row r="411" spans="1:71" x14ac:dyDescent="0.25">
      <c r="A411" s="7">
        <v>32.630988492608374</v>
      </c>
      <c r="B411"/>
      <c r="C411"/>
      <c r="D411"/>
      <c r="E411"/>
      <c r="BS411" s="27" t="s">
        <v>8</v>
      </c>
    </row>
    <row r="412" spans="1:71" x14ac:dyDescent="0.25">
      <c r="A412" s="7">
        <v>31.99116518883174</v>
      </c>
      <c r="B412"/>
      <c r="C412"/>
      <c r="D412"/>
      <c r="E412"/>
      <c r="BS412" s="27" t="s">
        <v>8</v>
      </c>
    </row>
    <row r="413" spans="1:71" x14ac:dyDescent="0.25">
      <c r="A413" s="7">
        <v>31.363887440031117</v>
      </c>
      <c r="B413"/>
      <c r="C413"/>
      <c r="D413"/>
      <c r="E413"/>
      <c r="BS413" s="27" t="s">
        <v>8</v>
      </c>
    </row>
    <row r="414" spans="1:71" x14ac:dyDescent="0.25">
      <c r="A414" s="7">
        <v>30.748909254932467</v>
      </c>
      <c r="B414"/>
      <c r="C414"/>
      <c r="D414"/>
      <c r="E414"/>
      <c r="BS414" s="27" t="s">
        <v>8</v>
      </c>
    </row>
    <row r="415" spans="1:71" x14ac:dyDescent="0.25">
      <c r="A415" s="7">
        <v>30.145989465620065</v>
      </c>
      <c r="B415"/>
      <c r="C415"/>
      <c r="D415"/>
      <c r="E415"/>
      <c r="BS415" s="27" t="s">
        <v>8</v>
      </c>
    </row>
    <row r="416" spans="1:71" x14ac:dyDescent="0.25">
      <c r="A416" s="7">
        <v>29.55489163296085</v>
      </c>
      <c r="B416"/>
      <c r="C416"/>
      <c r="D416"/>
      <c r="E416"/>
      <c r="BS416" s="27" t="s">
        <v>8</v>
      </c>
    </row>
    <row r="417" spans="1:71" x14ac:dyDescent="0.25">
      <c r="A417" s="7">
        <v>28.975383953883185</v>
      </c>
      <c r="B417"/>
      <c r="C417"/>
      <c r="D417"/>
      <c r="E417"/>
      <c r="BS417" s="27" t="s">
        <v>8</v>
      </c>
    </row>
    <row r="418" spans="1:71" x14ac:dyDescent="0.25">
      <c r="A418" s="7">
        <v>28.407239170473709</v>
      </c>
      <c r="B418"/>
      <c r="C418"/>
      <c r="D418"/>
      <c r="E418"/>
      <c r="BS418" s="27" t="s">
        <v>8</v>
      </c>
    </row>
    <row r="419" spans="1:71" x14ac:dyDescent="0.25">
      <c r="A419" s="7">
        <v>27.850234480856578</v>
      </c>
      <c r="B419"/>
      <c r="C419"/>
      <c r="D419"/>
      <c r="E419"/>
      <c r="BS419" s="27" t="s">
        <v>8</v>
      </c>
    </row>
    <row r="420" spans="1:71" x14ac:dyDescent="0.25">
      <c r="A420" s="7">
        <v>27.304151451820175</v>
      </c>
      <c r="B420"/>
      <c r="C420"/>
      <c r="D420"/>
      <c r="E420"/>
      <c r="BS420" s="27" t="s">
        <v>8</v>
      </c>
    </row>
    <row r="421" spans="1:71" x14ac:dyDescent="0.25">
      <c r="A421" s="7">
        <v>26.768775933157034</v>
      </c>
      <c r="B421"/>
      <c r="C421"/>
      <c r="D421"/>
      <c r="E421"/>
      <c r="BS421" s="27" t="s">
        <v>8</v>
      </c>
    </row>
    <row r="422" spans="1:71" x14ac:dyDescent="0.25">
      <c r="A422" s="7">
        <v>26.243897973683367</v>
      </c>
      <c r="B422"/>
      <c r="C422"/>
      <c r="D422"/>
      <c r="E422"/>
      <c r="BS422" s="27" t="s">
        <v>8</v>
      </c>
    </row>
    <row r="423" spans="1:71" x14ac:dyDescent="0.25">
      <c r="A423" s="7">
        <v>25.729311738905263</v>
      </c>
      <c r="B423"/>
      <c r="C423"/>
      <c r="D423"/>
      <c r="E423"/>
      <c r="BS423" s="27" t="s">
        <v>8</v>
      </c>
    </row>
    <row r="424" spans="1:71" x14ac:dyDescent="0.25">
      <c r="A424" s="7">
        <v>25.224815430299277</v>
      </c>
      <c r="B424"/>
      <c r="C424"/>
      <c r="D424"/>
      <c r="E424"/>
      <c r="BS424" s="27" t="s">
        <v>8</v>
      </c>
    </row>
    <row r="425" spans="1:71" x14ac:dyDescent="0.25">
      <c r="A425" s="7">
        <v>24.73021120617576</v>
      </c>
      <c r="B425"/>
      <c r="C425"/>
      <c r="D425"/>
      <c r="E425"/>
      <c r="BS425" s="27" t="s">
        <v>8</v>
      </c>
    </row>
    <row r="426" spans="1:71" x14ac:dyDescent="0.25">
      <c r="A426" s="7">
        <v>24.24530510409388</v>
      </c>
      <c r="B426"/>
      <c r="C426"/>
      <c r="D426"/>
      <c r="E426"/>
      <c r="BS426" s="27" t="s">
        <v>8</v>
      </c>
    </row>
    <row r="427" spans="1:71" x14ac:dyDescent="0.25">
      <c r="A427" s="7">
        <v>23.769906964797922</v>
      </c>
      <c r="B427"/>
      <c r="C427"/>
      <c r="D427"/>
      <c r="E427"/>
      <c r="BS427" s="27" t="s">
        <v>8</v>
      </c>
    </row>
    <row r="428" spans="1:71" x14ac:dyDescent="0.25">
      <c r="A428" s="7">
        <v>23.303830357645023</v>
      </c>
      <c r="B428"/>
      <c r="C428"/>
      <c r="D428"/>
      <c r="E428"/>
      <c r="BS428" s="27" t="s">
        <v>8</v>
      </c>
    </row>
    <row r="429" spans="1:71" x14ac:dyDescent="0.25">
      <c r="A429" s="7">
        <v>22.84689250749512</v>
      </c>
      <c r="B429"/>
      <c r="C429"/>
      <c r="D429"/>
      <c r="E429"/>
      <c r="BS429" s="27" t="s">
        <v>8</v>
      </c>
    </row>
    <row r="430" spans="1:71" x14ac:dyDescent="0.25">
      <c r="A430" s="7">
        <v>22.398914223034431</v>
      </c>
      <c r="B430"/>
      <c r="C430"/>
      <c r="D430"/>
      <c r="E430"/>
      <c r="BS430" s="27" t="s">
        <v>8</v>
      </c>
    </row>
    <row r="431" spans="1:71" x14ac:dyDescent="0.25">
      <c r="A431" s="7">
        <v>21.959719826504344</v>
      </c>
      <c r="B431"/>
      <c r="C431"/>
      <c r="D431"/>
      <c r="E431"/>
      <c r="BS431" s="27" t="s">
        <v>8</v>
      </c>
    </row>
    <row r="432" spans="1:71" x14ac:dyDescent="0.25">
      <c r="A432" s="7">
        <v>21.52913708480818</v>
      </c>
      <c r="B432"/>
      <c r="C432"/>
      <c r="D432"/>
      <c r="E432"/>
      <c r="BS432" s="27" t="s">
        <v>8</v>
      </c>
    </row>
    <row r="433" spans="1:71" x14ac:dyDescent="0.25">
      <c r="A433" s="7">
        <v>21.106997141968804</v>
      </c>
      <c r="B433"/>
      <c r="C433"/>
      <c r="D433"/>
      <c r="E433"/>
      <c r="BS433" s="27" t="s">
        <v>8</v>
      </c>
    </row>
    <row r="434" spans="1:71" x14ac:dyDescent="0.25">
      <c r="A434" s="7">
        <v>20.693134452910591</v>
      </c>
      <c r="B434"/>
      <c r="C434"/>
      <c r="D434"/>
      <c r="E434"/>
      <c r="BS434" s="27" t="s">
        <v>8</v>
      </c>
    </row>
    <row r="435" spans="1:71" x14ac:dyDescent="0.25">
      <c r="A435" s="7">
        <v>20.287386718539796</v>
      </c>
      <c r="B435"/>
      <c r="C435"/>
      <c r="D435"/>
      <c r="E435"/>
      <c r="BS435" s="27" t="s">
        <v>8</v>
      </c>
    </row>
    <row r="436" spans="1:71" x14ac:dyDescent="0.25">
      <c r="A436" s="7">
        <v>19.889594822097838</v>
      </c>
      <c r="B436"/>
      <c r="C436"/>
      <c r="D436"/>
      <c r="E436"/>
      <c r="BS436" s="27" t="s">
        <v>8</v>
      </c>
    </row>
    <row r="437" spans="1:71" x14ac:dyDescent="0.25">
      <c r="A437" s="7">
        <v>19.499602766762585</v>
      </c>
      <c r="B437"/>
      <c r="C437"/>
      <c r="D437"/>
      <c r="E437"/>
      <c r="BS437" s="27" t="s">
        <v>8</v>
      </c>
    </row>
    <row r="438" spans="1:71" x14ac:dyDescent="0.25">
      <c r="A438" s="7">
        <v>19.117257614473122</v>
      </c>
      <c r="B438"/>
      <c r="C438"/>
      <c r="D438"/>
      <c r="E438"/>
      <c r="BS438" s="27" t="s">
        <v>8</v>
      </c>
    </row>
    <row r="439" spans="1:71" x14ac:dyDescent="0.25">
      <c r="A439" s="7">
        <v>18.74240942595404</v>
      </c>
      <c r="B439"/>
      <c r="C439"/>
      <c r="D439"/>
      <c r="E439"/>
      <c r="BS439" s="27" t="s">
        <v>8</v>
      </c>
    </row>
    <row r="440" spans="1:71" x14ac:dyDescent="0.25">
      <c r="A440" s="7">
        <v>18.374911201915726</v>
      </c>
      <c r="B440"/>
      <c r="C440"/>
      <c r="D440"/>
      <c r="E440"/>
      <c r="BS440" s="27" t="s">
        <v>8</v>
      </c>
    </row>
    <row r="441" spans="1:71" x14ac:dyDescent="0.25">
      <c r="A441" s="7">
        <v>18.014618825407574</v>
      </c>
      <c r="B441"/>
      <c r="C441"/>
      <c r="D441"/>
      <c r="E441"/>
      <c r="BS441" s="27" t="s">
        <v>8</v>
      </c>
    </row>
    <row r="442" spans="1:71" x14ac:dyDescent="0.25">
      <c r="A442" s="7">
        <v>17.661391005301542</v>
      </c>
      <c r="B442"/>
      <c r="C442"/>
      <c r="D442"/>
      <c r="E442"/>
      <c r="BS442" s="27" t="s">
        <v>8</v>
      </c>
    </row>
    <row r="443" spans="1:71" x14ac:dyDescent="0.25">
      <c r="A443" s="7">
        <v>17.315089220883866</v>
      </c>
      <c r="B443"/>
      <c r="C443"/>
      <c r="D443"/>
      <c r="E443"/>
      <c r="BS443" s="27" t="s">
        <v>8</v>
      </c>
    </row>
    <row r="444" spans="1:71" x14ac:dyDescent="0.25">
      <c r="A444" s="7">
        <v>16.975577667533202</v>
      </c>
      <c r="B444"/>
      <c r="C444"/>
      <c r="D444"/>
      <c r="E444"/>
      <c r="BS444" s="27" t="s">
        <v>8</v>
      </c>
    </row>
    <row r="445" spans="1:71" x14ac:dyDescent="0.25">
      <c r="A445" s="7">
        <v>16.642723203463923</v>
      </c>
      <c r="B445"/>
      <c r="C445"/>
      <c r="D445"/>
      <c r="E445"/>
      <c r="BS445" s="27" t="s">
        <v>8</v>
      </c>
    </row>
    <row r="446" spans="1:71" x14ac:dyDescent="0.25">
      <c r="A446" s="7">
        <v>16.316395297513651</v>
      </c>
      <c r="B446"/>
      <c r="C446"/>
      <c r="D446"/>
      <c r="E446"/>
      <c r="BS446" s="27" t="s">
        <v>8</v>
      </c>
    </row>
    <row r="447" spans="1:71" x14ac:dyDescent="0.25">
      <c r="A447" s="7">
        <v>15.996465977954561</v>
      </c>
      <c r="B447"/>
      <c r="C447"/>
      <c r="D447"/>
      <c r="E447"/>
      <c r="BS447" s="27" t="s">
        <v>8</v>
      </c>
    </row>
    <row r="448" spans="1:71" x14ac:dyDescent="0.25">
      <c r="A448" s="7">
        <v>15.682809782308393</v>
      </c>
      <c r="B448"/>
      <c r="C448"/>
      <c r="D448"/>
      <c r="E448"/>
      <c r="BS448" s="27" t="s">
        <v>8</v>
      </c>
    </row>
    <row r="449" spans="1:71" x14ac:dyDescent="0.25">
      <c r="A449" s="7">
        <v>15.375303708145482</v>
      </c>
      <c r="B449"/>
      <c r="C449"/>
      <c r="D449"/>
      <c r="E449"/>
      <c r="BS449" s="27" t="s">
        <v>8</v>
      </c>
    </row>
    <row r="450" spans="1:71" x14ac:dyDescent="0.25">
      <c r="A450" s="7">
        <v>15.073827164848511</v>
      </c>
      <c r="B450"/>
      <c r="C450"/>
      <c r="D450"/>
      <c r="E450"/>
      <c r="BS450" s="27" t="s">
        <v>8</v>
      </c>
    </row>
    <row r="451" spans="1:71" x14ac:dyDescent="0.25">
      <c r="A451" s="7">
        <v>14.77826192632207</v>
      </c>
      <c r="B451"/>
      <c r="C451"/>
      <c r="D451"/>
      <c r="E451"/>
      <c r="BS451" s="27" t="s">
        <v>8</v>
      </c>
    </row>
    <row r="452" spans="1:71" x14ac:dyDescent="0.25">
      <c r="A452" s="7">
        <v>14.488492084629481</v>
      </c>
      <c r="B452"/>
      <c r="C452"/>
      <c r="D452"/>
      <c r="E452"/>
      <c r="BS452" s="27" t="s">
        <v>8</v>
      </c>
    </row>
    <row r="453" spans="1:71" x14ac:dyDescent="0.25">
      <c r="A453" s="7">
        <v>14.204404004538707</v>
      </c>
      <c r="B453"/>
      <c r="C453"/>
      <c r="D453"/>
      <c r="E453"/>
      <c r="BS453" s="27" t="s">
        <v>8</v>
      </c>
    </row>
    <row r="454" spans="1:71" x14ac:dyDescent="0.25">
      <c r="A454" s="7">
        <v>13.925886278959517</v>
      </c>
      <c r="B454"/>
      <c r="C454"/>
      <c r="D454"/>
      <c r="E454"/>
      <c r="BS454" s="27" t="s">
        <v>8</v>
      </c>
    </row>
    <row r="455" spans="1:71" x14ac:dyDescent="0.25">
      <c r="A455" s="7">
        <v>13.652829685254428</v>
      </c>
      <c r="B455"/>
      <c r="C455"/>
      <c r="D455"/>
      <c r="E455"/>
      <c r="BS455" s="27" t="s">
        <v>8</v>
      </c>
    </row>
    <row r="456" spans="1:71" x14ac:dyDescent="0.25">
      <c r="A456" s="7">
        <v>13.385127142406303</v>
      </c>
      <c r="B456"/>
      <c r="C456"/>
      <c r="D456"/>
      <c r="E456"/>
      <c r="BS456" s="27" t="s">
        <v>8</v>
      </c>
    </row>
    <row r="457" spans="1:71" x14ac:dyDescent="0.25">
      <c r="A457" s="7">
        <v>13.122673669025787</v>
      </c>
      <c r="B457"/>
      <c r="C457"/>
      <c r="D457"/>
      <c r="E457"/>
      <c r="BS457" s="27" t="s">
        <v>8</v>
      </c>
    </row>
    <row r="458" spans="1:71" x14ac:dyDescent="0.25">
      <c r="A458" s="7">
        <v>12.865366342182144</v>
      </c>
      <c r="B458"/>
      <c r="C458"/>
      <c r="D458"/>
      <c r="E458"/>
      <c r="BS458" s="27" t="s">
        <v>8</v>
      </c>
    </row>
    <row r="459" spans="1:71" x14ac:dyDescent="0.25">
      <c r="A459" s="7">
        <v>12.613104257041318</v>
      </c>
      <c r="B459"/>
      <c r="C459"/>
      <c r="D459"/>
      <c r="E459"/>
      <c r="BS459" s="27" t="s">
        <v>8</v>
      </c>
    </row>
    <row r="460" spans="1:71" x14ac:dyDescent="0.25">
      <c r="A460" s="7">
        <v>12.36578848729541</v>
      </c>
      <c r="B460"/>
      <c r="C460"/>
      <c r="D460"/>
      <c r="E460"/>
      <c r="BS460" s="27" t="s">
        <v>8</v>
      </c>
    </row>
    <row r="461" spans="1:71" x14ac:dyDescent="0.25">
      <c r="A461" s="7">
        <v>12.123322046368049</v>
      </c>
      <c r="B461"/>
      <c r="C461"/>
      <c r="D461"/>
      <c r="E461"/>
      <c r="BS461" s="27" t="s">
        <v>8</v>
      </c>
    </row>
    <row r="462" spans="1:71" x14ac:dyDescent="0.25">
      <c r="A462" s="7">
        <v>11.88560984938044</v>
      </c>
      <c r="B462"/>
      <c r="C462"/>
      <c r="D462"/>
      <c r="E462"/>
      <c r="BS462" s="27" t="s">
        <v>8</v>
      </c>
    </row>
    <row r="463" spans="1:71" x14ac:dyDescent="0.25">
      <c r="A463" s="7">
        <v>11.652558675863176</v>
      </c>
      <c r="B463"/>
      <c r="C463"/>
      <c r="D463"/>
      <c r="E463"/>
      <c r="BS463" s="27" t="s">
        <v>8</v>
      </c>
    </row>
    <row r="464" spans="1:71" x14ac:dyDescent="0.25">
      <c r="A464" s="7">
        <v>11.424077133199193</v>
      </c>
      <c r="B464"/>
      <c r="C464"/>
      <c r="D464"/>
      <c r="E464"/>
      <c r="BS464" s="27" t="s">
        <v>8</v>
      </c>
    </row>
    <row r="465" spans="1:71" x14ac:dyDescent="0.25">
      <c r="A465" s="7">
        <v>11.200075620783522</v>
      </c>
      <c r="B465"/>
      <c r="C465"/>
      <c r="D465"/>
      <c r="E465"/>
      <c r="BS465" s="27" t="s">
        <v>8</v>
      </c>
    </row>
    <row r="466" spans="1:71" x14ac:dyDescent="0.25">
      <c r="A466" s="7">
        <v>10.980466294885806</v>
      </c>
      <c r="B466"/>
      <c r="C466"/>
      <c r="D466"/>
      <c r="E466"/>
      <c r="BS466" s="27" t="s">
        <v>8</v>
      </c>
    </row>
    <row r="467" spans="1:71" x14ac:dyDescent="0.25">
      <c r="A467" s="7">
        <v>10.765163034201771</v>
      </c>
      <c r="B467"/>
      <c r="C467"/>
      <c r="D467"/>
      <c r="E467"/>
      <c r="BS467" s="27" t="s">
        <v>8</v>
      </c>
    </row>
    <row r="468" spans="1:71" x14ac:dyDescent="0.25">
      <c r="A468" s="7">
        <v>10.554081406080169</v>
      </c>
      <c r="B468"/>
      <c r="C468"/>
      <c r="D468"/>
      <c r="E468"/>
      <c r="BS468" s="27" t="s">
        <v>8</v>
      </c>
    </row>
    <row r="469" spans="1:71" x14ac:dyDescent="0.25">
      <c r="A469" s="7">
        <v>10.34713863341193</v>
      </c>
      <c r="B469"/>
      <c r="C469"/>
      <c r="D469"/>
      <c r="E469"/>
      <c r="BS469" s="27" t="s">
        <v>8</v>
      </c>
    </row>
    <row r="470" spans="1:71" x14ac:dyDescent="0.25">
      <c r="A470" s="7">
        <v>10.14425356216856</v>
      </c>
      <c r="B470"/>
      <c r="C470"/>
      <c r="D470"/>
      <c r="E470"/>
      <c r="BS470" s="27" t="s">
        <v>8</v>
      </c>
    </row>
    <row r="471" spans="1:71" x14ac:dyDescent="0.25">
      <c r="A471" s="7">
        <v>9.9453466295770188</v>
      </c>
      <c r="B471"/>
      <c r="C471"/>
      <c r="D471"/>
      <c r="E471"/>
      <c r="BS471" s="27" t="s">
        <v>8</v>
      </c>
    </row>
    <row r="472" spans="1:71" x14ac:dyDescent="0.25">
      <c r="A472" s="7">
        <v>9.7503398329186464</v>
      </c>
      <c r="B472"/>
      <c r="C472"/>
      <c r="D472"/>
      <c r="E472"/>
      <c r="BS472" s="27" t="s">
        <v>8</v>
      </c>
    </row>
    <row r="473" spans="1:71" x14ac:dyDescent="0.25">
      <c r="A473" s="7">
        <v>9.5591566989398498</v>
      </c>
      <c r="B473"/>
      <c r="C473"/>
      <c r="D473"/>
      <c r="E473"/>
      <c r="BS473" s="27" t="s">
        <v>8</v>
      </c>
    </row>
    <row r="474" spans="1:71" x14ac:dyDescent="0.25">
      <c r="A474" s="7">
        <v>9.3717222538625968</v>
      </c>
      <c r="B474"/>
      <c r="C474"/>
      <c r="D474"/>
      <c r="E474"/>
      <c r="BS474" s="27" t="s">
        <v>8</v>
      </c>
    </row>
    <row r="475" spans="1:71" x14ac:dyDescent="0.25">
      <c r="A475" s="7">
        <v>9.1879629939829375</v>
      </c>
      <c r="B475"/>
      <c r="C475"/>
      <c r="D475"/>
      <c r="E475"/>
      <c r="BS475" s="27" t="s">
        <v>8</v>
      </c>
    </row>
    <row r="476" spans="1:71" x14ac:dyDescent="0.25">
      <c r="A476" s="7">
        <v>9.0078068568460168</v>
      </c>
      <c r="B476"/>
      <c r="C476"/>
      <c r="D476"/>
      <c r="E476"/>
      <c r="BS476" s="27" t="s">
        <v>8</v>
      </c>
    </row>
    <row r="477" spans="1:71" x14ac:dyDescent="0.25">
      <c r="A477" s="7">
        <v>8.8311831929862912</v>
      </c>
      <c r="B477"/>
      <c r="C477"/>
      <c r="D477"/>
      <c r="E477"/>
      <c r="BS477" s="27" t="s">
        <v>8</v>
      </c>
    </row>
    <row r="478" spans="1:71" x14ac:dyDescent="0.25">
      <c r="A478" s="7">
        <v>8.6580227382218542</v>
      </c>
      <c r="B478"/>
      <c r="C478"/>
      <c r="D478"/>
      <c r="E478"/>
      <c r="BS478" s="27" t="s">
        <v>8</v>
      </c>
    </row>
    <row r="479" spans="1:71" x14ac:dyDescent="0.25">
      <c r="A479" s="7">
        <v>8.4882575864920131</v>
      </c>
      <c r="B479"/>
      <c r="C479"/>
      <c r="D479"/>
      <c r="E479"/>
      <c r="BS479" s="27" t="s">
        <v>8</v>
      </c>
    </row>
    <row r="480" spans="1:71" x14ac:dyDescent="0.25">
      <c r="A480" s="7">
        <v>8.3218211632274635</v>
      </c>
      <c r="B480"/>
      <c r="C480"/>
      <c r="D480"/>
      <c r="E480"/>
      <c r="BS480" s="27" t="s">
        <v>8</v>
      </c>
    </row>
    <row r="481" spans="1:71" x14ac:dyDescent="0.25">
      <c r="A481" s="7">
        <v>8.1586481992426112</v>
      </c>
      <c r="B481"/>
      <c r="C481"/>
      <c r="D481"/>
      <c r="E481"/>
      <c r="BS481" s="27" t="s">
        <v>8</v>
      </c>
    </row>
    <row r="482" spans="1:71" x14ac:dyDescent="0.25">
      <c r="A482" s="7">
        <v>7.9986747051398144</v>
      </c>
      <c r="B482"/>
      <c r="C482"/>
      <c r="D482"/>
      <c r="E482"/>
      <c r="BS482" s="27" t="s">
        <v>8</v>
      </c>
    </row>
    <row r="483" spans="1:71" x14ac:dyDescent="0.25">
      <c r="A483" s="7">
        <v>7.8418379462155041</v>
      </c>
      <c r="B483"/>
      <c r="C483"/>
      <c r="D483"/>
      <c r="E483"/>
      <c r="BS483" s="27" t="s">
        <v>8</v>
      </c>
    </row>
    <row r="484" spans="1:71" x14ac:dyDescent="0.25">
      <c r="A484" s="7">
        <v>7.688076417858337</v>
      </c>
      <c r="B484"/>
      <c r="C484"/>
      <c r="D484"/>
      <c r="E484"/>
      <c r="BS484" s="27" t="s">
        <v>8</v>
      </c>
    </row>
    <row r="485" spans="1:71" x14ac:dyDescent="0.25">
      <c r="A485" s="7">
        <v>7.5373298214297417</v>
      </c>
      <c r="B485"/>
      <c r="C485"/>
      <c r="D485"/>
      <c r="E485"/>
      <c r="BS485" s="27" t="s">
        <v>8</v>
      </c>
    </row>
    <row r="486" spans="1:71" x14ac:dyDescent="0.25">
      <c r="A486" s="7">
        <v>7.389539040617394</v>
      </c>
      <c r="B486"/>
      <c r="C486"/>
      <c r="D486"/>
      <c r="E486"/>
      <c r="BS486" s="27" t="s">
        <v>8</v>
      </c>
    </row>
    <row r="487" spans="1:71" x14ac:dyDescent="0.25">
      <c r="A487" s="7">
        <v>7.2446461182523469</v>
      </c>
      <c r="B487"/>
      <c r="C487"/>
      <c r="D487"/>
      <c r="E487"/>
      <c r="BS487" s="27" t="s">
        <v>8</v>
      </c>
    </row>
    <row r="488" spans="1:71" x14ac:dyDescent="0.25">
      <c r="A488" s="7">
        <v>7.1025942335807324</v>
      </c>
      <c r="B488"/>
      <c r="C488"/>
      <c r="D488"/>
      <c r="E488"/>
      <c r="BS488" s="27" t="s">
        <v>8</v>
      </c>
    </row>
    <row r="489" spans="1:71" x14ac:dyDescent="0.25">
      <c r="A489" s="7">
        <v>6.9633276799811101</v>
      </c>
      <c r="B489"/>
      <c r="C489"/>
      <c r="D489"/>
      <c r="E489"/>
      <c r="BS489" s="27" t="s">
        <v>8</v>
      </c>
    </row>
    <row r="490" spans="1:71" x14ac:dyDescent="0.25">
      <c r="A490" s="7">
        <v>6.8267918431187349</v>
      </c>
      <c r="B490"/>
      <c r="C490"/>
      <c r="D490"/>
      <c r="E490"/>
      <c r="BS490" s="27" t="s">
        <v>8</v>
      </c>
    </row>
    <row r="491" spans="1:71" x14ac:dyDescent="0.25">
      <c r="A491" s="7">
        <v>6.692933179528171</v>
      </c>
      <c r="B491"/>
      <c r="C491"/>
      <c r="D491"/>
      <c r="E491"/>
      <c r="BS491" s="27" t="s">
        <v>8</v>
      </c>
    </row>
    <row r="492" spans="1:71" x14ac:dyDescent="0.25">
      <c r="A492" s="7">
        <v>6.5616991956158541</v>
      </c>
      <c r="B492"/>
      <c r="C492"/>
      <c r="D492"/>
      <c r="E492"/>
      <c r="BS492" s="27" t="s">
        <v>8</v>
      </c>
    </row>
    <row r="493" spans="1:71" x14ac:dyDescent="0.25">
      <c r="A493" s="7">
        <v>6.4330384270743668</v>
      </c>
      <c r="B493"/>
      <c r="C493"/>
      <c r="D493"/>
      <c r="E493"/>
      <c r="BS493" s="27" t="s">
        <v>8</v>
      </c>
    </row>
    <row r="494" spans="1:71" x14ac:dyDescent="0.25">
      <c r="A494" s="7">
        <v>6.3069004187003594</v>
      </c>
      <c r="B494"/>
      <c r="C494"/>
      <c r="D494"/>
      <c r="E494"/>
      <c r="BS494" s="27" t="s">
        <v>8</v>
      </c>
    </row>
    <row r="495" spans="1:71" x14ac:dyDescent="0.25">
      <c r="A495" s="7">
        <v>6.1832357046081956</v>
      </c>
      <c r="B495"/>
      <c r="C495"/>
      <c r="D495"/>
      <c r="E495"/>
      <c r="BS495" s="27" t="s">
        <v>8</v>
      </c>
    </row>
    <row r="496" spans="1:71" x14ac:dyDescent="0.25">
      <c r="A496" s="7">
        <v>6.0619957888315641</v>
      </c>
      <c r="B496"/>
      <c r="C496"/>
      <c r="D496"/>
      <c r="E496"/>
      <c r="BS496" s="27" t="s">
        <v>8</v>
      </c>
    </row>
    <row r="497" spans="1:71" x14ac:dyDescent="0.25">
      <c r="A497" s="7">
        <v>5.9431331263054545</v>
      </c>
      <c r="B497"/>
      <c r="C497"/>
      <c r="D497"/>
      <c r="E497"/>
      <c r="BS497" s="27" t="s">
        <v>8</v>
      </c>
    </row>
    <row r="498" spans="1:71" x14ac:dyDescent="0.25">
      <c r="A498" s="7">
        <v>5.8266011042210337</v>
      </c>
      <c r="B498"/>
      <c r="C498"/>
      <c r="D498"/>
      <c r="E498"/>
      <c r="BS498" s="27" t="s">
        <v>8</v>
      </c>
    </row>
    <row r="499" spans="1:71" x14ac:dyDescent="0.25">
      <c r="A499" s="7">
        <v>5.7123540237461112</v>
      </c>
      <c r="B499"/>
      <c r="C499"/>
      <c r="D499"/>
      <c r="E499"/>
      <c r="BS499" s="27" t="s">
        <v>8</v>
      </c>
    </row>
    <row r="500" spans="1:71" x14ac:dyDescent="0.25">
      <c r="A500" s="7">
        <v>5.6003470821040304</v>
      </c>
      <c r="B500"/>
      <c r="C500"/>
      <c r="D500"/>
      <c r="E500"/>
      <c r="BS500" s="27" t="s">
        <v>8</v>
      </c>
    </row>
    <row r="501" spans="1:71" x14ac:dyDescent="0.25">
      <c r="A501" s="7">
        <v>5.4905363550039512</v>
      </c>
      <c r="B501"/>
      <c r="C501"/>
      <c r="D501"/>
      <c r="E501"/>
      <c r="BS501" s="27" t="s">
        <v>8</v>
      </c>
    </row>
    <row r="502" spans="1:71" x14ac:dyDescent="0.25">
      <c r="A502" s="7">
        <v>5.3828787794156385</v>
      </c>
      <c r="B502"/>
      <c r="C502"/>
      <c r="D502"/>
      <c r="E502"/>
      <c r="BS502" s="27" t="s">
        <v>8</v>
      </c>
    </row>
    <row r="503" spans="1:71" x14ac:dyDescent="0.25">
      <c r="A503" s="7">
        <v>5.2773321366819985</v>
      </c>
      <c r="B503"/>
      <c r="C503"/>
      <c r="D503"/>
      <c r="E503"/>
      <c r="BS503" s="27" t="s">
        <v>8</v>
      </c>
    </row>
    <row r="504" spans="1:71" x14ac:dyDescent="0.25">
      <c r="A504" s="7">
        <v>5.1738550359627435</v>
      </c>
      <c r="B504"/>
      <c r="C504"/>
      <c r="D504"/>
      <c r="E504"/>
      <c r="BS504" s="27" t="s">
        <v>8</v>
      </c>
    </row>
    <row r="505" spans="1:71" x14ac:dyDescent="0.25">
      <c r="A505" s="7">
        <v>5.07240689800269</v>
      </c>
      <c r="B505"/>
      <c r="C505"/>
      <c r="D505"/>
      <c r="E505"/>
      <c r="BS505" s="27" t="s">
        <v>8</v>
      </c>
    </row>
    <row r="506" spans="1:71" x14ac:dyDescent="0.25">
      <c r="A506" s="7">
        <v>4.9729479392183231</v>
      </c>
      <c r="B506"/>
      <c r="C506"/>
      <c r="D506"/>
      <c r="E506"/>
      <c r="BS506" s="27" t="s">
        <v>8</v>
      </c>
    </row>
    <row r="507" spans="1:71" x14ac:dyDescent="0.25">
      <c r="A507" s="7">
        <v>4.8754391560963954</v>
      </c>
      <c r="B507"/>
      <c r="C507"/>
      <c r="D507"/>
      <c r="E507"/>
      <c r="BS507" s="27" t="s">
        <v>8</v>
      </c>
    </row>
    <row r="508" spans="1:71" x14ac:dyDescent="0.25">
      <c r="A508" s="7">
        <v>4.7798423098984264</v>
      </c>
      <c r="B508"/>
      <c r="C508"/>
      <c r="D508"/>
      <c r="E508"/>
      <c r="BS508" s="27" t="s">
        <v>8</v>
      </c>
    </row>
    <row r="509" spans="1:71" x14ac:dyDescent="0.25">
      <c r="A509" s="7">
        <v>4.6861199116651235</v>
      </c>
      <c r="B509"/>
      <c r="C509"/>
      <c r="D509"/>
      <c r="E509"/>
      <c r="BS509" s="27" t="s">
        <v>8</v>
      </c>
    </row>
    <row r="510" spans="1:71" x14ac:dyDescent="0.25">
      <c r="A510" s="7">
        <v>4.5942352075148269</v>
      </c>
      <c r="B510"/>
      <c r="C510"/>
      <c r="D510"/>
      <c r="E510"/>
      <c r="BS510" s="27" t="s">
        <v>8</v>
      </c>
    </row>
    <row r="511" spans="1:71" x14ac:dyDescent="0.25">
      <c r="A511" s="7">
        <v>4.5041521642302227</v>
      </c>
      <c r="B511"/>
      <c r="C511"/>
      <c r="D511"/>
      <c r="E511"/>
      <c r="BS511" s="27" t="s">
        <v>8</v>
      </c>
    </row>
    <row r="512" spans="1:71" x14ac:dyDescent="0.25">
      <c r="A512" s="7">
        <v>4.4158354551276693</v>
      </c>
      <c r="B512"/>
      <c r="C512"/>
      <c r="D512"/>
      <c r="E512"/>
      <c r="BS512" s="27" t="s">
        <v>8</v>
      </c>
    </row>
    <row r="513" spans="1:71" x14ac:dyDescent="0.25">
      <c r="A513" s="7">
        <v>4.3292504462035977</v>
      </c>
      <c r="B513"/>
      <c r="C513"/>
      <c r="D513"/>
      <c r="E513"/>
      <c r="BS513" s="27" t="s">
        <v>8</v>
      </c>
    </row>
    <row r="514" spans="1:71" x14ac:dyDescent="0.25">
      <c r="A514" s="7">
        <v>4.2443631825525463</v>
      </c>
      <c r="B514"/>
      <c r="C514"/>
      <c r="D514"/>
      <c r="E514"/>
      <c r="BS514" s="27" t="s">
        <v>8</v>
      </c>
    </row>
    <row r="515" spans="1:71" x14ac:dyDescent="0.25">
      <c r="A515" s="7">
        <v>4.1611403750515157</v>
      </c>
      <c r="B515"/>
      <c r="C515"/>
      <c r="D515"/>
      <c r="E515"/>
      <c r="BS515" s="27" t="s">
        <v>8</v>
      </c>
    </row>
    <row r="516" spans="1:71" x14ac:dyDescent="0.25">
      <c r="A516" s="7">
        <v>4.0795493873054074</v>
      </c>
      <c r="B516"/>
      <c r="C516"/>
      <c r="D516"/>
      <c r="E516"/>
      <c r="BS516" s="27" t="s">
        <v>8</v>
      </c>
    </row>
    <row r="517" spans="1:71" x14ac:dyDescent="0.25">
      <c r="A517" s="7">
        <v>3.9995582228484383</v>
      </c>
      <c r="B517"/>
      <c r="C517"/>
      <c r="D517"/>
      <c r="E517"/>
      <c r="BS517" s="27" t="s">
        <v>8</v>
      </c>
    </row>
    <row r="518" spans="1:71" x14ac:dyDescent="0.25">
      <c r="A518" s="7">
        <v>3.9211355125965079</v>
      </c>
      <c r="B518"/>
      <c r="C518"/>
      <c r="D518"/>
      <c r="E518"/>
      <c r="BS518" s="27" t="s">
        <v>8</v>
      </c>
    </row>
    <row r="519" spans="1:71" x14ac:dyDescent="0.25">
      <c r="A519" s="7">
        <v>3.844250502545596</v>
      </c>
      <c r="B519"/>
      <c r="C519"/>
      <c r="D519"/>
      <c r="E519"/>
      <c r="BS519" s="27" t="s">
        <v>8</v>
      </c>
    </row>
    <row r="520" spans="1:71" x14ac:dyDescent="0.25">
      <c r="A520" s="7">
        <v>3.7688730417113687</v>
      </c>
      <c r="B520"/>
      <c r="C520"/>
      <c r="D520"/>
      <c r="E520"/>
      <c r="BS520" s="27" t="s">
        <v>8</v>
      </c>
    </row>
    <row r="521" spans="1:71" x14ac:dyDescent="0.25">
      <c r="A521" s="7">
        <v>3.6949735703052635</v>
      </c>
      <c r="B521"/>
      <c r="C521"/>
      <c r="D521"/>
      <c r="E521"/>
      <c r="BS521" s="27" t="s">
        <v>8</v>
      </c>
    </row>
    <row r="522" spans="1:71" x14ac:dyDescent="0.25">
      <c r="A522" s="7">
        <v>3.6225231081424152</v>
      </c>
      <c r="B522"/>
      <c r="C522"/>
      <c r="D522"/>
      <c r="E522"/>
      <c r="BS522" s="27" t="s">
        <v>8</v>
      </c>
    </row>
    <row r="523" spans="1:71" x14ac:dyDescent="0.25">
      <c r="A523" s="7">
        <v>3.5514932432768775</v>
      </c>
      <c r="B523"/>
      <c r="C523"/>
      <c r="D523"/>
      <c r="E523"/>
      <c r="BS523" s="27" t="s">
        <v>8</v>
      </c>
    </row>
    <row r="524" spans="1:71" x14ac:dyDescent="0.25">
      <c r="A524" s="7">
        <v>3.4818561208596837</v>
      </c>
      <c r="B524"/>
      <c r="C524"/>
      <c r="D524"/>
      <c r="E524"/>
      <c r="BS524" s="27" t="s">
        <v>8</v>
      </c>
    </row>
    <row r="525" spans="1:71" x14ac:dyDescent="0.25">
      <c r="A525" s="7">
        <v>3.4135844322153761</v>
      </c>
      <c r="B525"/>
      <c r="C525"/>
      <c r="D525"/>
      <c r="E525"/>
      <c r="BS525" s="27" t="s">
        <v>8</v>
      </c>
    </row>
    <row r="526" spans="1:71" x14ac:dyDescent="0.25">
      <c r="A526" s="7">
        <v>3.3466514041327216</v>
      </c>
      <c r="B526"/>
      <c r="C526"/>
      <c r="D526"/>
      <c r="E526"/>
      <c r="BS526" s="27" t="s">
        <v>8</v>
      </c>
    </row>
    <row r="527" spans="1:71" x14ac:dyDescent="0.25">
      <c r="A527" s="7">
        <v>3.2810307883654133</v>
      </c>
      <c r="B527"/>
      <c r="C527"/>
      <c r="D527"/>
      <c r="E527"/>
      <c r="BS527" s="27" t="s">
        <v>8</v>
      </c>
    </row>
    <row r="528" spans="1:71" x14ac:dyDescent="0.25">
      <c r="A528" s="7">
        <v>3.2166968513386403</v>
      </c>
      <c r="B528"/>
      <c r="C528"/>
      <c r="D528"/>
      <c r="E528"/>
      <c r="BS528" s="27" t="s">
        <v>8</v>
      </c>
    </row>
    <row r="529" spans="1:71" x14ac:dyDescent="0.25">
      <c r="A529" s="7">
        <v>3.1536243640574906</v>
      </c>
      <c r="B529"/>
      <c r="C529"/>
      <c r="D529"/>
      <c r="E529"/>
      <c r="BS529" s="27" t="s">
        <v>8</v>
      </c>
    </row>
    <row r="530" spans="1:71" x14ac:dyDescent="0.25">
      <c r="A530" s="7">
        <v>3.0917885922132262</v>
      </c>
      <c r="B530"/>
      <c r="C530"/>
      <c r="D530"/>
      <c r="E530"/>
      <c r="BS530" s="27" t="s">
        <v>8</v>
      </c>
    </row>
    <row r="531" spans="1:71" x14ac:dyDescent="0.25">
      <c r="A531" s="7">
        <v>3.0311652864835552</v>
      </c>
      <c r="B531"/>
      <c r="C531"/>
      <c r="D531"/>
      <c r="E531"/>
      <c r="BS531" s="27" t="s">
        <v>8</v>
      </c>
    </row>
    <row r="532" spans="1:71" x14ac:dyDescent="0.25">
      <c r="A532" s="7">
        <v>2.9717306730230932</v>
      </c>
      <c r="B532"/>
      <c r="C532"/>
      <c r="D532"/>
      <c r="E532"/>
      <c r="BS532" s="27" t="s">
        <v>8</v>
      </c>
    </row>
    <row r="533" spans="1:71" x14ac:dyDescent="0.25">
      <c r="A533" s="7">
        <v>2.9134614441402875</v>
      </c>
      <c r="B533"/>
      <c r="C533"/>
      <c r="D533"/>
      <c r="E533"/>
      <c r="BS533" s="27" t="s">
        <v>8</v>
      </c>
    </row>
    <row r="534" spans="1:71" x14ac:dyDescent="0.25">
      <c r="A534" s="7">
        <v>2.8563347491571447</v>
      </c>
      <c r="B534"/>
      <c r="C534"/>
      <c r="D534"/>
      <c r="E534"/>
      <c r="BS534" s="27" t="s">
        <v>8</v>
      </c>
    </row>
    <row r="535" spans="1:71" x14ac:dyDescent="0.25">
      <c r="A535" s="7">
        <v>2.8003281854481812</v>
      </c>
      <c r="B535"/>
      <c r="C535"/>
      <c r="D535"/>
      <c r="E535"/>
      <c r="BS535" s="27" t="s">
        <v>8</v>
      </c>
    </row>
    <row r="536" spans="1:71" x14ac:dyDescent="0.25">
      <c r="A536" s="7">
        <v>2.7454197896550796</v>
      </c>
      <c r="B536"/>
      <c r="C536"/>
      <c r="D536"/>
      <c r="E536"/>
      <c r="BS536" s="27" t="s">
        <v>8</v>
      </c>
    </row>
    <row r="537" spans="1:71" x14ac:dyDescent="0.25">
      <c r="A537" s="7">
        <v>2.6915880290736074</v>
      </c>
      <c r="B537"/>
      <c r="C537"/>
      <c r="D537"/>
      <c r="E537"/>
      <c r="BS537" s="27" t="s">
        <v>8</v>
      </c>
    </row>
    <row r="538" spans="1:71" x14ac:dyDescent="0.25">
      <c r="A538" s="7">
        <v>2.6388117932094191</v>
      </c>
      <c r="B538"/>
      <c r="C538"/>
      <c r="D538"/>
      <c r="E538"/>
      <c r="BS538" s="27" t="s">
        <v>8</v>
      </c>
    </row>
    <row r="539" spans="1:71" x14ac:dyDescent="0.25">
      <c r="A539" s="7">
        <v>2.5870703854994304</v>
      </c>
      <c r="B539"/>
      <c r="C539"/>
      <c r="D539"/>
      <c r="E539"/>
      <c r="BS539" s="27" t="s">
        <v>8</v>
      </c>
    </row>
    <row r="540" spans="1:71" x14ac:dyDescent="0.25">
      <c r="A540" s="7">
        <v>2.53634351519552</v>
      </c>
      <c r="B540"/>
      <c r="C540"/>
      <c r="D540"/>
      <c r="E540"/>
      <c r="BS540" s="27" t="s">
        <v>8</v>
      </c>
    </row>
    <row r="541" spans="1:71" x14ac:dyDescent="0.25">
      <c r="A541" s="7">
        <v>2.4866112894073726</v>
      </c>
      <c r="B541"/>
      <c r="C541"/>
      <c r="D541"/>
      <c r="E541"/>
      <c r="BS541" s="27" t="s">
        <v>8</v>
      </c>
    </row>
    <row r="542" spans="1:71" x14ac:dyDescent="0.25">
      <c r="A542" s="7">
        <v>2.4378542053013459</v>
      </c>
      <c r="B542"/>
      <c r="C542"/>
      <c r="D542"/>
      <c r="E542"/>
      <c r="BS542" s="27" t="s">
        <v>8</v>
      </c>
    </row>
    <row r="543" spans="1:71" x14ac:dyDescent="0.25">
      <c r="A543" s="7">
        <v>2.3900531424522997</v>
      </c>
      <c r="B543"/>
      <c r="C543"/>
      <c r="D543"/>
      <c r="E543"/>
      <c r="BS543" s="27" t="s">
        <v>8</v>
      </c>
    </row>
    <row r="544" spans="1:71" x14ac:dyDescent="0.25">
      <c r="A544" s="7">
        <v>2.343189355345392</v>
      </c>
      <c r="B544"/>
      <c r="C544"/>
      <c r="D544"/>
      <c r="E544"/>
      <c r="BS544" s="27" t="s">
        <v>8</v>
      </c>
    </row>
    <row r="545" spans="1:71" x14ac:dyDescent="0.25">
      <c r="A545" s="7">
        <v>2.2972444660248938</v>
      </c>
      <c r="B545"/>
      <c r="C545"/>
      <c r="D545"/>
      <c r="E545"/>
      <c r="BS545" s="27" t="s">
        <v>8</v>
      </c>
    </row>
    <row r="546" spans="1:71" x14ac:dyDescent="0.25">
      <c r="A546" s="7">
        <v>2.252200456887151</v>
      </c>
      <c r="B546"/>
      <c r="C546"/>
      <c r="D546"/>
      <c r="E546"/>
      <c r="BS546" s="27" t="s">
        <v>8</v>
      </c>
    </row>
    <row r="547" spans="1:71" x14ac:dyDescent="0.25">
      <c r="A547" s="7">
        <v>2.208039663614854</v>
      </c>
      <c r="B547"/>
      <c r="C547"/>
      <c r="D547"/>
      <c r="E547"/>
      <c r="BS547" s="27" t="s">
        <v>8</v>
      </c>
    </row>
    <row r="548" spans="1:71" x14ac:dyDescent="0.25">
      <c r="A548" s="7">
        <v>2.1647447682498568</v>
      </c>
      <c r="B548"/>
      <c r="C548"/>
      <c r="D548"/>
      <c r="E548"/>
      <c r="BS548" s="27" t="s">
        <v>8</v>
      </c>
    </row>
    <row r="549" spans="1:71" x14ac:dyDescent="0.25">
      <c r="A549" s="7">
        <v>2.1222987924018204</v>
      </c>
      <c r="B549"/>
      <c r="C549"/>
      <c r="D549"/>
      <c r="E549"/>
      <c r="BS549" s="27" t="s">
        <v>8</v>
      </c>
    </row>
    <row r="550" spans="1:71" x14ac:dyDescent="0.25">
      <c r="A550" s="7">
        <v>2.0806850905900198</v>
      </c>
      <c r="B550"/>
      <c r="C550"/>
      <c r="D550"/>
      <c r="E550"/>
      <c r="BS550" s="27" t="s">
        <v>8</v>
      </c>
    </row>
    <row r="551" spans="1:71" x14ac:dyDescent="0.25">
      <c r="A551" s="7">
        <v>2.0398873437157055</v>
      </c>
      <c r="B551"/>
      <c r="C551"/>
      <c r="D551"/>
      <c r="E551"/>
      <c r="BS551" s="27" t="s">
        <v>8</v>
      </c>
    </row>
    <row r="552" spans="1:71" x14ac:dyDescent="0.25">
      <c r="A552" s="7">
        <v>1.9998895526624565</v>
      </c>
      <c r="B552"/>
      <c r="C552"/>
      <c r="D552"/>
      <c r="E552"/>
      <c r="BS552" s="27" t="s">
        <v>8</v>
      </c>
    </row>
    <row r="553" spans="1:71" x14ac:dyDescent="0.25">
      <c r="A553" s="7">
        <v>1.9606760320220162</v>
      </c>
      <c r="B553"/>
      <c r="C553"/>
      <c r="D553"/>
      <c r="E553"/>
      <c r="BS553" s="27" t="s">
        <v>8</v>
      </c>
    </row>
    <row r="554" spans="1:71" x14ac:dyDescent="0.25">
      <c r="A554" s="7">
        <v>1.9222314039431532</v>
      </c>
      <c r="B554"/>
      <c r="C554"/>
      <c r="D554"/>
      <c r="E554"/>
      <c r="BS554" s="27" t="s">
        <v>8</v>
      </c>
    </row>
    <row r="555" spans="1:71" x14ac:dyDescent="0.25">
      <c r="A555" s="7">
        <v>1.8845405921011305</v>
      </c>
      <c r="B555"/>
      <c r="C555"/>
      <c r="D555"/>
      <c r="E555"/>
      <c r="BS555" s="27" t="s">
        <v>8</v>
      </c>
    </row>
    <row r="556" spans="1:71" x14ac:dyDescent="0.25">
      <c r="A556" s="7">
        <v>1.8475888157854219</v>
      </c>
      <c r="B556"/>
      <c r="C556"/>
      <c r="D556"/>
      <c r="E556"/>
      <c r="BS556" s="27" t="s">
        <v>8</v>
      </c>
    </row>
    <row r="557" spans="1:71" x14ac:dyDescent="0.25">
      <c r="A557" s="7">
        <v>1.8113615841033548</v>
      </c>
      <c r="B557"/>
      <c r="C557"/>
      <c r="D557"/>
      <c r="E557"/>
      <c r="BS557" s="27" t="s">
        <v>8</v>
      </c>
    </row>
    <row r="558" spans="1:71" x14ac:dyDescent="0.25">
      <c r="A558" s="7">
        <v>1.7758446902974065</v>
      </c>
      <c r="B558"/>
      <c r="C558"/>
      <c r="D558"/>
      <c r="E558"/>
      <c r="BS558" s="27" t="s">
        <v>8</v>
      </c>
    </row>
    <row r="559" spans="1:71" x14ac:dyDescent="0.25">
      <c r="A559" s="7">
        <v>1.7410242061739281</v>
      </c>
      <c r="B559"/>
      <c r="C559"/>
      <c r="D559"/>
      <c r="E559"/>
      <c r="BS559" s="27" t="s">
        <v>8</v>
      </c>
    </row>
    <row r="560" spans="1:71" x14ac:dyDescent="0.25">
      <c r="A560" s="7">
        <v>1.7068864766411058</v>
      </c>
      <c r="B560"/>
      <c r="C560"/>
      <c r="D560"/>
      <c r="E560"/>
      <c r="BS560" s="27" t="s">
        <v>8</v>
      </c>
    </row>
    <row r="561" spans="1:71" x14ac:dyDescent="0.25">
      <c r="A561" s="7">
        <v>1.6734181143540252</v>
      </c>
      <c r="B561"/>
      <c r="C561"/>
      <c r="D561"/>
      <c r="E561"/>
      <c r="BS561" s="27" t="s">
        <v>8</v>
      </c>
    </row>
    <row r="562" spans="1:71" x14ac:dyDescent="0.25">
      <c r="A562" s="7">
        <v>1.6406059944647307</v>
      </c>
      <c r="B562"/>
      <c r="C562"/>
      <c r="D562"/>
      <c r="E562"/>
      <c r="BS562" s="27" t="s">
        <v>8</v>
      </c>
    </row>
    <row r="563" spans="1:71" x14ac:dyDescent="0.25">
      <c r="A563" s="7">
        <v>1.6084372494752261</v>
      </c>
      <c r="B563"/>
      <c r="C563"/>
      <c r="D563"/>
      <c r="E563"/>
      <c r="BS563" s="27" t="s">
        <v>8</v>
      </c>
    </row>
    <row r="564" spans="1:71" x14ac:dyDescent="0.25">
      <c r="A564" s="7">
        <v>1.5768992641913981</v>
      </c>
      <c r="B564"/>
      <c r="C564"/>
      <c r="D564"/>
      <c r="E564"/>
      <c r="BS564" s="27" t="s">
        <v>8</v>
      </c>
    </row>
    <row r="565" spans="1:71" x14ac:dyDescent="0.25">
      <c r="A565" s="7">
        <v>1.5459796707758806</v>
      </c>
      <c r="B565"/>
      <c r="C565"/>
      <c r="D565"/>
      <c r="E565"/>
      <c r="BS565" s="27" t="s">
        <v>8</v>
      </c>
    </row>
    <row r="566" spans="1:71" x14ac:dyDescent="0.25">
      <c r="A566" s="7">
        <v>1.5156663438979221</v>
      </c>
      <c r="B566"/>
      <c r="C566"/>
      <c r="D566"/>
      <c r="E566"/>
      <c r="BS566" s="27" t="s">
        <v>8</v>
      </c>
    </row>
    <row r="567" spans="1:71" x14ac:dyDescent="0.25">
      <c r="A567" s="7">
        <v>1.4859473959783549</v>
      </c>
      <c r="B567"/>
      <c r="C567"/>
      <c r="D567"/>
      <c r="E567"/>
      <c r="BS567" s="27" t="s">
        <v>8</v>
      </c>
    </row>
    <row r="568" spans="1:71" x14ac:dyDescent="0.25">
      <c r="A568" s="7">
        <v>1.4568111725277988</v>
      </c>
      <c r="B568"/>
      <c r="C568"/>
      <c r="D568"/>
      <c r="E568"/>
      <c r="BS568" s="27" t="s">
        <v>8</v>
      </c>
    </row>
    <row r="569" spans="1:71" x14ac:dyDescent="0.25">
      <c r="A569" s="7">
        <v>1.4282462475762734</v>
      </c>
      <c r="B569"/>
      <c r="C569"/>
      <c r="D569"/>
      <c r="E569"/>
      <c r="BS569" s="27" t="s">
        <v>8</v>
      </c>
    </row>
    <row r="570" spans="1:71" x14ac:dyDescent="0.25">
      <c r="A570" s="7">
        <v>1.4002414191924248</v>
      </c>
      <c r="B570"/>
      <c r="C570"/>
      <c r="D570"/>
      <c r="E570"/>
      <c r="BS570" s="27" t="s">
        <v>8</v>
      </c>
    </row>
    <row r="571" spans="1:71" x14ac:dyDescent="0.25">
      <c r="A571" s="7">
        <v>1.3727857050906125</v>
      </c>
      <c r="B571"/>
      <c r="C571"/>
      <c r="D571"/>
      <c r="E571"/>
      <c r="BS571" s="27" t="s">
        <v>8</v>
      </c>
    </row>
    <row r="572" spans="1:71" x14ac:dyDescent="0.25">
      <c r="A572" s="7">
        <v>1.3458683383241299</v>
      </c>
      <c r="B572"/>
      <c r="C572"/>
      <c r="D572"/>
      <c r="E572"/>
      <c r="BS572" s="27" t="s">
        <v>8</v>
      </c>
    </row>
    <row r="573" spans="1:71" x14ac:dyDescent="0.25">
      <c r="A573" s="7">
        <v>1.3194787630628724</v>
      </c>
      <c r="B573"/>
      <c r="C573"/>
      <c r="D573"/>
      <c r="E573"/>
      <c r="BS573" s="27" t="s">
        <v>8</v>
      </c>
    </row>
    <row r="574" spans="1:71" x14ac:dyDescent="0.25">
      <c r="A574" s="7">
        <v>1.2936066304537963</v>
      </c>
      <c r="B574"/>
      <c r="C574"/>
      <c r="D574"/>
      <c r="E574"/>
      <c r="BS574" s="27" t="s">
        <v>8</v>
      </c>
    </row>
    <row r="575" spans="1:71" x14ac:dyDescent="0.25">
      <c r="A575" s="7">
        <v>1.2682417945625455</v>
      </c>
      <c r="B575"/>
      <c r="C575"/>
      <c r="D575"/>
      <c r="E575"/>
      <c r="BS575" s="27" t="s">
        <v>8</v>
      </c>
    </row>
    <row r="576" spans="1:71" x14ac:dyDescent="0.25">
      <c r="A576" s="7">
        <v>1.2433743083946525</v>
      </c>
      <c r="B576"/>
      <c r="C576"/>
      <c r="D576"/>
      <c r="E576"/>
      <c r="BS576" s="27" t="s">
        <v>8</v>
      </c>
    </row>
    <row r="577" spans="1:71" x14ac:dyDescent="0.25">
      <c r="A577" s="7">
        <v>1.2189944199947573</v>
      </c>
      <c r="B577"/>
      <c r="C577"/>
      <c r="D577"/>
      <c r="E577"/>
      <c r="BS577" s="27" t="s">
        <v>8</v>
      </c>
    </row>
    <row r="578" spans="1:71" x14ac:dyDescent="0.25">
      <c r="A578" s="7">
        <v>1.1950925686223111</v>
      </c>
      <c r="B578"/>
      <c r="C578"/>
      <c r="D578"/>
      <c r="E578"/>
      <c r="BS578" s="27" t="s">
        <v>8</v>
      </c>
    </row>
    <row r="579" spans="1:71" x14ac:dyDescent="0.25">
      <c r="A579" s="7">
        <v>1.1716593810022657</v>
      </c>
      <c r="B579"/>
      <c r="C579"/>
      <c r="D579"/>
      <c r="E579"/>
      <c r="BS579" s="27" t="s">
        <v>8</v>
      </c>
    </row>
    <row r="580" spans="1:71" x14ac:dyDescent="0.25">
      <c r="A580" s="7">
        <v>1.14868566764928</v>
      </c>
      <c r="B580"/>
      <c r="C580"/>
      <c r="D580"/>
      <c r="E580"/>
      <c r="BS580" s="27" t="s">
        <v>8</v>
      </c>
    </row>
    <row r="581" spans="1:71" x14ac:dyDescent="0.25">
      <c r="A581" s="7">
        <v>1.1261624192640001</v>
      </c>
      <c r="B581"/>
      <c r="C581"/>
      <c r="D581"/>
      <c r="E581"/>
      <c r="BS581" s="27" t="s">
        <v>8</v>
      </c>
    </row>
    <row r="582" spans="1:71" x14ac:dyDescent="0.25">
      <c r="A582" s="7">
        <v>1.1040808032</v>
      </c>
      <c r="B582"/>
      <c r="C582"/>
      <c r="D582"/>
      <c r="E582"/>
      <c r="BS582" s="27" t="s">
        <v>8</v>
      </c>
    </row>
    <row r="583" spans="1:71" x14ac:dyDescent="0.25">
      <c r="A583" s="7">
        <v>1.08243216</v>
      </c>
      <c r="B583"/>
      <c r="C583"/>
      <c r="D583"/>
      <c r="E583"/>
      <c r="BS583" s="27" t="s">
        <v>8</v>
      </c>
    </row>
    <row r="584" spans="1:71" x14ac:dyDescent="0.25">
      <c r="A584" s="7">
        <v>1.0612079999999999</v>
      </c>
      <c r="B584"/>
      <c r="C584"/>
      <c r="D584"/>
      <c r="E584"/>
      <c r="BS584" s="27" t="s">
        <v>8</v>
      </c>
    </row>
    <row r="585" spans="1:71" x14ac:dyDescent="0.25">
      <c r="A585" s="7">
        <v>1.0404</v>
      </c>
      <c r="B585"/>
      <c r="C585"/>
      <c r="D585"/>
      <c r="E585"/>
      <c r="BS585" s="27" t="s">
        <v>8</v>
      </c>
    </row>
    <row r="586" spans="1:71" x14ac:dyDescent="0.25">
      <c r="A586" s="7">
        <v>1.02</v>
      </c>
      <c r="B586"/>
      <c r="C586"/>
      <c r="D586"/>
      <c r="E586"/>
      <c r="BS586" s="27" t="s">
        <v>8</v>
      </c>
    </row>
    <row r="587" spans="1:71" x14ac:dyDescent="0.25">
      <c r="A587" s="7">
        <v>1</v>
      </c>
      <c r="B587"/>
      <c r="C587"/>
      <c r="D587"/>
      <c r="E587" s="29" t="s">
        <v>8</v>
      </c>
      <c r="BS587" s="27" t="s">
        <v>8</v>
      </c>
    </row>
    <row r="588" spans="1:71" x14ac:dyDescent="0.25">
      <c r="A588" s="7">
        <v>0.98039215686274506</v>
      </c>
      <c r="B588"/>
      <c r="C588"/>
      <c r="D588"/>
      <c r="E588"/>
      <c r="F588" s="27" t="s">
        <v>7</v>
      </c>
      <c r="BS588" s="27" t="s">
        <v>8</v>
      </c>
    </row>
    <row r="589" spans="1:71" x14ac:dyDescent="0.25">
      <c r="A589" s="7">
        <v>0.96116878123798544</v>
      </c>
      <c r="B589"/>
      <c r="C589"/>
      <c r="D589"/>
      <c r="E589"/>
      <c r="F589" s="27" t="s">
        <v>7</v>
      </c>
      <c r="BS589" s="27" t="s">
        <v>8</v>
      </c>
    </row>
    <row r="590" spans="1:71" x14ac:dyDescent="0.25">
      <c r="A590" s="7">
        <v>0.94232233454704462</v>
      </c>
      <c r="B590"/>
      <c r="C590"/>
      <c r="D590"/>
      <c r="E590"/>
      <c r="F590" s="27" t="s">
        <v>7</v>
      </c>
      <c r="BS590" s="27" t="s">
        <v>8</v>
      </c>
    </row>
    <row r="591" spans="1:71" x14ac:dyDescent="0.25">
      <c r="A591" s="7">
        <v>0.92384542602651432</v>
      </c>
      <c r="B591"/>
      <c r="C591"/>
      <c r="D591"/>
      <c r="E591"/>
      <c r="F591" s="27" t="s">
        <v>7</v>
      </c>
      <c r="BS591" s="27" t="s">
        <v>8</v>
      </c>
    </row>
    <row r="592" spans="1:71" x14ac:dyDescent="0.25">
      <c r="A592" s="7">
        <v>0.90573080982991594</v>
      </c>
      <c r="B592"/>
      <c r="C592"/>
      <c r="D592"/>
      <c r="E592"/>
      <c r="F592" s="27" t="s">
        <v>7</v>
      </c>
      <c r="BS592" s="27" t="s">
        <v>8</v>
      </c>
    </row>
    <row r="593" spans="1:71" x14ac:dyDescent="0.25">
      <c r="A593" s="7">
        <v>0.8879713821861922</v>
      </c>
      <c r="B593"/>
      <c r="C593"/>
      <c r="D593"/>
      <c r="E593"/>
      <c r="F593" s="27" t="s">
        <v>7</v>
      </c>
      <c r="BS593" s="27" t="s">
        <v>8</v>
      </c>
    </row>
    <row r="594" spans="1:71" x14ac:dyDescent="0.25">
      <c r="A594" s="7">
        <v>0.87056017861391399</v>
      </c>
      <c r="B594"/>
      <c r="C594"/>
      <c r="D594"/>
      <c r="E594"/>
      <c r="F594" s="27" t="s">
        <v>7</v>
      </c>
      <c r="BS594" s="27" t="s">
        <v>8</v>
      </c>
    </row>
    <row r="595" spans="1:71" x14ac:dyDescent="0.25">
      <c r="A595" s="7">
        <v>0.85349037119011173</v>
      </c>
      <c r="B595"/>
      <c r="C595"/>
      <c r="D595"/>
      <c r="E595"/>
      <c r="F595" s="27" t="s">
        <v>7</v>
      </c>
      <c r="BS595" s="27" t="s">
        <v>8</v>
      </c>
    </row>
    <row r="596" spans="1:71" x14ac:dyDescent="0.25">
      <c r="A596" s="7">
        <v>0.83675526587265858</v>
      </c>
      <c r="B596"/>
      <c r="C596"/>
      <c r="D596"/>
      <c r="E596"/>
      <c r="F596" s="27" t="s">
        <v>7</v>
      </c>
      <c r="BS596" s="27" t="s">
        <v>8</v>
      </c>
    </row>
    <row r="597" spans="1:71" x14ac:dyDescent="0.25">
      <c r="A597" s="7">
        <v>0.82034829987515545</v>
      </c>
      <c r="B597"/>
      <c r="C597"/>
      <c r="D597"/>
      <c r="E597"/>
      <c r="F597" s="27" t="s">
        <v>7</v>
      </c>
      <c r="BS597" s="27" t="s">
        <v>8</v>
      </c>
    </row>
    <row r="598" spans="1:71" x14ac:dyDescent="0.25">
      <c r="A598" s="7">
        <v>0.80426303909328967</v>
      </c>
      <c r="B598"/>
      <c r="C598"/>
      <c r="D598"/>
      <c r="E598"/>
      <c r="F598" s="27" t="s">
        <v>7</v>
      </c>
      <c r="BS598" s="27" t="s">
        <v>8</v>
      </c>
    </row>
    <row r="599" spans="1:71" x14ac:dyDescent="0.25">
      <c r="A599" s="7">
        <v>0.78849317558165644</v>
      </c>
      <c r="B599"/>
      <c r="C599"/>
      <c r="D599"/>
      <c r="E599"/>
      <c r="F599" s="27" t="s">
        <v>7</v>
      </c>
      <c r="BS599" s="27" t="s">
        <v>8</v>
      </c>
    </row>
    <row r="600" spans="1:71" x14ac:dyDescent="0.25">
      <c r="A600" s="7">
        <v>0.77303252508005538</v>
      </c>
      <c r="B600"/>
      <c r="C600"/>
      <c r="D600"/>
      <c r="E600"/>
      <c r="F600" s="27" t="s">
        <v>7</v>
      </c>
      <c r="BS600" s="27" t="s">
        <v>8</v>
      </c>
    </row>
    <row r="601" spans="1:71" x14ac:dyDescent="0.25">
      <c r="A601" s="7">
        <v>0.75787502458828959</v>
      </c>
      <c r="B601"/>
      <c r="C601"/>
      <c r="D601"/>
      <c r="E601"/>
      <c r="F601" s="27" t="s">
        <v>7</v>
      </c>
      <c r="BS601" s="27" t="s">
        <v>8</v>
      </c>
    </row>
    <row r="602" spans="1:71" x14ac:dyDescent="0.25">
      <c r="A602" s="7">
        <v>0.74301472998851925</v>
      </c>
      <c r="B602"/>
      <c r="C602"/>
      <c r="D602"/>
      <c r="E602"/>
      <c r="F602" s="27" t="s">
        <v>7</v>
      </c>
      <c r="BS602" s="27" t="s">
        <v>8</v>
      </c>
    </row>
    <row r="603" spans="1:71" x14ac:dyDescent="0.25">
      <c r="A603" s="7">
        <v>0.72844581371423456</v>
      </c>
      <c r="B603"/>
      <c r="C603"/>
      <c r="D603"/>
      <c r="E603"/>
      <c r="F603" s="27" t="s">
        <v>7</v>
      </c>
      <c r="BS603" s="27" t="s">
        <v>8</v>
      </c>
    </row>
    <row r="604" spans="1:71" x14ac:dyDescent="0.25">
      <c r="A604" s="7">
        <v>0.71416256246493581</v>
      </c>
      <c r="B604"/>
      <c r="C604"/>
      <c r="D604"/>
      <c r="E604"/>
      <c r="F604" s="27" t="s">
        <v>7</v>
      </c>
      <c r="BS604" s="27" t="s">
        <v>8</v>
      </c>
    </row>
    <row r="605" spans="1:71" x14ac:dyDescent="0.25">
      <c r="A605" s="7">
        <v>0.7001593749656233</v>
      </c>
      <c r="B605"/>
      <c r="C605"/>
      <c r="D605"/>
      <c r="E605"/>
      <c r="F605" s="27" t="s">
        <v>7</v>
      </c>
      <c r="BS605" s="27" t="s">
        <v>8</v>
      </c>
    </row>
    <row r="606" spans="1:71" x14ac:dyDescent="0.25">
      <c r="A606" s="7">
        <v>0.68643075977021883</v>
      </c>
      <c r="B606"/>
      <c r="C606"/>
      <c r="D606"/>
      <c r="E606"/>
      <c r="F606" s="27" t="s">
        <v>7</v>
      </c>
      <c r="BS606" s="27" t="s">
        <v>8</v>
      </c>
    </row>
    <row r="607" spans="1:71" x14ac:dyDescent="0.25">
      <c r="A607" s="7">
        <v>0.67297133310805768</v>
      </c>
      <c r="B607"/>
      <c r="C607"/>
      <c r="D607"/>
      <c r="E607"/>
      <c r="F607" s="27" t="s">
        <v>7</v>
      </c>
      <c r="BS607" s="27" t="s">
        <v>8</v>
      </c>
    </row>
    <row r="608" spans="1:71" x14ac:dyDescent="0.25">
      <c r="A608" s="7">
        <v>0.65977581677260566</v>
      </c>
      <c r="B608"/>
      <c r="C608"/>
      <c r="D608"/>
      <c r="E608"/>
      <c r="F608" s="27" t="s">
        <v>7</v>
      </c>
      <c r="BS608" s="27" t="s">
        <v>8</v>
      </c>
    </row>
    <row r="609" spans="1:71" x14ac:dyDescent="0.25">
      <c r="A609" s="7">
        <v>0.64683903605157422</v>
      </c>
      <c r="B609"/>
      <c r="C609"/>
      <c r="D609"/>
      <c r="E609"/>
      <c r="F609" s="27" t="s">
        <v>7</v>
      </c>
      <c r="BS609" s="27" t="s">
        <v>8</v>
      </c>
    </row>
    <row r="610" spans="1:71" x14ac:dyDescent="0.25">
      <c r="A610" s="7">
        <v>0.63415591769762181</v>
      </c>
      <c r="B610"/>
      <c r="C610"/>
      <c r="D610"/>
      <c r="E610"/>
      <c r="F610" s="27" t="s">
        <v>7</v>
      </c>
      <c r="BS610" s="27" t="s">
        <v>8</v>
      </c>
    </row>
    <row r="611" spans="1:71" x14ac:dyDescent="0.25">
      <c r="A611" s="7">
        <v>0.62172148793884496</v>
      </c>
      <c r="B611"/>
      <c r="C611"/>
      <c r="D611"/>
      <c r="E611"/>
      <c r="F611" s="27" t="s">
        <v>7</v>
      </c>
      <c r="BS611" s="27" t="s">
        <v>8</v>
      </c>
    </row>
    <row r="612" spans="1:71" x14ac:dyDescent="0.25">
      <c r="A612" s="7">
        <v>0.60953087052827937</v>
      </c>
      <c r="B612"/>
      <c r="C612"/>
      <c r="D612"/>
      <c r="E612"/>
      <c r="F612" s="27" t="s">
        <v>7</v>
      </c>
      <c r="BS612" s="27" t="s">
        <v>8</v>
      </c>
    </row>
    <row r="613" spans="1:71" x14ac:dyDescent="0.25">
      <c r="A613" s="7">
        <v>0.59757928483164646</v>
      </c>
      <c r="B613"/>
      <c r="C613"/>
      <c r="D613"/>
      <c r="E613"/>
      <c r="F613" s="27" t="s">
        <v>7</v>
      </c>
      <c r="BS613" s="27" t="s">
        <v>8</v>
      </c>
    </row>
    <row r="614" spans="1:71" x14ac:dyDescent="0.25">
      <c r="A614" s="7">
        <v>0.58586204395259456</v>
      </c>
      <c r="B614"/>
      <c r="C614"/>
      <c r="D614"/>
      <c r="E614"/>
      <c r="F614" s="27" t="s">
        <v>7</v>
      </c>
      <c r="BS614" s="27" t="s">
        <v>8</v>
      </c>
    </row>
    <row r="615" spans="1:71" x14ac:dyDescent="0.25">
      <c r="A615" s="7">
        <v>0.57437455289470052</v>
      </c>
      <c r="B615"/>
      <c r="C615"/>
      <c r="D615"/>
      <c r="E615"/>
      <c r="F615" s="27" t="s">
        <v>7</v>
      </c>
      <c r="BS615" s="27" t="s">
        <v>8</v>
      </c>
    </row>
    <row r="616" spans="1:71" x14ac:dyDescent="0.25">
      <c r="A616" s="7">
        <v>0.56311230675951029</v>
      </c>
      <c r="B616"/>
      <c r="C616"/>
      <c r="D616"/>
      <c r="E616"/>
      <c r="F616" s="27" t="s">
        <v>7</v>
      </c>
      <c r="BS616" s="27" t="s">
        <v>8</v>
      </c>
    </row>
    <row r="617" spans="1:71" x14ac:dyDescent="0.25">
      <c r="A617" s="7">
        <v>0.55207088897991208</v>
      </c>
      <c r="B617"/>
      <c r="C617"/>
      <c r="D617"/>
      <c r="E617"/>
      <c r="F617" s="27" t="s">
        <v>7</v>
      </c>
      <c r="BS617" s="27" t="s">
        <v>8</v>
      </c>
    </row>
    <row r="618" spans="1:71" x14ac:dyDescent="0.25">
      <c r="A618" s="7">
        <v>0.54124596958814908</v>
      </c>
      <c r="B618"/>
      <c r="C618"/>
      <c r="D618"/>
      <c r="E618"/>
      <c r="F618" s="27" t="s">
        <v>7</v>
      </c>
      <c r="BS618" s="27" t="s">
        <v>8</v>
      </c>
    </row>
    <row r="619" spans="1:71" x14ac:dyDescent="0.25">
      <c r="A619" s="7">
        <v>0.53063330351779314</v>
      </c>
      <c r="B619"/>
      <c r="C619"/>
      <c r="D619"/>
      <c r="E619"/>
      <c r="F619" s="27" t="s">
        <v>7</v>
      </c>
      <c r="BS619" s="27" t="s">
        <v>8</v>
      </c>
    </row>
    <row r="620" spans="1:71" x14ac:dyDescent="0.25">
      <c r="A620" s="7">
        <v>0.52022872893901284</v>
      </c>
      <c r="B620"/>
      <c r="C620"/>
      <c r="D620"/>
      <c r="E620"/>
      <c r="F620" s="27" t="s">
        <v>7</v>
      </c>
      <c r="BS620" s="27" t="s">
        <v>8</v>
      </c>
    </row>
    <row r="621" spans="1:71" x14ac:dyDescent="0.25">
      <c r="A621" s="7">
        <v>0.51002816562648323</v>
      </c>
      <c r="B621"/>
      <c r="C621"/>
      <c r="D621"/>
      <c r="E621"/>
      <c r="F621" s="27" t="s">
        <v>7</v>
      </c>
      <c r="BS621" s="27" t="s">
        <v>8</v>
      </c>
    </row>
    <row r="622" spans="1:71" x14ac:dyDescent="0.25">
      <c r="A622" s="7">
        <v>0.50002761335929735</v>
      </c>
      <c r="B622"/>
      <c r="C622"/>
      <c r="D622"/>
      <c r="E622"/>
      <c r="F622" s="27" t="s">
        <v>7</v>
      </c>
      <c r="BS622" s="27" t="s">
        <v>8</v>
      </c>
    </row>
    <row r="623" spans="1:71" x14ac:dyDescent="0.25">
      <c r="A623" s="7">
        <v>0.49022315035225228</v>
      </c>
      <c r="B623"/>
      <c r="C623"/>
      <c r="D623"/>
      <c r="E623"/>
      <c r="F623" s="27" t="s">
        <v>7</v>
      </c>
      <c r="BS623" s="27" t="s">
        <v>8</v>
      </c>
    </row>
    <row r="624" spans="1:71" x14ac:dyDescent="0.25">
      <c r="A624" s="7">
        <v>0.48061093171789437</v>
      </c>
      <c r="B624"/>
      <c r="C624"/>
      <c r="D624"/>
      <c r="E624"/>
      <c r="F624" s="27" t="s">
        <v>7</v>
      </c>
      <c r="BS624" s="27" t="s">
        <v>8</v>
      </c>
    </row>
    <row r="625" spans="1:71" x14ac:dyDescent="0.25">
      <c r="A625" s="7">
        <v>0.47118718795871994</v>
      </c>
      <c r="B625"/>
      <c r="C625"/>
      <c r="D625"/>
      <c r="E625"/>
      <c r="F625" s="27" t="s">
        <v>7</v>
      </c>
      <c r="BS625" s="27" t="s">
        <v>8</v>
      </c>
    </row>
    <row r="626" spans="1:71" x14ac:dyDescent="0.25">
      <c r="A626" s="7">
        <v>0.46194822348894116</v>
      </c>
      <c r="B626"/>
      <c r="C626"/>
      <c r="D626"/>
      <c r="E626"/>
      <c r="F626" s="27" t="s">
        <v>7</v>
      </c>
      <c r="BS626" s="27" t="s">
        <v>8</v>
      </c>
    </row>
    <row r="627" spans="1:71" x14ac:dyDescent="0.25">
      <c r="A627" s="7">
        <v>0.45289041518523643</v>
      </c>
      <c r="B627"/>
      <c r="C627"/>
      <c r="D627"/>
      <c r="E627"/>
      <c r="F627" s="27" t="s">
        <v>7</v>
      </c>
      <c r="BS627" s="27" t="s">
        <v>8</v>
      </c>
    </row>
    <row r="628" spans="1:71" x14ac:dyDescent="0.25">
      <c r="A628" s="7">
        <v>0.44401021096591808</v>
      </c>
      <c r="B628"/>
      <c r="C628"/>
      <c r="D628"/>
      <c r="E628"/>
      <c r="F628" s="27" t="s">
        <v>7</v>
      </c>
      <c r="BS628" s="27" t="s">
        <v>8</v>
      </c>
    </row>
    <row r="629" spans="1:71" x14ac:dyDescent="0.25">
      <c r="A629" s="7">
        <v>0.4353041283979589</v>
      </c>
      <c r="B629"/>
      <c r="C629"/>
      <c r="D629"/>
      <c r="E629"/>
      <c r="F629" s="27" t="s">
        <v>7</v>
      </c>
      <c r="BS629" s="27" t="s">
        <v>8</v>
      </c>
    </row>
    <row r="630" spans="1:71" x14ac:dyDescent="0.25">
      <c r="A630" s="7">
        <v>0.4267687533313323</v>
      </c>
      <c r="B630"/>
      <c r="C630"/>
      <c r="D630"/>
      <c r="E630"/>
      <c r="F630" s="27" t="s">
        <v>7</v>
      </c>
      <c r="BS630" s="27" t="s">
        <v>8</v>
      </c>
    </row>
    <row r="631" spans="1:71" x14ac:dyDescent="0.25">
      <c r="A631" s="7">
        <v>0.41840073856012971</v>
      </c>
      <c r="B631"/>
      <c r="C631"/>
      <c r="D631"/>
      <c r="E631"/>
      <c r="F631" s="27" t="s">
        <v>7</v>
      </c>
      <c r="BS631" s="27" t="s">
        <v>8</v>
      </c>
    </row>
    <row r="632" spans="1:71" x14ac:dyDescent="0.25">
      <c r="A632" s="7">
        <v>0.41019680250993112</v>
      </c>
      <c r="B632"/>
      <c r="C632"/>
      <c r="D632"/>
      <c r="E632"/>
      <c r="F632" s="27" t="s">
        <v>7</v>
      </c>
      <c r="BS632" s="27" t="s">
        <v>8</v>
      </c>
    </row>
    <row r="633" spans="1:71" x14ac:dyDescent="0.25">
      <c r="A633" s="7">
        <v>0.40215372795091286</v>
      </c>
      <c r="B633"/>
      <c r="C633"/>
      <c r="D633"/>
      <c r="E633"/>
      <c r="F633" s="27" t="s">
        <v>7</v>
      </c>
      <c r="BS633" s="27" t="s">
        <v>8</v>
      </c>
    </row>
    <row r="634" spans="1:71" x14ac:dyDescent="0.25">
      <c r="A634" s="7">
        <v>0.39426836073618904</v>
      </c>
      <c r="B634"/>
      <c r="C634"/>
      <c r="D634"/>
      <c r="E634"/>
      <c r="F634" s="27" t="s">
        <v>7</v>
      </c>
      <c r="BS634" s="27" t="s">
        <v>8</v>
      </c>
    </row>
    <row r="635" spans="1:71" x14ac:dyDescent="0.25">
      <c r="A635" s="7">
        <v>0.38653760856489122</v>
      </c>
      <c r="B635"/>
      <c r="C635"/>
      <c r="D635"/>
      <c r="E635"/>
      <c r="F635" s="27" t="s">
        <v>7</v>
      </c>
      <c r="BS635" s="27" t="s">
        <v>8</v>
      </c>
    </row>
    <row r="636" spans="1:71" x14ac:dyDescent="0.25">
      <c r="A636" s="7">
        <v>0.37895843976950117</v>
      </c>
      <c r="B636"/>
      <c r="C636"/>
      <c r="D636"/>
      <c r="E636"/>
      <c r="F636" s="27" t="s">
        <v>7</v>
      </c>
      <c r="BS636" s="27" t="s">
        <v>8</v>
      </c>
    </row>
    <row r="637" spans="1:71" x14ac:dyDescent="0.25">
      <c r="A637" s="7">
        <v>0.37152788212696197</v>
      </c>
      <c r="B637"/>
      <c r="C637"/>
      <c r="D637"/>
      <c r="E637"/>
      <c r="F637" s="27" t="s">
        <v>7</v>
      </c>
      <c r="BS637" s="27" t="s">
        <v>8</v>
      </c>
    </row>
    <row r="638" spans="1:71" x14ac:dyDescent="0.25">
      <c r="A638" s="7">
        <v>0.36424302169310002</v>
      </c>
      <c r="B638"/>
      <c r="C638"/>
      <c r="D638"/>
      <c r="E638"/>
      <c r="F638" s="27" t="s">
        <v>7</v>
      </c>
      <c r="BS638" s="27" t="s">
        <v>8</v>
      </c>
    </row>
    <row r="639" spans="1:71" x14ac:dyDescent="0.25">
      <c r="A639" s="7">
        <v>0.35710100165990194</v>
      </c>
      <c r="B639"/>
      <c r="C639"/>
      <c r="D639"/>
      <c r="E639"/>
      <c r="F639" s="27" t="s">
        <v>7</v>
      </c>
      <c r="BS639" s="27" t="s">
        <v>8</v>
      </c>
    </row>
    <row r="640" spans="1:71" x14ac:dyDescent="0.25">
      <c r="A640" s="7">
        <v>0.35009902123519804</v>
      </c>
      <c r="B640"/>
      <c r="C640"/>
      <c r="D640"/>
      <c r="E640"/>
      <c r="F640" s="27" t="s">
        <v>7</v>
      </c>
      <c r="BS640" s="27" t="s">
        <v>8</v>
      </c>
    </row>
    <row r="641" spans="1:71" x14ac:dyDescent="0.25">
      <c r="A641" s="7">
        <v>0.34323433454431179</v>
      </c>
      <c r="B641"/>
      <c r="C641"/>
      <c r="D641"/>
      <c r="E641"/>
      <c r="F641" s="27" t="s">
        <v>7</v>
      </c>
      <c r="BS641" s="27" t="s">
        <v>8</v>
      </c>
    </row>
    <row r="642" spans="1:71" x14ac:dyDescent="0.25">
      <c r="A642" s="7">
        <v>0.33650424955324681</v>
      </c>
      <c r="B642"/>
      <c r="C642"/>
      <c r="D642"/>
      <c r="E642"/>
      <c r="F642" s="27" t="s">
        <v>7</v>
      </c>
      <c r="BS642" s="27" t="s">
        <v>8</v>
      </c>
    </row>
    <row r="643" spans="1:71" x14ac:dyDescent="0.25">
      <c r="A643" s="7">
        <v>0.3299061270129871</v>
      </c>
      <c r="B643"/>
      <c r="C643"/>
      <c r="D643"/>
      <c r="E643"/>
      <c r="F643" s="27" t="s">
        <v>7</v>
      </c>
      <c r="BS643" s="27" t="s">
        <v>8</v>
      </c>
    </row>
    <row r="644" spans="1:71" x14ac:dyDescent="0.25">
      <c r="A644" s="7">
        <v>0.32343737942449713</v>
      </c>
      <c r="B644"/>
      <c r="C644"/>
      <c r="D644"/>
      <c r="E644"/>
      <c r="F644" s="27" t="s">
        <v>7</v>
      </c>
      <c r="BS644" s="27" t="s">
        <v>8</v>
      </c>
    </row>
    <row r="645" spans="1:71" x14ac:dyDescent="0.25">
      <c r="A645" s="7">
        <v>0.31709547002401678</v>
      </c>
      <c r="B645"/>
      <c r="C645"/>
      <c r="D645"/>
      <c r="E645"/>
      <c r="F645" s="27" t="s">
        <v>7</v>
      </c>
      <c r="BS645" s="27" t="s">
        <v>8</v>
      </c>
    </row>
    <row r="646" spans="1:71" x14ac:dyDescent="0.25">
      <c r="A646" s="7">
        <v>0.31087791178825175</v>
      </c>
      <c r="B646"/>
      <c r="C646"/>
      <c r="D646"/>
      <c r="E646"/>
      <c r="F646" s="27" t="s">
        <v>7</v>
      </c>
      <c r="BS646" s="27" t="s">
        <v>8</v>
      </c>
    </row>
    <row r="647" spans="1:71" x14ac:dyDescent="0.25">
      <c r="A647" s="7">
        <v>0.30478226645907036</v>
      </c>
      <c r="B647"/>
      <c r="C647"/>
      <c r="D647"/>
      <c r="E647"/>
      <c r="F647" s="27" t="s">
        <v>7</v>
      </c>
      <c r="BS647" s="27" t="s">
        <v>8</v>
      </c>
    </row>
    <row r="648" spans="1:71" x14ac:dyDescent="0.25">
      <c r="A648" s="7">
        <v>0.29880614358732388</v>
      </c>
      <c r="B648"/>
      <c r="C648"/>
      <c r="D648"/>
      <c r="E648"/>
      <c r="F648" s="27" t="s">
        <v>7</v>
      </c>
      <c r="BS648" s="27" t="s">
        <v>8</v>
      </c>
    </row>
    <row r="649" spans="1:71" x14ac:dyDescent="0.25">
      <c r="A649" s="7">
        <v>0.2929471995954156</v>
      </c>
      <c r="B649"/>
      <c r="C649"/>
      <c r="D649"/>
      <c r="E649"/>
      <c r="F649" s="27" t="s">
        <v>7</v>
      </c>
      <c r="BS649" s="27" t="s">
        <v>8</v>
      </c>
    </row>
    <row r="650" spans="1:71" x14ac:dyDescent="0.25">
      <c r="A650" s="7">
        <v>0.28720313685825055</v>
      </c>
      <c r="B650"/>
      <c r="C650"/>
      <c r="D650"/>
      <c r="E650"/>
      <c r="F650" s="27" t="s">
        <v>7</v>
      </c>
      <c r="BS650" s="27" t="s">
        <v>8</v>
      </c>
    </row>
    <row r="651" spans="1:71" x14ac:dyDescent="0.25">
      <c r="A651" s="7">
        <v>0.28157170280220645</v>
      </c>
      <c r="B651"/>
      <c r="C651"/>
      <c r="D651"/>
      <c r="E651"/>
      <c r="F651" s="27" t="s">
        <v>7</v>
      </c>
      <c r="BS651" s="27" t="s">
        <v>8</v>
      </c>
    </row>
    <row r="652" spans="1:71" x14ac:dyDescent="0.25">
      <c r="A652" s="7">
        <v>0.27605068902177105</v>
      </c>
      <c r="B652"/>
      <c r="C652"/>
      <c r="D652"/>
      <c r="E652"/>
      <c r="F652" s="27" t="s">
        <v>7</v>
      </c>
      <c r="BS652" s="27" t="s">
        <v>8</v>
      </c>
    </row>
    <row r="653" spans="1:71" x14ac:dyDescent="0.25">
      <c r="A653" s="7">
        <v>0.27063793041350104</v>
      </c>
      <c r="B653"/>
      <c r="C653"/>
      <c r="D653"/>
      <c r="E653"/>
      <c r="F653" s="27" t="s">
        <v>7</v>
      </c>
      <c r="BS653" s="27" t="s">
        <v>8</v>
      </c>
    </row>
    <row r="654" spans="1:71" x14ac:dyDescent="0.25">
      <c r="A654" s="7">
        <v>0.26533130432696184</v>
      </c>
      <c r="B654"/>
      <c r="C654"/>
      <c r="D654"/>
      <c r="E654"/>
      <c r="F654" s="27" t="s">
        <v>7</v>
      </c>
      <c r="BS654" s="27" t="s">
        <v>8</v>
      </c>
    </row>
    <row r="655" spans="1:71" x14ac:dyDescent="0.25">
      <c r="A655" s="7">
        <v>0.26012872973231554</v>
      </c>
      <c r="B655"/>
      <c r="C655"/>
      <c r="D655"/>
      <c r="E655"/>
      <c r="F655" s="27" t="s">
        <v>7</v>
      </c>
      <c r="BS655" s="27" t="s">
        <v>8</v>
      </c>
    </row>
    <row r="656" spans="1:71" x14ac:dyDescent="0.25">
      <c r="A656" s="7">
        <v>0.25502816640423093</v>
      </c>
      <c r="B656"/>
      <c r="C656"/>
      <c r="D656"/>
      <c r="E656"/>
      <c r="F656" s="27" t="s">
        <v>7</v>
      </c>
      <c r="BS656" s="27" t="s">
        <v>8</v>
      </c>
    </row>
    <row r="657" spans="1:71" x14ac:dyDescent="0.25">
      <c r="A657" s="7">
        <v>0.25002761412179503</v>
      </c>
      <c r="B657"/>
      <c r="C657"/>
      <c r="D657"/>
      <c r="E657"/>
      <c r="F657" s="27" t="s">
        <v>7</v>
      </c>
      <c r="BS657" s="27" t="s">
        <v>8</v>
      </c>
    </row>
    <row r="658" spans="1:71" x14ac:dyDescent="0.25">
      <c r="A658" s="7">
        <v>0.24512511188411276</v>
      </c>
      <c r="B658"/>
      <c r="C658"/>
      <c r="D658"/>
      <c r="E658"/>
      <c r="F658" s="27" t="s">
        <v>7</v>
      </c>
      <c r="BS658" s="27" t="s">
        <v>8</v>
      </c>
    </row>
    <row r="659" spans="1:71" x14ac:dyDescent="0.25">
      <c r="A659" s="7">
        <v>0.24031873714128701</v>
      </c>
      <c r="B659"/>
      <c r="C659"/>
      <c r="D659"/>
      <c r="E659"/>
      <c r="F659" s="27" t="s">
        <v>7</v>
      </c>
      <c r="BS659" s="27" t="s">
        <v>8</v>
      </c>
    </row>
    <row r="660" spans="1:71" x14ac:dyDescent="0.25">
      <c r="A660" s="7">
        <v>0.23560660504047748</v>
      </c>
      <c r="B660"/>
      <c r="C660"/>
      <c r="D660"/>
      <c r="E660"/>
      <c r="F660" s="27" t="s">
        <v>7</v>
      </c>
      <c r="BS660" s="27" t="s">
        <v>8</v>
      </c>
    </row>
    <row r="661" spans="1:71" x14ac:dyDescent="0.25">
      <c r="A661" s="7">
        <v>0.23098686768674265</v>
      </c>
      <c r="B661"/>
      <c r="C661"/>
      <c r="D661"/>
      <c r="E661"/>
      <c r="F661" s="27" t="s">
        <v>7</v>
      </c>
      <c r="BS661" s="27" t="s">
        <v>8</v>
      </c>
    </row>
    <row r="662" spans="1:71" x14ac:dyDescent="0.25">
      <c r="A662" s="7">
        <v>0.22645771341837515</v>
      </c>
      <c r="B662"/>
      <c r="C662"/>
      <c r="D662"/>
      <c r="E662"/>
      <c r="F662" s="27" t="s">
        <v>7</v>
      </c>
      <c r="BS662" s="27" t="s">
        <v>8</v>
      </c>
    </row>
    <row r="663" spans="1:71" x14ac:dyDescent="0.25">
      <c r="A663" s="7">
        <v>0.22201736609644623</v>
      </c>
      <c r="B663"/>
      <c r="C663"/>
      <c r="D663"/>
      <c r="E663"/>
      <c r="F663" s="27" t="s">
        <v>7</v>
      </c>
      <c r="BS663" s="27" t="s">
        <v>8</v>
      </c>
    </row>
    <row r="664" spans="1:71" x14ac:dyDescent="0.25">
      <c r="A664" s="7">
        <v>0.21766408440828061</v>
      </c>
      <c r="B664"/>
      <c r="C664"/>
      <c r="D664"/>
      <c r="E664"/>
      <c r="F664" s="27" t="s">
        <v>7</v>
      </c>
      <c r="BS664" s="27" t="s">
        <v>8</v>
      </c>
    </row>
    <row r="665" spans="1:71" x14ac:dyDescent="0.25">
      <c r="A665" s="7">
        <v>0.21339616118458882</v>
      </c>
      <c r="B665"/>
      <c r="C665"/>
      <c r="D665"/>
      <c r="E665"/>
      <c r="F665" s="27" t="s">
        <v>7</v>
      </c>
      <c r="BS665" s="27" t="s">
        <v>8</v>
      </c>
    </row>
    <row r="666" spans="1:71" x14ac:dyDescent="0.25">
      <c r="A666" s="7">
        <v>0.20921192272998904</v>
      </c>
      <c r="B666"/>
      <c r="C666"/>
      <c r="D666"/>
      <c r="E666"/>
      <c r="F666" s="27" t="s">
        <v>7</v>
      </c>
      <c r="BS666" s="27" t="s">
        <v>8</v>
      </c>
    </row>
    <row r="667" spans="1:71" x14ac:dyDescent="0.25">
      <c r="A667" s="7">
        <v>0.20510972816665593</v>
      </c>
      <c r="B667"/>
      <c r="C667"/>
      <c r="D667"/>
      <c r="E667"/>
      <c r="F667" s="27" t="s">
        <v>7</v>
      </c>
      <c r="BS667" s="27" t="s">
        <v>8</v>
      </c>
    </row>
    <row r="668" spans="1:71" x14ac:dyDescent="0.25">
      <c r="A668" s="7">
        <v>0.20108796879083912</v>
      </c>
      <c r="B668"/>
      <c r="C668"/>
      <c r="D668"/>
      <c r="E668"/>
      <c r="F668" s="27" t="s">
        <v>7</v>
      </c>
      <c r="BS668" s="27" t="s">
        <v>8</v>
      </c>
    </row>
    <row r="669" spans="1:71" x14ac:dyDescent="0.25">
      <c r="A669" s="7">
        <v>0.19714506744199917</v>
      </c>
      <c r="B669"/>
      <c r="C669"/>
      <c r="D669"/>
      <c r="E669"/>
      <c r="F669" s="27" t="s">
        <v>7</v>
      </c>
      <c r="BS669" s="27" t="s">
        <v>8</v>
      </c>
    </row>
    <row r="670" spans="1:71" x14ac:dyDescent="0.25">
      <c r="A670" s="7">
        <v>0.19327947788431293</v>
      </c>
      <c r="B670"/>
      <c r="C670"/>
      <c r="D670"/>
      <c r="E670"/>
      <c r="F670" s="27" t="s">
        <v>7</v>
      </c>
      <c r="BS670" s="27" t="s">
        <v>8</v>
      </c>
    </row>
    <row r="671" spans="1:71" x14ac:dyDescent="0.25">
      <c r="A671" s="7">
        <v>0.18948968420030682</v>
      </c>
      <c r="B671"/>
      <c r="C671"/>
      <c r="D671"/>
      <c r="E671"/>
      <c r="F671" s="27" t="s">
        <v>7</v>
      </c>
      <c r="BS671" s="27" t="s">
        <v>8</v>
      </c>
    </row>
    <row r="672" spans="1:71" x14ac:dyDescent="0.25">
      <c r="A672" s="7">
        <v>0.18577420019637925</v>
      </c>
      <c r="B672"/>
      <c r="C672"/>
      <c r="D672"/>
      <c r="E672"/>
      <c r="F672" s="27" t="s">
        <v>7</v>
      </c>
      <c r="BS672" s="27" t="s">
        <v>8</v>
      </c>
    </row>
    <row r="673" spans="1:71" x14ac:dyDescent="0.25">
      <c r="A673" s="7">
        <v>0.18213156881997963</v>
      </c>
      <c r="B673"/>
      <c r="C673"/>
      <c r="D673"/>
      <c r="E673"/>
      <c r="F673" s="27" t="s">
        <v>7</v>
      </c>
      <c r="BS673" s="27" t="s">
        <v>8</v>
      </c>
    </row>
    <row r="674" spans="1:71" x14ac:dyDescent="0.25">
      <c r="A674" s="7">
        <v>0.17856036158821534</v>
      </c>
      <c r="B674"/>
      <c r="C674"/>
      <c r="D674"/>
      <c r="E674"/>
      <c r="F674" s="27" t="s">
        <v>7</v>
      </c>
      <c r="G674" s="27" t="s">
        <v>8</v>
      </c>
      <c r="BS674" s="27" t="s">
        <v>8</v>
      </c>
    </row>
    <row r="675" spans="1:71" x14ac:dyDescent="0.25">
      <c r="A675" s="7">
        <v>0.17505917802766208</v>
      </c>
      <c r="B675"/>
      <c r="C675"/>
      <c r="D675"/>
      <c r="E675"/>
      <c r="F675" s="27" t="s">
        <v>7</v>
      </c>
      <c r="G675" s="27" t="s">
        <v>8</v>
      </c>
      <c r="H675" s="27" t="s">
        <v>7</v>
      </c>
      <c r="BS675" s="27" t="s">
        <v>8</v>
      </c>
    </row>
    <row r="676" spans="1:71" x14ac:dyDescent="0.25">
      <c r="A676" s="7">
        <v>0.17162664512515888</v>
      </c>
      <c r="B676"/>
      <c r="C676"/>
      <c r="D676"/>
      <c r="E676"/>
      <c r="F676" s="27" t="s">
        <v>7</v>
      </c>
      <c r="G676" s="27" t="s">
        <v>8</v>
      </c>
      <c r="H676" s="27" t="s">
        <v>7</v>
      </c>
      <c r="Q676" s="27" t="s">
        <v>8</v>
      </c>
      <c r="BS676" s="27" t="s">
        <v>8</v>
      </c>
    </row>
    <row r="677" spans="1:71" x14ac:dyDescent="0.25">
      <c r="A677" s="7">
        <v>0.16826141678937145</v>
      </c>
      <c r="B677"/>
      <c r="C677"/>
      <c r="D677"/>
      <c r="E677"/>
      <c r="F677" s="27" t="s">
        <v>7</v>
      </c>
      <c r="G677" s="27" t="s">
        <v>8</v>
      </c>
      <c r="H677" s="27" t="s">
        <v>7</v>
      </c>
      <c r="Q677" s="27" t="s">
        <v>8</v>
      </c>
      <c r="R677" s="27" t="s">
        <v>7</v>
      </c>
      <c r="BS677" s="27" t="s">
        <v>8</v>
      </c>
    </row>
    <row r="678" spans="1:71" x14ac:dyDescent="0.25">
      <c r="A678" s="7">
        <v>0.16496217332291319</v>
      </c>
      <c r="B678"/>
      <c r="C678"/>
      <c r="D678"/>
      <c r="E678"/>
      <c r="F678" s="27" t="s">
        <v>7</v>
      </c>
      <c r="G678" s="27" t="s">
        <v>8</v>
      </c>
      <c r="H678" s="27" t="s">
        <v>7</v>
      </c>
      <c r="Q678" s="27" t="s">
        <v>8</v>
      </c>
      <c r="R678" s="27" t="s">
        <v>7</v>
      </c>
      <c r="BS678" s="27" t="s">
        <v>8</v>
      </c>
    </row>
    <row r="679" spans="1:71" x14ac:dyDescent="0.25">
      <c r="A679" s="7">
        <v>0.16172762090481685</v>
      </c>
      <c r="B679"/>
      <c r="C679"/>
      <c r="D679"/>
      <c r="E679"/>
      <c r="F679" s="27" t="s">
        <v>7</v>
      </c>
      <c r="G679" s="27" t="s">
        <v>8</v>
      </c>
      <c r="H679" s="27" t="s">
        <v>7</v>
      </c>
      <c r="Q679" s="27" t="s">
        <v>8</v>
      </c>
      <c r="R679" s="27" t="s">
        <v>7</v>
      </c>
      <c r="BS679" s="27" t="s">
        <v>8</v>
      </c>
    </row>
    <row r="680" spans="1:71" x14ac:dyDescent="0.25">
      <c r="A680" s="7">
        <v>0.15855649108315376</v>
      </c>
      <c r="B680"/>
      <c r="C680"/>
      <c r="D680"/>
      <c r="E680"/>
      <c r="F680" s="27" t="s">
        <v>7</v>
      </c>
      <c r="G680" s="27" t="s">
        <v>8</v>
      </c>
      <c r="H680" s="27" t="s">
        <v>7</v>
      </c>
      <c r="I680" s="27" t="s">
        <v>8</v>
      </c>
      <c r="Q680" s="27" t="s">
        <v>8</v>
      </c>
      <c r="R680" s="27" t="s">
        <v>7</v>
      </c>
      <c r="S680" s="27" t="s">
        <v>8</v>
      </c>
      <c r="BS680" s="27" t="s">
        <v>8</v>
      </c>
    </row>
    <row r="681" spans="1:71" x14ac:dyDescent="0.25">
      <c r="A681" s="7">
        <v>0.15544754027760171</v>
      </c>
      <c r="B681"/>
      <c r="C681"/>
      <c r="D681"/>
      <c r="E681"/>
      <c r="F681" s="27" t="s">
        <v>7</v>
      </c>
      <c r="H681" s="27" t="s">
        <v>7</v>
      </c>
      <c r="I681" s="27" t="s">
        <v>8</v>
      </c>
      <c r="J681" s="27" t="s">
        <v>7</v>
      </c>
      <c r="Q681" s="27" t="s">
        <v>8</v>
      </c>
      <c r="R681" s="27" t="s">
        <v>7</v>
      </c>
      <c r="S681" s="27" t="s">
        <v>8</v>
      </c>
      <c r="T681" s="27" t="s">
        <v>7</v>
      </c>
      <c r="BS681" s="27" t="s">
        <v>8</v>
      </c>
    </row>
    <row r="682" spans="1:71" x14ac:dyDescent="0.25">
      <c r="A682" s="7">
        <v>0.15239954929176638</v>
      </c>
      <c r="B682"/>
      <c r="C682"/>
      <c r="D682"/>
      <c r="E682"/>
      <c r="H682" s="27" t="s">
        <v>7</v>
      </c>
      <c r="I682" s="27" t="s">
        <v>8</v>
      </c>
      <c r="J682" s="27" t="s">
        <v>7</v>
      </c>
      <c r="K682" s="27" t="s">
        <v>8</v>
      </c>
      <c r="Q682" s="27" t="s">
        <v>8</v>
      </c>
      <c r="R682" s="27" t="s">
        <v>7</v>
      </c>
      <c r="S682" s="27" t="s">
        <v>8</v>
      </c>
      <c r="T682" s="27" t="s">
        <v>7</v>
      </c>
      <c r="BS682" s="27" t="s">
        <v>8</v>
      </c>
    </row>
    <row r="683" spans="1:71" x14ac:dyDescent="0.25">
      <c r="A683" s="7">
        <v>0.14941132283506509</v>
      </c>
      <c r="B683"/>
      <c r="C683"/>
      <c r="D683"/>
      <c r="E683"/>
      <c r="H683" s="27" t="s">
        <v>7</v>
      </c>
      <c r="I683" s="27" t="s">
        <v>8</v>
      </c>
      <c r="J683" s="27" t="s">
        <v>7</v>
      </c>
      <c r="K683" s="27" t="s">
        <v>8</v>
      </c>
      <c r="L683" s="27" t="s">
        <v>7</v>
      </c>
      <c r="Q683" s="27" t="s">
        <v>8</v>
      </c>
      <c r="R683" s="27" t="s">
        <v>7</v>
      </c>
      <c r="S683" s="27" t="s">
        <v>8</v>
      </c>
      <c r="T683" s="27" t="s">
        <v>7</v>
      </c>
      <c r="BS683" s="27" t="s">
        <v>8</v>
      </c>
    </row>
    <row r="684" spans="1:71" x14ac:dyDescent="0.25">
      <c r="A684" s="7">
        <v>0.14648168905398537</v>
      </c>
      <c r="B684"/>
      <c r="C684"/>
      <c r="D684"/>
      <c r="E684"/>
      <c r="H684" s="27" t="s">
        <v>7</v>
      </c>
      <c r="I684" s="27" t="s">
        <v>8</v>
      </c>
      <c r="J684" s="27" t="s">
        <v>7</v>
      </c>
      <c r="K684" s="27" t="s">
        <v>8</v>
      </c>
      <c r="L684" s="27" t="s">
        <v>7</v>
      </c>
      <c r="M684" s="27" t="s">
        <v>8</v>
      </c>
      <c r="Q684" s="27" t="s">
        <v>8</v>
      </c>
      <c r="R684" s="27" t="s">
        <v>7</v>
      </c>
      <c r="S684" s="27" t="s">
        <v>8</v>
      </c>
      <c r="T684" s="27" t="s">
        <v>7</v>
      </c>
      <c r="BS684" s="27" t="s">
        <v>8</v>
      </c>
    </row>
    <row r="685" spans="1:71" x14ac:dyDescent="0.25">
      <c r="A685" s="7">
        <v>0.14360949907253467</v>
      </c>
      <c r="B685"/>
      <c r="C685"/>
      <c r="D685"/>
      <c r="E685"/>
      <c r="H685" s="27" t="s">
        <v>7</v>
      </c>
      <c r="I685" s="27" t="s">
        <v>8</v>
      </c>
      <c r="J685" s="27" t="s">
        <v>7</v>
      </c>
      <c r="K685" s="27" t="s">
        <v>8</v>
      </c>
      <c r="L685" s="27" t="s">
        <v>7</v>
      </c>
      <c r="M685" s="27" t="s">
        <v>8</v>
      </c>
      <c r="N685" s="27" t="s">
        <v>7</v>
      </c>
      <c r="Q685" s="27" t="s">
        <v>8</v>
      </c>
      <c r="R685" s="27" t="s">
        <v>7</v>
      </c>
      <c r="S685" s="27" t="s">
        <v>8</v>
      </c>
      <c r="T685" s="27" t="s">
        <v>7</v>
      </c>
      <c r="BS685" s="27" t="s">
        <v>8</v>
      </c>
    </row>
    <row r="686" spans="1:71" x14ac:dyDescent="0.25">
      <c r="A686" s="7">
        <v>0.14079362654170066</v>
      </c>
      <c r="B686"/>
      <c r="C686"/>
      <c r="D686"/>
      <c r="E686"/>
      <c r="H686" s="27" t="s">
        <v>7</v>
      </c>
      <c r="I686" s="27" t="s">
        <v>8</v>
      </c>
      <c r="J686" s="27" t="s">
        <v>7</v>
      </c>
      <c r="L686" s="27" t="s">
        <v>7</v>
      </c>
      <c r="M686" s="27" t="s">
        <v>8</v>
      </c>
      <c r="N686" s="27" t="s">
        <v>7</v>
      </c>
      <c r="Q686" s="27" t="s">
        <v>8</v>
      </c>
      <c r="R686" s="27" t="s">
        <v>7</v>
      </c>
      <c r="S686" s="27" t="s">
        <v>8</v>
      </c>
      <c r="T686" s="27" t="s">
        <v>7</v>
      </c>
      <c r="BS686" s="27" t="s">
        <v>8</v>
      </c>
    </row>
    <row r="687" spans="1:71" x14ac:dyDescent="0.25">
      <c r="A687" s="7">
        <v>0.13803296719774574</v>
      </c>
      <c r="B687"/>
      <c r="C687"/>
      <c r="D687"/>
      <c r="E687"/>
      <c r="H687" s="27" t="s">
        <v>7</v>
      </c>
      <c r="I687" s="27" t="s">
        <v>8</v>
      </c>
      <c r="L687" s="27" t="s">
        <v>7</v>
      </c>
      <c r="M687" s="27" t="s">
        <v>8</v>
      </c>
      <c r="N687" s="27" t="s">
        <v>7</v>
      </c>
      <c r="O687" s="27" t="s">
        <v>8</v>
      </c>
      <c r="Q687" s="27" t="s">
        <v>8</v>
      </c>
      <c r="R687" s="27" t="s">
        <v>7</v>
      </c>
      <c r="T687" s="27" t="s">
        <v>7</v>
      </c>
      <c r="U687" s="27" t="s">
        <v>8</v>
      </c>
      <c r="BS687" s="27" t="s">
        <v>8</v>
      </c>
    </row>
    <row r="688" spans="1:71" x14ac:dyDescent="0.25">
      <c r="A688" s="7">
        <v>0.1353264384291625</v>
      </c>
      <c r="B688"/>
      <c r="C688"/>
      <c r="D688"/>
      <c r="E688"/>
      <c r="H688" s="27" t="s">
        <v>7</v>
      </c>
      <c r="I688" s="27" t="s">
        <v>8</v>
      </c>
      <c r="L688" s="27" t="s">
        <v>7</v>
      </c>
      <c r="M688" s="27" t="s">
        <v>8</v>
      </c>
      <c r="N688" s="27" t="s">
        <v>7</v>
      </c>
      <c r="O688" s="27" t="s">
        <v>8</v>
      </c>
      <c r="P688" s="27" t="s">
        <v>7</v>
      </c>
      <c r="Q688" s="27" t="s">
        <v>8</v>
      </c>
      <c r="T688" s="27" t="s">
        <v>7</v>
      </c>
      <c r="U688" s="27" t="s">
        <v>8</v>
      </c>
      <c r="V688" s="27" t="s">
        <v>7</v>
      </c>
      <c r="AE688" s="27" t="s">
        <v>8</v>
      </c>
      <c r="BS688" s="27" t="s">
        <v>8</v>
      </c>
    </row>
    <row r="689" spans="1:71" x14ac:dyDescent="0.25">
      <c r="A689" s="7">
        <v>0.13267297885212009</v>
      </c>
      <c r="B689"/>
      <c r="C689"/>
      <c r="D689"/>
      <c r="E689"/>
      <c r="H689" s="27" t="s">
        <v>7</v>
      </c>
      <c r="I689" s="27" t="s">
        <v>8</v>
      </c>
      <c r="L689" s="27" t="s">
        <v>7</v>
      </c>
      <c r="N689" s="27" t="s">
        <v>7</v>
      </c>
      <c r="O689" s="27" t="s">
        <v>8</v>
      </c>
      <c r="P689" s="27" t="s">
        <v>7</v>
      </c>
      <c r="Q689" s="27" t="s">
        <v>8</v>
      </c>
      <c r="T689" s="27" t="s">
        <v>7</v>
      </c>
      <c r="U689" s="27" t="s">
        <v>8</v>
      </c>
      <c r="V689" s="27" t="s">
        <v>7</v>
      </c>
      <c r="W689" s="27" t="s">
        <v>8</v>
      </c>
      <c r="AE689" s="27" t="s">
        <v>8</v>
      </c>
      <c r="AF689" s="27" t="s">
        <v>7</v>
      </c>
      <c r="BS689" s="27" t="s">
        <v>8</v>
      </c>
    </row>
    <row r="690" spans="1:71" x14ac:dyDescent="0.25">
      <c r="A690" s="7">
        <v>0.13007154789423539</v>
      </c>
      <c r="B690"/>
      <c r="C690"/>
      <c r="D690"/>
      <c r="E690"/>
      <c r="H690" s="27" t="s">
        <v>7</v>
      </c>
      <c r="I690" s="27" t="s">
        <v>8</v>
      </c>
      <c r="N690" s="27" t="s">
        <v>7</v>
      </c>
      <c r="O690" s="27" t="s">
        <v>8</v>
      </c>
      <c r="P690" s="27" t="s">
        <v>7</v>
      </c>
      <c r="Q690" s="27" t="s">
        <v>8</v>
      </c>
      <c r="T690" s="27" t="s">
        <v>7</v>
      </c>
      <c r="U690" s="27" t="s">
        <v>8</v>
      </c>
      <c r="V690" s="27" t="s">
        <v>7</v>
      </c>
      <c r="W690" s="27" t="s">
        <v>8</v>
      </c>
      <c r="X690" s="27" t="s">
        <v>7</v>
      </c>
      <c r="AE690" s="27" t="s">
        <v>8</v>
      </c>
      <c r="AF690" s="27" t="s">
        <v>7</v>
      </c>
      <c r="BS690" s="27" t="s">
        <v>8</v>
      </c>
    </row>
    <row r="691" spans="1:71" x14ac:dyDescent="0.25">
      <c r="A691" s="7">
        <v>0.12752112538650529</v>
      </c>
      <c r="B691"/>
      <c r="C691"/>
      <c r="D691"/>
      <c r="E691"/>
      <c r="H691" s="27" t="s">
        <v>7</v>
      </c>
      <c r="I691" s="27" t="s">
        <v>8</v>
      </c>
      <c r="N691" s="27" t="s">
        <v>7</v>
      </c>
      <c r="O691" s="27" t="s">
        <v>8</v>
      </c>
      <c r="P691" s="27" t="s">
        <v>7</v>
      </c>
      <c r="Q691" s="27" t="s">
        <v>8</v>
      </c>
      <c r="T691" s="27" t="s">
        <v>7</v>
      </c>
      <c r="U691" s="27" t="s">
        <v>8</v>
      </c>
      <c r="V691" s="27" t="s">
        <v>7</v>
      </c>
      <c r="W691" s="27" t="s">
        <v>8</v>
      </c>
      <c r="X691" s="27" t="s">
        <v>7</v>
      </c>
      <c r="AE691" s="27" t="s">
        <v>8</v>
      </c>
      <c r="AF691" s="27" t="s">
        <v>7</v>
      </c>
      <c r="BS691" s="27" t="s">
        <v>8</v>
      </c>
    </row>
    <row r="692" spans="1:71" x14ac:dyDescent="0.25">
      <c r="A692" s="7">
        <v>0.12502071116324048</v>
      </c>
      <c r="B692"/>
      <c r="C692"/>
      <c r="D692"/>
      <c r="E692"/>
      <c r="H692" s="27" t="s">
        <v>7</v>
      </c>
      <c r="I692" s="27" t="s">
        <v>8</v>
      </c>
      <c r="N692" s="27" t="s">
        <v>7</v>
      </c>
      <c r="O692" s="27" t="s">
        <v>8</v>
      </c>
      <c r="P692" s="27" t="s">
        <v>7</v>
      </c>
      <c r="Q692" s="27" t="s">
        <v>8</v>
      </c>
      <c r="T692" s="27" t="s">
        <v>7</v>
      </c>
      <c r="V692" s="27" t="s">
        <v>7</v>
      </c>
      <c r="W692" s="27" t="s">
        <v>8</v>
      </c>
      <c r="X692" s="27" t="s">
        <v>7</v>
      </c>
      <c r="AE692" s="27" t="s">
        <v>8</v>
      </c>
      <c r="AF692" s="27" t="s">
        <v>7</v>
      </c>
      <c r="BS692" s="27" t="s">
        <v>8</v>
      </c>
    </row>
    <row r="693" spans="1:71" x14ac:dyDescent="0.25">
      <c r="A693" s="7">
        <v>0.1225693246698436</v>
      </c>
      <c r="B693"/>
      <c r="C693"/>
      <c r="D693"/>
      <c r="E693"/>
      <c r="H693" s="27" t="s">
        <v>7</v>
      </c>
      <c r="I693" s="27" t="s">
        <v>8</v>
      </c>
      <c r="N693" s="27" t="s">
        <v>7</v>
      </c>
      <c r="P693" s="27" t="s">
        <v>7</v>
      </c>
      <c r="Q693" s="27" t="s">
        <v>8</v>
      </c>
      <c r="V693" s="27" t="s">
        <v>7</v>
      </c>
      <c r="W693" s="27" t="s">
        <v>8</v>
      </c>
      <c r="X693" s="27" t="s">
        <v>7</v>
      </c>
      <c r="AE693" s="27" t="s">
        <v>8</v>
      </c>
      <c r="AF693" s="27" t="s">
        <v>7</v>
      </c>
      <c r="BS693" s="27" t="s">
        <v>8</v>
      </c>
    </row>
    <row r="694" spans="1:71" x14ac:dyDescent="0.25">
      <c r="A694" s="7">
        <v>0.12016600457827803</v>
      </c>
      <c r="B694"/>
      <c r="C694"/>
      <c r="D694"/>
      <c r="E694"/>
      <c r="H694" s="27" t="s">
        <v>7</v>
      </c>
      <c r="I694" s="27" t="s">
        <v>8</v>
      </c>
      <c r="P694" s="27" t="s">
        <v>7</v>
      </c>
      <c r="Q694" s="27" t="s">
        <v>8</v>
      </c>
      <c r="V694" s="27" t="s">
        <v>7</v>
      </c>
      <c r="W694" s="27" t="s">
        <v>8</v>
      </c>
      <c r="X694" s="27" t="s">
        <v>7</v>
      </c>
      <c r="AE694" s="27" t="s">
        <v>8</v>
      </c>
      <c r="AF694" s="27" t="s">
        <v>7</v>
      </c>
      <c r="BS694" s="27" t="s">
        <v>8</v>
      </c>
    </row>
    <row r="695" spans="1:71" x14ac:dyDescent="0.25">
      <c r="A695" s="7">
        <v>0.1178098084100765</v>
      </c>
      <c r="B695"/>
      <c r="C695"/>
      <c r="D695"/>
      <c r="E695"/>
      <c r="H695" s="27" t="s">
        <v>7</v>
      </c>
      <c r="I695" s="27" t="s">
        <v>8</v>
      </c>
      <c r="P695" s="27" t="s">
        <v>7</v>
      </c>
      <c r="Q695" s="27" t="s">
        <v>8</v>
      </c>
      <c r="V695" s="27" t="s">
        <v>7</v>
      </c>
      <c r="X695" s="27" t="s">
        <v>7</v>
      </c>
      <c r="AE695" s="27" t="s">
        <v>8</v>
      </c>
      <c r="AF695" s="27" t="s">
        <v>7</v>
      </c>
      <c r="BS695" s="27" t="s">
        <v>8</v>
      </c>
    </row>
    <row r="696" spans="1:71" x14ac:dyDescent="0.25">
      <c r="A696" s="7">
        <v>0.11549981216674166</v>
      </c>
      <c r="B696"/>
      <c r="C696"/>
      <c r="D696"/>
      <c r="E696"/>
      <c r="H696" s="27" t="s">
        <v>7</v>
      </c>
      <c r="I696" s="27" t="s">
        <v>8</v>
      </c>
      <c r="P696" s="27" t="s">
        <v>7</v>
      </c>
      <c r="Q696" s="27" t="s">
        <v>8</v>
      </c>
      <c r="X696" s="27" t="s">
        <v>7</v>
      </c>
      <c r="AE696" s="27" t="s">
        <v>8</v>
      </c>
      <c r="AF696" s="27" t="s">
        <v>7</v>
      </c>
      <c r="BS696" s="27" t="s">
        <v>8</v>
      </c>
    </row>
    <row r="697" spans="1:71" x14ac:dyDescent="0.25">
      <c r="A697" s="7">
        <v>0.11323510996739378</v>
      </c>
      <c r="B697"/>
      <c r="C697"/>
      <c r="D697"/>
      <c r="E697"/>
      <c r="H697" s="27" t="s">
        <v>7</v>
      </c>
      <c r="P697" s="27" t="s">
        <v>7</v>
      </c>
      <c r="Q697" s="27" t="s">
        <v>8</v>
      </c>
      <c r="X697" s="27" t="s">
        <v>7</v>
      </c>
      <c r="Y697" s="27" t="s">
        <v>8</v>
      </c>
      <c r="AE697" s="27" t="s">
        <v>8</v>
      </c>
      <c r="AF697" s="27" t="s">
        <v>7</v>
      </c>
      <c r="AG697" s="27" t="s">
        <v>8</v>
      </c>
      <c r="BS697" s="27" t="s">
        <v>8</v>
      </c>
    </row>
    <row r="698" spans="1:71" x14ac:dyDescent="0.25">
      <c r="A698" s="7">
        <v>0.11101481369352331</v>
      </c>
      <c r="B698"/>
      <c r="C698"/>
      <c r="D698"/>
      <c r="E698"/>
      <c r="P698" s="27" t="s">
        <v>7</v>
      </c>
      <c r="Q698" s="27" t="s">
        <v>8</v>
      </c>
      <c r="X698" s="27" t="s">
        <v>7</v>
      </c>
      <c r="Y698" s="27" t="s">
        <v>8</v>
      </c>
      <c r="Z698" s="27" t="s">
        <v>7</v>
      </c>
      <c r="AE698" s="27" t="s">
        <v>8</v>
      </c>
      <c r="AF698" s="27" t="s">
        <v>7</v>
      </c>
      <c r="AG698" s="27" t="s">
        <v>8</v>
      </c>
      <c r="AH698" s="27" t="s">
        <v>7</v>
      </c>
      <c r="BS698" s="27" t="s">
        <v>8</v>
      </c>
    </row>
    <row r="699" spans="1:71" x14ac:dyDescent="0.25">
      <c r="A699" s="7">
        <v>0.10883805264070913</v>
      </c>
      <c r="B699"/>
      <c r="C699"/>
      <c r="D699"/>
      <c r="E699"/>
      <c r="P699" s="27" t="s">
        <v>7</v>
      </c>
      <c r="Q699" s="27" t="s">
        <v>8</v>
      </c>
      <c r="X699" s="27" t="s">
        <v>7</v>
      </c>
      <c r="Y699" s="27" t="s">
        <v>8</v>
      </c>
      <c r="Z699" s="27" t="s">
        <v>7</v>
      </c>
      <c r="AE699" s="27" t="s">
        <v>8</v>
      </c>
      <c r="AF699" s="27" t="s">
        <v>7</v>
      </c>
      <c r="AG699" s="27" t="s">
        <v>8</v>
      </c>
      <c r="AH699" s="27" t="s">
        <v>7</v>
      </c>
      <c r="BS699" s="27" t="s">
        <v>8</v>
      </c>
    </row>
    <row r="700" spans="1:71" x14ac:dyDescent="0.25">
      <c r="A700" s="7">
        <v>0.10670397317716582</v>
      </c>
      <c r="B700"/>
      <c r="C700"/>
      <c r="D700"/>
      <c r="E700"/>
      <c r="P700" s="27" t="s">
        <v>7</v>
      </c>
      <c r="Q700" s="27" t="s">
        <v>8</v>
      </c>
      <c r="X700" s="27" t="s">
        <v>7</v>
      </c>
      <c r="Y700" s="27" t="s">
        <v>8</v>
      </c>
      <c r="Z700" s="27" t="s">
        <v>7</v>
      </c>
      <c r="AE700" s="27" t="s">
        <v>8</v>
      </c>
      <c r="AF700" s="27" t="s">
        <v>7</v>
      </c>
      <c r="AG700" s="27" t="s">
        <v>8</v>
      </c>
      <c r="AH700" s="27" t="s">
        <v>7</v>
      </c>
      <c r="BS700" s="27" t="s">
        <v>8</v>
      </c>
    </row>
    <row r="701" spans="1:71" x14ac:dyDescent="0.25">
      <c r="A701" s="7">
        <v>0.1046117384089861</v>
      </c>
      <c r="B701"/>
      <c r="C701"/>
      <c r="D701"/>
      <c r="E701"/>
      <c r="P701" s="27" t="s">
        <v>7</v>
      </c>
      <c r="Q701" s="27" t="s">
        <v>8</v>
      </c>
      <c r="X701" s="27" t="s">
        <v>7</v>
      </c>
      <c r="Y701" s="27" t="s">
        <v>8</v>
      </c>
      <c r="Z701" s="27" t="s">
        <v>7</v>
      </c>
      <c r="AA701" s="27" t="s">
        <v>8</v>
      </c>
      <c r="AE701" s="27" t="s">
        <v>8</v>
      </c>
      <c r="AF701" s="27" t="s">
        <v>7</v>
      </c>
      <c r="AG701" s="27" t="s">
        <v>8</v>
      </c>
      <c r="AH701" s="27" t="s">
        <v>7</v>
      </c>
      <c r="AI701" s="27" t="s">
        <v>8</v>
      </c>
      <c r="BS701" s="27" t="s">
        <v>8</v>
      </c>
    </row>
    <row r="702" spans="1:71" x14ac:dyDescent="0.25">
      <c r="A702" s="7">
        <v>0.10256052785194716</v>
      </c>
      <c r="B702"/>
      <c r="C702"/>
      <c r="D702"/>
      <c r="E702"/>
      <c r="P702" s="27" t="s">
        <v>7</v>
      </c>
      <c r="Q702" s="27" t="s">
        <v>8</v>
      </c>
      <c r="X702" s="27" t="s">
        <v>7</v>
      </c>
      <c r="Y702" s="27" t="s">
        <v>8</v>
      </c>
      <c r="Z702" s="27" t="s">
        <v>7</v>
      </c>
      <c r="AA702" s="27" t="s">
        <v>8</v>
      </c>
      <c r="AB702" s="27" t="s">
        <v>7</v>
      </c>
      <c r="AE702" s="27" t="s">
        <v>8</v>
      </c>
      <c r="AF702" s="27" t="s">
        <v>7</v>
      </c>
      <c r="AH702" s="27" t="s">
        <v>7</v>
      </c>
      <c r="AI702" s="27" t="s">
        <v>8</v>
      </c>
      <c r="AJ702" s="27" t="s">
        <v>7</v>
      </c>
      <c r="BS702" s="27" t="s">
        <v>8</v>
      </c>
    </row>
    <row r="703" spans="1:71" x14ac:dyDescent="0.25">
      <c r="A703" s="7">
        <v>0.10054953710975212</v>
      </c>
      <c r="B703"/>
      <c r="C703"/>
      <c r="D703"/>
      <c r="E703"/>
      <c r="P703" s="27" t="s">
        <v>7</v>
      </c>
      <c r="X703" s="27" t="s">
        <v>7</v>
      </c>
      <c r="Y703" s="27" t="s">
        <v>8</v>
      </c>
      <c r="Z703" s="27" t="s">
        <v>7</v>
      </c>
      <c r="AA703" s="27" t="s">
        <v>8</v>
      </c>
      <c r="AB703" s="27" t="s">
        <v>7</v>
      </c>
      <c r="AE703" s="27" t="s">
        <v>8</v>
      </c>
      <c r="AH703" s="27" t="s">
        <v>7</v>
      </c>
      <c r="AI703" s="27" t="s">
        <v>8</v>
      </c>
      <c r="AJ703" s="27" t="s">
        <v>7</v>
      </c>
      <c r="BS703" s="27" t="s">
        <v>8</v>
      </c>
    </row>
    <row r="704" spans="1:71" x14ac:dyDescent="0.25">
      <c r="A704" s="7">
        <v>9.8577977558580512E-2</v>
      </c>
      <c r="B704"/>
      <c r="C704"/>
      <c r="D704"/>
      <c r="E704"/>
      <c r="X704" s="27" t="s">
        <v>7</v>
      </c>
      <c r="Y704" s="27" t="s">
        <v>8</v>
      </c>
      <c r="Z704" s="27" t="s">
        <v>7</v>
      </c>
      <c r="AA704" s="27" t="s">
        <v>8</v>
      </c>
      <c r="AB704" s="27" t="s">
        <v>7</v>
      </c>
      <c r="AE704" s="27" t="s">
        <v>8</v>
      </c>
      <c r="AH704" s="27" t="s">
        <v>7</v>
      </c>
      <c r="AI704" s="27" t="s">
        <v>8</v>
      </c>
      <c r="AJ704" s="27" t="s">
        <v>7</v>
      </c>
      <c r="BS704" s="27" t="s">
        <v>8</v>
      </c>
    </row>
    <row r="705" spans="1:71" x14ac:dyDescent="0.25">
      <c r="A705" s="7">
        <v>9.6645076037824032E-2</v>
      </c>
      <c r="B705"/>
      <c r="C705"/>
      <c r="D705"/>
      <c r="E705"/>
      <c r="X705" s="27" t="s">
        <v>7</v>
      </c>
      <c r="Y705" s="27" t="s">
        <v>8</v>
      </c>
      <c r="Z705" s="27" t="s">
        <v>7</v>
      </c>
      <c r="AA705" s="27" t="s">
        <v>8</v>
      </c>
      <c r="AB705" s="27" t="s">
        <v>7</v>
      </c>
      <c r="AC705" s="27" t="s">
        <v>8</v>
      </c>
      <c r="AE705" s="27" t="s">
        <v>8</v>
      </c>
      <c r="AH705" s="27" t="s">
        <v>7</v>
      </c>
      <c r="AJ705" s="27" t="s">
        <v>7</v>
      </c>
      <c r="BS705" s="27" t="s">
        <v>8</v>
      </c>
    </row>
    <row r="706" spans="1:71" x14ac:dyDescent="0.25">
      <c r="A706" s="7">
        <v>9.4750074546886304E-2</v>
      </c>
      <c r="B706"/>
      <c r="C706"/>
      <c r="D706"/>
      <c r="E706"/>
      <c r="X706" s="27" t="s">
        <v>7</v>
      </c>
      <c r="Z706" s="27" t="s">
        <v>7</v>
      </c>
      <c r="AA706" s="27" t="s">
        <v>8</v>
      </c>
      <c r="AB706" s="27" t="s">
        <v>7</v>
      </c>
      <c r="AC706" s="27" t="s">
        <v>8</v>
      </c>
      <c r="AD706" s="27" t="s">
        <v>7</v>
      </c>
      <c r="AE706" s="27" t="s">
        <v>8</v>
      </c>
      <c r="AJ706" s="27" t="s">
        <v>7</v>
      </c>
      <c r="BS706" s="27" t="s">
        <v>8</v>
      </c>
    </row>
    <row r="707" spans="1:71" x14ac:dyDescent="0.25">
      <c r="A707" s="7">
        <v>9.2892229947927743E-2</v>
      </c>
      <c r="B707"/>
      <c r="C707"/>
      <c r="D707"/>
      <c r="E707"/>
      <c r="Z707" s="27" t="s">
        <v>7</v>
      </c>
      <c r="AA707" s="27" t="s">
        <v>8</v>
      </c>
      <c r="AB707" s="27" t="s">
        <v>7</v>
      </c>
      <c r="AC707" s="27" t="s">
        <v>8</v>
      </c>
      <c r="AD707" s="27" t="s">
        <v>7</v>
      </c>
      <c r="AE707" s="27" t="s">
        <v>8</v>
      </c>
      <c r="AJ707" s="27" t="s">
        <v>7</v>
      </c>
      <c r="AK707" s="27" t="s">
        <v>8</v>
      </c>
      <c r="BS707" s="27" t="s">
        <v>8</v>
      </c>
    </row>
    <row r="708" spans="1:71" x14ac:dyDescent="0.25">
      <c r="A708" s="7">
        <v>9.1070813674438963E-2</v>
      </c>
      <c r="B708"/>
      <c r="C708"/>
      <c r="D708"/>
      <c r="E708"/>
      <c r="Z708" s="27" t="s">
        <v>7</v>
      </c>
      <c r="AA708" s="27" t="s">
        <v>8</v>
      </c>
      <c r="AB708" s="27" t="s">
        <v>7</v>
      </c>
      <c r="AC708" s="27" t="s">
        <v>8</v>
      </c>
      <c r="AD708" s="27" t="s">
        <v>7</v>
      </c>
      <c r="AE708" s="27" t="s">
        <v>8</v>
      </c>
      <c r="AJ708" s="27" t="s">
        <v>7</v>
      </c>
      <c r="AK708" s="27" t="s">
        <v>8</v>
      </c>
      <c r="AL708" s="27" t="s">
        <v>7</v>
      </c>
      <c r="BS708" s="27" t="s">
        <v>8</v>
      </c>
    </row>
    <row r="709" spans="1:71" x14ac:dyDescent="0.25">
      <c r="A709" s="7">
        <v>8.9285111445528392E-2</v>
      </c>
      <c r="B709"/>
      <c r="C709"/>
      <c r="D709"/>
      <c r="E709"/>
      <c r="Z709" s="27" t="s">
        <v>7</v>
      </c>
      <c r="AA709" s="27" t="s">
        <v>8</v>
      </c>
      <c r="AB709" s="27" t="s">
        <v>7</v>
      </c>
      <c r="AC709" s="27" t="s">
        <v>8</v>
      </c>
      <c r="AD709" s="27" t="s">
        <v>7</v>
      </c>
      <c r="AE709" s="27" t="s">
        <v>8</v>
      </c>
      <c r="AJ709" s="27" t="s">
        <v>7</v>
      </c>
      <c r="AK709" s="27" t="s">
        <v>8</v>
      </c>
      <c r="AL709" s="27" t="s">
        <v>7</v>
      </c>
      <c r="BS709" s="27" t="s">
        <v>8</v>
      </c>
    </row>
    <row r="710" spans="1:71" x14ac:dyDescent="0.25">
      <c r="A710" s="7">
        <v>8.7534422985812155E-2</v>
      </c>
      <c r="B710"/>
      <c r="C710"/>
      <c r="D710"/>
      <c r="E710"/>
      <c r="Z710" s="27" t="s">
        <v>7</v>
      </c>
      <c r="AA710" s="27" t="s">
        <v>8</v>
      </c>
      <c r="AB710" s="27" t="s">
        <v>7</v>
      </c>
      <c r="AC710" s="27" t="s">
        <v>8</v>
      </c>
      <c r="AD710" s="27" t="s">
        <v>7</v>
      </c>
      <c r="AE710" s="27" t="s">
        <v>8</v>
      </c>
      <c r="AJ710" s="27" t="s">
        <v>7</v>
      </c>
      <c r="AK710" s="27" t="s">
        <v>8</v>
      </c>
      <c r="AL710" s="27" t="s">
        <v>7</v>
      </c>
      <c r="BS710" s="27" t="s">
        <v>8</v>
      </c>
    </row>
    <row r="711" spans="1:71" x14ac:dyDescent="0.25">
      <c r="A711" s="7">
        <v>8.5818061750796232E-2</v>
      </c>
      <c r="B711"/>
      <c r="C711"/>
      <c r="D711"/>
      <c r="E711"/>
      <c r="Z711" s="27" t="s">
        <v>7</v>
      </c>
      <c r="AA711" s="27" t="s">
        <v>8</v>
      </c>
      <c r="AB711" s="27" t="s">
        <v>7</v>
      </c>
      <c r="AC711" s="27" t="s">
        <v>8</v>
      </c>
      <c r="AD711" s="27" t="s">
        <v>7</v>
      </c>
      <c r="AE711" s="27" t="s">
        <v>8</v>
      </c>
      <c r="AJ711" s="27" t="s">
        <v>7</v>
      </c>
      <c r="AK711" s="27" t="s">
        <v>8</v>
      </c>
      <c r="AL711" s="27" t="s">
        <v>7</v>
      </c>
      <c r="BS711" s="27" t="s">
        <v>8</v>
      </c>
    </row>
    <row r="712" spans="1:71" x14ac:dyDescent="0.25">
      <c r="A712" s="7">
        <v>8.4135354657643366E-2</v>
      </c>
      <c r="B712"/>
      <c r="C712"/>
      <c r="D712"/>
      <c r="E712"/>
      <c r="Z712" s="27" t="s">
        <v>7</v>
      </c>
      <c r="AB712" s="27" t="s">
        <v>7</v>
      </c>
      <c r="AC712" s="27" t="s">
        <v>8</v>
      </c>
      <c r="AD712" s="27" t="s">
        <v>7</v>
      </c>
      <c r="AE712" s="27" t="s">
        <v>8</v>
      </c>
      <c r="AJ712" s="27" t="s">
        <v>7</v>
      </c>
      <c r="AK712" s="27" t="s">
        <v>8</v>
      </c>
      <c r="AL712" s="27" t="s">
        <v>7</v>
      </c>
      <c r="AM712" s="27" t="s">
        <v>8</v>
      </c>
      <c r="BS712" s="27" t="s">
        <v>8</v>
      </c>
    </row>
    <row r="713" spans="1:71" x14ac:dyDescent="0.25">
      <c r="A713" s="7">
        <v>8.248564182121898E-2</v>
      </c>
      <c r="B713"/>
      <c r="C713"/>
      <c r="D713"/>
      <c r="E713"/>
      <c r="AB713" s="27" t="s">
        <v>7</v>
      </c>
      <c r="AC713" s="27" t="s">
        <v>8</v>
      </c>
      <c r="AD713" s="27" t="s">
        <v>7</v>
      </c>
      <c r="AJ713" s="27" t="s">
        <v>7</v>
      </c>
      <c r="AK713" s="27" t="s">
        <v>8</v>
      </c>
      <c r="AL713" s="27" t="s">
        <v>7</v>
      </c>
      <c r="AM713" s="27" t="s">
        <v>8</v>
      </c>
      <c r="AN713" s="27" t="s">
        <v>7</v>
      </c>
      <c r="BS713" s="27" t="s">
        <v>8</v>
      </c>
    </row>
    <row r="714" spans="1:71" x14ac:dyDescent="0.25">
      <c r="A714" s="7">
        <v>8.0868276295312735E-2</v>
      </c>
      <c r="B714"/>
      <c r="C714"/>
      <c r="D714"/>
      <c r="E714"/>
      <c r="AB714" s="27" t="s">
        <v>7</v>
      </c>
      <c r="AC714" s="27" t="s">
        <v>8</v>
      </c>
      <c r="AJ714" s="27" t="s">
        <v>7</v>
      </c>
      <c r="AK714" s="27" t="s">
        <v>8</v>
      </c>
      <c r="AL714" s="27" t="s">
        <v>7</v>
      </c>
      <c r="AM714" s="27" t="s">
        <v>8</v>
      </c>
      <c r="AN714" s="27" t="s">
        <v>7</v>
      </c>
      <c r="BS714" s="27" t="s">
        <v>8</v>
      </c>
    </row>
    <row r="715" spans="1:71" x14ac:dyDescent="0.25">
      <c r="A715" s="7">
        <v>7.9282623818934056E-2</v>
      </c>
      <c r="B715"/>
      <c r="C715"/>
      <c r="D715"/>
      <c r="E715"/>
      <c r="AB715" s="27" t="s">
        <v>7</v>
      </c>
      <c r="AC715" s="27" t="s">
        <v>8</v>
      </c>
      <c r="AJ715" s="27" t="s">
        <v>7</v>
      </c>
      <c r="AK715" s="27" t="s">
        <v>8</v>
      </c>
      <c r="AL715" s="27" t="s">
        <v>7</v>
      </c>
      <c r="AM715" s="27" t="s">
        <v>8</v>
      </c>
      <c r="AN715" s="27" t="s">
        <v>7</v>
      </c>
      <c r="BS715" s="27" t="s">
        <v>8</v>
      </c>
    </row>
    <row r="716" spans="1:71" x14ac:dyDescent="0.25">
      <c r="A716" s="7">
        <v>7.7728062567582412E-2</v>
      </c>
      <c r="B716"/>
      <c r="C716"/>
      <c r="D716"/>
      <c r="E716"/>
      <c r="AB716" s="27" t="s">
        <v>7</v>
      </c>
      <c r="AC716" s="27" t="s">
        <v>8</v>
      </c>
      <c r="AJ716" s="27" t="s">
        <v>7</v>
      </c>
      <c r="AL716" s="27" t="s">
        <v>7</v>
      </c>
      <c r="AM716" s="27" t="s">
        <v>8</v>
      </c>
      <c r="AN716" s="27" t="s">
        <v>7</v>
      </c>
      <c r="BS716" s="27" t="s">
        <v>8</v>
      </c>
    </row>
    <row r="717" spans="1:71" x14ac:dyDescent="0.25">
      <c r="A717" s="7">
        <v>7.6203982909394521E-2</v>
      </c>
      <c r="B717"/>
      <c r="C717"/>
      <c r="D717"/>
      <c r="E717"/>
      <c r="AB717" s="27" t="s">
        <v>7</v>
      </c>
      <c r="AC717" s="27" t="s">
        <v>8</v>
      </c>
      <c r="AL717" s="27" t="s">
        <v>7</v>
      </c>
      <c r="AM717" s="27" t="s">
        <v>8</v>
      </c>
      <c r="AN717" s="27" t="s">
        <v>7</v>
      </c>
      <c r="BS717" s="27" t="s">
        <v>8</v>
      </c>
    </row>
    <row r="718" spans="1:71" x14ac:dyDescent="0.25">
      <c r="A718" s="7">
        <v>7.4709787166073058E-2</v>
      </c>
      <c r="B718"/>
      <c r="C718"/>
      <c r="D718"/>
      <c r="E718"/>
      <c r="AB718" s="27" t="s">
        <v>7</v>
      </c>
      <c r="AC718" s="27" t="s">
        <v>8</v>
      </c>
      <c r="AL718" s="27" t="s">
        <v>7</v>
      </c>
      <c r="AM718" s="27" t="s">
        <v>8</v>
      </c>
      <c r="AN718" s="27" t="s">
        <v>7</v>
      </c>
      <c r="BS718" s="27" t="s">
        <v>8</v>
      </c>
    </row>
    <row r="719" spans="1:71" x14ac:dyDescent="0.25">
      <c r="A719" s="7">
        <v>7.3244889378503E-2</v>
      </c>
      <c r="B719"/>
      <c r="C719"/>
      <c r="D719"/>
      <c r="E719"/>
      <c r="AB719" s="27" t="s">
        <v>7</v>
      </c>
      <c r="AC719" s="27" t="s">
        <v>8</v>
      </c>
      <c r="AL719" s="27" t="s">
        <v>7</v>
      </c>
      <c r="AM719" s="27" t="s">
        <v>8</v>
      </c>
      <c r="AN719" s="27" t="s">
        <v>7</v>
      </c>
      <c r="BS719" s="27" t="s">
        <v>8</v>
      </c>
    </row>
    <row r="720" spans="1:71" x14ac:dyDescent="0.25">
      <c r="A720" s="7">
        <v>7.1808715076963722E-2</v>
      </c>
      <c r="B720"/>
      <c r="C720"/>
      <c r="D720"/>
      <c r="E720"/>
      <c r="AB720" s="27" t="s">
        <v>7</v>
      </c>
      <c r="AC720" s="27" t="s">
        <v>8</v>
      </c>
      <c r="AL720" s="27" t="s">
        <v>7</v>
      </c>
      <c r="AM720" s="27" t="s">
        <v>8</v>
      </c>
      <c r="AN720" s="27" t="s">
        <v>7</v>
      </c>
      <c r="AO720" s="27" t="s">
        <v>8</v>
      </c>
      <c r="BS720" s="27" t="s">
        <v>8</v>
      </c>
    </row>
    <row r="721" spans="1:71" x14ac:dyDescent="0.25">
      <c r="A721" s="7">
        <v>7.0400701055846782E-2</v>
      </c>
      <c r="B721"/>
      <c r="C721"/>
      <c r="D721"/>
      <c r="E721"/>
      <c r="AB721" s="27" t="s">
        <v>7</v>
      </c>
      <c r="AL721" s="27" t="s">
        <v>7</v>
      </c>
      <c r="AN721" s="27" t="s">
        <v>7</v>
      </c>
      <c r="AO721" s="27" t="s">
        <v>8</v>
      </c>
      <c r="AP721" s="27" t="s">
        <v>7</v>
      </c>
      <c r="BS721" s="27" t="s">
        <v>8</v>
      </c>
    </row>
    <row r="722" spans="1:71" x14ac:dyDescent="0.25">
      <c r="A722" s="7">
        <v>6.9020295152790956E-2</v>
      </c>
      <c r="B722"/>
      <c r="C722"/>
      <c r="D722"/>
      <c r="E722"/>
      <c r="AN722" s="27" t="s">
        <v>7</v>
      </c>
      <c r="AO722" s="27" t="s">
        <v>8</v>
      </c>
      <c r="AP722" s="27" t="s">
        <v>7</v>
      </c>
      <c r="BS722" s="27" t="s">
        <v>8</v>
      </c>
    </row>
    <row r="723" spans="1:71" x14ac:dyDescent="0.25">
      <c r="A723" s="7">
        <v>6.7666956032147993E-2</v>
      </c>
      <c r="B723"/>
      <c r="C723"/>
      <c r="D723"/>
      <c r="E723"/>
      <c r="AN723" s="27" t="s">
        <v>7</v>
      </c>
      <c r="AO723" s="27" t="s">
        <v>8</v>
      </c>
      <c r="AP723" s="27" t="s">
        <v>7</v>
      </c>
      <c r="BS723" s="27" t="s">
        <v>8</v>
      </c>
    </row>
    <row r="724" spans="1:71" x14ac:dyDescent="0.25">
      <c r="A724" s="7">
        <v>6.6340152972694105E-2</v>
      </c>
      <c r="B724"/>
      <c r="C724"/>
      <c r="D724"/>
      <c r="E724"/>
      <c r="AN724" s="27" t="s">
        <v>7</v>
      </c>
      <c r="AO724" s="27" t="s">
        <v>8</v>
      </c>
      <c r="AP724" s="27" t="s">
        <v>7</v>
      </c>
      <c r="BS724" s="27" t="s">
        <v>8</v>
      </c>
    </row>
    <row r="725" spans="1:71" x14ac:dyDescent="0.25">
      <c r="A725" s="7">
        <v>6.5039365659504023E-2</v>
      </c>
      <c r="B725"/>
      <c r="C725"/>
      <c r="D725"/>
      <c r="E725"/>
      <c r="AN725" s="27" t="s">
        <v>7</v>
      </c>
      <c r="AO725" s="27" t="s">
        <v>8</v>
      </c>
      <c r="AP725" s="27" t="s">
        <v>7</v>
      </c>
      <c r="BS725" s="27" t="s">
        <v>8</v>
      </c>
    </row>
    <row r="726" spans="1:71" x14ac:dyDescent="0.25">
      <c r="A726" s="7">
        <v>6.3764083979905906E-2</v>
      </c>
      <c r="B726"/>
      <c r="C726"/>
      <c r="D726"/>
      <c r="E726"/>
      <c r="AN726" s="27" t="s">
        <v>7</v>
      </c>
      <c r="AP726" s="27" t="s">
        <v>7</v>
      </c>
      <c r="BS726" s="27" t="s">
        <v>8</v>
      </c>
    </row>
    <row r="727" spans="1:71" x14ac:dyDescent="0.25">
      <c r="A727" s="7">
        <v>6.251380782343717E-2</v>
      </c>
      <c r="B727"/>
      <c r="C727"/>
      <c r="D727"/>
      <c r="E727"/>
      <c r="AP727" s="27" t="s">
        <v>7</v>
      </c>
      <c r="BS727" s="27" t="s">
        <v>8</v>
      </c>
    </row>
    <row r="728" spans="1:71" x14ac:dyDescent="0.25">
      <c r="A728" s="7">
        <v>6.1288046885722716E-2</v>
      </c>
      <c r="B728"/>
      <c r="C728"/>
      <c r="D728"/>
      <c r="E728"/>
      <c r="AP728" s="27" t="s">
        <v>7</v>
      </c>
      <c r="BS728" s="27" t="s">
        <v>8</v>
      </c>
    </row>
    <row r="729" spans="1:71" x14ac:dyDescent="0.25">
      <c r="A729" s="7">
        <v>6.0086320476198739E-2</v>
      </c>
      <c r="B729"/>
      <c r="C729"/>
      <c r="D729"/>
      <c r="E729"/>
      <c r="AP729" s="27" t="s">
        <v>7</v>
      </c>
      <c r="BS729" s="27" t="s">
        <v>8</v>
      </c>
    </row>
    <row r="730" spans="1:71" x14ac:dyDescent="0.25">
      <c r="A730" s="7">
        <v>5.8908157329606609E-2</v>
      </c>
      <c r="B730"/>
      <c r="C730"/>
      <c r="D730"/>
      <c r="E730"/>
      <c r="AP730" s="27" t="s">
        <v>7</v>
      </c>
      <c r="BS730" s="27" t="s">
        <v>8</v>
      </c>
    </row>
    <row r="731" spans="1:71" x14ac:dyDescent="0.25">
      <c r="A731" s="7">
        <v>5.7753095421182947E-2</v>
      </c>
      <c r="B731"/>
      <c r="C731"/>
      <c r="D731"/>
      <c r="E731"/>
      <c r="AP731" s="27" t="s">
        <v>7</v>
      </c>
      <c r="BS731" s="27" t="s">
        <v>8</v>
      </c>
    </row>
    <row r="732" spans="1:71" x14ac:dyDescent="0.25">
      <c r="A732" s="7">
        <v>5.6620681785473484E-2</v>
      </c>
      <c r="B732"/>
      <c r="C732"/>
      <c r="D732"/>
      <c r="E732"/>
      <c r="AP732" s="27" t="s">
        <v>7</v>
      </c>
      <c r="BS732" s="27" t="s">
        <v>8</v>
      </c>
    </row>
    <row r="733" spans="1:71" x14ac:dyDescent="0.25">
      <c r="A733" s="7">
        <v>5.5510472338699497E-2</v>
      </c>
      <c r="B733"/>
      <c r="C733"/>
      <c r="D733"/>
      <c r="E733"/>
      <c r="AP733" s="27" t="s">
        <v>7</v>
      </c>
      <c r="AQ733" s="27" t="s">
        <v>8</v>
      </c>
      <c r="BS733" s="27" t="s">
        <v>8</v>
      </c>
    </row>
    <row r="734" spans="1:71" x14ac:dyDescent="0.25">
      <c r="A734" s="7">
        <v>5.4422031704607354E-2</v>
      </c>
      <c r="B734"/>
      <c r="C734"/>
      <c r="D734"/>
      <c r="E734"/>
      <c r="AP734" s="27" t="s">
        <v>7</v>
      </c>
      <c r="AQ734" s="27" t="s">
        <v>8</v>
      </c>
      <c r="AR734" s="27" t="s">
        <v>7</v>
      </c>
      <c r="BS734" s="27" t="s">
        <v>8</v>
      </c>
    </row>
    <row r="735" spans="1:71" x14ac:dyDescent="0.25">
      <c r="A735" s="7">
        <v>5.3354933043732705E-2</v>
      </c>
      <c r="B735"/>
      <c r="C735"/>
      <c r="D735"/>
      <c r="E735"/>
      <c r="AP735" s="27" t="s">
        <v>7</v>
      </c>
      <c r="AQ735" s="27" t="s">
        <v>8</v>
      </c>
      <c r="AR735" s="27" t="s">
        <v>7</v>
      </c>
      <c r="AS735" s="27" t="s">
        <v>8</v>
      </c>
      <c r="BS735" s="27" t="s">
        <v>8</v>
      </c>
    </row>
    <row r="736" spans="1:71" x14ac:dyDescent="0.25">
      <c r="A736" s="7">
        <v>5.2308757886012455E-2</v>
      </c>
      <c r="B736"/>
      <c r="C736"/>
      <c r="D736"/>
      <c r="E736"/>
      <c r="AP736" s="27" t="s">
        <v>7</v>
      </c>
      <c r="AQ736" s="27" t="s">
        <v>8</v>
      </c>
      <c r="AR736" s="27" t="s">
        <v>7</v>
      </c>
      <c r="AS736" s="27" t="s">
        <v>8</v>
      </c>
      <c r="AT736" s="27" t="s">
        <v>7</v>
      </c>
      <c r="BS736" s="27" t="s">
        <v>8</v>
      </c>
    </row>
    <row r="737" spans="1:71" x14ac:dyDescent="0.25">
      <c r="A737" s="7">
        <v>5.1283095966678877E-2</v>
      </c>
      <c r="B737"/>
      <c r="C737"/>
      <c r="D737"/>
      <c r="E737"/>
      <c r="AP737" s="27" t="s">
        <v>7</v>
      </c>
      <c r="AQ737" s="27" t="s">
        <v>8</v>
      </c>
      <c r="AR737" s="27" t="s">
        <v>7</v>
      </c>
      <c r="AS737" s="27" t="s">
        <v>8</v>
      </c>
      <c r="AT737" s="27" t="s">
        <v>7</v>
      </c>
      <c r="BS737" s="27" t="s">
        <v>8</v>
      </c>
    </row>
    <row r="738" spans="1:71" x14ac:dyDescent="0.25">
      <c r="A738" s="7">
        <v>5.0277545065371444E-2</v>
      </c>
      <c r="B738"/>
      <c r="C738"/>
      <c r="D738"/>
      <c r="E738"/>
      <c r="AP738" s="27" t="s">
        <v>7</v>
      </c>
      <c r="AQ738" s="27" t="s">
        <v>8</v>
      </c>
      <c r="AR738" s="27" t="s">
        <v>7</v>
      </c>
      <c r="AS738" s="27" t="s">
        <v>8</v>
      </c>
      <c r="AT738" s="27" t="s">
        <v>7</v>
      </c>
      <c r="AU738" s="27" t="s">
        <v>8</v>
      </c>
      <c r="BS738" s="27" t="s">
        <v>8</v>
      </c>
    </row>
    <row r="739" spans="1:71" x14ac:dyDescent="0.25">
      <c r="A739" s="7">
        <v>4.9291710848403378E-2</v>
      </c>
      <c r="B739"/>
      <c r="C739"/>
      <c r="D739"/>
      <c r="E739"/>
      <c r="AP739" s="27" t="s">
        <v>7</v>
      </c>
      <c r="AQ739" s="27" t="s">
        <v>8</v>
      </c>
      <c r="AR739" s="27" t="s">
        <v>7</v>
      </c>
      <c r="AS739" s="27" t="s">
        <v>8</v>
      </c>
      <c r="AT739" s="27" t="s">
        <v>7</v>
      </c>
      <c r="AU739" s="27" t="s">
        <v>8</v>
      </c>
      <c r="AV739" s="27" t="s">
        <v>7</v>
      </c>
      <c r="BS739" s="27" t="s">
        <v>8</v>
      </c>
    </row>
    <row r="740" spans="1:71" x14ac:dyDescent="0.25">
      <c r="A740" s="7">
        <v>4.8325206714120959E-2</v>
      </c>
      <c r="B740"/>
      <c r="C740"/>
      <c r="D740"/>
      <c r="E740"/>
      <c r="AP740" s="27" t="s">
        <v>7</v>
      </c>
      <c r="AQ740" s="27" t="s">
        <v>8</v>
      </c>
      <c r="AR740" s="27" t="s">
        <v>7</v>
      </c>
      <c r="AS740" s="27" t="s">
        <v>8</v>
      </c>
      <c r="AT740" s="27" t="s">
        <v>7</v>
      </c>
      <c r="AU740" s="27" t="s">
        <v>8</v>
      </c>
      <c r="AV740" s="27" t="s">
        <v>7</v>
      </c>
      <c r="BS740" s="27" t="s">
        <v>8</v>
      </c>
    </row>
    <row r="741" spans="1:71" x14ac:dyDescent="0.25">
      <c r="A741" s="7">
        <v>4.7377653641295057E-2</v>
      </c>
      <c r="B741"/>
      <c r="C741"/>
      <c r="D741"/>
      <c r="E741"/>
      <c r="AP741" s="27" t="s">
        <v>7</v>
      </c>
      <c r="AQ741" s="27" t="s">
        <v>8</v>
      </c>
      <c r="AR741" s="27" t="s">
        <v>7</v>
      </c>
      <c r="AS741" s="27" t="s">
        <v>8</v>
      </c>
      <c r="AT741" s="27" t="s">
        <v>7</v>
      </c>
      <c r="AU741" s="27" t="s">
        <v>8</v>
      </c>
      <c r="AV741" s="27" t="s">
        <v>7</v>
      </c>
      <c r="BS741" s="27" t="s">
        <v>8</v>
      </c>
    </row>
    <row r="742" spans="1:71" x14ac:dyDescent="0.25">
      <c r="A742" s="7">
        <v>4.644868004048535E-2</v>
      </c>
      <c r="B742"/>
      <c r="C742"/>
      <c r="D742"/>
      <c r="E742"/>
      <c r="AP742" s="27" t="s">
        <v>7</v>
      </c>
      <c r="AQ742" s="27" t="s">
        <v>8</v>
      </c>
      <c r="AR742" s="27" t="s">
        <v>7</v>
      </c>
      <c r="AS742" s="27" t="s">
        <v>8</v>
      </c>
      <c r="AT742" s="27" t="s">
        <v>7</v>
      </c>
      <c r="AU742" s="27" t="s">
        <v>8</v>
      </c>
      <c r="AV742" s="27" t="s">
        <v>7</v>
      </c>
      <c r="BS742" s="27" t="s">
        <v>8</v>
      </c>
    </row>
    <row r="743" spans="1:71" x14ac:dyDescent="0.25">
      <c r="A743" s="7">
        <v>4.5537921608318974E-2</v>
      </c>
      <c r="B743"/>
      <c r="C743"/>
      <c r="D743"/>
      <c r="E743"/>
      <c r="AP743" s="27" t="s">
        <v>7</v>
      </c>
      <c r="AQ743" s="27" t="s">
        <v>8</v>
      </c>
      <c r="AR743" s="27" t="s">
        <v>7</v>
      </c>
      <c r="AS743" s="27" t="s">
        <v>8</v>
      </c>
      <c r="AT743" s="27" t="s">
        <v>7</v>
      </c>
      <c r="AU743" s="27" t="s">
        <v>8</v>
      </c>
      <c r="AV743" s="27" t="s">
        <v>7</v>
      </c>
      <c r="BS743" s="27" t="s">
        <v>8</v>
      </c>
    </row>
    <row r="744" spans="1:71" x14ac:dyDescent="0.25">
      <c r="A744" s="7">
        <v>4.4645021184626446E-2</v>
      </c>
      <c r="B744"/>
      <c r="C744"/>
      <c r="D744"/>
      <c r="E744"/>
      <c r="AP744" s="27" t="s">
        <v>7</v>
      </c>
      <c r="AQ744" s="27" t="s">
        <v>8</v>
      </c>
      <c r="AR744" s="27" t="s">
        <v>7</v>
      </c>
      <c r="AS744" s="27" t="s">
        <v>8</v>
      </c>
      <c r="AT744" s="27" t="s">
        <v>7</v>
      </c>
      <c r="AU744" s="27" t="s">
        <v>8</v>
      </c>
      <c r="AV744" s="27" t="s">
        <v>7</v>
      </c>
      <c r="BM744" s="27" t="s">
        <v>8</v>
      </c>
      <c r="BS744" s="27" t="s">
        <v>8</v>
      </c>
    </row>
    <row r="745" spans="1:71" x14ac:dyDescent="0.25">
      <c r="A745" s="7">
        <v>4.3769628612378868E-2</v>
      </c>
      <c r="B745"/>
      <c r="C745"/>
      <c r="D745"/>
      <c r="E745"/>
      <c r="AP745" s="27" t="s">
        <v>7</v>
      </c>
      <c r="AQ745" s="27" t="s">
        <v>8</v>
      </c>
      <c r="AR745" s="27" t="s">
        <v>7</v>
      </c>
      <c r="AS745" s="27" t="s">
        <v>8</v>
      </c>
      <c r="AT745" s="27" t="s">
        <v>7</v>
      </c>
      <c r="AU745" s="27" t="s">
        <v>8</v>
      </c>
      <c r="AV745" s="27" t="s">
        <v>7</v>
      </c>
      <c r="AW745" s="27" t="s">
        <v>8</v>
      </c>
      <c r="BM745" s="27" t="s">
        <v>8</v>
      </c>
      <c r="BN745" s="27" t="s">
        <v>7</v>
      </c>
      <c r="BS745" s="27" t="s">
        <v>8</v>
      </c>
    </row>
    <row r="746" spans="1:71" x14ac:dyDescent="0.25">
      <c r="A746" s="7">
        <v>4.2911400600371442E-2</v>
      </c>
      <c r="B746"/>
      <c r="C746"/>
      <c r="D746"/>
      <c r="E746"/>
      <c r="AP746" s="27" t="s">
        <v>7</v>
      </c>
      <c r="AQ746" s="27" t="s">
        <v>8</v>
      </c>
      <c r="AR746" s="27" t="s">
        <v>7</v>
      </c>
      <c r="AS746" s="27" t="s">
        <v>8</v>
      </c>
      <c r="AT746" s="27" t="s">
        <v>7</v>
      </c>
      <c r="AU746" s="27" t="s">
        <v>8</v>
      </c>
      <c r="AV746" s="27" t="s">
        <v>7</v>
      </c>
      <c r="AW746" s="27" t="s">
        <v>8</v>
      </c>
      <c r="AX746" s="27" t="s">
        <v>7</v>
      </c>
      <c r="BM746" s="27" t="s">
        <v>8</v>
      </c>
      <c r="BN746" s="27" t="s">
        <v>7</v>
      </c>
      <c r="BS746" s="27" t="s">
        <v>8</v>
      </c>
    </row>
    <row r="747" spans="1:71" x14ac:dyDescent="0.25">
      <c r="A747" s="7">
        <v>4.2070000588599457E-2</v>
      </c>
      <c r="B747"/>
      <c r="C747"/>
      <c r="D747"/>
      <c r="E747"/>
      <c r="AP747" s="27" t="s">
        <v>7</v>
      </c>
      <c r="AQ747" s="27" t="s">
        <v>8</v>
      </c>
      <c r="AR747" s="27" t="s">
        <v>7</v>
      </c>
      <c r="AS747" s="27" t="s">
        <v>8</v>
      </c>
      <c r="AT747" s="27" t="s">
        <v>7</v>
      </c>
      <c r="AU747" s="27" t="s">
        <v>8</v>
      </c>
      <c r="AV747" s="27" t="s">
        <v>7</v>
      </c>
      <c r="AW747" s="27" t="s">
        <v>8</v>
      </c>
      <c r="AX747" s="27" t="s">
        <v>7</v>
      </c>
      <c r="BM747" s="27" t="s">
        <v>8</v>
      </c>
      <c r="BN747" s="27" t="s">
        <v>7</v>
      </c>
      <c r="BS747" s="27" t="s">
        <v>8</v>
      </c>
    </row>
    <row r="748" spans="1:71" x14ac:dyDescent="0.25">
      <c r="A748" s="7">
        <v>4.1245098616273977E-2</v>
      </c>
      <c r="B748"/>
      <c r="C748"/>
      <c r="D748"/>
      <c r="E748"/>
      <c r="AP748" s="27" t="s">
        <v>7</v>
      </c>
      <c r="AQ748" s="27" t="s">
        <v>8</v>
      </c>
      <c r="AR748" s="27" t="s">
        <v>7</v>
      </c>
      <c r="AS748" s="27" t="s">
        <v>8</v>
      </c>
      <c r="AT748" s="27" t="s">
        <v>7</v>
      </c>
      <c r="AU748" s="27" t="s">
        <v>8</v>
      </c>
      <c r="AV748" s="27" t="s">
        <v>7</v>
      </c>
      <c r="AW748" s="27" t="s">
        <v>8</v>
      </c>
      <c r="AX748" s="27" t="s">
        <v>7</v>
      </c>
      <c r="BM748" s="27" t="s">
        <v>8</v>
      </c>
      <c r="BN748" s="27" t="s">
        <v>7</v>
      </c>
      <c r="BS748" s="27" t="s">
        <v>8</v>
      </c>
    </row>
    <row r="749" spans="1:71" x14ac:dyDescent="0.25">
      <c r="A749" s="7">
        <v>4.043637119242547E-2</v>
      </c>
      <c r="B749"/>
      <c r="C749"/>
      <c r="D749"/>
      <c r="E749"/>
      <c r="AP749" s="27" t="s">
        <v>7</v>
      </c>
      <c r="AQ749" s="27" t="s">
        <v>8</v>
      </c>
      <c r="AR749" s="27" t="s">
        <v>7</v>
      </c>
      <c r="AS749" s="27" t="s">
        <v>8</v>
      </c>
      <c r="AT749" s="27" t="s">
        <v>7</v>
      </c>
      <c r="AU749" s="27" t="s">
        <v>8</v>
      </c>
      <c r="AV749" s="27" t="s">
        <v>7</v>
      </c>
      <c r="AX749" s="27" t="s">
        <v>7</v>
      </c>
      <c r="BM749" s="27" t="s">
        <v>8</v>
      </c>
      <c r="BN749" s="27" t="s">
        <v>7</v>
      </c>
      <c r="BS749" s="27" t="s">
        <v>8</v>
      </c>
    </row>
    <row r="750" spans="1:71" x14ac:dyDescent="0.25">
      <c r="A750" s="7">
        <v>3.9643501169044582E-2</v>
      </c>
      <c r="B750"/>
      <c r="C750"/>
      <c r="D750"/>
      <c r="E750"/>
      <c r="AP750" s="27" t="s">
        <v>7</v>
      </c>
      <c r="AQ750" s="27" t="s">
        <v>8</v>
      </c>
      <c r="AR750" s="27" t="s">
        <v>7</v>
      </c>
      <c r="AS750" s="27" t="s">
        <v>8</v>
      </c>
      <c r="AT750" s="27" t="s">
        <v>7</v>
      </c>
      <c r="AU750" s="27" t="s">
        <v>8</v>
      </c>
      <c r="AX750" s="27" t="s">
        <v>7</v>
      </c>
      <c r="AY750" s="27" t="s">
        <v>8</v>
      </c>
      <c r="BM750" s="27" t="s">
        <v>8</v>
      </c>
      <c r="BN750" s="27" t="s">
        <v>7</v>
      </c>
      <c r="BS750" s="27" t="s">
        <v>8</v>
      </c>
    </row>
    <row r="751" spans="1:71" x14ac:dyDescent="0.25">
      <c r="A751" s="7">
        <v>3.8866177616710372E-2</v>
      </c>
      <c r="B751"/>
      <c r="C751"/>
      <c r="D751"/>
      <c r="E751"/>
      <c r="AP751" s="27" t="s">
        <v>7</v>
      </c>
      <c r="AQ751" s="27" t="s">
        <v>8</v>
      </c>
      <c r="AR751" s="27" t="s">
        <v>7</v>
      </c>
      <c r="AS751" s="27" t="s">
        <v>8</v>
      </c>
      <c r="AT751" s="27" t="s">
        <v>7</v>
      </c>
      <c r="AU751" s="27" t="s">
        <v>8</v>
      </c>
      <c r="AX751" s="27" t="s">
        <v>7</v>
      </c>
      <c r="AY751" s="27" t="s">
        <v>8</v>
      </c>
      <c r="AZ751" s="27" t="s">
        <v>7</v>
      </c>
      <c r="BM751" s="27" t="s">
        <v>8</v>
      </c>
      <c r="BN751" s="27" t="s">
        <v>7</v>
      </c>
      <c r="BO751" s="27" t="s">
        <v>8</v>
      </c>
      <c r="BQ751" s="27" t="s">
        <v>8</v>
      </c>
      <c r="BS751" s="27" t="s">
        <v>8</v>
      </c>
    </row>
    <row r="752" spans="1:71" x14ac:dyDescent="0.25">
      <c r="A752" s="7">
        <v>3.8104095702657229E-2</v>
      </c>
      <c r="B752"/>
      <c r="C752"/>
      <c r="D752"/>
      <c r="E752"/>
      <c r="AP752" s="27" t="s">
        <v>7</v>
      </c>
      <c r="AQ752" s="27" t="s">
        <v>8</v>
      </c>
      <c r="AR752" s="27" t="s">
        <v>7</v>
      </c>
      <c r="AS752" s="27" t="s">
        <v>8</v>
      </c>
      <c r="AT752" s="27" t="s">
        <v>7</v>
      </c>
      <c r="AU752" s="27" t="s">
        <v>8</v>
      </c>
      <c r="AX752" s="27" t="s">
        <v>7</v>
      </c>
      <c r="AY752" s="27" t="s">
        <v>8</v>
      </c>
      <c r="AZ752" s="27" t="s">
        <v>7</v>
      </c>
      <c r="BC752" s="27" t="s">
        <v>8</v>
      </c>
      <c r="BM752" s="27" t="s">
        <v>8</v>
      </c>
      <c r="BN752" s="27" t="s">
        <v>7</v>
      </c>
      <c r="BO752" s="27" t="s">
        <v>8</v>
      </c>
      <c r="BP752" s="27" t="s">
        <v>7</v>
      </c>
      <c r="BQ752" s="27" t="s">
        <v>8</v>
      </c>
      <c r="BR752" s="27" t="s">
        <v>7</v>
      </c>
      <c r="BS752" s="27" t="s">
        <v>8</v>
      </c>
    </row>
    <row r="753" spans="1:71" x14ac:dyDescent="0.25">
      <c r="A753" s="7">
        <v>3.7356956571232579E-2</v>
      </c>
      <c r="B753"/>
      <c r="C753"/>
      <c r="D753"/>
      <c r="E753"/>
      <c r="AP753" s="27" t="s">
        <v>7</v>
      </c>
      <c r="AQ753" s="27" t="s">
        <v>8</v>
      </c>
      <c r="AR753" s="27" t="s">
        <v>7</v>
      </c>
      <c r="AS753" s="27" t="s">
        <v>8</v>
      </c>
      <c r="AT753" s="27" t="s">
        <v>7</v>
      </c>
      <c r="AX753" s="27" t="s">
        <v>7</v>
      </c>
      <c r="AY753" s="27" t="s">
        <v>8</v>
      </c>
      <c r="AZ753" s="27" t="s">
        <v>7</v>
      </c>
      <c r="BC753" s="27" t="s">
        <v>8</v>
      </c>
      <c r="BD753" s="27" t="s">
        <v>7</v>
      </c>
      <c r="BM753" s="27" t="s">
        <v>8</v>
      </c>
      <c r="BN753" s="27" t="s">
        <v>7</v>
      </c>
      <c r="BO753" s="27" t="s">
        <v>8</v>
      </c>
      <c r="BP753" s="27" t="s">
        <v>7</v>
      </c>
      <c r="BQ753" s="27" t="s">
        <v>8</v>
      </c>
      <c r="BR753" s="27" t="s">
        <v>7</v>
      </c>
      <c r="BS753" s="27" t="s">
        <v>8</v>
      </c>
    </row>
    <row r="754" spans="1:71" x14ac:dyDescent="0.25">
      <c r="A754" s="7">
        <v>3.6624467226698605E-2</v>
      </c>
      <c r="B754"/>
      <c r="C754"/>
      <c r="D754"/>
      <c r="E754"/>
      <c r="AP754" s="27" t="s">
        <v>7</v>
      </c>
      <c r="AQ754" s="27" t="s">
        <v>8</v>
      </c>
      <c r="AR754" s="27" t="s">
        <v>7</v>
      </c>
      <c r="AS754" s="27" t="s">
        <v>8</v>
      </c>
      <c r="AX754" s="27" t="s">
        <v>7</v>
      </c>
      <c r="AY754" s="27" t="s">
        <v>8</v>
      </c>
      <c r="AZ754" s="27" t="s">
        <v>7</v>
      </c>
      <c r="BC754" s="27" t="s">
        <v>8</v>
      </c>
      <c r="BD754" s="27" t="s">
        <v>7</v>
      </c>
      <c r="BM754" s="27" t="s">
        <v>8</v>
      </c>
      <c r="BN754" s="27" t="s">
        <v>7</v>
      </c>
      <c r="BO754" s="27" t="s">
        <v>8</v>
      </c>
      <c r="BP754" s="27" t="s">
        <v>7</v>
      </c>
      <c r="BQ754" s="27" t="s">
        <v>8</v>
      </c>
      <c r="BR754" s="27" t="s">
        <v>7</v>
      </c>
      <c r="BS754" s="27" t="s">
        <v>8</v>
      </c>
    </row>
    <row r="755" spans="1:71" x14ac:dyDescent="0.25">
      <c r="A755" s="7">
        <v>3.5906340418331961E-2</v>
      </c>
      <c r="B755"/>
      <c r="C755"/>
      <c r="D755"/>
      <c r="E755"/>
      <c r="AP755" s="27" t="s">
        <v>7</v>
      </c>
      <c r="AQ755" s="27" t="s">
        <v>8</v>
      </c>
      <c r="AR755" s="27" t="s">
        <v>7</v>
      </c>
      <c r="AS755" s="27" t="s">
        <v>8</v>
      </c>
      <c r="AX755" s="27" t="s">
        <v>7</v>
      </c>
      <c r="AY755" s="27" t="s">
        <v>8</v>
      </c>
      <c r="AZ755" s="27" t="s">
        <v>7</v>
      </c>
      <c r="BC755" s="27" t="s">
        <v>8</v>
      </c>
      <c r="BD755" s="27" t="s">
        <v>7</v>
      </c>
      <c r="BM755" s="27" t="s">
        <v>8</v>
      </c>
      <c r="BN755" s="27" t="s">
        <v>7</v>
      </c>
      <c r="BO755" s="27" t="s">
        <v>8</v>
      </c>
      <c r="BP755" s="27" t="s">
        <v>7</v>
      </c>
      <c r="BQ755" s="27" t="s">
        <v>8</v>
      </c>
      <c r="BR755" s="27" t="s">
        <v>7</v>
      </c>
      <c r="BS755" s="27" t="s">
        <v>8</v>
      </c>
    </row>
    <row r="756" spans="1:71" x14ac:dyDescent="0.25">
      <c r="A756" s="7">
        <v>3.5202294527776436E-2</v>
      </c>
      <c r="B756"/>
      <c r="C756"/>
      <c r="D756"/>
      <c r="E756"/>
      <c r="AP756" s="27" t="s">
        <v>7</v>
      </c>
      <c r="AQ756" s="27" t="s">
        <v>8</v>
      </c>
      <c r="AR756" s="27" t="s">
        <v>7</v>
      </c>
      <c r="AS756" s="27" t="s">
        <v>8</v>
      </c>
      <c r="AX756" s="27" t="s">
        <v>7</v>
      </c>
      <c r="AY756" s="27" t="s">
        <v>8</v>
      </c>
      <c r="AZ756" s="27" t="s">
        <v>7</v>
      </c>
      <c r="BC756" s="27" t="s">
        <v>8</v>
      </c>
      <c r="BD756" s="27" t="s">
        <v>7</v>
      </c>
      <c r="BM756" s="27" t="s">
        <v>8</v>
      </c>
      <c r="BN756" s="27" t="s">
        <v>7</v>
      </c>
      <c r="BO756" s="27" t="s">
        <v>8</v>
      </c>
      <c r="BP756" s="27" t="s">
        <v>7</v>
      </c>
      <c r="BQ756" s="27" t="s">
        <v>8</v>
      </c>
      <c r="BR756" s="27" t="s">
        <v>7</v>
      </c>
      <c r="BS756" s="27" t="s">
        <v>8</v>
      </c>
    </row>
    <row r="757" spans="1:71" x14ac:dyDescent="0.25">
      <c r="A757" s="7">
        <v>3.451205345860435E-2</v>
      </c>
      <c r="B757"/>
      <c r="C757"/>
      <c r="D757"/>
      <c r="E757"/>
      <c r="AP757" s="27" t="s">
        <v>7</v>
      </c>
      <c r="AQ757" s="27" t="s">
        <v>8</v>
      </c>
      <c r="AR757" s="27" t="s">
        <v>7</v>
      </c>
      <c r="AS757" s="27" t="s">
        <v>8</v>
      </c>
      <c r="AX757" s="27" t="s">
        <v>7</v>
      </c>
      <c r="AY757" s="27" t="s">
        <v>8</v>
      </c>
      <c r="AZ757" s="27" t="s">
        <v>7</v>
      </c>
      <c r="BA757" s="27" t="s">
        <v>8</v>
      </c>
      <c r="BC757" s="27" t="s">
        <v>8</v>
      </c>
      <c r="BD757" s="27" t="s">
        <v>7</v>
      </c>
      <c r="BM757" s="27" t="s">
        <v>8</v>
      </c>
      <c r="BN757" s="27" t="s">
        <v>7</v>
      </c>
      <c r="BO757" s="27" t="s">
        <v>8</v>
      </c>
      <c r="BP757" s="27" t="s">
        <v>7</v>
      </c>
      <c r="BQ757" s="27" t="s">
        <v>8</v>
      </c>
      <c r="BR757" s="27" t="s">
        <v>7</v>
      </c>
      <c r="BS757" s="27" t="s">
        <v>8</v>
      </c>
    </row>
    <row r="758" spans="1:71" x14ac:dyDescent="0.25">
      <c r="A758" s="7">
        <v>3.3835346528043479E-2</v>
      </c>
      <c r="B758"/>
      <c r="C758"/>
      <c r="D758"/>
      <c r="E758"/>
      <c r="AP758" s="27" t="s">
        <v>7</v>
      </c>
      <c r="AQ758" s="27" t="s">
        <v>8</v>
      </c>
      <c r="AR758" s="27" t="s">
        <v>7</v>
      </c>
      <c r="AS758" s="27" t="s">
        <v>8</v>
      </c>
      <c r="AX758" s="27" t="s">
        <v>7</v>
      </c>
      <c r="AZ758" s="27" t="s">
        <v>7</v>
      </c>
      <c r="BA758" s="27" t="s">
        <v>8</v>
      </c>
      <c r="BB758" s="27" t="s">
        <v>7</v>
      </c>
      <c r="BC758" s="27" t="s">
        <v>8</v>
      </c>
      <c r="BD758" s="27" t="s">
        <v>7</v>
      </c>
      <c r="BM758" s="27" t="s">
        <v>8</v>
      </c>
      <c r="BN758" s="27" t="s">
        <v>7</v>
      </c>
      <c r="BO758" s="27" t="s">
        <v>8</v>
      </c>
      <c r="BP758" s="27" t="s">
        <v>7</v>
      </c>
      <c r="BQ758" s="27" t="s">
        <v>8</v>
      </c>
      <c r="BR758" s="27" t="s">
        <v>7</v>
      </c>
      <c r="BS758" s="27" t="s">
        <v>8</v>
      </c>
    </row>
    <row r="759" spans="1:71" x14ac:dyDescent="0.25">
      <c r="A759" s="7">
        <v>3.3171908360826938E-2</v>
      </c>
      <c r="B759"/>
      <c r="C759"/>
      <c r="D759"/>
      <c r="E759"/>
      <c r="AP759" s="27" t="s">
        <v>7</v>
      </c>
      <c r="AQ759" s="27" t="s">
        <v>8</v>
      </c>
      <c r="AR759" s="27" t="s">
        <v>7</v>
      </c>
      <c r="AS759" s="27" t="s">
        <v>8</v>
      </c>
      <c r="AZ759" s="27" t="s">
        <v>7</v>
      </c>
      <c r="BA759" s="27" t="s">
        <v>8</v>
      </c>
      <c r="BB759" s="27" t="s">
        <v>7</v>
      </c>
      <c r="BC759" s="27" t="s">
        <v>8</v>
      </c>
      <c r="BD759" s="27" t="s">
        <v>7</v>
      </c>
      <c r="BM759" s="27" t="s">
        <v>8</v>
      </c>
      <c r="BN759" s="27" t="s">
        <v>7</v>
      </c>
      <c r="BO759" s="27" t="s">
        <v>8</v>
      </c>
      <c r="BP759" s="27" t="s">
        <v>7</v>
      </c>
      <c r="BQ759" s="27" t="s">
        <v>8</v>
      </c>
      <c r="BR759" s="27" t="s">
        <v>7</v>
      </c>
      <c r="BS759" s="27" t="s">
        <v>8</v>
      </c>
    </row>
    <row r="760" spans="1:71" x14ac:dyDescent="0.25">
      <c r="A760" s="7">
        <v>3.2521478785124451E-2</v>
      </c>
      <c r="B760"/>
      <c r="C760"/>
      <c r="D760"/>
      <c r="E760"/>
      <c r="AP760" s="27" t="s">
        <v>7</v>
      </c>
      <c r="AQ760" s="27" t="s">
        <v>8</v>
      </c>
      <c r="AR760" s="27" t="s">
        <v>7</v>
      </c>
      <c r="AS760" s="27" t="s">
        <v>8</v>
      </c>
      <c r="AZ760" s="27" t="s">
        <v>7</v>
      </c>
      <c r="BA760" s="27" t="s">
        <v>8</v>
      </c>
      <c r="BB760" s="27" t="s">
        <v>7</v>
      </c>
      <c r="BD760" s="27" t="s">
        <v>7</v>
      </c>
      <c r="BM760" s="27" t="s">
        <v>8</v>
      </c>
      <c r="BN760" s="27" t="s">
        <v>7</v>
      </c>
      <c r="BO760" s="27" t="s">
        <v>8</v>
      </c>
      <c r="BP760" s="27" t="s">
        <v>7</v>
      </c>
      <c r="BQ760" s="27" t="s">
        <v>8</v>
      </c>
      <c r="BR760" s="27" t="s">
        <v>7</v>
      </c>
      <c r="BS760" s="27" t="s">
        <v>8</v>
      </c>
    </row>
    <row r="761" spans="1:71" x14ac:dyDescent="0.25">
      <c r="A761" s="7">
        <v>3.1883802730514173E-2</v>
      </c>
      <c r="B761"/>
      <c r="C761"/>
      <c r="D761"/>
      <c r="E761"/>
      <c r="AP761" s="27" t="s">
        <v>7</v>
      </c>
      <c r="AR761" s="27" t="s">
        <v>7</v>
      </c>
      <c r="AZ761" s="27" t="s">
        <v>7</v>
      </c>
      <c r="BA761" s="27" t="s">
        <v>8</v>
      </c>
      <c r="BD761" s="27" t="s">
        <v>7</v>
      </c>
      <c r="BE761" s="27" t="s">
        <v>8</v>
      </c>
      <c r="BM761" s="27" t="s">
        <v>8</v>
      </c>
      <c r="BN761" s="27" t="s">
        <v>7</v>
      </c>
      <c r="BP761" s="27" t="s">
        <v>7</v>
      </c>
      <c r="BQ761" s="27" t="s">
        <v>8</v>
      </c>
      <c r="BR761" s="27" t="s">
        <v>7</v>
      </c>
      <c r="BS761" s="27" t="s">
        <v>8</v>
      </c>
    </row>
    <row r="762" spans="1:71" x14ac:dyDescent="0.25">
      <c r="A762" s="7">
        <v>3.1258630127955073E-2</v>
      </c>
      <c r="B762"/>
      <c r="C762"/>
      <c r="D762"/>
      <c r="E762"/>
      <c r="AZ762" s="27" t="s">
        <v>7</v>
      </c>
      <c r="BA762" s="27" t="s">
        <v>8</v>
      </c>
      <c r="BD762" s="27" t="s">
        <v>7</v>
      </c>
      <c r="BE762" s="27" t="s">
        <v>8</v>
      </c>
      <c r="BF762" s="27" t="s">
        <v>7</v>
      </c>
      <c r="BM762" s="27" t="s">
        <v>8</v>
      </c>
      <c r="BP762" s="27" t="s">
        <v>7</v>
      </c>
      <c r="BQ762" s="27" t="s">
        <v>8</v>
      </c>
      <c r="BR762" s="27" t="s">
        <v>7</v>
      </c>
      <c r="BS762" s="27" t="s">
        <v>8</v>
      </c>
    </row>
    <row r="763" spans="1:71" x14ac:dyDescent="0.25">
      <c r="A763" s="7">
        <v>3.064571581172066E-2</v>
      </c>
      <c r="B763"/>
      <c r="C763"/>
      <c r="D763"/>
      <c r="E763"/>
      <c r="AZ763" s="27" t="s">
        <v>7</v>
      </c>
      <c r="BA763" s="27" t="s">
        <v>8</v>
      </c>
      <c r="BD763" s="27" t="s">
        <v>7</v>
      </c>
      <c r="BE763" s="27" t="s">
        <v>8</v>
      </c>
      <c r="BF763" s="27" t="s">
        <v>7</v>
      </c>
      <c r="BM763" s="27" t="s">
        <v>8</v>
      </c>
      <c r="BP763" s="27" t="s">
        <v>7</v>
      </c>
      <c r="BQ763" s="27" t="s">
        <v>8</v>
      </c>
      <c r="BR763" s="27" t="s">
        <v>7</v>
      </c>
      <c r="BS763" s="27" t="s">
        <v>8</v>
      </c>
    </row>
    <row r="764" spans="1:71" x14ac:dyDescent="0.25">
      <c r="A764" s="7">
        <v>3.0044819423255549E-2</v>
      </c>
      <c r="B764"/>
      <c r="C764"/>
      <c r="D764"/>
      <c r="E764"/>
      <c r="AZ764" s="27" t="s">
        <v>7</v>
      </c>
      <c r="BD764" s="27" t="s">
        <v>7</v>
      </c>
      <c r="BF764" s="27" t="s">
        <v>7</v>
      </c>
      <c r="BM764" s="27" t="s">
        <v>8</v>
      </c>
      <c r="BP764" s="27" t="s">
        <v>7</v>
      </c>
      <c r="BR764" s="27" t="s">
        <v>7</v>
      </c>
      <c r="BS764" s="27" t="s">
        <v>8</v>
      </c>
    </row>
    <row r="765" spans="1:71" x14ac:dyDescent="0.25">
      <c r="A765" s="7">
        <v>2.9455705316917203E-2</v>
      </c>
      <c r="B765"/>
      <c r="C765"/>
      <c r="D765"/>
      <c r="E765"/>
      <c r="BF765" s="27" t="s">
        <v>7</v>
      </c>
      <c r="BM765" s="27" t="s">
        <v>8</v>
      </c>
      <c r="BR765" s="27" t="s">
        <v>7</v>
      </c>
      <c r="BS765" s="27" t="s">
        <v>8</v>
      </c>
    </row>
    <row r="766" spans="1:71" x14ac:dyDescent="0.25">
      <c r="A766" s="7">
        <v>2.8878142467565884E-2</v>
      </c>
      <c r="B766"/>
      <c r="C766"/>
      <c r="D766"/>
      <c r="E766"/>
      <c r="BF766" s="27" t="s">
        <v>7</v>
      </c>
      <c r="BM766" s="27" t="s">
        <v>8</v>
      </c>
      <c r="BR766" s="27" t="s">
        <v>7</v>
      </c>
      <c r="BS766" s="27" t="s">
        <v>8</v>
      </c>
    </row>
    <row r="767" spans="1:71" x14ac:dyDescent="0.25">
      <c r="A767" s="7">
        <v>2.8311904379966554E-2</v>
      </c>
      <c r="B767"/>
      <c r="C767"/>
      <c r="D767"/>
      <c r="E767"/>
      <c r="BF767" s="27" t="s">
        <v>7</v>
      </c>
      <c r="BM767" s="27" t="s">
        <v>8</v>
      </c>
      <c r="BR767" s="27" t="s">
        <v>7</v>
      </c>
      <c r="BS767" s="27" t="s">
        <v>8</v>
      </c>
    </row>
    <row r="768" spans="1:71" x14ac:dyDescent="0.25">
      <c r="A768" s="7">
        <v>2.7756768999967207E-2</v>
      </c>
      <c r="B768"/>
      <c r="C768"/>
      <c r="D768"/>
      <c r="E768"/>
      <c r="BF768" s="27" t="s">
        <v>7</v>
      </c>
      <c r="BI768" s="27" t="s">
        <v>8</v>
      </c>
      <c r="BM768" s="27" t="s">
        <v>8</v>
      </c>
      <c r="BR768" s="18" t="s">
        <v>7</v>
      </c>
    </row>
    <row r="769" spans="1:65" x14ac:dyDescent="0.25">
      <c r="A769" s="7">
        <v>2.7212518627418834E-2</v>
      </c>
      <c r="B769"/>
      <c r="C769"/>
      <c r="D769"/>
      <c r="E769"/>
      <c r="BF769" s="27" t="s">
        <v>7</v>
      </c>
      <c r="BI769" s="27" t="s">
        <v>8</v>
      </c>
      <c r="BJ769" s="27" t="s">
        <v>7</v>
      </c>
      <c r="BK769" s="27" t="s">
        <v>8</v>
      </c>
      <c r="BM769" s="27" t="s">
        <v>8</v>
      </c>
    </row>
    <row r="770" spans="1:65" x14ac:dyDescent="0.25">
      <c r="A770" s="7">
        <v>2.6678939830802779E-2</v>
      </c>
      <c r="B770"/>
      <c r="C770"/>
      <c r="D770"/>
      <c r="E770"/>
      <c r="BF770" s="27" t="s">
        <v>7</v>
      </c>
      <c r="BI770" s="27" t="s">
        <v>8</v>
      </c>
      <c r="BJ770" s="27" t="s">
        <v>7</v>
      </c>
      <c r="BK770" s="27" t="s">
        <v>8</v>
      </c>
      <c r="BL770" s="27" t="s">
        <v>7</v>
      </c>
      <c r="BM770" s="27" t="s">
        <v>8</v>
      </c>
    </row>
    <row r="771" spans="1:65" x14ac:dyDescent="0.25">
      <c r="A771" s="7">
        <v>2.615582336353214E-2</v>
      </c>
      <c r="B771"/>
      <c r="C771"/>
      <c r="D771"/>
      <c r="E771"/>
      <c r="BF771" s="27" t="s">
        <v>7</v>
      </c>
      <c r="BI771" s="27" t="s">
        <v>8</v>
      </c>
      <c r="BJ771" s="27" t="s">
        <v>7</v>
      </c>
      <c r="BK771" s="27" t="s">
        <v>8</v>
      </c>
      <c r="BL771" s="27" t="s">
        <v>7</v>
      </c>
      <c r="BM771" s="27" t="s">
        <v>8</v>
      </c>
    </row>
    <row r="772" spans="1:65" x14ac:dyDescent="0.25">
      <c r="A772" s="7">
        <v>2.5642964081894253E-2</v>
      </c>
      <c r="B772"/>
      <c r="C772"/>
      <c r="D772"/>
      <c r="E772"/>
      <c r="BF772" s="27" t="s">
        <v>7</v>
      </c>
      <c r="BI772" s="27" t="s">
        <v>8</v>
      </c>
      <c r="BJ772" s="27" t="s">
        <v>7</v>
      </c>
      <c r="BK772" s="27" t="s">
        <v>8</v>
      </c>
      <c r="BL772" s="27" t="s">
        <v>7</v>
      </c>
    </row>
    <row r="773" spans="1:65" x14ac:dyDescent="0.25">
      <c r="A773" s="7">
        <v>2.5140160864602207E-2</v>
      </c>
      <c r="B773"/>
      <c r="C773"/>
      <c r="D773"/>
      <c r="E773"/>
      <c r="BF773" s="27" t="s">
        <v>7</v>
      </c>
      <c r="BG773" s="27" t="s">
        <v>8</v>
      </c>
      <c r="BI773" s="27" t="s">
        <v>8</v>
      </c>
      <c r="BJ773" s="27" t="s">
        <v>7</v>
      </c>
      <c r="BK773" s="27" t="s">
        <v>8</v>
      </c>
    </row>
    <row r="774" spans="1:65" x14ac:dyDescent="0.25">
      <c r="A774" s="7">
        <v>2.4647216533923735E-2</v>
      </c>
      <c r="B774"/>
      <c r="C774"/>
      <c r="D774"/>
      <c r="E774"/>
      <c r="BF774" s="27" t="s">
        <v>7</v>
      </c>
      <c r="BG774" s="27" t="s">
        <v>8</v>
      </c>
      <c r="BH774" s="27" t="s">
        <v>7</v>
      </c>
      <c r="BI774" s="27" t="s">
        <v>8</v>
      </c>
      <c r="BJ774" s="27" t="s">
        <v>7</v>
      </c>
      <c r="BK774" s="27" t="s">
        <v>8</v>
      </c>
    </row>
    <row r="775" spans="1:65" x14ac:dyDescent="0.25">
      <c r="A775" s="7">
        <v>2.4163937778356601E-2</v>
      </c>
      <c r="B775"/>
      <c r="C775"/>
      <c r="D775"/>
      <c r="E775"/>
      <c r="BF775" s="27" t="s">
        <v>7</v>
      </c>
      <c r="BG775" s="27" t="s">
        <v>8</v>
      </c>
      <c r="BH775" s="27" t="s">
        <v>7</v>
      </c>
      <c r="BI775" s="27" t="s">
        <v>8</v>
      </c>
      <c r="BJ775" s="27" t="s">
        <v>7</v>
      </c>
      <c r="BK775" s="27" t="s">
        <v>8</v>
      </c>
    </row>
    <row r="776" spans="1:65" x14ac:dyDescent="0.25">
      <c r="A776" s="7">
        <v>2.3690135076820197E-2</v>
      </c>
      <c r="B776"/>
      <c r="C776"/>
      <c r="D776"/>
      <c r="E776"/>
      <c r="BF776" s="27" t="s">
        <v>7</v>
      </c>
      <c r="BG776" s="27" t="s">
        <v>8</v>
      </c>
      <c r="BH776" s="27" t="s">
        <v>7</v>
      </c>
      <c r="BI776" s="27" t="s">
        <v>8</v>
      </c>
      <c r="BJ776" s="27" t="s">
        <v>7</v>
      </c>
    </row>
    <row r="777" spans="1:65" x14ac:dyDescent="0.25">
      <c r="A777" s="7">
        <v>2.3225622624333527E-2</v>
      </c>
      <c r="B777"/>
      <c r="C777"/>
      <c r="D777"/>
      <c r="E777"/>
      <c r="BF777" s="27" t="s">
        <v>7</v>
      </c>
      <c r="BG777" s="27" t="s">
        <v>8</v>
      </c>
      <c r="BH777" s="27" t="s">
        <v>7</v>
      </c>
      <c r="BI777" s="27" t="s">
        <v>8</v>
      </c>
    </row>
    <row r="778" spans="1:65" x14ac:dyDescent="0.25">
      <c r="A778" s="7">
        <v>2.2770218259150519E-2</v>
      </c>
      <c r="B778"/>
      <c r="C778"/>
      <c r="D778"/>
      <c r="E778"/>
      <c r="BF778" s="27" t="s">
        <v>7</v>
      </c>
      <c r="BG778" s="27" t="s">
        <v>8</v>
      </c>
      <c r="BH778" s="27" t="s">
        <v>7</v>
      </c>
      <c r="BI778" s="27" t="s">
        <v>8</v>
      </c>
    </row>
    <row r="779" spans="1:65" x14ac:dyDescent="0.25">
      <c r="A779" s="7">
        <v>2.2323743391324039E-2</v>
      </c>
      <c r="B779"/>
      <c r="C779"/>
      <c r="D779"/>
      <c r="E779"/>
      <c r="BF779" s="27" t="s">
        <v>7</v>
      </c>
      <c r="BG779" s="27" t="s">
        <v>8</v>
      </c>
      <c r="BH779" s="27" t="s">
        <v>7</v>
      </c>
      <c r="BI779" s="27" t="s">
        <v>8</v>
      </c>
    </row>
    <row r="780" spans="1:65" x14ac:dyDescent="0.25">
      <c r="A780" s="7">
        <v>2.188602293267063E-2</v>
      </c>
      <c r="B780"/>
      <c r="C780"/>
      <c r="D780"/>
      <c r="E780"/>
      <c r="BF780" s="27" t="s">
        <v>7</v>
      </c>
      <c r="BG780" s="27" t="s">
        <v>8</v>
      </c>
      <c r="BH780" s="27" t="s">
        <v>7</v>
      </c>
      <c r="BI780" s="27" t="s">
        <v>8</v>
      </c>
    </row>
    <row r="781" spans="1:65" x14ac:dyDescent="0.25">
      <c r="A781" s="7">
        <v>2.1456885228108461E-2</v>
      </c>
      <c r="B781"/>
      <c r="C781"/>
      <c r="D781"/>
      <c r="E781"/>
      <c r="BF781" s="27" t="s">
        <v>7</v>
      </c>
      <c r="BG781" s="27" t="s">
        <v>8</v>
      </c>
      <c r="BH781" s="27" t="s">
        <v>7</v>
      </c>
      <c r="BI781" s="27" t="s">
        <v>8</v>
      </c>
    </row>
    <row r="782" spans="1:65" x14ac:dyDescent="0.25">
      <c r="A782" s="7">
        <v>2.1036161988341632E-2</v>
      </c>
      <c r="B782"/>
      <c r="C782"/>
      <c r="D782"/>
      <c r="E782"/>
      <c r="BF782" s="27" t="s">
        <v>7</v>
      </c>
      <c r="BG782" s="27" t="s">
        <v>8</v>
      </c>
      <c r="BH782" s="27" t="s">
        <v>7</v>
      </c>
      <c r="BI782" s="27" t="s">
        <v>8</v>
      </c>
    </row>
    <row r="783" spans="1:65" x14ac:dyDescent="0.25">
      <c r="A783" s="7">
        <v>2.0623688223864345E-2</v>
      </c>
      <c r="B783"/>
      <c r="C783"/>
      <c r="D783"/>
      <c r="E783"/>
      <c r="BF783" s="27" t="s">
        <v>7</v>
      </c>
      <c r="BG783" s="27" t="s">
        <v>8</v>
      </c>
      <c r="BH783" s="27" t="s">
        <v>7</v>
      </c>
    </row>
    <row r="784" spans="1:65" x14ac:dyDescent="0.25">
      <c r="A784" s="7">
        <v>2.021930218025916E-2</v>
      </c>
      <c r="B784"/>
      <c r="C784"/>
      <c r="D784"/>
      <c r="E784"/>
      <c r="BF784" s="27" t="s">
        <v>7</v>
      </c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21" operator="equal">
      <formula>$U$1</formula>
    </cfRule>
    <cfRule type="cellIs" dxfId="89" priority="722" operator="equal">
      <formula>$S$1</formula>
    </cfRule>
  </conditionalFormatting>
  <conditionalFormatting sqref="D27">
    <cfRule type="cellIs" dxfId="88" priority="719" operator="equal">
      <formula>$S$1</formula>
    </cfRule>
    <cfRule type="cellIs" dxfId="87" priority="720" operator="equal">
      <formula>$U$1</formula>
    </cfRule>
  </conditionalFormatting>
  <conditionalFormatting sqref="C164">
    <cfRule type="cellIs" dxfId="86" priority="717" operator="equal">
      <formula>$U$1</formula>
    </cfRule>
    <cfRule type="cellIs" dxfId="85" priority="718" operator="equal">
      <formula>$S$1</formula>
    </cfRule>
  </conditionalFormatting>
  <conditionalFormatting sqref="D164">
    <cfRule type="cellIs" dxfId="84" priority="715" operator="equal">
      <formula>$S$1</formula>
    </cfRule>
    <cfRule type="cellIs" dxfId="83" priority="716" operator="equal">
      <formula>$U$1</formula>
    </cfRule>
  </conditionalFormatting>
  <conditionalFormatting sqref="C55">
    <cfRule type="cellIs" dxfId="82" priority="713" operator="equal">
      <formula>$U$1</formula>
    </cfRule>
    <cfRule type="cellIs" dxfId="81" priority="714" operator="equal">
      <formula>$S$1</formula>
    </cfRule>
  </conditionalFormatting>
  <conditionalFormatting sqref="D55">
    <cfRule type="cellIs" dxfId="80" priority="711" operator="equal">
      <formula>$S$1</formula>
    </cfRule>
    <cfRule type="cellIs" dxfId="79" priority="712" operator="equal">
      <formula>$U$1</formula>
    </cfRule>
  </conditionalFormatting>
  <conditionalFormatting sqref="C89">
    <cfRule type="cellIs" dxfId="78" priority="709" operator="equal">
      <formula>$U$1</formula>
    </cfRule>
    <cfRule type="cellIs" dxfId="77" priority="710" operator="equal">
      <formula>$S$1</formula>
    </cfRule>
  </conditionalFormatting>
  <conditionalFormatting sqref="D89">
    <cfRule type="cellIs" dxfId="76" priority="707" operator="equal">
      <formula>$S$1</formula>
    </cfRule>
    <cfRule type="cellIs" dxfId="75" priority="708" operator="equal">
      <formula>$U$1</formula>
    </cfRule>
  </conditionalFormatting>
  <conditionalFormatting sqref="C136">
    <cfRule type="cellIs" dxfId="74" priority="705" operator="equal">
      <formula>$U$1</formula>
    </cfRule>
    <cfRule type="cellIs" dxfId="73" priority="706" operator="equal">
      <formula>$S$1</formula>
    </cfRule>
  </conditionalFormatting>
  <conditionalFormatting sqref="D136">
    <cfRule type="cellIs" dxfId="72" priority="703" operator="equal">
      <formula>$S$1</formula>
    </cfRule>
    <cfRule type="cellIs" dxfId="71" priority="704" operator="equal">
      <formula>$U$1</formula>
    </cfRule>
  </conditionalFormatting>
  <conditionalFormatting sqref="C1">
    <cfRule type="cellIs" dxfId="70" priority="70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12" zoomScale="90" zoomScaleNormal="90" workbookViewId="0">
      <pane xSplit="4" topLeftCell="AA1" activePane="topRight" state="frozen"/>
      <selection activeCell="A109" sqref="A109"/>
      <selection pane="topRight" activeCell="CY95" sqref="CY9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103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103" x14ac:dyDescent="0.25">
      <c r="A82" s="30">
        <v>2227.9695606549776</v>
      </c>
      <c r="E82"/>
    </row>
    <row r="83" spans="1:103" x14ac:dyDescent="0.25">
      <c r="A83" s="30">
        <v>2121.8757720523595</v>
      </c>
      <c r="E83"/>
    </row>
    <row r="84" spans="1:103" x14ac:dyDescent="0.25">
      <c r="A84" s="30">
        <v>2020.8340686212948</v>
      </c>
      <c r="E84"/>
      <c r="BU84" s="27" t="s">
        <v>8</v>
      </c>
    </row>
    <row r="85" spans="1:103" x14ac:dyDescent="0.25">
      <c r="A85" s="30">
        <v>1924.6038748774236</v>
      </c>
      <c r="E85"/>
      <c r="BU85" s="27" t="s">
        <v>8</v>
      </c>
      <c r="BV85" s="27" t="s">
        <v>7</v>
      </c>
      <c r="BW85" s="27" t="s">
        <v>8</v>
      </c>
      <c r="CS85" s="27" t="s">
        <v>8</v>
      </c>
    </row>
    <row r="86" spans="1:103" x14ac:dyDescent="0.25">
      <c r="A86" s="30">
        <v>1832.9560713118319</v>
      </c>
      <c r="E86"/>
      <c r="BU86" s="27" t="s">
        <v>8</v>
      </c>
      <c r="BV86" s="27" t="s">
        <v>7</v>
      </c>
      <c r="BW86" s="27" t="s">
        <v>8</v>
      </c>
      <c r="BX86" s="27" t="s">
        <v>7</v>
      </c>
      <c r="CS86" s="27" t="s">
        <v>8</v>
      </c>
      <c r="CT86" s="27" t="s">
        <v>7</v>
      </c>
    </row>
    <row r="87" spans="1:103" x14ac:dyDescent="0.25">
      <c r="A87" s="30">
        <v>1745.6724488684113</v>
      </c>
      <c r="E87"/>
      <c r="BU87" s="27" t="s">
        <v>8</v>
      </c>
      <c r="BV87" s="27" t="s">
        <v>7</v>
      </c>
      <c r="BW87" s="27" t="s">
        <v>8</v>
      </c>
      <c r="BX87" s="27" t="s">
        <v>7</v>
      </c>
      <c r="CA87" s="27" t="s">
        <v>8</v>
      </c>
      <c r="CS87" s="27" t="s">
        <v>8</v>
      </c>
      <c r="CT87" s="27" t="s">
        <v>7</v>
      </c>
    </row>
    <row r="88" spans="1:103" x14ac:dyDescent="0.25">
      <c r="A88" s="30">
        <v>1662.5451893984869</v>
      </c>
      <c r="E88"/>
      <c r="BU88" s="27" t="s">
        <v>8</v>
      </c>
      <c r="BV88" s="27" t="s">
        <v>7</v>
      </c>
      <c r="BW88" s="27" t="s">
        <v>8</v>
      </c>
      <c r="BX88" s="27" t="s">
        <v>7</v>
      </c>
      <c r="CA88" s="27" t="s">
        <v>8</v>
      </c>
      <c r="CB88" s="27" t="s">
        <v>7</v>
      </c>
      <c r="CS88" s="27" t="s">
        <v>8</v>
      </c>
      <c r="CT88" s="27" t="s">
        <v>7</v>
      </c>
      <c r="CU88" s="27" t="s">
        <v>8</v>
      </c>
    </row>
    <row r="89" spans="1:103" x14ac:dyDescent="0.25">
      <c r="A89" s="30">
        <v>1583.3763708557017</v>
      </c>
      <c r="E89"/>
      <c r="BU89" s="27" t="s">
        <v>8</v>
      </c>
      <c r="BV89" s="27" t="s">
        <v>7</v>
      </c>
      <c r="BW89" s="27" t="s">
        <v>8</v>
      </c>
      <c r="BX89" s="27" t="s">
        <v>7</v>
      </c>
      <c r="CA89" s="27" t="s">
        <v>8</v>
      </c>
      <c r="CB89" s="27" t="s">
        <v>7</v>
      </c>
      <c r="CS89" s="27" t="s">
        <v>8</v>
      </c>
      <c r="CT89" s="27" t="s">
        <v>7</v>
      </c>
      <c r="CU89" s="27" t="s">
        <v>8</v>
      </c>
      <c r="CV89" s="27" t="s">
        <v>7</v>
      </c>
    </row>
    <row r="90" spans="1:103" x14ac:dyDescent="0.25">
      <c r="A90" s="30">
        <v>1507.9774960530492</v>
      </c>
      <c r="E90"/>
      <c r="BU90" s="27" t="s">
        <v>8</v>
      </c>
      <c r="BV90" s="27" t="s">
        <v>7</v>
      </c>
      <c r="BW90" s="27" t="s">
        <v>8</v>
      </c>
      <c r="BX90" s="27" t="s">
        <v>7</v>
      </c>
      <c r="CA90" s="27" t="s">
        <v>8</v>
      </c>
      <c r="CB90" s="27" t="s">
        <v>7</v>
      </c>
      <c r="CS90" s="27" t="s">
        <v>8</v>
      </c>
      <c r="CT90" s="27" t="s">
        <v>7</v>
      </c>
      <c r="CU90" s="27" t="s">
        <v>8</v>
      </c>
      <c r="CV90" s="27" t="s">
        <v>7</v>
      </c>
    </row>
    <row r="91" spans="1:103" x14ac:dyDescent="0.25">
      <c r="A91" s="30">
        <v>1436.1690438600467</v>
      </c>
      <c r="E91"/>
      <c r="BU91" s="27" t="s">
        <v>8</v>
      </c>
      <c r="BV91" s="27" t="s">
        <v>7</v>
      </c>
      <c r="BX91" s="27" t="s">
        <v>7</v>
      </c>
      <c r="CA91" s="27" t="s">
        <v>8</v>
      </c>
      <c r="CB91" s="27" t="s">
        <v>7</v>
      </c>
      <c r="CS91" s="27" t="s">
        <v>8</v>
      </c>
      <c r="CT91" s="27" t="s">
        <v>7</v>
      </c>
      <c r="CU91" s="27" t="s">
        <v>8</v>
      </c>
      <c r="CV91" s="27" t="s">
        <v>7</v>
      </c>
    </row>
    <row r="92" spans="1:103" x14ac:dyDescent="0.25">
      <c r="A92" s="30">
        <v>1367.780041771473</v>
      </c>
      <c r="E92"/>
      <c r="BS92" s="27" t="s">
        <v>8</v>
      </c>
      <c r="BU92" s="27" t="s">
        <v>8</v>
      </c>
      <c r="BX92" s="27" t="s">
        <v>7</v>
      </c>
      <c r="BY92" s="27" t="s">
        <v>8</v>
      </c>
      <c r="CA92" s="27" t="s">
        <v>8</v>
      </c>
      <c r="CB92" s="27" t="s">
        <v>7</v>
      </c>
      <c r="CO92" s="27" t="s">
        <v>8</v>
      </c>
      <c r="CQ92" s="27" t="s">
        <v>8</v>
      </c>
      <c r="CS92" s="27" t="s">
        <v>8</v>
      </c>
      <c r="CT92" s="27" t="s">
        <v>7</v>
      </c>
      <c r="CV92" s="27" t="s">
        <v>7</v>
      </c>
    </row>
    <row r="93" spans="1:103" x14ac:dyDescent="0.25">
      <c r="A93" s="30">
        <v>1302.6476588299743</v>
      </c>
      <c r="E93"/>
      <c r="BS93" s="27" t="s">
        <v>8</v>
      </c>
      <c r="BT93" s="27" t="s">
        <v>7</v>
      </c>
      <c r="BU93" s="27" t="s">
        <v>8</v>
      </c>
      <c r="BX93" s="27" t="s">
        <v>7</v>
      </c>
      <c r="BY93" s="27" t="s">
        <v>8</v>
      </c>
      <c r="BZ93" s="27" t="s">
        <v>7</v>
      </c>
      <c r="CA93" s="27" t="s">
        <v>8</v>
      </c>
      <c r="CB93" s="27" t="s">
        <v>7</v>
      </c>
      <c r="CC93" s="27" t="s">
        <v>8</v>
      </c>
      <c r="CO93" s="27" t="s">
        <v>8</v>
      </c>
      <c r="CP93" s="27" t="s">
        <v>7</v>
      </c>
      <c r="CQ93" s="27" t="s">
        <v>8</v>
      </c>
      <c r="CR93" s="27" t="s">
        <v>7</v>
      </c>
      <c r="CS93" s="27" t="s">
        <v>8</v>
      </c>
      <c r="CV93" s="27" t="s">
        <v>7</v>
      </c>
      <c r="CW93" s="27" t="s">
        <v>8</v>
      </c>
    </row>
    <row r="94" spans="1:103" x14ac:dyDescent="0.25">
      <c r="A94" s="30">
        <v>1240.6168179333088</v>
      </c>
      <c r="E94"/>
      <c r="BS94" s="27" t="s">
        <v>8</v>
      </c>
      <c r="BT94" s="27" t="s">
        <v>7</v>
      </c>
      <c r="BU94" s="27" t="s">
        <v>8</v>
      </c>
      <c r="BX94" s="27" t="s">
        <v>7</v>
      </c>
      <c r="BY94" s="27" t="s">
        <v>8</v>
      </c>
      <c r="BZ94" s="27" t="s">
        <v>7</v>
      </c>
      <c r="CA94" s="27" t="s">
        <v>8</v>
      </c>
      <c r="CB94" s="27" t="s">
        <v>7</v>
      </c>
      <c r="CC94" s="27" t="s">
        <v>8</v>
      </c>
      <c r="CD94" s="27" t="s">
        <v>7</v>
      </c>
      <c r="CO94" s="27" t="s">
        <v>8</v>
      </c>
      <c r="CP94" s="27" t="s">
        <v>7</v>
      </c>
      <c r="CQ94" s="27" t="s">
        <v>8</v>
      </c>
      <c r="CR94" s="27" t="s">
        <v>7</v>
      </c>
      <c r="CS94" s="27" t="s">
        <v>8</v>
      </c>
      <c r="CV94" s="27" t="s">
        <v>7</v>
      </c>
      <c r="CW94" s="27" t="s">
        <v>8</v>
      </c>
      <c r="CX94" s="27" t="s">
        <v>7</v>
      </c>
    </row>
    <row r="95" spans="1:103" x14ac:dyDescent="0.25">
      <c r="A95" s="30">
        <v>1181.5398266031511</v>
      </c>
      <c r="E95"/>
      <c r="BS95" s="27" t="s">
        <v>8</v>
      </c>
      <c r="BT95" s="27" t="s">
        <v>7</v>
      </c>
      <c r="BU95" s="27" t="s">
        <v>8</v>
      </c>
      <c r="BX95" s="27" t="s">
        <v>7</v>
      </c>
      <c r="BZ95" s="27" t="s">
        <v>7</v>
      </c>
      <c r="CA95" s="27" t="s">
        <v>8</v>
      </c>
      <c r="CB95" s="27" t="s">
        <v>7</v>
      </c>
      <c r="CC95" s="27" t="s">
        <v>8</v>
      </c>
      <c r="CD95" s="27" t="s">
        <v>7</v>
      </c>
      <c r="CO95" s="27" t="s">
        <v>8</v>
      </c>
      <c r="CP95" s="27" t="s">
        <v>7</v>
      </c>
      <c r="CQ95" s="27" t="s">
        <v>8</v>
      </c>
      <c r="CR95" s="27" t="s">
        <v>7</v>
      </c>
      <c r="CS95" s="27" t="s">
        <v>8</v>
      </c>
      <c r="CV95" s="27" t="s">
        <v>7</v>
      </c>
      <c r="CW95" s="27" t="s">
        <v>8</v>
      </c>
      <c r="CX95" s="27" t="s">
        <v>7</v>
      </c>
      <c r="CY95" s="27" t="s">
        <v>8</v>
      </c>
    </row>
    <row r="96" spans="1:103" x14ac:dyDescent="0.25">
      <c r="A96" s="30">
        <v>1125.2760253363344</v>
      </c>
      <c r="C96" s="1" t="s">
        <v>15</v>
      </c>
      <c r="E96"/>
      <c r="BS96" s="27" t="s">
        <v>8</v>
      </c>
      <c r="BT96" s="27" t="s">
        <v>7</v>
      </c>
      <c r="BU96" s="27" t="s">
        <v>8</v>
      </c>
      <c r="BZ96" s="27" t="s">
        <v>7</v>
      </c>
      <c r="CA96" s="27" t="s">
        <v>8</v>
      </c>
      <c r="CB96" s="27" t="s">
        <v>7</v>
      </c>
      <c r="CC96" s="27" t="s">
        <v>8</v>
      </c>
      <c r="CD96" s="27" t="s">
        <v>7</v>
      </c>
      <c r="CE96" s="27" t="s">
        <v>8</v>
      </c>
      <c r="CO96" s="27" t="s">
        <v>8</v>
      </c>
      <c r="CP96" s="27" t="s">
        <v>7</v>
      </c>
      <c r="CQ96" s="27" t="s">
        <v>8</v>
      </c>
      <c r="CR96" s="27" t="s">
        <v>7</v>
      </c>
      <c r="CS96" s="27" t="s">
        <v>8</v>
      </c>
      <c r="CV96" s="27" t="s">
        <v>7</v>
      </c>
      <c r="CW96" s="27" t="s">
        <v>8</v>
      </c>
      <c r="CX96" s="27" t="s">
        <v>7</v>
      </c>
      <c r="CY96" s="27" t="s">
        <v>8</v>
      </c>
    </row>
    <row r="97" spans="1:103" x14ac:dyDescent="0.25">
      <c r="A97" s="30">
        <v>1071.6914527012709</v>
      </c>
      <c r="C97" s="7">
        <v>0.11686133436193799</v>
      </c>
      <c r="D97"/>
      <c r="E97"/>
      <c r="BS97" s="27" t="s">
        <v>8</v>
      </c>
      <c r="BT97" s="27" t="s">
        <v>7</v>
      </c>
      <c r="BU97" s="27" t="s">
        <v>8</v>
      </c>
      <c r="BZ97" s="27" t="s">
        <v>7</v>
      </c>
      <c r="CB97" s="27" t="s">
        <v>7</v>
      </c>
      <c r="CC97" s="27" t="s">
        <v>8</v>
      </c>
      <c r="CD97" s="27" t="s">
        <v>7</v>
      </c>
      <c r="CE97" s="27" t="s">
        <v>8</v>
      </c>
      <c r="CF97" s="27" t="s">
        <v>7</v>
      </c>
      <c r="CO97" s="27" t="s">
        <v>8</v>
      </c>
      <c r="CP97" s="27" t="s">
        <v>7</v>
      </c>
      <c r="CQ97" s="27" t="s">
        <v>8</v>
      </c>
      <c r="CR97" s="27" t="s">
        <v>7</v>
      </c>
      <c r="CS97" s="27" t="s">
        <v>8</v>
      </c>
      <c r="CV97" s="27" t="s">
        <v>7</v>
      </c>
      <c r="CW97" s="27" t="s">
        <v>8</v>
      </c>
      <c r="CX97" s="27" t="s">
        <v>7</v>
      </c>
      <c r="CY97" s="27" t="s">
        <v>8</v>
      </c>
    </row>
    <row r="98" spans="1:103" x14ac:dyDescent="0.25">
      <c r="A98" s="30">
        <v>1020.6585263821628</v>
      </c>
      <c r="E98"/>
      <c r="BS98" s="27" t="s">
        <v>8</v>
      </c>
      <c r="BT98" s="27" t="s">
        <v>7</v>
      </c>
      <c r="BU98" s="27" t="s">
        <v>8</v>
      </c>
      <c r="CB98" s="27" t="s">
        <v>7</v>
      </c>
      <c r="CD98" s="27" t="s">
        <v>7</v>
      </c>
      <c r="CE98" s="27" t="s">
        <v>8</v>
      </c>
      <c r="CF98" s="27" t="s">
        <v>7</v>
      </c>
      <c r="CO98" s="27" t="s">
        <v>8</v>
      </c>
      <c r="CP98" s="27" t="s">
        <v>7</v>
      </c>
      <c r="CR98" s="27" t="s">
        <v>7</v>
      </c>
      <c r="CS98" s="27" t="s">
        <v>8</v>
      </c>
      <c r="CV98" s="27" t="s">
        <v>7</v>
      </c>
      <c r="CW98" s="27" t="s">
        <v>8</v>
      </c>
      <c r="CX98" s="27" t="s">
        <v>7</v>
      </c>
    </row>
    <row r="99" spans="1:103" x14ac:dyDescent="0.25">
      <c r="A99" s="30">
        <v>972.05573941158355</v>
      </c>
      <c r="C99" s="1" t="s">
        <v>11</v>
      </c>
      <c r="D99" s="1" t="s">
        <v>12</v>
      </c>
      <c r="E99"/>
      <c r="BS99" s="27" t="s">
        <v>8</v>
      </c>
      <c r="BT99" s="27" t="s">
        <v>7</v>
      </c>
      <c r="CD99" s="27" t="s">
        <v>7</v>
      </c>
      <c r="CE99" s="27" t="s">
        <v>8</v>
      </c>
      <c r="CF99" s="27" t="s">
        <v>7</v>
      </c>
      <c r="CM99" s="27" t="s">
        <v>8</v>
      </c>
      <c r="CO99" s="27" t="s">
        <v>8</v>
      </c>
      <c r="CR99" s="27" t="s">
        <v>7</v>
      </c>
      <c r="CV99" s="27" t="s">
        <v>7</v>
      </c>
      <c r="CW99" s="27" t="s">
        <v>8</v>
      </c>
    </row>
    <row r="100" spans="1:103" x14ac:dyDescent="0.25">
      <c r="A100" s="30">
        <v>925.76737086817479</v>
      </c>
      <c r="C100"/>
      <c r="D100"/>
      <c r="E100"/>
      <c r="BS100" s="27" t="s">
        <v>8</v>
      </c>
      <c r="CD100" s="27" t="s">
        <v>7</v>
      </c>
      <c r="CE100" s="27" t="s">
        <v>8</v>
      </c>
      <c r="CF100" s="27" t="s">
        <v>7</v>
      </c>
      <c r="CM100" s="27" t="s">
        <v>8</v>
      </c>
      <c r="CN100" s="27" t="s">
        <v>7</v>
      </c>
      <c r="CO100" s="27" t="s">
        <v>8</v>
      </c>
      <c r="CV100" s="27" t="s">
        <v>7</v>
      </c>
      <c r="CW100" s="27" t="s">
        <v>8</v>
      </c>
    </row>
    <row r="101" spans="1:103" x14ac:dyDescent="0.25">
      <c r="A101" s="30">
        <v>881.68321035064264</v>
      </c>
      <c r="E101"/>
      <c r="BS101" s="27" t="s">
        <v>8</v>
      </c>
      <c r="CD101" s="27" t="s">
        <v>7</v>
      </c>
      <c r="CE101" s="27" t="s">
        <v>8</v>
      </c>
      <c r="CF101" s="27" t="s">
        <v>7</v>
      </c>
      <c r="CG101" s="27" t="s">
        <v>8</v>
      </c>
      <c r="CM101" s="27" t="s">
        <v>8</v>
      </c>
      <c r="CN101" s="27" t="s">
        <v>7</v>
      </c>
      <c r="CO101" s="27" t="s">
        <v>8</v>
      </c>
      <c r="CV101" s="27" t="s">
        <v>7</v>
      </c>
      <c r="CW101" s="27" t="s">
        <v>8</v>
      </c>
    </row>
    <row r="102" spans="1:103" x14ac:dyDescent="0.25">
      <c r="A102" s="30">
        <v>839.69829557204059</v>
      </c>
      <c r="C102" s="1" t="s">
        <v>13</v>
      </c>
      <c r="E102"/>
      <c r="BS102" s="27" t="s">
        <v>8</v>
      </c>
      <c r="CD102" s="27" t="s">
        <v>7</v>
      </c>
      <c r="CE102" s="27" t="s">
        <v>8</v>
      </c>
      <c r="CF102" s="27" t="s">
        <v>7</v>
      </c>
      <c r="CG102" s="27" t="s">
        <v>8</v>
      </c>
      <c r="CH102" s="27" t="s">
        <v>7</v>
      </c>
      <c r="CK102" s="27" t="s">
        <v>8</v>
      </c>
      <c r="CM102" s="27" t="s">
        <v>8</v>
      </c>
      <c r="CN102" s="27" t="s">
        <v>7</v>
      </c>
      <c r="CO102" s="27" t="s">
        <v>8</v>
      </c>
      <c r="CV102" s="27" t="s">
        <v>7</v>
      </c>
      <c r="CW102" s="27" t="s">
        <v>8</v>
      </c>
    </row>
    <row r="103" spans="1:103" x14ac:dyDescent="0.25">
      <c r="A103" s="30">
        <v>799.71266244956246</v>
      </c>
      <c r="C103" s="1">
        <f>C92</f>
        <v>0</v>
      </c>
      <c r="E103"/>
      <c r="BS103" s="27" t="s">
        <v>8</v>
      </c>
      <c r="CD103" s="27" t="s">
        <v>7</v>
      </c>
      <c r="CE103" s="27" t="s">
        <v>8</v>
      </c>
      <c r="CF103" s="27" t="s">
        <v>7</v>
      </c>
      <c r="CG103" s="27" t="s">
        <v>8</v>
      </c>
      <c r="CH103" s="27" t="s">
        <v>7</v>
      </c>
      <c r="CI103" s="27" t="s">
        <v>8</v>
      </c>
      <c r="CK103" s="27" t="s">
        <v>8</v>
      </c>
      <c r="CL103" s="27" t="s">
        <v>7</v>
      </c>
      <c r="CM103" s="27" t="s">
        <v>8</v>
      </c>
      <c r="CN103" s="27" t="s">
        <v>7</v>
      </c>
      <c r="CO103" s="27" t="s">
        <v>8</v>
      </c>
      <c r="CV103" s="27" t="s">
        <v>7</v>
      </c>
      <c r="CW103" s="27" t="s">
        <v>8</v>
      </c>
    </row>
    <row r="104" spans="1:103" x14ac:dyDescent="0.25">
      <c r="A104" s="30">
        <v>761.63110709482135</v>
      </c>
      <c r="C104"/>
      <c r="E104"/>
      <c r="BS104" s="27" t="s">
        <v>8</v>
      </c>
      <c r="CD104" s="27" t="s">
        <v>7</v>
      </c>
      <c r="CE104" s="27" t="s">
        <v>8</v>
      </c>
      <c r="CF104" s="27" t="s">
        <v>7</v>
      </c>
      <c r="CH104" s="27" t="s">
        <v>7</v>
      </c>
      <c r="CI104" s="27" t="s">
        <v>8</v>
      </c>
      <c r="CJ104" s="27" t="s">
        <v>7</v>
      </c>
      <c r="CK104" s="27" t="s">
        <v>8</v>
      </c>
      <c r="CL104" s="27" t="s">
        <v>7</v>
      </c>
      <c r="CM104" s="27" t="s">
        <v>8</v>
      </c>
      <c r="CN104" s="27" t="s">
        <v>7</v>
      </c>
      <c r="CO104" s="27" t="s">
        <v>8</v>
      </c>
      <c r="CV104" s="27" t="s">
        <v>7</v>
      </c>
    </row>
    <row r="105" spans="1:103" x14ac:dyDescent="0.25">
      <c r="A105" s="30">
        <v>725.36295913792503</v>
      </c>
      <c r="C105" s="1" t="s">
        <v>14</v>
      </c>
      <c r="E105"/>
      <c r="BS105" s="27" t="s">
        <v>8</v>
      </c>
      <c r="CD105" s="27" t="s">
        <v>7</v>
      </c>
      <c r="CE105" s="27" t="s">
        <v>8</v>
      </c>
      <c r="CH105" s="27" t="s">
        <v>7</v>
      </c>
      <c r="CI105" s="27" t="s">
        <v>8</v>
      </c>
      <c r="CJ105" s="27" t="s">
        <v>7</v>
      </c>
      <c r="CK105" s="27" t="s">
        <v>8</v>
      </c>
      <c r="CL105" s="27" t="s">
        <v>7</v>
      </c>
      <c r="CN105" s="27" t="s">
        <v>7</v>
      </c>
    </row>
    <row r="106" spans="1:103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  <c r="BS106" s="27" t="s">
        <v>8</v>
      </c>
      <c r="CD106" s="27" t="s">
        <v>7</v>
      </c>
      <c r="CE106" s="27" t="s">
        <v>8</v>
      </c>
      <c r="CH106" s="27" t="s">
        <v>7</v>
      </c>
      <c r="CI106" s="27" t="s">
        <v>8</v>
      </c>
      <c r="CJ106" s="27" t="s">
        <v>7</v>
      </c>
      <c r="CK106" s="27" t="s">
        <v>8</v>
      </c>
    </row>
    <row r="107" spans="1:103" x14ac:dyDescent="0.25">
      <c r="A107" s="30">
        <v>657.92558651965976</v>
      </c>
      <c r="E107"/>
      <c r="BS107" s="27" t="s">
        <v>8</v>
      </c>
      <c r="CD107" s="27" t="s">
        <v>7</v>
      </c>
      <c r="CE107" s="27" t="s">
        <v>8</v>
      </c>
      <c r="CH107" s="27" t="s">
        <v>7</v>
      </c>
      <c r="CI107" s="27" t="s">
        <v>8</v>
      </c>
      <c r="CJ107" s="27" t="s">
        <v>7</v>
      </c>
    </row>
    <row r="108" spans="1:103" x14ac:dyDescent="0.25">
      <c r="A108" s="30">
        <v>626.59579668539027</v>
      </c>
      <c r="E108"/>
      <c r="BS108" s="27" t="s">
        <v>8</v>
      </c>
      <c r="CD108" s="27" t="s">
        <v>7</v>
      </c>
      <c r="CH108" s="27" t="s">
        <v>7</v>
      </c>
      <c r="CI108" s="27" t="s">
        <v>8</v>
      </c>
    </row>
    <row r="109" spans="1:103" x14ac:dyDescent="0.25">
      <c r="A109" s="30">
        <v>596.75790160513361</v>
      </c>
      <c r="E109"/>
      <c r="BS109" s="27" t="s">
        <v>8</v>
      </c>
      <c r="CH109" s="27" t="s">
        <v>7</v>
      </c>
      <c r="CI109" s="27" t="s">
        <v>8</v>
      </c>
    </row>
    <row r="110" spans="1:103" x14ac:dyDescent="0.25">
      <c r="A110" s="30">
        <v>568.34085867155579</v>
      </c>
      <c r="E110"/>
      <c r="BS110" s="27" t="s">
        <v>8</v>
      </c>
      <c r="CH110" s="27" t="s">
        <v>7</v>
      </c>
    </row>
    <row r="111" spans="1:103" x14ac:dyDescent="0.25">
      <c r="A111" s="30">
        <v>541.27700825862451</v>
      </c>
      <c r="C111" s="1" t="str">
        <f>ADDRESS(C121-1,1,1,1)</f>
        <v>$A$94</v>
      </c>
      <c r="D111" s="1" t="str">
        <f>ADDRESS(C121-1,D121,1,1)</f>
        <v>$CY$94</v>
      </c>
      <c r="E111"/>
      <c r="BG111" s="27" t="s">
        <v>8</v>
      </c>
      <c r="BS111" s="27" t="s">
        <v>8</v>
      </c>
    </row>
    <row r="112" spans="1:103" x14ac:dyDescent="0.25">
      <c r="A112" s="30">
        <v>515.50191262726139</v>
      </c>
      <c r="C112" s="1" t="str">
        <f>ADDRESS(C121,1,1,1)</f>
        <v>$A$95</v>
      </c>
      <c r="D112" s="1" t="str">
        <f>ADDRESS(C121,D121-1,1,1)</f>
        <v>$CX$95</v>
      </c>
      <c r="E112"/>
      <c r="BG112" s="27" t="s">
        <v>8</v>
      </c>
      <c r="BH112" s="27" t="s">
        <v>7</v>
      </c>
      <c r="BS112" s="27" t="s">
        <v>8</v>
      </c>
    </row>
    <row r="113" spans="1:71" x14ac:dyDescent="0.25">
      <c r="A113" s="30">
        <v>490.95420250215363</v>
      </c>
      <c r="C113" s="1" t="str">
        <f>ADDRESS(C121+1,1,1,1)</f>
        <v>$A$96</v>
      </c>
      <c r="D113" s="1" t="str">
        <f>ADDRESS(C121-1,D121+1,1,1)</f>
        <v>$CZ$94</v>
      </c>
      <c r="BG113" s="27" t="s">
        <v>8</v>
      </c>
      <c r="BH113" s="27" t="s">
        <v>7</v>
      </c>
      <c r="BS113" s="27" t="s">
        <v>8</v>
      </c>
    </row>
    <row r="114" spans="1:71" x14ac:dyDescent="0.25">
      <c r="A114" s="30">
        <v>467.57543095443202</v>
      </c>
      <c r="C114" s="1" t="str">
        <f>ADDRESS(C121,D121,1,1)</f>
        <v>$CY$95</v>
      </c>
      <c r="D114" s="1" t="str">
        <f>ADDRESS(C121+1,D121+1,1,1)</f>
        <v>$CZ$96</v>
      </c>
      <c r="BG114" s="27" t="s">
        <v>8</v>
      </c>
      <c r="BH114" s="27" t="s">
        <v>7</v>
      </c>
      <c r="BI114" s="27" t="s">
        <v>8</v>
      </c>
      <c r="BS114" s="27" t="s">
        <v>8</v>
      </c>
    </row>
    <row r="115" spans="1:71" x14ac:dyDescent="0.25">
      <c r="A115" s="30">
        <v>445.30993424231622</v>
      </c>
      <c r="C115" s="1" t="str">
        <f>ADDRESS(C121+1,D121,1,1)</f>
        <v>$CY$96</v>
      </c>
      <c r="BC115" s="27" t="s">
        <v>8</v>
      </c>
      <c r="BG115" s="27" t="s">
        <v>8</v>
      </c>
      <c r="BH115" s="27" t="s">
        <v>7</v>
      </c>
      <c r="BI115" s="27" t="s">
        <v>8</v>
      </c>
      <c r="BJ115" s="27" t="s">
        <v>7</v>
      </c>
      <c r="BQ115" s="27" t="s">
        <v>8</v>
      </c>
      <c r="BS115" s="27" t="s">
        <v>8</v>
      </c>
    </row>
    <row r="116" spans="1:71" x14ac:dyDescent="0.25">
      <c r="A116" s="30">
        <v>424.10469927839637</v>
      </c>
      <c r="C116" s="1">
        <f>C117-1</f>
        <v>94</v>
      </c>
      <c r="BC116" s="27" t="s">
        <v>8</v>
      </c>
      <c r="BD116" s="27" t="s">
        <v>7</v>
      </c>
      <c r="BE116" s="27" t="s">
        <v>8</v>
      </c>
      <c r="BG116" s="27" t="s">
        <v>8</v>
      </c>
      <c r="BH116" s="27" t="s">
        <v>7</v>
      </c>
      <c r="BI116" s="27" t="s">
        <v>8</v>
      </c>
      <c r="BJ116" s="27" t="s">
        <v>7</v>
      </c>
      <c r="BQ116" s="27" t="s">
        <v>8</v>
      </c>
      <c r="BR116" s="27" t="s">
        <v>7</v>
      </c>
      <c r="BS116" s="27" t="s">
        <v>8</v>
      </c>
    </row>
    <row r="117" spans="1:71" x14ac:dyDescent="0.25">
      <c r="A117" s="30">
        <v>403.9092374079965</v>
      </c>
      <c r="C117" s="1">
        <f>C121</f>
        <v>95</v>
      </c>
      <c r="D117" s="1">
        <f>D121</f>
        <v>103</v>
      </c>
      <c r="BC117" s="27" t="s">
        <v>8</v>
      </c>
      <c r="BD117" s="27" t="s">
        <v>7</v>
      </c>
      <c r="BE117" s="27" t="s">
        <v>8</v>
      </c>
      <c r="BF117" s="27" t="s">
        <v>7</v>
      </c>
      <c r="BG117" s="27" t="s">
        <v>8</v>
      </c>
      <c r="BH117" s="27" t="s">
        <v>7</v>
      </c>
      <c r="BI117" s="27" t="s">
        <v>8</v>
      </c>
      <c r="BJ117" s="27" t="s">
        <v>7</v>
      </c>
      <c r="BQ117" s="27" t="s">
        <v>8</v>
      </c>
      <c r="BR117" s="27" t="s">
        <v>7</v>
      </c>
      <c r="BS117" s="27" t="s">
        <v>8</v>
      </c>
    </row>
    <row r="118" spans="1:71" x14ac:dyDescent="0.25">
      <c r="A118" s="30">
        <v>384.6754641980919</v>
      </c>
      <c r="C118" s="1">
        <f>C117+1</f>
        <v>96</v>
      </c>
      <c r="D118" s="1">
        <f>D117+1</f>
        <v>104</v>
      </c>
      <c r="BC118" s="27" t="s">
        <v>8</v>
      </c>
      <c r="BD118" s="27" t="s">
        <v>7</v>
      </c>
      <c r="BE118" s="27" t="s">
        <v>8</v>
      </c>
      <c r="BF118" s="27" t="s">
        <v>7</v>
      </c>
      <c r="BG118" s="27" t="s">
        <v>8</v>
      </c>
      <c r="BH118" s="27" t="s">
        <v>7</v>
      </c>
      <c r="BJ118" s="27" t="s">
        <v>7</v>
      </c>
      <c r="BK118" s="27" t="s">
        <v>8</v>
      </c>
      <c r="BQ118" s="27" t="s">
        <v>8</v>
      </c>
      <c r="BR118" s="27" t="s">
        <v>7</v>
      </c>
      <c r="BS118" s="27" t="s">
        <v>8</v>
      </c>
    </row>
    <row r="119" spans="1:71" x14ac:dyDescent="0.25">
      <c r="A119" s="30">
        <v>366.35758495056371</v>
      </c>
      <c r="BC119" s="27" t="s">
        <v>8</v>
      </c>
      <c r="BD119" s="27" t="s">
        <v>7</v>
      </c>
      <c r="BF119" s="27" t="s">
        <v>7</v>
      </c>
      <c r="BG119" s="27" t="s">
        <v>8</v>
      </c>
      <c r="BJ119" s="27" t="s">
        <v>7</v>
      </c>
      <c r="BK119" s="27" t="s">
        <v>8</v>
      </c>
      <c r="BL119" s="27" t="s">
        <v>7</v>
      </c>
      <c r="BO119" s="27" t="s">
        <v>8</v>
      </c>
      <c r="BQ119" s="27" t="s">
        <v>8</v>
      </c>
      <c r="BR119" s="27" t="s">
        <v>7</v>
      </c>
      <c r="BS119" s="27" t="s">
        <v>8</v>
      </c>
    </row>
    <row r="120" spans="1:71" x14ac:dyDescent="0.25">
      <c r="A120" s="30">
        <v>348.91198566720351</v>
      </c>
      <c r="C120" s="1" t="s">
        <v>9</v>
      </c>
      <c r="BC120" s="27" t="s">
        <v>8</v>
      </c>
      <c r="BF120" s="27" t="s">
        <v>7</v>
      </c>
      <c r="BG120" s="27" t="s">
        <v>8</v>
      </c>
      <c r="BJ120" s="27" t="s">
        <v>7</v>
      </c>
      <c r="BK120" s="27" t="s">
        <v>8</v>
      </c>
      <c r="BL120" s="27" t="s">
        <v>7</v>
      </c>
      <c r="BM120" s="27" t="s">
        <v>8</v>
      </c>
      <c r="BO120" s="27" t="s">
        <v>8</v>
      </c>
      <c r="BP120" s="27" t="s">
        <v>7</v>
      </c>
      <c r="BQ120" s="27" t="s">
        <v>8</v>
      </c>
      <c r="BR120" s="27" t="s">
        <v>7</v>
      </c>
      <c r="BS120" s="27" t="s">
        <v>8</v>
      </c>
    </row>
    <row r="121" spans="1:71" x14ac:dyDescent="0.25">
      <c r="A121" s="30">
        <v>332.29712920686046</v>
      </c>
      <c r="C121" s="18">
        <v>95</v>
      </c>
      <c r="D121" s="19">
        <v>103</v>
      </c>
      <c r="E121" s="19"/>
      <c r="BC121" s="27" t="s">
        <v>8</v>
      </c>
      <c r="BF121" s="27" t="s">
        <v>7</v>
      </c>
      <c r="BG121" s="27" t="s">
        <v>8</v>
      </c>
      <c r="BJ121" s="27" t="s">
        <v>7</v>
      </c>
      <c r="BK121" s="27" t="s">
        <v>8</v>
      </c>
      <c r="BL121" s="27" t="s">
        <v>7</v>
      </c>
      <c r="BM121" s="27" t="s">
        <v>8</v>
      </c>
      <c r="BN121" s="27" t="s">
        <v>7</v>
      </c>
      <c r="BO121" s="27" t="s">
        <v>8</v>
      </c>
      <c r="BP121" s="27" t="s">
        <v>7</v>
      </c>
      <c r="BQ121" s="27" t="s">
        <v>8</v>
      </c>
      <c r="BR121" s="27" t="s">
        <v>7</v>
      </c>
      <c r="BS121" s="27" t="s">
        <v>8</v>
      </c>
    </row>
    <row r="122" spans="1:71" x14ac:dyDescent="0.25">
      <c r="A122" s="30">
        <v>316.47345638748612</v>
      </c>
      <c r="C122" s="1" t="str">
        <f>INDEX(1:1048576,C117,D117)</f>
        <v>X</v>
      </c>
      <c r="BC122" s="27" t="s">
        <v>8</v>
      </c>
      <c r="BF122" s="27" t="s">
        <v>7</v>
      </c>
      <c r="BG122" s="27" t="s">
        <v>8</v>
      </c>
      <c r="BJ122" s="27" t="s">
        <v>7</v>
      </c>
      <c r="BK122" s="27" t="s">
        <v>8</v>
      </c>
      <c r="BL122" s="27" t="s">
        <v>7</v>
      </c>
      <c r="BM122" s="27" t="s">
        <v>8</v>
      </c>
      <c r="BN122" s="27" t="s">
        <v>7</v>
      </c>
      <c r="BO122" s="27" t="s">
        <v>8</v>
      </c>
      <c r="BP122" s="27" t="s">
        <v>7</v>
      </c>
      <c r="BR122" s="27" t="s">
        <v>7</v>
      </c>
    </row>
    <row r="123" spans="1:71" x14ac:dyDescent="0.25">
      <c r="A123" s="30">
        <v>301.40329179760585</v>
      </c>
      <c r="C123" s="1" t="str">
        <f>"R"&amp;C121</f>
        <v>R95</v>
      </c>
      <c r="D123" s="1" t="str">
        <f>"C"&amp;D121</f>
        <v>C103</v>
      </c>
      <c r="BA123" s="27" t="s">
        <v>8</v>
      </c>
      <c r="BC123" s="27" t="s">
        <v>8</v>
      </c>
      <c r="BF123" s="27" t="s">
        <v>7</v>
      </c>
      <c r="BG123" s="27" t="s">
        <v>8</v>
      </c>
      <c r="BJ123" s="27" t="s">
        <v>7</v>
      </c>
      <c r="BL123" s="27" t="s">
        <v>7</v>
      </c>
      <c r="BM123" s="27" t="s">
        <v>8</v>
      </c>
      <c r="BN123" s="27" t="s">
        <v>7</v>
      </c>
    </row>
    <row r="124" spans="1:71" x14ac:dyDescent="0.25">
      <c r="A124" s="30">
        <v>287.05075409295796</v>
      </c>
      <c r="C124" s="1">
        <f>SUM(C130:D130)</f>
        <v>0</v>
      </c>
      <c r="D124" s="1">
        <f>IF(C124=0,0,1)</f>
        <v>0</v>
      </c>
      <c r="BA124" s="27" t="s">
        <v>8</v>
      </c>
      <c r="BB124" s="27" t="s">
        <v>7</v>
      </c>
      <c r="BC124" s="27" t="s">
        <v>8</v>
      </c>
      <c r="BF124" s="27" t="s">
        <v>7</v>
      </c>
      <c r="BG124" s="27" t="s">
        <v>8</v>
      </c>
      <c r="BL124" s="27" t="s">
        <v>7</v>
      </c>
      <c r="BM124" s="27" t="s">
        <v>8</v>
      </c>
    </row>
    <row r="125" spans="1:71" x14ac:dyDescent="0.25">
      <c r="A125" s="30">
        <v>273.38167056472184</v>
      </c>
      <c r="BA125" s="27" t="s">
        <v>8</v>
      </c>
      <c r="BB125" s="27" t="s">
        <v>7</v>
      </c>
      <c r="BC125" s="27" t="s">
        <v>8</v>
      </c>
      <c r="BF125" s="27" t="s">
        <v>7</v>
      </c>
      <c r="BG125" s="27" t="s">
        <v>8</v>
      </c>
      <c r="BL125" s="27" t="s">
        <v>7</v>
      </c>
    </row>
    <row r="126" spans="1:71" x14ac:dyDescent="0.25">
      <c r="A126" s="30">
        <v>260.36349577592557</v>
      </c>
      <c r="C126" s="1" t="s">
        <v>10</v>
      </c>
      <c r="BA126" s="27" t="s">
        <v>8</v>
      </c>
      <c r="BB126" s="27" t="s">
        <v>7</v>
      </c>
      <c r="BC126" s="27" t="s">
        <v>8</v>
      </c>
      <c r="BF126" s="27" t="s">
        <v>7</v>
      </c>
    </row>
    <row r="127" spans="1:71" x14ac:dyDescent="0.25">
      <c r="A127" s="30">
        <v>247.96523407231004</v>
      </c>
      <c r="C127" s="30">
        <v>1181.5398266031511</v>
      </c>
      <c r="D127"/>
      <c r="BA127" s="27" t="s">
        <v>8</v>
      </c>
      <c r="BB127" s="27" t="s">
        <v>7</v>
      </c>
      <c r="BC127" s="27" t="s">
        <v>8</v>
      </c>
    </row>
    <row r="128" spans="1:71" x14ac:dyDescent="0.25">
      <c r="A128" s="30">
        <v>236.15736578315241</v>
      </c>
      <c r="AO128" s="27" t="s">
        <v>8</v>
      </c>
      <c r="AY128" s="27" t="s">
        <v>8</v>
      </c>
      <c r="BA128" s="27" t="s">
        <v>8</v>
      </c>
      <c r="BB128" s="27" t="s">
        <v>7</v>
      </c>
      <c r="BG128" s="32"/>
    </row>
    <row r="129" spans="1:58" x14ac:dyDescent="0.25">
      <c r="A129" s="30">
        <v>224.91177693633563</v>
      </c>
      <c r="C129" s="1" t="s">
        <v>11</v>
      </c>
      <c r="D129" s="1" t="s">
        <v>12</v>
      </c>
      <c r="E129"/>
      <c r="AO129" s="27" t="s">
        <v>8</v>
      </c>
      <c r="AP129" s="27" t="s">
        <v>7</v>
      </c>
      <c r="AW129" s="27" t="s">
        <v>8</v>
      </c>
      <c r="AY129" s="27" t="s">
        <v>8</v>
      </c>
      <c r="AZ129" s="27" t="s">
        <v>7</v>
      </c>
      <c r="BA129" s="27" t="s">
        <v>8</v>
      </c>
      <c r="BF129" s="32"/>
    </row>
    <row r="130" spans="1:58" x14ac:dyDescent="0.25">
      <c r="A130" s="30">
        <v>214.20169232031964</v>
      </c>
      <c r="C130" s="6"/>
      <c r="D130" s="6"/>
      <c r="E130"/>
      <c r="AO130" s="27" t="s">
        <v>8</v>
      </c>
      <c r="AP130" s="27" t="s">
        <v>7</v>
      </c>
      <c r="AW130" s="27" t="s">
        <v>8</v>
      </c>
      <c r="AX130" s="27" t="s">
        <v>7</v>
      </c>
      <c r="AY130" s="27" t="s">
        <v>8</v>
      </c>
      <c r="AZ130" s="27" t="s">
        <v>7</v>
      </c>
      <c r="BA130" s="27" t="s">
        <v>8</v>
      </c>
      <c r="BE130" s="32"/>
    </row>
    <row r="131" spans="1:58" x14ac:dyDescent="0.25">
      <c r="A131" s="30">
        <v>204.00161173363773</v>
      </c>
      <c r="E131"/>
      <c r="AO131" s="27" t="s">
        <v>8</v>
      </c>
      <c r="AP131" s="27" t="s">
        <v>7</v>
      </c>
      <c r="AW131" s="27" t="s">
        <v>8</v>
      </c>
      <c r="AX131" s="27" t="s">
        <v>7</v>
      </c>
      <c r="AY131" s="27" t="s">
        <v>8</v>
      </c>
      <c r="AZ131" s="27" t="s">
        <v>7</v>
      </c>
      <c r="BA131" s="27" t="s">
        <v>8</v>
      </c>
      <c r="BD131" s="32"/>
    </row>
    <row r="132" spans="1:58" x14ac:dyDescent="0.25">
      <c r="A132" s="30">
        <v>194.28724927013116</v>
      </c>
      <c r="C132" s="1" t="s">
        <v>13</v>
      </c>
      <c r="E132"/>
      <c r="AO132" s="27" t="s">
        <v>8</v>
      </c>
      <c r="AP132" s="27" t="s">
        <v>7</v>
      </c>
      <c r="AW132" s="27" t="s">
        <v>8</v>
      </c>
      <c r="AX132" s="27" t="s">
        <v>7</v>
      </c>
      <c r="AY132" s="27" t="s">
        <v>8</v>
      </c>
      <c r="AZ132" s="27" t="s">
        <v>7</v>
      </c>
      <c r="BC132" s="32"/>
    </row>
    <row r="133" spans="1:58" x14ac:dyDescent="0.25">
      <c r="A133" s="30">
        <v>185.03547549536299</v>
      </c>
      <c r="C133" s="1" t="str">
        <f>C122</f>
        <v>X</v>
      </c>
      <c r="E133"/>
      <c r="AO133" s="27" t="s">
        <v>8</v>
      </c>
      <c r="AP133" s="27" t="s">
        <v>7</v>
      </c>
      <c r="AW133" s="27" t="s">
        <v>8</v>
      </c>
      <c r="AX133" s="27" t="s">
        <v>7</v>
      </c>
      <c r="AY133" s="27" t="s">
        <v>8</v>
      </c>
      <c r="BB133" s="32"/>
    </row>
    <row r="134" spans="1:58" x14ac:dyDescent="0.25">
      <c r="A134" s="30">
        <v>176.22426237653616</v>
      </c>
      <c r="C134"/>
      <c r="E134"/>
      <c r="AO134" s="27" t="s">
        <v>8</v>
      </c>
      <c r="AP134" s="27" t="s">
        <v>7</v>
      </c>
      <c r="AW134" s="27" t="s">
        <v>8</v>
      </c>
      <c r="AX134" s="27" t="s">
        <v>7</v>
      </c>
      <c r="AY134" s="27" t="s">
        <v>8</v>
      </c>
      <c r="BA134" s="32"/>
    </row>
    <row r="135" spans="1:58" x14ac:dyDescent="0.25">
      <c r="A135" s="30">
        <v>167.83263083479633</v>
      </c>
      <c r="C135" s="1" t="s">
        <v>14</v>
      </c>
      <c r="E135"/>
      <c r="AO135" s="27" t="s">
        <v>8</v>
      </c>
      <c r="AP135" s="27" t="s">
        <v>7</v>
      </c>
      <c r="AU135" s="27" t="s">
        <v>8</v>
      </c>
      <c r="AW135" s="27" t="s">
        <v>8</v>
      </c>
      <c r="AX135" s="27" t="s">
        <v>7</v>
      </c>
      <c r="AZ135" s="32"/>
    </row>
    <row r="136" spans="1:58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  <c r="AO136" s="27" t="s">
        <v>8</v>
      </c>
      <c r="AP136" s="27" t="s">
        <v>7</v>
      </c>
      <c r="AQ136" s="27" t="s">
        <v>8</v>
      </c>
      <c r="AS136" s="27" t="s">
        <v>8</v>
      </c>
      <c r="AU136" s="27" t="s">
        <v>8</v>
      </c>
      <c r="AV136" s="27" t="s">
        <v>7</v>
      </c>
      <c r="AW136" s="27" t="s">
        <v>8</v>
      </c>
      <c r="AY136" s="32"/>
    </row>
    <row r="137" spans="1:58" x14ac:dyDescent="0.25">
      <c r="A137" s="30">
        <v>152.22914361432771</v>
      </c>
      <c r="E137"/>
      <c r="AO137" s="27" t="s">
        <v>8</v>
      </c>
      <c r="AP137" s="27" t="s">
        <v>7</v>
      </c>
      <c r="AQ137" s="27" t="s">
        <v>8</v>
      </c>
      <c r="AR137" s="27" t="s">
        <v>7</v>
      </c>
      <c r="AS137" s="27" t="s">
        <v>8</v>
      </c>
      <c r="AT137" s="27" t="s">
        <v>7</v>
      </c>
      <c r="AU137" s="27" t="s">
        <v>8</v>
      </c>
      <c r="AV137" s="27" t="s">
        <v>7</v>
      </c>
      <c r="AW137" s="27" t="s">
        <v>8</v>
      </c>
      <c r="AX137" s="32"/>
    </row>
    <row r="138" spans="1:58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  <c r="AO138" s="27" t="s">
        <v>8</v>
      </c>
      <c r="AP138" s="27" t="s">
        <v>7</v>
      </c>
      <c r="AQ138" s="27" t="s">
        <v>8</v>
      </c>
      <c r="AR138" s="27" t="s">
        <v>7</v>
      </c>
      <c r="AS138" s="27" t="s">
        <v>8</v>
      </c>
      <c r="AT138" s="27" t="s">
        <v>7</v>
      </c>
      <c r="AU138" s="27" t="s">
        <v>8</v>
      </c>
      <c r="AV138" s="27" t="s">
        <v>7</v>
      </c>
      <c r="AW138" s="32" t="s">
        <v>8</v>
      </c>
    </row>
    <row r="139" spans="1:58" x14ac:dyDescent="0.25">
      <c r="A139" s="30">
        <v>138.07632073861922</v>
      </c>
      <c r="E139"/>
      <c r="AO139" s="27" t="s">
        <v>8</v>
      </c>
      <c r="AP139" s="27" t="s">
        <v>7</v>
      </c>
      <c r="AQ139" s="27" t="s">
        <v>8</v>
      </c>
      <c r="AR139" s="27" t="s">
        <v>7</v>
      </c>
      <c r="AS139" s="27" t="s">
        <v>8</v>
      </c>
      <c r="AT139" s="27" t="s">
        <v>7</v>
      </c>
      <c r="AU139" s="27" t="s">
        <v>8</v>
      </c>
      <c r="AV139" s="32" t="s">
        <v>7</v>
      </c>
    </row>
    <row r="140" spans="1:58" x14ac:dyDescent="0.25">
      <c r="A140" s="30">
        <v>131.50125784630401</v>
      </c>
      <c r="C140" s="1">
        <v>0</v>
      </c>
      <c r="E140"/>
      <c r="AO140" s="27" t="s">
        <v>8</v>
      </c>
      <c r="AP140" s="27" t="s">
        <v>7</v>
      </c>
      <c r="AR140" s="27" t="s">
        <v>7</v>
      </c>
      <c r="AS140" s="27" t="s">
        <v>8</v>
      </c>
      <c r="AT140" s="27" t="s">
        <v>7</v>
      </c>
    </row>
    <row r="141" spans="1:58" x14ac:dyDescent="0.25">
      <c r="A141" s="30">
        <v>125.23929318695619</v>
      </c>
      <c r="C141" s="1">
        <v>1</v>
      </c>
      <c r="E141"/>
      <c r="AO141" s="27" t="s">
        <v>8</v>
      </c>
      <c r="AR141" s="27" t="s">
        <v>7</v>
      </c>
    </row>
    <row r="142" spans="1:58" x14ac:dyDescent="0.25">
      <c r="A142" s="30">
        <v>119.27551732091065</v>
      </c>
      <c r="C142" s="1">
        <v>2</v>
      </c>
      <c r="E142"/>
      <c r="AO142" s="27" t="s">
        <v>8</v>
      </c>
    </row>
    <row r="143" spans="1:58" x14ac:dyDescent="0.25">
      <c r="A143" s="30">
        <v>113.59573078181967</v>
      </c>
      <c r="C143" s="1">
        <v>3</v>
      </c>
      <c r="E143"/>
      <c r="AO143" s="27" t="s">
        <v>8</v>
      </c>
    </row>
    <row r="144" spans="1:58" x14ac:dyDescent="0.25">
      <c r="A144" s="30">
        <v>108.18641026839968</v>
      </c>
      <c r="C144" s="1">
        <v>4</v>
      </c>
      <c r="E144"/>
      <c r="AO144" s="27" t="s">
        <v>8</v>
      </c>
    </row>
    <row r="145" spans="1:41" x14ac:dyDescent="0.25">
      <c r="A145" s="30">
        <v>103.03467644609493</v>
      </c>
      <c r="E145"/>
      <c r="AO145" s="27" t="s">
        <v>8</v>
      </c>
    </row>
    <row r="146" spans="1:41" x14ac:dyDescent="0.25">
      <c r="A146" s="30">
        <v>98.128263281995174</v>
      </c>
      <c r="E146"/>
      <c r="AO146" s="27" t="s">
        <v>8</v>
      </c>
    </row>
    <row r="147" spans="1:41" x14ac:dyDescent="0.25">
      <c r="A147" s="30">
        <v>93.455488839995397</v>
      </c>
      <c r="E147"/>
      <c r="AO147" s="27" t="s">
        <v>8</v>
      </c>
    </row>
    <row r="148" spans="1:41" x14ac:dyDescent="0.25">
      <c r="A148" s="30">
        <v>89.005227466662276</v>
      </c>
      <c r="E148"/>
      <c r="AO148" s="27" t="s">
        <v>8</v>
      </c>
    </row>
    <row r="149" spans="1:41" x14ac:dyDescent="0.25">
      <c r="A149" s="30">
        <v>84.766883301583121</v>
      </c>
      <c r="E149"/>
      <c r="AO149" s="27" t="s">
        <v>8</v>
      </c>
    </row>
    <row r="150" spans="1:41" x14ac:dyDescent="0.25">
      <c r="A150" s="30">
        <v>80.730365049126775</v>
      </c>
      <c r="E150"/>
      <c r="AO150" s="27" t="s">
        <v>8</v>
      </c>
    </row>
    <row r="151" spans="1:41" x14ac:dyDescent="0.25">
      <c r="A151" s="30">
        <v>76.886061951549308</v>
      </c>
      <c r="E151"/>
      <c r="AO151" s="27" t="s">
        <v>8</v>
      </c>
    </row>
    <row r="152" spans="1:41" x14ac:dyDescent="0.25">
      <c r="A152" s="30">
        <v>73.22482090623744</v>
      </c>
      <c r="E152"/>
      <c r="AO152" s="27" t="s">
        <v>8</v>
      </c>
    </row>
    <row r="153" spans="1:41" x14ac:dyDescent="0.25">
      <c r="A153" s="30">
        <v>69.737924672607079</v>
      </c>
      <c r="C153" s="7"/>
      <c r="D153"/>
      <c r="E153"/>
      <c r="AO153" s="27" t="s">
        <v>8</v>
      </c>
    </row>
    <row r="154" spans="1:41" x14ac:dyDescent="0.25">
      <c r="A154" s="30">
        <v>66.417071116768639</v>
      </c>
      <c r="E154"/>
      <c r="AO154" s="27" t="s">
        <v>8</v>
      </c>
    </row>
    <row r="155" spans="1:41" x14ac:dyDescent="0.25">
      <c r="A155" s="30">
        <v>63.254353444541557</v>
      </c>
      <c r="E155"/>
      <c r="AO155" s="27" t="s">
        <v>8</v>
      </c>
    </row>
    <row r="156" spans="1:41" x14ac:dyDescent="0.25">
      <c r="A156" s="30">
        <v>60.242241375753864</v>
      </c>
      <c r="C156"/>
      <c r="D156"/>
      <c r="E156"/>
      <c r="AO156" s="27" t="s">
        <v>8</v>
      </c>
    </row>
    <row r="157" spans="1:41" x14ac:dyDescent="0.25">
      <c r="A157" s="30">
        <v>57.373563215003678</v>
      </c>
      <c r="E157"/>
      <c r="AO157" s="27" t="s">
        <v>8</v>
      </c>
    </row>
    <row r="158" spans="1:41" x14ac:dyDescent="0.25">
      <c r="A158" s="30">
        <v>54.641488776193974</v>
      </c>
      <c r="E158"/>
      <c r="AO158" s="27" t="s">
        <v>8</v>
      </c>
    </row>
    <row r="159" spans="1:41" x14ac:dyDescent="0.25">
      <c r="A159" s="30">
        <v>52.039513120184736</v>
      </c>
      <c r="E159"/>
      <c r="AO159" s="27" t="s">
        <v>8</v>
      </c>
    </row>
    <row r="160" spans="1:41" x14ac:dyDescent="0.25">
      <c r="A160" s="30">
        <v>49.561441066842605</v>
      </c>
      <c r="C160"/>
      <c r="E160"/>
      <c r="AO160" s="27" t="s">
        <v>8</v>
      </c>
    </row>
    <row r="161" spans="1:41" x14ac:dyDescent="0.25">
      <c r="A161" s="30">
        <v>47.201372444612005</v>
      </c>
      <c r="E161"/>
      <c r="AO161" s="27" t="s">
        <v>8</v>
      </c>
    </row>
    <row r="162" spans="1:41" x14ac:dyDescent="0.25">
      <c r="A162" s="30">
        <v>44.95368804248762</v>
      </c>
      <c r="E162"/>
      <c r="AO162" s="27" t="s">
        <v>8</v>
      </c>
    </row>
    <row r="163" spans="1:41" x14ac:dyDescent="0.25">
      <c r="A163" s="30">
        <v>42.81303623094059</v>
      </c>
      <c r="E163"/>
      <c r="AO163" s="27" t="s">
        <v>8</v>
      </c>
    </row>
    <row r="164" spans="1:41" x14ac:dyDescent="0.25">
      <c r="A164" s="30">
        <v>40.774320219943419</v>
      </c>
      <c r="E164"/>
      <c r="AO164" s="27" t="s">
        <v>8</v>
      </c>
    </row>
    <row r="165" spans="1:41" x14ac:dyDescent="0.25">
      <c r="A165" s="30">
        <v>38.832685923755633</v>
      </c>
      <c r="E165"/>
      <c r="AO165" s="27" t="s">
        <v>8</v>
      </c>
    </row>
    <row r="166" spans="1:41" x14ac:dyDescent="0.25">
      <c r="A166" s="30">
        <v>36.983510403576794</v>
      </c>
      <c r="E166"/>
      <c r="AO166" s="27" t="s">
        <v>8</v>
      </c>
    </row>
    <row r="167" spans="1:41" x14ac:dyDescent="0.25">
      <c r="A167" s="30">
        <v>35.222390860549325</v>
      </c>
      <c r="E167"/>
      <c r="AO167" s="27" t="s">
        <v>8</v>
      </c>
    </row>
    <row r="168" spans="1:41" x14ac:dyDescent="0.25">
      <c r="A168" s="30">
        <v>33.545134152904119</v>
      </c>
      <c r="E168"/>
      <c r="AO168" s="27" t="s">
        <v>8</v>
      </c>
    </row>
    <row r="169" spans="1:41" x14ac:dyDescent="0.25">
      <c r="A169" s="30">
        <v>31.947746812289637</v>
      </c>
      <c r="E169"/>
      <c r="AO169" s="27" t="s">
        <v>8</v>
      </c>
    </row>
    <row r="170" spans="1:41" x14ac:dyDescent="0.25">
      <c r="A170" s="30">
        <v>30.426425535513939</v>
      </c>
      <c r="E170"/>
      <c r="AO170" s="27" t="s">
        <v>8</v>
      </c>
    </row>
    <row r="171" spans="1:41" x14ac:dyDescent="0.25">
      <c r="A171" s="30">
        <v>28.977548129060892</v>
      </c>
      <c r="E171"/>
      <c r="AO171" s="27" t="s">
        <v>8</v>
      </c>
    </row>
    <row r="172" spans="1:41" x14ac:dyDescent="0.25">
      <c r="A172" s="30">
        <v>27.597664884819896</v>
      </c>
      <c r="E172"/>
      <c r="AO172" s="27" t="s">
        <v>8</v>
      </c>
    </row>
    <row r="173" spans="1:41" x14ac:dyDescent="0.25">
      <c r="A173" s="30">
        <v>26.283490366495137</v>
      </c>
      <c r="E173"/>
      <c r="AO173" s="27" t="s">
        <v>8</v>
      </c>
    </row>
    <row r="174" spans="1:41" x14ac:dyDescent="0.25">
      <c r="A174" s="30">
        <v>25.031895587138223</v>
      </c>
      <c r="E174"/>
      <c r="AO174" s="27" t="s">
        <v>8</v>
      </c>
    </row>
    <row r="175" spans="1:41" x14ac:dyDescent="0.25">
      <c r="A175" s="30">
        <v>23.839900559179259</v>
      </c>
      <c r="E175"/>
      <c r="AO175" s="27" t="s">
        <v>8</v>
      </c>
    </row>
    <row r="176" spans="1:41" x14ac:dyDescent="0.25">
      <c r="A176" s="30">
        <v>22.704667199218342</v>
      </c>
      <c r="E176"/>
      <c r="AO176" s="27" t="s">
        <v>8</v>
      </c>
    </row>
    <row r="177" spans="1:41" x14ac:dyDescent="0.25">
      <c r="A177" s="30">
        <v>21.623492570684135</v>
      </c>
      <c r="E177"/>
      <c r="AO177" s="27" t="s">
        <v>8</v>
      </c>
    </row>
    <row r="178" spans="1:41" x14ac:dyDescent="0.25">
      <c r="A178" s="30">
        <v>20.593802448270605</v>
      </c>
      <c r="C178" s="7"/>
      <c r="D178"/>
      <c r="E178"/>
      <c r="AO178" s="27" t="s">
        <v>8</v>
      </c>
    </row>
    <row r="179" spans="1:41" x14ac:dyDescent="0.25">
      <c r="A179" s="30">
        <v>19.613145188829147</v>
      </c>
      <c r="E179"/>
      <c r="AO179" s="27" t="s">
        <v>8</v>
      </c>
    </row>
    <row r="180" spans="1:41" x14ac:dyDescent="0.25">
      <c r="A180" s="30">
        <v>18.679185894122998</v>
      </c>
      <c r="E180"/>
      <c r="AO180" s="27" t="s">
        <v>8</v>
      </c>
    </row>
    <row r="181" spans="1:41" x14ac:dyDescent="0.25">
      <c r="A181" s="30">
        <v>17.78970085154571</v>
      </c>
      <c r="C181"/>
      <c r="D181"/>
      <c r="E181"/>
      <c r="AO181" s="27" t="s">
        <v>8</v>
      </c>
    </row>
    <row r="182" spans="1:41" x14ac:dyDescent="0.25">
      <c r="A182" s="30">
        <v>16.942572239567344</v>
      </c>
      <c r="E182"/>
      <c r="AO182" s="27" t="s">
        <v>8</v>
      </c>
    </row>
    <row r="183" spans="1:41" x14ac:dyDescent="0.25">
      <c r="A183" s="30">
        <v>16.135783085302233</v>
      </c>
      <c r="E183"/>
      <c r="AO183" s="27" t="s">
        <v>8</v>
      </c>
    </row>
    <row r="184" spans="1:41" x14ac:dyDescent="0.25">
      <c r="A184" s="30">
        <v>15.367412462192602</v>
      </c>
      <c r="E184"/>
      <c r="AO184" s="27" t="s">
        <v>8</v>
      </c>
    </row>
    <row r="185" spans="1:41" x14ac:dyDescent="0.25">
      <c r="A185" s="30">
        <v>14.635630916373906</v>
      </c>
      <c r="C185"/>
      <c r="E185"/>
      <c r="AO185" s="27" t="s">
        <v>8</v>
      </c>
    </row>
    <row r="186" spans="1:41" x14ac:dyDescent="0.25">
      <c r="A186" s="30">
        <v>13.938696110832291</v>
      </c>
      <c r="E186"/>
      <c r="AO186" s="27" t="s">
        <v>8</v>
      </c>
    </row>
    <row r="187" spans="1:41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AO187" s="27" t="s">
        <v>8</v>
      </c>
    </row>
    <row r="188" spans="1:41" x14ac:dyDescent="0.25">
      <c r="A188" s="30">
        <v>12.64280826379346</v>
      </c>
      <c r="E188"/>
      <c r="AO188" s="27" t="s">
        <v>8</v>
      </c>
    </row>
    <row r="189" spans="1:41" x14ac:dyDescent="0.25">
      <c r="A189" s="30">
        <v>12.04076977504139</v>
      </c>
      <c r="E189"/>
      <c r="AO189" s="27" t="s">
        <v>8</v>
      </c>
    </row>
    <row r="190" spans="1:41" x14ac:dyDescent="0.25">
      <c r="A190" s="30">
        <v>11.467399785753704</v>
      </c>
      <c r="E190"/>
      <c r="AO190" s="27" t="s">
        <v>8</v>
      </c>
    </row>
    <row r="191" spans="1:41" x14ac:dyDescent="0.25">
      <c r="A191" s="30">
        <v>10.921333129289241</v>
      </c>
      <c r="E191"/>
      <c r="AO191" s="27" t="s">
        <v>8</v>
      </c>
    </row>
    <row r="192" spans="1:41" x14ac:dyDescent="0.25">
      <c r="A192" s="30">
        <v>10.401269646942135</v>
      </c>
      <c r="E192"/>
      <c r="AO192" s="27" t="s">
        <v>8</v>
      </c>
    </row>
    <row r="193" spans="1:41" x14ac:dyDescent="0.25">
      <c r="A193" s="30">
        <v>9.9059710923258422</v>
      </c>
      <c r="E193"/>
      <c r="AO193" s="27" t="s">
        <v>8</v>
      </c>
    </row>
    <row r="194" spans="1:41" x14ac:dyDescent="0.25">
      <c r="A194" s="30">
        <v>9.4342581831674686</v>
      </c>
      <c r="E194"/>
      <c r="AO194" s="27" t="s">
        <v>8</v>
      </c>
    </row>
    <row r="195" spans="1:41" x14ac:dyDescent="0.25">
      <c r="A195" s="30">
        <v>8.9850077934928265</v>
      </c>
      <c r="E195"/>
      <c r="AO195" s="27" t="s">
        <v>8</v>
      </c>
    </row>
    <row r="196" spans="1:41" x14ac:dyDescent="0.25">
      <c r="A196" s="30">
        <v>8.5571502795169767</v>
      </c>
      <c r="E196"/>
      <c r="AO196" s="27" t="s">
        <v>8</v>
      </c>
    </row>
    <row r="197" spans="1:41" x14ac:dyDescent="0.25">
      <c r="A197" s="30">
        <v>8.1496669328733109</v>
      </c>
      <c r="E197"/>
      <c r="AO197" s="27" t="s">
        <v>8</v>
      </c>
    </row>
    <row r="198" spans="1:41" x14ac:dyDescent="0.25">
      <c r="A198" s="30">
        <v>7.7615875551174378</v>
      </c>
      <c r="E198"/>
      <c r="AO198" s="27" t="s">
        <v>8</v>
      </c>
    </row>
    <row r="199" spans="1:41" x14ac:dyDescent="0.25">
      <c r="A199" s="30">
        <v>7.3919881477308929</v>
      </c>
      <c r="E199"/>
      <c r="AO199" s="27" t="s">
        <v>8</v>
      </c>
    </row>
    <row r="200" spans="1:41" x14ac:dyDescent="0.25">
      <c r="A200" s="30">
        <v>7.0399887121246598</v>
      </c>
      <c r="E200"/>
      <c r="AO200" s="27" t="s">
        <v>8</v>
      </c>
    </row>
    <row r="201" spans="1:41" x14ac:dyDescent="0.25">
      <c r="A201" s="30">
        <v>6.7047511544044376</v>
      </c>
      <c r="E201"/>
      <c r="AO201" s="27" t="s">
        <v>8</v>
      </c>
    </row>
    <row r="202" spans="1:41" x14ac:dyDescent="0.25">
      <c r="A202" s="30">
        <v>6.3854772899089882</v>
      </c>
      <c r="E202"/>
      <c r="AO202" s="27" t="s">
        <v>8</v>
      </c>
    </row>
    <row r="203" spans="1:41" x14ac:dyDescent="0.25">
      <c r="A203" s="30">
        <v>6.0814069427704647</v>
      </c>
      <c r="C203" s="7"/>
      <c r="D203"/>
      <c r="E203"/>
      <c r="AO203" s="27" t="s">
        <v>8</v>
      </c>
    </row>
    <row r="204" spans="1:41" x14ac:dyDescent="0.25">
      <c r="A204" s="30">
        <v>5.7918161359718709</v>
      </c>
      <c r="E204"/>
      <c r="AO204" s="27" t="s">
        <v>8</v>
      </c>
    </row>
    <row r="205" spans="1:41" x14ac:dyDescent="0.25">
      <c r="A205" s="30">
        <v>5.5160153675922574</v>
      </c>
      <c r="E205"/>
      <c r="AO205" s="27" t="s">
        <v>8</v>
      </c>
    </row>
    <row r="206" spans="1:41" x14ac:dyDescent="0.25">
      <c r="A206" s="30">
        <v>5.2533479691354827</v>
      </c>
      <c r="C206"/>
      <c r="D206"/>
      <c r="E206"/>
      <c r="AO206" s="27" t="s">
        <v>8</v>
      </c>
    </row>
    <row r="207" spans="1:41" x14ac:dyDescent="0.25">
      <c r="A207" s="30">
        <v>5.0031885420337927</v>
      </c>
      <c r="E207"/>
      <c r="AO207" s="27" t="s">
        <v>8</v>
      </c>
    </row>
    <row r="208" spans="1:41" x14ac:dyDescent="0.25">
      <c r="A208" s="30">
        <v>4.7649414686036122</v>
      </c>
      <c r="E208"/>
      <c r="AO208" s="27" t="s">
        <v>8</v>
      </c>
    </row>
    <row r="209" spans="1:41" x14ac:dyDescent="0.25">
      <c r="A209" s="30">
        <v>4.5380394939082018</v>
      </c>
      <c r="E209"/>
      <c r="AO209" s="27" t="s">
        <v>8</v>
      </c>
    </row>
    <row r="210" spans="1:41" x14ac:dyDescent="0.25">
      <c r="A210" s="30">
        <v>4.3219423751506678</v>
      </c>
      <c r="C210"/>
      <c r="E210"/>
      <c r="AO210" s="27" t="s">
        <v>8</v>
      </c>
    </row>
    <row r="211" spans="1:41" x14ac:dyDescent="0.25">
      <c r="A211" s="30">
        <v>4.1161355953815884</v>
      </c>
      <c r="E211"/>
      <c r="AO211" s="27" t="s">
        <v>8</v>
      </c>
    </row>
    <row r="212" spans="1:41" x14ac:dyDescent="0.25">
      <c r="A212" s="30">
        <v>3.9201291384586554</v>
      </c>
      <c r="E212"/>
      <c r="AO212" s="27" t="s">
        <v>8</v>
      </c>
    </row>
    <row r="213" spans="1:41" x14ac:dyDescent="0.25">
      <c r="A213" s="30">
        <v>3.7334563223415764</v>
      </c>
      <c r="E213"/>
      <c r="AO213" s="27" t="s">
        <v>8</v>
      </c>
    </row>
    <row r="214" spans="1:41" x14ac:dyDescent="0.25">
      <c r="A214" s="30">
        <v>3.5556726879443583</v>
      </c>
      <c r="E214"/>
      <c r="AO214" s="27" t="s">
        <v>8</v>
      </c>
    </row>
    <row r="215" spans="1:41" x14ac:dyDescent="0.25">
      <c r="A215" s="30">
        <v>3.3863549408993889</v>
      </c>
      <c r="E215"/>
      <c r="AO215" s="27" t="s">
        <v>8</v>
      </c>
    </row>
    <row r="216" spans="1:41" x14ac:dyDescent="0.25">
      <c r="A216" s="30">
        <v>3.2250999437137038</v>
      </c>
      <c r="E216"/>
      <c r="AO216" s="27" t="s">
        <v>8</v>
      </c>
    </row>
    <row r="217" spans="1:41" x14ac:dyDescent="0.25">
      <c r="A217" s="30">
        <v>3.0715237559178128</v>
      </c>
      <c r="E217"/>
      <c r="AO217" s="27" t="s">
        <v>8</v>
      </c>
    </row>
    <row r="218" spans="1:41" x14ac:dyDescent="0.25">
      <c r="A218" s="30">
        <v>2.9252607199217264</v>
      </c>
      <c r="E218"/>
      <c r="AO218" s="27" t="s">
        <v>8</v>
      </c>
    </row>
    <row r="219" spans="1:41" x14ac:dyDescent="0.25">
      <c r="A219" s="30">
        <v>2.7859625904016441</v>
      </c>
      <c r="E219"/>
      <c r="AO219" s="27" t="s">
        <v>8</v>
      </c>
    </row>
    <row r="220" spans="1:41" x14ac:dyDescent="0.25">
      <c r="A220" s="30">
        <v>2.6532977051444226</v>
      </c>
      <c r="E220"/>
      <c r="AO220" s="27" t="s">
        <v>8</v>
      </c>
    </row>
    <row r="221" spans="1:41" x14ac:dyDescent="0.25">
      <c r="A221" s="30">
        <v>2.5269501953756404</v>
      </c>
      <c r="E221"/>
      <c r="AO221" s="27" t="s">
        <v>8</v>
      </c>
    </row>
    <row r="222" spans="1:41" x14ac:dyDescent="0.25">
      <c r="A222" s="30">
        <v>2.4066192336910861</v>
      </c>
      <c r="E222"/>
      <c r="AO222" s="27" t="s">
        <v>8</v>
      </c>
    </row>
    <row r="223" spans="1:41" x14ac:dyDescent="0.25">
      <c r="A223" s="30">
        <v>2.2920183178010345</v>
      </c>
      <c r="E223"/>
      <c r="AO223" s="27" t="s">
        <v>8</v>
      </c>
    </row>
    <row r="224" spans="1:41" x14ac:dyDescent="0.25">
      <c r="A224" s="30">
        <v>2.1828745883819374</v>
      </c>
      <c r="E224"/>
      <c r="AO224" s="27" t="s">
        <v>8</v>
      </c>
    </row>
    <row r="225" spans="1:41" x14ac:dyDescent="0.25">
      <c r="A225" s="30">
        <v>2.0789281794113688</v>
      </c>
      <c r="E225"/>
      <c r="AO225" s="27" t="s">
        <v>8</v>
      </c>
    </row>
    <row r="226" spans="1:41" x14ac:dyDescent="0.25">
      <c r="A226" s="30">
        <v>1.9799315994393987</v>
      </c>
      <c r="E226"/>
      <c r="AO226" s="27" t="s">
        <v>8</v>
      </c>
    </row>
    <row r="227" spans="1:41" x14ac:dyDescent="0.25">
      <c r="A227" s="30">
        <v>1.8856491423232367</v>
      </c>
      <c r="E227"/>
      <c r="AO227" s="27" t="s">
        <v>8</v>
      </c>
    </row>
    <row r="228" spans="1:41" x14ac:dyDescent="0.25">
      <c r="A228" s="30">
        <v>1.7958563260221301</v>
      </c>
      <c r="C228" s="7"/>
      <c r="D228"/>
      <c r="E228"/>
      <c r="AO228" s="27" t="s">
        <v>8</v>
      </c>
    </row>
    <row r="229" spans="1:41" x14ac:dyDescent="0.25">
      <c r="A229" s="30">
        <v>1.7103393581163142</v>
      </c>
      <c r="E229"/>
      <c r="AO229" s="27" t="s">
        <v>8</v>
      </c>
    </row>
    <row r="230" spans="1:41" x14ac:dyDescent="0.25">
      <c r="A230" s="30">
        <v>1.628894626777442</v>
      </c>
      <c r="E230"/>
      <c r="AO230" s="27" t="s">
        <v>8</v>
      </c>
    </row>
    <row r="231" spans="1:41" x14ac:dyDescent="0.25">
      <c r="A231" s="30">
        <v>1.5513282159785162</v>
      </c>
      <c r="C231"/>
      <c r="D231"/>
      <c r="E231"/>
      <c r="AO231" s="27" t="s">
        <v>8</v>
      </c>
    </row>
    <row r="232" spans="1:41" x14ac:dyDescent="0.25">
      <c r="A232" s="30">
        <v>1.477455443789063</v>
      </c>
      <c r="E232"/>
      <c r="AO232" s="27" t="s">
        <v>8</v>
      </c>
    </row>
    <row r="233" spans="1:41" x14ac:dyDescent="0.25">
      <c r="A233" s="30">
        <v>1.4071004226562505</v>
      </c>
      <c r="E233"/>
      <c r="AO233" s="27" t="s">
        <v>8</v>
      </c>
    </row>
    <row r="234" spans="1:41" x14ac:dyDescent="0.25">
      <c r="A234" s="30">
        <v>1.3400956406250004</v>
      </c>
      <c r="E234"/>
      <c r="AO234" s="27" t="s">
        <v>8</v>
      </c>
    </row>
    <row r="235" spans="1:41" x14ac:dyDescent="0.25">
      <c r="A235" s="30">
        <v>1.2762815625000004</v>
      </c>
      <c r="C235"/>
      <c r="E235"/>
      <c r="AO235" s="27" t="s">
        <v>8</v>
      </c>
    </row>
    <row r="236" spans="1:41" x14ac:dyDescent="0.25">
      <c r="A236" s="30">
        <v>1.2155062500000002</v>
      </c>
      <c r="E236"/>
      <c r="AO236" s="27" t="s">
        <v>8</v>
      </c>
    </row>
    <row r="237" spans="1:41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AO237" s="27" t="s">
        <v>8</v>
      </c>
    </row>
    <row r="238" spans="1:41" x14ac:dyDescent="0.25">
      <c r="A238" s="30">
        <v>1.1025</v>
      </c>
      <c r="E238"/>
      <c r="AO238" s="27" t="s">
        <v>8</v>
      </c>
    </row>
    <row r="239" spans="1:41" x14ac:dyDescent="0.25">
      <c r="A239" s="30">
        <v>1.05</v>
      </c>
      <c r="E239"/>
      <c r="AO239" s="27" t="s">
        <v>8</v>
      </c>
    </row>
    <row r="240" spans="1:41" x14ac:dyDescent="0.25">
      <c r="A240" s="30">
        <v>1</v>
      </c>
      <c r="E240" s="29" t="s">
        <v>8</v>
      </c>
      <c r="AO240" s="27" t="s">
        <v>8</v>
      </c>
    </row>
    <row r="241" spans="1:41" x14ac:dyDescent="0.25">
      <c r="A241" s="30">
        <v>0.952380952380952</v>
      </c>
      <c r="B241"/>
      <c r="C241"/>
      <c r="D241"/>
      <c r="E241"/>
      <c r="F241" s="27" t="s">
        <v>7</v>
      </c>
      <c r="AO241" s="27" t="s">
        <v>8</v>
      </c>
    </row>
    <row r="242" spans="1:41" x14ac:dyDescent="0.25">
      <c r="A242" s="30">
        <v>0.90702947845804915</v>
      </c>
      <c r="B242"/>
      <c r="C242"/>
      <c r="D242"/>
      <c r="E242"/>
      <c r="F242" s="27" t="s">
        <v>7</v>
      </c>
      <c r="AO242" s="27" t="s">
        <v>8</v>
      </c>
    </row>
    <row r="243" spans="1:41" x14ac:dyDescent="0.25">
      <c r="A243" s="30">
        <v>0.86383759853147501</v>
      </c>
      <c r="B243"/>
      <c r="C243"/>
      <c r="D243"/>
      <c r="E243"/>
      <c r="F243" s="27" t="s">
        <v>7</v>
      </c>
      <c r="AO243" s="27" t="s">
        <v>8</v>
      </c>
    </row>
    <row r="244" spans="1:41" x14ac:dyDescent="0.25">
      <c r="A244" s="30">
        <v>0.82270247479188063</v>
      </c>
      <c r="B244"/>
      <c r="C244"/>
      <c r="D244"/>
      <c r="E244"/>
      <c r="F244" s="27" t="s">
        <v>7</v>
      </c>
      <c r="AO244" s="27" t="s">
        <v>8</v>
      </c>
    </row>
    <row r="245" spans="1:41" x14ac:dyDescent="0.25">
      <c r="A245" s="30">
        <v>0.78352616646845741</v>
      </c>
      <c r="B245"/>
      <c r="C245"/>
      <c r="D245"/>
      <c r="E245"/>
      <c r="F245" s="27" t="s">
        <v>7</v>
      </c>
      <c r="AO245" s="27" t="s">
        <v>8</v>
      </c>
    </row>
    <row r="246" spans="1:41" x14ac:dyDescent="0.25">
      <c r="A246" s="30">
        <v>0.74621539663662584</v>
      </c>
      <c r="B246"/>
      <c r="C246"/>
      <c r="D246"/>
      <c r="E246"/>
      <c r="F246" s="27" t="s">
        <v>7</v>
      </c>
      <c r="AO246" s="27" t="s">
        <v>8</v>
      </c>
    </row>
    <row r="247" spans="1:41" x14ac:dyDescent="0.25">
      <c r="A247" s="30">
        <v>0.71068133013011958</v>
      </c>
      <c r="B247"/>
      <c r="C247"/>
      <c r="D247"/>
      <c r="E247"/>
      <c r="F247" s="27" t="s">
        <v>7</v>
      </c>
      <c r="AO247" s="27" t="s">
        <v>8</v>
      </c>
    </row>
    <row r="248" spans="1:41" x14ac:dyDescent="0.25">
      <c r="A248" s="30">
        <v>0.676839362028685</v>
      </c>
      <c r="B248"/>
      <c r="C248"/>
      <c r="D248"/>
      <c r="E248"/>
      <c r="F248" s="27" t="s">
        <v>7</v>
      </c>
      <c r="AO248" s="27" t="s">
        <v>8</v>
      </c>
    </row>
    <row r="249" spans="1:41" x14ac:dyDescent="0.25">
      <c r="A249" s="30">
        <v>0.64460891621779492</v>
      </c>
      <c r="B249"/>
      <c r="C249"/>
      <c r="D249"/>
      <c r="E249"/>
      <c r="F249" s="27" t="s">
        <v>7</v>
      </c>
      <c r="AO249" s="27" t="s">
        <v>8</v>
      </c>
    </row>
    <row r="250" spans="1:41" x14ac:dyDescent="0.25">
      <c r="A250" s="30">
        <v>0.61391325354075688</v>
      </c>
      <c r="B250"/>
      <c r="C250"/>
      <c r="D250"/>
      <c r="E250"/>
      <c r="F250" s="27" t="s">
        <v>7</v>
      </c>
      <c r="AO250" s="27" t="s">
        <v>8</v>
      </c>
    </row>
    <row r="251" spans="1:41" x14ac:dyDescent="0.25">
      <c r="A251" s="30">
        <v>0.58467928908643485</v>
      </c>
      <c r="B251"/>
      <c r="C251"/>
      <c r="D251"/>
      <c r="E251"/>
      <c r="F251" s="27" t="s">
        <v>7</v>
      </c>
      <c r="AO251" s="27" t="s">
        <v>8</v>
      </c>
    </row>
    <row r="252" spans="1:41" x14ac:dyDescent="0.25">
      <c r="A252" s="30">
        <v>0.55683741817755672</v>
      </c>
      <c r="B252"/>
      <c r="C252"/>
      <c r="D252"/>
      <c r="E252"/>
      <c r="F252" s="27" t="s">
        <v>7</v>
      </c>
      <c r="AO252" s="27" t="s">
        <v>8</v>
      </c>
    </row>
    <row r="253" spans="1:41" x14ac:dyDescent="0.25">
      <c r="A253" s="30">
        <v>0.53032135064529184</v>
      </c>
      <c r="B253"/>
      <c r="C253"/>
      <c r="D253"/>
      <c r="E253"/>
      <c r="F253" s="27" t="s">
        <v>7</v>
      </c>
      <c r="AO253" s="27" t="s">
        <v>8</v>
      </c>
    </row>
    <row r="254" spans="1:41" x14ac:dyDescent="0.25">
      <c r="A254" s="30">
        <v>0.50506795299551588</v>
      </c>
      <c r="B254"/>
      <c r="C254"/>
      <c r="D254"/>
      <c r="E254"/>
      <c r="F254" s="27" t="s">
        <v>7</v>
      </c>
      <c r="AO254" s="27" t="s">
        <v>8</v>
      </c>
    </row>
    <row r="255" spans="1:41" x14ac:dyDescent="0.25">
      <c r="A255" s="30">
        <v>0.48101709809096732</v>
      </c>
      <c r="E255"/>
      <c r="F255" s="27" t="s">
        <v>7</v>
      </c>
      <c r="AO255" s="27" t="s">
        <v>8</v>
      </c>
    </row>
    <row r="256" spans="1:41" x14ac:dyDescent="0.25">
      <c r="A256" s="30">
        <v>0.45811152199139726</v>
      </c>
      <c r="E256"/>
      <c r="F256" s="27" t="s">
        <v>7</v>
      </c>
      <c r="AO256" s="27" t="s">
        <v>8</v>
      </c>
    </row>
    <row r="257" spans="1:41" x14ac:dyDescent="0.25">
      <c r="A257" s="30">
        <v>0.43629668761085438</v>
      </c>
      <c r="B257"/>
      <c r="C257"/>
      <c r="D257"/>
      <c r="E257"/>
      <c r="F257" s="27" t="s">
        <v>7</v>
      </c>
      <c r="AO257" s="27" t="s">
        <v>8</v>
      </c>
    </row>
    <row r="258" spans="1:41" x14ac:dyDescent="0.25">
      <c r="A258" s="30">
        <v>0.41552065486748019</v>
      </c>
      <c r="B258"/>
      <c r="C258"/>
      <c r="D258"/>
      <c r="E258"/>
      <c r="F258" s="27" t="s">
        <v>7</v>
      </c>
      <c r="AO258" s="27" t="s">
        <v>8</v>
      </c>
    </row>
    <row r="259" spans="1:41" x14ac:dyDescent="0.25">
      <c r="A259" s="30">
        <v>0.39573395701664765</v>
      </c>
      <c r="B259"/>
      <c r="C259"/>
      <c r="D259"/>
      <c r="E259"/>
      <c r="F259" s="27" t="s">
        <v>7</v>
      </c>
      <c r="AO259" s="27" t="s">
        <v>8</v>
      </c>
    </row>
    <row r="260" spans="1:41" x14ac:dyDescent="0.25">
      <c r="A260" s="30">
        <v>0.37688948287299762</v>
      </c>
      <c r="B260"/>
      <c r="C260"/>
      <c r="D260"/>
      <c r="E260"/>
      <c r="F260" s="27" t="s">
        <v>7</v>
      </c>
      <c r="AO260" s="27" t="s">
        <v>8</v>
      </c>
    </row>
    <row r="261" spans="1:41" x14ac:dyDescent="0.25">
      <c r="A261" s="30">
        <v>0.35894236464094997</v>
      </c>
      <c r="B261"/>
      <c r="C261"/>
      <c r="D261"/>
      <c r="E261"/>
      <c r="F261" s="27" t="s">
        <v>7</v>
      </c>
      <c r="AO261" s="27" t="s">
        <v>8</v>
      </c>
    </row>
    <row r="262" spans="1:41" x14ac:dyDescent="0.25">
      <c r="A262" s="30">
        <v>0.34184987108661891</v>
      </c>
      <c r="B262"/>
      <c r="C262"/>
      <c r="D262"/>
      <c r="E262"/>
      <c r="F262" s="27" t="s">
        <v>7</v>
      </c>
      <c r="AO262" s="27" t="s">
        <v>8</v>
      </c>
    </row>
    <row r="263" spans="1:41" x14ac:dyDescent="0.25">
      <c r="A263" s="30">
        <v>0.32557130579677979</v>
      </c>
      <c r="B263"/>
      <c r="C263"/>
      <c r="D263"/>
      <c r="E263"/>
      <c r="F263" s="27" t="s">
        <v>7</v>
      </c>
      <c r="AO263" s="27" t="s">
        <v>8</v>
      </c>
    </row>
    <row r="264" spans="1:41" x14ac:dyDescent="0.25">
      <c r="A264" s="30">
        <v>0.3100679102826473</v>
      </c>
      <c r="B264"/>
      <c r="C264"/>
      <c r="D264"/>
      <c r="E264"/>
      <c r="F264" s="27" t="s">
        <v>7</v>
      </c>
      <c r="AO264" s="27" t="s">
        <v>8</v>
      </c>
    </row>
    <row r="265" spans="1:41" x14ac:dyDescent="0.25">
      <c r="A265" s="30">
        <v>0.2953027716977592</v>
      </c>
      <c r="B265"/>
      <c r="C265"/>
      <c r="D265"/>
      <c r="E265"/>
      <c r="F265" s="27" t="s">
        <v>7</v>
      </c>
      <c r="AO265" s="27" t="s">
        <v>8</v>
      </c>
    </row>
    <row r="266" spans="1:41" x14ac:dyDescent="0.25">
      <c r="A266" s="30">
        <v>0.28124073495024676</v>
      </c>
      <c r="B266"/>
      <c r="C266"/>
      <c r="D266"/>
      <c r="E266"/>
      <c r="F266" s="27" t="s">
        <v>7</v>
      </c>
      <c r="AO266" s="27" t="s">
        <v>8</v>
      </c>
    </row>
    <row r="267" spans="1:41" x14ac:dyDescent="0.25">
      <c r="A267" s="30">
        <v>0.26784831900023492</v>
      </c>
      <c r="B267"/>
      <c r="C267"/>
      <c r="D267"/>
      <c r="E267"/>
      <c r="F267" s="27" t="s">
        <v>7</v>
      </c>
      <c r="AO267" s="27" t="s">
        <v>8</v>
      </c>
    </row>
    <row r="268" spans="1:41" x14ac:dyDescent="0.25">
      <c r="A268" s="30">
        <v>0.25509363714308075</v>
      </c>
      <c r="B268"/>
      <c r="C268"/>
      <c r="D268"/>
      <c r="E268"/>
      <c r="F268" s="27" t="s">
        <v>7</v>
      </c>
      <c r="AO268" s="27" t="s">
        <v>8</v>
      </c>
    </row>
    <row r="269" spans="1:41" x14ac:dyDescent="0.25">
      <c r="A269" s="30">
        <v>0.24294632108864825</v>
      </c>
      <c r="B269"/>
      <c r="C269"/>
      <c r="D269"/>
      <c r="E269"/>
      <c r="F269" s="27" t="s">
        <v>7</v>
      </c>
      <c r="AO269" s="27" t="s">
        <v>8</v>
      </c>
    </row>
    <row r="270" spans="1:41" x14ac:dyDescent="0.25">
      <c r="A270" s="30">
        <v>0.23137744865585538</v>
      </c>
      <c r="B270"/>
      <c r="C270"/>
      <c r="D270"/>
      <c r="E270"/>
      <c r="F270" s="27" t="s">
        <v>7</v>
      </c>
      <c r="AO270" s="27" t="s">
        <v>8</v>
      </c>
    </row>
    <row r="271" spans="1:41" x14ac:dyDescent="0.25">
      <c r="A271" s="30">
        <v>0.22035947491033836</v>
      </c>
      <c r="B271"/>
      <c r="C271"/>
      <c r="D271"/>
      <c r="E271"/>
      <c r="F271" s="27" t="s">
        <v>7</v>
      </c>
      <c r="AO271" s="27" t="s">
        <v>8</v>
      </c>
    </row>
    <row r="272" spans="1:41" x14ac:dyDescent="0.25">
      <c r="A272" s="30">
        <v>0.20986616658127455</v>
      </c>
      <c r="B272"/>
      <c r="C272"/>
      <c r="D272"/>
      <c r="E272"/>
      <c r="F272" s="27" t="s">
        <v>7</v>
      </c>
      <c r="AO272" s="27" t="s">
        <v>8</v>
      </c>
    </row>
    <row r="273" spans="1:41" x14ac:dyDescent="0.25">
      <c r="A273" s="30">
        <v>0.19987253960121379</v>
      </c>
      <c r="B273"/>
      <c r="C273"/>
      <c r="D273"/>
      <c r="E273"/>
      <c r="F273" s="27" t="s">
        <v>7</v>
      </c>
      <c r="AO273" s="27" t="s">
        <v>8</v>
      </c>
    </row>
    <row r="274" spans="1:41" x14ac:dyDescent="0.25">
      <c r="A274" s="30">
        <v>0.19035479962020352</v>
      </c>
      <c r="B274"/>
      <c r="C274"/>
      <c r="D274"/>
      <c r="E274"/>
      <c r="F274" s="27" t="s">
        <v>7</v>
      </c>
      <c r="AO274" s="27" t="s">
        <v>8</v>
      </c>
    </row>
    <row r="275" spans="1:41" x14ac:dyDescent="0.25">
      <c r="A275" s="30">
        <v>0.18129028535257471</v>
      </c>
      <c r="B275"/>
      <c r="C275"/>
      <c r="D275"/>
      <c r="E275"/>
      <c r="F275" s="27" t="s">
        <v>7</v>
      </c>
      <c r="AO275" s="27" t="s">
        <v>8</v>
      </c>
    </row>
    <row r="276" spans="1:41" x14ac:dyDescent="0.25">
      <c r="A276" s="30">
        <v>0.17265741462149967</v>
      </c>
      <c r="B276"/>
      <c r="C276"/>
      <c r="D276"/>
      <c r="E276"/>
      <c r="F276" s="27" t="s">
        <v>7</v>
      </c>
      <c r="I276" s="27" t="s">
        <v>8</v>
      </c>
      <c r="AO276" s="27" t="s">
        <v>8</v>
      </c>
    </row>
    <row r="277" spans="1:41" x14ac:dyDescent="0.25">
      <c r="A277" s="30">
        <v>0.16443563297285677</v>
      </c>
      <c r="B277"/>
      <c r="C277"/>
      <c r="D277"/>
      <c r="E277"/>
      <c r="F277" s="27" t="s">
        <v>7</v>
      </c>
      <c r="I277" s="27" t="s">
        <v>8</v>
      </c>
      <c r="J277" s="27" t="s">
        <v>7</v>
      </c>
      <c r="AO277" s="27" t="s">
        <v>8</v>
      </c>
    </row>
    <row r="278" spans="1:41" x14ac:dyDescent="0.25">
      <c r="A278" s="30">
        <v>0.15660536473605399</v>
      </c>
      <c r="B278"/>
      <c r="C278"/>
      <c r="D278"/>
      <c r="E278"/>
      <c r="F278" s="27" t="s">
        <v>7</v>
      </c>
      <c r="G278" s="27" t="s">
        <v>8</v>
      </c>
      <c r="I278" s="27" t="s">
        <v>8</v>
      </c>
      <c r="J278" s="27" t="s">
        <v>7</v>
      </c>
      <c r="AO278" s="27" t="s">
        <v>8</v>
      </c>
    </row>
    <row r="279" spans="1:41" x14ac:dyDescent="0.25">
      <c r="A279" s="30">
        <v>0.14914796641528946</v>
      </c>
      <c r="B279"/>
      <c r="C279"/>
      <c r="D279"/>
      <c r="E279"/>
      <c r="F279" s="27" t="s">
        <v>7</v>
      </c>
      <c r="G279" s="27" t="s">
        <v>8</v>
      </c>
      <c r="H279" s="27" t="s">
        <v>7</v>
      </c>
      <c r="I279" s="27" t="s">
        <v>8</v>
      </c>
      <c r="J279" s="27" t="s">
        <v>7</v>
      </c>
      <c r="AO279" s="27" t="s">
        <v>8</v>
      </c>
    </row>
    <row r="280" spans="1:41" x14ac:dyDescent="0.25">
      <c r="A280" s="30">
        <v>0.14204568230027562</v>
      </c>
      <c r="B280"/>
      <c r="C280"/>
      <c r="D280"/>
      <c r="E280"/>
      <c r="F280" s="27" t="s">
        <v>7</v>
      </c>
      <c r="G280" s="27" t="s">
        <v>8</v>
      </c>
      <c r="H280" s="27" t="s">
        <v>7</v>
      </c>
      <c r="I280" s="27" t="s">
        <v>8</v>
      </c>
      <c r="J280" s="27" t="s">
        <v>7</v>
      </c>
      <c r="AO280" s="27" t="s">
        <v>8</v>
      </c>
    </row>
    <row r="281" spans="1:41" x14ac:dyDescent="0.25">
      <c r="A281" s="30">
        <v>0.13528160219073862</v>
      </c>
      <c r="B281"/>
      <c r="C281"/>
      <c r="D281"/>
      <c r="E281"/>
      <c r="F281" s="27" t="s">
        <v>7</v>
      </c>
      <c r="G281" s="27" t="s">
        <v>8</v>
      </c>
      <c r="H281" s="27" t="s">
        <v>7</v>
      </c>
      <c r="I281" s="27" t="s">
        <v>8</v>
      </c>
      <c r="J281" s="27" t="s">
        <v>7</v>
      </c>
      <c r="Q281" s="27" t="s">
        <v>8</v>
      </c>
      <c r="AO281" s="27" t="s">
        <v>8</v>
      </c>
    </row>
    <row r="282" spans="1:41" x14ac:dyDescent="0.25">
      <c r="A282" s="30">
        <v>0.12883962113403674</v>
      </c>
      <c r="B282"/>
      <c r="C282"/>
      <c r="D282"/>
      <c r="E282"/>
      <c r="F282" s="27" t="s">
        <v>7</v>
      </c>
      <c r="G282" s="27" t="s">
        <v>8</v>
      </c>
      <c r="H282" s="27" t="s">
        <v>7</v>
      </c>
      <c r="I282" s="27" t="s">
        <v>8</v>
      </c>
      <c r="J282" s="27" t="s">
        <v>7</v>
      </c>
      <c r="Q282" s="27" t="s">
        <v>8</v>
      </c>
      <c r="R282" s="27" t="s">
        <v>7</v>
      </c>
      <c r="AO282" s="27" t="s">
        <v>8</v>
      </c>
    </row>
    <row r="283" spans="1:41" x14ac:dyDescent="0.25">
      <c r="A283" s="30">
        <v>0.12270440108003494</v>
      </c>
      <c r="B283"/>
      <c r="C283"/>
      <c r="D283"/>
      <c r="E283"/>
      <c r="F283" s="27" t="s">
        <v>7</v>
      </c>
      <c r="G283" s="27" t="s">
        <v>8</v>
      </c>
      <c r="H283" s="27" t="s">
        <v>7</v>
      </c>
      <c r="I283" s="27" t="s">
        <v>8</v>
      </c>
      <c r="J283" s="27" t="s">
        <v>7</v>
      </c>
      <c r="Q283" s="27" t="s">
        <v>8</v>
      </c>
      <c r="R283" s="27" t="s">
        <v>7</v>
      </c>
      <c r="AO283" s="27" t="s">
        <v>8</v>
      </c>
    </row>
    <row r="284" spans="1:41" x14ac:dyDescent="0.25">
      <c r="A284" s="30">
        <v>0.11686133436193799</v>
      </c>
      <c r="B284"/>
      <c r="C284"/>
      <c r="D284"/>
      <c r="E284"/>
      <c r="F284" s="27" t="s">
        <v>7</v>
      </c>
      <c r="H284" s="27" t="s">
        <v>7</v>
      </c>
      <c r="I284" s="27" t="s">
        <v>8</v>
      </c>
      <c r="J284" s="27" t="s">
        <v>7</v>
      </c>
      <c r="Q284" s="27" t="s">
        <v>8</v>
      </c>
      <c r="R284" s="27" t="s">
        <v>7</v>
      </c>
      <c r="AO284" s="27" t="s">
        <v>8</v>
      </c>
    </row>
    <row r="285" spans="1:41" x14ac:dyDescent="0.25">
      <c r="A285" s="30">
        <v>0.11129650891613138</v>
      </c>
      <c r="B285"/>
      <c r="C285"/>
      <c r="D285"/>
      <c r="E285"/>
      <c r="H285" s="27" t="s">
        <v>7</v>
      </c>
      <c r="I285" s="27" t="s">
        <v>8</v>
      </c>
      <c r="J285" s="27" t="s">
        <v>7</v>
      </c>
      <c r="K285" s="27" t="s">
        <v>8</v>
      </c>
      <c r="Q285" s="27" t="s">
        <v>8</v>
      </c>
      <c r="R285" s="27" t="s">
        <v>7</v>
      </c>
      <c r="AO285" s="27" t="s">
        <v>8</v>
      </c>
    </row>
    <row r="286" spans="1:41" x14ac:dyDescent="0.25">
      <c r="A286" s="30">
        <v>0.10599667515822032</v>
      </c>
      <c r="B286"/>
      <c r="C286"/>
      <c r="D286"/>
      <c r="E286"/>
      <c r="H286" s="27" t="s">
        <v>7</v>
      </c>
      <c r="I286" s="27" t="s">
        <v>8</v>
      </c>
      <c r="J286" s="27" t="s">
        <v>7</v>
      </c>
      <c r="K286" s="27" t="s">
        <v>8</v>
      </c>
      <c r="L286" s="27" t="s">
        <v>7</v>
      </c>
      <c r="Q286" s="27" t="s">
        <v>8</v>
      </c>
      <c r="R286" s="27" t="s">
        <v>7</v>
      </c>
      <c r="AO286" s="27" t="s">
        <v>8</v>
      </c>
    </row>
    <row r="287" spans="1:41" x14ac:dyDescent="0.25">
      <c r="A287" s="30">
        <v>0.10094921443640027</v>
      </c>
      <c r="B287"/>
      <c r="C287"/>
      <c r="D287"/>
      <c r="E287"/>
      <c r="H287" s="27" t="s">
        <v>7</v>
      </c>
      <c r="J287" s="27" t="s">
        <v>7</v>
      </c>
      <c r="K287" s="27" t="s">
        <v>8</v>
      </c>
      <c r="L287" s="27" t="s">
        <v>7</v>
      </c>
      <c r="M287" s="27" t="s">
        <v>8</v>
      </c>
      <c r="Q287" s="27" t="s">
        <v>8</v>
      </c>
      <c r="R287" s="27" t="s">
        <v>7</v>
      </c>
      <c r="AO287" s="27" t="s">
        <v>8</v>
      </c>
    </row>
    <row r="288" spans="1:41" x14ac:dyDescent="0.25">
      <c r="A288" s="30">
        <v>9.6142108987047836E-2</v>
      </c>
      <c r="B288"/>
      <c r="C288"/>
      <c r="D288"/>
      <c r="E288"/>
      <c r="J288" s="27" t="s">
        <v>7</v>
      </c>
      <c r="L288" s="27" t="s">
        <v>7</v>
      </c>
      <c r="M288" s="27" t="s">
        <v>8</v>
      </c>
      <c r="N288" s="27" t="s">
        <v>7</v>
      </c>
      <c r="O288" s="27" t="s">
        <v>8</v>
      </c>
      <c r="Q288" s="27" t="s">
        <v>8</v>
      </c>
      <c r="R288" s="27" t="s">
        <v>7</v>
      </c>
      <c r="AO288" s="27" t="s">
        <v>8</v>
      </c>
    </row>
    <row r="289" spans="1:41" x14ac:dyDescent="0.25">
      <c r="A289" s="30">
        <v>9.1563913320997906E-2</v>
      </c>
      <c r="B289"/>
      <c r="C289"/>
      <c r="D289"/>
      <c r="E289"/>
      <c r="L289" s="27" t="s">
        <v>7</v>
      </c>
      <c r="M289" s="27" t="s">
        <v>8</v>
      </c>
      <c r="N289" s="27" t="s">
        <v>7</v>
      </c>
      <c r="O289" s="27" t="s">
        <v>8</v>
      </c>
      <c r="P289" s="27" t="s">
        <v>7</v>
      </c>
      <c r="Q289" s="27" t="s">
        <v>8</v>
      </c>
      <c r="R289" s="27" t="s">
        <v>7</v>
      </c>
      <c r="S289" s="27" t="s">
        <v>8</v>
      </c>
      <c r="AO289" s="27" t="s">
        <v>8</v>
      </c>
    </row>
    <row r="290" spans="1:41" x14ac:dyDescent="0.25">
      <c r="A290" s="30">
        <v>8.7203726972378923E-2</v>
      </c>
      <c r="B290"/>
      <c r="C290"/>
      <c r="D290"/>
      <c r="E290"/>
      <c r="L290" s="27" t="s">
        <v>7</v>
      </c>
      <c r="N290" s="27" t="s">
        <v>7</v>
      </c>
      <c r="O290" s="27" t="s">
        <v>8</v>
      </c>
      <c r="P290" s="27" t="s">
        <v>7</v>
      </c>
      <c r="Q290" s="27" t="s">
        <v>8</v>
      </c>
      <c r="R290" s="27" t="s">
        <v>7</v>
      </c>
      <c r="S290" s="27" t="s">
        <v>8</v>
      </c>
      <c r="T290" s="27" t="s">
        <v>7</v>
      </c>
      <c r="AO290" s="27" t="s">
        <v>8</v>
      </c>
    </row>
    <row r="291" spans="1:41" x14ac:dyDescent="0.25">
      <c r="A291" s="30">
        <v>8.3051168545122747E-2</v>
      </c>
      <c r="B291"/>
      <c r="C291"/>
      <c r="D291"/>
      <c r="E291"/>
      <c r="N291" s="27" t="s">
        <v>7</v>
      </c>
      <c r="O291" s="27" t="s">
        <v>8</v>
      </c>
      <c r="P291" s="27" t="s">
        <v>7</v>
      </c>
      <c r="R291" s="27" t="s">
        <v>7</v>
      </c>
      <c r="S291" s="27" t="s">
        <v>8</v>
      </c>
      <c r="T291" s="27" t="s">
        <v>7</v>
      </c>
      <c r="U291" s="27" t="s">
        <v>8</v>
      </c>
      <c r="AO291" s="27" t="s">
        <v>8</v>
      </c>
    </row>
    <row r="292" spans="1:41" x14ac:dyDescent="0.25">
      <c r="A292" s="30">
        <v>7.9096350995354961E-2</v>
      </c>
      <c r="B292"/>
      <c r="C292"/>
      <c r="D292"/>
      <c r="E292"/>
      <c r="N292" s="27" t="s">
        <v>7</v>
      </c>
      <c r="O292" s="27" t="s">
        <v>8</v>
      </c>
      <c r="R292" s="27" t="s">
        <v>7</v>
      </c>
      <c r="T292" s="27" t="s">
        <v>7</v>
      </c>
      <c r="U292" s="27" t="s">
        <v>8</v>
      </c>
      <c r="V292" s="27" t="s">
        <v>7</v>
      </c>
      <c r="AO292" s="27" t="s">
        <v>8</v>
      </c>
    </row>
    <row r="293" spans="1:41" x14ac:dyDescent="0.25">
      <c r="A293" s="30">
        <v>7.5329858090814217E-2</v>
      </c>
      <c r="B293"/>
      <c r="C293"/>
      <c r="D293"/>
      <c r="E293"/>
      <c r="N293" s="27" t="s">
        <v>7</v>
      </c>
      <c r="O293" s="27" t="s">
        <v>8</v>
      </c>
      <c r="T293" s="27" t="s">
        <v>7</v>
      </c>
      <c r="U293" s="27" t="s">
        <v>8</v>
      </c>
      <c r="V293" s="27" t="s">
        <v>7</v>
      </c>
      <c r="AO293" s="27" t="s">
        <v>8</v>
      </c>
    </row>
    <row r="294" spans="1:41" x14ac:dyDescent="0.25">
      <c r="A294" s="30">
        <v>7.1742721991251604E-2</v>
      </c>
      <c r="B294"/>
      <c r="C294"/>
      <c r="D294"/>
      <c r="E294"/>
      <c r="N294" s="27" t="s">
        <v>7</v>
      </c>
      <c r="T294" s="27" t="s">
        <v>7</v>
      </c>
      <c r="V294" s="27" t="s">
        <v>7</v>
      </c>
      <c r="AO294" s="27" t="s">
        <v>8</v>
      </c>
    </row>
    <row r="295" spans="1:41" x14ac:dyDescent="0.25">
      <c r="A295" s="30">
        <v>6.8326401896430078E-2</v>
      </c>
      <c r="B295"/>
      <c r="C295"/>
      <c r="D295"/>
      <c r="E295"/>
      <c r="V295" s="27" t="s">
        <v>7</v>
      </c>
      <c r="AO295" s="27" t="s">
        <v>8</v>
      </c>
    </row>
    <row r="296" spans="1:41" x14ac:dyDescent="0.25">
      <c r="A296" s="30">
        <v>6.5072763710885759E-2</v>
      </c>
      <c r="B296"/>
      <c r="C296"/>
      <c r="D296"/>
      <c r="E296"/>
      <c r="V296" s="27" t="s">
        <v>7</v>
      </c>
      <c r="AO296" s="27" t="s">
        <v>8</v>
      </c>
    </row>
    <row r="297" spans="1:41" x14ac:dyDescent="0.25">
      <c r="A297" s="30">
        <v>6.197406067703403E-2</v>
      </c>
      <c r="B297"/>
      <c r="C297"/>
      <c r="D297"/>
      <c r="E297"/>
      <c r="V297" s="27" t="s">
        <v>7</v>
      </c>
      <c r="AO297" s="27" t="s">
        <v>8</v>
      </c>
    </row>
    <row r="298" spans="1:41" x14ac:dyDescent="0.25">
      <c r="A298" s="30">
        <v>5.9022914930508576E-2</v>
      </c>
      <c r="B298"/>
      <c r="C298"/>
      <c r="D298"/>
      <c r="E298"/>
      <c r="V298" s="27" t="s">
        <v>7</v>
      </c>
      <c r="AO298" s="27" t="s">
        <v>8</v>
      </c>
    </row>
    <row r="299" spans="1:41" x14ac:dyDescent="0.25">
      <c r="A299" s="30">
        <v>5.6212299933817669E-2</v>
      </c>
      <c r="B299"/>
      <c r="C299"/>
      <c r="D299"/>
      <c r="E299"/>
      <c r="V299" s="27" t="s">
        <v>7</v>
      </c>
      <c r="AO299" s="27" t="s">
        <v>8</v>
      </c>
    </row>
    <row r="300" spans="1:41" x14ac:dyDescent="0.25">
      <c r="A300" s="30">
        <v>5.3535523746492994E-2</v>
      </c>
      <c r="B300"/>
      <c r="C300"/>
      <c r="D300"/>
      <c r="E300"/>
      <c r="V300" s="27" t="s">
        <v>7</v>
      </c>
      <c r="W300" s="27" t="s">
        <v>8</v>
      </c>
      <c r="Y300" s="27" t="s">
        <v>8</v>
      </c>
      <c r="AO300" s="27" t="s">
        <v>8</v>
      </c>
    </row>
    <row r="301" spans="1:41" x14ac:dyDescent="0.25">
      <c r="A301" s="30">
        <v>5.0986213091898068E-2</v>
      </c>
      <c r="B301"/>
      <c r="C301"/>
      <c r="D301"/>
      <c r="E301"/>
      <c r="V301" s="27" t="s">
        <v>7</v>
      </c>
      <c r="W301" s="27" t="s">
        <v>8</v>
      </c>
      <c r="X301" s="27" t="s">
        <v>7</v>
      </c>
      <c r="Y301" s="27" t="s">
        <v>8</v>
      </c>
      <c r="Z301" s="27" t="s">
        <v>7</v>
      </c>
      <c r="AO301" s="27" t="s">
        <v>8</v>
      </c>
    </row>
    <row r="302" spans="1:41" x14ac:dyDescent="0.25">
      <c r="A302" s="30">
        <v>4.8558298182760043E-2</v>
      </c>
      <c r="B302"/>
      <c r="C302"/>
      <c r="D302"/>
      <c r="E302"/>
      <c r="V302" s="27" t="s">
        <v>7</v>
      </c>
      <c r="W302" s="27" t="s">
        <v>8</v>
      </c>
      <c r="X302" s="27" t="s">
        <v>7</v>
      </c>
      <c r="Y302" s="27" t="s">
        <v>8</v>
      </c>
      <c r="Z302" s="27" t="s">
        <v>7</v>
      </c>
      <c r="AA302" s="27" t="s">
        <v>8</v>
      </c>
      <c r="AO302" s="27" t="s">
        <v>8</v>
      </c>
    </row>
    <row r="303" spans="1:41" x14ac:dyDescent="0.25">
      <c r="A303" s="30">
        <v>4.6245998269295263E-2</v>
      </c>
      <c r="B303"/>
      <c r="C303"/>
      <c r="D303"/>
      <c r="E303"/>
      <c r="V303" s="27" t="s">
        <v>7</v>
      </c>
      <c r="W303" s="27" t="s">
        <v>8</v>
      </c>
      <c r="X303" s="27" t="s">
        <v>7</v>
      </c>
      <c r="Y303" s="27" t="s">
        <v>8</v>
      </c>
      <c r="Z303" s="27" t="s">
        <v>7</v>
      </c>
      <c r="AA303" s="27" t="s">
        <v>8</v>
      </c>
      <c r="AB303" s="27" t="s">
        <v>7</v>
      </c>
      <c r="AO303" s="27" t="s">
        <v>8</v>
      </c>
    </row>
    <row r="304" spans="1:41" x14ac:dyDescent="0.25">
      <c r="A304" s="30">
        <v>4.4043807875519279E-2</v>
      </c>
      <c r="B304"/>
      <c r="C304"/>
      <c r="D304"/>
      <c r="E304"/>
      <c r="V304" s="27" t="s">
        <v>7</v>
      </c>
      <c r="W304" s="27" t="s">
        <v>8</v>
      </c>
      <c r="X304" s="27" t="s">
        <v>7</v>
      </c>
      <c r="Y304" s="27" t="s">
        <v>8</v>
      </c>
      <c r="Z304" s="27" t="s">
        <v>7</v>
      </c>
      <c r="AA304" s="27" t="s">
        <v>8</v>
      </c>
      <c r="AB304" s="27" t="s">
        <v>7</v>
      </c>
      <c r="AI304" s="27" t="s">
        <v>8</v>
      </c>
      <c r="AO304" s="27" t="s">
        <v>8</v>
      </c>
    </row>
    <row r="305" spans="1:41" x14ac:dyDescent="0.25">
      <c r="A305" s="30">
        <v>4.1946483690970725E-2</v>
      </c>
      <c r="B305"/>
      <c r="C305"/>
      <c r="D305"/>
      <c r="E305"/>
      <c r="V305" s="27" t="s">
        <v>7</v>
      </c>
      <c r="W305" s="27" t="s">
        <v>8</v>
      </c>
      <c r="X305" s="27" t="s">
        <v>7</v>
      </c>
      <c r="Y305" s="27" t="s">
        <v>8</v>
      </c>
      <c r="Z305" s="27" t="s">
        <v>7</v>
      </c>
      <c r="AA305" s="27" t="s">
        <v>8</v>
      </c>
      <c r="AB305" s="27" t="s">
        <v>7</v>
      </c>
      <c r="AI305" s="27" t="s">
        <v>8</v>
      </c>
      <c r="AJ305" s="27" t="s">
        <v>7</v>
      </c>
      <c r="AO305" s="27" t="s">
        <v>8</v>
      </c>
    </row>
    <row r="306" spans="1:41" x14ac:dyDescent="0.25">
      <c r="A306" s="30">
        <v>3.9949032086638768E-2</v>
      </c>
      <c r="B306"/>
      <c r="C306"/>
      <c r="D306"/>
      <c r="E306"/>
      <c r="V306" s="27" t="s">
        <v>7</v>
      </c>
      <c r="W306" s="27" t="s">
        <v>8</v>
      </c>
      <c r="X306" s="27" t="s">
        <v>7</v>
      </c>
      <c r="Y306" s="27" t="s">
        <v>8</v>
      </c>
      <c r="Z306" s="27" t="s">
        <v>7</v>
      </c>
      <c r="AA306" s="27" t="s">
        <v>8</v>
      </c>
      <c r="AB306" s="27" t="s">
        <v>7</v>
      </c>
      <c r="AI306" s="27" t="s">
        <v>8</v>
      </c>
      <c r="AJ306" s="27" t="s">
        <v>7</v>
      </c>
      <c r="AO306" s="27" t="s">
        <v>8</v>
      </c>
    </row>
    <row r="307" spans="1:41" x14ac:dyDescent="0.25">
      <c r="A307" s="30">
        <v>3.8046697225370241E-2</v>
      </c>
      <c r="B307"/>
      <c r="C307"/>
      <c r="D307"/>
      <c r="E307"/>
      <c r="V307" s="27" t="s">
        <v>7</v>
      </c>
      <c r="W307" s="27" t="s">
        <v>8</v>
      </c>
      <c r="X307" s="27" t="s">
        <v>7</v>
      </c>
      <c r="Y307" s="27" t="s">
        <v>8</v>
      </c>
      <c r="Z307" s="27" t="s">
        <v>7</v>
      </c>
      <c r="AB307" s="27" t="s">
        <v>7</v>
      </c>
      <c r="AC307" s="27" t="s">
        <v>8</v>
      </c>
      <c r="AI307" s="27" t="s">
        <v>8</v>
      </c>
      <c r="AJ307" s="27" t="s">
        <v>7</v>
      </c>
      <c r="AK307" s="27" t="s">
        <v>8</v>
      </c>
      <c r="AM307" s="27" t="s">
        <v>8</v>
      </c>
      <c r="AO307" s="27" t="s">
        <v>8</v>
      </c>
    </row>
    <row r="308" spans="1:41" x14ac:dyDescent="0.25">
      <c r="A308" s="30">
        <v>3.6234949738447833E-2</v>
      </c>
      <c r="B308"/>
      <c r="C308"/>
      <c r="D308"/>
      <c r="E308"/>
      <c r="V308" s="27" t="s">
        <v>7</v>
      </c>
      <c r="W308" s="27" t="s">
        <v>8</v>
      </c>
      <c r="X308" s="27" t="s">
        <v>7</v>
      </c>
      <c r="Y308" s="27" t="s">
        <v>8</v>
      </c>
      <c r="AB308" s="27" t="s">
        <v>7</v>
      </c>
      <c r="AC308" s="27" t="s">
        <v>8</v>
      </c>
      <c r="AD308" s="27" t="s">
        <v>7</v>
      </c>
      <c r="AI308" s="27" t="s">
        <v>8</v>
      </c>
      <c r="AJ308" s="27" t="s">
        <v>7</v>
      </c>
      <c r="AK308" s="27" t="s">
        <v>8</v>
      </c>
      <c r="AL308" s="27" t="s">
        <v>7</v>
      </c>
      <c r="AM308" s="27" t="s">
        <v>8</v>
      </c>
      <c r="AN308" s="27" t="s">
        <v>7</v>
      </c>
      <c r="AO308" s="27" t="s">
        <v>8</v>
      </c>
    </row>
    <row r="309" spans="1:41" x14ac:dyDescent="0.25">
      <c r="A309" s="30">
        <v>3.4509475941378875E-2</v>
      </c>
      <c r="B309"/>
      <c r="C309"/>
      <c r="D309"/>
      <c r="E309"/>
      <c r="V309" s="27" t="s">
        <v>7</v>
      </c>
      <c r="W309" s="27" t="s">
        <v>8</v>
      </c>
      <c r="X309" s="27" t="s">
        <v>7</v>
      </c>
      <c r="Y309" s="27" t="s">
        <v>8</v>
      </c>
      <c r="AB309" s="27" t="s">
        <v>7</v>
      </c>
      <c r="AC309" s="27" t="s">
        <v>8</v>
      </c>
      <c r="AD309" s="27" t="s">
        <v>7</v>
      </c>
      <c r="AI309" s="27" t="s">
        <v>8</v>
      </c>
      <c r="AJ309" s="27" t="s">
        <v>7</v>
      </c>
      <c r="AK309" s="27" t="s">
        <v>8</v>
      </c>
      <c r="AL309" s="27" t="s">
        <v>7</v>
      </c>
      <c r="AM309" s="27" t="s">
        <v>8</v>
      </c>
      <c r="AN309" s="27" t="s">
        <v>7</v>
      </c>
      <c r="AO309" s="27" t="s">
        <v>8</v>
      </c>
    </row>
    <row r="310" spans="1:41" x14ac:dyDescent="0.25">
      <c r="A310" s="30">
        <v>3.286616756321796E-2</v>
      </c>
      <c r="B310"/>
      <c r="C310"/>
      <c r="D310"/>
      <c r="E310"/>
      <c r="V310" s="27" t="s">
        <v>7</v>
      </c>
      <c r="X310" s="27" t="s">
        <v>7</v>
      </c>
      <c r="AB310" s="27" t="s">
        <v>7</v>
      </c>
      <c r="AC310" s="27" t="s">
        <v>8</v>
      </c>
      <c r="AD310" s="27" t="s">
        <v>7</v>
      </c>
      <c r="AI310" s="27" t="s">
        <v>8</v>
      </c>
      <c r="AJ310" s="27" t="s">
        <v>7</v>
      </c>
      <c r="AL310" s="27" t="s">
        <v>7</v>
      </c>
      <c r="AM310" s="27" t="s">
        <v>8</v>
      </c>
      <c r="AN310" s="27" t="s">
        <v>7</v>
      </c>
      <c r="AO310" s="27" t="s">
        <v>8</v>
      </c>
    </row>
    <row r="311" spans="1:41" x14ac:dyDescent="0.25">
      <c r="A311" s="30">
        <v>3.1301111964969472E-2</v>
      </c>
      <c r="B311"/>
      <c r="C311"/>
      <c r="D311"/>
      <c r="E311"/>
      <c r="AB311" s="27" t="s">
        <v>7</v>
      </c>
      <c r="AD311" s="27" t="s">
        <v>7</v>
      </c>
      <c r="AI311" s="27" t="s">
        <v>8</v>
      </c>
      <c r="AL311" s="31" t="s">
        <v>7</v>
      </c>
      <c r="AM311" s="27" t="s">
        <v>8</v>
      </c>
      <c r="AN311" s="27" t="s">
        <v>7</v>
      </c>
      <c r="AO311" s="27" t="s">
        <v>8</v>
      </c>
    </row>
    <row r="312" spans="1:41" x14ac:dyDescent="0.25">
      <c r="A312" s="30">
        <v>2.9810582823780438E-2</v>
      </c>
      <c r="B312"/>
      <c r="C312"/>
      <c r="D312"/>
      <c r="E312"/>
      <c r="AD312" s="27" t="s">
        <v>7</v>
      </c>
      <c r="AI312" s="27" t="s">
        <v>8</v>
      </c>
      <c r="AL312" s="27" t="s">
        <v>7</v>
      </c>
      <c r="AN312" s="27" t="s">
        <v>7</v>
      </c>
      <c r="AO312" s="27" t="s">
        <v>8</v>
      </c>
    </row>
    <row r="313" spans="1:41" x14ac:dyDescent="0.25">
      <c r="A313" s="30">
        <v>2.8391031260743264E-2</v>
      </c>
      <c r="B313"/>
      <c r="C313"/>
      <c r="D313"/>
      <c r="E313"/>
      <c r="AD313" s="27" t="s">
        <v>7</v>
      </c>
      <c r="AI313" s="27" t="s">
        <v>8</v>
      </c>
      <c r="AN313" s="18" t="s">
        <v>7</v>
      </c>
    </row>
    <row r="314" spans="1:41" x14ac:dyDescent="0.25">
      <c r="A314" s="30">
        <v>2.7039077391184052E-2</v>
      </c>
      <c r="B314"/>
      <c r="C314"/>
      <c r="D314"/>
      <c r="E314"/>
      <c r="AD314" s="27" t="s">
        <v>7</v>
      </c>
      <c r="AG314" s="27" t="s">
        <v>8</v>
      </c>
      <c r="AI314" s="27" t="s">
        <v>8</v>
      </c>
    </row>
    <row r="315" spans="1:41" x14ac:dyDescent="0.25">
      <c r="A315" s="30">
        <v>2.5751502277318133E-2</v>
      </c>
      <c r="B315"/>
      <c r="C315"/>
      <c r="D315"/>
      <c r="E315"/>
      <c r="AD315" s="27" t="s">
        <v>7</v>
      </c>
      <c r="AG315" s="27" t="s">
        <v>8</v>
      </c>
      <c r="AH315" s="27" t="s">
        <v>7</v>
      </c>
      <c r="AI315" s="27" t="s">
        <v>8</v>
      </c>
    </row>
    <row r="316" spans="1:41" x14ac:dyDescent="0.25">
      <c r="A316" s="30">
        <v>2.4525240264112496E-2</v>
      </c>
      <c r="B316"/>
      <c r="C316"/>
      <c r="D316"/>
      <c r="E316"/>
      <c r="AD316" s="27" t="s">
        <v>7</v>
      </c>
      <c r="AE316" s="27" t="s">
        <v>8</v>
      </c>
      <c r="AG316" s="27" t="s">
        <v>8</v>
      </c>
      <c r="AH316" s="27" t="s">
        <v>7</v>
      </c>
      <c r="AI316" s="27" t="s">
        <v>8</v>
      </c>
    </row>
    <row r="317" spans="1:41" x14ac:dyDescent="0.25">
      <c r="A317" s="30">
        <v>2.3357371680107129E-2</v>
      </c>
      <c r="B317"/>
      <c r="C317"/>
      <c r="D317"/>
      <c r="E317"/>
      <c r="AD317" s="27" t="s">
        <v>7</v>
      </c>
      <c r="AE317" s="27" t="s">
        <v>8</v>
      </c>
      <c r="AF317" s="27" t="s">
        <v>7</v>
      </c>
      <c r="AG317" s="27" t="s">
        <v>8</v>
      </c>
      <c r="AH317" s="27" t="s">
        <v>7</v>
      </c>
    </row>
    <row r="318" spans="1:41" x14ac:dyDescent="0.25">
      <c r="A318" s="30">
        <v>2.2245115885816305E-2</v>
      </c>
      <c r="B318"/>
      <c r="C318"/>
      <c r="D318"/>
      <c r="E318"/>
      <c r="AD318" s="27" t="s">
        <v>7</v>
      </c>
      <c r="AE318" s="27" t="s">
        <v>8</v>
      </c>
      <c r="AF318" s="27" t="s">
        <v>7</v>
      </c>
      <c r="AG318" s="27" t="s">
        <v>8</v>
      </c>
    </row>
    <row r="319" spans="1:41" x14ac:dyDescent="0.25">
      <c r="A319" s="30">
        <v>2.1185824653158377E-2</v>
      </c>
      <c r="B319"/>
      <c r="C319"/>
      <c r="D319"/>
      <c r="E319"/>
      <c r="AD319" s="27" t="s">
        <v>7</v>
      </c>
      <c r="AE319" s="27" t="s">
        <v>8</v>
      </c>
      <c r="AF319" s="27" t="s">
        <v>7</v>
      </c>
    </row>
    <row r="320" spans="1:41" x14ac:dyDescent="0.25">
      <c r="A320" s="30">
        <v>2.0176975860150829E-2</v>
      </c>
      <c r="B320"/>
      <c r="C320"/>
      <c r="D320"/>
      <c r="E320"/>
      <c r="AD320" s="27" t="s">
        <v>7</v>
      </c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36" operator="equal">
      <formula>$U$1</formula>
    </cfRule>
    <cfRule type="cellIs" dxfId="67" priority="737" operator="equal">
      <formula>$S$1</formula>
    </cfRule>
  </conditionalFormatting>
  <conditionalFormatting sqref="D136">
    <cfRule type="cellIs" dxfId="66" priority="734" operator="equal">
      <formula>$S$1</formula>
    </cfRule>
    <cfRule type="cellIs" dxfId="65" priority="735" operator="equal">
      <formula>$U$1</formula>
    </cfRule>
  </conditionalFormatting>
  <conditionalFormatting sqref="C162">
    <cfRule type="cellIs" dxfId="64" priority="732" operator="equal">
      <formula>$U$1</formula>
    </cfRule>
    <cfRule type="cellIs" dxfId="63" priority="733" operator="equal">
      <formula>$S$1</formula>
    </cfRule>
  </conditionalFormatting>
  <conditionalFormatting sqref="D162">
    <cfRule type="cellIs" dxfId="62" priority="730" operator="equal">
      <formula>$S$1</formula>
    </cfRule>
    <cfRule type="cellIs" dxfId="61" priority="731" operator="equal">
      <formula>$U$1</formula>
    </cfRule>
  </conditionalFormatting>
  <conditionalFormatting sqref="C187">
    <cfRule type="cellIs" dxfId="60" priority="728" operator="equal">
      <formula>$U$1</formula>
    </cfRule>
    <cfRule type="cellIs" dxfId="59" priority="729" operator="equal">
      <formula>$S$1</formula>
    </cfRule>
  </conditionalFormatting>
  <conditionalFormatting sqref="D187">
    <cfRule type="cellIs" dxfId="58" priority="726" operator="equal">
      <formula>$S$1</formula>
    </cfRule>
    <cfRule type="cellIs" dxfId="57" priority="727" operator="equal">
      <formula>$U$1</formula>
    </cfRule>
  </conditionalFormatting>
  <conditionalFormatting sqref="C212">
    <cfRule type="cellIs" dxfId="56" priority="724" operator="equal">
      <formula>$U$1</formula>
    </cfRule>
    <cfRule type="cellIs" dxfId="55" priority="725" operator="equal">
      <formula>$S$1</formula>
    </cfRule>
  </conditionalFormatting>
  <conditionalFormatting sqref="D212">
    <cfRule type="cellIs" dxfId="54" priority="722" operator="equal">
      <formula>$S$1</formula>
    </cfRule>
    <cfRule type="cellIs" dxfId="53" priority="723" operator="equal">
      <formula>$U$1</formula>
    </cfRule>
  </conditionalFormatting>
  <conditionalFormatting sqref="C237">
    <cfRule type="cellIs" dxfId="52" priority="720" operator="equal">
      <formula>$U$1</formula>
    </cfRule>
    <cfRule type="cellIs" dxfId="51" priority="721" operator="equal">
      <formula>$S$1</formula>
    </cfRule>
  </conditionalFormatting>
  <conditionalFormatting sqref="D237">
    <cfRule type="cellIs" dxfId="50" priority="718" operator="equal">
      <formula>$S$1</formula>
    </cfRule>
    <cfRule type="cellIs" dxfId="49" priority="719" operator="equal">
      <formula>$U$1</formula>
    </cfRule>
  </conditionalFormatting>
  <conditionalFormatting sqref="C106">
    <cfRule type="cellIs" dxfId="48" priority="716" operator="equal">
      <formula>$U$1</formula>
    </cfRule>
    <cfRule type="cellIs" dxfId="47" priority="717" operator="equal">
      <formula>$S$1</formula>
    </cfRule>
  </conditionalFormatting>
  <conditionalFormatting sqref="D106">
    <cfRule type="cellIs" dxfId="46" priority="714" operator="equal">
      <formula>$S$1</formula>
    </cfRule>
    <cfRule type="cellIs" dxfId="45" priority="715" operator="equal">
      <formula>$U$1</formula>
    </cfRule>
  </conditionalFormatting>
  <conditionalFormatting sqref="C81">
    <cfRule type="cellIs" dxfId="44" priority="712" operator="equal">
      <formula>$U$1</formula>
    </cfRule>
    <cfRule type="cellIs" dxfId="43" priority="713" operator="equal">
      <formula>$S$1</formula>
    </cfRule>
  </conditionalFormatting>
  <conditionalFormatting sqref="D81">
    <cfRule type="cellIs" dxfId="42" priority="710" operator="equal">
      <formula>$S$1</formula>
    </cfRule>
    <cfRule type="cellIs" dxfId="41" priority="711" operator="equal">
      <formula>$U$1</formula>
    </cfRule>
  </conditionalFormatting>
  <conditionalFormatting sqref="C56">
    <cfRule type="cellIs" dxfId="40" priority="708" operator="equal">
      <formula>$U$1</formula>
    </cfRule>
    <cfRule type="cellIs" dxfId="39" priority="709" operator="equal">
      <formula>$S$1</formula>
    </cfRule>
  </conditionalFormatting>
  <conditionalFormatting sqref="D56">
    <cfRule type="cellIs" dxfId="38" priority="706" operator="equal">
      <formula>$S$1</formula>
    </cfRule>
    <cfRule type="cellIs" dxfId="37" priority="707" operator="equal">
      <formula>$U$1</formula>
    </cfRule>
  </conditionalFormatting>
  <conditionalFormatting sqref="C31">
    <cfRule type="cellIs" dxfId="36" priority="704" operator="equal">
      <formula>$U$1</formula>
    </cfRule>
    <cfRule type="cellIs" dxfId="35" priority="705" operator="equal">
      <formula>$S$1</formula>
    </cfRule>
  </conditionalFormatting>
  <conditionalFormatting sqref="D31">
    <cfRule type="cellIs" dxfId="34" priority="702" operator="equal">
      <formula>$S$1</formula>
    </cfRule>
    <cfRule type="cellIs" dxfId="33" priority="70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45" zoomScale="90" zoomScaleNormal="90" workbookViewId="0">
      <pane xSplit="4" topLeftCell="G1" activePane="topRight" state="frozen"/>
      <selection activeCell="A109" sqref="A109"/>
      <selection pane="topRight" activeCell="AO46" sqref="AO4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41" x14ac:dyDescent="0.25">
      <c r="A33" s="30">
        <v>4390.927778387033</v>
      </c>
      <c r="E33"/>
    </row>
    <row r="34" spans="1:41" x14ac:dyDescent="0.25">
      <c r="A34" s="30">
        <v>3991.7525258063934</v>
      </c>
      <c r="E34"/>
    </row>
    <row r="35" spans="1:41" x14ac:dyDescent="0.25">
      <c r="A35" s="30">
        <v>3628.8659325512663</v>
      </c>
      <c r="E35"/>
    </row>
    <row r="36" spans="1:41" x14ac:dyDescent="0.25">
      <c r="A36" s="30">
        <v>3298.96902959206</v>
      </c>
      <c r="E36"/>
    </row>
    <row r="37" spans="1:41" x14ac:dyDescent="0.25">
      <c r="A37" s="30">
        <v>2999.0627541745998</v>
      </c>
      <c r="E37"/>
    </row>
    <row r="38" spans="1:41" x14ac:dyDescent="0.25">
      <c r="A38" s="30">
        <v>2726.4206856132723</v>
      </c>
      <c r="E38"/>
    </row>
    <row r="39" spans="1:41" x14ac:dyDescent="0.25">
      <c r="A39" s="30">
        <v>2478.564259648429</v>
      </c>
      <c r="E39"/>
    </row>
    <row r="40" spans="1:41" x14ac:dyDescent="0.25">
      <c r="A40" s="30">
        <v>2253.240236044026</v>
      </c>
      <c r="E40"/>
    </row>
    <row r="41" spans="1:41" x14ac:dyDescent="0.25">
      <c r="A41" s="30">
        <v>2048.4002145854779</v>
      </c>
      <c r="E41"/>
      <c r="AC41" s="27" t="s">
        <v>8</v>
      </c>
    </row>
    <row r="42" spans="1:41" x14ac:dyDescent="0.25">
      <c r="A42" s="30">
        <v>1862.1820132595253</v>
      </c>
      <c r="C42" s="1" t="s">
        <v>15</v>
      </c>
      <c r="E42"/>
      <c r="AC42" s="27" t="s">
        <v>8</v>
      </c>
      <c r="AD42" s="27" t="s">
        <v>7</v>
      </c>
      <c r="AM42" s="27" t="s">
        <v>8</v>
      </c>
    </row>
    <row r="43" spans="1:41" x14ac:dyDescent="0.25">
      <c r="A43" s="30">
        <v>1692.8927393268411</v>
      </c>
      <c r="C43" s="7">
        <v>0.11167815779424731</v>
      </c>
      <c r="D43"/>
      <c r="E43"/>
      <c r="AC43" s="27" t="s">
        <v>8</v>
      </c>
      <c r="AD43" s="27" t="s">
        <v>7</v>
      </c>
      <c r="AE43" s="27" t="s">
        <v>8</v>
      </c>
      <c r="AM43" s="27" t="s">
        <v>8</v>
      </c>
      <c r="AN43" s="27" t="s">
        <v>7</v>
      </c>
    </row>
    <row r="44" spans="1:41" x14ac:dyDescent="0.25">
      <c r="A44" s="30">
        <v>1538.9933993880372</v>
      </c>
      <c r="E44"/>
      <c r="AC44" s="27" t="s">
        <v>8</v>
      </c>
      <c r="AD44" s="27" t="s">
        <v>7</v>
      </c>
      <c r="AE44" s="27" t="s">
        <v>8</v>
      </c>
      <c r="AF44" s="27" t="s">
        <v>7</v>
      </c>
      <c r="AM44" s="27" t="s">
        <v>8</v>
      </c>
      <c r="AN44" s="27" t="s">
        <v>7</v>
      </c>
    </row>
    <row r="45" spans="1:41" x14ac:dyDescent="0.25">
      <c r="A45" s="30">
        <v>1399.0849085345792</v>
      </c>
      <c r="C45" s="1" t="s">
        <v>11</v>
      </c>
      <c r="D45" s="1" t="s">
        <v>12</v>
      </c>
      <c r="E45"/>
      <c r="AC45" s="27" t="s">
        <v>8</v>
      </c>
      <c r="AD45" s="27" t="s">
        <v>7</v>
      </c>
      <c r="AE45" s="27" t="s">
        <v>8</v>
      </c>
      <c r="AF45" s="27" t="s">
        <v>7</v>
      </c>
      <c r="AM45" s="27" t="s">
        <v>8</v>
      </c>
      <c r="AN45" s="27" t="s">
        <v>7</v>
      </c>
    </row>
    <row r="46" spans="1:41" x14ac:dyDescent="0.25">
      <c r="A46" s="30">
        <v>1271.8953713950718</v>
      </c>
      <c r="C46"/>
      <c r="D46"/>
      <c r="E46"/>
      <c r="AC46" s="27" t="s">
        <v>8</v>
      </c>
      <c r="AD46" s="27" t="s">
        <v>7</v>
      </c>
      <c r="AE46" s="27" t="s">
        <v>8</v>
      </c>
      <c r="AF46" s="27" t="s">
        <v>7</v>
      </c>
      <c r="AK46" s="27" t="s">
        <v>8</v>
      </c>
      <c r="AM46" s="27" t="s">
        <v>8</v>
      </c>
      <c r="AN46" s="27" t="s">
        <v>7</v>
      </c>
      <c r="AO46" s="27" t="s">
        <v>8</v>
      </c>
    </row>
    <row r="47" spans="1:41" x14ac:dyDescent="0.25">
      <c r="A47" s="30">
        <v>1156.2685194500652</v>
      </c>
      <c r="E47"/>
      <c r="AC47" s="27" t="s">
        <v>8</v>
      </c>
      <c r="AD47" s="27" t="s">
        <v>7</v>
      </c>
      <c r="AF47" s="27" t="s">
        <v>7</v>
      </c>
      <c r="AK47" s="27" t="s">
        <v>8</v>
      </c>
      <c r="AL47" s="27" t="s">
        <v>7</v>
      </c>
      <c r="AM47" s="27" t="s">
        <v>8</v>
      </c>
      <c r="AN47" s="27" t="s">
        <v>7</v>
      </c>
      <c r="AO47" s="27" t="s">
        <v>8</v>
      </c>
    </row>
    <row r="48" spans="1:41" x14ac:dyDescent="0.25">
      <c r="A48" s="30">
        <v>1051.1531995000591</v>
      </c>
      <c r="C48" s="1" t="s">
        <v>13</v>
      </c>
      <c r="E48"/>
      <c r="AC48" s="27" t="s">
        <v>8</v>
      </c>
      <c r="AF48" s="27" t="s">
        <v>7</v>
      </c>
      <c r="AG48" s="27" t="s">
        <v>8</v>
      </c>
      <c r="AK48" s="27" t="s">
        <v>8</v>
      </c>
      <c r="AL48" s="27" t="s">
        <v>7</v>
      </c>
      <c r="AM48" s="27" t="s">
        <v>8</v>
      </c>
      <c r="AN48" s="27" t="s">
        <v>7</v>
      </c>
      <c r="AO48" s="27" t="s">
        <v>8</v>
      </c>
    </row>
    <row r="49" spans="1:41" x14ac:dyDescent="0.25">
      <c r="A49" s="30">
        <v>955.59381772732638</v>
      </c>
      <c r="C49" s="1">
        <f>C38</f>
        <v>0</v>
      </c>
      <c r="E49"/>
      <c r="AC49" s="27" t="s">
        <v>8</v>
      </c>
      <c r="AF49" s="27" t="s">
        <v>7</v>
      </c>
      <c r="AG49" s="27" t="s">
        <v>8</v>
      </c>
      <c r="AH49" s="27" t="s">
        <v>7</v>
      </c>
      <c r="AI49" s="27" t="s">
        <v>8</v>
      </c>
      <c r="AK49" s="27" t="s">
        <v>8</v>
      </c>
      <c r="AL49" s="27" t="s">
        <v>7</v>
      </c>
      <c r="AN49" s="27" t="s">
        <v>7</v>
      </c>
      <c r="AO49" s="27" t="s">
        <v>8</v>
      </c>
    </row>
    <row r="50" spans="1:41" x14ac:dyDescent="0.25">
      <c r="A50" s="30">
        <v>868.72165247938756</v>
      </c>
      <c r="C50"/>
      <c r="D50"/>
      <c r="E50"/>
      <c r="AC50" s="27" t="s">
        <v>8</v>
      </c>
      <c r="AF50" s="27" t="s">
        <v>7</v>
      </c>
      <c r="AG50" s="27" t="s">
        <v>8</v>
      </c>
      <c r="AH50" s="27" t="s">
        <v>7</v>
      </c>
      <c r="AI50" s="27" t="s">
        <v>8</v>
      </c>
      <c r="AJ50" s="27" t="s">
        <v>7</v>
      </c>
      <c r="AK50" s="27" t="s">
        <v>8</v>
      </c>
      <c r="AN50" s="27" t="s">
        <v>7</v>
      </c>
      <c r="AO50" s="27" t="s">
        <v>8</v>
      </c>
    </row>
    <row r="51" spans="1:41" x14ac:dyDescent="0.25">
      <c r="A51" s="30">
        <v>789.74695679944318</v>
      </c>
      <c r="C51" s="1" t="s">
        <v>14</v>
      </c>
      <c r="E51"/>
      <c r="AC51" s="27" t="s">
        <v>8</v>
      </c>
      <c r="AF51" s="27" t="s">
        <v>7</v>
      </c>
      <c r="AG51" s="27" t="s">
        <v>8</v>
      </c>
      <c r="AH51" s="27" t="s">
        <v>7</v>
      </c>
      <c r="AI51" s="27" t="s">
        <v>8</v>
      </c>
      <c r="AJ51" s="27" t="s">
        <v>7</v>
      </c>
      <c r="AK51" s="27" t="s">
        <v>8</v>
      </c>
      <c r="AN51" s="27" t="s">
        <v>7</v>
      </c>
    </row>
    <row r="52" spans="1:41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  <c r="AC52" s="27" t="s">
        <v>8</v>
      </c>
      <c r="AF52" s="27" t="s">
        <v>7</v>
      </c>
      <c r="AG52" s="27" t="s">
        <v>8</v>
      </c>
      <c r="AH52" s="27" t="s">
        <v>7</v>
      </c>
      <c r="AI52" s="27" t="s">
        <v>8</v>
      </c>
      <c r="AJ52" s="27" t="s">
        <v>7</v>
      </c>
    </row>
    <row r="53" spans="1:41" x14ac:dyDescent="0.25">
      <c r="A53" s="30">
        <v>652.68343537144051</v>
      </c>
      <c r="E53"/>
      <c r="AC53" s="27" t="s">
        <v>8</v>
      </c>
      <c r="AF53" s="27" t="s">
        <v>7</v>
      </c>
      <c r="AH53" s="27" t="s">
        <v>7</v>
      </c>
      <c r="AI53" s="27" t="s">
        <v>8</v>
      </c>
    </row>
    <row r="54" spans="1:41" x14ac:dyDescent="0.25">
      <c r="A54" s="30">
        <v>593.34857761040041</v>
      </c>
      <c r="E54"/>
      <c r="AC54" s="27" t="s">
        <v>8</v>
      </c>
      <c r="AH54" s="27" t="s">
        <v>7</v>
      </c>
    </row>
    <row r="55" spans="1:41" x14ac:dyDescent="0.25">
      <c r="A55" s="30">
        <v>539.40779782763673</v>
      </c>
      <c r="E55"/>
      <c r="Y55" s="27" t="s">
        <v>8</v>
      </c>
      <c r="AC55" s="27" t="s">
        <v>8</v>
      </c>
    </row>
    <row r="56" spans="1:41" x14ac:dyDescent="0.25">
      <c r="A56" s="30">
        <v>490.37072529785149</v>
      </c>
      <c r="E56"/>
      <c r="Y56" s="27" t="s">
        <v>8</v>
      </c>
      <c r="Z56" s="27" t="s">
        <v>7</v>
      </c>
      <c r="AC56" s="27" t="s">
        <v>8</v>
      </c>
    </row>
    <row r="57" spans="1:41" x14ac:dyDescent="0.25">
      <c r="A57" s="30">
        <v>445.79156845259223</v>
      </c>
      <c r="E57"/>
      <c r="W57" s="27" t="s">
        <v>8</v>
      </c>
      <c r="Y57" s="27" t="s">
        <v>8</v>
      </c>
      <c r="Z57" s="27" t="s">
        <v>7</v>
      </c>
      <c r="AA57" s="27" t="s">
        <v>8</v>
      </c>
      <c r="AC57" s="27" t="s">
        <v>8</v>
      </c>
    </row>
    <row r="58" spans="1:41" x14ac:dyDescent="0.25">
      <c r="A58" s="30">
        <v>405.26506222962928</v>
      </c>
      <c r="E58"/>
      <c r="W58" s="27" t="s">
        <v>8</v>
      </c>
      <c r="X58" s="27" t="s">
        <v>7</v>
      </c>
      <c r="Y58" s="27" t="s">
        <v>8</v>
      </c>
      <c r="Z58" s="27" t="s">
        <v>7</v>
      </c>
      <c r="AA58" s="27" t="s">
        <v>8</v>
      </c>
      <c r="AB58" s="27" t="s">
        <v>7</v>
      </c>
      <c r="AC58" s="27" t="s">
        <v>8</v>
      </c>
    </row>
    <row r="59" spans="1:41" x14ac:dyDescent="0.25">
      <c r="A59" s="30">
        <v>368.42278384511752</v>
      </c>
      <c r="E59"/>
      <c r="W59" s="27" t="s">
        <v>8</v>
      </c>
      <c r="X59" s="27" t="s">
        <v>7</v>
      </c>
      <c r="Y59" s="27" t="s">
        <v>8</v>
      </c>
      <c r="Z59" s="27" t="s">
        <v>7</v>
      </c>
      <c r="AA59" s="27" t="s">
        <v>8</v>
      </c>
      <c r="AB59" s="27" t="s">
        <v>7</v>
      </c>
      <c r="AC59" s="27" t="s">
        <v>8</v>
      </c>
    </row>
    <row r="60" spans="1:41" x14ac:dyDescent="0.25">
      <c r="A60" s="30">
        <v>334.92980349556137</v>
      </c>
      <c r="E60"/>
      <c r="W60" s="27" t="s">
        <v>8</v>
      </c>
      <c r="X60" s="27" t="s">
        <v>7</v>
      </c>
      <c r="Y60" s="27" t="s">
        <v>8</v>
      </c>
      <c r="Z60" s="27" t="s">
        <v>7</v>
      </c>
      <c r="AA60" s="27" t="s">
        <v>8</v>
      </c>
      <c r="AB60" s="27" t="s">
        <v>7</v>
      </c>
    </row>
    <row r="61" spans="1:41" x14ac:dyDescent="0.25">
      <c r="A61" s="30">
        <v>304.48163954141938</v>
      </c>
      <c r="E61"/>
      <c r="W61" s="27" t="s">
        <v>8</v>
      </c>
      <c r="X61" s="27" t="s">
        <v>7</v>
      </c>
      <c r="Y61" s="27" t="s">
        <v>8</v>
      </c>
      <c r="Z61" s="27" t="s">
        <v>7</v>
      </c>
      <c r="AA61" s="27" t="s">
        <v>8</v>
      </c>
    </row>
    <row r="62" spans="1:41" x14ac:dyDescent="0.25">
      <c r="A62" s="30">
        <v>276.80149049219943</v>
      </c>
      <c r="E62"/>
      <c r="W62" s="27" t="s">
        <v>8</v>
      </c>
      <c r="X62" s="27" t="s">
        <v>7</v>
      </c>
      <c r="Y62" s="27" t="s">
        <v>8</v>
      </c>
      <c r="Z62" s="27" t="s">
        <v>7</v>
      </c>
    </row>
    <row r="63" spans="1:41" x14ac:dyDescent="0.25">
      <c r="A63" s="30">
        <v>251.63771862927217</v>
      </c>
      <c r="E63"/>
      <c r="W63" s="27" t="s">
        <v>8</v>
      </c>
      <c r="X63" s="27" t="s">
        <v>7</v>
      </c>
    </row>
    <row r="64" spans="1:41" x14ac:dyDescent="0.25">
      <c r="A64" s="30">
        <v>228.76156239024741</v>
      </c>
      <c r="E64"/>
      <c r="S64" s="27" t="s">
        <v>8</v>
      </c>
      <c r="U64" s="27" t="s">
        <v>8</v>
      </c>
      <c r="W64" s="27" t="s">
        <v>8</v>
      </c>
    </row>
    <row r="65" spans="1:25" x14ac:dyDescent="0.25">
      <c r="A65" s="30">
        <v>207.96505671840671</v>
      </c>
      <c r="E65"/>
      <c r="S65" s="27" t="s">
        <v>8</v>
      </c>
      <c r="T65" s="27" t="s">
        <v>7</v>
      </c>
      <c r="U65" s="27" t="s">
        <v>8</v>
      </c>
      <c r="V65" s="27" t="s">
        <v>7</v>
      </c>
      <c r="W65" s="27" t="s">
        <v>8</v>
      </c>
    </row>
    <row r="66" spans="1:25" x14ac:dyDescent="0.25">
      <c r="A66" s="30">
        <v>189.05914247127882</v>
      </c>
      <c r="E66"/>
      <c r="S66" s="27" t="s">
        <v>8</v>
      </c>
      <c r="T66" s="27" t="s">
        <v>7</v>
      </c>
      <c r="U66" s="27" t="s">
        <v>8</v>
      </c>
      <c r="V66" s="27" t="s">
        <v>7</v>
      </c>
      <c r="W66" s="27" t="s">
        <v>8</v>
      </c>
      <c r="X66" s="32"/>
      <c r="Y66" s="32"/>
    </row>
    <row r="67" spans="1:25" x14ac:dyDescent="0.25">
      <c r="A67" s="30">
        <v>171.87194770116255</v>
      </c>
      <c r="C67" s="1" t="s">
        <v>15</v>
      </c>
      <c r="E67"/>
      <c r="S67" s="27" t="s">
        <v>8</v>
      </c>
      <c r="T67" s="27" t="s">
        <v>7</v>
      </c>
      <c r="U67" s="27" t="s">
        <v>8</v>
      </c>
      <c r="V67" s="27" t="s">
        <v>7</v>
      </c>
      <c r="W67" s="32"/>
    </row>
    <row r="68" spans="1:25" x14ac:dyDescent="0.25">
      <c r="A68" s="30">
        <v>156.24722518287504</v>
      </c>
      <c r="C68" s="7">
        <v>0.11167815779424731</v>
      </c>
      <c r="D68"/>
      <c r="E68"/>
      <c r="S68" s="27" t="s">
        <v>8</v>
      </c>
      <c r="T68" s="27" t="s">
        <v>7</v>
      </c>
      <c r="U68" s="27" t="s">
        <v>8</v>
      </c>
      <c r="V68" s="32"/>
    </row>
    <row r="69" spans="1:25" x14ac:dyDescent="0.25">
      <c r="A69" s="30">
        <v>142.04293198443185</v>
      </c>
      <c r="E69"/>
      <c r="S69" s="27" t="s">
        <v>8</v>
      </c>
      <c r="T69" s="27" t="s">
        <v>7</v>
      </c>
      <c r="U69" s="32" t="s">
        <v>8</v>
      </c>
    </row>
    <row r="70" spans="1:25" x14ac:dyDescent="0.25">
      <c r="A70" s="30">
        <v>129.1299381676653</v>
      </c>
      <c r="C70" s="1" t="s">
        <v>11</v>
      </c>
      <c r="D70" s="1" t="s">
        <v>12</v>
      </c>
      <c r="E70"/>
      <c r="S70" s="27" t="s">
        <v>8</v>
      </c>
      <c r="T70" s="32" t="s">
        <v>7</v>
      </c>
    </row>
    <row r="71" spans="1:25" x14ac:dyDescent="0.25">
      <c r="A71" s="30">
        <v>117.39085287969573</v>
      </c>
      <c r="C71"/>
      <c r="D71"/>
      <c r="E71"/>
      <c r="S71" s="27" t="s">
        <v>8</v>
      </c>
    </row>
    <row r="72" spans="1:25" x14ac:dyDescent="0.25">
      <c r="A72" s="30">
        <v>106.71895716335975</v>
      </c>
      <c r="E72"/>
      <c r="S72" s="27" t="s">
        <v>8</v>
      </c>
    </row>
    <row r="73" spans="1:25" x14ac:dyDescent="0.25">
      <c r="A73" s="30">
        <v>97.017233784872488</v>
      </c>
      <c r="C73" s="1" t="s">
        <v>13</v>
      </c>
      <c r="E73"/>
      <c r="S73" s="27" t="s">
        <v>8</v>
      </c>
    </row>
    <row r="74" spans="1:25" x14ac:dyDescent="0.25">
      <c r="A74" s="30">
        <v>88.197485258974979</v>
      </c>
      <c r="C74" s="1">
        <f>C63</f>
        <v>0</v>
      </c>
      <c r="E74"/>
      <c r="S74" s="27" t="s">
        <v>8</v>
      </c>
    </row>
    <row r="75" spans="1:25" x14ac:dyDescent="0.25">
      <c r="A75" s="30">
        <v>80.179532053613613</v>
      </c>
      <c r="C75"/>
      <c r="D75"/>
      <c r="E75"/>
      <c r="S75" s="27" t="s">
        <v>8</v>
      </c>
    </row>
    <row r="76" spans="1:25" x14ac:dyDescent="0.25">
      <c r="A76" s="30">
        <v>72.890483685103277</v>
      </c>
      <c r="C76" s="1" t="s">
        <v>14</v>
      </c>
      <c r="E76"/>
      <c r="S76" s="27" t="s">
        <v>8</v>
      </c>
    </row>
    <row r="77" spans="1:2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S77" s="27" t="s">
        <v>8</v>
      </c>
    </row>
    <row r="78" spans="1:25" x14ac:dyDescent="0.25">
      <c r="A78" s="30">
        <v>60.240069161242367</v>
      </c>
      <c r="E78"/>
      <c r="S78" s="27" t="s">
        <v>8</v>
      </c>
    </row>
    <row r="79" spans="1:25" x14ac:dyDescent="0.25">
      <c r="A79" s="30">
        <v>54.763699237493057</v>
      </c>
      <c r="E79"/>
      <c r="S79" s="27" t="s">
        <v>8</v>
      </c>
    </row>
    <row r="80" spans="1:25" x14ac:dyDescent="0.25">
      <c r="A80" s="30">
        <v>49.785181124993684</v>
      </c>
      <c r="E80"/>
      <c r="S80" s="27" t="s">
        <v>8</v>
      </c>
    </row>
    <row r="81" spans="1:19" x14ac:dyDescent="0.25">
      <c r="A81" s="30">
        <v>45.259255568176073</v>
      </c>
      <c r="E81"/>
      <c r="S81" s="27" t="s">
        <v>8</v>
      </c>
    </row>
    <row r="82" spans="1:19" x14ac:dyDescent="0.25">
      <c r="A82" s="30">
        <v>41.144777789250973</v>
      </c>
      <c r="E82"/>
      <c r="S82" s="27" t="s">
        <v>8</v>
      </c>
    </row>
    <row r="83" spans="1:19" x14ac:dyDescent="0.25">
      <c r="A83" s="30">
        <v>37.404343444773609</v>
      </c>
      <c r="E83"/>
      <c r="S83" s="27" t="s">
        <v>8</v>
      </c>
    </row>
    <row r="84" spans="1:19" x14ac:dyDescent="0.25">
      <c r="A84" s="30">
        <v>34.003948586157826</v>
      </c>
      <c r="E84"/>
      <c r="S84" s="27" t="s">
        <v>8</v>
      </c>
    </row>
    <row r="85" spans="1:19" x14ac:dyDescent="0.25">
      <c r="A85" s="30">
        <v>30.912680532870748</v>
      </c>
      <c r="E85"/>
      <c r="S85" s="27" t="s">
        <v>8</v>
      </c>
    </row>
    <row r="86" spans="1:19" x14ac:dyDescent="0.25">
      <c r="A86" s="30">
        <v>28.102436848064315</v>
      </c>
      <c r="E86"/>
      <c r="S86" s="27" t="s">
        <v>8</v>
      </c>
    </row>
    <row r="87" spans="1:19" x14ac:dyDescent="0.25">
      <c r="A87" s="30">
        <v>25.547669861876649</v>
      </c>
      <c r="E87"/>
      <c r="S87" s="27" t="s">
        <v>8</v>
      </c>
    </row>
    <row r="88" spans="1:19" x14ac:dyDescent="0.25">
      <c r="A88" s="30">
        <v>23.225154419887861</v>
      </c>
      <c r="E88"/>
      <c r="S88" s="27" t="s">
        <v>8</v>
      </c>
    </row>
    <row r="89" spans="1:19" x14ac:dyDescent="0.25">
      <c r="A89" s="30">
        <v>21.113776745352599</v>
      </c>
      <c r="E89"/>
      <c r="S89" s="27" t="s">
        <v>8</v>
      </c>
    </row>
    <row r="90" spans="1:19" x14ac:dyDescent="0.25">
      <c r="A90" s="30">
        <v>19.194342495775089</v>
      </c>
      <c r="E90"/>
      <c r="S90" s="27" t="s">
        <v>8</v>
      </c>
    </row>
    <row r="91" spans="1:19" x14ac:dyDescent="0.25">
      <c r="A91" s="30">
        <v>17.449402268886445</v>
      </c>
      <c r="E91"/>
      <c r="S91" s="27" t="s">
        <v>8</v>
      </c>
    </row>
    <row r="92" spans="1:19" x14ac:dyDescent="0.25">
      <c r="A92" s="30">
        <v>15.863092971714948</v>
      </c>
      <c r="C92" s="1" t="s">
        <v>15</v>
      </c>
      <c r="E92"/>
      <c r="S92" s="27" t="s">
        <v>8</v>
      </c>
    </row>
    <row r="93" spans="1:19" x14ac:dyDescent="0.25">
      <c r="A93" s="30">
        <v>14.420993610649951</v>
      </c>
      <c r="C93" s="7">
        <v>0.11167815779424731</v>
      </c>
      <c r="D93"/>
      <c r="E93"/>
      <c r="S93" s="27" t="s">
        <v>8</v>
      </c>
    </row>
    <row r="94" spans="1:19" x14ac:dyDescent="0.25">
      <c r="A94" s="30">
        <v>13.109994191499954</v>
      </c>
      <c r="E94"/>
      <c r="S94" s="27" t="s">
        <v>8</v>
      </c>
    </row>
    <row r="95" spans="1:19" x14ac:dyDescent="0.25">
      <c r="A95" s="30">
        <v>11.918176537727231</v>
      </c>
      <c r="C95" s="1" t="s">
        <v>11</v>
      </c>
      <c r="D95" s="1" t="s">
        <v>12</v>
      </c>
      <c r="E95"/>
      <c r="S95" s="27" t="s">
        <v>8</v>
      </c>
    </row>
    <row r="96" spans="1:19" x14ac:dyDescent="0.25">
      <c r="A96" s="30">
        <v>10.834705943388391</v>
      </c>
      <c r="C96"/>
      <c r="D96"/>
      <c r="E96"/>
      <c r="S96" s="27" t="s">
        <v>8</v>
      </c>
    </row>
    <row r="97" spans="1:19" x14ac:dyDescent="0.25">
      <c r="A97" s="30">
        <v>9.849732675807628</v>
      </c>
      <c r="E97"/>
      <c r="S97" s="27" t="s">
        <v>8</v>
      </c>
    </row>
    <row r="98" spans="1:19" x14ac:dyDescent="0.25">
      <c r="A98" s="30">
        <v>8.9543024325523888</v>
      </c>
      <c r="C98" s="1" t="s">
        <v>13</v>
      </c>
      <c r="E98"/>
      <c r="S98" s="27" t="s">
        <v>8</v>
      </c>
    </row>
    <row r="99" spans="1:19" x14ac:dyDescent="0.25">
      <c r="A99" s="30">
        <v>8.140274938683989</v>
      </c>
      <c r="C99" s="1">
        <f>C88</f>
        <v>0</v>
      </c>
      <c r="E99"/>
      <c r="S99" s="27" t="s">
        <v>8</v>
      </c>
    </row>
    <row r="100" spans="1:19" x14ac:dyDescent="0.25">
      <c r="A100" s="30">
        <v>7.4002499442581717</v>
      </c>
      <c r="C100"/>
      <c r="D100"/>
      <c r="E100"/>
      <c r="S100" s="27" t="s">
        <v>8</v>
      </c>
    </row>
    <row r="101" spans="1:19" x14ac:dyDescent="0.25">
      <c r="A101" s="30">
        <v>6.72749994932561</v>
      </c>
      <c r="C101" s="1" t="s">
        <v>14</v>
      </c>
      <c r="E101"/>
      <c r="S101" s="27" t="s">
        <v>8</v>
      </c>
    </row>
    <row r="102" spans="1:19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S102" s="27" t="s">
        <v>8</v>
      </c>
    </row>
    <row r="103" spans="1:19" x14ac:dyDescent="0.25">
      <c r="A103" s="30">
        <v>5.5599173134922388</v>
      </c>
      <c r="E103"/>
      <c r="S103" s="27" t="s">
        <v>8</v>
      </c>
    </row>
    <row r="104" spans="1:19" x14ac:dyDescent="0.25">
      <c r="A104" s="30">
        <v>5.0544702849929442</v>
      </c>
      <c r="E104"/>
      <c r="S104" s="27" t="s">
        <v>8</v>
      </c>
    </row>
    <row r="105" spans="1:19" x14ac:dyDescent="0.25">
      <c r="A105" s="30">
        <v>4.594972986357222</v>
      </c>
      <c r="E105"/>
      <c r="S105" s="27" t="s">
        <v>8</v>
      </c>
    </row>
    <row r="106" spans="1:19" x14ac:dyDescent="0.25">
      <c r="A106" s="30">
        <v>4.1772481694156562</v>
      </c>
      <c r="E106"/>
      <c r="S106" s="27" t="s">
        <v>8</v>
      </c>
    </row>
    <row r="107" spans="1:19" x14ac:dyDescent="0.25">
      <c r="A107" s="30">
        <v>3.7974983358324148</v>
      </c>
      <c r="E107"/>
      <c r="S107" s="27" t="s">
        <v>8</v>
      </c>
    </row>
    <row r="108" spans="1:19" x14ac:dyDescent="0.25">
      <c r="A108" s="30">
        <v>3.4522712143931042</v>
      </c>
      <c r="E108"/>
      <c r="S108" s="27" t="s">
        <v>8</v>
      </c>
    </row>
    <row r="109" spans="1:19" x14ac:dyDescent="0.25">
      <c r="A109" s="30">
        <v>3.1384283767210035</v>
      </c>
      <c r="E109"/>
      <c r="S109" s="27" t="s">
        <v>8</v>
      </c>
    </row>
    <row r="110" spans="1:19" x14ac:dyDescent="0.25">
      <c r="A110" s="30">
        <v>2.8531167061100029</v>
      </c>
      <c r="E110"/>
      <c r="S110" s="27" t="s">
        <v>8</v>
      </c>
    </row>
    <row r="111" spans="1:19" x14ac:dyDescent="0.25">
      <c r="A111" s="30">
        <v>2.5937424601000023</v>
      </c>
      <c r="C111" s="1" t="str">
        <f>ADDRESS(C121-1,1,1,1)</f>
        <v>$A$45</v>
      </c>
      <c r="D111" s="1" t="str">
        <f>ADDRESS(C121-1,D121,1,1)</f>
        <v>$AO$45</v>
      </c>
      <c r="E111"/>
      <c r="S111" s="27" t="s">
        <v>8</v>
      </c>
    </row>
    <row r="112" spans="1:19" x14ac:dyDescent="0.25">
      <c r="A112" s="30">
        <v>2.3579476910000019</v>
      </c>
      <c r="C112" s="1" t="str">
        <f>ADDRESS(C121,1,1,1)</f>
        <v>$A$46</v>
      </c>
      <c r="D112" s="1" t="str">
        <f>ADDRESS(C121,D121-1,1,1)</f>
        <v>$AN$46</v>
      </c>
      <c r="E112"/>
      <c r="S112" s="27" t="s">
        <v>8</v>
      </c>
    </row>
    <row r="113" spans="1:19" x14ac:dyDescent="0.25">
      <c r="A113" s="30">
        <v>2.1435888100000016</v>
      </c>
      <c r="C113" s="1" t="str">
        <f>ADDRESS(C121+1,1,1,1)</f>
        <v>$A$47</v>
      </c>
      <c r="D113" s="1" t="str">
        <f>ADDRESS(C121-1,D121+1,1,1)</f>
        <v>$AP$45</v>
      </c>
      <c r="S113" s="27" t="s">
        <v>8</v>
      </c>
    </row>
    <row r="114" spans="1:19" x14ac:dyDescent="0.25">
      <c r="A114" s="30">
        <v>1.9487171000000014</v>
      </c>
      <c r="C114" s="1" t="str">
        <f>ADDRESS(C121,D121,1,1)</f>
        <v>$AO$46</v>
      </c>
      <c r="D114" s="1" t="str">
        <f>ADDRESS(C121+1,D121+1,1,1)</f>
        <v>$AP$47</v>
      </c>
      <c r="S114" s="27" t="s">
        <v>8</v>
      </c>
    </row>
    <row r="115" spans="1:19" x14ac:dyDescent="0.25">
      <c r="A115" s="30">
        <v>1.7715610000000011</v>
      </c>
      <c r="C115" s="1" t="str">
        <f>ADDRESS(C121+1,D121,1,1)</f>
        <v>$AO$47</v>
      </c>
      <c r="S115" s="27" t="s">
        <v>8</v>
      </c>
    </row>
    <row r="116" spans="1:19" x14ac:dyDescent="0.25">
      <c r="A116" s="30">
        <v>1.6105100000000008</v>
      </c>
      <c r="C116" s="1">
        <f>C117-1</f>
        <v>45</v>
      </c>
      <c r="S116" s="27" t="s">
        <v>8</v>
      </c>
    </row>
    <row r="117" spans="1:19" x14ac:dyDescent="0.25">
      <c r="A117" s="30">
        <v>1.4641000000000006</v>
      </c>
      <c r="C117" s="1">
        <f>C121</f>
        <v>46</v>
      </c>
      <c r="D117" s="1">
        <f>D121</f>
        <v>41</v>
      </c>
      <c r="S117" s="27" t="s">
        <v>8</v>
      </c>
    </row>
    <row r="118" spans="1:19" x14ac:dyDescent="0.25">
      <c r="A118" s="30">
        <v>1.3310000000000004</v>
      </c>
      <c r="C118" s="1">
        <f>C117+1</f>
        <v>47</v>
      </c>
      <c r="D118" s="1">
        <f>D117+1</f>
        <v>42</v>
      </c>
      <c r="S118" s="27" t="s">
        <v>8</v>
      </c>
    </row>
    <row r="119" spans="1:19" x14ac:dyDescent="0.25">
      <c r="A119" s="30">
        <v>1.2100000000000002</v>
      </c>
      <c r="S119" s="27" t="s">
        <v>8</v>
      </c>
    </row>
    <row r="120" spans="1:19" x14ac:dyDescent="0.25">
      <c r="A120" s="30">
        <v>1.1000000000000001</v>
      </c>
      <c r="C120" s="1" t="s">
        <v>9</v>
      </c>
      <c r="S120" s="27" t="s">
        <v>8</v>
      </c>
    </row>
    <row r="121" spans="1:19" x14ac:dyDescent="0.25">
      <c r="A121" s="30">
        <v>1</v>
      </c>
      <c r="C121" s="18">
        <v>46</v>
      </c>
      <c r="D121" s="19">
        <v>41</v>
      </c>
      <c r="E121" s="18" t="s">
        <v>8</v>
      </c>
      <c r="S121" s="27" t="s">
        <v>8</v>
      </c>
    </row>
    <row r="122" spans="1:19" x14ac:dyDescent="0.25">
      <c r="A122" s="30">
        <v>0.90909090909090895</v>
      </c>
      <c r="C122" s="1" t="str">
        <f>INDEX(1:1048576,C117,D117)</f>
        <v>X</v>
      </c>
      <c r="F122" s="27" t="s">
        <v>7</v>
      </c>
      <c r="S122" s="27" t="s">
        <v>8</v>
      </c>
    </row>
    <row r="123" spans="1:19" x14ac:dyDescent="0.25">
      <c r="A123" s="30">
        <v>0.82644628099173523</v>
      </c>
      <c r="C123" s="1" t="str">
        <f>"R"&amp;C121</f>
        <v>R46</v>
      </c>
      <c r="D123" s="1" t="str">
        <f>"C"&amp;D121</f>
        <v>C41</v>
      </c>
      <c r="F123" s="27" t="s">
        <v>7</v>
      </c>
      <c r="S123" s="27" t="s">
        <v>8</v>
      </c>
    </row>
    <row r="124" spans="1:19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S124" s="27" t="s">
        <v>8</v>
      </c>
    </row>
    <row r="125" spans="1:19" x14ac:dyDescent="0.25">
      <c r="A125" s="30">
        <v>0.68301345536507019</v>
      </c>
      <c r="F125" s="27" t="s">
        <v>7</v>
      </c>
      <c r="S125" s="27" t="s">
        <v>8</v>
      </c>
    </row>
    <row r="126" spans="1:19" x14ac:dyDescent="0.25">
      <c r="A126" s="30">
        <v>0.6209213230591546</v>
      </c>
      <c r="C126" s="1" t="s">
        <v>10</v>
      </c>
      <c r="F126" s="27" t="s">
        <v>7</v>
      </c>
      <c r="S126" s="27" t="s">
        <v>8</v>
      </c>
    </row>
    <row r="127" spans="1:19" x14ac:dyDescent="0.25">
      <c r="A127" s="30">
        <v>0.56447393005377677</v>
      </c>
      <c r="C127" s="30">
        <v>1271.8953713950718</v>
      </c>
      <c r="D127"/>
      <c r="F127" s="27" t="s">
        <v>7</v>
      </c>
      <c r="S127" s="27" t="s">
        <v>8</v>
      </c>
    </row>
    <row r="128" spans="1:19" x14ac:dyDescent="0.25">
      <c r="A128" s="30">
        <v>0.51315811823070612</v>
      </c>
      <c r="F128" s="27" t="s">
        <v>7</v>
      </c>
      <c r="S128" s="27" t="s">
        <v>8</v>
      </c>
    </row>
    <row r="129" spans="1:19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S129" s="27" t="s">
        <v>8</v>
      </c>
    </row>
    <row r="130" spans="1:19" x14ac:dyDescent="0.25">
      <c r="A130" s="30">
        <v>0.42409761837248428</v>
      </c>
      <c r="C130" s="6"/>
      <c r="D130" s="6"/>
      <c r="E130"/>
      <c r="F130" s="27" t="s">
        <v>7</v>
      </c>
      <c r="S130" s="27" t="s">
        <v>8</v>
      </c>
    </row>
    <row r="131" spans="1:19" x14ac:dyDescent="0.25">
      <c r="A131" s="30">
        <v>0.38554328942953109</v>
      </c>
      <c r="E131"/>
      <c r="F131" s="27" t="s">
        <v>7</v>
      </c>
      <c r="S131" s="27" t="s">
        <v>8</v>
      </c>
    </row>
    <row r="132" spans="1:19" x14ac:dyDescent="0.25">
      <c r="A132" s="30">
        <v>0.35049389948139187</v>
      </c>
      <c r="C132" s="1" t="s">
        <v>13</v>
      </c>
      <c r="E132"/>
      <c r="F132" s="27" t="s">
        <v>7</v>
      </c>
      <c r="S132" s="27" t="s">
        <v>8</v>
      </c>
    </row>
    <row r="133" spans="1:19" x14ac:dyDescent="0.25">
      <c r="A133" s="30">
        <v>0.31863081771035617</v>
      </c>
      <c r="C133" s="1" t="str">
        <f>C122</f>
        <v>X</v>
      </c>
      <c r="E133"/>
      <c r="F133" s="27" t="s">
        <v>7</v>
      </c>
      <c r="S133" s="27" t="s">
        <v>8</v>
      </c>
    </row>
    <row r="134" spans="1:19" x14ac:dyDescent="0.25">
      <c r="A134" s="30">
        <v>0.28966437973668741</v>
      </c>
      <c r="C134"/>
      <c r="D134"/>
      <c r="E134"/>
      <c r="F134" s="27" t="s">
        <v>7</v>
      </c>
      <c r="S134" s="27" t="s">
        <v>8</v>
      </c>
    </row>
    <row r="135" spans="1:19" x14ac:dyDescent="0.25">
      <c r="A135" s="30">
        <v>0.2633312543060794</v>
      </c>
      <c r="C135" s="1" t="s">
        <v>14</v>
      </c>
      <c r="E135"/>
      <c r="F135" s="27" t="s">
        <v>7</v>
      </c>
      <c r="S135" s="27" t="s">
        <v>8</v>
      </c>
    </row>
    <row r="136" spans="1:19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  <c r="F136" s="27" t="s">
        <v>7</v>
      </c>
      <c r="S136" s="27" t="s">
        <v>8</v>
      </c>
    </row>
    <row r="137" spans="1:19" x14ac:dyDescent="0.25">
      <c r="A137" s="30">
        <v>0.2176291357901482</v>
      </c>
      <c r="E137"/>
      <c r="F137" s="27" t="s">
        <v>7</v>
      </c>
      <c r="S137" s="27" t="s">
        <v>8</v>
      </c>
    </row>
    <row r="138" spans="1:19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  <c r="F138" s="27" t="s">
        <v>7</v>
      </c>
      <c r="S138" s="27" t="s">
        <v>8</v>
      </c>
    </row>
    <row r="139" spans="1:19" x14ac:dyDescent="0.25">
      <c r="A139" s="30">
        <v>0.17985878990921333</v>
      </c>
      <c r="E139"/>
      <c r="F139" s="27" t="s">
        <v>7</v>
      </c>
      <c r="S139" s="27" t="s">
        <v>8</v>
      </c>
    </row>
    <row r="140" spans="1:19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  <c r="S140" s="27" t="s">
        <v>8</v>
      </c>
    </row>
    <row r="141" spans="1:19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  <c r="H141" s="27" t="s">
        <v>7</v>
      </c>
      <c r="S141" s="27" t="s">
        <v>8</v>
      </c>
    </row>
    <row r="142" spans="1:19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H142" s="27" t="s">
        <v>7</v>
      </c>
      <c r="I142" s="27" t="s">
        <v>8</v>
      </c>
      <c r="S142" s="27" t="s">
        <v>8</v>
      </c>
    </row>
    <row r="143" spans="1:19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H143" s="27" t="s">
        <v>7</v>
      </c>
      <c r="I143" s="27" t="s">
        <v>8</v>
      </c>
      <c r="J143" s="27" t="s">
        <v>7</v>
      </c>
      <c r="S143" s="27" t="s">
        <v>8</v>
      </c>
    </row>
    <row r="144" spans="1:19" x14ac:dyDescent="0.25">
      <c r="A144" s="30">
        <v>0.11167815779424731</v>
      </c>
      <c r="C144" s="1">
        <v>4</v>
      </c>
      <c r="E144"/>
      <c r="F144" s="27" t="s">
        <v>7</v>
      </c>
      <c r="G144" s="27" t="s">
        <v>8</v>
      </c>
      <c r="H144" s="27" t="s">
        <v>7</v>
      </c>
      <c r="I144" s="27" t="s">
        <v>8</v>
      </c>
      <c r="J144" s="27" t="s">
        <v>7</v>
      </c>
      <c r="S144" s="27" t="s">
        <v>8</v>
      </c>
    </row>
    <row r="145" spans="1:19" x14ac:dyDescent="0.25">
      <c r="A145" s="30">
        <v>0.10152559799477026</v>
      </c>
      <c r="B145"/>
      <c r="C145"/>
      <c r="D145"/>
      <c r="E145"/>
      <c r="F145" s="27" t="s">
        <v>7</v>
      </c>
      <c r="H145" s="27" t="s">
        <v>7</v>
      </c>
      <c r="I145" s="27" t="s">
        <v>8</v>
      </c>
      <c r="J145" s="27" t="s">
        <v>7</v>
      </c>
      <c r="S145" s="27" t="s">
        <v>8</v>
      </c>
    </row>
    <row r="146" spans="1:19" x14ac:dyDescent="0.25">
      <c r="A146" s="30">
        <v>9.2295998177063854E-2</v>
      </c>
      <c r="B146"/>
      <c r="C146"/>
      <c r="D146"/>
      <c r="E146"/>
      <c r="H146" s="27" t="s">
        <v>7</v>
      </c>
      <c r="I146" s="27" t="s">
        <v>8</v>
      </c>
      <c r="J146" s="27" t="s">
        <v>7</v>
      </c>
      <c r="S146" s="27" t="s">
        <v>8</v>
      </c>
    </row>
    <row r="147" spans="1:19" x14ac:dyDescent="0.25">
      <c r="A147" s="30">
        <v>8.3905452888239848E-2</v>
      </c>
      <c r="B147"/>
      <c r="C147"/>
      <c r="D147"/>
      <c r="E147"/>
      <c r="H147" s="27" t="s">
        <v>7</v>
      </c>
      <c r="I147" s="27" t="s">
        <v>8</v>
      </c>
      <c r="J147" s="27" t="s">
        <v>7</v>
      </c>
      <c r="S147" s="27" t="s">
        <v>8</v>
      </c>
    </row>
    <row r="148" spans="1:19" x14ac:dyDescent="0.25">
      <c r="A148" s="30">
        <v>7.6277684443854396E-2</v>
      </c>
      <c r="B148"/>
      <c r="C148"/>
      <c r="D148"/>
      <c r="E148"/>
      <c r="H148" s="27" t="s">
        <v>7</v>
      </c>
      <c r="I148" s="27" t="s">
        <v>8</v>
      </c>
      <c r="J148" s="27" t="s">
        <v>7</v>
      </c>
      <c r="S148" s="27" t="s">
        <v>8</v>
      </c>
    </row>
    <row r="149" spans="1:19" x14ac:dyDescent="0.25">
      <c r="A149" s="30">
        <v>6.9343349494413078E-2</v>
      </c>
      <c r="B149"/>
      <c r="C149"/>
      <c r="D149"/>
      <c r="E149"/>
      <c r="H149" s="27" t="s">
        <v>7</v>
      </c>
      <c r="J149" s="27" t="s">
        <v>7</v>
      </c>
      <c r="S149" s="27" t="s">
        <v>8</v>
      </c>
    </row>
    <row r="150" spans="1:19" x14ac:dyDescent="0.25">
      <c r="A150" s="30">
        <v>6.3039408631284613E-2</v>
      </c>
      <c r="B150"/>
      <c r="C150"/>
      <c r="D150"/>
      <c r="E150"/>
      <c r="J150" s="27" t="s">
        <v>7</v>
      </c>
      <c r="S150" s="27" t="s">
        <v>8</v>
      </c>
    </row>
    <row r="151" spans="1:19" x14ac:dyDescent="0.25">
      <c r="A151" s="30">
        <v>5.7308553301167818E-2</v>
      </c>
      <c r="B151"/>
      <c r="C151"/>
      <c r="D151"/>
      <c r="E151"/>
      <c r="J151" s="27" t="s">
        <v>7</v>
      </c>
      <c r="S151" s="27" t="s">
        <v>8</v>
      </c>
    </row>
    <row r="152" spans="1:19" x14ac:dyDescent="0.25">
      <c r="A152" s="30">
        <v>5.2098684819243464E-2</v>
      </c>
      <c r="B152"/>
      <c r="C152"/>
      <c r="D152"/>
      <c r="E152"/>
      <c r="J152" s="27" t="s">
        <v>7</v>
      </c>
      <c r="M152" s="27" t="s">
        <v>8</v>
      </c>
      <c r="O152" s="27" t="s">
        <v>8</v>
      </c>
      <c r="S152" s="27" t="s">
        <v>8</v>
      </c>
    </row>
    <row r="153" spans="1:19" x14ac:dyDescent="0.25">
      <c r="A153" s="30">
        <v>4.7362440744766775E-2</v>
      </c>
      <c r="B153"/>
      <c r="C153"/>
      <c r="D153"/>
      <c r="E153"/>
      <c r="J153" s="27" t="s">
        <v>7</v>
      </c>
      <c r="K153" s="27" t="s">
        <v>8</v>
      </c>
      <c r="M153" s="27" t="s">
        <v>8</v>
      </c>
      <c r="N153" s="27" t="s">
        <v>7</v>
      </c>
      <c r="O153" s="27" t="s">
        <v>8</v>
      </c>
      <c r="P153" s="27" t="s">
        <v>7</v>
      </c>
      <c r="S153" s="27" t="s">
        <v>8</v>
      </c>
    </row>
    <row r="154" spans="1:19" x14ac:dyDescent="0.25">
      <c r="A154" s="30">
        <v>4.3056764313424332E-2</v>
      </c>
      <c r="B154"/>
      <c r="C154"/>
      <c r="D154"/>
      <c r="E154"/>
      <c r="J154" s="27" t="s">
        <v>7</v>
      </c>
      <c r="K154" s="27" t="s">
        <v>8</v>
      </c>
      <c r="L154" s="27" t="s">
        <v>7</v>
      </c>
      <c r="M154" s="27" t="s">
        <v>8</v>
      </c>
      <c r="N154" s="27" t="s">
        <v>7</v>
      </c>
      <c r="O154" s="27" t="s">
        <v>8</v>
      </c>
      <c r="P154" s="27" t="s">
        <v>7</v>
      </c>
      <c r="Q154" s="27" t="s">
        <v>8</v>
      </c>
      <c r="S154" s="27" t="s">
        <v>8</v>
      </c>
    </row>
    <row r="155" spans="1:19" x14ac:dyDescent="0.25">
      <c r="A155" s="30">
        <v>3.9142513012203929E-2</v>
      </c>
      <c r="B155"/>
      <c r="C155"/>
      <c r="D155"/>
      <c r="E155"/>
      <c r="J155" s="27" t="s">
        <v>7</v>
      </c>
      <c r="K155" s="27" t="s">
        <v>8</v>
      </c>
      <c r="L155" s="27" t="s">
        <v>7</v>
      </c>
      <c r="M155" s="27" t="s">
        <v>8</v>
      </c>
      <c r="N155" s="27" t="s">
        <v>7</v>
      </c>
      <c r="O155" s="27" t="s">
        <v>8</v>
      </c>
      <c r="P155" s="27" t="s">
        <v>7</v>
      </c>
      <c r="Q155" s="27" t="s">
        <v>8</v>
      </c>
      <c r="R155" s="27" t="s">
        <v>7</v>
      </c>
      <c r="S155" s="27" t="s">
        <v>8</v>
      </c>
    </row>
    <row r="156" spans="1:19" x14ac:dyDescent="0.25">
      <c r="A156" s="30">
        <v>3.55841027383672E-2</v>
      </c>
      <c r="B156"/>
      <c r="C156"/>
      <c r="D156"/>
      <c r="E156"/>
      <c r="J156" s="27" t="s">
        <v>7</v>
      </c>
      <c r="K156" s="27" t="s">
        <v>8</v>
      </c>
      <c r="L156" s="27" t="s">
        <v>7</v>
      </c>
      <c r="N156" s="27" t="s">
        <v>7</v>
      </c>
      <c r="O156" s="27" t="s">
        <v>8</v>
      </c>
      <c r="P156" s="27" t="s">
        <v>7</v>
      </c>
      <c r="Q156" s="27" t="s">
        <v>8</v>
      </c>
      <c r="R156" s="27" t="s">
        <v>7</v>
      </c>
      <c r="S156" s="27" t="s">
        <v>8</v>
      </c>
    </row>
    <row r="157" spans="1:19" x14ac:dyDescent="0.25">
      <c r="A157" s="30">
        <v>3.2349184307606541E-2</v>
      </c>
      <c r="B157"/>
      <c r="C157"/>
      <c r="D157"/>
      <c r="E157"/>
      <c r="J157" s="27" t="s">
        <v>7</v>
      </c>
      <c r="N157" s="27" t="s">
        <v>7</v>
      </c>
      <c r="P157" s="27" t="s">
        <v>7</v>
      </c>
      <c r="Q157" s="27" t="s">
        <v>8</v>
      </c>
      <c r="R157" s="27" t="s">
        <v>7</v>
      </c>
      <c r="S157" s="27" t="s">
        <v>8</v>
      </c>
    </row>
    <row r="158" spans="1:19" x14ac:dyDescent="0.25">
      <c r="A158" s="30">
        <v>2.9408349370551395E-2</v>
      </c>
      <c r="B158"/>
      <c r="C158"/>
      <c r="D158"/>
      <c r="E158"/>
      <c r="P158" s="27" t="s">
        <v>7</v>
      </c>
      <c r="Q158" s="27" t="s">
        <v>8</v>
      </c>
      <c r="R158" s="18" t="s">
        <v>7</v>
      </c>
    </row>
    <row r="159" spans="1:19" x14ac:dyDescent="0.25">
      <c r="A159" s="30">
        <v>2.6734863064137627E-2</v>
      </c>
      <c r="B159"/>
      <c r="C159"/>
      <c r="D159"/>
      <c r="E159"/>
      <c r="P159" s="27" t="s">
        <v>7</v>
      </c>
      <c r="Q159" s="27" t="s">
        <v>8</v>
      </c>
    </row>
    <row r="160" spans="1:19" x14ac:dyDescent="0.25">
      <c r="A160" s="30">
        <v>2.4304420967397839E-2</v>
      </c>
      <c r="B160"/>
      <c r="C160"/>
      <c r="D160"/>
      <c r="E160"/>
      <c r="P160" s="27" t="s">
        <v>7</v>
      </c>
      <c r="Q160" s="27" t="s">
        <v>8</v>
      </c>
    </row>
    <row r="161" spans="1:16" x14ac:dyDescent="0.25">
      <c r="A161" s="30">
        <v>2.2094928152179852E-2</v>
      </c>
      <c r="B161"/>
      <c r="C161"/>
      <c r="D161"/>
      <c r="E161"/>
      <c r="P161" s="27" t="s">
        <v>7</v>
      </c>
    </row>
    <row r="162" spans="1:16" x14ac:dyDescent="0.25">
      <c r="A162" s="30">
        <v>2.0086298320163499E-2</v>
      </c>
      <c r="B162"/>
      <c r="C162"/>
      <c r="D162"/>
      <c r="E162"/>
    </row>
    <row r="163" spans="1:16" x14ac:dyDescent="0.25">
      <c r="A163" s="30">
        <v>1.8260271200148632E-2</v>
      </c>
      <c r="B163"/>
      <c r="C163"/>
      <c r="D163"/>
      <c r="E163"/>
    </row>
    <row r="164" spans="1:16" x14ac:dyDescent="0.25">
      <c r="A164" s="30">
        <v>1.6600246545589663E-2</v>
      </c>
      <c r="B164"/>
      <c r="C164"/>
      <c r="D164"/>
      <c r="E164"/>
    </row>
    <row r="165" spans="1:16" x14ac:dyDescent="0.25">
      <c r="A165" s="30">
        <v>1.5091133223263328E-2</v>
      </c>
      <c r="B165"/>
      <c r="C165"/>
      <c r="D165"/>
      <c r="E165"/>
    </row>
    <row r="166" spans="1:16" x14ac:dyDescent="0.25">
      <c r="A166" s="30">
        <v>1.3719212021148477E-2</v>
      </c>
      <c r="B166"/>
      <c r="C166"/>
      <c r="D166"/>
      <c r="E166"/>
    </row>
    <row r="167" spans="1:16" x14ac:dyDescent="0.25">
      <c r="A167" s="30">
        <v>1.2472010928316795E-2</v>
      </c>
      <c r="B167"/>
      <c r="C167"/>
      <c r="D167"/>
      <c r="E167"/>
    </row>
    <row r="168" spans="1:16" x14ac:dyDescent="0.25">
      <c r="A168" s="30">
        <v>1.1338191753015267E-2</v>
      </c>
      <c r="B168"/>
      <c r="C168"/>
      <c r="D168"/>
      <c r="E168"/>
    </row>
    <row r="169" spans="1:16" x14ac:dyDescent="0.25">
      <c r="A169" s="30">
        <v>1.0307447048195697E-2</v>
      </c>
      <c r="B169"/>
      <c r="C169"/>
      <c r="D169"/>
      <c r="E169"/>
    </row>
    <row r="170" spans="1:16" x14ac:dyDescent="0.25">
      <c r="A170" s="30">
        <v>9.3704064074506318E-3</v>
      </c>
      <c r="B170"/>
      <c r="C170"/>
      <c r="D170"/>
      <c r="E170"/>
    </row>
    <row r="171" spans="1:16" x14ac:dyDescent="0.25">
      <c r="A171" s="30">
        <v>8.5185512795005747E-3</v>
      </c>
    </row>
    <row r="172" spans="1:16" x14ac:dyDescent="0.25">
      <c r="A172" s="30">
        <v>7.744137526818704E-3</v>
      </c>
    </row>
    <row r="173" spans="1:16" x14ac:dyDescent="0.25">
      <c r="A173" s="30">
        <v>7.0401250243806394E-3</v>
      </c>
    </row>
    <row r="174" spans="1:16" x14ac:dyDescent="0.25">
      <c r="A174" s="30">
        <v>6.4001136585278536E-3</v>
      </c>
    </row>
    <row r="175" spans="1:16" x14ac:dyDescent="0.25">
      <c r="A175" s="30">
        <v>5.8182851441162305E-3</v>
      </c>
    </row>
    <row r="176" spans="1:16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20" operator="equal">
      <formula>$U$1</formula>
    </cfRule>
    <cfRule type="cellIs" dxfId="30" priority="721" operator="equal">
      <formula>$S$1</formula>
    </cfRule>
  </conditionalFormatting>
  <conditionalFormatting sqref="D136">
    <cfRule type="cellIs" dxfId="29" priority="718" operator="equal">
      <formula>$S$1</formula>
    </cfRule>
    <cfRule type="cellIs" dxfId="28" priority="719" operator="equal">
      <formula>$U$1</formula>
    </cfRule>
  </conditionalFormatting>
  <conditionalFormatting sqref="C102">
    <cfRule type="cellIs" dxfId="27" priority="716" operator="equal">
      <formula>$U$1</formula>
    </cfRule>
    <cfRule type="cellIs" dxfId="26" priority="717" operator="equal">
      <formula>$S$1</formula>
    </cfRule>
  </conditionalFormatting>
  <conditionalFormatting sqref="D102">
    <cfRule type="cellIs" dxfId="25" priority="714" operator="equal">
      <formula>$S$1</formula>
    </cfRule>
    <cfRule type="cellIs" dxfId="24" priority="715" operator="equal">
      <formula>$U$1</formula>
    </cfRule>
  </conditionalFormatting>
  <conditionalFormatting sqref="C77">
    <cfRule type="cellIs" dxfId="23" priority="712" operator="equal">
      <formula>$U$1</formula>
    </cfRule>
    <cfRule type="cellIs" dxfId="22" priority="713" operator="equal">
      <formula>$S$1</formula>
    </cfRule>
  </conditionalFormatting>
  <conditionalFormatting sqref="D77">
    <cfRule type="cellIs" dxfId="21" priority="710" operator="equal">
      <formula>$S$1</formula>
    </cfRule>
    <cfRule type="cellIs" dxfId="20" priority="711" operator="equal">
      <formula>$U$1</formula>
    </cfRule>
  </conditionalFormatting>
  <conditionalFormatting sqref="C52">
    <cfRule type="cellIs" dxfId="19" priority="708" operator="equal">
      <formula>$U$1</formula>
    </cfRule>
    <cfRule type="cellIs" dxfId="18" priority="709" operator="equal">
      <formula>$S$1</formula>
    </cfRule>
  </conditionalFormatting>
  <conditionalFormatting sqref="D52">
    <cfRule type="cellIs" dxfId="17" priority="706" operator="equal">
      <formula>$S$1</formula>
    </cfRule>
    <cfRule type="cellIs" dxfId="16" priority="707" operator="equal">
      <formula>$U$1</formula>
    </cfRule>
  </conditionalFormatting>
  <conditionalFormatting sqref="C26">
    <cfRule type="cellIs" dxfId="15" priority="704" operator="equal">
      <formula>$U$1</formula>
    </cfRule>
    <cfRule type="cellIs" dxfId="14" priority="705" operator="equal">
      <formula>$S$1</formula>
    </cfRule>
  </conditionalFormatting>
  <conditionalFormatting sqref="D26">
    <cfRule type="cellIs" dxfId="13" priority="702" operator="equal">
      <formula>$S$1</formula>
    </cfRule>
    <cfRule type="cellIs" dxfId="12" priority="70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3" t="s">
        <v>17</v>
      </c>
      <c r="C1" s="33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2022-01-28T01:18:19Z</dcterms:modified>
</cp:coreProperties>
</file>