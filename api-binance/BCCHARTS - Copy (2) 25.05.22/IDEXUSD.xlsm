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7B620E3-3891-4611-BC98-E37765EECF6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8" i="4"/>
  <c r="C116" i="5"/>
  <c r="C122" i="4"/>
  <c r="C133" i="4" s="1"/>
  <c r="C136" i="4" s="1"/>
  <c r="C122" i="3"/>
  <c r="C133" i="3" s="1"/>
  <c r="D136" i="3" s="1"/>
  <c r="C116" i="3"/>
  <c r="R765" i="1"/>
  <c r="D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<sst xmlns="http://schemas.openxmlformats.org/spreadsheetml/2006/main" count="7813" uniqueCount="34">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</sst>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0.11498999999999999</c:v>
                </c:pt>
                <c:pt idx="1">
                  <c:v>0.11741</c:v>
                </c:pt>
                <c:pt idx="2">
                  <c:v>0.11700000000000001</c:v>
                </c:pt>
                <c:pt idx="3">
                  <c:v>0.1167</c:v>
                </c:pt>
                <c:pt idx="4">
                  <c:v>0.12366000000000001</c:v>
                </c:pt>
                <c:pt idx="5">
                  <c:v>0.12053</c:v>
                </c:pt>
                <c:pt idx="6">
                  <c:v>0.13725999999999999</c:v>
                </c:pt>
                <c:pt idx="7">
                  <c:v>0.17391999999999999</c:v>
                </c:pt>
                <c:pt idx="8">
                  <c:v>0.18421000000000001</c:v>
                </c:pt>
                <c:pt idx="9">
                  <c:v>0.18997</c:v>
                </c:pt>
                <c:pt idx="10">
                  <c:v>0.19561000000000001</c:v>
                </c:pt>
                <c:pt idx="11">
                  <c:v>0.20824999999999999</c:v>
                </c:pt>
                <c:pt idx="12">
                  <c:v>0.20691999999999999</c:v>
                </c:pt>
                <c:pt idx="13">
                  <c:v>0.20377000000000001</c:v>
                </c:pt>
                <c:pt idx="14">
                  <c:v>0.20258000000000001</c:v>
                </c:pt>
                <c:pt idx="15">
                  <c:v>0.21235000000000001</c:v>
                </c:pt>
                <c:pt idx="16">
                  <c:v>0.20930000000000001</c:v>
                </c:pt>
                <c:pt idx="17">
                  <c:v>0.20077</c:v>
                </c:pt>
                <c:pt idx="18">
                  <c:v>0.21790999999999999</c:v>
                </c:pt>
                <c:pt idx="19">
                  <c:v>0.22523000000000001</c:v>
                </c:pt>
                <c:pt idx="20">
                  <c:v>0.20979</c:v>
                </c:pt>
                <c:pt idx="21">
                  <c:v>0.22269</c:v>
                </c:pt>
                <c:pt idx="22">
                  <c:v>0.23322999999999999</c:v>
                </c:pt>
                <c:pt idx="23">
                  <c:v>0.25888</c:v>
                </c:pt>
                <c:pt idx="24">
                  <c:v>0.25968999999999998</c:v>
                </c:pt>
                <c:pt idx="25">
                  <c:v>0.26069999999999999</c:v>
                </c:pt>
                <c:pt idx="26">
                  <c:v>0.26571</c:v>
                </c:pt>
                <c:pt idx="27">
                  <c:v>0.25945000000000001</c:v>
                </c:pt>
                <c:pt idx="28">
                  <c:v>0.26266</c:v>
                </c:pt>
                <c:pt idx="29">
                  <c:v>0.26013999999999998</c:v>
                </c:pt>
                <c:pt idx="30">
                  <c:v>0.25694</c:v>
                </c:pt>
                <c:pt idx="31">
                  <c:v>0.27859</c:v>
                </c:pt>
                <c:pt idx="32">
                  <c:v>0.27877999999999997</c:v>
                </c:pt>
                <c:pt idx="33">
                  <c:v>0.27772000000000002</c:v>
                </c:pt>
                <c:pt idx="34">
                  <c:v>0.26945000000000002</c:v>
                </c:pt>
                <c:pt idx="35">
                  <c:v>0.28355000000000002</c:v>
                </c:pt>
                <c:pt idx="36">
                  <c:v>0.26223000000000002</c:v>
                </c:pt>
                <c:pt idx="37">
                  <c:v>0.25901000000000002</c:v>
                </c:pt>
                <c:pt idx="38">
                  <c:v>0.25518999999999997</c:v>
                </c:pt>
                <c:pt idx="39">
                  <c:v>0.26529999999999998</c:v>
                </c:pt>
                <c:pt idx="40">
                  <c:v>0.27066000000000001</c:v>
                </c:pt>
                <c:pt idx="41">
                  <c:v>0.27000999999999997</c:v>
                </c:pt>
                <c:pt idx="42">
                  <c:v>0.27918999999999999</c:v>
                </c:pt>
                <c:pt idx="43">
                  <c:v>0.28345999999999999</c:v>
                </c:pt>
                <c:pt idx="44">
                  <c:v>0.28200999999999998</c:v>
                </c:pt>
                <c:pt idx="45">
                  <c:v>0.27055000000000001</c:v>
                </c:pt>
                <c:pt idx="46">
                  <c:v>0.31022</c:v>
                </c:pt>
                <c:pt idx="47">
                  <c:v>0.30813000000000001</c:v>
                </c:pt>
                <c:pt idx="48">
                  <c:v>0.30306</c:v>
                </c:pt>
                <c:pt idx="49">
                  <c:v>0.30736999999999998</c:v>
                </c:pt>
                <c:pt idx="50">
                  <c:v>0.36323</c:v>
                </c:pt>
                <c:pt idx="51">
                  <c:v>0.37335000000000002</c:v>
                </c:pt>
                <c:pt idx="52">
                  <c:v>0.36759999999999998</c:v>
                </c:pt>
                <c:pt idx="53">
                  <c:v>0.29250999999999999</c:v>
                </c:pt>
                <c:pt idx="54">
                  <c:v>0.28452</c:v>
                </c:pt>
                <c:pt idx="55">
                  <c:v>0.34742000000000001</c:v>
                </c:pt>
                <c:pt idx="56">
                  <c:v>0.35948000000000002</c:v>
                </c:pt>
                <c:pt idx="57">
                  <c:v>0.41347</c:v>
                </c:pt>
                <c:pt idx="58">
                  <c:v>0.40427999999999997</c:v>
                </c:pt>
                <c:pt idx="59">
                  <c:v>0.36323</c:v>
                </c:pt>
                <c:pt idx="60">
                  <c:v>0.34823999999999999</c:v>
                </c:pt>
                <c:pt idx="61">
                  <c:v>0.36323</c:v>
                </c:pt>
                <c:pt idx="62">
                  <c:v>0.33983999999999998</c:v>
                </c:pt>
                <c:pt idx="63">
                  <c:v>0.36010999999999999</c:v>
                </c:pt>
                <c:pt idx="64">
                  <c:v>0.37909999999999999</c:v>
                </c:pt>
                <c:pt idx="65">
                  <c:v>0.36341000000000001</c:v>
                </c:pt>
                <c:pt idx="66">
                  <c:v>0.33707999999999999</c:v>
                </c:pt>
                <c:pt idx="67">
                  <c:v>0.36899999999999999</c:v>
                </c:pt>
                <c:pt idx="68">
                  <c:v>0.37126999999999999</c:v>
                </c:pt>
                <c:pt idx="69">
                  <c:v>0.38080999999999998</c:v>
                </c:pt>
                <c:pt idx="70">
                  <c:v>0.33290999999999998</c:v>
                </c:pt>
                <c:pt idx="71">
                  <c:v>0.27689999999999998</c:v>
                </c:pt>
                <c:pt idx="72">
                  <c:v>0.28800999999999999</c:v>
                </c:pt>
                <c:pt idx="73">
                  <c:v>0.28565000000000002</c:v>
                </c:pt>
                <c:pt idx="74">
                  <c:v>0.32458999999999999</c:v>
                </c:pt>
                <c:pt idx="75">
                  <c:v>0.26566000000000001</c:v>
                </c:pt>
                <c:pt idx="76">
                  <c:v>0.25269000000000003</c:v>
                </c:pt>
                <c:pt idx="77">
                  <c:v>0.25233</c:v>
                </c:pt>
                <c:pt idx="78">
                  <c:v>0.24901999999999999</c:v>
                </c:pt>
                <c:pt idx="79">
                  <c:v>0.25911000000000001</c:v>
                </c:pt>
                <c:pt idx="80">
                  <c:v>0.26288</c:v>
                </c:pt>
                <c:pt idx="81">
                  <c:v>0.29996</c:v>
                </c:pt>
                <c:pt idx="82">
                  <c:v>0.24035999999999999</c:v>
                </c:pt>
                <c:pt idx="83">
                  <c:v>0.24223</c:v>
                </c:pt>
                <c:pt idx="84">
                  <c:v>0.24636</c:v>
                </c:pt>
                <c:pt idx="85">
                  <c:v>0.25808999999999999</c:v>
                </c:pt>
                <c:pt idx="86">
                  <c:v>0.25147999999999998</c:v>
                </c:pt>
                <c:pt idx="87">
                  <c:v>0.24926000000000001</c:v>
                </c:pt>
                <c:pt idx="88">
                  <c:v>0.24206</c:v>
                </c:pt>
                <c:pt idx="89">
                  <c:v>0.24410000000000001</c:v>
                </c:pt>
                <c:pt idx="90">
                  <c:v>0.25534000000000001</c:v>
                </c:pt>
                <c:pt idx="91">
                  <c:v>0.23787</c:v>
                </c:pt>
                <c:pt idx="92">
                  <c:v>0.23810000000000001</c:v>
                </c:pt>
                <c:pt idx="93">
                  <c:v>0.27949000000000002</c:v>
                </c:pt>
                <c:pt idx="94">
                  <c:v>0.29388999999999998</c:v>
                </c:pt>
                <c:pt idx="95">
                  <c:v>0.28871000000000002</c:v>
                </c:pt>
                <c:pt idx="96">
                  <c:v>0.30481999999999998</c:v>
                </c:pt>
                <c:pt idx="97">
                  <c:v>0.30103000000000002</c:v>
                </c:pt>
                <c:pt idx="98">
                  <c:v>0.3009</c:v>
                </c:pt>
                <c:pt idx="99">
                  <c:v>0.30946000000000001</c:v>
                </c:pt>
                <c:pt idx="100">
                  <c:v>0.30285000000000001</c:v>
                </c:pt>
                <c:pt idx="101">
                  <c:v>0.30446000000000001</c:v>
                </c:pt>
                <c:pt idx="102">
                  <c:v>0.31230000000000002</c:v>
                </c:pt>
                <c:pt idx="103">
                  <c:v>0.30958999999999998</c:v>
                </c:pt>
                <c:pt idx="104">
                  <c:v>0.30732999999999999</c:v>
                </c:pt>
                <c:pt idx="105">
                  <c:v>0.31689000000000001</c:v>
                </c:pt>
                <c:pt idx="106">
                  <c:v>0.30593999999999999</c:v>
                </c:pt>
                <c:pt idx="107">
                  <c:v>0.307</c:v>
                </c:pt>
                <c:pt idx="108">
                  <c:v>0.31568000000000002</c:v>
                </c:pt>
                <c:pt idx="109">
                  <c:v>0.34800999999999999</c:v>
                </c:pt>
                <c:pt idx="110">
                  <c:v>0.30343999999999999</c:v>
                </c:pt>
                <c:pt idx="111">
                  <c:v>0.29998999999999998</c:v>
                </c:pt>
                <c:pt idx="112">
                  <c:v>0.29916999999999999</c:v>
                </c:pt>
                <c:pt idx="113">
                  <c:v>0.31301000000000001</c:v>
                </c:pt>
                <c:pt idx="114">
                  <c:v>0.32351999999999997</c:v>
                </c:pt>
                <c:pt idx="115">
                  <c:v>0.33416000000000001</c:v>
                </c:pt>
                <c:pt idx="116">
                  <c:v>0.35499999999999998</c:v>
                </c:pt>
                <c:pt idx="117">
                  <c:v>0.36159999999999998</c:v>
                </c:pt>
                <c:pt idx="118">
                  <c:v>0.36201</c:v>
                </c:pt>
                <c:pt idx="119">
                  <c:v>0.31986999999999999</c:v>
                </c:pt>
                <c:pt idx="120">
                  <c:v>0.30846000000000001</c:v>
                </c:pt>
                <c:pt idx="121">
                  <c:v>0.32217000000000001</c:v>
                </c:pt>
                <c:pt idx="122">
                  <c:v>0.37375999999999998</c:v>
                </c:pt>
                <c:pt idx="123">
                  <c:v>0.26234000000000002</c:v>
                </c:pt>
                <c:pt idx="124">
                  <c:v>0.28586</c:v>
                </c:pt>
                <c:pt idx="125">
                  <c:v>0.30315999999999999</c:v>
                </c:pt>
                <c:pt idx="126">
                  <c:v>0.35060000000000002</c:v>
                </c:pt>
                <c:pt idx="127">
                  <c:v>0.35339999999999999</c:v>
                </c:pt>
                <c:pt idx="128">
                  <c:v>0.31999</c:v>
                </c:pt>
                <c:pt idx="129">
                  <c:v>0.37229000000000001</c:v>
                </c:pt>
                <c:pt idx="130">
                  <c:v>0.42680000000000001</c:v>
                </c:pt>
                <c:pt idx="131">
                  <c:v>0.45065</c:v>
                </c:pt>
                <c:pt idx="132">
                  <c:v>0.43987999999999999</c:v>
                </c:pt>
                <c:pt idx="133">
                  <c:v>0.49363000000000001</c:v>
                </c:pt>
                <c:pt idx="134">
                  <c:v>0.51690000000000003</c:v>
                </c:pt>
                <c:pt idx="135">
                  <c:v>0.54064000000000001</c:v>
                </c:pt>
                <c:pt idx="136">
                  <c:v>0.48829</c:v>
                </c:pt>
                <c:pt idx="137">
                  <c:v>0.56164000000000003</c:v>
                </c:pt>
                <c:pt idx="138">
                  <c:v>0.68764999999999998</c:v>
                </c:pt>
                <c:pt idx="139">
                  <c:v>0.39993000000000001</c:v>
                </c:pt>
                <c:pt idx="140">
                  <c:v>0.49865999999999999</c:v>
                </c:pt>
                <c:pt idx="141">
                  <c:v>0.56296000000000002</c:v>
                </c:pt>
                <c:pt idx="142">
                  <c:v>0.60392000000000001</c:v>
                </c:pt>
                <c:pt idx="143">
                  <c:v>0.29858000000000001</c:v>
                </c:pt>
                <c:pt idx="144">
                  <c:v>0.13194</c:v>
                </c:pt>
                <c:pt idx="145">
                  <c:v>6.5310000000000007E-2</c:v>
                </c:pt>
                <c:pt idx="146">
                  <c:v>6.3549999999999995E-2</c:v>
                </c:pt>
                <c:pt idx="147">
                  <c:v>6.3810000000000006E-2</c:v>
                </c:pt>
                <c:pt idx="148">
                  <c:v>6.3880000000000006E-2</c:v>
                </c:pt>
                <c:pt idx="149">
                  <c:v>6.1609999999999998E-2</c:v>
                </c:pt>
                <c:pt idx="150">
                  <c:v>6.173E-2</c:v>
                </c:pt>
                <c:pt idx="151">
                  <c:v>6.4909999999999995E-2</c:v>
                </c:pt>
                <c:pt idx="152">
                  <c:v>6.4619999999999997E-2</c:v>
                </c:pt>
                <c:pt idx="153">
                  <c:v>6.6699999999999995E-2</c:v>
                </c:pt>
                <c:pt idx="154">
                  <c:v>6.2080000000000003E-2</c:v>
                </c:pt>
                <c:pt idx="155">
                  <c:v>6.4199999999999993E-2</c:v>
                </c:pt>
                <c:pt idx="156">
                  <c:v>6.2420000000000003E-2</c:v>
                </c:pt>
                <c:pt idx="157">
                  <c:v>6.7449999999999996E-2</c:v>
                </c:pt>
                <c:pt idx="158">
                  <c:v>6.4000000000000001E-2</c:v>
                </c:pt>
                <c:pt idx="159">
                  <c:v>6.3259999999999997E-2</c:v>
                </c:pt>
                <c:pt idx="160">
                  <c:v>6.6159999999999997E-2</c:v>
                </c:pt>
                <c:pt idx="161">
                  <c:v>6.5110000000000001E-2</c:v>
                </c:pt>
                <c:pt idx="162">
                  <c:v>6.1710000000000001E-2</c:v>
                </c:pt>
                <c:pt idx="163">
                  <c:v>6.1400000000000003E-2</c:v>
                </c:pt>
                <c:pt idx="164">
                  <c:v>6.6040000000000001E-2</c:v>
                </c:pt>
                <c:pt idx="165">
                  <c:v>6.7820000000000005E-2</c:v>
                </c:pt>
                <c:pt idx="166">
                  <c:v>6.9349999999999995E-2</c:v>
                </c:pt>
                <c:pt idx="167">
                  <c:v>6.9169999999999995E-2</c:v>
                </c:pt>
                <c:pt idx="168">
                  <c:v>6.1839999999999999E-2</c:v>
                </c:pt>
                <c:pt idx="169">
                  <c:v>6.0679999999999998E-2</c:v>
                </c:pt>
                <c:pt idx="170">
                  <c:v>5.7509999999999999E-2</c:v>
                </c:pt>
                <c:pt idx="171">
                  <c:v>5.851E-2</c:v>
                </c:pt>
                <c:pt idx="172">
                  <c:v>5.5350000000000003E-2</c:v>
                </c:pt>
                <c:pt idx="173">
                  <c:v>5.7759999999999999E-2</c:v>
                </c:pt>
                <c:pt idx="174">
                  <c:v>5.3999999999999999E-2</c:v>
                </c:pt>
                <c:pt idx="175">
                  <c:v>5.67E-2</c:v>
                </c:pt>
                <c:pt idx="176">
                  <c:v>4.573E-2</c:v>
                </c:pt>
                <c:pt idx="177">
                  <c:v>4.3999999999999997E-2</c:v>
                </c:pt>
                <c:pt idx="178">
                  <c:v>4.3619999999999999E-2</c:v>
                </c:pt>
                <c:pt idx="179">
                  <c:v>4.3220000000000001E-2</c:v>
                </c:pt>
                <c:pt idx="180">
                  <c:v>4.5100000000000001E-2</c:v>
                </c:pt>
                <c:pt idx="181">
                  <c:v>4.4749999999999998E-2</c:v>
                </c:pt>
                <c:pt idx="182">
                  <c:v>4.3639999999999998E-2</c:v>
                </c:pt>
                <c:pt idx="183">
                  <c:v>4.2869999999999998E-2</c:v>
                </c:pt>
                <c:pt idx="184">
                  <c:v>4.3049999999999998E-2</c:v>
                </c:pt>
                <c:pt idx="185">
                  <c:v>4.1169999999999998E-2</c:v>
                </c:pt>
                <c:pt idx="186">
                  <c:v>4.2889999999999998E-2</c:v>
                </c:pt>
                <c:pt idx="187">
                  <c:v>4.3380000000000002E-2</c:v>
                </c:pt>
                <c:pt idx="188">
                  <c:v>4.3630000000000002E-2</c:v>
                </c:pt>
                <c:pt idx="189">
                  <c:v>3.7499999999999999E-2</c:v>
                </c:pt>
                <c:pt idx="190">
                  <c:v>3.3550000000000003E-2</c:v>
                </c:pt>
                <c:pt idx="191">
                  <c:v>2.9600000000000001E-2</c:v>
                </c:pt>
                <c:pt idx="192">
                  <c:v>3.0859999999999999E-2</c:v>
                </c:pt>
                <c:pt idx="193">
                  <c:v>3.3329999999999999E-2</c:v>
                </c:pt>
                <c:pt idx="194">
                  <c:v>3.3730000000000003E-2</c:v>
                </c:pt>
                <c:pt idx="195">
                  <c:v>3.2620000000000003E-2</c:v>
                </c:pt>
                <c:pt idx="196">
                  <c:v>3.4689999999999999E-2</c:v>
                </c:pt>
                <c:pt idx="197">
                  <c:v>3.5999999999999997E-2</c:v>
                </c:pt>
                <c:pt idx="198">
                  <c:v>3.5889999999999998E-2</c:v>
                </c:pt>
                <c:pt idx="199">
                  <c:v>3.6459999999999999E-2</c:v>
                </c:pt>
                <c:pt idx="200">
                  <c:v>3.866E-2</c:v>
                </c:pt>
                <c:pt idx="201">
                  <c:v>3.6670000000000001E-2</c:v>
                </c:pt>
                <c:pt idx="202">
                  <c:v>3.7830000000000003E-2</c:v>
                </c:pt>
                <c:pt idx="203">
                  <c:v>3.7539999999999997E-2</c:v>
                </c:pt>
                <c:pt idx="204">
                  <c:v>3.9870000000000003E-2</c:v>
                </c:pt>
                <c:pt idx="205">
                  <c:v>3.9239999999999997E-2</c:v>
                </c:pt>
                <c:pt idx="206">
                  <c:v>3.7179999999999998E-2</c:v>
                </c:pt>
                <c:pt idx="207">
                  <c:v>3.9399999999999998E-2</c:v>
                </c:pt>
                <c:pt idx="208">
                  <c:v>3.8960000000000002E-2</c:v>
                </c:pt>
                <c:pt idx="209">
                  <c:v>3.7190000000000001E-2</c:v>
                </c:pt>
                <c:pt idx="210">
                  <c:v>3.6889999999999999E-2</c:v>
                </c:pt>
                <c:pt idx="211">
                  <c:v>3.7839999999999999E-2</c:v>
                </c:pt>
                <c:pt idx="212">
                  <c:v>4.018E-2</c:v>
                </c:pt>
                <c:pt idx="213">
                  <c:v>3.6299999999999999E-2</c:v>
                </c:pt>
                <c:pt idx="214">
                  <c:v>3.3500000000000002E-2</c:v>
                </c:pt>
                <c:pt idx="215">
                  <c:v>3.1600000000000003E-2</c:v>
                </c:pt>
                <c:pt idx="216">
                  <c:v>3.304E-2</c:v>
                </c:pt>
                <c:pt idx="217">
                  <c:v>3.6360000000000003E-2</c:v>
                </c:pt>
                <c:pt idx="218">
                  <c:v>3.5569999999999997E-2</c:v>
                </c:pt>
                <c:pt idx="219">
                  <c:v>3.2009999999999997E-2</c:v>
                </c:pt>
                <c:pt idx="220">
                  <c:v>3.4930000000000003E-2</c:v>
                </c:pt>
                <c:pt idx="221">
                  <c:v>4.5100000000000001E-2</c:v>
                </c:pt>
                <c:pt idx="222">
                  <c:v>4.5769999999999998E-2</c:v>
                </c:pt>
                <c:pt idx="223">
                  <c:v>4.6949999999999999E-2</c:v>
                </c:pt>
                <c:pt idx="224">
                  <c:v>5.0549999999999998E-2</c:v>
                </c:pt>
                <c:pt idx="225">
                  <c:v>5.1119999999999999E-2</c:v>
                </c:pt>
                <c:pt idx="226">
                  <c:v>5.2630000000000003E-2</c:v>
                </c:pt>
                <c:pt idx="227">
                  <c:v>5.3740000000000003E-2</c:v>
                </c:pt>
                <c:pt idx="228">
                  <c:v>5.2139999999999999E-2</c:v>
                </c:pt>
                <c:pt idx="229">
                  <c:v>4.9329999999999999E-2</c:v>
                </c:pt>
                <c:pt idx="230">
                  <c:v>5.024E-2</c:v>
                </c:pt>
                <c:pt idx="231">
                  <c:v>6.2770000000000006E-2</c:v>
                </c:pt>
                <c:pt idx="232">
                  <c:v>5.1720000000000002E-2</c:v>
                </c:pt>
                <c:pt idx="233">
                  <c:v>4.7960000000000003E-2</c:v>
                </c:pt>
                <c:pt idx="234">
                  <c:v>4.8280000000000003E-2</c:v>
                </c:pt>
                <c:pt idx="235">
                  <c:v>5.8279999999999998E-2</c:v>
                </c:pt>
                <c:pt idx="236">
                  <c:v>5.3060000000000003E-2</c:v>
                </c:pt>
                <c:pt idx="237">
                  <c:v>5.7329999999999999E-2</c:v>
                </c:pt>
                <c:pt idx="238">
                  <c:v>6.2330000000000003E-2</c:v>
                </c:pt>
                <c:pt idx="239">
                  <c:v>5.5899999999999998E-2</c:v>
                </c:pt>
                <c:pt idx="240">
                  <c:v>5.2999999999999999E-2</c:v>
                </c:pt>
                <c:pt idx="241">
                  <c:v>5.552E-2</c:v>
                </c:pt>
                <c:pt idx="242">
                  <c:v>5.4010000000000002E-2</c:v>
                </c:pt>
                <c:pt idx="243">
                  <c:v>5.0639999999999998E-2</c:v>
                </c:pt>
                <c:pt idx="244">
                  <c:v>5.4100000000000002E-2</c:v>
                </c:pt>
                <c:pt idx="245">
                  <c:v>6.4820000000000003E-2</c:v>
                </c:pt>
                <c:pt idx="246">
                  <c:v>6.003E-2</c:v>
                </c:pt>
                <c:pt idx="247">
                  <c:v>5.5280000000000003E-2</c:v>
                </c:pt>
                <c:pt idx="248">
                  <c:v>5.058E-2</c:v>
                </c:pt>
                <c:pt idx="249">
                  <c:v>4.0840000000000001E-2</c:v>
                </c:pt>
                <c:pt idx="250">
                  <c:v>4.8070000000000002E-2</c:v>
                </c:pt>
                <c:pt idx="251">
                  <c:v>4.7370000000000002E-2</c:v>
                </c:pt>
                <c:pt idx="252">
                  <c:v>5.8369999999999998E-2</c:v>
                </c:pt>
                <c:pt idx="253">
                  <c:v>5.305E-2</c:v>
                </c:pt>
                <c:pt idx="254">
                  <c:v>8.7620000000000003E-2</c:v>
                </c:pt>
                <c:pt idx="255">
                  <c:v>8.4739999999999996E-2</c:v>
                </c:pt>
                <c:pt idx="256">
                  <c:v>9.6860000000000002E-2</c:v>
                </c:pt>
                <c:pt idx="257">
                  <c:v>9.7059999999999994E-2</c:v>
                </c:pt>
                <c:pt idx="258">
                  <c:v>0.10828</c:v>
                </c:pt>
                <c:pt idx="259">
                  <c:v>0.10104</c:v>
                </c:pt>
                <c:pt idx="260">
                  <c:v>9.9709999999999993E-2</c:v>
                </c:pt>
                <c:pt idx="261">
                  <c:v>0.11809</c:v>
                </c:pt>
                <c:pt idx="262">
                  <c:v>0.11428000000000001</c:v>
                </c:pt>
                <c:pt idx="263">
                  <c:v>0.12615999999999999</c:v>
                </c:pt>
                <c:pt idx="264">
                  <c:v>0.1208</c:v>
                </c:pt>
                <c:pt idx="265">
                  <c:v>0.12064</c:v>
                </c:pt>
                <c:pt idx="266">
                  <c:v>0.12106</c:v>
                </c:pt>
                <c:pt idx="267">
                  <c:v>0.12864</c:v>
                </c:pt>
                <c:pt idx="268">
                  <c:v>0.12187000000000001</c:v>
                </c:pt>
                <c:pt idx="269">
                  <c:v>0.13858999999999999</c:v>
                </c:pt>
                <c:pt idx="270">
                  <c:v>0.12881000000000001</c:v>
                </c:pt>
                <c:pt idx="271">
                  <c:v>0.13345000000000001</c:v>
                </c:pt>
                <c:pt idx="272">
                  <c:v>0.13602</c:v>
                </c:pt>
                <c:pt idx="273">
                  <c:v>0.1371</c:v>
                </c:pt>
                <c:pt idx="274">
                  <c:v>0.12250999999999999</c:v>
                </c:pt>
                <c:pt idx="275">
                  <c:v>0.12925</c:v>
                </c:pt>
                <c:pt idx="276">
                  <c:v>0.12581000000000001</c:v>
                </c:pt>
                <c:pt idx="277">
                  <c:v>0.114</c:v>
                </c:pt>
                <c:pt idx="278">
                  <c:v>0.12597</c:v>
                </c:pt>
                <c:pt idx="279">
                  <c:v>0.12130000000000001</c:v>
                </c:pt>
                <c:pt idx="280">
                  <c:v>0.11481</c:v>
                </c:pt>
                <c:pt idx="281">
                  <c:v>0.11477</c:v>
                </c:pt>
                <c:pt idx="282">
                  <c:v>0.12305000000000001</c:v>
                </c:pt>
                <c:pt idx="283">
                  <c:v>0.11638999999999999</c:v>
                </c:pt>
                <c:pt idx="284">
                  <c:v>0.13028999999999999</c:v>
                </c:pt>
                <c:pt idx="285">
                  <c:v>0.153</c:v>
                </c:pt>
                <c:pt idx="286">
                  <c:v>0.16037999999999999</c:v>
                </c:pt>
                <c:pt idx="287">
                  <c:v>0.15784000000000001</c:v>
                </c:pt>
                <c:pt idx="288">
                  <c:v>0.15744</c:v>
                </c:pt>
                <c:pt idx="289">
                  <c:v>0.16142999999999999</c:v>
                </c:pt>
                <c:pt idx="290">
                  <c:v>0.16372</c:v>
                </c:pt>
                <c:pt idx="291">
                  <c:v>0.18581</c:v>
                </c:pt>
                <c:pt idx="292">
                  <c:v>0.18684999999999999</c:v>
                </c:pt>
                <c:pt idx="293">
                  <c:v>0.18190000000000001</c:v>
                </c:pt>
                <c:pt idx="294">
                  <c:v>0.16702</c:v>
                </c:pt>
                <c:pt idx="295">
                  <c:v>0.13247999999999999</c:v>
                </c:pt>
                <c:pt idx="296">
                  <c:v>0.15046999999999999</c:v>
                </c:pt>
                <c:pt idx="297">
                  <c:v>0.15915000000000001</c:v>
                </c:pt>
                <c:pt idx="298">
                  <c:v>0.17322000000000001</c:v>
                </c:pt>
                <c:pt idx="299">
                  <c:v>0.14796999999999999</c:v>
                </c:pt>
                <c:pt idx="300">
                  <c:v>0.14868000000000001</c:v>
                </c:pt>
                <c:pt idx="301">
                  <c:v>0.14258000000000001</c:v>
                </c:pt>
                <c:pt idx="302">
                  <c:v>0.15187</c:v>
                </c:pt>
                <c:pt idx="303">
                  <c:v>0.16519</c:v>
                </c:pt>
                <c:pt idx="304">
                  <c:v>0.18232000000000001</c:v>
                </c:pt>
                <c:pt idx="305">
                  <c:v>0.15484000000000001</c:v>
                </c:pt>
                <c:pt idx="306">
                  <c:v>0.15051</c:v>
                </c:pt>
                <c:pt idx="307">
                  <c:v>0.15422</c:v>
                </c:pt>
                <c:pt idx="308">
                  <c:v>0.12068</c:v>
                </c:pt>
                <c:pt idx="309">
                  <c:v>0.12583</c:v>
                </c:pt>
                <c:pt idx="310">
                  <c:v>0.11096</c:v>
                </c:pt>
                <c:pt idx="311">
                  <c:v>0.11378000000000001</c:v>
                </c:pt>
                <c:pt idx="312">
                  <c:v>9.7500000000000003E-2</c:v>
                </c:pt>
                <c:pt idx="313">
                  <c:v>9.7670000000000007E-2</c:v>
                </c:pt>
                <c:pt idx="314">
                  <c:v>9.5280000000000004E-2</c:v>
                </c:pt>
                <c:pt idx="315">
                  <c:v>9.4899999999999998E-2</c:v>
                </c:pt>
                <c:pt idx="316">
                  <c:v>9.9820000000000006E-2</c:v>
                </c:pt>
                <c:pt idx="317">
                  <c:v>0.10853</c:v>
                </c:pt>
                <c:pt idx="318">
                  <c:v>9.7000000000000003E-2</c:v>
                </c:pt>
                <c:pt idx="319">
                  <c:v>8.9800000000000005E-2</c:v>
                </c:pt>
                <c:pt idx="320">
                  <c:v>9.3369999999999995E-2</c:v>
                </c:pt>
                <c:pt idx="321">
                  <c:v>8.2540000000000002E-2</c:v>
                </c:pt>
                <c:pt idx="322">
                  <c:v>0.09</c:v>
                </c:pt>
                <c:pt idx="323">
                  <c:v>9.9169999999999994E-2</c:v>
                </c:pt>
                <c:pt idx="324">
                  <c:v>8.974E-2</c:v>
                </c:pt>
                <c:pt idx="325">
                  <c:v>7.4370000000000006E-2</c:v>
                </c:pt>
                <c:pt idx="326">
                  <c:v>7.2289999999999993E-2</c:v>
                </c:pt>
                <c:pt idx="327">
                  <c:v>7.2900000000000006E-2</c:v>
                </c:pt>
                <c:pt idx="328">
                  <c:v>7.5810000000000002E-2</c:v>
                </c:pt>
                <c:pt idx="329">
                  <c:v>7.0860000000000006E-2</c:v>
                </c:pt>
                <c:pt idx="330">
                  <c:v>6.8849999999999995E-2</c:v>
                </c:pt>
                <c:pt idx="331">
                  <c:v>6.0299999999999999E-2</c:v>
                </c:pt>
                <c:pt idx="332">
                  <c:v>6.2670000000000003E-2</c:v>
                </c:pt>
                <c:pt idx="333">
                  <c:v>5.4809999999999998E-2</c:v>
                </c:pt>
                <c:pt idx="334">
                  <c:v>5.8200000000000002E-2</c:v>
                </c:pt>
                <c:pt idx="335">
                  <c:v>5.1049999999999998E-2</c:v>
                </c:pt>
                <c:pt idx="336">
                  <c:v>5.2499999999999998E-2</c:v>
                </c:pt>
                <c:pt idx="337">
                  <c:v>5.5669999999999997E-2</c:v>
                </c:pt>
                <c:pt idx="338">
                  <c:v>5.3519999999999998E-2</c:v>
                </c:pt>
                <c:pt idx="339">
                  <c:v>6.7680000000000004E-2</c:v>
                </c:pt>
                <c:pt idx="340">
                  <c:v>7.5039999999999996E-2</c:v>
                </c:pt>
                <c:pt idx="341">
                  <c:v>7.3389999999999997E-2</c:v>
                </c:pt>
                <c:pt idx="342">
                  <c:v>7.9549999999999996E-2</c:v>
                </c:pt>
                <c:pt idx="343">
                  <c:v>7.8579999999999997E-2</c:v>
                </c:pt>
                <c:pt idx="344">
                  <c:v>8.3150000000000002E-2</c:v>
                </c:pt>
                <c:pt idx="345">
                  <c:v>8.0149999999999999E-2</c:v>
                </c:pt>
                <c:pt idx="346">
                  <c:v>8.7660000000000002E-2</c:v>
                </c:pt>
                <c:pt idx="347">
                  <c:v>8.2570000000000005E-2</c:v>
                </c:pt>
                <c:pt idx="348">
                  <c:v>8.5930000000000006E-2</c:v>
                </c:pt>
                <c:pt idx="349">
                  <c:v>8.2000000000000003E-2</c:v>
                </c:pt>
                <c:pt idx="350">
                  <c:v>6.9099999999999995E-2</c:v>
                </c:pt>
                <c:pt idx="351">
                  <c:v>6.6009999999999999E-2</c:v>
                </c:pt>
                <c:pt idx="352">
                  <c:v>6.6059999999999994E-2</c:v>
                </c:pt>
                <c:pt idx="353">
                  <c:v>6.0580000000000002E-2</c:v>
                </c:pt>
                <c:pt idx="354">
                  <c:v>5.9880000000000003E-2</c:v>
                </c:pt>
                <c:pt idx="355">
                  <c:v>6.5350000000000005E-2</c:v>
                </c:pt>
                <c:pt idx="356">
                  <c:v>7.0260000000000003E-2</c:v>
                </c:pt>
                <c:pt idx="357">
                  <c:v>6.6979999999999998E-2</c:v>
                </c:pt>
                <c:pt idx="358">
                  <c:v>6.9709999999999994E-2</c:v>
                </c:pt>
                <c:pt idx="359">
                  <c:v>7.5429999999999997E-2</c:v>
                </c:pt>
                <c:pt idx="360">
                  <c:v>6.9120000000000001E-2</c:v>
                </c:pt>
                <c:pt idx="361">
                  <c:v>5.3220000000000003E-2</c:v>
                </c:pt>
                <c:pt idx="362">
                  <c:v>4.0829999999999998E-2</c:v>
                </c:pt>
                <c:pt idx="363">
                  <c:v>3.7429999999999998E-2</c:v>
                </c:pt>
                <c:pt idx="364">
                  <c:v>3.9109999999999999E-2</c:v>
                </c:pt>
                <c:pt idx="365">
                  <c:v>3.866E-2</c:v>
                </c:pt>
                <c:pt idx="366">
                  <c:v>4.548E-2</c:v>
                </c:pt>
                <c:pt idx="367">
                  <c:v>4.9549999999999997E-2</c:v>
                </c:pt>
                <c:pt idx="368">
                  <c:v>0.04</c:v>
                </c:pt>
                <c:pt idx="369">
                  <c:v>3.4880000000000001E-2</c:v>
                </c:pt>
                <c:pt idx="370">
                  <c:v>3.4200000000000001E-2</c:v>
                </c:pt>
                <c:pt idx="371">
                  <c:v>3.4299999999999997E-2</c:v>
                </c:pt>
                <c:pt idx="372">
                  <c:v>3.4639999999999997E-2</c:v>
                </c:pt>
                <c:pt idx="373">
                  <c:v>3.415E-2</c:v>
                </c:pt>
                <c:pt idx="374">
                  <c:v>3.7400000000000003E-2</c:v>
                </c:pt>
                <c:pt idx="375">
                  <c:v>3.4279999999999998E-2</c:v>
                </c:pt>
                <c:pt idx="376">
                  <c:v>3.5310000000000001E-2</c:v>
                </c:pt>
                <c:pt idx="377">
                  <c:v>3.3340000000000002E-2</c:v>
                </c:pt>
                <c:pt idx="378">
                  <c:v>3.4250000000000003E-2</c:v>
                </c:pt>
                <c:pt idx="379">
                  <c:v>3.4009999999999999E-2</c:v>
                </c:pt>
                <c:pt idx="380">
                  <c:v>3.2120000000000003E-2</c:v>
                </c:pt>
                <c:pt idx="381">
                  <c:v>3.3250000000000002E-2</c:v>
                </c:pt>
                <c:pt idx="382">
                  <c:v>3.6389999999999999E-2</c:v>
                </c:pt>
                <c:pt idx="383">
                  <c:v>4.2340000000000003E-2</c:v>
                </c:pt>
                <c:pt idx="384">
                  <c:v>3.918E-2</c:v>
                </c:pt>
                <c:pt idx="385">
                  <c:v>4.2250000000000003E-2</c:v>
                </c:pt>
                <c:pt idx="386">
                  <c:v>3.5889999999999998E-2</c:v>
                </c:pt>
                <c:pt idx="387">
                  <c:v>3.2320000000000002E-2</c:v>
                </c:pt>
                <c:pt idx="388">
                  <c:v>2.964E-2</c:v>
                </c:pt>
                <c:pt idx="389">
                  <c:v>2.8719999999999999E-2</c:v>
                </c:pt>
                <c:pt idx="390">
                  <c:v>2.853E-2</c:v>
                </c:pt>
                <c:pt idx="391">
                  <c:v>3.2410000000000001E-2</c:v>
                </c:pt>
                <c:pt idx="392">
                  <c:v>3.4290000000000001E-2</c:v>
                </c:pt>
                <c:pt idx="393">
                  <c:v>3.5060000000000001E-2</c:v>
                </c:pt>
                <c:pt idx="394">
                  <c:v>3.4930000000000003E-2</c:v>
                </c:pt>
                <c:pt idx="395">
                  <c:v>3.4329999999999999E-2</c:v>
                </c:pt>
                <c:pt idx="396">
                  <c:v>3.422E-2</c:v>
                </c:pt>
                <c:pt idx="397">
                  <c:v>3.3369999999999997E-2</c:v>
                </c:pt>
                <c:pt idx="398">
                  <c:v>3.3360000000000001E-2</c:v>
                </c:pt>
                <c:pt idx="399">
                  <c:v>3.4970000000000001E-2</c:v>
                </c:pt>
                <c:pt idx="400">
                  <c:v>3.3270000000000001E-2</c:v>
                </c:pt>
                <c:pt idx="401">
                  <c:v>3.8620000000000002E-2</c:v>
                </c:pt>
                <c:pt idx="402">
                  <c:v>3.5000000000000003E-2</c:v>
                </c:pt>
                <c:pt idx="403">
                  <c:v>3.6209999999999999E-2</c:v>
                </c:pt>
                <c:pt idx="404">
                  <c:v>3.5999999999999997E-2</c:v>
                </c:pt>
                <c:pt idx="405">
                  <c:v>3.934E-2</c:v>
                </c:pt>
                <c:pt idx="406">
                  <c:v>3.1969999999999998E-2</c:v>
                </c:pt>
                <c:pt idx="407">
                  <c:v>3.4369999999999998E-2</c:v>
                </c:pt>
                <c:pt idx="408">
                  <c:v>3.5159999999999997E-2</c:v>
                </c:pt>
                <c:pt idx="409">
                  <c:v>3.4250000000000003E-2</c:v>
                </c:pt>
                <c:pt idx="410">
                  <c:v>3.329E-2</c:v>
                </c:pt>
                <c:pt idx="411">
                  <c:v>3.322E-2</c:v>
                </c:pt>
                <c:pt idx="412">
                  <c:v>3.1469999999999998E-2</c:v>
                </c:pt>
                <c:pt idx="413">
                  <c:v>3.4819999999999997E-2</c:v>
                </c:pt>
                <c:pt idx="414">
                  <c:v>3.1189999999999999E-2</c:v>
                </c:pt>
                <c:pt idx="415">
                  <c:v>2.911E-2</c:v>
                </c:pt>
                <c:pt idx="416">
                  <c:v>3.3050000000000003E-2</c:v>
                </c:pt>
                <c:pt idx="417">
                  <c:v>3.5529999999999999E-2</c:v>
                </c:pt>
                <c:pt idx="418">
                  <c:v>3.465E-2</c:v>
                </c:pt>
                <c:pt idx="419">
                  <c:v>3.338E-2</c:v>
                </c:pt>
                <c:pt idx="420">
                  <c:v>3.6600000000000001E-2</c:v>
                </c:pt>
                <c:pt idx="421">
                  <c:v>3.6319999999999998E-2</c:v>
                </c:pt>
                <c:pt idx="422">
                  <c:v>3.5189999999999999E-2</c:v>
                </c:pt>
                <c:pt idx="423">
                  <c:v>3.4540000000000001E-2</c:v>
                </c:pt>
                <c:pt idx="424">
                  <c:v>3.6880000000000003E-2</c:v>
                </c:pt>
                <c:pt idx="425">
                  <c:v>3.8629999999999998E-2</c:v>
                </c:pt>
                <c:pt idx="426">
                  <c:v>3.789E-2</c:v>
                </c:pt>
                <c:pt idx="427">
                  <c:v>3.7659999999999999E-2</c:v>
                </c:pt>
                <c:pt idx="428">
                  <c:v>4.2849999999999999E-2</c:v>
                </c:pt>
                <c:pt idx="429">
                  <c:v>4.462E-2</c:v>
                </c:pt>
                <c:pt idx="430">
                  <c:v>4.4999999999999998E-2</c:v>
                </c:pt>
                <c:pt idx="431">
                  <c:v>4.2500000000000003E-2</c:v>
                </c:pt>
                <c:pt idx="432">
                  <c:v>4.3549999999999998E-2</c:v>
                </c:pt>
                <c:pt idx="433">
                  <c:v>4.1570000000000003E-2</c:v>
                </c:pt>
                <c:pt idx="434">
                  <c:v>4.02E-2</c:v>
                </c:pt>
                <c:pt idx="435">
                  <c:v>4.2590000000000003E-2</c:v>
                </c:pt>
                <c:pt idx="436">
                  <c:v>4.5760000000000002E-2</c:v>
                </c:pt>
                <c:pt idx="437">
                  <c:v>4.4269999999999997E-2</c:v>
                </c:pt>
                <c:pt idx="438">
                  <c:v>4.3090000000000003E-2</c:v>
                </c:pt>
                <c:pt idx="439">
                  <c:v>4.444E-2</c:v>
                </c:pt>
                <c:pt idx="440">
                  <c:v>4.3339999999999997E-2</c:v>
                </c:pt>
                <c:pt idx="441">
                  <c:v>4.2139999999999997E-2</c:v>
                </c:pt>
                <c:pt idx="442">
                  <c:v>4.5560000000000003E-2</c:v>
                </c:pt>
                <c:pt idx="443">
                  <c:v>4.7890000000000002E-2</c:v>
                </c:pt>
                <c:pt idx="444">
                  <c:v>4.2999999999999997E-2</c:v>
                </c:pt>
                <c:pt idx="445">
                  <c:v>4.5629999999999997E-2</c:v>
                </c:pt>
                <c:pt idx="446">
                  <c:v>4.3679999999999997E-2</c:v>
                </c:pt>
                <c:pt idx="447">
                  <c:v>4.5220000000000003E-2</c:v>
                </c:pt>
                <c:pt idx="448">
                  <c:v>4.2779999999999999E-2</c:v>
                </c:pt>
                <c:pt idx="449">
                  <c:v>4.2349999999999999E-2</c:v>
                </c:pt>
                <c:pt idx="450">
                  <c:v>4.2619999999999998E-2</c:v>
                </c:pt>
                <c:pt idx="451">
                  <c:v>4.5789999999999997E-2</c:v>
                </c:pt>
                <c:pt idx="452">
                  <c:v>4.607E-2</c:v>
                </c:pt>
                <c:pt idx="453">
                  <c:v>4.5769999999999998E-2</c:v>
                </c:pt>
                <c:pt idx="454">
                  <c:v>4.546E-2</c:v>
                </c:pt>
                <c:pt idx="455">
                  <c:v>5.1180000000000003E-2</c:v>
                </c:pt>
                <c:pt idx="456">
                  <c:v>5.0999999999999997E-2</c:v>
                </c:pt>
                <c:pt idx="457">
                  <c:v>5.4109999999999998E-2</c:v>
                </c:pt>
                <c:pt idx="458">
                  <c:v>4.922E-2</c:v>
                </c:pt>
                <c:pt idx="459">
                  <c:v>5.21E-2</c:v>
                </c:pt>
                <c:pt idx="460">
                  <c:v>5.4120000000000001E-2</c:v>
                </c:pt>
                <c:pt idx="461">
                  <c:v>5.7000000000000002E-2</c:v>
                </c:pt>
                <c:pt idx="462">
                  <c:v>6.1199999999999997E-2</c:v>
                </c:pt>
                <c:pt idx="463">
                  <c:v>5.765E-2</c:v>
                </c:pt>
                <c:pt idx="464">
                  <c:v>5.8650000000000001E-2</c:v>
                </c:pt>
                <c:pt idx="465">
                  <c:v>6.5680000000000002E-2</c:v>
                </c:pt>
                <c:pt idx="466">
                  <c:v>6.2950000000000006E-2</c:v>
                </c:pt>
                <c:pt idx="467">
                  <c:v>6.3570000000000002E-2</c:v>
                </c:pt>
                <c:pt idx="468">
                  <c:v>6.3570000000000002E-2</c:v>
                </c:pt>
                <c:pt idx="469">
                  <c:v>6.6269999999999996E-2</c:v>
                </c:pt>
                <c:pt idx="470">
                  <c:v>6.4939999999999998E-2</c:v>
                </c:pt>
                <c:pt idx="471">
                  <c:v>6.6170000000000007E-2</c:v>
                </c:pt>
                <c:pt idx="472">
                  <c:v>6.7479999999999998E-2</c:v>
                </c:pt>
                <c:pt idx="473">
                  <c:v>6.8610000000000004E-2</c:v>
                </c:pt>
                <c:pt idx="474">
                  <c:v>7.2709999999999997E-2</c:v>
                </c:pt>
                <c:pt idx="475">
                  <c:v>6.7150000000000001E-2</c:v>
                </c:pt>
                <c:pt idx="476">
                  <c:v>6.5000000000000002E-2</c:v>
                </c:pt>
                <c:pt idx="477">
                  <c:v>5.7840000000000003E-2</c:v>
                </c:pt>
                <c:pt idx="478">
                  <c:v>5.6570000000000002E-2</c:v>
                </c:pt>
                <c:pt idx="479">
                  <c:v>5.9749999999999998E-2</c:v>
                </c:pt>
                <c:pt idx="480">
                  <c:v>6.232E-2</c:v>
                </c:pt>
                <c:pt idx="481">
                  <c:v>6.0999999999999999E-2</c:v>
                </c:pt>
                <c:pt idx="482">
                  <c:v>6.0170000000000001E-2</c:v>
                </c:pt>
                <c:pt idx="483">
                  <c:v>6.2E-2</c:v>
                </c:pt>
                <c:pt idx="484">
                  <c:v>6.4159999999999995E-2</c:v>
                </c:pt>
                <c:pt idx="485">
                  <c:v>6.0999999999999999E-2</c:v>
                </c:pt>
                <c:pt idx="486">
                  <c:v>6.25E-2</c:v>
                </c:pt>
                <c:pt idx="487">
                  <c:v>6.361E-2</c:v>
                </c:pt>
                <c:pt idx="488">
                  <c:v>6.1850000000000002E-2</c:v>
                </c:pt>
                <c:pt idx="489">
                  <c:v>6.4369999999999997E-2</c:v>
                </c:pt>
                <c:pt idx="490">
                  <c:v>6.4839999999999995E-2</c:v>
                </c:pt>
                <c:pt idx="491">
                  <c:v>6.25E-2</c:v>
                </c:pt>
                <c:pt idx="492">
                  <c:v>5.5809999999999998E-2</c:v>
                </c:pt>
                <c:pt idx="493">
                  <c:v>6.0100000000000001E-2</c:v>
                </c:pt>
                <c:pt idx="494">
                  <c:v>6.8959999999999994E-2</c:v>
                </c:pt>
                <c:pt idx="495">
                  <c:v>7.4859999999999996E-2</c:v>
                </c:pt>
                <c:pt idx="496">
                  <c:v>6.2850000000000003E-2</c:v>
                </c:pt>
                <c:pt idx="497">
                  <c:v>6.0170000000000001E-2</c:v>
                </c:pt>
                <c:pt idx="498">
                  <c:v>6.8000000000000005E-2</c:v>
                </c:pt>
                <c:pt idx="499">
                  <c:v>7.3690000000000005E-2</c:v>
                </c:pt>
                <c:pt idx="500">
                  <c:v>7.689E-2</c:v>
                </c:pt>
                <c:pt idx="501">
                  <c:v>7.109E-2</c:v>
                </c:pt>
                <c:pt idx="502">
                  <c:v>7.9070000000000001E-2</c:v>
                </c:pt>
                <c:pt idx="503">
                  <c:v>8.4269999999999998E-2</c:v>
                </c:pt>
                <c:pt idx="504">
                  <c:v>8.2909999999999998E-2</c:v>
                </c:pt>
                <c:pt idx="505">
                  <c:v>8.2930000000000004E-2</c:v>
                </c:pt>
                <c:pt idx="506">
                  <c:v>0.08</c:v>
                </c:pt>
                <c:pt idx="507">
                  <c:v>8.5769999999999999E-2</c:v>
                </c:pt>
                <c:pt idx="508">
                  <c:v>8.14E-2</c:v>
                </c:pt>
                <c:pt idx="509">
                  <c:v>8.5000000000000006E-2</c:v>
                </c:pt>
                <c:pt idx="510">
                  <c:v>8.7970000000000007E-2</c:v>
                </c:pt>
                <c:pt idx="511">
                  <c:v>9.1850000000000001E-2</c:v>
                </c:pt>
                <c:pt idx="512">
                  <c:v>0.10616</c:v>
                </c:pt>
                <c:pt idx="513">
                  <c:v>0.11670999999999999</c:v>
                </c:pt>
                <c:pt idx="514">
                  <c:v>0.12740000000000001</c:v>
                </c:pt>
                <c:pt idx="515">
                  <c:v>0.12148</c:v>
                </c:pt>
                <c:pt idx="516">
                  <c:v>0.12018</c:v>
                </c:pt>
                <c:pt idx="517">
                  <c:v>0.11938</c:v>
                </c:pt>
                <c:pt idx="518">
                  <c:v>0.11117</c:v>
                </c:pt>
                <c:pt idx="519">
                  <c:v>9.7790000000000002E-2</c:v>
                </c:pt>
                <c:pt idx="520">
                  <c:v>9.3670000000000003E-2</c:v>
                </c:pt>
                <c:pt idx="521">
                  <c:v>0.10889</c:v>
                </c:pt>
                <c:pt idx="522">
                  <c:v>0.11563</c:v>
                </c:pt>
                <c:pt idx="523">
                  <c:v>0.12239999999999999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A-4F5E-800C-13E52B8DC2C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-19.924879473044982</c:v>
                </c:pt>
                <c:pt idx="1">
                  <c:v>-19.920386118848555</c:v>
                </c:pt>
                <c:pt idx="2">
                  <c:v>-19.663646692858798</c:v>
                </c:pt>
                <c:pt idx="3">
                  <c:v>-19.713098766570141</c:v>
                </c:pt>
                <c:pt idx="4">
                  <c:v>-19.75502490173475</c:v>
                </c:pt>
                <c:pt idx="5">
                  <c:v>-19.783928770794571</c:v>
                </c:pt>
                <c:pt idx="6">
                  <c:v>-19.708091391687425</c:v>
                </c:pt>
                <c:pt idx="7">
                  <c:v>-19.416420096124565</c:v>
                </c:pt>
                <c:pt idx="8">
                  <c:v>-19.279920041085351</c:v>
                </c:pt>
                <c:pt idx="9">
                  <c:v>-19.21662991016963</c:v>
                </c:pt>
                <c:pt idx="10">
                  <c:v>-19.209869128648023</c:v>
                </c:pt>
                <c:pt idx="11">
                  <c:v>-19.11189711304386</c:v>
                </c:pt>
                <c:pt idx="12">
                  <c:v>-19.056381641675234</c:v>
                </c:pt>
                <c:pt idx="13">
                  <c:v>-19.098415853702413</c:v>
                </c:pt>
                <c:pt idx="14">
                  <c:v>-19.133088171625761</c:v>
                </c:pt>
                <c:pt idx="15">
                  <c:v>-19.022687863943293</c:v>
                </c:pt>
                <c:pt idx="16">
                  <c:v>-19.028512464182157</c:v>
                </c:pt>
                <c:pt idx="17">
                  <c:v>-19.172375355162689</c:v>
                </c:pt>
                <c:pt idx="18">
                  <c:v>-18.997789099321295</c:v>
                </c:pt>
                <c:pt idx="19">
                  <c:v>-18.889552749603268</c:v>
                </c:pt>
                <c:pt idx="20">
                  <c:v>-18.488688348194128</c:v>
                </c:pt>
                <c:pt idx="21">
                  <c:v>-18.443483057711806</c:v>
                </c:pt>
                <c:pt idx="22">
                  <c:v>-18.374900460313984</c:v>
                </c:pt>
                <c:pt idx="23">
                  <c:v>-18.250101814065744</c:v>
                </c:pt>
                <c:pt idx="24">
                  <c:v>-18.080757070198729</c:v>
                </c:pt>
                <c:pt idx="25">
                  <c:v>-18.064992956358303</c:v>
                </c:pt>
                <c:pt idx="26">
                  <c:v>-18.043806961034672</c:v>
                </c:pt>
                <c:pt idx="27">
                  <c:v>-18.110175989412358</c:v>
                </c:pt>
                <c:pt idx="28">
                  <c:v>-18.065580646685145</c:v>
                </c:pt>
                <c:pt idx="29">
                  <c:v>-17.926657017506994</c:v>
                </c:pt>
                <c:pt idx="30">
                  <c:v>-17.715286628574912</c:v>
                </c:pt>
                <c:pt idx="31">
                  <c:v>-17.535483848554744</c:v>
                </c:pt>
                <c:pt idx="32">
                  <c:v>-17.393094510437098</c:v>
                </c:pt>
                <c:pt idx="33">
                  <c:v>-17.242494362134607</c:v>
                </c:pt>
                <c:pt idx="34">
                  <c:v>-17.27901918960444</c:v>
                </c:pt>
                <c:pt idx="35">
                  <c:v>-17.121593083424266</c:v>
                </c:pt>
                <c:pt idx="36">
                  <c:v>-17.326086520424262</c:v>
                </c:pt>
                <c:pt idx="37">
                  <c:v>-17.240004764276467</c:v>
                </c:pt>
                <c:pt idx="38">
                  <c:v>-17.213405995389824</c:v>
                </c:pt>
                <c:pt idx="39">
                  <c:v>-17.220608922624866</c:v>
                </c:pt>
                <c:pt idx="40">
                  <c:v>-17.092653828173976</c:v>
                </c:pt>
                <c:pt idx="41">
                  <c:v>-17.006776586753222</c:v>
                </c:pt>
                <c:pt idx="42">
                  <c:v>-16.987678145390788</c:v>
                </c:pt>
                <c:pt idx="43">
                  <c:v>-16.811738153314518</c:v>
                </c:pt>
                <c:pt idx="44">
                  <c:v>-16.754530127673494</c:v>
                </c:pt>
                <c:pt idx="45">
                  <c:v>-16.716004414252009</c:v>
                </c:pt>
                <c:pt idx="46">
                  <c:v>-16.475667971492129</c:v>
                </c:pt>
                <c:pt idx="47">
                  <c:v>-16.481685252720389</c:v>
                </c:pt>
                <c:pt idx="48">
                  <c:v>-16.488058462537161</c:v>
                </c:pt>
                <c:pt idx="49">
                  <c:v>-16.212136645798989</c:v>
                </c:pt>
                <c:pt idx="50">
                  <c:v>-15.751334746774212</c:v>
                </c:pt>
                <c:pt idx="51">
                  <c:v>-15.37127856989653</c:v>
                </c:pt>
                <c:pt idx="52">
                  <c:v>-12.806288809403162</c:v>
                </c:pt>
                <c:pt idx="53">
                  <c:v>-14.292171787114411</c:v>
                </c:pt>
                <c:pt idx="54">
                  <c:v>-14.178110390596185</c:v>
                </c:pt>
                <c:pt idx="55">
                  <c:v>-14.049278658318764</c:v>
                </c:pt>
                <c:pt idx="56">
                  <c:v>-14.186398268523227</c:v>
                </c:pt>
                <c:pt idx="57">
                  <c:v>-13.555876661565907</c:v>
                </c:pt>
                <c:pt idx="58">
                  <c:v>-12.192365425887248</c:v>
                </c:pt>
                <c:pt idx="59">
                  <c:v>-12.324442146073558</c:v>
                </c:pt>
                <c:pt idx="60">
                  <c:v>-12.350650504424221</c:v>
                </c:pt>
                <c:pt idx="61">
                  <c:v>-12.449183310263262</c:v>
                </c:pt>
                <c:pt idx="62">
                  <c:v>-12.439493939904871</c:v>
                </c:pt>
                <c:pt idx="63">
                  <c:v>-12.345908441207786</c:v>
                </c:pt>
                <c:pt idx="64">
                  <c:v>-12.083255215393336</c:v>
                </c:pt>
                <c:pt idx="65">
                  <c:v>-12.206813185818833</c:v>
                </c:pt>
                <c:pt idx="66">
                  <c:v>-12.447510999375703</c:v>
                </c:pt>
                <c:pt idx="67">
                  <c:v>-12.192867125426851</c:v>
                </c:pt>
                <c:pt idx="68">
                  <c:v>-11.923952328614378</c:v>
                </c:pt>
                <c:pt idx="69">
                  <c:v>-11.091109698081077</c:v>
                </c:pt>
                <c:pt idx="70">
                  <c:v>-10.125339867219544</c:v>
                </c:pt>
                <c:pt idx="71">
                  <c:v>-10.410800092476164</c:v>
                </c:pt>
                <c:pt idx="72">
                  <c:v>-10.184024936255289</c:v>
                </c:pt>
                <c:pt idx="73">
                  <c:v>-10.208173842894537</c:v>
                </c:pt>
                <c:pt idx="74">
                  <c:v>-9.4788950789452553</c:v>
                </c:pt>
                <c:pt idx="75">
                  <c:v>-9.4449324354678215</c:v>
                </c:pt>
                <c:pt idx="76">
                  <c:v>-9.4293499581921445</c:v>
                </c:pt>
                <c:pt idx="77">
                  <c:v>-9.2615747288712136</c:v>
                </c:pt>
                <c:pt idx="78">
                  <c:v>-9.22763716329702</c:v>
                </c:pt>
                <c:pt idx="79">
                  <c:v>-9.0569157757771528</c:v>
                </c:pt>
                <c:pt idx="80">
                  <c:v>-8.8751607786915567</c:v>
                </c:pt>
                <c:pt idx="81">
                  <c:v>-8.1732339826290126</c:v>
                </c:pt>
                <c:pt idx="82">
                  <c:v>-9.0681903075478161</c:v>
                </c:pt>
                <c:pt idx="83">
                  <c:v>-9.1170475040545345</c:v>
                </c:pt>
                <c:pt idx="84">
                  <c:v>-8.9856409979362013</c:v>
                </c:pt>
                <c:pt idx="85">
                  <c:v>-8.7983199366149343</c:v>
                </c:pt>
                <c:pt idx="86">
                  <c:v>-8.6410420757035045</c:v>
                </c:pt>
                <c:pt idx="87">
                  <c:v>-8.7563977703254352</c:v>
                </c:pt>
                <c:pt idx="88">
                  <c:v>-8.7852177715392727</c:v>
                </c:pt>
                <c:pt idx="89">
                  <c:v>-8.8269512328722506</c:v>
                </c:pt>
                <c:pt idx="90">
                  <c:v>-8.5637020508979251</c:v>
                </c:pt>
                <c:pt idx="91">
                  <c:v>-8.2906368069320067</c:v>
                </c:pt>
                <c:pt idx="92">
                  <c:v>-8.1438195770227573</c:v>
                </c:pt>
                <c:pt idx="93">
                  <c:v>-7.7455247127362288</c:v>
                </c:pt>
                <c:pt idx="94">
                  <c:v>-7.5267436795788587</c:v>
                </c:pt>
                <c:pt idx="95">
                  <c:v>-7.5654447446765136</c:v>
                </c:pt>
                <c:pt idx="96">
                  <c:v>-7.3649063624659883</c:v>
                </c:pt>
                <c:pt idx="97">
                  <c:v>-7.300847016252578</c:v>
                </c:pt>
                <c:pt idx="98">
                  <c:v>-7.200949903686106</c:v>
                </c:pt>
                <c:pt idx="99">
                  <c:v>-6.9886895314508131</c:v>
                </c:pt>
                <c:pt idx="100">
                  <c:v>-6.9979824062120599</c:v>
                </c:pt>
                <c:pt idx="101">
                  <c:v>-6.8556877442620134</c:v>
                </c:pt>
                <c:pt idx="102">
                  <c:v>-6.6854178073436792</c:v>
                </c:pt>
                <c:pt idx="103">
                  <c:v>-5.7533681072662048</c:v>
                </c:pt>
                <c:pt idx="104">
                  <c:v>-5.6274565301542037</c:v>
                </c:pt>
                <c:pt idx="105">
                  <c:v>-5.4318802249142948</c:v>
                </c:pt>
                <c:pt idx="106">
                  <c:v>-5.3786968686171068</c:v>
                </c:pt>
                <c:pt idx="107">
                  <c:v>-5.2713691071171063</c:v>
                </c:pt>
                <c:pt idx="108">
                  <c:v>-5.3344127861013444</c:v>
                </c:pt>
                <c:pt idx="109">
                  <c:v>-4.8842702543650631</c:v>
                </c:pt>
                <c:pt idx="110">
                  <c:v>-4.7941048649865996</c:v>
                </c:pt>
                <c:pt idx="111">
                  <c:v>-4.4862989091158099</c:v>
                </c:pt>
                <c:pt idx="112">
                  <c:v>-3.9864243819562675</c:v>
                </c:pt>
                <c:pt idx="113">
                  <c:v>-3.645072733292114</c:v>
                </c:pt>
                <c:pt idx="114">
                  <c:v>-3.6580596688324332</c:v>
                </c:pt>
                <c:pt idx="115">
                  <c:v>-3.4535992593634055</c:v>
                </c:pt>
                <c:pt idx="116">
                  <c:v>-3.1914616474778841</c:v>
                </c:pt>
                <c:pt idx="117">
                  <c:v>-3.2131530702693016</c:v>
                </c:pt>
                <c:pt idx="118">
                  <c:v>-3.0906610623139539</c:v>
                </c:pt>
                <c:pt idx="119">
                  <c:v>-3.2331645486907985</c:v>
                </c:pt>
                <c:pt idx="120">
                  <c:v>-3.2316547886157574</c:v>
                </c:pt>
                <c:pt idx="121">
                  <c:v>-2.6609508544265683</c:v>
                </c:pt>
                <c:pt idx="122">
                  <c:v>-1.4059574466405338</c:v>
                </c:pt>
                <c:pt idx="123">
                  <c:v>-2.420636996683633</c:v>
                </c:pt>
                <c:pt idx="124">
                  <c:v>-2.3171373092630052</c:v>
                </c:pt>
                <c:pt idx="125">
                  <c:v>-2.1059909541134374</c:v>
                </c:pt>
                <c:pt idx="126">
                  <c:v>-1.9075974835054039</c:v>
                </c:pt>
                <c:pt idx="127">
                  <c:v>-1.8970692426348159</c:v>
                </c:pt>
                <c:pt idx="128">
                  <c:v>-2.0988136434268077</c:v>
                </c:pt>
                <c:pt idx="129">
                  <c:v>-1.6686790621739092</c:v>
                </c:pt>
                <c:pt idx="130">
                  <c:v>-1.3860378543077898</c:v>
                </c:pt>
                <c:pt idx="131">
                  <c:v>-0.94814307730778991</c:v>
                </c:pt>
                <c:pt idx="132">
                  <c:v>-2.8866763036058767E-2</c:v>
                </c:pt>
                <c:pt idx="133">
                  <c:v>0.3196378768542642</c:v>
                </c:pt>
                <c:pt idx="134">
                  <c:v>0.56841595850919791</c:v>
                </c:pt>
                <c:pt idx="135">
                  <c:v>1.1686529716348431</c:v>
                </c:pt>
                <c:pt idx="136">
                  <c:v>1.6502429853448937</c:v>
                </c:pt>
                <c:pt idx="137">
                  <c:v>2.3207669911291977</c:v>
                </c:pt>
                <c:pt idx="138">
                  <c:v>4.3023133891263248</c:v>
                </c:pt>
                <c:pt idx="139">
                  <c:v>1.6445049484421539</c:v>
                </c:pt>
                <c:pt idx="140">
                  <c:v>2.1387885298330631</c:v>
                </c:pt>
                <c:pt idx="141">
                  <c:v>2.6761356929768465</c:v>
                </c:pt>
                <c:pt idx="142">
                  <c:v>15.94218688652299</c:v>
                </c:pt>
                <c:pt idx="143">
                  <c:v>7.3229392890632417</c:v>
                </c:pt>
                <c:pt idx="144">
                  <c:v>-1.1660411508542443</c:v>
                </c:pt>
                <c:pt idx="145">
                  <c:v>-7.1909390675799347</c:v>
                </c:pt>
                <c:pt idx="146">
                  <c:v>-7.2104294290799347</c:v>
                </c:pt>
                <c:pt idx="147">
                  <c:v>-7.2032362736463051</c:v>
                </c:pt>
                <c:pt idx="148">
                  <c:v>-7.201224573532099</c:v>
                </c:pt>
                <c:pt idx="149">
                  <c:v>-7.2576795987995153</c:v>
                </c:pt>
                <c:pt idx="150">
                  <c:v>-7.2421758132854972</c:v>
                </c:pt>
                <c:pt idx="151">
                  <c:v>-7.2000955701538247</c:v>
                </c:pt>
                <c:pt idx="152">
                  <c:v>-7.1998426049993851</c:v>
                </c:pt>
                <c:pt idx="153">
                  <c:v>-7.176399590438729</c:v>
                </c:pt>
                <c:pt idx="154">
                  <c:v>-7.2242420086623245</c:v>
                </c:pt>
                <c:pt idx="155">
                  <c:v>-7.2162712949781138</c:v>
                </c:pt>
                <c:pt idx="156">
                  <c:v>-7.2646425785301965</c:v>
                </c:pt>
                <c:pt idx="157">
                  <c:v>-7.199665189410128</c:v>
                </c:pt>
                <c:pt idx="158">
                  <c:v>-7.0838003121458017</c:v>
                </c:pt>
                <c:pt idx="159">
                  <c:v>-7.0862963126492975</c:v>
                </c:pt>
                <c:pt idx="160">
                  <c:v>-7.0321281078795135</c:v>
                </c:pt>
                <c:pt idx="161">
                  <c:v>-7.0335836905405307</c:v>
                </c:pt>
                <c:pt idx="162">
                  <c:v>-7.099257214756924</c:v>
                </c:pt>
                <c:pt idx="163">
                  <c:v>-7.0776245594363001</c:v>
                </c:pt>
                <c:pt idx="164">
                  <c:v>-7.0426399425451862</c:v>
                </c:pt>
                <c:pt idx="165">
                  <c:v>-7.0072934323591403</c:v>
                </c:pt>
                <c:pt idx="166">
                  <c:v>-7.0380225116315591</c:v>
                </c:pt>
                <c:pt idx="167">
                  <c:v>-7.0709101179648925</c:v>
                </c:pt>
                <c:pt idx="168">
                  <c:v>-7.1959351010687467</c:v>
                </c:pt>
                <c:pt idx="169">
                  <c:v>-7.265231682811284</c:v>
                </c:pt>
                <c:pt idx="170">
                  <c:v>-7.2639710767788523</c:v>
                </c:pt>
                <c:pt idx="171">
                  <c:v>-7.2699028763887084</c:v>
                </c:pt>
                <c:pt idx="172">
                  <c:v>-7.3716070559053239</c:v>
                </c:pt>
                <c:pt idx="173">
                  <c:v>-6.9789858236096052</c:v>
                </c:pt>
                <c:pt idx="174">
                  <c:v>-6.1766175118535793</c:v>
                </c:pt>
                <c:pt idx="175">
                  <c:v>-5.8581260000127484</c:v>
                </c:pt>
                <c:pt idx="176">
                  <c:v>-6.2413739650698927</c:v>
                </c:pt>
                <c:pt idx="177">
                  <c:v>-6.2804567891518976</c:v>
                </c:pt>
                <c:pt idx="178">
                  <c:v>-6.3005008623008338</c:v>
                </c:pt>
                <c:pt idx="179">
                  <c:v>-6.3016972133408338</c:v>
                </c:pt>
                <c:pt idx="180">
                  <c:v>-6.235130939609375</c:v>
                </c:pt>
                <c:pt idx="181">
                  <c:v>-6.2528539812099106</c:v>
                </c:pt>
                <c:pt idx="182">
                  <c:v>-6.495333222962997</c:v>
                </c:pt>
                <c:pt idx="183">
                  <c:v>-5.8730085640348975</c:v>
                </c:pt>
                <c:pt idx="184">
                  <c:v>-5.8808335797144347</c:v>
                </c:pt>
                <c:pt idx="185">
                  <c:v>-5.933965159413856</c:v>
                </c:pt>
                <c:pt idx="186">
                  <c:v>-5.8090469667630087</c:v>
                </c:pt>
                <c:pt idx="187">
                  <c:v>-5.8918691303393969</c:v>
                </c:pt>
                <c:pt idx="188">
                  <c:v>-5.6894788055897108</c:v>
                </c:pt>
                <c:pt idx="189">
                  <c:v>-4.8980802676779458</c:v>
                </c:pt>
                <c:pt idx="190">
                  <c:v>-4.9606465066779455</c:v>
                </c:pt>
                <c:pt idx="191">
                  <c:v>-4.9744301503008668</c:v>
                </c:pt>
                <c:pt idx="192">
                  <c:v>-4.9745379786073798</c:v>
                </c:pt>
                <c:pt idx="193">
                  <c:v>-4.9602540668755504</c:v>
                </c:pt>
                <c:pt idx="194">
                  <c:v>-4.955972783806585</c:v>
                </c:pt>
                <c:pt idx="195">
                  <c:v>-4.9672921729660047</c:v>
                </c:pt>
                <c:pt idx="196">
                  <c:v>-4.9418695930704004</c:v>
                </c:pt>
                <c:pt idx="197">
                  <c:v>-4.9335819053160748</c:v>
                </c:pt>
                <c:pt idx="198">
                  <c:v>-4.9407211799221358</c:v>
                </c:pt>
                <c:pt idx="199">
                  <c:v>-4.9330279237369501</c:v>
                </c:pt>
                <c:pt idx="200">
                  <c:v>-4.9170202785330934</c:v>
                </c:pt>
                <c:pt idx="201">
                  <c:v>-4.9201639196259315</c:v>
                </c:pt>
                <c:pt idx="202">
                  <c:v>-4.9093897199387273</c:v>
                </c:pt>
                <c:pt idx="203">
                  <c:v>-4.9412690263335612</c:v>
                </c:pt>
                <c:pt idx="204">
                  <c:v>-4.9306303944428054</c:v>
                </c:pt>
                <c:pt idx="205">
                  <c:v>-4.9251941775062971</c:v>
                </c:pt>
                <c:pt idx="206">
                  <c:v>-4.9300570346396304</c:v>
                </c:pt>
                <c:pt idx="207">
                  <c:v>-4.9027595375204589</c:v>
                </c:pt>
                <c:pt idx="208">
                  <c:v>-4.7874038922861093</c:v>
                </c:pt>
                <c:pt idx="209">
                  <c:v>-4.7935643994309567</c:v>
                </c:pt>
                <c:pt idx="210">
                  <c:v>-4.8046699483090052</c:v>
                </c:pt>
                <c:pt idx="211">
                  <c:v>-4.8076110030918473</c:v>
                </c:pt>
                <c:pt idx="212">
                  <c:v>-4.8049204377301438</c:v>
                </c:pt>
                <c:pt idx="213">
                  <c:v>-4.8534139214789365</c:v>
                </c:pt>
                <c:pt idx="214">
                  <c:v>-4.8640096916653164</c:v>
                </c:pt>
                <c:pt idx="215">
                  <c:v>-4.9000752347562253</c:v>
                </c:pt>
                <c:pt idx="216">
                  <c:v>-4.9289602405140815</c:v>
                </c:pt>
                <c:pt idx="217">
                  <c:v>-4.9102081548591299</c:v>
                </c:pt>
                <c:pt idx="218">
                  <c:v>-4.9223644457517848</c:v>
                </c:pt>
                <c:pt idx="219">
                  <c:v>-4.9357589504860266</c:v>
                </c:pt>
                <c:pt idx="220">
                  <c:v>-4.9342538553660269</c:v>
                </c:pt>
                <c:pt idx="221">
                  <c:v>-4.8807271733660276</c:v>
                </c:pt>
                <c:pt idx="222">
                  <c:v>-4.8996881804476597</c:v>
                </c:pt>
                <c:pt idx="223">
                  <c:v>-4.8683413122995116</c:v>
                </c:pt>
                <c:pt idx="224">
                  <c:v>-4.806014157759666</c:v>
                </c:pt>
                <c:pt idx="225">
                  <c:v>-4.751662687738464</c:v>
                </c:pt>
                <c:pt idx="226">
                  <c:v>-4.6884747366195452</c:v>
                </c:pt>
                <c:pt idx="227">
                  <c:v>-4.4509768010234865</c:v>
                </c:pt>
                <c:pt idx="228">
                  <c:v>-4.5103387307422365</c:v>
                </c:pt>
                <c:pt idx="229">
                  <c:v>-4.598928292581367</c:v>
                </c:pt>
                <c:pt idx="230">
                  <c:v>-4.5983561067149346</c:v>
                </c:pt>
                <c:pt idx="231">
                  <c:v>-4.1096995590322871</c:v>
                </c:pt>
                <c:pt idx="232">
                  <c:v>-2.7734150745538275</c:v>
                </c:pt>
                <c:pt idx="233">
                  <c:v>-2.8344352215484152</c:v>
                </c:pt>
                <c:pt idx="234">
                  <c:v>-2.8468331330404002</c:v>
                </c:pt>
                <c:pt idx="235">
                  <c:v>-2.7881763790722891</c:v>
                </c:pt>
                <c:pt idx="236">
                  <c:v>-2.82765453055171</c:v>
                </c:pt>
                <c:pt idx="237">
                  <c:v>-2.7862362215598848</c:v>
                </c:pt>
                <c:pt idx="238">
                  <c:v>-2.7811912601053392</c:v>
                </c:pt>
                <c:pt idx="239">
                  <c:v>-2.7945959439612347</c:v>
                </c:pt>
                <c:pt idx="240">
                  <c:v>-2.8012401116535424</c:v>
                </c:pt>
                <c:pt idx="241">
                  <c:v>-2.7955286093260319</c:v>
                </c:pt>
                <c:pt idx="242">
                  <c:v>-2.8280821213260317</c:v>
                </c:pt>
                <c:pt idx="243">
                  <c:v>-2.8375631315366214</c:v>
                </c:pt>
                <c:pt idx="244">
                  <c:v>-2.825354131353826</c:v>
                </c:pt>
                <c:pt idx="245">
                  <c:v>-2.7915449117040207</c:v>
                </c:pt>
                <c:pt idx="246">
                  <c:v>-2.7938144584749103</c:v>
                </c:pt>
                <c:pt idx="247">
                  <c:v>-2.8126556330294639</c:v>
                </c:pt>
                <c:pt idx="248">
                  <c:v>-2.8705829298495575</c:v>
                </c:pt>
                <c:pt idx="249">
                  <c:v>-2.905933390978253</c:v>
                </c:pt>
                <c:pt idx="250">
                  <c:v>-2.901780304717295</c:v>
                </c:pt>
                <c:pt idx="251">
                  <c:v>-2.9109157856356629</c:v>
                </c:pt>
                <c:pt idx="252">
                  <c:v>-2.8828791998188241</c:v>
                </c:pt>
                <c:pt idx="253">
                  <c:v>-2.8904061126339502</c:v>
                </c:pt>
                <c:pt idx="254">
                  <c:v>-2.8214643328528086</c:v>
                </c:pt>
                <c:pt idx="255">
                  <c:v>-2.8136324453563453</c:v>
                </c:pt>
                <c:pt idx="256">
                  <c:v>-2.7917862331334882</c:v>
                </c:pt>
                <c:pt idx="257">
                  <c:v>-2.7815310087734884</c:v>
                </c:pt>
                <c:pt idx="258">
                  <c:v>-2.7581032165452029</c:v>
                </c:pt>
                <c:pt idx="259">
                  <c:v>-2.7741207128754088</c:v>
                </c:pt>
                <c:pt idx="260">
                  <c:v>-2.7489117855105785</c:v>
                </c:pt>
                <c:pt idx="261">
                  <c:v>-2.6978138645409069</c:v>
                </c:pt>
                <c:pt idx="262">
                  <c:v>-2.7105349518124946</c:v>
                </c:pt>
                <c:pt idx="263">
                  <c:v>-2.6794101182637209</c:v>
                </c:pt>
                <c:pt idx="264">
                  <c:v>-2.7084862767485696</c:v>
                </c:pt>
                <c:pt idx="265">
                  <c:v>-2.6891074534321753</c:v>
                </c:pt>
                <c:pt idx="266">
                  <c:v>-2.6626278706060882</c:v>
                </c:pt>
                <c:pt idx="267">
                  <c:v>-2.6527141773673786</c:v>
                </c:pt>
                <c:pt idx="268">
                  <c:v>-2.6815146204737612</c:v>
                </c:pt>
                <c:pt idx="269">
                  <c:v>-2.6051431425989593</c:v>
                </c:pt>
                <c:pt idx="270">
                  <c:v>-2.6079039676154734</c:v>
                </c:pt>
                <c:pt idx="271">
                  <c:v>-2.6006279949726161</c:v>
                </c:pt>
                <c:pt idx="272">
                  <c:v>-2.5512022751541745</c:v>
                </c:pt>
                <c:pt idx="273">
                  <c:v>-2.4926892567571159</c:v>
                </c:pt>
                <c:pt idx="274">
                  <c:v>-2.5492241296601015</c:v>
                </c:pt>
                <c:pt idx="275">
                  <c:v>-2.4919183836901011</c:v>
                </c:pt>
                <c:pt idx="276">
                  <c:v>-2.4591114564695578</c:v>
                </c:pt>
                <c:pt idx="277">
                  <c:v>-2.4809500570429144</c:v>
                </c:pt>
                <c:pt idx="278">
                  <c:v>-2.0599274738263995</c:v>
                </c:pt>
                <c:pt idx="279">
                  <c:v>-2.068886304179931</c:v>
                </c:pt>
                <c:pt idx="280">
                  <c:v>-2.1386919794942991</c:v>
                </c:pt>
                <c:pt idx="281">
                  <c:v>-2.1239145290988191</c:v>
                </c:pt>
                <c:pt idx="282">
                  <c:v>-2.0805059874815774</c:v>
                </c:pt>
                <c:pt idx="283">
                  <c:v>-2.1304847265154634</c:v>
                </c:pt>
                <c:pt idx="284">
                  <c:v>-2.083472144211596</c:v>
                </c:pt>
                <c:pt idx="285">
                  <c:v>-2.0670213968718358</c:v>
                </c:pt>
                <c:pt idx="286">
                  <c:v>-2.0024086872653792</c:v>
                </c:pt>
                <c:pt idx="287">
                  <c:v>-2.0425893646195958</c:v>
                </c:pt>
                <c:pt idx="288">
                  <c:v>-1.9965602602281372</c:v>
                </c:pt>
                <c:pt idx="289">
                  <c:v>-1.9502922946944878</c:v>
                </c:pt>
                <c:pt idx="290">
                  <c:v>-1.9238727587444877</c:v>
                </c:pt>
                <c:pt idx="291">
                  <c:v>-1.8443729021609048</c:v>
                </c:pt>
                <c:pt idx="292">
                  <c:v>-1.8544632732241064</c:v>
                </c:pt>
                <c:pt idx="293">
                  <c:v>-1.8011883862097706</c:v>
                </c:pt>
                <c:pt idx="294">
                  <c:v>-1.7228188190141187</c:v>
                </c:pt>
                <c:pt idx="295">
                  <c:v>-1.8021266240566196</c:v>
                </c:pt>
                <c:pt idx="296">
                  <c:v>-1.7667502068953089</c:v>
                </c:pt>
                <c:pt idx="297">
                  <c:v>-1.7588176866949399</c:v>
                </c:pt>
                <c:pt idx="298">
                  <c:v>-1.7190065330515805</c:v>
                </c:pt>
                <c:pt idx="299">
                  <c:v>-1.767571338518745</c:v>
                </c:pt>
                <c:pt idx="300">
                  <c:v>-1.6525019945250508</c:v>
                </c:pt>
                <c:pt idx="301">
                  <c:v>-1.6991503079553913</c:v>
                </c:pt>
                <c:pt idx="302">
                  <c:v>-1.6518191919395671</c:v>
                </c:pt>
                <c:pt idx="303">
                  <c:v>-1.6230822323853502</c:v>
                </c:pt>
                <c:pt idx="304">
                  <c:v>-1.5688334335297094</c:v>
                </c:pt>
                <c:pt idx="305">
                  <c:v>-1.6567487114647896</c:v>
                </c:pt>
                <c:pt idx="306">
                  <c:v>-1.7099413145464224</c:v>
                </c:pt>
                <c:pt idx="307">
                  <c:v>-1.7161278364449373</c:v>
                </c:pt>
                <c:pt idx="308">
                  <c:v>-1.8141234621833013</c:v>
                </c:pt>
                <c:pt idx="309">
                  <c:v>-1.6745571325886348</c:v>
                </c:pt>
                <c:pt idx="310">
                  <c:v>-1.6834829096619872</c:v>
                </c:pt>
                <c:pt idx="311">
                  <c:v>-1.5971816950672673</c:v>
                </c:pt>
                <c:pt idx="312">
                  <c:v>-1.6305358818353246</c:v>
                </c:pt>
                <c:pt idx="313">
                  <c:v>-1.65590146383611</c:v>
                </c:pt>
                <c:pt idx="314">
                  <c:v>-1.6346059098209749</c:v>
                </c:pt>
                <c:pt idx="315">
                  <c:v>-1.6321685509112758</c:v>
                </c:pt>
                <c:pt idx="316">
                  <c:v>-1.607583894434836</c:v>
                </c:pt>
                <c:pt idx="317">
                  <c:v>-1.5679986089825748</c:v>
                </c:pt>
                <c:pt idx="318">
                  <c:v>-1.6487645418492414</c:v>
                </c:pt>
                <c:pt idx="319">
                  <c:v>-1.6179790075233287</c:v>
                </c:pt>
                <c:pt idx="320">
                  <c:v>-1.5800601994192454</c:v>
                </c:pt>
                <c:pt idx="321">
                  <c:v>-1.6248408645674937</c:v>
                </c:pt>
                <c:pt idx="322">
                  <c:v>-1.5710409887443448</c:v>
                </c:pt>
                <c:pt idx="323">
                  <c:v>-1.4747886328107347</c:v>
                </c:pt>
                <c:pt idx="324">
                  <c:v>-1.5478572652797857</c:v>
                </c:pt>
                <c:pt idx="325">
                  <c:v>-1.6551797007649138</c:v>
                </c:pt>
                <c:pt idx="326">
                  <c:v>-1.6653098131593023</c:v>
                </c:pt>
                <c:pt idx="327">
                  <c:v>-1.6723561326334555</c:v>
                </c:pt>
                <c:pt idx="328">
                  <c:v>-1.6687605800885454</c:v>
                </c:pt>
                <c:pt idx="329">
                  <c:v>-1.728450255027268</c:v>
                </c:pt>
                <c:pt idx="330">
                  <c:v>-1.8022381883606013</c:v>
                </c:pt>
                <c:pt idx="331">
                  <c:v>-1.8522142768810093</c:v>
                </c:pt>
                <c:pt idx="332">
                  <c:v>-1.8419629980842178</c:v>
                </c:pt>
                <c:pt idx="333">
                  <c:v>-1.86243172209388</c:v>
                </c:pt>
                <c:pt idx="334">
                  <c:v>-1.8284123577495179</c:v>
                </c:pt>
                <c:pt idx="335">
                  <c:v>-1.810318216934703</c:v>
                </c:pt>
                <c:pt idx="336">
                  <c:v>-1.8076884278037342</c:v>
                </c:pt>
                <c:pt idx="337">
                  <c:v>-1.7306103078037343</c:v>
                </c:pt>
                <c:pt idx="338">
                  <c:v>-1.7186354661690479</c:v>
                </c:pt>
                <c:pt idx="339">
                  <c:v>-1.6819063409316235</c:v>
                </c:pt>
                <c:pt idx="340">
                  <c:v>-1.6853803739941551</c:v>
                </c:pt>
                <c:pt idx="341">
                  <c:v>-1.6756846217796777</c:v>
                </c:pt>
                <c:pt idx="342">
                  <c:v>-1.5906828008304468</c:v>
                </c:pt>
                <c:pt idx="343">
                  <c:v>-1.5248009599799264</c:v>
                </c:pt>
                <c:pt idx="344">
                  <c:v>-1.4924607788204514</c:v>
                </c:pt>
                <c:pt idx="345">
                  <c:v>-1.5139430218804271</c:v>
                </c:pt>
                <c:pt idx="346">
                  <c:v>-1.4883591476456541</c:v>
                </c:pt>
                <c:pt idx="347">
                  <c:v>-1.5463225020099021</c:v>
                </c:pt>
                <c:pt idx="348">
                  <c:v>-1.4994397446902732</c:v>
                </c:pt>
                <c:pt idx="349">
                  <c:v>-1.3736408410047811</c:v>
                </c:pt>
                <c:pt idx="350">
                  <c:v>-1.4041088475094541</c:v>
                </c:pt>
                <c:pt idx="351">
                  <c:v>-1.4605377113808991</c:v>
                </c:pt>
                <c:pt idx="352">
                  <c:v>-1.4289571220951847</c:v>
                </c:pt>
                <c:pt idx="353">
                  <c:v>-1.5025816065746118</c:v>
                </c:pt>
                <c:pt idx="354">
                  <c:v>-1.453981305065368</c:v>
                </c:pt>
                <c:pt idx="355">
                  <c:v>-1.4253465922778681</c:v>
                </c:pt>
                <c:pt idx="356">
                  <c:v>-1.4018421541945347</c:v>
                </c:pt>
                <c:pt idx="357">
                  <c:v>-1.351353993498938</c:v>
                </c:pt>
                <c:pt idx="358">
                  <c:v>-1.3336218900079533</c:v>
                </c:pt>
                <c:pt idx="359">
                  <c:v>-1.257740895375695</c:v>
                </c:pt>
                <c:pt idx="360">
                  <c:v>-1.1529797872205652</c:v>
                </c:pt>
                <c:pt idx="361">
                  <c:v>-1.1653650444290455</c:v>
                </c:pt>
                <c:pt idx="362">
                  <c:v>-0.63599115355998659</c:v>
                </c:pt>
                <c:pt idx="363">
                  <c:v>-0.63437043719384889</c:v>
                </c:pt>
                <c:pt idx="364">
                  <c:v>-0.6126690170038489</c:v>
                </c:pt>
                <c:pt idx="365">
                  <c:v>-0.5879725377589976</c:v>
                </c:pt>
                <c:pt idx="366">
                  <c:v>-0.57042588147285</c:v>
                </c:pt>
                <c:pt idx="367">
                  <c:v>-0.57110021320048832</c:v>
                </c:pt>
                <c:pt idx="368">
                  <c:v>-0.58153128757886652</c:v>
                </c:pt>
                <c:pt idx="369">
                  <c:v>-0.60380795736079806</c:v>
                </c:pt>
                <c:pt idx="370">
                  <c:v>-0.59215932467767052</c:v>
                </c:pt>
                <c:pt idx="371">
                  <c:v>-0.59825049723581003</c:v>
                </c:pt>
                <c:pt idx="372">
                  <c:v>-0.59995621091581008</c:v>
                </c:pt>
                <c:pt idx="373">
                  <c:v>-0.60388330833609982</c:v>
                </c:pt>
                <c:pt idx="374">
                  <c:v>-0.57863868909746352</c:v>
                </c:pt>
                <c:pt idx="375">
                  <c:v>-0.60148623824032066</c:v>
                </c:pt>
                <c:pt idx="376">
                  <c:v>-0.55406507010698725</c:v>
                </c:pt>
                <c:pt idx="377">
                  <c:v>-0.54772949050698727</c:v>
                </c:pt>
                <c:pt idx="378">
                  <c:v>-0.55081057126698729</c:v>
                </c:pt>
                <c:pt idx="379">
                  <c:v>-0.55433334324559691</c:v>
                </c:pt>
                <c:pt idx="380">
                  <c:v>-0.56187262139303273</c:v>
                </c:pt>
                <c:pt idx="381">
                  <c:v>-0.55261354035329768</c:v>
                </c:pt>
                <c:pt idx="382">
                  <c:v>-0.55933223963040624</c:v>
                </c:pt>
                <c:pt idx="383">
                  <c:v>-0.54623537033488379</c:v>
                </c:pt>
                <c:pt idx="384">
                  <c:v>-0.5606079897387084</c:v>
                </c:pt>
                <c:pt idx="385">
                  <c:v>-0.45664875883348277</c:v>
                </c:pt>
                <c:pt idx="386">
                  <c:v>-0.4636964899302301</c:v>
                </c:pt>
                <c:pt idx="387">
                  <c:v>-0.47542896177768768</c:v>
                </c:pt>
                <c:pt idx="388">
                  <c:v>-0.49183831926295896</c:v>
                </c:pt>
                <c:pt idx="389">
                  <c:v>-0.50050078547263643</c:v>
                </c:pt>
                <c:pt idx="390">
                  <c:v>-0.46698001144406504</c:v>
                </c:pt>
                <c:pt idx="391">
                  <c:v>-0.44731001192849412</c:v>
                </c:pt>
                <c:pt idx="392">
                  <c:v>-0.42096979749900698</c:v>
                </c:pt>
                <c:pt idx="393">
                  <c:v>-0.33396164285684427</c:v>
                </c:pt>
                <c:pt idx="394">
                  <c:v>-0.3902959805060664</c:v>
                </c:pt>
                <c:pt idx="395">
                  <c:v>-0.38713481858790272</c:v>
                </c:pt>
                <c:pt idx="396">
                  <c:v>-0.38839420744274139</c:v>
                </c:pt>
                <c:pt idx="397">
                  <c:v>-0.38450400228537374</c:v>
                </c:pt>
                <c:pt idx="398">
                  <c:v>-0.38625657084947629</c:v>
                </c:pt>
                <c:pt idx="399">
                  <c:v>-0.32256141524273491</c:v>
                </c:pt>
                <c:pt idx="400">
                  <c:v>-0.32602308724273488</c:v>
                </c:pt>
                <c:pt idx="401">
                  <c:v>-0.32097756762464441</c:v>
                </c:pt>
                <c:pt idx="402">
                  <c:v>-0.32373490295669077</c:v>
                </c:pt>
                <c:pt idx="403">
                  <c:v>-0.32418000886397552</c:v>
                </c:pt>
                <c:pt idx="404">
                  <c:v>-0.30539459699991189</c:v>
                </c:pt>
                <c:pt idx="405">
                  <c:v>-0.29864543239991187</c:v>
                </c:pt>
                <c:pt idx="406">
                  <c:v>-0.28890368491735097</c:v>
                </c:pt>
                <c:pt idx="407">
                  <c:v>-0.28315561764218317</c:v>
                </c:pt>
                <c:pt idx="408">
                  <c:v>-0.28293351647113052</c:v>
                </c:pt>
                <c:pt idx="409">
                  <c:v>-0.28610743923232457</c:v>
                </c:pt>
                <c:pt idx="410">
                  <c:v>-0.28765586350505185</c:v>
                </c:pt>
                <c:pt idx="411">
                  <c:v>-0.28920278713663078</c:v>
                </c:pt>
                <c:pt idx="412">
                  <c:v>-0.29411813413663085</c:v>
                </c:pt>
                <c:pt idx="413">
                  <c:v>-0.28924565494753368</c:v>
                </c:pt>
                <c:pt idx="414">
                  <c:v>-0.27643929772347353</c:v>
                </c:pt>
                <c:pt idx="415">
                  <c:v>-0.28082931289335766</c:v>
                </c:pt>
                <c:pt idx="416">
                  <c:v>-0.26642975956002435</c:v>
                </c:pt>
                <c:pt idx="417">
                  <c:v>-0.25314742810841145</c:v>
                </c:pt>
                <c:pt idx="418">
                  <c:v>-0.24969166948360061</c:v>
                </c:pt>
                <c:pt idx="419">
                  <c:v>-0.24948958195053447</c:v>
                </c:pt>
                <c:pt idx="420">
                  <c:v>-0.24506391909339162</c:v>
                </c:pt>
                <c:pt idx="421">
                  <c:v>-0.23866321062623835</c:v>
                </c:pt>
                <c:pt idx="422">
                  <c:v>-0.24647486636394325</c:v>
                </c:pt>
                <c:pt idx="423">
                  <c:v>-0.24702953739746281</c:v>
                </c:pt>
                <c:pt idx="424">
                  <c:v>-0.23240462266531997</c:v>
                </c:pt>
                <c:pt idx="425">
                  <c:v>-0.23199835634352067</c:v>
                </c:pt>
                <c:pt idx="426">
                  <c:v>-0.23217500187543555</c:v>
                </c:pt>
                <c:pt idx="427">
                  <c:v>-0.23132020504978426</c:v>
                </c:pt>
                <c:pt idx="428">
                  <c:v>-0.22745331679203096</c:v>
                </c:pt>
                <c:pt idx="429">
                  <c:v>-0.19364916587049652</c:v>
                </c:pt>
                <c:pt idx="430">
                  <c:v>-0.18955439978833222</c:v>
                </c:pt>
                <c:pt idx="431">
                  <c:v>-0.18925333576944203</c:v>
                </c:pt>
                <c:pt idx="432">
                  <c:v>-0.19184037971030224</c:v>
                </c:pt>
                <c:pt idx="433">
                  <c:v>-0.19537278154099008</c:v>
                </c:pt>
                <c:pt idx="434">
                  <c:v>-0.19268295082099005</c:v>
                </c:pt>
                <c:pt idx="435">
                  <c:v>-0.16261728795817898</c:v>
                </c:pt>
                <c:pt idx="436">
                  <c:v>-0.14869670069808932</c:v>
                </c:pt>
                <c:pt idx="437">
                  <c:v>-0.14970701424686986</c:v>
                </c:pt>
                <c:pt idx="438">
                  <c:v>-0.1417845066281278</c:v>
                </c:pt>
                <c:pt idx="439">
                  <c:v>-8.3920888814687539E-2</c:v>
                </c:pt>
                <c:pt idx="440">
                  <c:v>-0.11192597181468755</c:v>
                </c:pt>
                <c:pt idx="441">
                  <c:v>-0.11356046181468755</c:v>
                </c:pt>
                <c:pt idx="442">
                  <c:v>-0.11198127117396899</c:v>
                </c:pt>
                <c:pt idx="443">
                  <c:v>-0.11221124084517854</c:v>
                </c:pt>
                <c:pt idx="444">
                  <c:v>-0.11341895263225987</c:v>
                </c:pt>
                <c:pt idx="445">
                  <c:v>-0.11265490736910198</c:v>
                </c:pt>
                <c:pt idx="446">
                  <c:v>-0.11479821691019787</c:v>
                </c:pt>
                <c:pt idx="447">
                  <c:v>-0.1045711556093283</c:v>
                </c:pt>
                <c:pt idx="448">
                  <c:v>-0.10486202682038358</c:v>
                </c:pt>
                <c:pt idx="449">
                  <c:v>-0.10550395282038358</c:v>
                </c:pt>
                <c:pt idx="450">
                  <c:v>-0.10568242335018489</c:v>
                </c:pt>
                <c:pt idx="451">
                  <c:v>-0.10529601052967208</c:v>
                </c:pt>
                <c:pt idx="452">
                  <c:v>-0.10466639269483724</c:v>
                </c:pt>
                <c:pt idx="453">
                  <c:v>-0.10465867346150391</c:v>
                </c:pt>
                <c:pt idx="454">
                  <c:v>-0.10436356690089785</c:v>
                </c:pt>
                <c:pt idx="455">
                  <c:v>-0.10240268830263195</c:v>
                </c:pt>
                <c:pt idx="456">
                  <c:v>-0.10291111410182874</c:v>
                </c:pt>
                <c:pt idx="457">
                  <c:v>-9.9371878351828744E-2</c:v>
                </c:pt>
                <c:pt idx="458">
                  <c:v>-9.2240020825891E-2</c:v>
                </c:pt>
                <c:pt idx="459">
                  <c:v>-8.9770901766117156E-2</c:v>
                </c:pt>
                <c:pt idx="460">
                  <c:v>-7.728703254000098E-2</c:v>
                </c:pt>
                <c:pt idx="461">
                  <c:v>-7.7031581087086187E-2</c:v>
                </c:pt>
                <c:pt idx="462">
                  <c:v>-6.3388298087086181E-2</c:v>
                </c:pt>
                <c:pt idx="463">
                  <c:v>-6.4463887143966919E-2</c:v>
                </c:pt>
                <c:pt idx="464">
                  <c:v>-6.4671386318363958E-2</c:v>
                </c:pt>
                <c:pt idx="465">
                  <c:v>-6.3774838276431406E-2</c:v>
                </c:pt>
                <c:pt idx="466">
                  <c:v>-6.3470404712417577E-2</c:v>
                </c:pt>
                <c:pt idx="467">
                  <c:v>-6.2840321652176609E-2</c:v>
                </c:pt>
                <c:pt idx="468">
                  <c:v>-6.3310007652176606E-2</c:v>
                </c:pt>
                <c:pt idx="469">
                  <c:v>-6.2868467677949805E-2</c:v>
                </c:pt>
                <c:pt idx="470">
                  <c:v>-6.2641657062737277E-2</c:v>
                </c:pt>
                <c:pt idx="471">
                  <c:v>-6.1923133062737265E-2</c:v>
                </c:pt>
                <c:pt idx="472">
                  <c:v>-6.1633159062737267E-2</c:v>
                </c:pt>
                <c:pt idx="473">
                  <c:v>-6.1241051341621729E-2</c:v>
                </c:pt>
                <c:pt idx="474">
                  <c:v>-6.1044269246599107E-2</c:v>
                </c:pt>
                <c:pt idx="475">
                  <c:v>-6.15754018381484E-2</c:v>
                </c:pt>
                <c:pt idx="476">
                  <c:v>-6.2166242746123861E-2</c:v>
                </c:pt>
                <c:pt idx="477">
                  <c:v>-6.2702522027753602E-2</c:v>
                </c:pt>
                <c:pt idx="478">
                  <c:v>-6.3520821157031171E-2</c:v>
                </c:pt>
                <c:pt idx="479">
                  <c:v>-6.0777288157031172E-2</c:v>
                </c:pt>
                <c:pt idx="480">
                  <c:v>-5.6951244112338435E-2</c:v>
                </c:pt>
                <c:pt idx="481">
                  <c:v>-5.7078799440605912E-2</c:v>
                </c:pt>
                <c:pt idx="482">
                  <c:v>-5.7255533440605917E-2</c:v>
                </c:pt>
                <c:pt idx="483">
                  <c:v>-5.5667934898083922E-2</c:v>
                </c:pt>
                <c:pt idx="484">
                  <c:v>-5.5172053266265737E-2</c:v>
                </c:pt>
                <c:pt idx="485">
                  <c:v>-5.4205041359228365E-2</c:v>
                </c:pt>
                <c:pt idx="486">
                  <c:v>-5.5172778299822423E-2</c:v>
                </c:pt>
                <c:pt idx="487">
                  <c:v>-5.3531203930111959E-2</c:v>
                </c:pt>
                <c:pt idx="488">
                  <c:v>-5.3762956930111953E-2</c:v>
                </c:pt>
                <c:pt idx="489">
                  <c:v>-5.2346751228357566E-2</c:v>
                </c:pt>
                <c:pt idx="490">
                  <c:v>-5.3590273209781714E-2</c:v>
                </c:pt>
                <c:pt idx="491">
                  <c:v>-5.1837414483773367E-2</c:v>
                </c:pt>
                <c:pt idx="492">
                  <c:v>-5.0922341631132025E-2</c:v>
                </c:pt>
                <c:pt idx="493">
                  <c:v>-5.0084376024294421E-2</c:v>
                </c:pt>
                <c:pt idx="494">
                  <c:v>-4.9151926888018026E-2</c:v>
                </c:pt>
                <c:pt idx="495">
                  <c:v>-4.8554979636236555E-2</c:v>
                </c:pt>
                <c:pt idx="496">
                  <c:v>-5.4682092113883599E-2</c:v>
                </c:pt>
                <c:pt idx="497">
                  <c:v>-5.3510963233286586E-2</c:v>
                </c:pt>
                <c:pt idx="498">
                  <c:v>-5.0676301966013859E-2</c:v>
                </c:pt>
                <c:pt idx="499">
                  <c:v>-4.8869624732111108E-2</c:v>
                </c:pt>
                <c:pt idx="500">
                  <c:v>-4.7078299427111114E-2</c:v>
                </c:pt>
                <c:pt idx="501">
                  <c:v>-4.859718030900087E-2</c:v>
                </c:pt>
                <c:pt idx="502">
                  <c:v>-4.6411241309000872E-2</c:v>
                </c:pt>
                <c:pt idx="503">
                  <c:v>-4.5187467894846206E-2</c:v>
                </c:pt>
                <c:pt idx="504">
                  <c:v>-4.6726063586456194E-2</c:v>
                </c:pt>
                <c:pt idx="505">
                  <c:v>-4.504125628197235E-2</c:v>
                </c:pt>
                <c:pt idx="506">
                  <c:v>-4.5768973931900617E-2</c:v>
                </c:pt>
                <c:pt idx="507">
                  <c:v>-4.3612733896249992E-2</c:v>
                </c:pt>
                <c:pt idx="508">
                  <c:v>-4.2746109609368463E-2</c:v>
                </c:pt>
                <c:pt idx="509">
                  <c:v>-4.4388505375691487E-2</c:v>
                </c:pt>
                <c:pt idx="510">
                  <c:v>-4.4533479998698812E-2</c:v>
                </c:pt>
                <c:pt idx="511">
                  <c:v>-4.2606163676717393E-2</c:v>
                </c:pt>
                <c:pt idx="512">
                  <c:v>-4.0508366543027557E-2</c:v>
                </c:pt>
                <c:pt idx="513">
                  <c:v>-3.9983381556994033E-2</c:v>
                </c:pt>
                <c:pt idx="514">
                  <c:v>-3.595536086582396E-2</c:v>
                </c:pt>
                <c:pt idx="515">
                  <c:v>-3.6625276175783768E-2</c:v>
                </c:pt>
                <c:pt idx="516">
                  <c:v>-3.3831157757961985E-2</c:v>
                </c:pt>
                <c:pt idx="517">
                  <c:v>-3.3934437520573256E-2</c:v>
                </c:pt>
                <c:pt idx="518">
                  <c:v>-2.9230705408903504E-2</c:v>
                </c:pt>
                <c:pt idx="519">
                  <c:v>-3.5599431827161541E-2</c:v>
                </c:pt>
                <c:pt idx="520">
                  <c:v>-4.0265583135518881E-2</c:v>
                </c:pt>
                <c:pt idx="521">
                  <c:v>-3.6899171203221434E-2</c:v>
                </c:pt>
                <c:pt idx="522">
                  <c:v>-3.5087933155105965E-2</c:v>
                </c:pt>
                <c:pt idx="523">
                  <c:v>-2.5103608900959622E-2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A-4F5E-800C-13E52B8DC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70832"/>
        <c:axId val="198245328"/>
      </c:lineChart>
      <c:dateAx>
        <c:axId val="96570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45328"/>
        <c:crosses val="autoZero"/>
        <c:auto val="1"/>
        <c:lblOffset val="100"/>
        <c:baseTimeUnit val="days"/>
      </c:dateAx>
      <c:valAx>
        <c:axId val="198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7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DAE43C-5FF5-436B-A3DD-75FD85C8F769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76153C-D7F1-4EDF-83BE-FF3C123C6FB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1.69</v>
      </c>
      <c r="D2" s="4">
        <f>MIN(D3:D1912)</f>
        <v>2.64E-2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0.11741</v>
      </c>
      <c r="C5">
        <v>0.11882</v>
      </c>
      <c r="D5">
        <v>0.11434</v>
      </c>
      <c r="E5">
        <v>0.11498999999999999</v>
      </c>
      <c r="F5">
        <v>633026</v>
      </c>
      <c r="G5">
        <v>0.11498999999999999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-0.70982142857142938</v>
      </c>
      <c r="Q5">
        <f t="shared" ref="Q5" si="1">F5*P5</f>
        <v>-449335.41964285768</v>
      </c>
      <c r="R5">
        <f t="shared" ref="R5" si="2">R6+Q5</f>
        <v>-1992487947.3044982</v>
      </c>
      <c r="S5">
        <f t="shared" ref="S5" si="3">R5/100000</f>
        <v>-19924.879473044981</v>
      </c>
      <c r="T5">
        <f t="shared" ref="T5" si="4">S5/1000</f>
        <v>-19.924879473044982</v>
      </c>
    </row>
    <row r="6" spans="1:20" x14ac:dyDescent="0.25">
      <c r="A6" s="5">
        <v>44587</v>
      </c>
      <c r="B6">
        <v>0.11717</v>
      </c>
      <c r="C6">
        <v>0.13702</v>
      </c>
      <c r="D6">
        <v>0.11555</v>
      </c>
      <c r="E6">
        <v>0.11741</v>
      </c>
      <c r="F6">
        <v>31054622.399999999</v>
      </c>
      <c r="G6">
        <v>0.11741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-0.82673497904052162</v>
      </c>
      <c r="Q6">
        <f t="shared" ref="Q6" si="6">F6*P6</f>
        <v>-25673942.598975312</v>
      </c>
      <c r="R6">
        <f t="shared" ref="R6" si="7">R7+Q6</f>
        <v>-1992038611.8848553</v>
      </c>
      <c r="S6">
        <f t="shared" ref="S6" si="8">R6/100000</f>
        <v>-19920.386118848553</v>
      </c>
      <c r="T6">
        <f t="shared" ref="T6" si="9">S6/1000</f>
        <v>-19.920386118848555</v>
      </c>
    </row>
    <row r="7" spans="1:20" x14ac:dyDescent="0.25">
      <c r="A7" s="5">
        <v>44586</v>
      </c>
      <c r="B7">
        <v>0.11706</v>
      </c>
      <c r="C7">
        <v>0.11958000000000001</v>
      </c>
      <c r="D7">
        <v>0.11182</v>
      </c>
      <c r="E7">
        <v>0.11700000000000001</v>
      </c>
      <c r="F7">
        <v>14759542</v>
      </c>
      <c r="G7">
        <v>0.11700000000000001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0.33505154639175311</v>
      </c>
      <c r="Q7">
        <f t="shared" ref="Q7" si="11">F7*P7</f>
        <v>4945207.3711340288</v>
      </c>
      <c r="R7">
        <f t="shared" ref="R7" si="12">R8+Q7</f>
        <v>-1966364669.2858799</v>
      </c>
      <c r="S7">
        <f t="shared" ref="S7" si="13">R7/100000</f>
        <v>-19663.646692858798</v>
      </c>
      <c r="T7">
        <f t="shared" ref="T7" si="14">S7/1000</f>
        <v>-19.663646692858798</v>
      </c>
    </row>
    <row r="8" spans="1:20" x14ac:dyDescent="0.25">
      <c r="A8" s="5">
        <v>44585</v>
      </c>
      <c r="B8">
        <v>0.12373000000000001</v>
      </c>
      <c r="C8">
        <v>0.12478</v>
      </c>
      <c r="D8">
        <v>0.10534</v>
      </c>
      <c r="E8">
        <v>0.1167</v>
      </c>
      <c r="F8">
        <v>24848904.5</v>
      </c>
      <c r="G8">
        <v>0.1167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0.16872427983539051</v>
      </c>
      <c r="Q8">
        <f t="shared" ref="Q8" si="16">F8*P8</f>
        <v>4192613.5164608946</v>
      </c>
      <c r="R8">
        <f t="shared" ref="R8" si="17">R9+Q8</f>
        <v>-1971309876.6570139</v>
      </c>
      <c r="S8">
        <f t="shared" ref="S8" si="18">R8/100000</f>
        <v>-19713.09876657014</v>
      </c>
      <c r="T8">
        <f t="shared" ref="T8" si="19">S8/1000</f>
        <v>-19.713098766570141</v>
      </c>
    </row>
    <row r="9" spans="1:20" x14ac:dyDescent="0.25">
      <c r="A9" s="5">
        <v>44584</v>
      </c>
      <c r="B9">
        <v>0.12075</v>
      </c>
      <c r="C9">
        <v>0.12891</v>
      </c>
      <c r="D9">
        <v>0.11654</v>
      </c>
      <c r="E9">
        <v>0.12366000000000001</v>
      </c>
      <c r="F9">
        <v>19119832.100000001</v>
      </c>
      <c r="G9">
        <v>0.12366000000000001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0.15117219078415617</v>
      </c>
      <c r="Q9">
        <f t="shared" ref="Q9" si="21">F9*P9</f>
        <v>2890386.9059822336</v>
      </c>
      <c r="R9">
        <f t="shared" ref="R9" si="22">R10+Q9</f>
        <v>-1975502490.1734748</v>
      </c>
      <c r="S9">
        <f t="shared" ref="S9" si="23">R9/100000</f>
        <v>-19755.024901734749</v>
      </c>
      <c r="T9">
        <f t="shared" ref="T9" si="24">S9/1000</f>
        <v>-19.75502490173475</v>
      </c>
    </row>
    <row r="10" spans="1:20" x14ac:dyDescent="0.25">
      <c r="A10" s="5">
        <v>44583</v>
      </c>
      <c r="B10">
        <v>0.13711000000000001</v>
      </c>
      <c r="C10">
        <v>0.14000000000000001</v>
      </c>
      <c r="D10">
        <v>0.10696</v>
      </c>
      <c r="E10">
        <v>0.12053</v>
      </c>
      <c r="F10">
        <v>42468932.299999997</v>
      </c>
      <c r="G10">
        <v>0.12053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-0.17857142857142899</v>
      </c>
      <c r="Q10">
        <f t="shared" ref="Q10" si="26">F10*P10</f>
        <v>-7583737.9107143031</v>
      </c>
      <c r="R10">
        <f t="shared" ref="R10" si="27">R11+Q10</f>
        <v>-1978392877.079457</v>
      </c>
      <c r="S10">
        <f t="shared" ref="S10" si="28">R10/100000</f>
        <v>-19783.92877079457</v>
      </c>
      <c r="T10">
        <f t="shared" ref="T10" si="29">S10/1000</f>
        <v>-19.783928770794571</v>
      </c>
    </row>
    <row r="11" spans="1:20" x14ac:dyDescent="0.25">
      <c r="A11" s="5">
        <v>44582</v>
      </c>
      <c r="B11">
        <v>0.17355000000000001</v>
      </c>
      <c r="C11">
        <v>0.17577000000000001</v>
      </c>
      <c r="D11">
        <v>0.13408999999999999</v>
      </c>
      <c r="E11">
        <v>0.13725999999999999</v>
      </c>
      <c r="F11">
        <v>34399715.899999999</v>
      </c>
      <c r="G11">
        <v>0.13725999999999999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-0.84788867562380021</v>
      </c>
      <c r="Q11">
        <f t="shared" ref="Q11" si="31">F11*P11</f>
        <v>-29167129.556285981</v>
      </c>
      <c r="R11">
        <f t="shared" ref="R11" si="32">R12+Q11</f>
        <v>-1970809139.1687427</v>
      </c>
      <c r="S11">
        <f t="shared" ref="S11" si="33">R11/100000</f>
        <v>-19708.091391687427</v>
      </c>
      <c r="T11">
        <f t="shared" ref="T11" si="34">S11/1000</f>
        <v>-19.708091391687425</v>
      </c>
    </row>
    <row r="12" spans="1:20" x14ac:dyDescent="0.25">
      <c r="A12" s="5">
        <v>44581</v>
      </c>
      <c r="B12">
        <v>0.18390999999999999</v>
      </c>
      <c r="C12">
        <v>0.19205</v>
      </c>
      <c r="D12">
        <v>0.17318</v>
      </c>
      <c r="E12">
        <v>0.17391999999999999</v>
      </c>
      <c r="F12">
        <v>14811708.1</v>
      </c>
      <c r="G12">
        <v>0.17391999999999999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-0.92156862745098134</v>
      </c>
      <c r="Q12">
        <f t="shared" ref="Q12" si="36">F12*P12</f>
        <v>-13650005.503921581</v>
      </c>
      <c r="R12">
        <f t="shared" ref="R12" si="37">R13+Q12</f>
        <v>-1941642009.6124566</v>
      </c>
      <c r="S12">
        <f t="shared" ref="S12" si="38">R12/100000</f>
        <v>-19416.420096124566</v>
      </c>
      <c r="T12">
        <f t="shared" ref="T12" si="39">S12/1000</f>
        <v>-19.416420096124565</v>
      </c>
    </row>
    <row r="13" spans="1:20" x14ac:dyDescent="0.25">
      <c r="A13" s="5">
        <v>44580</v>
      </c>
      <c r="B13">
        <v>0.18991</v>
      </c>
      <c r="C13">
        <v>0.19399</v>
      </c>
      <c r="D13">
        <v>0.18165000000000001</v>
      </c>
      <c r="E13">
        <v>0.18421000000000001</v>
      </c>
      <c r="F13">
        <v>10817177.5</v>
      </c>
      <c r="G13">
        <v>0.18421000000000001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-0.58508914100486076</v>
      </c>
      <c r="Q13">
        <f t="shared" ref="Q13" si="41">F13*P13</f>
        <v>-6329013.0915721068</v>
      </c>
      <c r="R13">
        <f t="shared" ref="R13" si="42">R14+Q13</f>
        <v>-1927992004.1085351</v>
      </c>
      <c r="S13">
        <f t="shared" ref="S13" si="43">R13/100000</f>
        <v>-19279.920041085352</v>
      </c>
      <c r="T13">
        <f t="shared" ref="T13" si="44">S13/1000</f>
        <v>-19.279920041085351</v>
      </c>
    </row>
    <row r="14" spans="1:20" x14ac:dyDescent="0.25">
      <c r="A14" s="5">
        <v>44579</v>
      </c>
      <c r="B14">
        <v>0.19561999999999999</v>
      </c>
      <c r="C14">
        <v>0.19838</v>
      </c>
      <c r="D14">
        <v>0.18240999999999999</v>
      </c>
      <c r="E14">
        <v>0.18997</v>
      </c>
      <c r="F14">
        <v>12702315.4</v>
      </c>
      <c r="G14">
        <v>0.18997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-5.3224796493424487E-2</v>
      </c>
      <c r="Q14">
        <f t="shared" ref="Q14" si="46">F14*P14</f>
        <v>-676078.15216029191</v>
      </c>
      <c r="R14">
        <f t="shared" ref="R14" si="47">R15+Q14</f>
        <v>-1921662991.016963</v>
      </c>
      <c r="S14">
        <f t="shared" ref="S14" si="48">R14/100000</f>
        <v>-19216.629910169631</v>
      </c>
      <c r="T14">
        <f t="shared" ref="T14" si="49">S14/1000</f>
        <v>-19.21662991016963</v>
      </c>
    </row>
    <row r="15" spans="1:20" x14ac:dyDescent="0.25">
      <c r="A15" s="5">
        <v>44578</v>
      </c>
      <c r="B15">
        <v>0.20793</v>
      </c>
      <c r="C15">
        <v>0.20824000000000001</v>
      </c>
      <c r="D15">
        <v>0.19384000000000001</v>
      </c>
      <c r="E15">
        <v>0.19561000000000001</v>
      </c>
      <c r="F15">
        <v>12990764.5</v>
      </c>
      <c r="G15">
        <v>0.19561000000000001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-0.75416666666666743</v>
      </c>
      <c r="Q15">
        <f t="shared" ref="Q15" si="51">F15*P15</f>
        <v>-9797201.5604166761</v>
      </c>
      <c r="R15">
        <f t="shared" ref="R15" si="52">R16+Q15</f>
        <v>-1920986912.8648026</v>
      </c>
      <c r="S15">
        <f t="shared" ref="S15" si="53">R15/100000</f>
        <v>-19209.869128648024</v>
      </c>
      <c r="T15">
        <f t="shared" ref="T15" si="54">S15/1000</f>
        <v>-19.209869128648023</v>
      </c>
    </row>
    <row r="16" spans="1:20" x14ac:dyDescent="0.25">
      <c r="A16" s="5">
        <v>44577</v>
      </c>
      <c r="B16">
        <v>0.20691999999999999</v>
      </c>
      <c r="C16">
        <v>0.21776000000000001</v>
      </c>
      <c r="D16">
        <v>0.20227000000000001</v>
      </c>
      <c r="E16">
        <v>0.20824999999999999</v>
      </c>
      <c r="F16">
        <v>24360755</v>
      </c>
      <c r="G16">
        <v>0.20824999999999999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-0.22788896061975678</v>
      </c>
      <c r="Q16">
        <f t="shared" ref="Q16" si="56">F16*P16</f>
        <v>-5551547.1368625434</v>
      </c>
      <c r="R16">
        <f t="shared" ref="R16" si="57">R17+Q16</f>
        <v>-1911189711.3043859</v>
      </c>
      <c r="S16">
        <f t="shared" ref="S16" si="58">R16/100000</f>
        <v>-19111.897113043859</v>
      </c>
      <c r="T16">
        <f t="shared" ref="T16" si="59">S16/1000</f>
        <v>-19.11189711304386</v>
      </c>
    </row>
    <row r="17" spans="1:20" x14ac:dyDescent="0.25">
      <c r="A17" s="5">
        <v>44576</v>
      </c>
      <c r="B17">
        <v>0.20377000000000001</v>
      </c>
      <c r="C17">
        <v>0.20973</v>
      </c>
      <c r="D17">
        <v>0.2009</v>
      </c>
      <c r="E17">
        <v>0.20691999999999999</v>
      </c>
      <c r="F17">
        <v>11562682</v>
      </c>
      <c r="G17">
        <v>0.20691999999999999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0.36353340883352081</v>
      </c>
      <c r="Q17">
        <f t="shared" ref="Q17" si="61">F17*P17</f>
        <v>4203421.2027179925</v>
      </c>
      <c r="R17">
        <f t="shared" ref="R17" si="62">R18+Q17</f>
        <v>-1905638164.1675234</v>
      </c>
      <c r="S17">
        <f t="shared" ref="S17" si="63">R17/100000</f>
        <v>-19056.381641675234</v>
      </c>
      <c r="T17">
        <f t="shared" ref="T17" si="64">S17/1000</f>
        <v>-19.056381641675234</v>
      </c>
    </row>
    <row r="18" spans="1:20" x14ac:dyDescent="0.25">
      <c r="A18" s="5">
        <v>44575</v>
      </c>
      <c r="B18">
        <v>0.20265</v>
      </c>
      <c r="C18">
        <v>0.20763000000000001</v>
      </c>
      <c r="D18">
        <v>0.19614999999999999</v>
      </c>
      <c r="E18">
        <v>0.20377000000000001</v>
      </c>
      <c r="F18">
        <v>10586122.6</v>
      </c>
      <c r="G18">
        <v>0.20377000000000001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0.32752613240418182</v>
      </c>
      <c r="Q18">
        <f t="shared" ref="Q18" si="66">F18*P18</f>
        <v>3467231.7923345016</v>
      </c>
      <c r="R18">
        <f t="shared" ref="R18" si="67">R19+Q18</f>
        <v>-1909841585.3702414</v>
      </c>
      <c r="S18">
        <f t="shared" ref="S18" si="68">R18/100000</f>
        <v>-19098.415853702412</v>
      </c>
      <c r="T18">
        <f t="shared" ref="T18" si="69">S18/1000</f>
        <v>-19.098415853702413</v>
      </c>
    </row>
    <row r="19" spans="1:20" x14ac:dyDescent="0.25">
      <c r="A19" s="5">
        <v>44574</v>
      </c>
      <c r="B19">
        <v>0.21271999999999999</v>
      </c>
      <c r="C19">
        <v>0.21424000000000001</v>
      </c>
      <c r="D19">
        <v>0.20158000000000001</v>
      </c>
      <c r="E19">
        <v>0.20258000000000001</v>
      </c>
      <c r="F19">
        <v>13111331.1</v>
      </c>
      <c r="G19">
        <v>0.20258000000000001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-0.84202211690363338</v>
      </c>
      <c r="Q19">
        <f t="shared" ref="Q19" si="71">F19*P19</f>
        <v>-11040030.768246444</v>
      </c>
      <c r="R19">
        <f t="shared" ref="R19" si="72">R20+Q19</f>
        <v>-1913308817.162576</v>
      </c>
      <c r="S19">
        <f t="shared" ref="S19" si="73">R19/100000</f>
        <v>-19133.088171625761</v>
      </c>
      <c r="T19">
        <f t="shared" ref="T19" si="74">S19/1000</f>
        <v>-19.133088171625761</v>
      </c>
    </row>
    <row r="20" spans="1:20" x14ac:dyDescent="0.25">
      <c r="A20" s="5">
        <v>44573</v>
      </c>
      <c r="B20">
        <v>0.20930000000000001</v>
      </c>
      <c r="C20">
        <v>0.21776999999999999</v>
      </c>
      <c r="D20">
        <v>0.20655000000000001</v>
      </c>
      <c r="E20">
        <v>0.21235000000000001</v>
      </c>
      <c r="F20">
        <v>17197898.600000001</v>
      </c>
      <c r="G20">
        <v>0.21235000000000001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3.3868092691623879E-2</v>
      </c>
      <c r="Q20">
        <f t="shared" ref="Q20" si="76">F20*P20</f>
        <v>582460.02388594858</v>
      </c>
      <c r="R20">
        <f t="shared" ref="R20" si="77">R21+Q20</f>
        <v>-1902268786.3943295</v>
      </c>
      <c r="S20">
        <f t="shared" ref="S20" si="78">R20/100000</f>
        <v>-19022.687863943294</v>
      </c>
      <c r="T20">
        <f t="shared" ref="T20" si="79">S20/1000</f>
        <v>-19.022687863943293</v>
      </c>
    </row>
    <row r="21" spans="1:20" x14ac:dyDescent="0.25">
      <c r="A21" s="5">
        <v>44572</v>
      </c>
      <c r="B21">
        <v>0.20077</v>
      </c>
      <c r="C21">
        <v>0.20932999999999999</v>
      </c>
      <c r="D21">
        <v>0.19700000000000001</v>
      </c>
      <c r="E21">
        <v>0.20930000000000001</v>
      </c>
      <c r="F21">
        <v>14456637.699999999</v>
      </c>
      <c r="G21">
        <v>0.20930000000000001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0.99513381995134231</v>
      </c>
      <c r="Q21">
        <f t="shared" ref="Q21" si="81">F21*P21</f>
        <v>14386289.098053588</v>
      </c>
      <c r="R21">
        <f t="shared" ref="R21" si="82">R22+Q21</f>
        <v>-1902851246.4182155</v>
      </c>
      <c r="S21">
        <f t="shared" ref="S21" si="83">R21/100000</f>
        <v>-19028.512464182157</v>
      </c>
      <c r="T21">
        <f t="shared" ref="T21" si="84">S21/1000</f>
        <v>-19.028512464182157</v>
      </c>
    </row>
    <row r="22" spans="1:20" x14ac:dyDescent="0.25">
      <c r="A22" s="5">
        <v>44571</v>
      </c>
      <c r="B22">
        <v>0.21787999999999999</v>
      </c>
      <c r="C22">
        <v>0.23499999999999999</v>
      </c>
      <c r="D22">
        <v>0.192</v>
      </c>
      <c r="E22">
        <v>0.20077</v>
      </c>
      <c r="F22">
        <v>29486288.300000001</v>
      </c>
      <c r="G22">
        <v>0.20077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-0.59209302325581381</v>
      </c>
      <c r="Q22">
        <f t="shared" ref="Q22" si="86">F22*P22</f>
        <v>-17458625.58413953</v>
      </c>
      <c r="R22">
        <f t="shared" ref="R22" si="87">R23+Q22</f>
        <v>-1917237535.5162692</v>
      </c>
      <c r="S22">
        <f t="shared" ref="S22" si="88">R22/100000</f>
        <v>-19172.375355162691</v>
      </c>
      <c r="T22">
        <f t="shared" ref="T22" si="89">S22/1000</f>
        <v>-19.172375355162689</v>
      </c>
    </row>
    <row r="23" spans="1:20" x14ac:dyDescent="0.25">
      <c r="A23" s="5">
        <v>44570</v>
      </c>
      <c r="B23">
        <v>0.22506999999999999</v>
      </c>
      <c r="C23">
        <v>0.23125000000000001</v>
      </c>
      <c r="D23">
        <v>0.21099999999999999</v>
      </c>
      <c r="E23">
        <v>0.21790999999999999</v>
      </c>
      <c r="F23">
        <v>34086875.299999997</v>
      </c>
      <c r="G23">
        <v>0.21790999999999999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-0.31753086419753151</v>
      </c>
      <c r="Q23">
        <f t="shared" ref="Q23" si="91">F23*P23</f>
        <v>-10823634.97180249</v>
      </c>
      <c r="R23">
        <f t="shared" ref="R23" si="92">R24+Q23</f>
        <v>-1899778909.9321296</v>
      </c>
      <c r="S23">
        <f t="shared" ref="S23" si="93">R23/100000</f>
        <v>-18997.789099321297</v>
      </c>
      <c r="T23">
        <f t="shared" ref="T23" si="94">S23/1000</f>
        <v>-18.997789099321295</v>
      </c>
    </row>
    <row r="24" spans="1:20" x14ac:dyDescent="0.25">
      <c r="A24" s="5">
        <v>44569</v>
      </c>
      <c r="B24">
        <v>0.20985999999999999</v>
      </c>
      <c r="C24">
        <v>0.25779999999999997</v>
      </c>
      <c r="D24">
        <v>0.20838000000000001</v>
      </c>
      <c r="E24">
        <v>0.22523000000000001</v>
      </c>
      <c r="F24">
        <v>126022383.7</v>
      </c>
      <c r="G24">
        <v>0.22523000000000001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-0.31808984216916164</v>
      </c>
      <c r="Q24">
        <f t="shared" ref="Q24" si="96">F24*P24</f>
        <v>-40086440.14091453</v>
      </c>
      <c r="R24">
        <f t="shared" ref="R24" si="97">R25+Q24</f>
        <v>-1888955274.9603271</v>
      </c>
      <c r="S24">
        <f t="shared" ref="S24" si="98">R24/100000</f>
        <v>-18889.55274960327</v>
      </c>
      <c r="T24">
        <f t="shared" ref="T24" si="99">S24/1000</f>
        <v>-18.889552749603268</v>
      </c>
    </row>
    <row r="25" spans="1:20" x14ac:dyDescent="0.25">
      <c r="A25" s="5">
        <v>44568</v>
      </c>
      <c r="B25">
        <v>0.22269</v>
      </c>
      <c r="C25">
        <v>0.22397</v>
      </c>
      <c r="D25">
        <v>0.20105999999999999</v>
      </c>
      <c r="E25">
        <v>0.20979</v>
      </c>
      <c r="F25">
        <v>19002811.100000001</v>
      </c>
      <c r="G25">
        <v>0.20979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-0.23788738542121254</v>
      </c>
      <c r="Q25">
        <f t="shared" ref="Q25" si="101">F25*P25</f>
        <v>-4520529.0482321959</v>
      </c>
      <c r="R25">
        <f t="shared" ref="R25" si="102">R26+Q25</f>
        <v>-1848868834.8194127</v>
      </c>
      <c r="S25">
        <f t="shared" ref="S25" si="103">R25/100000</f>
        <v>-18488.688348194126</v>
      </c>
      <c r="T25">
        <f t="shared" ref="T25" si="104">S25/1000</f>
        <v>-18.488688348194128</v>
      </c>
    </row>
    <row r="26" spans="1:20" x14ac:dyDescent="0.25">
      <c r="A26" s="5">
        <v>44567</v>
      </c>
      <c r="B26">
        <v>0.23313999999999999</v>
      </c>
      <c r="C26">
        <v>0.23513999999999999</v>
      </c>
      <c r="D26">
        <v>0.21859999999999999</v>
      </c>
      <c r="E26">
        <v>0.22269</v>
      </c>
      <c r="F26">
        <v>13568853.6</v>
      </c>
      <c r="G26">
        <v>0.22269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-0.50544135429262271</v>
      </c>
      <c r="Q26">
        <f t="shared" ref="Q26" si="106">F26*P26</f>
        <v>-6858259.7397823287</v>
      </c>
      <c r="R26">
        <f t="shared" ref="R26" si="107">R27+Q26</f>
        <v>-1844348305.7711806</v>
      </c>
      <c r="S26">
        <f t="shared" ref="S26" si="108">R26/100000</f>
        <v>-18443.483057711805</v>
      </c>
      <c r="T26">
        <f t="shared" ref="T26" si="109">S26/1000</f>
        <v>-18.443483057711806</v>
      </c>
    </row>
    <row r="27" spans="1:20" x14ac:dyDescent="0.25">
      <c r="A27" s="5">
        <v>44566</v>
      </c>
      <c r="B27">
        <v>0.2586</v>
      </c>
      <c r="C27">
        <v>0.26300000000000001</v>
      </c>
      <c r="D27">
        <v>0.2261</v>
      </c>
      <c r="E27">
        <v>0.23322999999999999</v>
      </c>
      <c r="F27">
        <v>20340415.399999999</v>
      </c>
      <c r="G27">
        <v>0.23322999999999999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-0.61355013550135529</v>
      </c>
      <c r="Q27">
        <f t="shared" ref="Q27" si="111">F27*P27</f>
        <v>-12479864.624823853</v>
      </c>
      <c r="R27">
        <f t="shared" ref="R27" si="112">R28+Q27</f>
        <v>-1837490046.0313983</v>
      </c>
      <c r="S27">
        <f t="shared" ref="S27" si="113">R27/100000</f>
        <v>-18374.900460313984</v>
      </c>
      <c r="T27">
        <f t="shared" ref="T27" si="114">S27/1000</f>
        <v>-18.374900460313984</v>
      </c>
    </row>
    <row r="28" spans="1:20" x14ac:dyDescent="0.25">
      <c r="A28" s="5">
        <v>44565</v>
      </c>
      <c r="B28">
        <v>0.25979000000000002</v>
      </c>
      <c r="C28">
        <v>0.26933000000000001</v>
      </c>
      <c r="D28">
        <v>0.25790000000000002</v>
      </c>
      <c r="E28">
        <v>0.25888</v>
      </c>
      <c r="F28">
        <v>20439392</v>
      </c>
      <c r="G28">
        <v>0.25888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-0.82852143482065066</v>
      </c>
      <c r="Q28">
        <f t="shared" ref="Q28" si="116">F28*P28</f>
        <v>-16934474.386701729</v>
      </c>
      <c r="R28">
        <f t="shared" ref="R28" si="117">R29+Q28</f>
        <v>-1825010181.4065745</v>
      </c>
      <c r="S28">
        <f t="shared" ref="S28" si="118">R28/100000</f>
        <v>-18250.101814065743</v>
      </c>
      <c r="T28">
        <f t="shared" ref="T28" si="119">S28/1000</f>
        <v>-18.250101814065744</v>
      </c>
    </row>
    <row r="29" spans="1:20" x14ac:dyDescent="0.25">
      <c r="A29" s="5">
        <v>44564</v>
      </c>
      <c r="B29">
        <v>0.26067000000000001</v>
      </c>
      <c r="C29">
        <v>0.26500000000000001</v>
      </c>
      <c r="D29">
        <v>0.25559999999999999</v>
      </c>
      <c r="E29">
        <v>0.25968999999999998</v>
      </c>
      <c r="F29">
        <v>12146120.5</v>
      </c>
      <c r="G29">
        <v>0.25968999999999998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-0.12978723404255871</v>
      </c>
      <c r="Q29">
        <f t="shared" ref="Q29" si="121">F29*P29</f>
        <v>-1576411.3840426202</v>
      </c>
      <c r="R29">
        <f t="shared" ref="R29" si="122">R30+Q29</f>
        <v>-1808075707.0198727</v>
      </c>
      <c r="S29">
        <f t="shared" ref="S29" si="123">R29/100000</f>
        <v>-18080.757070198728</v>
      </c>
      <c r="T29">
        <f t="shared" ref="T29" si="124">S29/1000</f>
        <v>-18.080757070198729</v>
      </c>
    </row>
    <row r="30" spans="1:20" x14ac:dyDescent="0.25">
      <c r="A30" s="5">
        <v>44563</v>
      </c>
      <c r="B30">
        <v>0.26573000000000002</v>
      </c>
      <c r="C30">
        <v>0.26593</v>
      </c>
      <c r="D30">
        <v>0.25700000000000001</v>
      </c>
      <c r="E30">
        <v>0.26069999999999999</v>
      </c>
      <c r="F30">
        <v>12365420.800000001</v>
      </c>
      <c r="G30">
        <v>0.26069999999999999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-0.17133258678611785</v>
      </c>
      <c r="Q30">
        <f t="shared" ref="Q30" si="126">F30*P30</f>
        <v>-2118599.5323628667</v>
      </c>
      <c r="R30">
        <f t="shared" ref="R30" si="127">R31+Q30</f>
        <v>-1806499295.6358302</v>
      </c>
      <c r="S30">
        <f t="shared" ref="S30" si="128">R30/100000</f>
        <v>-18064.992956358303</v>
      </c>
      <c r="T30">
        <f t="shared" ref="T30" si="129">S30/1000</f>
        <v>-18.064992956358303</v>
      </c>
    </row>
    <row r="31" spans="1:20" x14ac:dyDescent="0.25">
      <c r="A31" s="5">
        <v>44562</v>
      </c>
      <c r="B31">
        <v>0.25979000000000002</v>
      </c>
      <c r="C31">
        <v>0.26644000000000001</v>
      </c>
      <c r="D31">
        <v>0.25945000000000001</v>
      </c>
      <c r="E31">
        <v>0.26571</v>
      </c>
      <c r="F31">
        <v>8389141.1999999993</v>
      </c>
      <c r="G31">
        <v>0.26571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0.79113018597996887</v>
      </c>
      <c r="Q31">
        <f t="shared" ref="Q31" si="131">F31*P31</f>
        <v>6636902.8377682185</v>
      </c>
      <c r="R31">
        <f t="shared" ref="R31" si="132">R32+Q31</f>
        <v>-1804380696.1034672</v>
      </c>
      <c r="S31">
        <f t="shared" ref="S31" si="133">R31/100000</f>
        <v>-18043.806961034672</v>
      </c>
      <c r="T31">
        <f t="shared" ref="T31" si="134">S31/1000</f>
        <v>-18.043806961034672</v>
      </c>
    </row>
    <row r="32" spans="1:20" x14ac:dyDescent="0.25">
      <c r="A32" s="5">
        <v>44561</v>
      </c>
      <c r="B32">
        <v>0.26266</v>
      </c>
      <c r="C32">
        <v>0.2697</v>
      </c>
      <c r="D32">
        <v>0.25489000000000001</v>
      </c>
      <c r="E32">
        <v>0.25945000000000001</v>
      </c>
      <c r="F32">
        <v>11607329.1</v>
      </c>
      <c r="G32">
        <v>0.25945000000000001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-0.38419986495610919</v>
      </c>
      <c r="Q32">
        <f t="shared" ref="Q32" si="136">F32*P32</f>
        <v>-4459534.2727211164</v>
      </c>
      <c r="R32">
        <f t="shared" ref="R32" si="137">R33+Q32</f>
        <v>-1811017598.9412355</v>
      </c>
      <c r="S32">
        <f t="shared" ref="S32" si="138">R32/100000</f>
        <v>-18110.175989412357</v>
      </c>
      <c r="T32">
        <f t="shared" ref="T32" si="139">S32/1000</f>
        <v>-18.110175989412358</v>
      </c>
    </row>
    <row r="33" spans="1:20" x14ac:dyDescent="0.25">
      <c r="A33" s="5">
        <v>44560</v>
      </c>
      <c r="B33">
        <v>0.26047999999999999</v>
      </c>
      <c r="C33">
        <v>0.28423999999999999</v>
      </c>
      <c r="D33">
        <v>0.2555</v>
      </c>
      <c r="E33">
        <v>0.26266</v>
      </c>
      <c r="F33">
        <v>27688384.899999999</v>
      </c>
      <c r="G33">
        <v>0.26266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-0.50173973556019469</v>
      </c>
      <c r="Q33">
        <f t="shared" ref="Q33" si="141">F33*P33</f>
        <v>-13892362.917814886</v>
      </c>
      <c r="R33">
        <f t="shared" ref="R33" si="142">R34+Q33</f>
        <v>-1806558064.6685145</v>
      </c>
      <c r="S33">
        <f t="shared" ref="S33" si="143">R33/100000</f>
        <v>-18065.580646685146</v>
      </c>
      <c r="T33">
        <f t="shared" ref="T33" si="144">S33/1000</f>
        <v>-18.065580646685145</v>
      </c>
    </row>
    <row r="34" spans="1:20" x14ac:dyDescent="0.25">
      <c r="A34" s="5">
        <v>44559</v>
      </c>
      <c r="B34">
        <v>0.25652000000000003</v>
      </c>
      <c r="C34">
        <v>0.29110000000000003</v>
      </c>
      <c r="D34">
        <v>0.25163999999999997</v>
      </c>
      <c r="E34">
        <v>0.26013999999999998</v>
      </c>
      <c r="F34">
        <v>37135688.100000001</v>
      </c>
      <c r="G34">
        <v>0.26013999999999998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-0.56918398378104429</v>
      </c>
      <c r="Q34">
        <f t="shared" ref="Q34" si="146">F34*P34</f>
        <v>-21137038.893208321</v>
      </c>
      <c r="R34">
        <f t="shared" ref="R34" si="147">R35+Q34</f>
        <v>-1792665701.7506995</v>
      </c>
      <c r="S34">
        <f t="shared" ref="S34" si="148">R34/100000</f>
        <v>-17926.657017506994</v>
      </c>
      <c r="T34">
        <f t="shared" ref="T34" si="149">S34/1000</f>
        <v>-17.926657017506994</v>
      </c>
    </row>
    <row r="35" spans="1:20" x14ac:dyDescent="0.25">
      <c r="A35" s="5">
        <v>44558</v>
      </c>
      <c r="B35">
        <v>0.27860000000000001</v>
      </c>
      <c r="C35">
        <v>0.27929999999999999</v>
      </c>
      <c r="D35">
        <v>0.2555</v>
      </c>
      <c r="E35">
        <v>0.25694</v>
      </c>
      <c r="F35">
        <v>20455574.399999999</v>
      </c>
      <c r="G35">
        <v>0.25694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-0.87899159663865567</v>
      </c>
      <c r="Q35">
        <f t="shared" ref="Q35" si="151">F35*P35</f>
        <v>-17980278.002016809</v>
      </c>
      <c r="R35">
        <f t="shared" ref="R35" si="152">R36+Q35</f>
        <v>-1771528662.8574913</v>
      </c>
      <c r="S35">
        <f t="shared" ref="S35" si="153">R35/100000</f>
        <v>-17715.286628574911</v>
      </c>
      <c r="T35">
        <f t="shared" ref="T35" si="154">S35/1000</f>
        <v>-17.715286628574912</v>
      </c>
    </row>
    <row r="36" spans="1:20" x14ac:dyDescent="0.25">
      <c r="A36" s="5">
        <v>44557</v>
      </c>
      <c r="B36">
        <v>0.27850000000000003</v>
      </c>
      <c r="C36">
        <v>0.28874</v>
      </c>
      <c r="D36">
        <v>0.27683999999999997</v>
      </c>
      <c r="E36">
        <v>0.27859</v>
      </c>
      <c r="F36">
        <v>20171822.899999999</v>
      </c>
      <c r="G36">
        <v>0.27859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-0.70588235294117208</v>
      </c>
      <c r="Q36">
        <f t="shared" ref="Q36" si="156">F36*P36</f>
        <v>-14238933.811764617</v>
      </c>
      <c r="R36">
        <f t="shared" ref="R36" si="157">R37+Q36</f>
        <v>-1753548384.8554745</v>
      </c>
      <c r="S36">
        <f t="shared" ref="S36" si="158">R36/100000</f>
        <v>-17535.483848554744</v>
      </c>
      <c r="T36">
        <f t="shared" ref="T36" si="159">S36/1000</f>
        <v>-17.535483848554744</v>
      </c>
    </row>
    <row r="37" spans="1:20" x14ac:dyDescent="0.25">
      <c r="A37" s="5">
        <v>44556</v>
      </c>
      <c r="B37">
        <v>0.27816000000000002</v>
      </c>
      <c r="C37">
        <v>0.29694999999999999</v>
      </c>
      <c r="D37">
        <v>0.27446999999999999</v>
      </c>
      <c r="E37">
        <v>0.27877999999999997</v>
      </c>
      <c r="F37">
        <v>24426344.399999999</v>
      </c>
      <c r="G37">
        <v>0.27877999999999997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-0.61654804270462804</v>
      </c>
      <c r="Q37">
        <f t="shared" ref="Q37" si="161">F37*P37</f>
        <v>-15060014.830249151</v>
      </c>
      <c r="R37">
        <f t="shared" ref="R37" si="162">R38+Q37</f>
        <v>-1739309451.0437098</v>
      </c>
      <c r="S37">
        <f t="shared" ref="S37" si="163">R37/100000</f>
        <v>-17393.094510437099</v>
      </c>
      <c r="T37">
        <f t="shared" ref="T37" si="164">S37/1000</f>
        <v>-17.393094510437098</v>
      </c>
    </row>
    <row r="38" spans="1:20" x14ac:dyDescent="0.25">
      <c r="A38" s="5">
        <v>44555</v>
      </c>
      <c r="B38">
        <v>0.26945000000000002</v>
      </c>
      <c r="C38">
        <v>0.28399000000000002</v>
      </c>
      <c r="D38">
        <v>0.26757999999999998</v>
      </c>
      <c r="E38">
        <v>0.27772000000000002</v>
      </c>
      <c r="F38">
        <v>15487659.4</v>
      </c>
      <c r="G38">
        <v>0.27772000000000002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0.23583180987203117</v>
      </c>
      <c r="Q38">
        <f t="shared" ref="Q38" si="166">F38*P38</f>
        <v>3652482.7469835766</v>
      </c>
      <c r="R38">
        <f t="shared" ref="R38" si="167">R39+Q38</f>
        <v>-1724249436.2134607</v>
      </c>
      <c r="S38">
        <f t="shared" ref="S38" si="168">R38/100000</f>
        <v>-17242.494362134606</v>
      </c>
      <c r="T38">
        <f t="shared" ref="T38" si="169">S38/1000</f>
        <v>-17.242494362134607</v>
      </c>
    </row>
    <row r="39" spans="1:20" x14ac:dyDescent="0.25">
      <c r="A39" s="5">
        <v>44554</v>
      </c>
      <c r="B39">
        <v>0.28353</v>
      </c>
      <c r="C39">
        <v>0.28832999999999998</v>
      </c>
      <c r="D39">
        <v>0.26612999999999998</v>
      </c>
      <c r="E39">
        <v>0.26945000000000002</v>
      </c>
      <c r="F39">
        <v>22460537</v>
      </c>
      <c r="G39">
        <v>0.26945000000000002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-0.70090090090089685</v>
      </c>
      <c r="Q39">
        <f t="shared" ref="Q39" si="171">F39*P39</f>
        <v>-15742610.618017927</v>
      </c>
      <c r="R39">
        <f t="shared" ref="R39" si="172">R40+Q39</f>
        <v>-1727901918.9604442</v>
      </c>
      <c r="S39">
        <f t="shared" ref="S39" si="173">R39/100000</f>
        <v>-17279.019189604442</v>
      </c>
      <c r="T39">
        <f t="shared" ref="T39" si="174">S39/1000</f>
        <v>-17.27901918960444</v>
      </c>
    </row>
    <row r="40" spans="1:20" x14ac:dyDescent="0.25">
      <c r="A40" s="5">
        <v>44553</v>
      </c>
      <c r="B40">
        <v>0.26223000000000002</v>
      </c>
      <c r="C40">
        <v>0.28355000000000002</v>
      </c>
      <c r="D40">
        <v>0.25855</v>
      </c>
      <c r="E40">
        <v>0.28355000000000002</v>
      </c>
      <c r="F40">
        <v>20449343.699999999</v>
      </c>
      <c r="G40">
        <v>0.28355000000000002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1</v>
      </c>
      <c r="Q40">
        <f t="shared" ref="Q40" si="176">F40*P40</f>
        <v>20449343.699999999</v>
      </c>
      <c r="R40">
        <f t="shared" ref="R40" si="177">R41+Q40</f>
        <v>-1712159308.3424263</v>
      </c>
      <c r="S40">
        <f t="shared" ref="S40" si="178">R40/100000</f>
        <v>-17121.593083424264</v>
      </c>
      <c r="T40">
        <f t="shared" ref="T40" si="179">S40/1000</f>
        <v>-17.121593083424266</v>
      </c>
    </row>
    <row r="41" spans="1:20" x14ac:dyDescent="0.25">
      <c r="A41" s="5">
        <v>44552</v>
      </c>
      <c r="B41">
        <v>0.25925999999999999</v>
      </c>
      <c r="C41">
        <v>0.27326</v>
      </c>
      <c r="D41">
        <v>0.25851000000000002</v>
      </c>
      <c r="E41">
        <v>0.26223000000000002</v>
      </c>
      <c r="F41">
        <v>17369437.800000001</v>
      </c>
      <c r="G41">
        <v>0.26223000000000002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-0.4955932203389824</v>
      </c>
      <c r="Q41">
        <f t="shared" ref="Q41" si="181">F41*P41</f>
        <v>-8608175.6147796493</v>
      </c>
      <c r="R41">
        <f t="shared" ref="R41" si="182">R42+Q41</f>
        <v>-1732608652.0424263</v>
      </c>
      <c r="S41">
        <f t="shared" ref="S41" si="183">R41/100000</f>
        <v>-17326.086520424262</v>
      </c>
      <c r="T41">
        <f t="shared" ref="T41" si="184">S41/1000</f>
        <v>-17.326086520424262</v>
      </c>
    </row>
    <row r="42" spans="1:20" x14ac:dyDescent="0.25">
      <c r="A42" s="5">
        <v>44551</v>
      </c>
      <c r="B42">
        <v>0.25518999999999997</v>
      </c>
      <c r="C42">
        <v>0.26777000000000001</v>
      </c>
      <c r="D42">
        <v>0.25295000000000001</v>
      </c>
      <c r="E42">
        <v>0.25901000000000002</v>
      </c>
      <c r="F42">
        <v>14599768.699999999</v>
      </c>
      <c r="G42">
        <v>0.25901000000000002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-0.18218623481781243</v>
      </c>
      <c r="Q42">
        <f t="shared" ref="Q42" si="186">F42*P42</f>
        <v>-2659876.888663948</v>
      </c>
      <c r="R42">
        <f t="shared" ref="R42" si="187">R43+Q42</f>
        <v>-1724000476.4276466</v>
      </c>
      <c r="S42">
        <f t="shared" ref="S42" si="188">R42/100000</f>
        <v>-17240.004764276466</v>
      </c>
      <c r="T42">
        <f t="shared" ref="T42" si="189">S42/1000</f>
        <v>-17.240004764276467</v>
      </c>
    </row>
    <row r="43" spans="1:20" x14ac:dyDescent="0.25">
      <c r="A43" s="5">
        <v>44550</v>
      </c>
      <c r="B43">
        <v>0.26593</v>
      </c>
      <c r="C43">
        <v>0.26626</v>
      </c>
      <c r="D43">
        <v>0.2432</v>
      </c>
      <c r="E43">
        <v>0.25518999999999997</v>
      </c>
      <c r="F43">
        <v>18054293.699999999</v>
      </c>
      <c r="G43">
        <v>0.25518999999999997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3.9895923677361174E-2</v>
      </c>
      <c r="Q43">
        <f t="shared" ref="Q43" si="191">F43*P43</f>
        <v>720292.72350386262</v>
      </c>
      <c r="R43">
        <f t="shared" ref="R43" si="192">R44+Q43</f>
        <v>-1721340599.5389826</v>
      </c>
      <c r="S43">
        <f t="shared" ref="S43" si="193">R43/100000</f>
        <v>-17213.405995389825</v>
      </c>
      <c r="T43">
        <f t="shared" ref="T43" si="194">S43/1000</f>
        <v>-17.213405995389824</v>
      </c>
    </row>
    <row r="44" spans="1:20" x14ac:dyDescent="0.25">
      <c r="A44" s="5">
        <v>44549</v>
      </c>
      <c r="B44">
        <v>0.27090999999999998</v>
      </c>
      <c r="C44">
        <v>0.27728000000000003</v>
      </c>
      <c r="D44">
        <v>0.26485999999999998</v>
      </c>
      <c r="E44">
        <v>0.26529999999999998</v>
      </c>
      <c r="F44">
        <v>13771250.199999999</v>
      </c>
      <c r="G44">
        <v>0.26529999999999998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-0.92914653784219092</v>
      </c>
      <c r="Q44">
        <f t="shared" ref="Q44" si="196">F44*P44</f>
        <v>-12795509.445088578</v>
      </c>
      <c r="R44">
        <f t="shared" ref="R44" si="197">R45+Q44</f>
        <v>-1722060892.2624865</v>
      </c>
      <c r="S44">
        <f t="shared" ref="S44" si="198">R44/100000</f>
        <v>-17220.608922624866</v>
      </c>
      <c r="T44">
        <f t="shared" ref="T44" si="199">S44/1000</f>
        <v>-17.220608922624866</v>
      </c>
    </row>
    <row r="45" spans="1:20" x14ac:dyDescent="0.25">
      <c r="A45" s="5">
        <v>44548</v>
      </c>
      <c r="B45">
        <v>0.27000999999999997</v>
      </c>
      <c r="C45">
        <v>0.28399999999999997</v>
      </c>
      <c r="D45">
        <v>0.26424999999999998</v>
      </c>
      <c r="E45">
        <v>0.27066000000000001</v>
      </c>
      <c r="F45">
        <v>24474394.199999999</v>
      </c>
      <c r="G45">
        <v>0.27066000000000001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-0.35088607594936405</v>
      </c>
      <c r="Q45">
        <f t="shared" ref="Q45" si="201">F45*P45</f>
        <v>-8587724.1420758739</v>
      </c>
      <c r="R45">
        <f t="shared" ref="R45" si="202">R46+Q45</f>
        <v>-1709265382.8173978</v>
      </c>
      <c r="S45">
        <f t="shared" ref="S45" si="203">R45/100000</f>
        <v>-17092.653828173978</v>
      </c>
      <c r="T45">
        <f t="shared" ref="T45" si="204">S45/1000</f>
        <v>-17.092653828173976</v>
      </c>
    </row>
    <row r="46" spans="1:20" x14ac:dyDescent="0.25">
      <c r="A46" s="5">
        <v>44547</v>
      </c>
      <c r="B46">
        <v>0.28003</v>
      </c>
      <c r="C46">
        <v>0.28386</v>
      </c>
      <c r="D46">
        <v>0.25819999999999999</v>
      </c>
      <c r="E46">
        <v>0.27000999999999997</v>
      </c>
      <c r="F46">
        <v>24022843.399999999</v>
      </c>
      <c r="G46">
        <v>0.27000999999999997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-7.9501169134841801E-2</v>
      </c>
      <c r="Q46">
        <f t="shared" ref="Q46" si="206">F46*P46</f>
        <v>-1909844.1362432179</v>
      </c>
      <c r="R46">
        <f t="shared" ref="R46" si="207">R47+Q46</f>
        <v>-1700677658.6753221</v>
      </c>
      <c r="S46">
        <f t="shared" ref="S46" si="208">R46/100000</f>
        <v>-17006.776586753222</v>
      </c>
      <c r="T46">
        <f t="shared" ref="T46" si="209">S46/1000</f>
        <v>-17.006776586753222</v>
      </c>
    </row>
    <row r="47" spans="1:20" x14ac:dyDescent="0.25">
      <c r="A47" s="5">
        <v>44546</v>
      </c>
      <c r="B47">
        <v>0.28347</v>
      </c>
      <c r="C47">
        <v>0.29316999999999999</v>
      </c>
      <c r="D47">
        <v>0.27900999999999998</v>
      </c>
      <c r="E47">
        <v>0.27918999999999999</v>
      </c>
      <c r="F47">
        <v>18052973.100000001</v>
      </c>
      <c r="G47">
        <v>0.27918999999999999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-0.97457627118643875</v>
      </c>
      <c r="Q47">
        <f t="shared" ref="Q47" si="211">F47*P47</f>
        <v>-17593999.207627084</v>
      </c>
      <c r="R47">
        <f t="shared" ref="R47" si="212">R48+Q47</f>
        <v>-1698767814.539079</v>
      </c>
      <c r="S47">
        <f t="shared" ref="S47" si="213">R47/100000</f>
        <v>-16987.67814539079</v>
      </c>
      <c r="T47">
        <f t="shared" ref="T47" si="214">S47/1000</f>
        <v>-16.987678145390788</v>
      </c>
    </row>
    <row r="48" spans="1:20" x14ac:dyDescent="0.25">
      <c r="A48" s="5">
        <v>44545</v>
      </c>
      <c r="B48">
        <v>0.28238000000000002</v>
      </c>
      <c r="C48">
        <v>0.30599999999999999</v>
      </c>
      <c r="D48">
        <v>0.26700000000000002</v>
      </c>
      <c r="E48">
        <v>0.28345999999999999</v>
      </c>
      <c r="F48">
        <v>36695937.5</v>
      </c>
      <c r="G48">
        <v>0.28345999999999999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-0.15589743589743674</v>
      </c>
      <c r="Q48">
        <f t="shared" ref="Q48" si="216">F48*P48</f>
        <v>-5720802.5641025947</v>
      </c>
      <c r="R48">
        <f t="shared" ref="R48" si="217">R49+Q48</f>
        <v>-1681173815.3314519</v>
      </c>
      <c r="S48">
        <f t="shared" ref="S48" si="218">R48/100000</f>
        <v>-16811.73815331452</v>
      </c>
      <c r="T48">
        <f t="shared" ref="T48" si="219">S48/1000</f>
        <v>-16.811738153314518</v>
      </c>
    </row>
    <row r="49" spans="1:20" x14ac:dyDescent="0.25">
      <c r="A49" s="5">
        <v>44544</v>
      </c>
      <c r="B49">
        <v>0.27091999999999999</v>
      </c>
      <c r="C49">
        <v>0.30499999999999999</v>
      </c>
      <c r="D49">
        <v>0.26227</v>
      </c>
      <c r="E49">
        <v>0.28200999999999998</v>
      </c>
      <c r="F49">
        <v>50652422.600000001</v>
      </c>
      <c r="G49">
        <v>0.28200999999999998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-7.60589749590459E-2</v>
      </c>
      <c r="Q49">
        <f t="shared" ref="Q49" si="221">F49*P49</f>
        <v>-3852571.3421484106</v>
      </c>
      <c r="R49">
        <f t="shared" ref="R49" si="222">R50+Q49</f>
        <v>-1675453012.7673492</v>
      </c>
      <c r="S49">
        <f t="shared" ref="S49" si="223">R49/100000</f>
        <v>-16754.530127673494</v>
      </c>
      <c r="T49">
        <f t="shared" ref="T49" si="224">S49/1000</f>
        <v>-16.754530127673494</v>
      </c>
    </row>
    <row r="50" spans="1:20" x14ac:dyDescent="0.25">
      <c r="A50" s="5">
        <v>44543</v>
      </c>
      <c r="B50">
        <v>0.31022</v>
      </c>
      <c r="C50">
        <v>0.31900000000000001</v>
      </c>
      <c r="D50">
        <v>0.26307000000000003</v>
      </c>
      <c r="E50">
        <v>0.27055000000000001</v>
      </c>
      <c r="F50">
        <v>32809414.800000001</v>
      </c>
      <c r="G50">
        <v>0.27055000000000001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-0.73252279635258399</v>
      </c>
      <c r="Q50">
        <f t="shared" ref="Q50" si="226">F50*P50</f>
        <v>-24033644.275987856</v>
      </c>
      <c r="R50">
        <f t="shared" ref="R50" si="227">R51+Q50</f>
        <v>-1671600441.4252009</v>
      </c>
      <c r="S50">
        <f t="shared" ref="S50" si="228">R50/100000</f>
        <v>-16716.004414252009</v>
      </c>
      <c r="T50">
        <f t="shared" ref="T50" si="229">S50/1000</f>
        <v>-16.716004414252009</v>
      </c>
    </row>
    <row r="51" spans="1:20" x14ac:dyDescent="0.25">
      <c r="A51" s="5">
        <v>44542</v>
      </c>
      <c r="B51">
        <v>0.30719000000000002</v>
      </c>
      <c r="C51">
        <v>0.31995000000000001</v>
      </c>
      <c r="D51">
        <v>0.30005999999999999</v>
      </c>
      <c r="E51">
        <v>0.31022</v>
      </c>
      <c r="F51">
        <v>27833424.100000001</v>
      </c>
      <c r="G51">
        <v>0.31022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2.1618903971844423E-2</v>
      </c>
      <c r="Q51">
        <f t="shared" ref="Q51" si="231">F51*P51</f>
        <v>601728.12282552035</v>
      </c>
      <c r="R51">
        <f t="shared" ref="R51" si="232">R52+Q51</f>
        <v>-1647566797.1492131</v>
      </c>
      <c r="S51">
        <f t="shared" ref="S51" si="233">R51/100000</f>
        <v>-16475.66797149213</v>
      </c>
      <c r="T51">
        <f t="shared" ref="T51" si="234">S51/1000</f>
        <v>-16.475667971492129</v>
      </c>
    </row>
    <row r="52" spans="1:20" x14ac:dyDescent="0.25">
      <c r="A52" s="5">
        <v>44541</v>
      </c>
      <c r="B52">
        <v>0.30264000000000002</v>
      </c>
      <c r="C52">
        <v>0.30957000000000001</v>
      </c>
      <c r="D52">
        <v>0.29859999999999998</v>
      </c>
      <c r="E52">
        <v>0.30813000000000001</v>
      </c>
      <c r="F52">
        <v>864204.1</v>
      </c>
      <c r="G52">
        <v>0.30813000000000001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0.73746581586144166</v>
      </c>
      <c r="Q52">
        <f t="shared" ref="Q52" si="236">F52*P52</f>
        <v>637320.98167730286</v>
      </c>
      <c r="R52">
        <f t="shared" ref="R52" si="237">R53+Q52</f>
        <v>-1648168525.2720387</v>
      </c>
      <c r="S52">
        <f t="shared" ref="S52" si="238">R52/100000</f>
        <v>-16481.685252720388</v>
      </c>
      <c r="T52">
        <f t="shared" ref="T52" si="239">S52/1000</f>
        <v>-16.481685252720389</v>
      </c>
    </row>
    <row r="53" spans="1:20" x14ac:dyDescent="0.25">
      <c r="A53" s="5">
        <v>44540</v>
      </c>
      <c r="B53">
        <v>0.30764999999999998</v>
      </c>
      <c r="C53">
        <v>0.32973999999999998</v>
      </c>
      <c r="D53">
        <v>0.29529</v>
      </c>
      <c r="E53">
        <v>0.30306</v>
      </c>
      <c r="F53">
        <v>50267089.299999997</v>
      </c>
      <c r="G53">
        <v>0.30306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-0.54891146589259776</v>
      </c>
      <c r="Q53">
        <f t="shared" ref="Q53" si="241">F53*P53</f>
        <v>-27592181.673817113</v>
      </c>
      <c r="R53">
        <f t="shared" ref="R53" si="242">R54+Q53</f>
        <v>-1648805846.253716</v>
      </c>
      <c r="S53">
        <f t="shared" ref="S53" si="243">R53/100000</f>
        <v>-16488.058462537159</v>
      </c>
      <c r="T53">
        <f t="shared" ref="T53" si="244">S53/1000</f>
        <v>-16.488058462537161</v>
      </c>
    </row>
    <row r="54" spans="1:20" x14ac:dyDescent="0.25">
      <c r="A54" s="5">
        <v>44539</v>
      </c>
      <c r="B54">
        <v>0.36365999999999998</v>
      </c>
      <c r="C54">
        <v>0.36537999999999998</v>
      </c>
      <c r="D54">
        <v>0.3</v>
      </c>
      <c r="E54">
        <v>0.30736999999999998</v>
      </c>
      <c r="F54">
        <v>59492946.600000001</v>
      </c>
      <c r="G54">
        <v>0.30736999999999998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-0.77454879167941304</v>
      </c>
      <c r="Q54">
        <f t="shared" ref="Q54" si="246">F54*P54</f>
        <v>-46080189.902477846</v>
      </c>
      <c r="R54">
        <f t="shared" ref="R54" si="247">R55+Q54</f>
        <v>-1621213664.5798988</v>
      </c>
      <c r="S54">
        <f t="shared" ref="S54" si="248">R54/100000</f>
        <v>-16212.136645798988</v>
      </c>
      <c r="T54">
        <f t="shared" ref="T54" si="249">S54/1000</f>
        <v>-16.212136645798989</v>
      </c>
    </row>
    <row r="55" spans="1:20" x14ac:dyDescent="0.25">
      <c r="A55" s="5">
        <v>44538</v>
      </c>
      <c r="B55">
        <v>0.37336000000000003</v>
      </c>
      <c r="C55">
        <v>0.40699999999999997</v>
      </c>
      <c r="D55">
        <v>0.34494999999999998</v>
      </c>
      <c r="E55">
        <v>0.36323</v>
      </c>
      <c r="F55">
        <v>92516617.400000006</v>
      </c>
      <c r="G55">
        <v>0.36323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-0.41079774375503558</v>
      </c>
      <c r="Q55">
        <f t="shared" ref="Q55" si="251">F55*P55</f>
        <v>-38005617.687767871</v>
      </c>
      <c r="R55">
        <f t="shared" ref="R55" si="252">R56+Q55</f>
        <v>-1575133474.6774211</v>
      </c>
      <c r="S55">
        <f t="shared" ref="S55" si="253">R55/100000</f>
        <v>-15751.334746774211</v>
      </c>
      <c r="T55">
        <f t="shared" ref="T55" si="254">S55/1000</f>
        <v>-15.751334746774212</v>
      </c>
    </row>
    <row r="56" spans="1:20" x14ac:dyDescent="0.25">
      <c r="A56" s="5">
        <v>44537</v>
      </c>
      <c r="B56">
        <v>0.36749999999999999</v>
      </c>
      <c r="C56">
        <v>0.47699999999999998</v>
      </c>
      <c r="D56">
        <v>0.35256999999999999</v>
      </c>
      <c r="E56">
        <v>0.37335000000000002</v>
      </c>
      <c r="F56">
        <v>385135363.69999999</v>
      </c>
      <c r="G56">
        <v>0.37335000000000002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-0.66599694607409754</v>
      </c>
      <c r="Q56">
        <f t="shared" ref="Q56" si="256">F56*P56</f>
        <v>-256498976.04933682</v>
      </c>
      <c r="R56">
        <f t="shared" ref="R56" si="257">R57+Q56</f>
        <v>-1537127856.9896531</v>
      </c>
      <c r="S56">
        <f t="shared" ref="S56" si="258">R56/100000</f>
        <v>-15371.278569896531</v>
      </c>
      <c r="T56">
        <f t="shared" ref="T56" si="259">S56/1000</f>
        <v>-15.37127856989653</v>
      </c>
    </row>
    <row r="57" spans="1:20" x14ac:dyDescent="0.25">
      <c r="A57" s="5">
        <v>44536</v>
      </c>
      <c r="B57">
        <v>0.29293999999999998</v>
      </c>
      <c r="C57">
        <v>0.39495000000000002</v>
      </c>
      <c r="D57">
        <v>0.24856</v>
      </c>
      <c r="E57">
        <v>0.36759999999999998</v>
      </c>
      <c r="F57">
        <v>237232423.5</v>
      </c>
      <c r="G57">
        <v>0.36759999999999998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0.62634059703531608</v>
      </c>
      <c r="Q57">
        <f t="shared" ref="Q57" si="261">F57*P57</f>
        <v>148588297.77112496</v>
      </c>
      <c r="R57">
        <f t="shared" ref="R57" si="262">R58+Q57</f>
        <v>-1280628880.9403162</v>
      </c>
      <c r="S57">
        <f t="shared" ref="S57" si="263">R57/100000</f>
        <v>-12806.288809403162</v>
      </c>
      <c r="T57">
        <f t="shared" ref="T57" si="264">S57/1000</f>
        <v>-12.806288809403162</v>
      </c>
    </row>
    <row r="58" spans="1:20" x14ac:dyDescent="0.25">
      <c r="A58" s="5">
        <v>44535</v>
      </c>
      <c r="B58">
        <v>0.28439999999999999</v>
      </c>
      <c r="C58">
        <v>0.32699</v>
      </c>
      <c r="D58">
        <v>0.26608999999999999</v>
      </c>
      <c r="E58">
        <v>0.29250999999999999</v>
      </c>
      <c r="F58">
        <v>86182866.599999994</v>
      </c>
      <c r="G58">
        <v>0.29250999999999999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-0.13234811165845667</v>
      </c>
      <c r="Q58">
        <f t="shared" ref="Q58" si="266">F58*P58</f>
        <v>-11406139.651822675</v>
      </c>
      <c r="R58">
        <f t="shared" ref="R58" si="267">R59+Q58</f>
        <v>-1429217178.711441</v>
      </c>
      <c r="S58">
        <f t="shared" ref="S58" si="268">R58/100000</f>
        <v>-14292.17178711441</v>
      </c>
      <c r="T58">
        <f t="shared" ref="T58" si="269">S58/1000</f>
        <v>-14.292171787114411</v>
      </c>
    </row>
    <row r="59" spans="1:20" x14ac:dyDescent="0.25">
      <c r="A59" s="5">
        <v>44534</v>
      </c>
      <c r="B59">
        <v>0.34589999999999999</v>
      </c>
      <c r="C59">
        <v>0.34739999999999999</v>
      </c>
      <c r="D59">
        <v>0.24199999999999999</v>
      </c>
      <c r="E59">
        <v>0.28452</v>
      </c>
      <c r="F59">
        <v>66693833.899999999</v>
      </c>
      <c r="G59">
        <v>0.28452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-0.19316888045540787</v>
      </c>
      <c r="Q59">
        <f t="shared" ref="Q59" si="271">F59*P59</f>
        <v>-12883173.227741929</v>
      </c>
      <c r="R59">
        <f t="shared" ref="R59" si="272">R60+Q59</f>
        <v>-1417811039.0596185</v>
      </c>
      <c r="S59">
        <f t="shared" ref="S59" si="273">R59/100000</f>
        <v>-14178.110390596185</v>
      </c>
      <c r="T59">
        <f t="shared" ref="T59" si="274">S59/1000</f>
        <v>-14.178110390596185</v>
      </c>
    </row>
    <row r="60" spans="1:20" x14ac:dyDescent="0.25">
      <c r="A60" s="5">
        <v>44533</v>
      </c>
      <c r="B60">
        <v>0.35920000000000002</v>
      </c>
      <c r="C60">
        <v>0.35943000000000003</v>
      </c>
      <c r="D60">
        <v>0.32089000000000001</v>
      </c>
      <c r="E60">
        <v>0.34742000000000001</v>
      </c>
      <c r="F60">
        <v>36395246.399999999</v>
      </c>
      <c r="G60">
        <v>0.34742000000000001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0.37675142708873821</v>
      </c>
      <c r="Q60">
        <f t="shared" ref="Q60" si="276">F60*P60</f>
        <v>13711961.020446261</v>
      </c>
      <c r="R60">
        <f t="shared" ref="R60" si="277">R61+Q60</f>
        <v>-1404927865.8318765</v>
      </c>
      <c r="S60">
        <f t="shared" ref="S60" si="278">R60/100000</f>
        <v>-14049.278658318764</v>
      </c>
      <c r="T60">
        <f t="shared" ref="T60" si="279">S60/1000</f>
        <v>-14.049278658318764</v>
      </c>
    </row>
    <row r="61" spans="1:20" x14ac:dyDescent="0.25">
      <c r="A61" s="5">
        <v>44532</v>
      </c>
      <c r="B61">
        <v>0.41347</v>
      </c>
      <c r="C61">
        <v>0.41381000000000001</v>
      </c>
      <c r="D61">
        <v>0.35616999999999999</v>
      </c>
      <c r="E61">
        <v>0.35948000000000002</v>
      </c>
      <c r="F61">
        <v>71233370.099999994</v>
      </c>
      <c r="G61">
        <v>0.35948000000000002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-0.88514920194309388</v>
      </c>
      <c r="Q61">
        <f t="shared" ref="Q61" si="281">F61*P61</f>
        <v>-63052160.695732042</v>
      </c>
      <c r="R61">
        <f t="shared" ref="R61" si="282">R62+Q61</f>
        <v>-1418639826.8523228</v>
      </c>
      <c r="S61">
        <f t="shared" ref="S61" si="283">R61/100000</f>
        <v>-14186.398268523228</v>
      </c>
      <c r="T61">
        <f t="shared" ref="T61" si="284">S61/1000</f>
        <v>-14.186398268523227</v>
      </c>
    </row>
    <row r="62" spans="1:20" x14ac:dyDescent="0.25">
      <c r="A62" s="5">
        <v>44531</v>
      </c>
      <c r="B62">
        <v>0.40490999999999999</v>
      </c>
      <c r="C62">
        <v>0.51900000000000002</v>
      </c>
      <c r="D62">
        <v>0.38779999999999998</v>
      </c>
      <c r="E62">
        <v>0.41347</v>
      </c>
      <c r="F62">
        <v>224007856.40000001</v>
      </c>
      <c r="G62">
        <v>0.41347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-0.60868902439024364</v>
      </c>
      <c r="Q62">
        <f t="shared" ref="Q62" si="286">F62*P62</f>
        <v>-136351123.56786579</v>
      </c>
      <c r="R62">
        <f t="shared" ref="R62" si="287">R63+Q62</f>
        <v>-1355587666.1565907</v>
      </c>
      <c r="S62">
        <f t="shared" ref="S62" si="288">R62/100000</f>
        <v>-13555.876661565908</v>
      </c>
      <c r="T62">
        <f t="shared" ref="T62" si="289">S62/1000</f>
        <v>-13.555876661565907</v>
      </c>
    </row>
    <row r="63" spans="1:20" x14ac:dyDescent="0.25">
      <c r="A63" s="5">
        <v>44530</v>
      </c>
      <c r="B63">
        <v>0.36273</v>
      </c>
      <c r="C63">
        <v>0.43680000000000002</v>
      </c>
      <c r="D63">
        <v>0.36273</v>
      </c>
      <c r="E63">
        <v>0.40427999999999997</v>
      </c>
      <c r="F63">
        <v>108338014</v>
      </c>
      <c r="G63">
        <v>0.40427999999999997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0.12191170514378188</v>
      </c>
      <c r="Q63">
        <f t="shared" ref="Q63" si="291">F63*P63</f>
        <v>13207672.018630914</v>
      </c>
      <c r="R63">
        <f t="shared" ref="R63" si="292">R64+Q63</f>
        <v>-1219236542.5887249</v>
      </c>
      <c r="S63">
        <f t="shared" ref="S63" si="293">R63/100000</f>
        <v>-12192.365425887248</v>
      </c>
      <c r="T63">
        <f t="shared" ref="T63" si="294">S63/1000</f>
        <v>-12.192365425887248</v>
      </c>
    </row>
    <row r="64" spans="1:20" x14ac:dyDescent="0.25">
      <c r="A64" s="5">
        <v>44529</v>
      </c>
      <c r="B64">
        <v>0.34858</v>
      </c>
      <c r="C64">
        <v>0.38</v>
      </c>
      <c r="D64">
        <v>0.34383999999999998</v>
      </c>
      <c r="E64">
        <v>0.36323</v>
      </c>
      <c r="F64">
        <v>36171535.799999997</v>
      </c>
      <c r="G64">
        <v>0.36323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7.2455752212389646E-2</v>
      </c>
      <c r="Q64">
        <f t="shared" ref="Q64" si="296">F64*P64</f>
        <v>2620835.8350663809</v>
      </c>
      <c r="R64">
        <f t="shared" ref="R64" si="297">R65+Q64</f>
        <v>-1232444214.6073558</v>
      </c>
      <c r="S64">
        <f t="shared" ref="S64" si="298">R64/100000</f>
        <v>-12324.442146073558</v>
      </c>
      <c r="T64">
        <f t="shared" ref="T64" si="299">S64/1000</f>
        <v>-12.324442146073558</v>
      </c>
    </row>
    <row r="65" spans="1:20" x14ac:dyDescent="0.25">
      <c r="A65" s="5">
        <v>44528</v>
      </c>
      <c r="B65">
        <v>0.36351</v>
      </c>
      <c r="C65">
        <v>0.36530000000000001</v>
      </c>
      <c r="D65">
        <v>0.31857999999999997</v>
      </c>
      <c r="E65">
        <v>0.34823999999999999</v>
      </c>
      <c r="F65">
        <v>36535338.799999997</v>
      </c>
      <c r="G65">
        <v>0.34823999999999999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0.26969178082191758</v>
      </c>
      <c r="Q65">
        <f t="shared" ref="Q65" si="301">F65*P65</f>
        <v>9853280.5839041006</v>
      </c>
      <c r="R65">
        <f t="shared" ref="R65" si="302">R66+Q65</f>
        <v>-1235065050.4424222</v>
      </c>
      <c r="S65">
        <f t="shared" ref="S65" si="303">R65/100000</f>
        <v>-12350.650504424222</v>
      </c>
      <c r="T65">
        <f t="shared" ref="T65" si="304">S65/1000</f>
        <v>-12.350650504424221</v>
      </c>
    </row>
    <row r="66" spans="1:20" x14ac:dyDescent="0.25">
      <c r="A66" s="5">
        <v>44527</v>
      </c>
      <c r="B66">
        <v>0.33992</v>
      </c>
      <c r="C66">
        <v>0.39</v>
      </c>
      <c r="D66">
        <v>0.33732000000000001</v>
      </c>
      <c r="E66">
        <v>0.36323</v>
      </c>
      <c r="F66">
        <v>59353026.799999997</v>
      </c>
      <c r="G66">
        <v>0.36323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-1.6324981017464452E-2</v>
      </c>
      <c r="Q66">
        <f t="shared" ref="Q66" si="306">F66*P66</f>
        <v>-968937.03583905881</v>
      </c>
      <c r="R66">
        <f t="shared" ref="R66" si="307">R67+Q66</f>
        <v>-1244918331.0263262</v>
      </c>
      <c r="S66">
        <f t="shared" ref="S66" si="308">R66/100000</f>
        <v>-12449.183310263263</v>
      </c>
      <c r="T66">
        <f t="shared" ref="T66" si="309">S66/1000</f>
        <v>-12.449183310263262</v>
      </c>
    </row>
    <row r="67" spans="1:20" x14ac:dyDescent="0.25">
      <c r="A67" s="5">
        <v>44526</v>
      </c>
      <c r="B67">
        <v>0.36075000000000002</v>
      </c>
      <c r="C67">
        <v>0.37776999999999999</v>
      </c>
      <c r="D67">
        <v>0.31224000000000002</v>
      </c>
      <c r="E67">
        <v>0.33983999999999998</v>
      </c>
      <c r="F67">
        <v>59367451.399999999</v>
      </c>
      <c r="G67">
        <v>0.33983999999999998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-0.15763772318022379</v>
      </c>
      <c r="Q67">
        <f t="shared" ref="Q67" si="311">F67*P67</f>
        <v>-9358549.8697085883</v>
      </c>
      <c r="R67">
        <f t="shared" ref="R67" si="312">R68+Q67</f>
        <v>-1243949393.9904871</v>
      </c>
      <c r="S67">
        <f t="shared" ref="S67" si="313">R67/100000</f>
        <v>-12439.493939904871</v>
      </c>
      <c r="T67">
        <f t="shared" ref="T67" si="314">S67/1000</f>
        <v>-12.439493939904871</v>
      </c>
    </row>
    <row r="68" spans="1:20" x14ac:dyDescent="0.25">
      <c r="A68" s="5">
        <v>44525</v>
      </c>
      <c r="B68">
        <v>0.37168000000000001</v>
      </c>
      <c r="C68">
        <v>0.38468999999999998</v>
      </c>
      <c r="D68">
        <v>0.35424</v>
      </c>
      <c r="E68">
        <v>0.36010999999999999</v>
      </c>
      <c r="F68">
        <v>42746075.5</v>
      </c>
      <c r="G68">
        <v>0.36010999999999999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-0.61444991789819436</v>
      </c>
      <c r="Q68">
        <f t="shared" ref="Q68" si="316">F68*P68</f>
        <v>-26265322.581445016</v>
      </c>
      <c r="R68">
        <f t="shared" ref="R68" si="317">R69+Q68</f>
        <v>-1234590844.1207786</v>
      </c>
      <c r="S68">
        <f t="shared" ref="S68" si="318">R68/100000</f>
        <v>-12345.908441207786</v>
      </c>
      <c r="T68">
        <f t="shared" ref="T68" si="319">S68/1000</f>
        <v>-12.345908441207786</v>
      </c>
    </row>
    <row r="69" spans="1:20" x14ac:dyDescent="0.25">
      <c r="A69" s="5">
        <v>44524</v>
      </c>
      <c r="B69">
        <v>0.36270000000000002</v>
      </c>
      <c r="C69">
        <v>0.38655</v>
      </c>
      <c r="D69">
        <v>0.35399999999999998</v>
      </c>
      <c r="E69">
        <v>0.37909999999999999</v>
      </c>
      <c r="F69">
        <v>22786469.899999999</v>
      </c>
      <c r="G69">
        <v>0.37909999999999999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0.54224270353302573</v>
      </c>
      <c r="Q69">
        <f t="shared" ref="Q69" si="321">F69*P69</f>
        <v>12355797.042549914</v>
      </c>
      <c r="R69">
        <f t="shared" ref="R69" si="322">R70+Q69</f>
        <v>-1208325521.5393336</v>
      </c>
      <c r="S69">
        <f t="shared" ref="S69" si="323">R69/100000</f>
        <v>-12083.255215393336</v>
      </c>
      <c r="T69">
        <f t="shared" ref="T69" si="324">S69/1000</f>
        <v>-12.083255215393336</v>
      </c>
    </row>
    <row r="70" spans="1:20" x14ac:dyDescent="0.25">
      <c r="A70" s="5">
        <v>44523</v>
      </c>
      <c r="B70">
        <v>0.33748</v>
      </c>
      <c r="C70">
        <v>0.38200000000000001</v>
      </c>
      <c r="D70">
        <v>0.31175000000000003</v>
      </c>
      <c r="E70">
        <v>0.36341000000000001</v>
      </c>
      <c r="F70">
        <v>51130999.100000001</v>
      </c>
      <c r="G70">
        <v>0.36341000000000001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0.47074733096085408</v>
      </c>
      <c r="Q70">
        <f t="shared" ref="Q70" si="326">F70*P70</f>
        <v>24069781.355686832</v>
      </c>
      <c r="R70">
        <f t="shared" ref="R70" si="327">R71+Q70</f>
        <v>-1220681318.5818834</v>
      </c>
      <c r="S70">
        <f t="shared" ref="S70" si="328">R70/100000</f>
        <v>-12206.813185818834</v>
      </c>
      <c r="T70">
        <f t="shared" ref="T70" si="329">S70/1000</f>
        <v>-12.206813185818833</v>
      </c>
    </row>
    <row r="71" spans="1:20" x14ac:dyDescent="0.25">
      <c r="A71" s="5">
        <v>44522</v>
      </c>
      <c r="B71">
        <v>0.36901</v>
      </c>
      <c r="C71">
        <v>0.36965999999999999</v>
      </c>
      <c r="D71">
        <v>0.32390999999999998</v>
      </c>
      <c r="E71">
        <v>0.33707999999999999</v>
      </c>
      <c r="F71">
        <v>60020387.600000001</v>
      </c>
      <c r="G71">
        <v>0.33707999999999999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-0.42426229508196672</v>
      </c>
      <c r="Q71">
        <f t="shared" ref="Q71" si="331">F71*P71</f>
        <v>-25464387.394885216</v>
      </c>
      <c r="R71">
        <f t="shared" ref="R71" si="332">R72+Q71</f>
        <v>-1244751099.9375703</v>
      </c>
      <c r="S71">
        <f t="shared" ref="S71" si="333">R71/100000</f>
        <v>-12447.510999375703</v>
      </c>
      <c r="T71">
        <f t="shared" ref="T71" si="334">S71/1000</f>
        <v>-12.447510999375703</v>
      </c>
    </row>
    <row r="72" spans="1:20" x14ac:dyDescent="0.25">
      <c r="A72" s="5">
        <v>44521</v>
      </c>
      <c r="B72">
        <v>0.37018000000000001</v>
      </c>
      <c r="C72">
        <v>0.39917000000000002</v>
      </c>
      <c r="D72">
        <v>0.35554999999999998</v>
      </c>
      <c r="E72">
        <v>0.36899999999999999</v>
      </c>
      <c r="F72">
        <v>70155881.799999997</v>
      </c>
      <c r="G72">
        <v>0.36899999999999999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-0.38331040806969269</v>
      </c>
      <c r="Q72">
        <f t="shared" ref="Q72" si="336">F72*P72</f>
        <v>-26891479.681247126</v>
      </c>
      <c r="R72">
        <f t="shared" ref="R72" si="337">R73+Q72</f>
        <v>-1219286712.542685</v>
      </c>
      <c r="S72">
        <f t="shared" ref="S72" si="338">R72/100000</f>
        <v>-12192.86712542685</v>
      </c>
      <c r="T72">
        <f t="shared" ref="T72" si="339">S72/1000</f>
        <v>-12.192867125426851</v>
      </c>
    </row>
    <row r="73" spans="1:20" x14ac:dyDescent="0.25">
      <c r="A73" s="5">
        <v>44520</v>
      </c>
      <c r="B73">
        <v>0.38018000000000002</v>
      </c>
      <c r="C73">
        <v>0.41849999999999998</v>
      </c>
      <c r="D73">
        <v>0.35559000000000002</v>
      </c>
      <c r="E73">
        <v>0.37126999999999999</v>
      </c>
      <c r="F73">
        <v>166066972.69999999</v>
      </c>
      <c r="G73">
        <v>0.37126999999999999</v>
      </c>
      <c r="L73" t="s">
        <v>7</v>
      </c>
      <c r="M73" t="s">
        <v>7</v>
      </c>
      <c r="N73" t="s">
        <v>8</v>
      </c>
      <c r="P73">
        <f t="shared" ref="P73" si="340">IF(C73=D73,0,((E73-D73)-(C73-E73))/(C73-D73))</f>
        <v>-0.50151009378477251</v>
      </c>
      <c r="Q73">
        <f t="shared" ref="Q73" si="341">F73*P73</f>
        <v>-83284263.053330258</v>
      </c>
      <c r="R73">
        <f t="shared" ref="R73" si="342">R74+Q73</f>
        <v>-1192395232.8614378</v>
      </c>
      <c r="S73">
        <f t="shared" ref="S73" si="343">R73/100000</f>
        <v>-11923.952328614378</v>
      </c>
      <c r="T73">
        <f t="shared" ref="T73" si="344">S73/1000</f>
        <v>-11.923952328614378</v>
      </c>
    </row>
    <row r="74" spans="1:20" x14ac:dyDescent="0.25">
      <c r="A74" s="5">
        <v>44519</v>
      </c>
      <c r="B74">
        <v>0.33290999999999998</v>
      </c>
      <c r="C74">
        <v>0.48799999999999999</v>
      </c>
      <c r="D74">
        <v>0.31208000000000002</v>
      </c>
      <c r="E74">
        <v>0.38080999999999998</v>
      </c>
      <c r="F74">
        <v>441753064.60000002</v>
      </c>
      <c r="G74">
        <v>0.38080999999999998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-0.21862210095497986</v>
      </c>
      <c r="Q74">
        <f t="shared" ref="Q74" si="346">F74*P74</f>
        <v>-96576983.086152941</v>
      </c>
      <c r="R74">
        <f t="shared" ref="R74" si="347">R75+Q74</f>
        <v>-1109110969.8081076</v>
      </c>
      <c r="S74">
        <f t="shared" ref="S74" si="348">R74/100000</f>
        <v>-11091.109698081076</v>
      </c>
      <c r="T74">
        <f t="shared" ref="T74" si="349">S74/1000</f>
        <v>-11.091109698081077</v>
      </c>
    </row>
    <row r="75" spans="1:20" x14ac:dyDescent="0.25">
      <c r="A75" s="5">
        <v>44518</v>
      </c>
      <c r="B75">
        <v>0.27638000000000001</v>
      </c>
      <c r="C75">
        <v>0.38600000000000001</v>
      </c>
      <c r="D75">
        <v>0.26551000000000002</v>
      </c>
      <c r="E75">
        <v>0.33290999999999998</v>
      </c>
      <c r="F75">
        <v>240357110.69999999</v>
      </c>
      <c r="G75">
        <v>0.33290999999999998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0.11876504274213574</v>
      </c>
      <c r="Q75">
        <f t="shared" ref="Q75" si="351">F75*P75</f>
        <v>28546022.525661752</v>
      </c>
      <c r="R75">
        <f t="shared" ref="R75" si="352">R76+Q75</f>
        <v>-1012533986.7219546</v>
      </c>
      <c r="S75">
        <f t="shared" ref="S75" si="353">R75/100000</f>
        <v>-10125.339867219545</v>
      </c>
      <c r="T75">
        <f t="shared" ref="T75" si="354">S75/1000</f>
        <v>-10.125339867219544</v>
      </c>
    </row>
    <row r="76" spans="1:20" x14ac:dyDescent="0.25">
      <c r="A76" s="5">
        <v>44517</v>
      </c>
      <c r="B76">
        <v>0.28847</v>
      </c>
      <c r="C76">
        <v>0.30347000000000002</v>
      </c>
      <c r="D76">
        <v>0.27300000000000002</v>
      </c>
      <c r="E76">
        <v>0.27689999999999998</v>
      </c>
      <c r="F76">
        <v>30480101.5</v>
      </c>
      <c r="G76">
        <v>0.27689999999999998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-0.74401050213324849</v>
      </c>
      <c r="Q76">
        <f t="shared" ref="Q76" si="356">F76*P76</f>
        <v>-22677515.622087382</v>
      </c>
      <c r="R76">
        <f t="shared" ref="R76" si="357">R77+Q76</f>
        <v>-1041080009.2476163</v>
      </c>
      <c r="S76">
        <f t="shared" ref="S76" si="358">R76/100000</f>
        <v>-10410.800092476164</v>
      </c>
      <c r="T76">
        <f t="shared" ref="T76" si="359">S76/1000</f>
        <v>-10.410800092476164</v>
      </c>
    </row>
    <row r="77" spans="1:20" x14ac:dyDescent="0.25">
      <c r="A77" s="5">
        <v>44516</v>
      </c>
      <c r="B77">
        <v>0.2853</v>
      </c>
      <c r="C77">
        <v>0.32129999999999997</v>
      </c>
      <c r="D77">
        <v>0.25322</v>
      </c>
      <c r="E77">
        <v>0.28800999999999999</v>
      </c>
      <c r="F77">
        <v>109603837.59999999</v>
      </c>
      <c r="G77">
        <v>0.28800999999999999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2.2032902467685106E-2</v>
      </c>
      <c r="Q77">
        <f t="shared" ref="Q77" si="361">F77*P77</f>
        <v>2414890.6639247974</v>
      </c>
      <c r="R77">
        <f t="shared" ref="R77" si="362">R78+Q77</f>
        <v>-1018402493.6255289</v>
      </c>
      <c r="S77">
        <f t="shared" ref="S77" si="363">R77/100000</f>
        <v>-10184.02493625529</v>
      </c>
      <c r="T77">
        <f t="shared" ref="T77" si="364">S77/1000</f>
        <v>-10.184024936255289</v>
      </c>
    </row>
    <row r="78" spans="1:20" x14ac:dyDescent="0.25">
      <c r="A78" s="5">
        <v>44515</v>
      </c>
      <c r="B78">
        <v>0.32405</v>
      </c>
      <c r="C78">
        <v>0.33334000000000003</v>
      </c>
      <c r="D78">
        <v>0.27339999999999998</v>
      </c>
      <c r="E78">
        <v>0.28565000000000002</v>
      </c>
      <c r="F78">
        <v>123343592.3</v>
      </c>
      <c r="G78">
        <v>0.28565000000000002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-0.59125792459125692</v>
      </c>
      <c r="Q78">
        <f t="shared" ref="Q78" si="366">F78*P78</f>
        <v>-72927876.394928142</v>
      </c>
      <c r="R78">
        <f t="shared" ref="R78" si="367">R79+Q78</f>
        <v>-1020817384.2894537</v>
      </c>
      <c r="S78">
        <f t="shared" ref="S78" si="368">R78/100000</f>
        <v>-10208.173842894537</v>
      </c>
      <c r="T78">
        <f t="shared" ref="T78" si="369">S78/1000</f>
        <v>-10.208173842894537</v>
      </c>
    </row>
    <row r="79" spans="1:20" x14ac:dyDescent="0.25">
      <c r="A79" s="5">
        <v>44514</v>
      </c>
      <c r="B79">
        <v>0.26468999999999998</v>
      </c>
      <c r="C79">
        <v>0.38590000000000002</v>
      </c>
      <c r="D79">
        <v>0.26468999999999998</v>
      </c>
      <c r="E79">
        <v>0.32458999999999999</v>
      </c>
      <c r="F79">
        <v>291958299</v>
      </c>
      <c r="G79">
        <v>0.32458999999999999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-1.1632703572312697E-2</v>
      </c>
      <c r="Q79">
        <f t="shared" ref="Q79" si="371">F79*P79</f>
        <v>-3396264.3477436383</v>
      </c>
      <c r="R79">
        <f t="shared" ref="R79" si="372">R80+Q79</f>
        <v>-947889507.89452565</v>
      </c>
      <c r="S79">
        <f t="shared" ref="S79" si="373">R79/100000</f>
        <v>-9478.8950789452556</v>
      </c>
      <c r="T79">
        <f t="shared" ref="T79" si="374">S79/1000</f>
        <v>-9.4788950789452553</v>
      </c>
    </row>
    <row r="80" spans="1:20" x14ac:dyDescent="0.25">
      <c r="A80" s="5">
        <v>44513</v>
      </c>
      <c r="B80">
        <v>0.25201000000000001</v>
      </c>
      <c r="C80">
        <v>0.2833</v>
      </c>
      <c r="D80">
        <v>0.25</v>
      </c>
      <c r="E80">
        <v>0.26566000000000001</v>
      </c>
      <c r="F80">
        <v>26206893.600000001</v>
      </c>
      <c r="G80">
        <v>0.26566000000000001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-5.9459459459458922E-2</v>
      </c>
      <c r="Q80">
        <f t="shared" ref="Q80" si="376">F80*P80</f>
        <v>-1558247.7275675535</v>
      </c>
      <c r="R80">
        <f t="shared" ref="R80" si="377">R81+Q80</f>
        <v>-944493243.54678202</v>
      </c>
      <c r="S80">
        <f t="shared" ref="S80" si="378">R80/100000</f>
        <v>-9444.9324354678211</v>
      </c>
      <c r="T80">
        <f t="shared" ref="T80" si="379">S80/1000</f>
        <v>-9.4449324354678215</v>
      </c>
    </row>
    <row r="81" spans="1:20" x14ac:dyDescent="0.25">
      <c r="A81" s="5">
        <v>44512</v>
      </c>
      <c r="B81">
        <v>0.25233</v>
      </c>
      <c r="C81">
        <v>0.27740999999999999</v>
      </c>
      <c r="D81">
        <v>0.24301</v>
      </c>
      <c r="E81">
        <v>0.25269000000000003</v>
      </c>
      <c r="F81">
        <v>38374121.600000001</v>
      </c>
      <c r="G81">
        <v>0.25269000000000003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-0.43720930232557992</v>
      </c>
      <c r="Q81">
        <f t="shared" ref="Q81" si="381">F81*P81</f>
        <v>-16777522.932092968</v>
      </c>
      <c r="R81">
        <f t="shared" ref="R81" si="382">R82+Q81</f>
        <v>-942934995.81921446</v>
      </c>
      <c r="S81">
        <f t="shared" ref="S81" si="383">R81/100000</f>
        <v>-9429.3499581921442</v>
      </c>
      <c r="T81">
        <f t="shared" ref="T81" si="384">S81/1000</f>
        <v>-9.4293499581921445</v>
      </c>
    </row>
    <row r="82" spans="1:20" x14ac:dyDescent="0.25">
      <c r="A82" s="5">
        <v>44511</v>
      </c>
      <c r="B82">
        <v>0.24940999999999999</v>
      </c>
      <c r="C82">
        <v>0.26790000000000003</v>
      </c>
      <c r="D82">
        <v>0.24</v>
      </c>
      <c r="E82">
        <v>0.25233</v>
      </c>
      <c r="F82">
        <v>29224014.800000001</v>
      </c>
      <c r="G82">
        <v>0.25233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-0.1161290322580651</v>
      </c>
      <c r="Q82">
        <f t="shared" ref="Q82" si="386">F82*P82</f>
        <v>-3393756.5574193723</v>
      </c>
      <c r="R82">
        <f t="shared" ref="R82" si="387">R83+Q82</f>
        <v>-926157472.88712144</v>
      </c>
      <c r="S82">
        <f t="shared" ref="S82" si="388">R82/100000</f>
        <v>-9261.5747288712137</v>
      </c>
      <c r="T82">
        <f t="shared" ref="T82" si="389">S82/1000</f>
        <v>-9.2615747288712136</v>
      </c>
    </row>
    <row r="83" spans="1:20" x14ac:dyDescent="0.25">
      <c r="A83" s="5">
        <v>44510</v>
      </c>
      <c r="B83">
        <v>0.25913000000000003</v>
      </c>
      <c r="C83">
        <v>0.27195000000000003</v>
      </c>
      <c r="D83">
        <v>0.24199999999999999</v>
      </c>
      <c r="E83">
        <v>0.24901999999999999</v>
      </c>
      <c r="F83">
        <v>32137684.199999999</v>
      </c>
      <c r="G83">
        <v>0.24901999999999999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-0.53121869782971676</v>
      </c>
      <c r="Q83">
        <f t="shared" ref="Q83" si="391">F83*P83</f>
        <v>-17072138.751986664</v>
      </c>
      <c r="R83">
        <f t="shared" ref="R83" si="392">R84+Q83</f>
        <v>-922763716.32970202</v>
      </c>
      <c r="S83">
        <f t="shared" ref="S83" si="393">R83/100000</f>
        <v>-9227.6371632970204</v>
      </c>
      <c r="T83">
        <f t="shared" ref="T83" si="394">S83/1000</f>
        <v>-9.22763716329702</v>
      </c>
    </row>
    <row r="84" spans="1:20" x14ac:dyDescent="0.25">
      <c r="A84" s="5">
        <v>44509</v>
      </c>
      <c r="B84">
        <v>0.26263999999999998</v>
      </c>
      <c r="C84">
        <v>0.26899000000000001</v>
      </c>
      <c r="D84">
        <v>0.25684000000000001</v>
      </c>
      <c r="E84">
        <v>0.25911000000000001</v>
      </c>
      <c r="F84">
        <v>29018701.899999999</v>
      </c>
      <c r="G84">
        <v>0.25911000000000001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-0.62633744855967155</v>
      </c>
      <c r="Q84">
        <f t="shared" ref="Q84" si="396">F84*P84</f>
        <v>-18175499.708559692</v>
      </c>
      <c r="R84">
        <f t="shared" ref="R84" si="397">R85+Q84</f>
        <v>-905691577.5777154</v>
      </c>
      <c r="S84">
        <f t="shared" ref="S84" si="398">R84/100000</f>
        <v>-9056.9157757771536</v>
      </c>
      <c r="T84">
        <f t="shared" ref="T84" si="399">S84/1000</f>
        <v>-9.0569157757771528</v>
      </c>
    </row>
    <row r="85" spans="1:20" x14ac:dyDescent="0.25">
      <c r="A85" s="5">
        <v>44508</v>
      </c>
      <c r="B85">
        <v>0.29954999999999998</v>
      </c>
      <c r="C85">
        <v>0.312</v>
      </c>
      <c r="D85">
        <v>0.25700000000000001</v>
      </c>
      <c r="E85">
        <v>0.26288</v>
      </c>
      <c r="F85">
        <v>89283010.599999994</v>
      </c>
      <c r="G85">
        <v>0.26288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-0.78618181818181831</v>
      </c>
      <c r="Q85">
        <f t="shared" ref="Q85" si="401">F85*P85</f>
        <v>-70192679.606254548</v>
      </c>
      <c r="R85">
        <f t="shared" ref="R85" si="402">R86+Q85</f>
        <v>-887516077.86915576</v>
      </c>
      <c r="S85">
        <f t="shared" ref="S85" si="403">R85/100000</f>
        <v>-8875.1607786915574</v>
      </c>
      <c r="T85">
        <f t="shared" ref="T85" si="404">S85/1000</f>
        <v>-8.8751607786915567</v>
      </c>
    </row>
    <row r="86" spans="1:20" x14ac:dyDescent="0.25">
      <c r="A86" s="5">
        <v>44507</v>
      </c>
      <c r="B86">
        <v>0.2404</v>
      </c>
      <c r="C86">
        <v>0.33300000000000002</v>
      </c>
      <c r="D86">
        <v>0.23988999999999999</v>
      </c>
      <c r="E86">
        <v>0.29996</v>
      </c>
      <c r="F86">
        <v>308284807.30000001</v>
      </c>
      <c r="G86">
        <v>0.29996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0.29030179357748892</v>
      </c>
      <c r="Q86">
        <f t="shared" ref="Q86" si="406">F86*P86</f>
        <v>89495632.491880551</v>
      </c>
      <c r="R86">
        <f t="shared" ref="R86" si="407">R87+Q86</f>
        <v>-817323398.26290119</v>
      </c>
      <c r="S86">
        <f t="shared" ref="S86" si="408">R86/100000</f>
        <v>-8173.2339826290117</v>
      </c>
      <c r="T86">
        <f t="shared" ref="T86" si="409">S86/1000</f>
        <v>-8.1732339826290126</v>
      </c>
    </row>
    <row r="87" spans="1:20" x14ac:dyDescent="0.25">
      <c r="A87" s="5">
        <v>44506</v>
      </c>
      <c r="B87">
        <v>0.24260999999999999</v>
      </c>
      <c r="C87">
        <v>0.24398</v>
      </c>
      <c r="D87">
        <v>0.23355999999999999</v>
      </c>
      <c r="E87">
        <v>0.24035999999999999</v>
      </c>
      <c r="F87">
        <v>16009182</v>
      </c>
      <c r="G87">
        <v>0.24035999999999999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0.30518234165067032</v>
      </c>
      <c r="Q87">
        <f t="shared" ref="Q87" si="411">F87*P87</f>
        <v>4885719.6506717615</v>
      </c>
      <c r="R87">
        <f t="shared" ref="R87" si="412">R88+Q87</f>
        <v>-906819030.75478172</v>
      </c>
      <c r="S87">
        <f t="shared" ref="S87" si="413">R87/100000</f>
        <v>-9068.1903075478167</v>
      </c>
      <c r="T87">
        <f t="shared" ref="T87" si="414">S87/1000</f>
        <v>-9.0681903075478161</v>
      </c>
    </row>
    <row r="88" spans="1:20" x14ac:dyDescent="0.25">
      <c r="A88" s="5">
        <v>44505</v>
      </c>
      <c r="B88">
        <v>0.24598</v>
      </c>
      <c r="C88">
        <v>0.252</v>
      </c>
      <c r="D88">
        <v>0.24</v>
      </c>
      <c r="E88">
        <v>0.24223</v>
      </c>
      <c r="F88">
        <v>20913502.300000001</v>
      </c>
      <c r="G88">
        <v>0.24223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-0.62833333333333208</v>
      </c>
      <c r="Q88">
        <f t="shared" ref="Q88" si="416">F88*P88</f>
        <v>-13140650.611833308</v>
      </c>
      <c r="R88">
        <f t="shared" ref="R88" si="417">R89+Q88</f>
        <v>-911704750.40545344</v>
      </c>
      <c r="S88">
        <f t="shared" ref="S88" si="418">R88/100000</f>
        <v>-9117.0475040545352</v>
      </c>
      <c r="T88">
        <f t="shared" ref="T88" si="419">S88/1000</f>
        <v>-9.1170475040545345</v>
      </c>
    </row>
    <row r="89" spans="1:20" x14ac:dyDescent="0.25">
      <c r="A89" s="5">
        <v>44504</v>
      </c>
      <c r="B89">
        <v>0.25808999999999999</v>
      </c>
      <c r="C89">
        <v>0.2661</v>
      </c>
      <c r="D89">
        <v>0.23957999999999999</v>
      </c>
      <c r="E89">
        <v>0.24636</v>
      </c>
      <c r="F89">
        <v>38331439.399999999</v>
      </c>
      <c r="G89">
        <v>0.24636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-0.48868778280542957</v>
      </c>
      <c r="Q89">
        <f t="shared" ref="Q89" si="421">F89*P89</f>
        <v>-18732106.132126685</v>
      </c>
      <c r="R89">
        <f t="shared" ref="R89" si="422">R90+Q89</f>
        <v>-898564099.79362011</v>
      </c>
      <c r="S89">
        <f t="shared" ref="S89" si="423">R89/100000</f>
        <v>-8985.6409979362015</v>
      </c>
      <c r="T89">
        <f t="shared" ref="T89" si="424">S89/1000</f>
        <v>-8.9856409979362013</v>
      </c>
    </row>
    <row r="90" spans="1:20" x14ac:dyDescent="0.25">
      <c r="A90" s="5">
        <v>44503</v>
      </c>
      <c r="B90">
        <v>0.25158000000000003</v>
      </c>
      <c r="C90">
        <v>0.27600000000000002</v>
      </c>
      <c r="D90">
        <v>0.248</v>
      </c>
      <c r="E90">
        <v>0.25808999999999999</v>
      </c>
      <c r="F90">
        <v>56314323.600000001</v>
      </c>
      <c r="G90">
        <v>0.25808999999999999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-0.2792857142857158</v>
      </c>
      <c r="Q90">
        <f t="shared" ref="Q90" si="426">F90*P90</f>
        <v>-15727786.091142943</v>
      </c>
      <c r="R90">
        <f t="shared" ref="R90" si="427">R91+Q90</f>
        <v>-879831993.66149342</v>
      </c>
      <c r="S90">
        <f t="shared" ref="S90" si="428">R90/100000</f>
        <v>-8798.3199366149347</v>
      </c>
      <c r="T90">
        <f t="shared" ref="T90" si="429">S90/1000</f>
        <v>-8.7983199366149343</v>
      </c>
    </row>
    <row r="91" spans="1:20" x14ac:dyDescent="0.25">
      <c r="A91" s="5">
        <v>44502</v>
      </c>
      <c r="B91">
        <v>0.24926000000000001</v>
      </c>
      <c r="C91">
        <v>0.255</v>
      </c>
      <c r="D91">
        <v>0.24278</v>
      </c>
      <c r="E91">
        <v>0.25147999999999998</v>
      </c>
      <c r="F91">
        <v>27213254.600000001</v>
      </c>
      <c r="G91">
        <v>0.25147999999999998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0.42389525368248437</v>
      </c>
      <c r="Q91">
        <f t="shared" ref="Q91" si="431">F91*P91</f>
        <v>11535569.462193035</v>
      </c>
      <c r="R91">
        <f t="shared" ref="R91" si="432">R92+Q91</f>
        <v>-864104207.57035053</v>
      </c>
      <c r="S91">
        <f t="shared" ref="S91" si="433">R91/100000</f>
        <v>-8641.0420757035045</v>
      </c>
      <c r="T91">
        <f t="shared" ref="T91" si="434">S91/1000</f>
        <v>-8.6410420757035045</v>
      </c>
    </row>
    <row r="92" spans="1:20" x14ac:dyDescent="0.25">
      <c r="A92" s="5">
        <v>44501</v>
      </c>
      <c r="B92">
        <v>0.24196999999999999</v>
      </c>
      <c r="C92">
        <v>0.26</v>
      </c>
      <c r="D92">
        <v>0.23601</v>
      </c>
      <c r="E92">
        <v>0.24926000000000001</v>
      </c>
      <c r="F92">
        <v>27545491.199999999</v>
      </c>
      <c r="G92">
        <v>0.24926000000000001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0.10462692788661988</v>
      </c>
      <c r="Q92">
        <f t="shared" ref="Q92" si="436">F92*P92</f>
        <v>2882000.1213839226</v>
      </c>
      <c r="R92">
        <f t="shared" ref="R92" si="437">R93+Q92</f>
        <v>-875639777.03254354</v>
      </c>
      <c r="S92">
        <f t="shared" ref="S92" si="438">R92/100000</f>
        <v>-8756.397770325435</v>
      </c>
      <c r="T92">
        <f t="shared" ref="T92" si="439">S92/1000</f>
        <v>-8.7563977703254352</v>
      </c>
    </row>
    <row r="93" spans="1:20" x14ac:dyDescent="0.25">
      <c r="A93" s="5">
        <v>44500</v>
      </c>
      <c r="B93">
        <v>0.24412</v>
      </c>
      <c r="C93">
        <v>0.25</v>
      </c>
      <c r="D93">
        <v>0.23135</v>
      </c>
      <c r="E93">
        <v>0.24206</v>
      </c>
      <c r="F93">
        <v>28098521.800000001</v>
      </c>
      <c r="G93">
        <v>0.24206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0.14852546916890053</v>
      </c>
      <c r="Q93">
        <f t="shared" ref="Q93" si="441">F93*P93</f>
        <v>4173346.1332975794</v>
      </c>
      <c r="R93">
        <f t="shared" ref="R93" si="442">R94+Q93</f>
        <v>-878521777.15392745</v>
      </c>
      <c r="S93">
        <f t="shared" ref="S93" si="443">R93/100000</f>
        <v>-8785.2177715392736</v>
      </c>
      <c r="T93">
        <f t="shared" ref="T93" si="444">S93/1000</f>
        <v>-8.7852177715392727</v>
      </c>
    </row>
    <row r="94" spans="1:20" x14ac:dyDescent="0.25">
      <c r="A94" s="5">
        <v>44499</v>
      </c>
      <c r="B94">
        <v>0.25513999999999998</v>
      </c>
      <c r="C94">
        <v>0.26336999999999999</v>
      </c>
      <c r="D94">
        <v>0.24077999999999999</v>
      </c>
      <c r="E94">
        <v>0.24410000000000001</v>
      </c>
      <c r="F94">
        <v>37284006.399999999</v>
      </c>
      <c r="G94">
        <v>0.24410000000000001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-0.70606463036741762</v>
      </c>
      <c r="Q94">
        <f t="shared" ref="Q94" si="446">F94*P94</f>
        <v>-26324918.197432432</v>
      </c>
      <c r="R94">
        <f t="shared" ref="R94" si="447">R95+Q94</f>
        <v>-882695123.28722501</v>
      </c>
      <c r="S94">
        <f t="shared" ref="S94" si="448">R94/100000</f>
        <v>-8826.9512328722503</v>
      </c>
      <c r="T94">
        <f t="shared" ref="T94" si="449">S94/1000</f>
        <v>-8.8269512328722506</v>
      </c>
    </row>
    <row r="95" spans="1:20" x14ac:dyDescent="0.25">
      <c r="A95" s="5">
        <v>44498</v>
      </c>
      <c r="B95">
        <v>0.23802999999999999</v>
      </c>
      <c r="C95">
        <v>0.29327999999999999</v>
      </c>
      <c r="D95">
        <v>0.23577000000000001</v>
      </c>
      <c r="E95">
        <v>0.25534000000000001</v>
      </c>
      <c r="F95">
        <v>85487110.400000006</v>
      </c>
      <c r="G95">
        <v>0.25534000000000001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-0.31942270909407017</v>
      </c>
      <c r="Q95">
        <f t="shared" ref="Q95" si="451">F95*P95</f>
        <v>-27306524.396591861</v>
      </c>
      <c r="R95">
        <f t="shared" ref="R95" si="452">R96+Q95</f>
        <v>-856370205.08979261</v>
      </c>
      <c r="S95">
        <f t="shared" ref="S95" si="453">R95/100000</f>
        <v>-8563.7020508979258</v>
      </c>
      <c r="T95">
        <f t="shared" ref="T95" si="454">S95/1000</f>
        <v>-8.5637020508979251</v>
      </c>
    </row>
    <row r="96" spans="1:20" x14ac:dyDescent="0.25">
      <c r="A96" s="5">
        <v>44497</v>
      </c>
      <c r="B96">
        <v>0.23768</v>
      </c>
      <c r="C96">
        <v>0.26</v>
      </c>
      <c r="D96">
        <v>0.22584000000000001</v>
      </c>
      <c r="E96">
        <v>0.23787</v>
      </c>
      <c r="F96">
        <v>49656203.700000003</v>
      </c>
      <c r="G96">
        <v>0.23787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-0.29566744730679234</v>
      </c>
      <c r="Q96">
        <f t="shared" ref="Q96" si="456">F96*P96</f>
        <v>-14681722.990925098</v>
      </c>
      <c r="R96">
        <f t="shared" ref="R96" si="457">R97+Q96</f>
        <v>-829063680.69320071</v>
      </c>
      <c r="S96">
        <f t="shared" ref="S96" si="458">R96/100000</f>
        <v>-8290.6368069320069</v>
      </c>
      <c r="T96">
        <f t="shared" ref="T96" si="459">S96/1000</f>
        <v>-8.2906368069320067</v>
      </c>
    </row>
    <row r="97" spans="1:20" x14ac:dyDescent="0.25">
      <c r="A97" s="5">
        <v>44496</v>
      </c>
      <c r="B97">
        <v>0.27967999999999998</v>
      </c>
      <c r="C97">
        <v>0.28444999999999998</v>
      </c>
      <c r="D97">
        <v>0.23702000000000001</v>
      </c>
      <c r="E97">
        <v>0.23810000000000001</v>
      </c>
      <c r="F97">
        <v>41729899.299999997</v>
      </c>
      <c r="G97">
        <v>0.23810000000000001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-0.95445920303605325</v>
      </c>
      <c r="Q97">
        <f t="shared" ref="Q97" si="461">F97*P97</f>
        <v>-39829486.428652756</v>
      </c>
      <c r="R97">
        <f t="shared" ref="R97" si="462">R98+Q97</f>
        <v>-814381957.70227563</v>
      </c>
      <c r="S97">
        <f t="shared" ref="S97" si="463">R97/100000</f>
        <v>-8143.8195770227567</v>
      </c>
      <c r="T97">
        <f t="shared" ref="T97" si="464">S97/1000</f>
        <v>-8.1438195770227573</v>
      </c>
    </row>
    <row r="98" spans="1:20" x14ac:dyDescent="0.25">
      <c r="A98" s="5">
        <v>44495</v>
      </c>
      <c r="B98">
        <v>0.29359000000000002</v>
      </c>
      <c r="C98">
        <v>0.29920999999999998</v>
      </c>
      <c r="D98">
        <v>0.27716000000000002</v>
      </c>
      <c r="E98">
        <v>0.27949000000000002</v>
      </c>
      <c r="F98">
        <v>27740780.800000001</v>
      </c>
      <c r="G98">
        <v>0.27949000000000002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-0.78866213151927411</v>
      </c>
      <c r="Q98">
        <f t="shared" ref="Q98" si="466">F98*P98</f>
        <v>-21878103.315736953</v>
      </c>
      <c r="R98">
        <f t="shared" ref="R98" si="467">R99+Q98</f>
        <v>-774552471.27362287</v>
      </c>
      <c r="S98">
        <f t="shared" ref="S98" si="468">R98/100000</f>
        <v>-7745.524712736229</v>
      </c>
      <c r="T98">
        <f t="shared" ref="T98" si="469">S98/1000</f>
        <v>-7.7455247127362288</v>
      </c>
    </row>
    <row r="99" spans="1:20" x14ac:dyDescent="0.25">
      <c r="A99" s="5">
        <v>44494</v>
      </c>
      <c r="B99">
        <v>0.28871000000000002</v>
      </c>
      <c r="C99">
        <v>0.29798000000000002</v>
      </c>
      <c r="D99">
        <v>0.28774</v>
      </c>
      <c r="E99">
        <v>0.29388999999999998</v>
      </c>
      <c r="F99">
        <v>19237811</v>
      </c>
      <c r="G99">
        <v>0.29388999999999998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0.20117187499999467</v>
      </c>
      <c r="Q99">
        <f t="shared" ref="Q99" si="471">F99*P99</f>
        <v>3870106.5097655226</v>
      </c>
      <c r="R99">
        <f t="shared" ref="R99" si="472">R100+Q99</f>
        <v>-752674367.95788586</v>
      </c>
      <c r="S99">
        <f t="shared" ref="S99" si="473">R99/100000</f>
        <v>-7526.743679578859</v>
      </c>
      <c r="T99">
        <f t="shared" ref="T99" si="474">S99/1000</f>
        <v>-7.5267436795788587</v>
      </c>
    </row>
    <row r="100" spans="1:20" x14ac:dyDescent="0.25">
      <c r="A100" s="5">
        <v>44493</v>
      </c>
      <c r="B100">
        <v>0.30454999999999999</v>
      </c>
      <c r="C100">
        <v>0.30620000000000003</v>
      </c>
      <c r="D100">
        <v>0.28605999999999998</v>
      </c>
      <c r="E100">
        <v>0.28871000000000002</v>
      </c>
      <c r="F100">
        <v>27215923.300000001</v>
      </c>
      <c r="G100">
        <v>0.28871000000000002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-0.73684210526315441</v>
      </c>
      <c r="Q100">
        <f t="shared" ref="Q100" si="476">F100*P100</f>
        <v>-20053838.221052539</v>
      </c>
      <c r="R100">
        <f t="shared" ref="R100" si="477">R101+Q100</f>
        <v>-756544474.46765137</v>
      </c>
      <c r="S100">
        <f t="shared" ref="S100" si="478">R100/100000</f>
        <v>-7565.4447446765134</v>
      </c>
      <c r="T100">
        <f t="shared" ref="T100" si="479">S100/1000</f>
        <v>-7.5654447446765136</v>
      </c>
    </row>
    <row r="101" spans="1:20" x14ac:dyDescent="0.25">
      <c r="A101" s="5">
        <v>44492</v>
      </c>
      <c r="B101">
        <v>0.30102000000000001</v>
      </c>
      <c r="C101">
        <v>0.31419999999999998</v>
      </c>
      <c r="D101">
        <v>0.30032999999999999</v>
      </c>
      <c r="E101">
        <v>0.30481999999999998</v>
      </c>
      <c r="F101">
        <v>18169798.199999999</v>
      </c>
      <c r="G101">
        <v>0.30481999999999998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-0.3525594808940164</v>
      </c>
      <c r="Q101">
        <f t="shared" ref="Q101" si="481">F101*P101</f>
        <v>-6405934.6213410329</v>
      </c>
      <c r="R101">
        <f t="shared" ref="R101" si="482">R102+Q101</f>
        <v>-736490636.24659884</v>
      </c>
      <c r="S101">
        <f t="shared" ref="S101" si="483">R101/100000</f>
        <v>-7364.9063624659884</v>
      </c>
      <c r="T101">
        <f t="shared" ref="T101" si="484">S101/1000</f>
        <v>-7.3649063624659883</v>
      </c>
    </row>
    <row r="102" spans="1:20" x14ac:dyDescent="0.25">
      <c r="A102" s="5">
        <v>44491</v>
      </c>
      <c r="B102">
        <v>0.30143999999999999</v>
      </c>
      <c r="C102">
        <v>0.30519000000000002</v>
      </c>
      <c r="D102">
        <v>0.3</v>
      </c>
      <c r="E102">
        <v>0.30103000000000002</v>
      </c>
      <c r="F102">
        <v>16564409.4</v>
      </c>
      <c r="G102">
        <v>0.30103000000000002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-0.60308285163775521</v>
      </c>
      <c r="Q102">
        <f t="shared" ref="Q102" si="486">F102*P102</f>
        <v>-9989711.2566472385</v>
      </c>
      <c r="R102">
        <f t="shared" ref="R102" si="487">R103+Q102</f>
        <v>-730084701.62525785</v>
      </c>
      <c r="S102">
        <f t="shared" ref="S102" si="488">R102/100000</f>
        <v>-7300.8470162525782</v>
      </c>
      <c r="T102">
        <f t="shared" ref="T102" si="489">S102/1000</f>
        <v>-7.300847016252578</v>
      </c>
    </row>
    <row r="103" spans="1:20" x14ac:dyDescent="0.25">
      <c r="A103" s="5">
        <v>44490</v>
      </c>
      <c r="B103">
        <v>0.30975000000000003</v>
      </c>
      <c r="C103">
        <v>0.31428</v>
      </c>
      <c r="D103">
        <v>0.3</v>
      </c>
      <c r="E103">
        <v>0.3009</v>
      </c>
      <c r="F103">
        <v>24287484.899999999</v>
      </c>
      <c r="G103">
        <v>0.3009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-0.87394957983193122</v>
      </c>
      <c r="Q103">
        <f t="shared" ref="Q103" si="491">F103*P103</f>
        <v>-21226037.223529372</v>
      </c>
      <c r="R103">
        <f t="shared" ref="R103" si="492">R104+Q103</f>
        <v>-720094990.36861062</v>
      </c>
      <c r="S103">
        <f t="shared" ref="S103" si="493">R103/100000</f>
        <v>-7200.9499036861062</v>
      </c>
      <c r="T103">
        <f t="shared" ref="T103" si="494">S103/1000</f>
        <v>-7.200949903686106</v>
      </c>
    </row>
    <row r="104" spans="1:20" x14ac:dyDescent="0.25">
      <c r="A104" s="5">
        <v>44489</v>
      </c>
      <c r="B104">
        <v>0.30275000000000002</v>
      </c>
      <c r="C104">
        <v>0.31785999999999998</v>
      </c>
      <c r="D104">
        <v>0.30052000000000001</v>
      </c>
      <c r="E104">
        <v>0.30946000000000001</v>
      </c>
      <c r="F104">
        <v>29840453.399999999</v>
      </c>
      <c r="G104">
        <v>0.30946000000000001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3.1141868512113119E-2</v>
      </c>
      <c r="Q104">
        <f t="shared" ref="Q104" si="496">F104*P104</f>
        <v>929287.47612463881</v>
      </c>
      <c r="R104">
        <f t="shared" ref="R104" si="497">R105+Q104</f>
        <v>-698868953.14508128</v>
      </c>
      <c r="S104">
        <f t="shared" ref="S104" si="498">R104/100000</f>
        <v>-6988.6895314508129</v>
      </c>
      <c r="T104">
        <f t="shared" ref="T104" si="499">S104/1000</f>
        <v>-6.9886895314508131</v>
      </c>
    </row>
    <row r="105" spans="1:20" x14ac:dyDescent="0.25">
      <c r="A105" s="5">
        <v>44488</v>
      </c>
      <c r="B105">
        <v>0.30445</v>
      </c>
      <c r="C105">
        <v>0.31109999999999999</v>
      </c>
      <c r="D105">
        <v>0.30048999999999998</v>
      </c>
      <c r="E105">
        <v>0.30285000000000001</v>
      </c>
      <c r="F105">
        <v>25632366.100000001</v>
      </c>
      <c r="G105">
        <v>0.30285000000000001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-0.55513666352497137</v>
      </c>
      <c r="Q105">
        <f t="shared" ref="Q105" si="501">F105*P105</f>
        <v>-14229466.195004584</v>
      </c>
      <c r="R105">
        <f t="shared" ref="R105" si="502">R106+Q105</f>
        <v>-699798240.62120593</v>
      </c>
      <c r="S105">
        <f t="shared" ref="S105" si="503">R105/100000</f>
        <v>-6997.9824062120597</v>
      </c>
      <c r="T105">
        <f t="shared" ref="T105" si="504">S105/1000</f>
        <v>-6.9979824062120599</v>
      </c>
    </row>
    <row r="106" spans="1:20" x14ac:dyDescent="0.25">
      <c r="A106" s="5">
        <v>44487</v>
      </c>
      <c r="B106">
        <v>0.31239</v>
      </c>
      <c r="C106">
        <v>0.31497000000000003</v>
      </c>
      <c r="D106">
        <v>0.30198999999999998</v>
      </c>
      <c r="E106">
        <v>0.30446000000000001</v>
      </c>
      <c r="F106">
        <v>27488853</v>
      </c>
      <c r="G106">
        <v>0.30446000000000001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-0.61941448382126063</v>
      </c>
      <c r="Q106">
        <f t="shared" ref="Q106" si="506">F106*P106</f>
        <v>-17026993.691833511</v>
      </c>
      <c r="R106">
        <f t="shared" ref="R106" si="507">R107+Q106</f>
        <v>-685568774.42620134</v>
      </c>
      <c r="S106">
        <f t="shared" ref="S106" si="508">R106/100000</f>
        <v>-6855.6877442620134</v>
      </c>
      <c r="T106">
        <f t="shared" ref="T106" si="509">S106/1000</f>
        <v>-6.8556877442620134</v>
      </c>
    </row>
    <row r="107" spans="1:20" x14ac:dyDescent="0.25">
      <c r="A107" s="5">
        <v>44486</v>
      </c>
      <c r="B107">
        <v>0.30958000000000002</v>
      </c>
      <c r="C107">
        <v>0.36379</v>
      </c>
      <c r="D107">
        <v>0.30519000000000002</v>
      </c>
      <c r="E107">
        <v>0.31230000000000002</v>
      </c>
      <c r="F107">
        <v>123069203.3</v>
      </c>
      <c r="G107">
        <v>0.31230000000000002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-0.75733788395904411</v>
      </c>
      <c r="Q107">
        <f t="shared" ref="Q107" si="511">F107*P107</f>
        <v>-93204970.007747412</v>
      </c>
      <c r="R107">
        <f t="shared" ref="R107" si="512">R108+Q107</f>
        <v>-668541780.73436785</v>
      </c>
      <c r="S107">
        <f t="shared" ref="S107" si="513">R107/100000</f>
        <v>-6685.4178073436788</v>
      </c>
      <c r="T107">
        <f t="shared" ref="T107" si="514">S107/1000</f>
        <v>-6.6854178073436792</v>
      </c>
    </row>
    <row r="108" spans="1:20" x14ac:dyDescent="0.25">
      <c r="A108" s="5">
        <v>44485</v>
      </c>
      <c r="B108">
        <v>0.30736999999999998</v>
      </c>
      <c r="C108">
        <v>0.32</v>
      </c>
      <c r="D108">
        <v>0.30499999999999999</v>
      </c>
      <c r="E108">
        <v>0.30958999999999998</v>
      </c>
      <c r="F108">
        <v>32451437.399999999</v>
      </c>
      <c r="G108">
        <v>0.30958999999999998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-0.38800000000000279</v>
      </c>
      <c r="Q108">
        <f t="shared" ref="Q108" si="516">F108*P108</f>
        <v>-12591157.71120009</v>
      </c>
      <c r="R108">
        <f t="shared" ref="R108" si="517">R109+Q108</f>
        <v>-575336810.72662044</v>
      </c>
      <c r="S108">
        <f t="shared" ref="S108" si="518">R108/100000</f>
        <v>-5753.3681072662048</v>
      </c>
      <c r="T108">
        <f t="shared" ref="T108" si="519">S108/1000</f>
        <v>-5.7533681072662048</v>
      </c>
    </row>
    <row r="109" spans="1:20" x14ac:dyDescent="0.25">
      <c r="A109" s="5">
        <v>44484</v>
      </c>
      <c r="B109">
        <v>0.31706000000000001</v>
      </c>
      <c r="C109">
        <v>0.32625999999999999</v>
      </c>
      <c r="D109">
        <v>0.3</v>
      </c>
      <c r="E109">
        <v>0.30732999999999999</v>
      </c>
      <c r="F109">
        <v>44274429.100000001</v>
      </c>
      <c r="G109">
        <v>0.30732999999999999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-0.44173648134044163</v>
      </c>
      <c r="Q109">
        <f t="shared" ref="Q109" si="521">F109*P109</f>
        <v>-19557630.523990858</v>
      </c>
      <c r="R109">
        <f t="shared" ref="R109" si="522">R110+Q109</f>
        <v>-562745653.01542032</v>
      </c>
      <c r="S109">
        <f t="shared" ref="S109" si="523">R109/100000</f>
        <v>-5627.4565301542034</v>
      </c>
      <c r="T109">
        <f t="shared" ref="T109" si="524">S109/1000</f>
        <v>-5.6274565301542037</v>
      </c>
    </row>
    <row r="110" spans="1:20" x14ac:dyDescent="0.25">
      <c r="A110" s="5">
        <v>44483</v>
      </c>
      <c r="B110">
        <v>0.30585000000000001</v>
      </c>
      <c r="C110">
        <v>0.33323000000000003</v>
      </c>
      <c r="D110">
        <v>0.30371999999999999</v>
      </c>
      <c r="E110">
        <v>0.31689000000000001</v>
      </c>
      <c r="F110">
        <v>49509174.899999999</v>
      </c>
      <c r="G110">
        <v>0.31689000000000001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-0.10742121314808548</v>
      </c>
      <c r="Q110">
        <f t="shared" ref="Q110" si="526">F110*P110</f>
        <v>-5318335.6297187433</v>
      </c>
      <c r="R110">
        <f t="shared" ref="R110" si="527">R111+Q110</f>
        <v>-543188022.49142945</v>
      </c>
      <c r="S110">
        <f t="shared" ref="S110" si="528">R110/100000</f>
        <v>-5431.8802249142946</v>
      </c>
      <c r="T110">
        <f t="shared" ref="T110" si="529">S110/1000</f>
        <v>-5.4318802249142948</v>
      </c>
    </row>
    <row r="111" spans="1:20" x14ac:dyDescent="0.25">
      <c r="A111" s="5">
        <v>44482</v>
      </c>
      <c r="B111">
        <v>0.30680000000000002</v>
      </c>
      <c r="C111">
        <v>0.31968999999999997</v>
      </c>
      <c r="D111">
        <v>0.29829</v>
      </c>
      <c r="E111">
        <v>0.30593999999999999</v>
      </c>
      <c r="F111">
        <v>37652690.100000001</v>
      </c>
      <c r="G111">
        <v>0.30593999999999999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-0.2850467289719627</v>
      </c>
      <c r="Q111">
        <f t="shared" ref="Q111" si="531">F111*P111</f>
        <v>-10732776.150000004</v>
      </c>
      <c r="R111">
        <f t="shared" ref="R111" si="532">R112+Q111</f>
        <v>-537869686.86171067</v>
      </c>
      <c r="S111">
        <f t="shared" ref="S111" si="533">R111/100000</f>
        <v>-5378.6968686171067</v>
      </c>
      <c r="T111">
        <f t="shared" ref="T111" si="534">S111/1000</f>
        <v>-5.3786968686171068</v>
      </c>
    </row>
    <row r="112" spans="1:20" x14ac:dyDescent="0.25">
      <c r="A112" s="5">
        <v>44481</v>
      </c>
      <c r="B112">
        <v>0.31564999999999999</v>
      </c>
      <c r="C112">
        <v>0.31564999999999999</v>
      </c>
      <c r="D112">
        <v>0.29408000000000001</v>
      </c>
      <c r="E112">
        <v>0.307</v>
      </c>
      <c r="F112">
        <v>31846654.699999999</v>
      </c>
      <c r="G112">
        <v>0.307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0.1979601298099212</v>
      </c>
      <c r="Q112">
        <f t="shared" ref="Q112" si="536">F112*P112</f>
        <v>6304367.8984237369</v>
      </c>
      <c r="R112">
        <f t="shared" ref="R112" si="537">R113+Q112</f>
        <v>-527136910.71171063</v>
      </c>
      <c r="S112">
        <f t="shared" ref="S112" si="538">R112/100000</f>
        <v>-5271.3691071171061</v>
      </c>
      <c r="T112">
        <f t="shared" ref="T112" si="539">S112/1000</f>
        <v>-5.2713691071171063</v>
      </c>
    </row>
    <row r="113" spans="1:20" x14ac:dyDescent="0.25">
      <c r="A113" s="5">
        <v>44480</v>
      </c>
      <c r="B113">
        <v>0.34799999999999998</v>
      </c>
      <c r="C113">
        <v>0.35349999999999998</v>
      </c>
      <c r="D113">
        <v>0.30465999999999999</v>
      </c>
      <c r="E113">
        <v>0.31568000000000002</v>
      </c>
      <c r="F113">
        <v>82033437.5</v>
      </c>
      <c r="G113">
        <v>0.31568000000000002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-0.5487305487305475</v>
      </c>
      <c r="Q113">
        <f t="shared" ref="Q113" si="541">F113*P113</f>
        <v>-45014253.173628069</v>
      </c>
      <c r="R113">
        <f t="shared" ref="R113" si="542">R114+Q113</f>
        <v>-533441278.61013436</v>
      </c>
      <c r="S113">
        <f t="shared" ref="S113" si="543">R113/100000</f>
        <v>-5334.412786101344</v>
      </c>
      <c r="T113">
        <f t="shared" ref="T113" si="544">S113/1000</f>
        <v>-5.3344127861013444</v>
      </c>
    </row>
    <row r="114" spans="1:20" x14ac:dyDescent="0.25">
      <c r="A114" s="5">
        <v>44479</v>
      </c>
      <c r="B114">
        <v>0.30301</v>
      </c>
      <c r="C114">
        <v>0.39800000000000002</v>
      </c>
      <c r="D114">
        <v>0.30049999999999999</v>
      </c>
      <c r="E114">
        <v>0.34800999999999999</v>
      </c>
      <c r="F114">
        <v>354480865.5</v>
      </c>
      <c r="G114">
        <v>0.34800999999999999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-2.5435897435897813E-2</v>
      </c>
      <c r="Q114">
        <f t="shared" ref="Q114" si="546">F114*P114</f>
        <v>-9016538.9378462881</v>
      </c>
      <c r="R114">
        <f t="shared" ref="R114" si="547">R115+Q114</f>
        <v>-488427025.43650627</v>
      </c>
      <c r="S114">
        <f t="shared" ref="S114" si="548">R114/100000</f>
        <v>-4884.270254365063</v>
      </c>
      <c r="T114">
        <f t="shared" ref="T114" si="549">S114/1000</f>
        <v>-4.8842702543650631</v>
      </c>
    </row>
    <row r="115" spans="1:20" x14ac:dyDescent="0.25">
      <c r="A115" s="5">
        <v>44478</v>
      </c>
      <c r="B115">
        <v>0.30074000000000001</v>
      </c>
      <c r="C115">
        <v>0.31989000000000001</v>
      </c>
      <c r="D115">
        <v>0.3</v>
      </c>
      <c r="E115">
        <v>0.30343999999999999</v>
      </c>
      <c r="F115">
        <v>47058112.700000003</v>
      </c>
      <c r="G115">
        <v>0.30343999999999999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-0.65409753645047808</v>
      </c>
      <c r="Q115">
        <f t="shared" ref="Q115" si="551">F115*P115</f>
        <v>-30780595.587078959</v>
      </c>
      <c r="R115">
        <f t="shared" ref="R115" si="552">R116+Q115</f>
        <v>-479410486.49865997</v>
      </c>
      <c r="S115">
        <f t="shared" ref="S115" si="553">R115/100000</f>
        <v>-4794.1048649865998</v>
      </c>
      <c r="T115">
        <f t="shared" ref="T115" si="554">S115/1000</f>
        <v>-4.7941048649865996</v>
      </c>
    </row>
    <row r="116" spans="1:20" x14ac:dyDescent="0.25">
      <c r="A116" s="5">
        <v>44477</v>
      </c>
      <c r="B116">
        <v>0.29949999999999999</v>
      </c>
      <c r="C116">
        <v>0.33500000000000002</v>
      </c>
      <c r="D116">
        <v>0.29664000000000001</v>
      </c>
      <c r="E116">
        <v>0.29998999999999998</v>
      </c>
      <c r="F116">
        <v>60565972.399999999</v>
      </c>
      <c r="G116">
        <v>0.29998999999999998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-0.82533889468196231</v>
      </c>
      <c r="Q116">
        <f t="shared" ref="Q116" si="556">F116*P116</f>
        <v>-49987452.715954237</v>
      </c>
      <c r="R116">
        <f t="shared" ref="R116" si="557">R117+Q116</f>
        <v>-448629890.91158098</v>
      </c>
      <c r="S116">
        <f t="shared" ref="S116" si="558">R116/100000</f>
        <v>-4486.2989091158097</v>
      </c>
      <c r="T116">
        <f t="shared" ref="T116" si="559">S116/1000</f>
        <v>-4.4862989091158099</v>
      </c>
    </row>
    <row r="117" spans="1:20" x14ac:dyDescent="0.25">
      <c r="A117" s="5">
        <v>44476</v>
      </c>
      <c r="B117">
        <v>0.31301000000000001</v>
      </c>
      <c r="C117">
        <v>0.32149</v>
      </c>
      <c r="D117">
        <v>0.29630000000000001</v>
      </c>
      <c r="E117">
        <v>0.29916999999999999</v>
      </c>
      <c r="F117">
        <v>44208987.299999997</v>
      </c>
      <c r="G117">
        <v>0.29916999999999999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-0.77213179833267287</v>
      </c>
      <c r="Q117">
        <f t="shared" ref="Q117" si="561">F117*P117</f>
        <v>-34135164.866415292</v>
      </c>
      <c r="R117">
        <f t="shared" ref="R117" si="562">R118+Q117</f>
        <v>-398642438.19562674</v>
      </c>
      <c r="S117">
        <f t="shared" ref="S117" si="563">R117/100000</f>
        <v>-3986.4243819562676</v>
      </c>
      <c r="T117">
        <f t="shared" ref="T117" si="564">S117/1000</f>
        <v>-3.9864243819562675</v>
      </c>
    </row>
    <row r="118" spans="1:20" x14ac:dyDescent="0.25">
      <c r="A118" s="5">
        <v>44475</v>
      </c>
      <c r="B118">
        <v>0.32316</v>
      </c>
      <c r="C118">
        <v>0.34410000000000002</v>
      </c>
      <c r="D118">
        <v>0.28072999999999998</v>
      </c>
      <c r="E118">
        <v>0.31301000000000001</v>
      </c>
      <c r="F118">
        <v>69158160.099999994</v>
      </c>
      <c r="G118">
        <v>0.31301000000000001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1.8778601862080222E-2</v>
      </c>
      <c r="Q118">
        <f t="shared" ref="Q118" si="566">F118*P118</f>
        <v>1298693.554031902</v>
      </c>
      <c r="R118">
        <f t="shared" ref="R118" si="567">R119+Q118</f>
        <v>-364507273.32921141</v>
      </c>
      <c r="S118">
        <f t="shared" ref="S118" si="568">R118/100000</f>
        <v>-3645.0727332921142</v>
      </c>
      <c r="T118">
        <f t="shared" ref="T118" si="569">S118/1000</f>
        <v>-3.645072733292114</v>
      </c>
    </row>
    <row r="119" spans="1:20" x14ac:dyDescent="0.25">
      <c r="A119" s="5">
        <v>44474</v>
      </c>
      <c r="B119">
        <v>0.33373000000000003</v>
      </c>
      <c r="C119">
        <v>0.34349000000000002</v>
      </c>
      <c r="D119">
        <v>0.3175</v>
      </c>
      <c r="E119">
        <v>0.32351999999999997</v>
      </c>
      <c r="F119">
        <v>38092659.799999997</v>
      </c>
      <c r="G119">
        <v>0.32351999999999997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-0.53674490188534307</v>
      </c>
      <c r="Q119">
        <f t="shared" ref="Q119" si="571">F119*P119</f>
        <v>-20446040.946902752</v>
      </c>
      <c r="R119">
        <f t="shared" ref="R119" si="572">R120+Q119</f>
        <v>-365805966.88324332</v>
      </c>
      <c r="S119">
        <f t="shared" ref="S119" si="573">R119/100000</f>
        <v>-3658.0596688324331</v>
      </c>
      <c r="T119">
        <f t="shared" ref="T119" si="574">S119/1000</f>
        <v>-3.6580596688324332</v>
      </c>
    </row>
    <row r="120" spans="1:20" x14ac:dyDescent="0.25">
      <c r="A120" s="5">
        <v>44473</v>
      </c>
      <c r="B120">
        <v>0.35624</v>
      </c>
      <c r="C120">
        <v>0.3629</v>
      </c>
      <c r="D120">
        <v>0.32726</v>
      </c>
      <c r="E120">
        <v>0.33416000000000001</v>
      </c>
      <c r="F120">
        <v>42777401.5</v>
      </c>
      <c r="G120">
        <v>0.33416000000000001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-0.61279461279461189</v>
      </c>
      <c r="Q120">
        <f t="shared" ref="Q120" si="576">F120*P120</f>
        <v>-26213761.188552149</v>
      </c>
      <c r="R120">
        <f t="shared" ref="R120" si="577">R121+Q120</f>
        <v>-345359925.93634057</v>
      </c>
      <c r="S120">
        <f t="shared" ref="S120" si="578">R120/100000</f>
        <v>-3453.5992593634055</v>
      </c>
      <c r="T120">
        <f t="shared" ref="T120" si="579">S120/1000</f>
        <v>-3.4535992593634055</v>
      </c>
    </row>
    <row r="121" spans="1:20" x14ac:dyDescent="0.25">
      <c r="A121" s="5">
        <v>44472</v>
      </c>
      <c r="B121">
        <v>0.36159999999999998</v>
      </c>
      <c r="C121">
        <v>0.36847999999999997</v>
      </c>
      <c r="D121">
        <v>0.34005000000000002</v>
      </c>
      <c r="E121">
        <v>0.35499999999999998</v>
      </c>
      <c r="F121">
        <v>41951506.799999997</v>
      </c>
      <c r="G121">
        <v>0.35499999999999998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5.1705944424902346E-2</v>
      </c>
      <c r="Q121">
        <f t="shared" ref="Q121" si="581">F121*P121</f>
        <v>2169142.2791417129</v>
      </c>
      <c r="R121">
        <f t="shared" ref="R121" si="582">R122+Q121</f>
        <v>-319146164.74778843</v>
      </c>
      <c r="S121">
        <f t="shared" ref="S121" si="583">R121/100000</f>
        <v>-3191.4616474778841</v>
      </c>
      <c r="T121">
        <f t="shared" ref="T121" si="584">S121/1000</f>
        <v>-3.1914616474778841</v>
      </c>
    </row>
    <row r="122" spans="1:20" x14ac:dyDescent="0.25">
      <c r="A122" s="5">
        <v>44471</v>
      </c>
      <c r="B122">
        <v>0.36292999999999997</v>
      </c>
      <c r="C122">
        <v>0.38122</v>
      </c>
      <c r="D122">
        <v>0.34717999999999999</v>
      </c>
      <c r="E122">
        <v>0.36159999999999998</v>
      </c>
      <c r="F122">
        <v>80185152.900000006</v>
      </c>
      <c r="G122">
        <v>0.36159999999999998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-0.15276145710928424</v>
      </c>
      <c r="Q122">
        <f t="shared" ref="Q122" si="586">F122*P122</f>
        <v>-12249200.79553475</v>
      </c>
      <c r="R122">
        <f t="shared" ref="R122" si="587">R123+Q122</f>
        <v>-321315307.02693015</v>
      </c>
      <c r="S122">
        <f t="shared" ref="S122" si="588">R122/100000</f>
        <v>-3213.1530702693017</v>
      </c>
      <c r="T122">
        <f t="shared" ref="T122" si="589">S122/1000</f>
        <v>-3.2131530702693016</v>
      </c>
    </row>
    <row r="123" spans="1:20" x14ac:dyDescent="0.25">
      <c r="A123" s="5">
        <v>44470</v>
      </c>
      <c r="B123">
        <v>0.31913999999999998</v>
      </c>
      <c r="C123">
        <v>0.40500000000000003</v>
      </c>
      <c r="D123">
        <v>0.31015999999999999</v>
      </c>
      <c r="E123">
        <v>0.36201</v>
      </c>
      <c r="F123">
        <v>152539849.30000001</v>
      </c>
      <c r="G123">
        <v>0.36201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9.3420497680303416E-2</v>
      </c>
      <c r="Q123">
        <f t="shared" ref="Q123" si="591">F123*P123</f>
        <v>14250348.637684483</v>
      </c>
      <c r="R123">
        <f t="shared" ref="R123" si="592">R124+Q123</f>
        <v>-309066106.23139542</v>
      </c>
      <c r="S123">
        <f t="shared" ref="S123" si="593">R123/100000</f>
        <v>-3090.6610623139541</v>
      </c>
      <c r="T123">
        <f t="shared" ref="T123" si="594">S123/1000</f>
        <v>-3.0906610623139539</v>
      </c>
    </row>
    <row r="124" spans="1:20" x14ac:dyDescent="0.25">
      <c r="A124" s="5">
        <v>44469</v>
      </c>
      <c r="B124">
        <v>0.30846000000000001</v>
      </c>
      <c r="C124">
        <v>0.33484999999999998</v>
      </c>
      <c r="D124">
        <v>0.30499999999999999</v>
      </c>
      <c r="E124">
        <v>0.31986999999999999</v>
      </c>
      <c r="F124">
        <v>40969398.399999999</v>
      </c>
      <c r="G124">
        <v>0.31986999999999999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-3.6850921273031503E-3</v>
      </c>
      <c r="Q124">
        <f t="shared" ref="Q124" si="596">F124*P124</f>
        <v>-150976.00750418627</v>
      </c>
      <c r="R124">
        <f t="shared" ref="R124" si="597">R125+Q124</f>
        <v>-323316454.86907989</v>
      </c>
      <c r="S124">
        <f t="shared" ref="S124" si="598">R124/100000</f>
        <v>-3233.1645486907987</v>
      </c>
      <c r="T124">
        <f t="shared" ref="T124" si="599">S124/1000</f>
        <v>-3.2331645486907985</v>
      </c>
    </row>
    <row r="125" spans="1:20" x14ac:dyDescent="0.25">
      <c r="A125" s="5">
        <v>44468</v>
      </c>
      <c r="B125">
        <v>0.32268000000000002</v>
      </c>
      <c r="C125">
        <v>0.35658000000000001</v>
      </c>
      <c r="D125">
        <v>0.30330000000000001</v>
      </c>
      <c r="E125">
        <v>0.30846000000000001</v>
      </c>
      <c r="F125">
        <v>70780041</v>
      </c>
      <c r="G125">
        <v>0.30846000000000001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-0.8063063063063064</v>
      </c>
      <c r="Q125">
        <f t="shared" ref="Q125" si="601">F125*P125</f>
        <v>-57070393.418918923</v>
      </c>
      <c r="R125">
        <f t="shared" ref="R125" si="602">R126+Q125</f>
        <v>-323165478.86157572</v>
      </c>
      <c r="S125">
        <f t="shared" ref="S125" si="603">R125/100000</f>
        <v>-3231.6547886157573</v>
      </c>
      <c r="T125">
        <f t="shared" ref="T125" si="604">S125/1000</f>
        <v>-3.2316547886157574</v>
      </c>
    </row>
    <row r="126" spans="1:20" x14ac:dyDescent="0.25">
      <c r="A126" s="5">
        <v>44467</v>
      </c>
      <c r="B126">
        <v>0.37389</v>
      </c>
      <c r="C126">
        <v>0.42949999999999999</v>
      </c>
      <c r="D126">
        <v>0.3135</v>
      </c>
      <c r="E126">
        <v>0.32217000000000001</v>
      </c>
      <c r="F126">
        <v>147556492.30000001</v>
      </c>
      <c r="G126">
        <v>0.32217000000000001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-0.85051724137931017</v>
      </c>
      <c r="Q126">
        <f t="shared" ref="Q126" si="606">F126*P126</f>
        <v>-125499340.77860343</v>
      </c>
      <c r="R126">
        <f t="shared" ref="R126" si="607">R127+Q126</f>
        <v>-266095085.44265682</v>
      </c>
      <c r="S126">
        <f t="shared" ref="S126" si="608">R126/100000</f>
        <v>-2660.9508544265682</v>
      </c>
      <c r="T126">
        <f t="shared" ref="T126" si="609">S126/1000</f>
        <v>-2.6609508544265683</v>
      </c>
    </row>
    <row r="127" spans="1:20" x14ac:dyDescent="0.25">
      <c r="A127" s="5">
        <v>44466</v>
      </c>
      <c r="B127">
        <v>0.26235000000000003</v>
      </c>
      <c r="C127">
        <v>0.44868000000000002</v>
      </c>
      <c r="D127">
        <v>0.25750000000000001</v>
      </c>
      <c r="E127">
        <v>0.37375999999999998</v>
      </c>
      <c r="F127">
        <v>469246338.60000002</v>
      </c>
      <c r="G127">
        <v>0.37375999999999998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0.21623600795062209</v>
      </c>
      <c r="Q127">
        <f t="shared" ref="Q127" si="611">F127*P127</f>
        <v>101467955.00430991</v>
      </c>
      <c r="R127">
        <f t="shared" ref="R127" si="612">R128+Q127</f>
        <v>-140595744.66405338</v>
      </c>
      <c r="S127">
        <f t="shared" ref="S127" si="613">R127/100000</f>
        <v>-1405.9574466405338</v>
      </c>
      <c r="T127">
        <f t="shared" ref="T127" si="614">S127/1000</f>
        <v>-1.4059574466405338</v>
      </c>
    </row>
    <row r="128" spans="1:20" x14ac:dyDescent="0.25">
      <c r="A128" s="5">
        <v>44465</v>
      </c>
      <c r="B128">
        <v>0.28586</v>
      </c>
      <c r="C128">
        <v>0.29898999999999998</v>
      </c>
      <c r="D128">
        <v>0.2382</v>
      </c>
      <c r="E128">
        <v>0.26234000000000002</v>
      </c>
      <c r="F128">
        <v>50293733</v>
      </c>
      <c r="G128">
        <v>0.26234000000000002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-0.2057904260569163</v>
      </c>
      <c r="Q128">
        <f t="shared" ref="Q128" si="616">F128*P128</f>
        <v>-10349968.742062792</v>
      </c>
      <c r="R128">
        <f t="shared" ref="R128" si="617">R129+Q128</f>
        <v>-242063699.66836327</v>
      </c>
      <c r="S128">
        <f t="shared" ref="S128" si="618">R128/100000</f>
        <v>-2420.6369966836328</v>
      </c>
      <c r="T128">
        <f t="shared" ref="T128" si="619">S128/1000</f>
        <v>-2.420636996683633</v>
      </c>
    </row>
    <row r="129" spans="1:20" x14ac:dyDescent="0.25">
      <c r="A129" s="5">
        <v>44464</v>
      </c>
      <c r="B129">
        <v>0.30286999999999997</v>
      </c>
      <c r="C129">
        <v>0.30990000000000001</v>
      </c>
      <c r="D129">
        <v>0.28328999999999999</v>
      </c>
      <c r="E129">
        <v>0.28586</v>
      </c>
      <c r="F129">
        <v>26169559.899999999</v>
      </c>
      <c r="G129">
        <v>0.28586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-0.80683953400976971</v>
      </c>
      <c r="Q129">
        <f t="shared" ref="Q129" si="621">F129*P129</f>
        <v>-21114635.514956754</v>
      </c>
      <c r="R129">
        <f t="shared" ref="R129" si="622">R130+Q129</f>
        <v>-231713730.9263005</v>
      </c>
      <c r="S129">
        <f t="shared" ref="S129" si="623">R129/100000</f>
        <v>-2317.1373092630051</v>
      </c>
      <c r="T129">
        <f t="shared" ref="T129" si="624">S129/1000</f>
        <v>-2.3171373092630052</v>
      </c>
    </row>
    <row r="130" spans="1:20" x14ac:dyDescent="0.25">
      <c r="A130" s="5">
        <v>44463</v>
      </c>
      <c r="B130">
        <v>0.35138999999999998</v>
      </c>
      <c r="C130">
        <v>0.35499999999999998</v>
      </c>
      <c r="D130">
        <v>0.28803000000000001</v>
      </c>
      <c r="E130">
        <v>0.30315999999999999</v>
      </c>
      <c r="F130">
        <v>36192892.200000003</v>
      </c>
      <c r="G130">
        <v>0.30315999999999999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-0.54815589069732773</v>
      </c>
      <c r="Q130">
        <f t="shared" ref="Q130" si="626">F130*P130</f>
        <v>-19839347.060803369</v>
      </c>
      <c r="R130">
        <f t="shared" ref="R130" si="627">R131+Q130</f>
        <v>-210599095.41134375</v>
      </c>
      <c r="S130">
        <f t="shared" ref="S130" si="628">R130/100000</f>
        <v>-2105.9909541134375</v>
      </c>
      <c r="T130">
        <f t="shared" ref="T130" si="629">S130/1000</f>
        <v>-2.1059909541134374</v>
      </c>
    </row>
    <row r="131" spans="1:20" x14ac:dyDescent="0.25">
      <c r="A131" s="5">
        <v>44462</v>
      </c>
      <c r="B131">
        <v>0.35350999999999999</v>
      </c>
      <c r="C131">
        <v>0.3725</v>
      </c>
      <c r="D131">
        <v>0.33</v>
      </c>
      <c r="E131">
        <v>0.35060000000000002</v>
      </c>
      <c r="F131">
        <v>34419249</v>
      </c>
      <c r="G131">
        <v>0.35060000000000002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-3.0588235294116903E-2</v>
      </c>
      <c r="Q131">
        <f t="shared" ref="Q131" si="631">F131*P131</f>
        <v>-1052824.0870587979</v>
      </c>
      <c r="R131">
        <f t="shared" ref="R131" si="632">R132+Q131</f>
        <v>-190759748.3505404</v>
      </c>
      <c r="S131">
        <f t="shared" ref="S131" si="633">R131/100000</f>
        <v>-1907.5974835054039</v>
      </c>
      <c r="T131">
        <f t="shared" ref="T131" si="634">S131/1000</f>
        <v>-1.9075974835054039</v>
      </c>
    </row>
    <row r="132" spans="1:20" x14ac:dyDescent="0.25">
      <c r="A132" s="5">
        <v>44461</v>
      </c>
      <c r="B132">
        <v>0.31997999999999999</v>
      </c>
      <c r="C132">
        <v>0.37</v>
      </c>
      <c r="D132">
        <v>0.31230999999999998</v>
      </c>
      <c r="E132">
        <v>0.35339999999999999</v>
      </c>
      <c r="F132">
        <v>47524028.100000001</v>
      </c>
      <c r="G132">
        <v>0.35339999999999999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0.42451031374588322</v>
      </c>
      <c r="Q132">
        <f t="shared" ref="Q132" si="636">F132*P132</f>
        <v>20174440.079199173</v>
      </c>
      <c r="R132">
        <f t="shared" ref="R132" si="637">R133+Q132</f>
        <v>-189706924.26348159</v>
      </c>
      <c r="S132">
        <f t="shared" ref="S132" si="638">R132/100000</f>
        <v>-1897.069242634816</v>
      </c>
      <c r="T132">
        <f t="shared" ref="T132" si="639">S132/1000</f>
        <v>-1.8970692426348159</v>
      </c>
    </row>
    <row r="133" spans="1:20" x14ac:dyDescent="0.25">
      <c r="A133" s="5">
        <v>44460</v>
      </c>
      <c r="B133">
        <v>0.34569</v>
      </c>
      <c r="C133">
        <v>0.38539000000000001</v>
      </c>
      <c r="D133">
        <v>0.31120999999999999</v>
      </c>
      <c r="E133">
        <v>0.31999</v>
      </c>
      <c r="F133">
        <v>56353555.700000003</v>
      </c>
      <c r="G133">
        <v>0.31999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-0.76327851172822847</v>
      </c>
      <c r="Q133">
        <f t="shared" ref="Q133" si="641">F133*P133</f>
        <v>-43013458.125289828</v>
      </c>
      <c r="R133">
        <f t="shared" ref="R133" si="642">R134+Q133</f>
        <v>-209881364.34268075</v>
      </c>
      <c r="S133">
        <f t="shared" ref="S133" si="643">R133/100000</f>
        <v>-2098.8136434268076</v>
      </c>
      <c r="T133">
        <f t="shared" ref="T133" si="644">S133/1000</f>
        <v>-2.0988136434268077</v>
      </c>
    </row>
    <row r="134" spans="1:20" x14ac:dyDescent="0.25">
      <c r="A134" s="5">
        <v>44459</v>
      </c>
      <c r="B134">
        <v>0.42680000000000001</v>
      </c>
      <c r="C134">
        <v>0.42747000000000002</v>
      </c>
      <c r="D134">
        <v>0.36413000000000001</v>
      </c>
      <c r="E134">
        <v>0.37229000000000001</v>
      </c>
      <c r="F134">
        <v>38074211.200000003</v>
      </c>
      <c r="G134">
        <v>0.37229000000000001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-0.74234291127249763</v>
      </c>
      <c r="Q134">
        <f t="shared" ref="Q134" si="646">F134*P134</f>
        <v>-28264120.786611937</v>
      </c>
      <c r="R134">
        <f t="shared" ref="R134" si="647">R135+Q134</f>
        <v>-166867906.21739092</v>
      </c>
      <c r="S134">
        <f t="shared" ref="S134" si="648">R134/100000</f>
        <v>-1668.6790621739092</v>
      </c>
      <c r="T134">
        <f t="shared" ref="T134" si="649">S134/1000</f>
        <v>-1.6686790621739092</v>
      </c>
    </row>
    <row r="135" spans="1:20" x14ac:dyDescent="0.25">
      <c r="A135" s="5">
        <v>44458</v>
      </c>
      <c r="B135">
        <v>0.45136999999999999</v>
      </c>
      <c r="C135">
        <v>0.46820000000000001</v>
      </c>
      <c r="D135">
        <v>0.42680000000000001</v>
      </c>
      <c r="E135">
        <v>0.42680000000000001</v>
      </c>
      <c r="F135">
        <v>43789477.700000003</v>
      </c>
      <c r="G135">
        <v>0.42680000000000001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-1</v>
      </c>
      <c r="Q135">
        <f t="shared" ref="Q135" si="651">F135*P135</f>
        <v>-43789477.700000003</v>
      </c>
      <c r="R135">
        <f t="shared" ref="R135" si="652">R136+Q135</f>
        <v>-138603785.43077898</v>
      </c>
      <c r="S135">
        <f t="shared" ref="S135" si="653">R135/100000</f>
        <v>-1386.0378543077898</v>
      </c>
      <c r="T135">
        <f t="shared" ref="T135" si="654">S135/1000</f>
        <v>-1.3860378543077898</v>
      </c>
    </row>
    <row r="136" spans="1:20" x14ac:dyDescent="0.25">
      <c r="A136" s="5">
        <v>44457</v>
      </c>
      <c r="B136">
        <v>0.44030999999999998</v>
      </c>
      <c r="C136">
        <v>0.52800000000000002</v>
      </c>
      <c r="D136">
        <v>0.42952000000000001</v>
      </c>
      <c r="E136">
        <v>0.45065</v>
      </c>
      <c r="F136">
        <v>161028693.40000001</v>
      </c>
      <c r="G136">
        <v>0.45065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-0.5708773354995943</v>
      </c>
      <c r="Q136">
        <f t="shared" ref="Q136" si="656">F136*P136</f>
        <v>-91927631.427173108</v>
      </c>
      <c r="R136">
        <f t="shared" ref="R136" si="657">R137+Q136</f>
        <v>-94814307.730778992</v>
      </c>
      <c r="S136">
        <f t="shared" ref="S136" si="658">R136/100000</f>
        <v>-948.14307730778989</v>
      </c>
      <c r="T136">
        <f t="shared" ref="T136" si="659">S136/1000</f>
        <v>-0.94814307730778991</v>
      </c>
    </row>
    <row r="137" spans="1:20" x14ac:dyDescent="0.25">
      <c r="A137" s="5">
        <v>44456</v>
      </c>
      <c r="B137">
        <v>0.49330000000000002</v>
      </c>
      <c r="C137">
        <v>0.49873000000000001</v>
      </c>
      <c r="D137">
        <v>0.41348000000000001</v>
      </c>
      <c r="E137">
        <v>0.43987999999999999</v>
      </c>
      <c r="F137">
        <v>91556303.700000003</v>
      </c>
      <c r="G137">
        <v>0.43987999999999999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-0.380645161290323</v>
      </c>
      <c r="Q137">
        <f t="shared" ref="Q137" si="661">F137*P137</f>
        <v>-34850463.989032298</v>
      </c>
      <c r="R137">
        <f t="shared" ref="R137" si="662">R138+Q137</f>
        <v>-2886676.3036058769</v>
      </c>
      <c r="S137">
        <f t="shared" ref="S137" si="663">R137/100000</f>
        <v>-28.866763036058767</v>
      </c>
      <c r="T137">
        <f t="shared" ref="T137" si="664">S137/1000</f>
        <v>-2.8866763036058767E-2</v>
      </c>
    </row>
    <row r="138" spans="1:20" x14ac:dyDescent="0.25">
      <c r="A138" s="5">
        <v>44455</v>
      </c>
      <c r="B138">
        <v>0.51690000000000003</v>
      </c>
      <c r="C138">
        <v>0.54</v>
      </c>
      <c r="D138">
        <v>0.46500000000000002</v>
      </c>
      <c r="E138">
        <v>0.49363000000000001</v>
      </c>
      <c r="F138">
        <v>105176753.8</v>
      </c>
      <c r="G138">
        <v>0.49363000000000001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-0.23653333333333373</v>
      </c>
      <c r="Q138">
        <f t="shared" ref="Q138" si="666">F138*P138</f>
        <v>-24877808.165493377</v>
      </c>
      <c r="R138">
        <f t="shared" ref="R138" si="667">R139+Q138</f>
        <v>31963787.685426421</v>
      </c>
      <c r="S138">
        <f t="shared" ref="S138" si="668">R138/100000</f>
        <v>319.63787685426422</v>
      </c>
      <c r="T138">
        <f t="shared" ref="T138" si="669">S138/1000</f>
        <v>0.3196378768542642</v>
      </c>
    </row>
    <row r="139" spans="1:20" x14ac:dyDescent="0.25">
      <c r="A139" s="5">
        <v>44454</v>
      </c>
      <c r="B139">
        <v>0.54257</v>
      </c>
      <c r="C139">
        <v>0.58899999999999997</v>
      </c>
      <c r="D139">
        <v>0.50766</v>
      </c>
      <c r="E139">
        <v>0.51690000000000003</v>
      </c>
      <c r="F139">
        <v>77669867.400000006</v>
      </c>
      <c r="G139">
        <v>0.51690000000000003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-0.77280550774526602</v>
      </c>
      <c r="Q139">
        <f t="shared" ref="Q139" si="671">F139*P139</f>
        <v>-60023701.312564492</v>
      </c>
      <c r="R139">
        <f t="shared" ref="R139" si="672">R140+Q139</f>
        <v>56841595.850919798</v>
      </c>
      <c r="S139">
        <f t="shared" ref="S139" si="673">R139/100000</f>
        <v>568.41595850919794</v>
      </c>
      <c r="T139">
        <f t="shared" ref="T139" si="674">S139/1000</f>
        <v>0.56841595850919791</v>
      </c>
    </row>
    <row r="140" spans="1:20" x14ac:dyDescent="0.25">
      <c r="A140" s="5">
        <v>44453</v>
      </c>
      <c r="B140">
        <v>0.48726000000000003</v>
      </c>
      <c r="C140">
        <v>0.65</v>
      </c>
      <c r="D140">
        <v>0.47727999999999998</v>
      </c>
      <c r="E140">
        <v>0.54064000000000001</v>
      </c>
      <c r="F140">
        <v>180826580.80000001</v>
      </c>
      <c r="G140">
        <v>0.54064000000000001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-0.26632700324224162</v>
      </c>
      <c r="Q140">
        <f t="shared" ref="Q140" si="676">F140*P140</f>
        <v>-48159001.371005073</v>
      </c>
      <c r="R140">
        <f t="shared" ref="R140" si="677">R141+Q140</f>
        <v>116865297.16348429</v>
      </c>
      <c r="S140">
        <f t="shared" ref="S140" si="678">R140/100000</f>
        <v>1168.652971634843</v>
      </c>
      <c r="T140">
        <f t="shared" ref="T140" si="679">S140/1000</f>
        <v>1.1686529716348431</v>
      </c>
    </row>
    <row r="141" spans="1:20" x14ac:dyDescent="0.25">
      <c r="A141" s="5">
        <v>44452</v>
      </c>
      <c r="B141">
        <v>0.56167</v>
      </c>
      <c r="C141">
        <v>0.59192999999999996</v>
      </c>
      <c r="D141">
        <v>0.46322999999999998</v>
      </c>
      <c r="E141">
        <v>0.48829</v>
      </c>
      <c r="F141">
        <v>109819851.8</v>
      </c>
      <c r="G141">
        <v>0.48829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-0.61056721056721008</v>
      </c>
      <c r="Q141">
        <f t="shared" ref="Q141" si="681">F141*P141</f>
        <v>-67052400.578430407</v>
      </c>
      <c r="R141">
        <f t="shared" ref="R141" si="682">R142+Q141</f>
        <v>165024298.53448936</v>
      </c>
      <c r="S141">
        <f t="shared" ref="S141" si="683">R141/100000</f>
        <v>1650.2429853448937</v>
      </c>
      <c r="T141">
        <f t="shared" ref="T141" si="684">S141/1000</f>
        <v>1.6502429853448937</v>
      </c>
    </row>
    <row r="142" spans="1:20" x14ac:dyDescent="0.25">
      <c r="A142" s="5">
        <v>44451</v>
      </c>
      <c r="B142">
        <v>0.68796000000000002</v>
      </c>
      <c r="C142">
        <v>0.73258999999999996</v>
      </c>
      <c r="D142">
        <v>0.54468000000000005</v>
      </c>
      <c r="E142">
        <v>0.56164000000000003</v>
      </c>
      <c r="F142">
        <v>241802963.59999999</v>
      </c>
      <c r="G142">
        <v>0.56164000000000003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-0.81948805279123005</v>
      </c>
      <c r="Q142">
        <f t="shared" ref="Q142" si="686">F142*P142</f>
        <v>-198154639.79971269</v>
      </c>
      <c r="R142">
        <f t="shared" ref="R142" si="687">R143+Q142</f>
        <v>232076699.11291978</v>
      </c>
      <c r="S142">
        <f t="shared" ref="S142" si="688">R142/100000</f>
        <v>2320.7669911291978</v>
      </c>
      <c r="T142">
        <f t="shared" ref="T142" si="689">S142/1000</f>
        <v>2.3207669911291977</v>
      </c>
    </row>
    <row r="143" spans="1:20" x14ac:dyDescent="0.25">
      <c r="A143" s="5">
        <v>44450</v>
      </c>
      <c r="B143">
        <v>0.40128000000000003</v>
      </c>
      <c r="C143">
        <v>0.74555000000000005</v>
      </c>
      <c r="D143">
        <v>0.40128000000000003</v>
      </c>
      <c r="E143">
        <v>0.68764999999999998</v>
      </c>
      <c r="F143">
        <v>400491842.19999999</v>
      </c>
      <c r="G143">
        <v>0.68764999999999998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0.66363609957300917</v>
      </c>
      <c r="Q143">
        <f t="shared" ref="Q143" si="691">F143*P143</f>
        <v>265780844.06841707</v>
      </c>
      <c r="R143">
        <f t="shared" ref="R143" si="692">R144+Q143</f>
        <v>430231338.91263247</v>
      </c>
      <c r="S143">
        <f t="shared" ref="S143" si="693">R143/100000</f>
        <v>4302.3133891263251</v>
      </c>
      <c r="T143">
        <f t="shared" ref="T143" si="694">S143/1000</f>
        <v>4.3023133891263248</v>
      </c>
    </row>
    <row r="144" spans="1:20" x14ac:dyDescent="0.25">
      <c r="A144" s="5">
        <v>44449</v>
      </c>
      <c r="B144">
        <v>0.49747999999999998</v>
      </c>
      <c r="C144">
        <v>0.54</v>
      </c>
      <c r="D144">
        <v>0.375</v>
      </c>
      <c r="E144">
        <v>0.39993000000000001</v>
      </c>
      <c r="F144">
        <v>70832717.5</v>
      </c>
      <c r="G144">
        <v>0.39993000000000001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-0.69781818181818178</v>
      </c>
      <c r="Q144">
        <f t="shared" ref="Q144" si="696">F144*P144</f>
        <v>-49428358.139090903</v>
      </c>
      <c r="R144">
        <f t="shared" ref="R144" si="697">R145+Q144</f>
        <v>164450494.84421539</v>
      </c>
      <c r="S144">
        <f t="shared" ref="S144" si="698">R144/100000</f>
        <v>1644.5049484421538</v>
      </c>
      <c r="T144">
        <f t="shared" ref="T144" si="699">S144/1000</f>
        <v>1.6445049484421539</v>
      </c>
    </row>
    <row r="145" spans="1:20" x14ac:dyDescent="0.25">
      <c r="A145" s="5">
        <v>44448</v>
      </c>
      <c r="B145">
        <v>0.52710999999999997</v>
      </c>
      <c r="C145">
        <v>1.69</v>
      </c>
      <c r="D145">
        <v>0.46002999999999999</v>
      </c>
      <c r="E145">
        <v>0.49865999999999999</v>
      </c>
      <c r="F145">
        <v>57336267.600000001</v>
      </c>
      <c r="G145">
        <v>0.49865999999999999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-0.93718545980796275</v>
      </c>
      <c r="Q145">
        <f t="shared" ref="Q145" si="701">F145*P145</f>
        <v>-53734716.314378396</v>
      </c>
      <c r="R145">
        <f t="shared" ref="R145" si="702">R146+Q145</f>
        <v>213878852.98330629</v>
      </c>
      <c r="S145">
        <f t="shared" ref="S145" si="703">R145/100000</f>
        <v>2138.788529833063</v>
      </c>
      <c r="T145">
        <f t="shared" ref="T145" si="704">S145/1000</f>
        <v>2.1387885298330631</v>
      </c>
    </row>
    <row r="146" spans="1:20" x14ac:dyDescent="0.25">
      <c r="A146" s="5">
        <v>44447</v>
      </c>
      <c r="B146">
        <v>0.60411000000000004</v>
      </c>
      <c r="C146">
        <v>0.98</v>
      </c>
      <c r="D146">
        <v>0.5262</v>
      </c>
      <c r="E146">
        <v>0.56296000000000002</v>
      </c>
      <c r="F146">
        <v>1583079318.3</v>
      </c>
      <c r="G146">
        <v>0.56296000000000002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-0.83799030409872188</v>
      </c>
      <c r="Q146">
        <f t="shared" ref="Q146" si="706">F146*P146</f>
        <v>-1326605119.3546143</v>
      </c>
      <c r="R146">
        <f t="shared" ref="R146" si="707">R147+Q146</f>
        <v>267613569.29768467</v>
      </c>
      <c r="S146">
        <f t="shared" ref="S146" si="708">R146/100000</f>
        <v>2676.1356929768467</v>
      </c>
      <c r="T146">
        <f t="shared" ref="T146" si="709">S146/1000</f>
        <v>2.6761356929768465</v>
      </c>
    </row>
    <row r="147" spans="1:20" x14ac:dyDescent="0.25">
      <c r="A147" s="5">
        <v>44446</v>
      </c>
      <c r="B147">
        <v>0.29852000000000001</v>
      </c>
      <c r="C147">
        <v>0.76</v>
      </c>
      <c r="D147">
        <v>0.28599999999999998</v>
      </c>
      <c r="E147">
        <v>0.60392000000000001</v>
      </c>
      <c r="F147">
        <v>2524421256.3000002</v>
      </c>
      <c r="G147">
        <v>0.60392000000000001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0.34143459915611818</v>
      </c>
      <c r="Q147">
        <f t="shared" ref="Q147" si="711">F147*P147</f>
        <v>861924759.7459749</v>
      </c>
      <c r="R147">
        <f t="shared" ref="R147" si="712">R148+Q147</f>
        <v>1594218688.6522989</v>
      </c>
      <c r="S147">
        <f t="shared" ref="S147" si="713">R147/100000</f>
        <v>15942.18688652299</v>
      </c>
      <c r="T147">
        <f t="shared" ref="T147" si="714">S147/1000</f>
        <v>15.94218688652299</v>
      </c>
    </row>
    <row r="148" spans="1:20" x14ac:dyDescent="0.25">
      <c r="A148" s="5">
        <v>44445</v>
      </c>
      <c r="B148">
        <v>0.13188</v>
      </c>
      <c r="C148">
        <v>0.40772999999999998</v>
      </c>
      <c r="D148">
        <v>0.11144</v>
      </c>
      <c r="E148">
        <v>0.29858000000000001</v>
      </c>
      <c r="F148">
        <v>3225028868.5</v>
      </c>
      <c r="G148">
        <v>0.29858000000000001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0.26322184346417382</v>
      </c>
      <c r="Q148">
        <f t="shared" ref="Q148" si="716">F148*P148</f>
        <v>848898043.99174857</v>
      </c>
      <c r="R148">
        <f t="shared" ref="R148" si="717">R149+Q148</f>
        <v>732293928.90632415</v>
      </c>
      <c r="S148">
        <f t="shared" ref="S148" si="718">R148/100000</f>
        <v>7322.9392890632416</v>
      </c>
      <c r="T148">
        <f t="shared" ref="T148" si="719">S148/1000</f>
        <v>7.3229392890632417</v>
      </c>
    </row>
    <row r="149" spans="1:20" x14ac:dyDescent="0.25">
      <c r="A149" s="5">
        <v>44444</v>
      </c>
      <c r="B149">
        <v>6.5310000000000007E-2</v>
      </c>
      <c r="C149">
        <v>0.16352</v>
      </c>
      <c r="D149">
        <v>6.4799999999999996E-2</v>
      </c>
      <c r="E149">
        <v>0.13194</v>
      </c>
      <c r="F149">
        <v>1672603831.0999999</v>
      </c>
      <c r="G149">
        <v>0.13194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0.36021069692058355</v>
      </c>
      <c r="Q149">
        <f t="shared" ref="Q149" si="721">F149*P149</f>
        <v>602489791.67256904</v>
      </c>
      <c r="R149">
        <f t="shared" ref="R149" si="722">R150+Q149</f>
        <v>-116604115.08542442</v>
      </c>
      <c r="S149">
        <f t="shared" ref="S149" si="723">R149/100000</f>
        <v>-1166.0411508542443</v>
      </c>
      <c r="T149">
        <f t="shared" ref="T149" si="724">S149/1000</f>
        <v>-1.1660411508542443</v>
      </c>
    </row>
    <row r="150" spans="1:20" x14ac:dyDescent="0.25">
      <c r="A150" s="5">
        <v>44443</v>
      </c>
      <c r="B150">
        <v>6.3560000000000005E-2</v>
      </c>
      <c r="C150">
        <v>6.5960000000000005E-2</v>
      </c>
      <c r="D150">
        <v>6.336E-2</v>
      </c>
      <c r="E150">
        <v>6.5310000000000007E-2</v>
      </c>
      <c r="F150">
        <v>3898072.3</v>
      </c>
      <c r="G150">
        <v>6.5310000000000007E-2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0.50000000000000266</v>
      </c>
      <c r="Q150">
        <f t="shared" ref="Q150" si="726">F150*P150</f>
        <v>1949036.1500000104</v>
      </c>
      <c r="R150">
        <f t="shared" ref="R150" si="727">R151+Q150</f>
        <v>-719093906.75799346</v>
      </c>
      <c r="S150">
        <f t="shared" ref="S150" si="728">R150/100000</f>
        <v>-7190.939067579935</v>
      </c>
      <c r="T150">
        <f t="shared" ref="T150" si="729">S150/1000</f>
        <v>-7.1909390675799347</v>
      </c>
    </row>
    <row r="151" spans="1:20" x14ac:dyDescent="0.25">
      <c r="A151" s="5">
        <v>44442</v>
      </c>
      <c r="B151">
        <v>6.3810000000000006E-2</v>
      </c>
      <c r="C151">
        <v>6.4899999999999999E-2</v>
      </c>
      <c r="D151">
        <v>6.2640000000000001E-2</v>
      </c>
      <c r="E151">
        <v>6.3549999999999995E-2</v>
      </c>
      <c r="F151">
        <v>3694666.2</v>
      </c>
      <c r="G151">
        <v>6.3549999999999995E-2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-0.19469026548673019</v>
      </c>
      <c r="Q151">
        <f t="shared" ref="Q151" si="731">F151*P151</f>
        <v>-719315.54336284858</v>
      </c>
      <c r="R151">
        <f t="shared" ref="R151" si="732">R152+Q151</f>
        <v>-721042942.90799344</v>
      </c>
      <c r="S151">
        <f t="shared" ref="S151" si="733">R151/100000</f>
        <v>-7210.4294290799344</v>
      </c>
      <c r="T151">
        <f t="shared" ref="T151" si="734">S151/1000</f>
        <v>-7.2104294290799347</v>
      </c>
    </row>
    <row r="152" spans="1:20" x14ac:dyDescent="0.25">
      <c r="A152" s="5">
        <v>44441</v>
      </c>
      <c r="B152">
        <v>6.3619999999999996E-2</v>
      </c>
      <c r="C152">
        <v>6.5689999999999998E-2</v>
      </c>
      <c r="D152">
        <v>6.2100000000000002E-2</v>
      </c>
      <c r="E152">
        <v>6.3810000000000006E-2</v>
      </c>
      <c r="F152">
        <v>4248237.3</v>
      </c>
      <c r="G152">
        <v>6.3810000000000006E-2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-4.7353760445679606E-2</v>
      </c>
      <c r="Q152">
        <f t="shared" ref="Q152" si="736">F152*P152</f>
        <v>-201170.01142060073</v>
      </c>
      <c r="R152">
        <f t="shared" ref="R152" si="737">R153+Q152</f>
        <v>-720323627.36463058</v>
      </c>
      <c r="S152">
        <f t="shared" ref="S152" si="738">R152/100000</f>
        <v>-7203.2362736463056</v>
      </c>
      <c r="T152">
        <f t="shared" ref="T152" si="739">S152/1000</f>
        <v>-7.2032362736463051</v>
      </c>
    </row>
    <row r="153" spans="1:20" x14ac:dyDescent="0.25">
      <c r="A153" s="5">
        <v>44440</v>
      </c>
      <c r="B153">
        <v>6.1210000000000001E-2</v>
      </c>
      <c r="C153">
        <v>6.4000000000000001E-2</v>
      </c>
      <c r="D153">
        <v>5.9549999999999999E-2</v>
      </c>
      <c r="E153">
        <v>6.3880000000000006E-2</v>
      </c>
      <c r="F153">
        <v>5967336.4000000004</v>
      </c>
      <c r="G153">
        <v>6.3880000000000006E-2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0.94606741573033926</v>
      </c>
      <c r="Q153">
        <f t="shared" ref="Q153" si="741">F153*P153</f>
        <v>5645502.5267415866</v>
      </c>
      <c r="R153">
        <f t="shared" ref="R153" si="742">R154+Q153</f>
        <v>-720122457.35320997</v>
      </c>
      <c r="S153">
        <f t="shared" ref="S153" si="743">R153/100000</f>
        <v>-7201.2245735320994</v>
      </c>
      <c r="T153">
        <f t="shared" ref="T153" si="744">S153/1000</f>
        <v>-7.201224573532099</v>
      </c>
    </row>
    <row r="154" spans="1:20" x14ac:dyDescent="0.25">
      <c r="A154" s="5">
        <v>44439</v>
      </c>
      <c r="B154">
        <v>6.2149999999999997E-2</v>
      </c>
      <c r="C154">
        <v>6.4350000000000004E-2</v>
      </c>
      <c r="D154">
        <v>6.0069999999999998E-2</v>
      </c>
      <c r="E154">
        <v>6.1609999999999998E-2</v>
      </c>
      <c r="F154">
        <v>5529683.5</v>
      </c>
      <c r="G154">
        <v>6.1609999999999998E-2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-0.28037383177570208</v>
      </c>
      <c r="Q154">
        <f t="shared" ref="Q154" si="746">F154*P154</f>
        <v>-1550378.5514018754</v>
      </c>
      <c r="R154">
        <f t="shared" ref="R154" si="747">R155+Q154</f>
        <v>-725767959.8799516</v>
      </c>
      <c r="S154">
        <f t="shared" ref="S154" si="748">R154/100000</f>
        <v>-7257.6795987995156</v>
      </c>
      <c r="T154">
        <f t="shared" ref="T154" si="749">S154/1000</f>
        <v>-7.2576795987995153</v>
      </c>
    </row>
    <row r="155" spans="1:20" x14ac:dyDescent="0.25">
      <c r="A155" s="5">
        <v>44438</v>
      </c>
      <c r="B155">
        <v>6.5129999999999993E-2</v>
      </c>
      <c r="C155">
        <v>6.6619999999999999E-2</v>
      </c>
      <c r="D155">
        <v>6.0999999999999999E-2</v>
      </c>
      <c r="E155">
        <v>6.173E-2</v>
      </c>
      <c r="F155">
        <v>5684879</v>
      </c>
      <c r="G155">
        <v>6.173E-2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-0.7402135231316721</v>
      </c>
      <c r="Q155">
        <f t="shared" ref="Q155" si="751">F155*P155</f>
        <v>-4208024.3131672572</v>
      </c>
      <c r="R155">
        <f t="shared" ref="R155" si="752">R156+Q155</f>
        <v>-724217581.32854974</v>
      </c>
      <c r="S155">
        <f t="shared" ref="S155" si="753">R155/100000</f>
        <v>-7242.1758132854975</v>
      </c>
      <c r="T155">
        <f t="shared" ref="T155" si="754">S155/1000</f>
        <v>-7.2421758132854972</v>
      </c>
    </row>
    <row r="156" spans="1:20" x14ac:dyDescent="0.25">
      <c r="A156" s="5">
        <v>44437</v>
      </c>
      <c r="B156">
        <v>6.5030000000000004E-2</v>
      </c>
      <c r="C156">
        <v>6.6220000000000001E-2</v>
      </c>
      <c r="D156">
        <v>6.3630000000000006E-2</v>
      </c>
      <c r="E156">
        <v>6.4909999999999995E-2</v>
      </c>
      <c r="F156">
        <v>2183932.5</v>
      </c>
      <c r="G156">
        <v>6.4909999999999995E-2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-1.1583011583017831E-2</v>
      </c>
      <c r="Q156">
        <f t="shared" ref="Q156" si="756">F156*P156</f>
        <v>-25296.51544402909</v>
      </c>
      <c r="R156">
        <f t="shared" ref="R156" si="757">R157+Q156</f>
        <v>-720009557.01538253</v>
      </c>
      <c r="S156">
        <f t="shared" ref="S156" si="758">R156/100000</f>
        <v>-7200.0955701538251</v>
      </c>
      <c r="T156">
        <f t="shared" ref="T156" si="759">S156/1000</f>
        <v>-7.2000955701538247</v>
      </c>
    </row>
    <row r="157" spans="1:20" x14ac:dyDescent="0.25">
      <c r="A157" s="5">
        <v>44436</v>
      </c>
      <c r="B157">
        <v>6.6430000000000003E-2</v>
      </c>
      <c r="C157">
        <v>6.7290000000000003E-2</v>
      </c>
      <c r="D157">
        <v>6.4240000000000005E-2</v>
      </c>
      <c r="E157">
        <v>6.4619999999999997E-2</v>
      </c>
      <c r="F157">
        <v>3122322.9</v>
      </c>
      <c r="G157">
        <v>6.4619999999999997E-2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-0.75081967213115286</v>
      </c>
      <c r="Q157">
        <f t="shared" ref="Q157" si="761">F157*P157</f>
        <v>-2344301.4560655905</v>
      </c>
      <c r="R157">
        <f t="shared" ref="R157" si="762">R158+Q157</f>
        <v>-719984260.49993849</v>
      </c>
      <c r="S157">
        <f t="shared" ref="S157" si="763">R157/100000</f>
        <v>-7199.842604999385</v>
      </c>
      <c r="T157">
        <f t="shared" ref="T157" si="764">S157/1000</f>
        <v>-7.1998426049993851</v>
      </c>
    </row>
    <row r="158" spans="1:20" x14ac:dyDescent="0.25">
      <c r="A158" s="5">
        <v>44435</v>
      </c>
      <c r="B158">
        <v>6.2539999999999998E-2</v>
      </c>
      <c r="C158">
        <v>6.6839999999999997E-2</v>
      </c>
      <c r="D158">
        <v>5.9549999999999999E-2</v>
      </c>
      <c r="E158">
        <v>6.6699999999999995E-2</v>
      </c>
      <c r="F158">
        <v>4975338.5</v>
      </c>
      <c r="G158">
        <v>6.6699999999999995E-2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0.96159122085047977</v>
      </c>
      <c r="Q158">
        <f t="shared" ref="Q158" si="766">F158*P158</f>
        <v>4784241.8223593943</v>
      </c>
      <c r="R158">
        <f t="shared" ref="R158" si="767">R159+Q158</f>
        <v>-717639959.04387295</v>
      </c>
      <c r="S158">
        <f t="shared" ref="S158" si="768">R158/100000</f>
        <v>-7176.3995904387293</v>
      </c>
      <c r="T158">
        <f t="shared" ref="T158" si="769">S158/1000</f>
        <v>-7.176399590438729</v>
      </c>
    </row>
    <row r="159" spans="1:20" x14ac:dyDescent="0.25">
      <c r="A159" s="5">
        <v>44434</v>
      </c>
      <c r="B159">
        <v>6.4189999999999997E-2</v>
      </c>
      <c r="C159">
        <v>6.4750000000000002E-2</v>
      </c>
      <c r="D159">
        <v>0.06</v>
      </c>
      <c r="E159">
        <v>6.2080000000000003E-2</v>
      </c>
      <c r="F159">
        <v>6417100</v>
      </c>
      <c r="G159">
        <v>6.2080000000000003E-2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-0.12421052631578795</v>
      </c>
      <c r="Q159">
        <f t="shared" ref="Q159" si="771">F159*P159</f>
        <v>-797071.36842104292</v>
      </c>
      <c r="R159">
        <f t="shared" ref="R159" si="772">R160+Q159</f>
        <v>-722424200.8662324</v>
      </c>
      <c r="S159">
        <f t="shared" ref="S159" si="773">R159/100000</f>
        <v>-7224.2420086623242</v>
      </c>
      <c r="T159">
        <f t="shared" ref="T159" si="774">S159/1000</f>
        <v>-7.2242420086623245</v>
      </c>
    </row>
    <row r="160" spans="1:20" x14ac:dyDescent="0.25">
      <c r="A160" s="5">
        <v>44433</v>
      </c>
      <c r="B160">
        <v>6.2460000000000002E-2</v>
      </c>
      <c r="C160">
        <v>6.5110000000000001E-2</v>
      </c>
      <c r="D160">
        <v>5.935E-2</v>
      </c>
      <c r="E160">
        <v>6.4199999999999993E-2</v>
      </c>
      <c r="F160">
        <v>7071537.9000000004</v>
      </c>
      <c r="G160">
        <v>6.4199999999999993E-2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0.68402777777777501</v>
      </c>
      <c r="Q160">
        <f t="shared" ref="Q160" si="776">F160*P160</f>
        <v>4837128.355208314</v>
      </c>
      <c r="R160">
        <f t="shared" ref="R160" si="777">R161+Q160</f>
        <v>-721627129.49781132</v>
      </c>
      <c r="S160">
        <f t="shared" ref="S160" si="778">R160/100000</f>
        <v>-7216.2712949781135</v>
      </c>
      <c r="T160">
        <f t="shared" ref="T160" si="779">S160/1000</f>
        <v>-7.2162712949781138</v>
      </c>
    </row>
    <row r="161" spans="1:20" x14ac:dyDescent="0.25">
      <c r="A161" s="5">
        <v>44432</v>
      </c>
      <c r="B161">
        <v>6.7299999999999999E-2</v>
      </c>
      <c r="C161">
        <v>6.8000000000000005E-2</v>
      </c>
      <c r="D161">
        <v>6.2170000000000003E-2</v>
      </c>
      <c r="E161">
        <v>6.2420000000000003E-2</v>
      </c>
      <c r="F161">
        <v>7107282.9000000004</v>
      </c>
      <c r="G161">
        <v>6.2420000000000003E-2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-0.91423670668953683</v>
      </c>
      <c r="Q161">
        <f t="shared" ref="Q161" si="781">F161*P161</f>
        <v>-6497738.9120068606</v>
      </c>
      <c r="R161">
        <f t="shared" ref="R161" si="782">R162+Q161</f>
        <v>-726464257.8530196</v>
      </c>
      <c r="S161">
        <f t="shared" ref="S161" si="783">R161/100000</f>
        <v>-7264.6425785301963</v>
      </c>
      <c r="T161">
        <f t="shared" ref="T161" si="784">S161/1000</f>
        <v>-7.2646425785301965</v>
      </c>
    </row>
    <row r="162" spans="1:20" x14ac:dyDescent="0.25">
      <c r="A162" s="5">
        <v>44431</v>
      </c>
      <c r="B162">
        <v>6.8510000000000001E-2</v>
      </c>
      <c r="C162">
        <v>7.2010000000000005E-2</v>
      </c>
      <c r="D162">
        <v>6.6600000000000006E-2</v>
      </c>
      <c r="E162">
        <v>6.7449999999999996E-2</v>
      </c>
      <c r="F162">
        <v>16895660</v>
      </c>
      <c r="G162">
        <v>6.7449999999999996E-2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-0.68576709796673196</v>
      </c>
      <c r="Q162">
        <f t="shared" ref="Q162" si="786">F162*P162</f>
        <v>-11586487.726432595</v>
      </c>
      <c r="R162">
        <f t="shared" ref="R162" si="787">R163+Q162</f>
        <v>-719966518.94101274</v>
      </c>
      <c r="S162">
        <f t="shared" ref="S162" si="788">R162/100000</f>
        <v>-7199.6651894101278</v>
      </c>
      <c r="T162">
        <f t="shared" ref="T162" si="789">S162/1000</f>
        <v>-7.199665189410128</v>
      </c>
    </row>
    <row r="163" spans="1:20" x14ac:dyDescent="0.25">
      <c r="A163" s="5">
        <v>44430</v>
      </c>
      <c r="B163">
        <v>6.3130000000000006E-2</v>
      </c>
      <c r="C163">
        <v>6.4430000000000001E-2</v>
      </c>
      <c r="D163">
        <v>6.3E-2</v>
      </c>
      <c r="E163">
        <v>6.4000000000000001E-2</v>
      </c>
      <c r="F163">
        <v>626189.6</v>
      </c>
      <c r="G163">
        <v>6.4000000000000001E-2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0.39860139860139915</v>
      </c>
      <c r="Q163">
        <f t="shared" ref="Q163" si="791">F163*P163</f>
        <v>249600.05034965067</v>
      </c>
      <c r="R163">
        <f t="shared" ref="R163" si="792">R164+Q163</f>
        <v>-708380031.21458018</v>
      </c>
      <c r="S163">
        <f t="shared" ref="S163" si="793">R163/100000</f>
        <v>-7083.8003121458014</v>
      </c>
      <c r="T163">
        <f t="shared" ref="T163" si="794">S163/1000</f>
        <v>-7.0838003121458017</v>
      </c>
    </row>
    <row r="164" spans="1:20" x14ac:dyDescent="0.25">
      <c r="A164" s="5">
        <v>44429</v>
      </c>
      <c r="B164">
        <v>6.6159999999999997E-2</v>
      </c>
      <c r="C164">
        <v>6.6799999999999998E-2</v>
      </c>
      <c r="D164">
        <v>6.2630000000000005E-2</v>
      </c>
      <c r="E164">
        <v>6.3259999999999997E-2</v>
      </c>
      <c r="F164">
        <v>7762247.9000000004</v>
      </c>
      <c r="G164">
        <v>6.3259999999999997E-2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-0.69784172661870858</v>
      </c>
      <c r="Q164">
        <f t="shared" ref="Q164" si="796">F164*P164</f>
        <v>-5416820.4769784454</v>
      </c>
      <c r="R164">
        <f t="shared" ref="R164" si="797">R165+Q164</f>
        <v>-708629631.26492977</v>
      </c>
      <c r="S164">
        <f t="shared" ref="S164" si="798">R164/100000</f>
        <v>-7086.2963126492978</v>
      </c>
      <c r="T164">
        <f t="shared" ref="T164" si="799">S164/1000</f>
        <v>-7.0862963126492975</v>
      </c>
    </row>
    <row r="165" spans="1:20" x14ac:dyDescent="0.25">
      <c r="A165" s="5">
        <v>44428</v>
      </c>
      <c r="B165">
        <v>6.5110000000000001E-2</v>
      </c>
      <c r="C165">
        <v>6.7900000000000002E-2</v>
      </c>
      <c r="D165">
        <v>6.4360000000000001E-2</v>
      </c>
      <c r="E165">
        <v>6.6159999999999997E-2</v>
      </c>
      <c r="F165">
        <v>8587937.6999999993</v>
      </c>
      <c r="G165">
        <v>6.6159999999999997E-2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1.6949152542370224E-2</v>
      </c>
      <c r="Q165">
        <f t="shared" ref="Q165" si="801">F165*P165</f>
        <v>145558.26610167208</v>
      </c>
      <c r="R165">
        <f t="shared" ref="R165" si="802">R166+Q165</f>
        <v>-703212810.78795135</v>
      </c>
      <c r="S165">
        <f t="shared" ref="S165" si="803">R165/100000</f>
        <v>-7032.1281078795137</v>
      </c>
      <c r="T165">
        <f t="shared" ref="T165" si="804">S165/1000</f>
        <v>-7.0321281078795135</v>
      </c>
    </row>
    <row r="166" spans="1:20" x14ac:dyDescent="0.25">
      <c r="A166" s="5">
        <v>44427</v>
      </c>
      <c r="B166">
        <v>6.1699999999999998E-2</v>
      </c>
      <c r="C166">
        <v>6.6699999999999995E-2</v>
      </c>
      <c r="D166">
        <v>6.0600000000000001E-2</v>
      </c>
      <c r="E166">
        <v>6.5110000000000001E-2</v>
      </c>
      <c r="F166">
        <v>13719469.1</v>
      </c>
      <c r="G166">
        <v>6.5110000000000001E-2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0.47868852459016537</v>
      </c>
      <c r="Q166">
        <f t="shared" ref="Q166" si="806">F166*P166</f>
        <v>6567352.4216393633</v>
      </c>
      <c r="R166">
        <f t="shared" ref="R166" si="807">R167+Q166</f>
        <v>-703358369.05405307</v>
      </c>
      <c r="S166">
        <f t="shared" ref="S166" si="808">R166/100000</f>
        <v>-7033.5836905405304</v>
      </c>
      <c r="T166">
        <f t="shared" ref="T166" si="809">S166/1000</f>
        <v>-7.0335836905405307</v>
      </c>
    </row>
    <row r="167" spans="1:20" x14ac:dyDescent="0.25">
      <c r="A167" s="5">
        <v>44426</v>
      </c>
      <c r="B167">
        <v>6.1400000000000003E-2</v>
      </c>
      <c r="C167">
        <v>6.5369999999999998E-2</v>
      </c>
      <c r="D167">
        <v>5.96E-2</v>
      </c>
      <c r="E167">
        <v>6.1710000000000001E-2</v>
      </c>
      <c r="F167">
        <v>8052930.4000000004</v>
      </c>
      <c r="G167">
        <v>6.1710000000000001E-2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-0.26863084922010338</v>
      </c>
      <c r="Q167">
        <f t="shared" ref="Q167" si="811">F167*P167</f>
        <v>-2163265.5320623871</v>
      </c>
      <c r="R167">
        <f t="shared" ref="R167" si="812">R168+Q167</f>
        <v>-709925721.47569239</v>
      </c>
      <c r="S167">
        <f t="shared" ref="S167" si="813">R167/100000</f>
        <v>-7099.2572147569235</v>
      </c>
      <c r="T167">
        <f t="shared" ref="T167" si="814">S167/1000</f>
        <v>-7.099257214756924</v>
      </c>
    </row>
    <row r="168" spans="1:20" x14ac:dyDescent="0.25">
      <c r="A168" s="5">
        <v>44425</v>
      </c>
      <c r="B168">
        <v>6.6110000000000002E-2</v>
      </c>
      <c r="C168">
        <v>6.7989999999999995E-2</v>
      </c>
      <c r="D168">
        <v>0.06</v>
      </c>
      <c r="E168">
        <v>6.1400000000000003E-2</v>
      </c>
      <c r="F168">
        <v>5385878.4000000004</v>
      </c>
      <c r="G168">
        <v>6.1400000000000003E-2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-0.64956195244054926</v>
      </c>
      <c r="Q168">
        <f t="shared" ref="Q168" si="816">F168*P168</f>
        <v>-3498461.6891113818</v>
      </c>
      <c r="R168">
        <f t="shared" ref="R168" si="817">R169+Q168</f>
        <v>-707762455.94362998</v>
      </c>
      <c r="S168">
        <f t="shared" ref="S168" si="818">R168/100000</f>
        <v>-7077.6245594362999</v>
      </c>
      <c r="T168">
        <f t="shared" ref="T168" si="819">S168/1000</f>
        <v>-7.0776245594363001</v>
      </c>
    </row>
    <row r="169" spans="1:20" x14ac:dyDescent="0.25">
      <c r="A169" s="5">
        <v>44424</v>
      </c>
      <c r="B169">
        <v>6.7860000000000004E-2</v>
      </c>
      <c r="C169">
        <v>6.9669999999999996E-2</v>
      </c>
      <c r="D169">
        <v>6.4939999999999998E-2</v>
      </c>
      <c r="E169">
        <v>6.6040000000000001E-2</v>
      </c>
      <c r="F169">
        <v>6608260.5999999996</v>
      </c>
      <c r="G169">
        <v>6.6040000000000001E-2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-0.53488372093023073</v>
      </c>
      <c r="Q169">
        <f t="shared" ref="Q169" si="821">F169*P169</f>
        <v>-3534651.018604639</v>
      </c>
      <c r="R169">
        <f t="shared" ref="R169" si="822">R170+Q169</f>
        <v>-704263994.25451863</v>
      </c>
      <c r="S169">
        <f t="shared" ref="S169" si="823">R169/100000</f>
        <v>-7042.6399425451864</v>
      </c>
      <c r="T169">
        <f t="shared" ref="T169" si="824">S169/1000</f>
        <v>-7.0426399425451862</v>
      </c>
    </row>
    <row r="170" spans="1:20" x14ac:dyDescent="0.25">
      <c r="A170" s="5">
        <v>44423</v>
      </c>
      <c r="B170">
        <v>6.9349999999999995E-2</v>
      </c>
      <c r="C170">
        <v>6.966E-2</v>
      </c>
      <c r="D170">
        <v>6.3750000000000001E-2</v>
      </c>
      <c r="E170">
        <v>6.7820000000000005E-2</v>
      </c>
      <c r="F170">
        <v>8143895</v>
      </c>
      <c r="G170">
        <v>6.7820000000000005E-2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0.37732656514382579</v>
      </c>
      <c r="Q170">
        <f t="shared" ref="Q170" si="826">F170*P170</f>
        <v>3072907.9272419773</v>
      </c>
      <c r="R170">
        <f t="shared" ref="R170" si="827">R171+Q170</f>
        <v>-700729343.23591399</v>
      </c>
      <c r="S170">
        <f t="shared" ref="S170" si="828">R170/100000</f>
        <v>-7007.2934323591398</v>
      </c>
      <c r="T170">
        <f t="shared" ref="T170" si="829">S170/1000</f>
        <v>-7.0072934323591403</v>
      </c>
    </row>
    <row r="171" spans="1:20" x14ac:dyDescent="0.25">
      <c r="A171" s="5">
        <v>44422</v>
      </c>
      <c r="B171">
        <v>6.9169999999999995E-2</v>
      </c>
      <c r="C171">
        <v>7.2090000000000001E-2</v>
      </c>
      <c r="D171">
        <v>6.4829999999999999E-2</v>
      </c>
      <c r="E171">
        <v>6.9349999999999995E-2</v>
      </c>
      <c r="F171">
        <v>13413709.1</v>
      </c>
      <c r="G171">
        <v>6.9349999999999995E-2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0.24517906336088008</v>
      </c>
      <c r="Q171">
        <f t="shared" ref="Q171" si="831">F171*P171</f>
        <v>3288760.6333333137</v>
      </c>
      <c r="R171">
        <f t="shared" ref="R171" si="832">R172+Q171</f>
        <v>-703802251.16315591</v>
      </c>
      <c r="S171">
        <f t="shared" ref="S171" si="833">R171/100000</f>
        <v>-7038.0225116315587</v>
      </c>
      <c r="T171">
        <f t="shared" ref="T171" si="834">S171/1000</f>
        <v>-7.0380225116315591</v>
      </c>
    </row>
    <row r="172" spans="1:20" x14ac:dyDescent="0.25">
      <c r="A172" s="5">
        <v>44421</v>
      </c>
      <c r="B172">
        <v>6.1839999999999999E-2</v>
      </c>
      <c r="C172">
        <v>7.399E-2</v>
      </c>
      <c r="D172">
        <v>6.1280000000000001E-2</v>
      </c>
      <c r="E172">
        <v>6.9169999999999995E-2</v>
      </c>
      <c r="F172">
        <v>51761157.5</v>
      </c>
      <c r="G172">
        <v>6.9169999999999995E-2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0.24154209284028241</v>
      </c>
      <c r="Q172">
        <f t="shared" ref="Q172" si="836">F172*P172</f>
        <v>12502498.310385481</v>
      </c>
      <c r="R172">
        <f t="shared" ref="R172" si="837">R173+Q172</f>
        <v>-707091011.79648924</v>
      </c>
      <c r="S172">
        <f t="shared" ref="S172" si="838">R172/100000</f>
        <v>-7070.9101179648924</v>
      </c>
      <c r="T172">
        <f t="shared" ref="T172" si="839">S172/1000</f>
        <v>-7.0709101179648925</v>
      </c>
    </row>
    <row r="173" spans="1:20" x14ac:dyDescent="0.25">
      <c r="A173" s="5">
        <v>44420</v>
      </c>
      <c r="B173">
        <v>6.0679999999999998E-2</v>
      </c>
      <c r="C173">
        <v>6.3490000000000005E-2</v>
      </c>
      <c r="D173">
        <v>5.8130000000000001E-2</v>
      </c>
      <c r="E173">
        <v>6.1839999999999999E-2</v>
      </c>
      <c r="F173">
        <v>18030566.899999999</v>
      </c>
      <c r="G173">
        <v>6.1839999999999999E-2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0.38432835820895356</v>
      </c>
      <c r="Q173">
        <f t="shared" ref="Q173" si="841">F173*P173</f>
        <v>6929658.1742537003</v>
      </c>
      <c r="R173">
        <f t="shared" ref="R173" si="842">R174+Q173</f>
        <v>-719593510.1068747</v>
      </c>
      <c r="S173">
        <f t="shared" ref="S173" si="843">R173/100000</f>
        <v>-7195.9351010687469</v>
      </c>
      <c r="T173">
        <f t="shared" ref="T173" si="844">S173/1000</f>
        <v>-7.1959351010687467</v>
      </c>
    </row>
    <row r="174" spans="1:20" x14ac:dyDescent="0.25">
      <c r="A174" s="5">
        <v>44419</v>
      </c>
      <c r="B174">
        <v>5.7509999999999999E-2</v>
      </c>
      <c r="C174">
        <v>6.4399999999999999E-2</v>
      </c>
      <c r="D174">
        <v>5.7000000000000002E-2</v>
      </c>
      <c r="E174">
        <v>6.0679999999999998E-2</v>
      </c>
      <c r="F174">
        <v>23321211.600000001</v>
      </c>
      <c r="G174">
        <v>6.0679999999999998E-2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-5.4054054054061247E-3</v>
      </c>
      <c r="Q174">
        <f t="shared" ref="Q174" si="846">F174*P174</f>
        <v>-126060.60324326003</v>
      </c>
      <c r="R174">
        <f t="shared" ref="R174" si="847">R175+Q174</f>
        <v>-726523168.28112841</v>
      </c>
      <c r="S174">
        <f t="shared" ref="S174" si="848">R174/100000</f>
        <v>-7265.2316828112844</v>
      </c>
      <c r="T174">
        <f t="shared" ref="T174" si="849">S174/1000</f>
        <v>-7.265231682811284</v>
      </c>
    </row>
    <row r="175" spans="1:20" x14ac:dyDescent="0.25">
      <c r="A175" s="5">
        <v>44418</v>
      </c>
      <c r="B175">
        <v>5.8270000000000002E-2</v>
      </c>
      <c r="C175">
        <v>5.985E-2</v>
      </c>
      <c r="D175">
        <v>5.4980000000000001E-2</v>
      </c>
      <c r="E175">
        <v>5.7509999999999999E-2</v>
      </c>
      <c r="F175">
        <v>15204139</v>
      </c>
      <c r="G175">
        <v>5.7509999999999999E-2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3.9014373716631572E-2</v>
      </c>
      <c r="Q175">
        <f t="shared" ref="Q175" si="851">F175*P175</f>
        <v>593179.96098561306</v>
      </c>
      <c r="R175">
        <f t="shared" ref="R175" si="852">R176+Q175</f>
        <v>-726397107.67788517</v>
      </c>
      <c r="S175">
        <f t="shared" ref="S175" si="853">R175/100000</f>
        <v>-7263.971076778852</v>
      </c>
      <c r="T175">
        <f t="shared" ref="T175" si="854">S175/1000</f>
        <v>-7.2639710767788523</v>
      </c>
    </row>
    <row r="176" spans="1:20" x14ac:dyDescent="0.25">
      <c r="A176" s="5">
        <v>44417</v>
      </c>
      <c r="B176">
        <v>5.5399999999999998E-2</v>
      </c>
      <c r="C176">
        <v>5.9990000000000002E-2</v>
      </c>
      <c r="D176">
        <v>5.3370000000000001E-2</v>
      </c>
      <c r="E176">
        <v>5.851E-2</v>
      </c>
      <c r="F176">
        <v>18395674</v>
      </c>
      <c r="G176">
        <v>5.851E-2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0.55287009063444048</v>
      </c>
      <c r="Q176">
        <f t="shared" ref="Q176" si="856">F176*P176</f>
        <v>10170417.95166162</v>
      </c>
      <c r="R176">
        <f t="shared" ref="R176" si="857">R177+Q176</f>
        <v>-726990287.63887084</v>
      </c>
      <c r="S176">
        <f t="shared" ref="S176" si="858">R176/100000</f>
        <v>-7269.9028763887081</v>
      </c>
      <c r="T176">
        <f t="shared" ref="T176" si="859">S176/1000</f>
        <v>-7.2699028763887084</v>
      </c>
    </row>
    <row r="177" spans="1:20" x14ac:dyDescent="0.25">
      <c r="A177" s="5">
        <v>44416</v>
      </c>
      <c r="B177">
        <v>5.7759999999999999E-2</v>
      </c>
      <c r="C177">
        <v>6.3990000000000005E-2</v>
      </c>
      <c r="D177">
        <v>5.3710000000000001E-2</v>
      </c>
      <c r="E177">
        <v>5.5350000000000003E-2</v>
      </c>
      <c r="F177">
        <v>57659232.399999999</v>
      </c>
      <c r="G177">
        <v>5.5350000000000003E-2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-0.68093385214007751</v>
      </c>
      <c r="Q177">
        <f t="shared" ref="Q177" si="861">F177*P177</f>
        <v>-39262123.229571968</v>
      </c>
      <c r="R177">
        <f t="shared" ref="R177" si="862">R178+Q177</f>
        <v>-737160705.59053242</v>
      </c>
      <c r="S177">
        <f t="shared" ref="S177" si="863">R177/100000</f>
        <v>-7371.6070559053242</v>
      </c>
      <c r="T177">
        <f t="shared" ref="T177" si="864">S177/1000</f>
        <v>-7.3716070559053239</v>
      </c>
    </row>
    <row r="178" spans="1:20" x14ac:dyDescent="0.25">
      <c r="A178" s="5">
        <v>44415</v>
      </c>
      <c r="B178">
        <v>5.3870000000000001E-2</v>
      </c>
      <c r="C178">
        <v>7.3800000000000004E-2</v>
      </c>
      <c r="D178">
        <v>5.3469999999999997E-2</v>
      </c>
      <c r="E178">
        <v>5.7759999999999999E-2</v>
      </c>
      <c r="F178">
        <v>138826789.59999999</v>
      </c>
      <c r="G178">
        <v>5.7759999999999999E-2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-0.57796360059026064</v>
      </c>
      <c r="Q178">
        <f t="shared" ref="Q178" si="866">F178*P178</f>
        <v>-80236831.17560254</v>
      </c>
      <c r="R178">
        <f t="shared" ref="R178" si="867">R179+Q178</f>
        <v>-697898582.36096048</v>
      </c>
      <c r="S178">
        <f t="shared" ref="S178" si="868">R178/100000</f>
        <v>-6978.9858236096052</v>
      </c>
      <c r="T178">
        <f t="shared" ref="T178" si="869">S178/1000</f>
        <v>-6.9789858236096052</v>
      </c>
    </row>
    <row r="179" spans="1:20" x14ac:dyDescent="0.25">
      <c r="A179" s="5">
        <v>44414</v>
      </c>
      <c r="B179">
        <v>5.67E-2</v>
      </c>
      <c r="C179">
        <v>6.0929999999999998E-2</v>
      </c>
      <c r="D179">
        <v>5.2260000000000001E-2</v>
      </c>
      <c r="E179">
        <v>5.3999999999999999E-2</v>
      </c>
      <c r="F179">
        <v>53204651.399999999</v>
      </c>
      <c r="G179">
        <v>5.3999999999999999E-2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-0.59861591695501748</v>
      </c>
      <c r="Q179">
        <f t="shared" ref="Q179" si="871">F179*P179</f>
        <v>-31849151.184083052</v>
      </c>
      <c r="R179">
        <f t="shared" ref="R179" si="872">R180+Q179</f>
        <v>-617661751.18535793</v>
      </c>
      <c r="S179">
        <f t="shared" ref="S179" si="873">R179/100000</f>
        <v>-6176.6175118535793</v>
      </c>
      <c r="T179">
        <f t="shared" ref="T179" si="874">S179/1000</f>
        <v>-6.1766175118535793</v>
      </c>
    </row>
    <row r="180" spans="1:20" x14ac:dyDescent="0.25">
      <c r="A180" s="5">
        <v>44413</v>
      </c>
      <c r="B180">
        <v>4.5789999999999997E-2</v>
      </c>
      <c r="C180">
        <v>6.3589999999999994E-2</v>
      </c>
      <c r="D180">
        <v>4.5039999999999997E-2</v>
      </c>
      <c r="E180">
        <v>5.67E-2</v>
      </c>
      <c r="F180">
        <v>149040875.30000001</v>
      </c>
      <c r="G180">
        <v>5.67E-2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0.25714285714285773</v>
      </c>
      <c r="Q180">
        <f t="shared" ref="Q180" si="876">F180*P180</f>
        <v>38324796.505714379</v>
      </c>
      <c r="R180">
        <f t="shared" ref="R180" si="877">R181+Q180</f>
        <v>-585812600.00127482</v>
      </c>
      <c r="S180">
        <f t="shared" ref="S180" si="878">R180/100000</f>
        <v>-5858.1260000127486</v>
      </c>
      <c r="T180">
        <f t="shared" ref="T180" si="879">S180/1000</f>
        <v>-5.8581260000127484</v>
      </c>
    </row>
    <row r="181" spans="1:20" x14ac:dyDescent="0.25">
      <c r="A181" s="5">
        <v>44412</v>
      </c>
      <c r="B181">
        <v>4.3999999999999997E-2</v>
      </c>
      <c r="C181">
        <v>4.6890000000000001E-2</v>
      </c>
      <c r="D181">
        <v>4.2500000000000003E-2</v>
      </c>
      <c r="E181">
        <v>4.573E-2</v>
      </c>
      <c r="F181">
        <v>8288579.5999999996</v>
      </c>
      <c r="G181">
        <v>4.573E-2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0.47152619589977141</v>
      </c>
      <c r="Q181">
        <f t="shared" ref="Q181" si="881">F181*P181</f>
        <v>3908282.4082004488</v>
      </c>
      <c r="R181">
        <f t="shared" ref="R181" si="882">R182+Q181</f>
        <v>-624137396.50698924</v>
      </c>
      <c r="S181">
        <f t="shared" ref="S181" si="883">R181/100000</f>
        <v>-6241.3739650698926</v>
      </c>
      <c r="T181">
        <f t="shared" ref="T181" si="884">S181/1000</f>
        <v>-6.2413739650698927</v>
      </c>
    </row>
    <row r="182" spans="1:20" x14ac:dyDescent="0.25">
      <c r="A182" s="5">
        <v>44411</v>
      </c>
      <c r="B182">
        <v>4.36E-2</v>
      </c>
      <c r="C182">
        <v>4.5999999999999999E-2</v>
      </c>
      <c r="D182">
        <v>4.1300000000000003E-2</v>
      </c>
      <c r="E182">
        <v>4.3999999999999997E-2</v>
      </c>
      <c r="F182">
        <v>13458163.4</v>
      </c>
      <c r="G182">
        <v>4.3999999999999997E-2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0.14893617021276445</v>
      </c>
      <c r="Q182">
        <f t="shared" ref="Q182" si="886">F182*P182</f>
        <v>2004407.3148935968</v>
      </c>
      <c r="R182">
        <f t="shared" ref="R182" si="887">R183+Q182</f>
        <v>-628045678.91518974</v>
      </c>
      <c r="S182">
        <f t="shared" ref="S182" si="888">R182/100000</f>
        <v>-6280.4567891518973</v>
      </c>
      <c r="T182">
        <f t="shared" ref="T182" si="889">S182/1000</f>
        <v>-6.2804567891518976</v>
      </c>
    </row>
    <row r="183" spans="1:20" x14ac:dyDescent="0.25">
      <c r="A183" s="5">
        <v>44410</v>
      </c>
      <c r="B183">
        <v>4.3360000000000003E-2</v>
      </c>
      <c r="C183">
        <v>4.4589999999999998E-2</v>
      </c>
      <c r="D183">
        <v>4.2590000000000003E-2</v>
      </c>
      <c r="E183">
        <v>4.3619999999999999E-2</v>
      </c>
      <c r="F183">
        <v>3987836.8</v>
      </c>
      <c r="G183">
        <v>4.3619999999999999E-2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2.9999999999998854E-2</v>
      </c>
      <c r="Q183">
        <f t="shared" ref="Q183" si="891">F183*P183</f>
        <v>119635.10399999542</v>
      </c>
      <c r="R183">
        <f t="shared" ref="R183" si="892">R184+Q183</f>
        <v>-630050086.23008335</v>
      </c>
      <c r="S183">
        <f t="shared" ref="S183" si="893">R183/100000</f>
        <v>-6300.5008623008334</v>
      </c>
      <c r="T183">
        <f t="shared" ref="T183" si="894">S183/1000</f>
        <v>-6.3005008623008338</v>
      </c>
    </row>
    <row r="184" spans="1:20" x14ac:dyDescent="0.25">
      <c r="A184" s="5">
        <v>44409</v>
      </c>
      <c r="B184">
        <v>4.5100000000000001E-2</v>
      </c>
      <c r="C184">
        <v>4.6710000000000002E-2</v>
      </c>
      <c r="D184">
        <v>4.2799999999999998E-2</v>
      </c>
      <c r="E184">
        <v>4.3220000000000001E-2</v>
      </c>
      <c r="F184">
        <v>8477984.6999999993</v>
      </c>
      <c r="G184">
        <v>4.3220000000000001E-2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-0.78516624040920546</v>
      </c>
      <c r="Q184">
        <f t="shared" ref="Q184" si="896">F184*P184</f>
        <v>-6656627.3731457647</v>
      </c>
      <c r="R184">
        <f t="shared" ref="R184" si="897">R185+Q184</f>
        <v>-630169721.33408332</v>
      </c>
      <c r="S184">
        <f t="shared" ref="S184" si="898">R184/100000</f>
        <v>-6301.6972133408335</v>
      </c>
      <c r="T184">
        <f t="shared" ref="T184" si="899">S184/1000</f>
        <v>-6.3016972133408338</v>
      </c>
    </row>
    <row r="185" spans="1:20" x14ac:dyDescent="0.25">
      <c r="A185" s="5">
        <v>44408</v>
      </c>
      <c r="B185">
        <v>4.4880000000000003E-2</v>
      </c>
      <c r="C185">
        <v>4.6719999999999998E-2</v>
      </c>
      <c r="D185">
        <v>4.299E-2</v>
      </c>
      <c r="E185">
        <v>4.5100000000000001E-2</v>
      </c>
      <c r="F185">
        <v>13491213.300000001</v>
      </c>
      <c r="G185">
        <v>4.5100000000000001E-2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0.13136729222520233</v>
      </c>
      <c r="Q185">
        <f t="shared" ref="Q185" si="901">F185*P185</f>
        <v>1772304.1600536364</v>
      </c>
      <c r="R185">
        <f t="shared" ref="R185" si="902">R186+Q185</f>
        <v>-623513093.9609375</v>
      </c>
      <c r="S185">
        <f t="shared" ref="S185" si="903">R185/100000</f>
        <v>-6235.1309396093748</v>
      </c>
      <c r="T185">
        <f t="shared" ref="T185" si="904">S185/1000</f>
        <v>-6.235130939609375</v>
      </c>
    </row>
    <row r="186" spans="1:20" x14ac:dyDescent="0.25">
      <c r="A186" s="5">
        <v>44407</v>
      </c>
      <c r="B186">
        <v>4.3569999999999998E-2</v>
      </c>
      <c r="C186">
        <v>4.4889999999999999E-2</v>
      </c>
      <c r="D186">
        <v>3.9219999999999998E-2</v>
      </c>
      <c r="E186">
        <v>4.4749999999999998E-2</v>
      </c>
      <c r="F186">
        <v>25507556.600000001</v>
      </c>
      <c r="G186">
        <v>4.4749999999999998E-2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0.95061728395061684</v>
      </c>
      <c r="Q186">
        <f t="shared" ref="Q186" si="906">F186*P186</f>
        <v>24247924.175308634</v>
      </c>
      <c r="R186">
        <f t="shared" ref="R186" si="907">R187+Q186</f>
        <v>-625285398.12099111</v>
      </c>
      <c r="S186">
        <f t="shared" ref="S186" si="908">R186/100000</f>
        <v>-6252.8539812099107</v>
      </c>
      <c r="T186">
        <f t="shared" ref="T186" si="909">S186/1000</f>
        <v>-6.2528539812099106</v>
      </c>
    </row>
    <row r="187" spans="1:20" x14ac:dyDescent="0.25">
      <c r="A187" s="5">
        <v>44406</v>
      </c>
      <c r="B187">
        <v>4.2869999999999998E-2</v>
      </c>
      <c r="C187">
        <v>5.6000000000000001E-2</v>
      </c>
      <c r="D187">
        <v>4.2369999999999998E-2</v>
      </c>
      <c r="E187">
        <v>4.3639999999999998E-2</v>
      </c>
      <c r="F187">
        <v>76485889.099999994</v>
      </c>
      <c r="G187">
        <v>4.3639999999999998E-2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-0.81364636830520909</v>
      </c>
      <c r="Q187">
        <f t="shared" ref="Q187" si="911">F187*P187</f>
        <v>-62232465.892809972</v>
      </c>
      <c r="R187">
        <f t="shared" ref="R187" si="912">R188+Q187</f>
        <v>-649533322.2962997</v>
      </c>
      <c r="S187">
        <f t="shared" ref="S187" si="913">R187/100000</f>
        <v>-6495.3332229629968</v>
      </c>
      <c r="T187">
        <f t="shared" ref="T187" si="914">S187/1000</f>
        <v>-6.495333222962997</v>
      </c>
    </row>
    <row r="188" spans="1:20" x14ac:dyDescent="0.25">
      <c r="A188" s="5">
        <v>44405</v>
      </c>
      <c r="B188">
        <v>4.3049999999999998E-2</v>
      </c>
      <c r="C188">
        <v>4.3999999999999997E-2</v>
      </c>
      <c r="D188">
        <v>4.1410000000000002E-2</v>
      </c>
      <c r="E188">
        <v>4.2869999999999998E-2</v>
      </c>
      <c r="F188">
        <v>6141451.7000000002</v>
      </c>
      <c r="G188">
        <v>4.2869999999999998E-2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0.12741312741312649</v>
      </c>
      <c r="Q188">
        <f t="shared" ref="Q188" si="916">F188*P188</f>
        <v>782501.56795366236</v>
      </c>
      <c r="R188">
        <f t="shared" ref="R188" si="917">R189+Q188</f>
        <v>-587300856.40348971</v>
      </c>
      <c r="S188">
        <f t="shared" ref="S188" si="918">R188/100000</f>
        <v>-5873.0085640348971</v>
      </c>
      <c r="T188">
        <f t="shared" ref="T188" si="919">S188/1000</f>
        <v>-5.8730085640348975</v>
      </c>
    </row>
    <row r="189" spans="1:20" x14ac:dyDescent="0.25">
      <c r="A189" s="5">
        <v>44404</v>
      </c>
      <c r="B189">
        <v>4.1169999999999998E-2</v>
      </c>
      <c r="C189">
        <v>4.4389999999999999E-2</v>
      </c>
      <c r="D189">
        <v>3.7470000000000003E-2</v>
      </c>
      <c r="E189">
        <v>4.3049999999999998E-2</v>
      </c>
      <c r="F189">
        <v>8671474.8000000007</v>
      </c>
      <c r="G189">
        <v>4.3049999999999998E-2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0.61271676300577982</v>
      </c>
      <c r="Q189">
        <f t="shared" ref="Q189" si="921">F189*P189</f>
        <v>5313157.9699421925</v>
      </c>
      <c r="R189">
        <f t="shared" ref="R189" si="922">R190+Q189</f>
        <v>-588083357.97144341</v>
      </c>
      <c r="S189">
        <f t="shared" ref="S189" si="923">R189/100000</f>
        <v>-5880.8335797144346</v>
      </c>
      <c r="T189">
        <f t="shared" ref="T189" si="924">S189/1000</f>
        <v>-5.8808335797144347</v>
      </c>
    </row>
    <row r="190" spans="1:20" x14ac:dyDescent="0.25">
      <c r="A190" s="5">
        <v>44403</v>
      </c>
      <c r="B190">
        <v>4.2750000000000003E-2</v>
      </c>
      <c r="C190">
        <v>4.6199999999999998E-2</v>
      </c>
      <c r="D190">
        <v>4.0300000000000002E-2</v>
      </c>
      <c r="E190">
        <v>4.1169999999999998E-2</v>
      </c>
      <c r="F190">
        <v>17716762.899999999</v>
      </c>
      <c r="G190">
        <v>4.1169999999999998E-2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-0.70508474576271307</v>
      </c>
      <c r="Q190">
        <f t="shared" ref="Q190" si="926">F190*P190</f>
        <v>-12491819.265084766</v>
      </c>
      <c r="R190">
        <f t="shared" ref="R190" si="927">R191+Q190</f>
        <v>-593396515.94138563</v>
      </c>
      <c r="S190">
        <f t="shared" ref="S190" si="928">R190/100000</f>
        <v>-5933.9651594138559</v>
      </c>
      <c r="T190">
        <f t="shared" ref="T190" si="929">S190/1000</f>
        <v>-5.933965159413856</v>
      </c>
    </row>
    <row r="191" spans="1:20" x14ac:dyDescent="0.25">
      <c r="A191" s="5">
        <v>44402</v>
      </c>
      <c r="B191">
        <v>4.3380000000000002E-2</v>
      </c>
      <c r="C191">
        <v>4.3679999999999997E-2</v>
      </c>
      <c r="D191">
        <v>4.0800000000000003E-2</v>
      </c>
      <c r="E191">
        <v>4.2889999999999998E-2</v>
      </c>
      <c r="F191">
        <v>18348294.699999999</v>
      </c>
      <c r="G191">
        <v>4.2889999999999998E-2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0.45138888888888834</v>
      </c>
      <c r="Q191">
        <f t="shared" ref="Q191" si="931">F191*P191</f>
        <v>8282216.3576388787</v>
      </c>
      <c r="R191">
        <f t="shared" ref="R191" si="932">R192+Q191</f>
        <v>-580904696.67630088</v>
      </c>
      <c r="S191">
        <f t="shared" ref="S191" si="933">R191/100000</f>
        <v>-5809.0469667630086</v>
      </c>
      <c r="T191">
        <f t="shared" ref="T191:T197" si="934">S191/1000</f>
        <v>-5.8090469667630087</v>
      </c>
    </row>
    <row r="192" spans="1:20" x14ac:dyDescent="0.25">
      <c r="A192" s="5">
        <v>44401</v>
      </c>
      <c r="B192">
        <v>4.3560000000000001E-2</v>
      </c>
      <c r="C192">
        <v>4.8500000000000001E-2</v>
      </c>
      <c r="D192">
        <v>4.0509999999999997E-2</v>
      </c>
      <c r="E192">
        <v>4.3380000000000002E-2</v>
      </c>
      <c r="F192">
        <v>71871053.099999994</v>
      </c>
      <c r="G192">
        <v>4.3380000000000002E-2</v>
      </c>
      <c r="L192" t="s">
        <v>7</v>
      </c>
      <c r="M192" t="s">
        <v>7</v>
      </c>
      <c r="N192" t="s">
        <v>8</v>
      </c>
      <c r="P192">
        <f t="shared" ref="P192" si="935">IF(C192=D192,0,((E192-D192)-(C192-E192))/(C192-D192))</f>
        <v>-0.28160200250312817</v>
      </c>
      <c r="Q192">
        <f t="shared" ref="Q192" si="936">F192*P192</f>
        <v>-20239032.474968657</v>
      </c>
      <c r="R192">
        <f t="shared" ref="R192" si="937">R193+Q192</f>
        <v>-589186913.03393972</v>
      </c>
      <c r="S192">
        <f t="shared" ref="S192" si="938">R192/100000</f>
        <v>-5891.8691303393971</v>
      </c>
      <c r="T192">
        <f t="shared" si="934"/>
        <v>-5.8918691303393969</v>
      </c>
    </row>
    <row r="193" spans="1:20" x14ac:dyDescent="0.25">
      <c r="A193" s="5">
        <v>44400</v>
      </c>
      <c r="B193">
        <v>3.7499999999999999E-2</v>
      </c>
      <c r="C193">
        <v>5.7000000000000002E-2</v>
      </c>
      <c r="D193">
        <v>3.5920000000000001E-2</v>
      </c>
      <c r="E193">
        <v>4.3630000000000002E-2</v>
      </c>
      <c r="F193">
        <v>294747017.30000001</v>
      </c>
      <c r="G193">
        <v>4.3630000000000002E-2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-0.2685009487666033</v>
      </c>
      <c r="Q193">
        <f t="shared" ref="Q193" si="940">F193*P193</f>
        <v>-79139853.791176438</v>
      </c>
      <c r="R193">
        <f t="shared" ref="R193" si="941">R194+Q193</f>
        <v>-568947880.55897105</v>
      </c>
      <c r="S193">
        <f t="shared" ref="S193" si="942">R193/100000</f>
        <v>-5689.4788055897106</v>
      </c>
      <c r="T193">
        <f t="shared" si="934"/>
        <v>-5.6894788055897108</v>
      </c>
    </row>
    <row r="194" spans="1:20" x14ac:dyDescent="0.25">
      <c r="A194" s="5">
        <v>44399</v>
      </c>
      <c r="B194">
        <v>3.354E-2</v>
      </c>
      <c r="C194">
        <v>3.7499999999999999E-2</v>
      </c>
      <c r="D194">
        <v>3.2750000000000001E-2</v>
      </c>
      <c r="E194">
        <v>3.7499999999999999E-2</v>
      </c>
      <c r="F194">
        <v>6256623.9000000004</v>
      </c>
      <c r="G194">
        <v>3.7499999999999999E-2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1</v>
      </c>
      <c r="Q194">
        <f t="shared" ref="Q194" si="944">F194*P194</f>
        <v>6256623.9000000004</v>
      </c>
      <c r="R194">
        <f t="shared" ref="R194" si="945">R195+Q194</f>
        <v>-489808026.76779461</v>
      </c>
      <c r="S194">
        <f t="shared" ref="S194" si="946">R194/100000</f>
        <v>-4898.0802676779458</v>
      </c>
      <c r="T194">
        <f t="shared" si="934"/>
        <v>-4.8980802676779458</v>
      </c>
    </row>
    <row r="195" spans="1:20" x14ac:dyDescent="0.25">
      <c r="A195" s="5">
        <v>44398</v>
      </c>
      <c r="B195">
        <v>2.9600000000000001E-2</v>
      </c>
      <c r="C195">
        <v>3.474E-2</v>
      </c>
      <c r="D195">
        <v>2.9329999999999998E-2</v>
      </c>
      <c r="E195">
        <v>3.3550000000000003E-2</v>
      </c>
      <c r="F195">
        <v>2461040</v>
      </c>
      <c r="G195">
        <v>3.3550000000000003E-2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0.56007393715342102</v>
      </c>
      <c r="Q195">
        <f t="shared" ref="Q195" si="948">F195*P195</f>
        <v>1378364.3622920553</v>
      </c>
      <c r="R195">
        <f t="shared" ref="R195" si="949">R196+Q195</f>
        <v>-496064650.66779459</v>
      </c>
      <c r="S195">
        <f t="shared" ref="S195" si="950">R195/100000</f>
        <v>-4960.6465066779456</v>
      </c>
      <c r="T195">
        <f t="shared" si="934"/>
        <v>-4.9606465066779455</v>
      </c>
    </row>
    <row r="196" spans="1:20" x14ac:dyDescent="0.25">
      <c r="A196" s="5">
        <v>44397</v>
      </c>
      <c r="B196">
        <v>3.0700000000000002E-2</v>
      </c>
      <c r="C196">
        <v>3.09E-2</v>
      </c>
      <c r="D196">
        <v>2.8289999999999999E-2</v>
      </c>
      <c r="E196">
        <v>2.9600000000000001E-2</v>
      </c>
      <c r="F196">
        <v>2814318.8</v>
      </c>
      <c r="G196">
        <v>2.9600000000000001E-2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3.8314176245222444E-3</v>
      </c>
      <c r="Q196">
        <f t="shared" ref="Q196" si="952">F196*P196</f>
        <v>10782.830651344293</v>
      </c>
      <c r="R196">
        <f t="shared" ref="R196" si="953">R197+Q196</f>
        <v>-497443015.03008664</v>
      </c>
      <c r="S196">
        <f t="shared" ref="S196" si="954">R196/100000</f>
        <v>-4974.4301503008664</v>
      </c>
      <c r="T196">
        <f t="shared" si="934"/>
        <v>-4.9744301503008668</v>
      </c>
    </row>
    <row r="197" spans="1:20" x14ac:dyDescent="0.25">
      <c r="A197" s="5">
        <v>44396</v>
      </c>
      <c r="B197">
        <v>3.3520000000000001E-2</v>
      </c>
      <c r="C197">
        <v>3.4000000000000002E-2</v>
      </c>
      <c r="D197">
        <v>3.0009999999999998E-2</v>
      </c>
      <c r="E197">
        <v>3.0859999999999999E-2</v>
      </c>
      <c r="F197">
        <v>2488768.9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-0.57393483709273219</v>
      </c>
      <c r="Q197">
        <f t="shared" ref="Q197" si="956">F197*P197</f>
        <v>-1428391.1731829583</v>
      </c>
      <c r="R197">
        <f t="shared" ref="R197" si="957">R198+Q197</f>
        <v>-497453797.86073798</v>
      </c>
      <c r="S197">
        <f t="shared" ref="S197" si="958">R197/100000</f>
        <v>-4974.53797860738</v>
      </c>
      <c r="T197">
        <f t="shared" si="934"/>
        <v>-4.9745379786073798</v>
      </c>
    </row>
    <row r="198" spans="1:20" x14ac:dyDescent="0.25">
      <c r="A198" s="5">
        <v>44395</v>
      </c>
      <c r="B198">
        <v>3.381E-2</v>
      </c>
      <c r="C198">
        <v>3.4529999999999998E-2</v>
      </c>
      <c r="D198">
        <v>3.279E-2</v>
      </c>
      <c r="E198">
        <v>3.3329999999999999E-2</v>
      </c>
      <c r="F198">
        <v>1128701.8999999999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-0.37931034482758702</v>
      </c>
      <c r="Q198">
        <f t="shared" ref="Q198:Q261" si="960">F198*P198</f>
        <v>-428128.30689655262</v>
      </c>
      <c r="R198">
        <f t="shared" ref="R198:R261" si="961">R199+Q198</f>
        <v>-496025406.68755502</v>
      </c>
      <c r="S198">
        <f t="shared" ref="S198:S261" si="962">R198/100000</f>
        <v>-4960.2540668755501</v>
      </c>
      <c r="T198">
        <f t="shared" ref="T198:T261" si="963">S198/1000</f>
        <v>-4.9602540668755504</v>
      </c>
    </row>
    <row r="199" spans="1:20" x14ac:dyDescent="0.25">
      <c r="A199" s="5">
        <v>44394</v>
      </c>
      <c r="B199">
        <v>3.2620000000000003E-2</v>
      </c>
      <c r="C199">
        <v>3.4029999999999998E-2</v>
      </c>
      <c r="D199">
        <v>3.1960000000000002E-2</v>
      </c>
      <c r="E199">
        <v>3.3730000000000003E-2</v>
      </c>
      <c r="F199">
        <v>1593954.8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0.71014492753623637</v>
      </c>
      <c r="Q199">
        <f t="shared" si="960"/>
        <v>1131938.9159420361</v>
      </c>
      <c r="R199">
        <f t="shared" si="961"/>
        <v>-495597278.38065845</v>
      </c>
      <c r="S199">
        <f t="shared" si="962"/>
        <v>-4955.9727838065846</v>
      </c>
      <c r="T199">
        <f t="shared" si="963"/>
        <v>-4.955972783806585</v>
      </c>
    </row>
    <row r="200" spans="1:20" x14ac:dyDescent="0.25">
      <c r="A200" s="5">
        <v>44393</v>
      </c>
      <c r="B200">
        <v>3.4840000000000003E-2</v>
      </c>
      <c r="C200">
        <v>3.5830000000000001E-2</v>
      </c>
      <c r="D200">
        <v>3.2190000000000003E-2</v>
      </c>
      <c r="E200">
        <v>3.2620000000000003E-2</v>
      </c>
      <c r="F200">
        <v>3328711.9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-0.76373626373626369</v>
      </c>
      <c r="Q200">
        <f t="shared" si="960"/>
        <v>-2542257.9895604393</v>
      </c>
      <c r="R200">
        <f t="shared" si="961"/>
        <v>-496729217.29660046</v>
      </c>
      <c r="S200">
        <f t="shared" si="962"/>
        <v>-4967.2921729660047</v>
      </c>
      <c r="T200">
        <f t="shared" si="963"/>
        <v>-4.9672921729660047</v>
      </c>
    </row>
    <row r="201" spans="1:20" x14ac:dyDescent="0.25">
      <c r="A201" s="5">
        <v>44392</v>
      </c>
      <c r="B201">
        <v>3.603E-2</v>
      </c>
      <c r="C201">
        <v>3.6839999999999998E-2</v>
      </c>
      <c r="D201">
        <v>3.3950000000000001E-2</v>
      </c>
      <c r="E201">
        <v>3.4689999999999999E-2</v>
      </c>
      <c r="F201">
        <v>1698682.1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-0.48788927335640248</v>
      </c>
      <c r="Q201">
        <f t="shared" si="960"/>
        <v>-828768.77543252788</v>
      </c>
      <c r="R201">
        <f t="shared" si="961"/>
        <v>-494186959.30704004</v>
      </c>
      <c r="S201">
        <f t="shared" si="962"/>
        <v>-4941.8695930704007</v>
      </c>
      <c r="T201">
        <f t="shared" si="963"/>
        <v>-4.9418695930704004</v>
      </c>
    </row>
    <row r="202" spans="1:20" x14ac:dyDescent="0.25">
      <c r="A202" s="5">
        <v>44391</v>
      </c>
      <c r="B202">
        <v>3.6130000000000002E-2</v>
      </c>
      <c r="C202">
        <v>3.6799999999999999E-2</v>
      </c>
      <c r="D202">
        <v>3.4160000000000003E-2</v>
      </c>
      <c r="E202">
        <v>3.5999999999999997E-2</v>
      </c>
      <c r="F202">
        <v>1812277.4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0.39393939393939154</v>
      </c>
      <c r="Q202">
        <f t="shared" si="960"/>
        <v>713927.46060605627</v>
      </c>
      <c r="R202">
        <f t="shared" si="961"/>
        <v>-493358190.53160751</v>
      </c>
      <c r="S202">
        <f t="shared" si="962"/>
        <v>-4933.5819053160749</v>
      </c>
      <c r="T202">
        <f t="shared" si="963"/>
        <v>-4.9335819053160748</v>
      </c>
    </row>
    <row r="203" spans="1:20" x14ac:dyDescent="0.25">
      <c r="A203" s="5">
        <v>44390</v>
      </c>
      <c r="B203">
        <v>3.6630000000000003E-2</v>
      </c>
      <c r="C203">
        <v>3.7220000000000003E-2</v>
      </c>
      <c r="D203">
        <v>3.533E-2</v>
      </c>
      <c r="E203">
        <v>3.5889999999999998E-2</v>
      </c>
      <c r="F203">
        <v>1888344.7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-0.40740740740741038</v>
      </c>
      <c r="Q203">
        <f t="shared" si="960"/>
        <v>-769325.6185185241</v>
      </c>
      <c r="R203">
        <f t="shared" si="961"/>
        <v>-494072117.99221355</v>
      </c>
      <c r="S203">
        <f t="shared" si="962"/>
        <v>-4940.7211799221359</v>
      </c>
      <c r="T203">
        <f t="shared" si="963"/>
        <v>-4.9407211799221358</v>
      </c>
    </row>
    <row r="204" spans="1:20" x14ac:dyDescent="0.25">
      <c r="A204" s="5">
        <v>44389</v>
      </c>
      <c r="B204">
        <v>3.8580000000000003E-2</v>
      </c>
      <c r="C204">
        <v>3.9329999999999997E-2</v>
      </c>
      <c r="D204">
        <v>3.5700000000000003E-2</v>
      </c>
      <c r="E204">
        <v>3.6459999999999999E-2</v>
      </c>
      <c r="F204">
        <v>2753921.9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-0.58126721763085509</v>
      </c>
      <c r="Q204">
        <f t="shared" si="960"/>
        <v>-1600764.5203856779</v>
      </c>
      <c r="R204">
        <f t="shared" si="961"/>
        <v>-493302792.37369502</v>
      </c>
      <c r="S204">
        <f t="shared" si="962"/>
        <v>-4933.0279237369505</v>
      </c>
      <c r="T204">
        <f t="shared" si="963"/>
        <v>-4.9330279237369501</v>
      </c>
    </row>
    <row r="205" spans="1:20" x14ac:dyDescent="0.25">
      <c r="A205" s="5">
        <v>44388</v>
      </c>
      <c r="B205">
        <v>3.6659999999999998E-2</v>
      </c>
      <c r="C205">
        <v>4.0390000000000002E-2</v>
      </c>
      <c r="D205">
        <v>3.662E-2</v>
      </c>
      <c r="E205">
        <v>3.866E-2</v>
      </c>
      <c r="F205">
        <v>3823073.2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8.2228116710874682E-2</v>
      </c>
      <c r="Q205">
        <f t="shared" si="960"/>
        <v>314364.10928381718</v>
      </c>
      <c r="R205">
        <f t="shared" si="961"/>
        <v>-491702027.85330933</v>
      </c>
      <c r="S205">
        <f t="shared" si="962"/>
        <v>-4917.020278533093</v>
      </c>
      <c r="T205">
        <f t="shared" si="963"/>
        <v>-4.9170202785330934</v>
      </c>
    </row>
    <row r="206" spans="1:20" x14ac:dyDescent="0.25">
      <c r="A206" s="5">
        <v>44387</v>
      </c>
      <c r="B206">
        <v>3.7830000000000003E-2</v>
      </c>
      <c r="C206">
        <v>3.8359999999999998E-2</v>
      </c>
      <c r="D206">
        <v>3.6249999999999998E-2</v>
      </c>
      <c r="E206">
        <v>3.6670000000000001E-2</v>
      </c>
      <c r="F206">
        <v>1790044.2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-0.60189573459715306</v>
      </c>
      <c r="Q206">
        <f t="shared" si="960"/>
        <v>-1077419.9687203732</v>
      </c>
      <c r="R206">
        <f t="shared" si="961"/>
        <v>-492016391.96259314</v>
      </c>
      <c r="S206">
        <f t="shared" si="962"/>
        <v>-4920.1639196259312</v>
      </c>
      <c r="T206">
        <f t="shared" si="963"/>
        <v>-4.9201639196259315</v>
      </c>
    </row>
    <row r="207" spans="1:20" x14ac:dyDescent="0.25">
      <c r="A207" s="5">
        <v>44386</v>
      </c>
      <c r="B207">
        <v>3.7400000000000003E-2</v>
      </c>
      <c r="C207">
        <v>3.7999999999999999E-2</v>
      </c>
      <c r="D207">
        <v>3.5290000000000002E-2</v>
      </c>
      <c r="E207">
        <v>3.7830000000000003E-2</v>
      </c>
      <c r="F207">
        <v>3645270.9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0.87453874538745624</v>
      </c>
      <c r="Q207">
        <f t="shared" si="960"/>
        <v>3187930.6394834034</v>
      </c>
      <c r="R207">
        <f t="shared" si="961"/>
        <v>-490938971.99387276</v>
      </c>
      <c r="S207">
        <f t="shared" si="962"/>
        <v>-4909.3897199387275</v>
      </c>
      <c r="T207">
        <f t="shared" si="963"/>
        <v>-4.9093897199387273</v>
      </c>
    </row>
    <row r="208" spans="1:20" x14ac:dyDescent="0.25">
      <c r="A208" s="5">
        <v>44385</v>
      </c>
      <c r="B208">
        <v>3.9870000000000003E-2</v>
      </c>
      <c r="C208">
        <v>0.04</v>
      </c>
      <c r="D208">
        <v>3.6429999999999997E-2</v>
      </c>
      <c r="E208">
        <v>3.7539999999999997E-2</v>
      </c>
      <c r="F208">
        <v>2813327.1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-0.37815126050420239</v>
      </c>
      <c r="Q208">
        <f t="shared" si="960"/>
        <v>-1063863.1890756323</v>
      </c>
      <c r="R208">
        <f t="shared" si="961"/>
        <v>-494126902.63335615</v>
      </c>
      <c r="S208">
        <f t="shared" si="962"/>
        <v>-4941.2690263335617</v>
      </c>
      <c r="T208">
        <f t="shared" si="963"/>
        <v>-4.9412690263335612</v>
      </c>
    </row>
    <row r="209" spans="1:20" x14ac:dyDescent="0.25">
      <c r="A209" s="5">
        <v>44384</v>
      </c>
      <c r="B209">
        <v>3.9210000000000002E-2</v>
      </c>
      <c r="C209">
        <v>4.1349999999999998E-2</v>
      </c>
      <c r="D209">
        <v>3.8830000000000003E-2</v>
      </c>
      <c r="E209">
        <v>3.9870000000000003E-2</v>
      </c>
      <c r="F209">
        <v>3113469.7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-0.17460317460317337</v>
      </c>
      <c r="Q209">
        <f t="shared" si="960"/>
        <v>-543621.69365078991</v>
      </c>
      <c r="R209">
        <f t="shared" si="961"/>
        <v>-493063039.44428051</v>
      </c>
      <c r="S209">
        <f t="shared" si="962"/>
        <v>-4930.6303944428055</v>
      </c>
      <c r="T209">
        <f t="shared" si="963"/>
        <v>-4.9306303944428054</v>
      </c>
    </row>
    <row r="210" spans="1:20" x14ac:dyDescent="0.25">
      <c r="A210" s="5">
        <v>44383</v>
      </c>
      <c r="B210">
        <v>3.705E-2</v>
      </c>
      <c r="C210">
        <v>4.1200000000000001E-2</v>
      </c>
      <c r="D210">
        <v>3.6999999999999998E-2</v>
      </c>
      <c r="E210">
        <v>3.9239999999999997E-2</v>
      </c>
      <c r="F210">
        <v>7294285.7000000002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6.6666666666665569E-2</v>
      </c>
      <c r="Q210">
        <f t="shared" si="960"/>
        <v>486285.71333332534</v>
      </c>
      <c r="R210">
        <f t="shared" si="961"/>
        <v>-492519417.75062972</v>
      </c>
      <c r="S210">
        <f t="shared" si="962"/>
        <v>-4925.1941775062969</v>
      </c>
      <c r="T210">
        <f t="shared" si="963"/>
        <v>-4.9251941775062971</v>
      </c>
    </row>
    <row r="211" spans="1:20" x14ac:dyDescent="0.25">
      <c r="A211" s="5">
        <v>44382</v>
      </c>
      <c r="B211">
        <v>3.9269999999999999E-2</v>
      </c>
      <c r="C211">
        <v>0.04</v>
      </c>
      <c r="D211">
        <v>3.6139999999999999E-2</v>
      </c>
      <c r="E211">
        <v>3.7179999999999998E-2</v>
      </c>
      <c r="F211">
        <v>5919569.5999999996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-0.46113989637305769</v>
      </c>
      <c r="Q211">
        <f t="shared" si="960"/>
        <v>-2729749.7119171023</v>
      </c>
      <c r="R211">
        <f t="shared" si="961"/>
        <v>-493005703.46396303</v>
      </c>
      <c r="S211">
        <f t="shared" si="962"/>
        <v>-4930.0570346396307</v>
      </c>
      <c r="T211">
        <f t="shared" si="963"/>
        <v>-4.9300570346396304</v>
      </c>
    </row>
    <row r="212" spans="1:20" x14ac:dyDescent="0.25">
      <c r="A212" s="5">
        <v>44381</v>
      </c>
      <c r="B212">
        <v>3.8969999999999998E-2</v>
      </c>
      <c r="C212">
        <v>4.3999999999999997E-2</v>
      </c>
      <c r="D212">
        <v>3.7769999999999998E-2</v>
      </c>
      <c r="E212">
        <v>3.9399999999999998E-2</v>
      </c>
      <c r="F212">
        <v>24197497.300000001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-0.47672552166934201</v>
      </c>
      <c r="Q212">
        <f t="shared" si="960"/>
        <v>-11535564.523434995</v>
      </c>
      <c r="R212">
        <f t="shared" si="961"/>
        <v>-490275953.75204593</v>
      </c>
      <c r="S212">
        <f t="shared" si="962"/>
        <v>-4902.7595375204592</v>
      </c>
      <c r="T212">
        <f t="shared" si="963"/>
        <v>-4.9027595375204589</v>
      </c>
    </row>
    <row r="213" spans="1:20" x14ac:dyDescent="0.25">
      <c r="A213" s="5">
        <v>44380</v>
      </c>
      <c r="B213">
        <v>3.7420000000000002E-2</v>
      </c>
      <c r="C213">
        <v>4.0529999999999997E-2</v>
      </c>
      <c r="D213">
        <v>3.6940000000000001E-2</v>
      </c>
      <c r="E213">
        <v>3.8960000000000002E-2</v>
      </c>
      <c r="F213">
        <v>4914715.7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0.12534818941504358</v>
      </c>
      <c r="Q213">
        <f t="shared" si="960"/>
        <v>616050.71448468848</v>
      </c>
      <c r="R213">
        <f t="shared" si="961"/>
        <v>-478740389.22861093</v>
      </c>
      <c r="S213">
        <f t="shared" si="962"/>
        <v>-4787.4038922861091</v>
      </c>
      <c r="T213">
        <f t="shared" si="963"/>
        <v>-4.7874038922861093</v>
      </c>
    </row>
    <row r="214" spans="1:20" x14ac:dyDescent="0.25">
      <c r="A214" s="5">
        <v>44379</v>
      </c>
      <c r="B214">
        <v>3.6880000000000003E-2</v>
      </c>
      <c r="C214">
        <v>3.78E-2</v>
      </c>
      <c r="D214">
        <v>3.5340000000000003E-2</v>
      </c>
      <c r="E214">
        <v>3.7190000000000001E-2</v>
      </c>
      <c r="F214">
        <v>2203197.6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0.50406504065040636</v>
      </c>
      <c r="Q214">
        <f t="shared" si="960"/>
        <v>1110554.8878048777</v>
      </c>
      <c r="R214">
        <f t="shared" si="961"/>
        <v>-479356439.94309562</v>
      </c>
      <c r="S214">
        <f t="shared" si="962"/>
        <v>-4793.5643994309567</v>
      </c>
      <c r="T214">
        <f t="shared" si="963"/>
        <v>-4.7935643994309567</v>
      </c>
    </row>
    <row r="215" spans="1:20" x14ac:dyDescent="0.25">
      <c r="A215" s="5">
        <v>44378</v>
      </c>
      <c r="B215">
        <v>3.7830000000000003E-2</v>
      </c>
      <c r="C215">
        <v>3.8670000000000003E-2</v>
      </c>
      <c r="D215">
        <v>3.4939999999999999E-2</v>
      </c>
      <c r="E215">
        <v>3.6889999999999999E-2</v>
      </c>
      <c r="F215">
        <v>6453020.2000000002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4.5576407506701437E-2</v>
      </c>
      <c r="Q215">
        <f t="shared" si="960"/>
        <v>294105.47828417603</v>
      </c>
      <c r="R215">
        <f t="shared" si="961"/>
        <v>-480466994.83090049</v>
      </c>
      <c r="S215">
        <f t="shared" si="962"/>
        <v>-4804.6699483090051</v>
      </c>
      <c r="T215">
        <f t="shared" si="963"/>
        <v>-4.8046699483090052</v>
      </c>
    </row>
    <row r="216" spans="1:20" x14ac:dyDescent="0.25">
      <c r="A216" s="5">
        <v>44377</v>
      </c>
      <c r="B216">
        <v>4.0349999999999997E-2</v>
      </c>
      <c r="C216">
        <v>4.0390000000000002E-2</v>
      </c>
      <c r="D216">
        <v>3.569E-2</v>
      </c>
      <c r="E216">
        <v>3.7839999999999999E-2</v>
      </c>
      <c r="F216">
        <v>3161414.3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-8.5106382978724318E-2</v>
      </c>
      <c r="Q216">
        <f t="shared" si="960"/>
        <v>-269056.53617021564</v>
      </c>
      <c r="R216">
        <f t="shared" si="961"/>
        <v>-480761100.30918467</v>
      </c>
      <c r="S216">
        <f t="shared" si="962"/>
        <v>-4807.6110030918471</v>
      </c>
      <c r="T216">
        <f t="shared" si="963"/>
        <v>-4.8076110030918473</v>
      </c>
    </row>
    <row r="217" spans="1:20" x14ac:dyDescent="0.25">
      <c r="A217" s="5">
        <v>44376</v>
      </c>
      <c r="B217">
        <v>3.6290000000000003E-2</v>
      </c>
      <c r="C217">
        <v>4.2229999999999997E-2</v>
      </c>
      <c r="D217">
        <v>3.6020000000000003E-2</v>
      </c>
      <c r="E217">
        <v>4.018E-2</v>
      </c>
      <c r="F217">
        <v>14272252.800000001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0.33977455716586202</v>
      </c>
      <c r="Q217">
        <f t="shared" si="960"/>
        <v>4849348.3748792345</v>
      </c>
      <c r="R217">
        <f t="shared" si="961"/>
        <v>-480492043.77301443</v>
      </c>
      <c r="S217">
        <f t="shared" si="962"/>
        <v>-4804.9204377301439</v>
      </c>
      <c r="T217">
        <f t="shared" si="963"/>
        <v>-4.8049204377301438</v>
      </c>
    </row>
    <row r="218" spans="1:20" x14ac:dyDescent="0.25">
      <c r="A218" s="5">
        <v>44375</v>
      </c>
      <c r="B218">
        <v>3.3340000000000002E-2</v>
      </c>
      <c r="C218">
        <v>3.8600000000000002E-2</v>
      </c>
      <c r="D218">
        <v>3.3020000000000001E-2</v>
      </c>
      <c r="E218">
        <v>3.6299999999999999E-2</v>
      </c>
      <c r="F218">
        <v>6033101.7999999998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0.1756272401433682</v>
      </c>
      <c r="Q218">
        <f t="shared" si="960"/>
        <v>1059577.0186379869</v>
      </c>
      <c r="R218">
        <f t="shared" si="961"/>
        <v>-485341392.14789367</v>
      </c>
      <c r="S218">
        <f t="shared" si="962"/>
        <v>-4853.4139214789366</v>
      </c>
      <c r="T218">
        <f t="shared" si="963"/>
        <v>-4.8534139214789365</v>
      </c>
    </row>
    <row r="219" spans="1:20" x14ac:dyDescent="0.25">
      <c r="A219" s="5">
        <v>44374</v>
      </c>
      <c r="B219">
        <v>3.1629999999999998E-2</v>
      </c>
      <c r="C219">
        <v>3.3779999999999998E-2</v>
      </c>
      <c r="D219">
        <v>3.1140000000000001E-2</v>
      </c>
      <c r="E219">
        <v>3.3500000000000002E-2</v>
      </c>
      <c r="F219">
        <v>4577549.7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0.78787878787879095</v>
      </c>
      <c r="Q219">
        <f t="shared" si="960"/>
        <v>3606554.3090909235</v>
      </c>
      <c r="R219">
        <f t="shared" si="961"/>
        <v>-486400969.16653168</v>
      </c>
      <c r="S219">
        <f t="shared" si="962"/>
        <v>-4864.0096916653165</v>
      </c>
      <c r="T219">
        <f t="shared" si="963"/>
        <v>-4.8640096916653164</v>
      </c>
    </row>
    <row r="220" spans="1:20" x14ac:dyDescent="0.25">
      <c r="A220" s="5">
        <v>44373</v>
      </c>
      <c r="B220">
        <v>3.2629999999999999E-2</v>
      </c>
      <c r="C220">
        <v>3.3439999999999998E-2</v>
      </c>
      <c r="D220">
        <v>2.8029999999999999E-2</v>
      </c>
      <c r="E220">
        <v>3.1600000000000003E-2</v>
      </c>
      <c r="F220">
        <v>9032825.5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0.31977818853974305</v>
      </c>
      <c r="Q220">
        <f t="shared" si="960"/>
        <v>2888500.5757855987</v>
      </c>
      <c r="R220">
        <f t="shared" si="961"/>
        <v>-490007523.47562259</v>
      </c>
      <c r="S220">
        <f t="shared" si="962"/>
        <v>-4900.0752347562257</v>
      </c>
      <c r="T220">
        <f t="shared" si="963"/>
        <v>-4.9000752347562253</v>
      </c>
    </row>
    <row r="221" spans="1:20" x14ac:dyDescent="0.25">
      <c r="A221" s="5">
        <v>44372</v>
      </c>
      <c r="B221">
        <v>3.6499999999999998E-2</v>
      </c>
      <c r="C221">
        <v>3.85E-2</v>
      </c>
      <c r="D221">
        <v>3.2239999999999998E-2</v>
      </c>
      <c r="E221">
        <v>3.304E-2</v>
      </c>
      <c r="F221">
        <v>2519057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-0.7444089456869003</v>
      </c>
      <c r="Q221">
        <f t="shared" si="960"/>
        <v>-1875208.565495206</v>
      </c>
      <c r="R221">
        <f t="shared" si="961"/>
        <v>-492896024.05140817</v>
      </c>
      <c r="S221">
        <f t="shared" si="962"/>
        <v>-4928.9602405140813</v>
      </c>
      <c r="T221">
        <f t="shared" si="963"/>
        <v>-4.9289602405140815</v>
      </c>
    </row>
    <row r="222" spans="1:20" x14ac:dyDescent="0.25">
      <c r="A222" s="5">
        <v>44371</v>
      </c>
      <c r="B222">
        <v>3.5700000000000003E-2</v>
      </c>
      <c r="C222">
        <v>3.7089999999999998E-2</v>
      </c>
      <c r="D222">
        <v>3.3550000000000003E-2</v>
      </c>
      <c r="E222">
        <v>3.6360000000000003E-2</v>
      </c>
      <c r="F222">
        <v>2068907.2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0.58757062146892902</v>
      </c>
      <c r="Q222">
        <f t="shared" si="960"/>
        <v>1215629.0892655419</v>
      </c>
      <c r="R222">
        <f t="shared" si="961"/>
        <v>-491020815.48591298</v>
      </c>
      <c r="S222">
        <f t="shared" si="962"/>
        <v>-4910.2081548591295</v>
      </c>
      <c r="T222">
        <f t="shared" si="963"/>
        <v>-4.9102081548591299</v>
      </c>
    </row>
    <row r="223" spans="1:20" x14ac:dyDescent="0.25">
      <c r="A223" s="5">
        <v>44370</v>
      </c>
      <c r="B223">
        <v>3.1890000000000002E-2</v>
      </c>
      <c r="C223">
        <v>3.7490000000000002E-2</v>
      </c>
      <c r="D223">
        <v>3.1620000000000002E-2</v>
      </c>
      <c r="E223">
        <v>3.5569999999999997E-2</v>
      </c>
      <c r="F223">
        <v>3873189.3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0.34582623509369509</v>
      </c>
      <c r="Q223">
        <f t="shared" si="960"/>
        <v>1339450.4734241841</v>
      </c>
      <c r="R223">
        <f t="shared" si="961"/>
        <v>-492236444.5751785</v>
      </c>
      <c r="S223">
        <f t="shared" si="962"/>
        <v>-4922.3644457517848</v>
      </c>
      <c r="T223">
        <f t="shared" si="963"/>
        <v>-4.9223644457517848</v>
      </c>
    </row>
    <row r="224" spans="1:20" x14ac:dyDescent="0.25">
      <c r="A224" s="5">
        <v>44369</v>
      </c>
      <c r="B224">
        <v>3.4810000000000001E-2</v>
      </c>
      <c r="C224">
        <v>3.7109999999999997E-2</v>
      </c>
      <c r="D224">
        <v>2.7109999999999999E-2</v>
      </c>
      <c r="E224">
        <v>3.2009999999999997E-2</v>
      </c>
      <c r="F224">
        <v>7525475.5999999996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-2.0000000000000229E-2</v>
      </c>
      <c r="Q224">
        <f t="shared" si="960"/>
        <v>-150509.51200000171</v>
      </c>
      <c r="R224">
        <f t="shared" si="961"/>
        <v>-493575895.0486027</v>
      </c>
      <c r="S224">
        <f t="shared" si="962"/>
        <v>-4935.7589504860271</v>
      </c>
      <c r="T224">
        <f t="shared" si="963"/>
        <v>-4.9357589504860266</v>
      </c>
    </row>
    <row r="225" spans="1:20" x14ac:dyDescent="0.25">
      <c r="A225" s="5">
        <v>44368</v>
      </c>
      <c r="B225">
        <v>4.4920000000000002E-2</v>
      </c>
      <c r="C225">
        <v>4.5400000000000003E-2</v>
      </c>
      <c r="D225">
        <v>3.4930000000000003E-2</v>
      </c>
      <c r="E225">
        <v>3.4930000000000003E-2</v>
      </c>
      <c r="F225">
        <v>5352668.2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-1</v>
      </c>
      <c r="Q225">
        <f t="shared" si="960"/>
        <v>-5352668.2</v>
      </c>
      <c r="R225">
        <f t="shared" si="961"/>
        <v>-493425385.53660268</v>
      </c>
      <c r="S225">
        <f t="shared" si="962"/>
        <v>-4934.253855366027</v>
      </c>
      <c r="T225">
        <f t="shared" si="963"/>
        <v>-4.9342538553660269</v>
      </c>
    </row>
    <row r="226" spans="1:20" x14ac:dyDescent="0.25">
      <c r="A226" s="5">
        <v>44367</v>
      </c>
      <c r="B226">
        <v>4.5749999999999999E-2</v>
      </c>
      <c r="C226">
        <v>4.666E-2</v>
      </c>
      <c r="D226">
        <v>4.0779999999999997E-2</v>
      </c>
      <c r="E226">
        <v>4.5100000000000001E-2</v>
      </c>
      <c r="F226">
        <v>4039518.9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0.4693877551020415</v>
      </c>
      <c r="Q226">
        <f t="shared" si="960"/>
        <v>1896100.7081632679</v>
      </c>
      <c r="R226">
        <f t="shared" si="961"/>
        <v>-488072717.33660269</v>
      </c>
      <c r="S226">
        <f t="shared" si="962"/>
        <v>-4880.7271733660273</v>
      </c>
      <c r="T226">
        <f t="shared" si="963"/>
        <v>-4.8807271733660276</v>
      </c>
    </row>
    <row r="227" spans="1:20" x14ac:dyDescent="0.25">
      <c r="A227" s="5">
        <v>44366</v>
      </c>
      <c r="B227">
        <v>4.6940000000000003E-2</v>
      </c>
      <c r="C227">
        <v>4.8669999999999998E-2</v>
      </c>
      <c r="D227">
        <v>4.5429999999999998E-2</v>
      </c>
      <c r="E227">
        <v>4.5769999999999998E-2</v>
      </c>
      <c r="F227">
        <v>3967338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-0.79012345679012341</v>
      </c>
      <c r="Q227">
        <f t="shared" si="960"/>
        <v>-3134686.8148148148</v>
      </c>
      <c r="R227">
        <f t="shared" si="961"/>
        <v>-489968818.04476595</v>
      </c>
      <c r="S227">
        <f t="shared" si="962"/>
        <v>-4899.6881804476598</v>
      </c>
      <c r="T227">
        <f t="shared" si="963"/>
        <v>-4.8996881804476597</v>
      </c>
    </row>
    <row r="228" spans="1:20" x14ac:dyDescent="0.25">
      <c r="A228" s="5">
        <v>44365</v>
      </c>
      <c r="B228">
        <v>5.0540000000000002E-2</v>
      </c>
      <c r="C228">
        <v>5.3900000000000003E-2</v>
      </c>
      <c r="D228">
        <v>4.6120000000000001E-2</v>
      </c>
      <c r="E228">
        <v>4.6949999999999999E-2</v>
      </c>
      <c r="F228">
        <v>7923288.5999999996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-0.78663239074550206</v>
      </c>
      <c r="Q228">
        <f t="shared" si="960"/>
        <v>-6232715.4539845819</v>
      </c>
      <c r="R228">
        <f t="shared" si="961"/>
        <v>-486834131.22995114</v>
      </c>
      <c r="S228">
        <f t="shared" si="962"/>
        <v>-4868.3413122995116</v>
      </c>
      <c r="T228">
        <f t="shared" si="963"/>
        <v>-4.8683413122995116</v>
      </c>
    </row>
    <row r="229" spans="1:20" x14ac:dyDescent="0.25">
      <c r="A229" s="5">
        <v>44364</v>
      </c>
      <c r="B229">
        <v>5.1290000000000002E-2</v>
      </c>
      <c r="C229">
        <v>5.4989999999999997E-2</v>
      </c>
      <c r="D229">
        <v>4.9329999999999999E-2</v>
      </c>
      <c r="E229">
        <v>5.0549999999999998E-2</v>
      </c>
      <c r="F229">
        <v>9553705.5999999996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-0.56890459363957624</v>
      </c>
      <c r="Q229">
        <f t="shared" si="960"/>
        <v>-5435147.0021201437</v>
      </c>
      <c r="R229">
        <f t="shared" si="961"/>
        <v>-480601415.77596658</v>
      </c>
      <c r="S229">
        <f t="shared" si="962"/>
        <v>-4806.014157759666</v>
      </c>
      <c r="T229">
        <f t="shared" si="963"/>
        <v>-4.806014157759666</v>
      </c>
    </row>
    <row r="230" spans="1:20" x14ac:dyDescent="0.25">
      <c r="A230" s="5">
        <v>44363</v>
      </c>
      <c r="B230">
        <v>5.2470000000000003E-2</v>
      </c>
      <c r="C230">
        <v>5.57E-2</v>
      </c>
      <c r="D230">
        <v>5.015E-2</v>
      </c>
      <c r="E230">
        <v>5.1119999999999999E-2</v>
      </c>
      <c r="F230">
        <v>9714491.0999999996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-0.65045045045045091</v>
      </c>
      <c r="Q230">
        <f t="shared" si="960"/>
        <v>-6318795.1118918965</v>
      </c>
      <c r="R230">
        <f t="shared" si="961"/>
        <v>-475166268.77384645</v>
      </c>
      <c r="S230">
        <f t="shared" si="962"/>
        <v>-4751.6626877384642</v>
      </c>
      <c r="T230">
        <f t="shared" si="963"/>
        <v>-4.751662687738464</v>
      </c>
    </row>
    <row r="231" spans="1:20" x14ac:dyDescent="0.25">
      <c r="A231" s="5">
        <v>44362</v>
      </c>
      <c r="B231">
        <v>5.3740000000000003E-2</v>
      </c>
      <c r="C231">
        <v>6.1629999999999997E-2</v>
      </c>
      <c r="D231">
        <v>5.1479999999999998E-2</v>
      </c>
      <c r="E231">
        <v>5.2630000000000003E-2</v>
      </c>
      <c r="F231">
        <v>30708331.800000001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-0.77339901477832407</v>
      </c>
      <c r="Q231">
        <f t="shared" si="960"/>
        <v>-23749793.559605878</v>
      </c>
      <c r="R231">
        <f t="shared" si="961"/>
        <v>-468847473.66195452</v>
      </c>
      <c r="S231">
        <f t="shared" si="962"/>
        <v>-4688.4747366195452</v>
      </c>
      <c r="T231">
        <f t="shared" si="963"/>
        <v>-4.6884747366195452</v>
      </c>
    </row>
    <row r="232" spans="1:20" x14ac:dyDescent="0.25">
      <c r="A232" s="5">
        <v>44361</v>
      </c>
      <c r="B232">
        <v>5.2130000000000003E-2</v>
      </c>
      <c r="C232">
        <v>5.4559999999999997E-2</v>
      </c>
      <c r="D232">
        <v>4.9439999999999998E-2</v>
      </c>
      <c r="E232">
        <v>5.3740000000000003E-2</v>
      </c>
      <c r="F232">
        <v>8733709.1999999993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0.67968750000000222</v>
      </c>
      <c r="Q232">
        <f t="shared" si="960"/>
        <v>5936192.9718750184</v>
      </c>
      <c r="R232">
        <f t="shared" si="961"/>
        <v>-445097680.10234863</v>
      </c>
      <c r="S232">
        <f t="shared" si="962"/>
        <v>-4450.9768010234866</v>
      </c>
      <c r="T232">
        <f t="shared" si="963"/>
        <v>-4.4509768010234865</v>
      </c>
    </row>
    <row r="233" spans="1:20" x14ac:dyDescent="0.25">
      <c r="A233" s="5">
        <v>44360</v>
      </c>
      <c r="B233">
        <v>4.9320000000000003E-2</v>
      </c>
      <c r="C233">
        <v>5.2170000000000001E-2</v>
      </c>
      <c r="D233">
        <v>4.7570000000000001E-2</v>
      </c>
      <c r="E233">
        <v>5.2139999999999999E-2</v>
      </c>
      <c r="F233">
        <v>8976034.9000000004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0.98695652173912951</v>
      </c>
      <c r="Q233">
        <f t="shared" si="960"/>
        <v>8858956.1839130353</v>
      </c>
      <c r="R233">
        <f t="shared" si="961"/>
        <v>-451033873.07422364</v>
      </c>
      <c r="S233">
        <f t="shared" si="962"/>
        <v>-4510.3387307422363</v>
      </c>
      <c r="T233">
        <f t="shared" si="963"/>
        <v>-4.5103387307422365</v>
      </c>
    </row>
    <row r="234" spans="1:20" x14ac:dyDescent="0.25">
      <c r="A234" s="5">
        <v>44359</v>
      </c>
      <c r="B234">
        <v>5.0229999999999997E-2</v>
      </c>
      <c r="C234">
        <v>5.219E-2</v>
      </c>
      <c r="D234">
        <v>4.65E-2</v>
      </c>
      <c r="E234">
        <v>4.9329999999999999E-2</v>
      </c>
      <c r="F234">
        <v>10852458.6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-5.2724077328650696E-3</v>
      </c>
      <c r="Q234">
        <f t="shared" si="960"/>
        <v>-57218.586643238028</v>
      </c>
      <c r="R234">
        <f t="shared" si="961"/>
        <v>-459892829.25813669</v>
      </c>
      <c r="S234">
        <f t="shared" si="962"/>
        <v>-4598.9282925813668</v>
      </c>
      <c r="T234">
        <f t="shared" si="963"/>
        <v>-4.598928292581367</v>
      </c>
    </row>
    <row r="235" spans="1:20" x14ac:dyDescent="0.25">
      <c r="A235" s="5">
        <v>44358</v>
      </c>
      <c r="B235">
        <v>6.2770000000000006E-2</v>
      </c>
      <c r="C235">
        <v>6.7349999999999993E-2</v>
      </c>
      <c r="D235">
        <v>4.9829999999999999E-2</v>
      </c>
      <c r="E235">
        <v>5.024E-2</v>
      </c>
      <c r="F235">
        <v>51265046.200000003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-0.95319634703196343</v>
      </c>
      <c r="Q235">
        <f t="shared" si="960"/>
        <v>-48865654.768264838</v>
      </c>
      <c r="R235">
        <f t="shared" si="961"/>
        <v>-459835610.67149347</v>
      </c>
      <c r="S235">
        <f t="shared" si="962"/>
        <v>-4598.3561067149349</v>
      </c>
      <c r="T235">
        <f t="shared" si="963"/>
        <v>-4.5983561067149346</v>
      </c>
    </row>
    <row r="236" spans="1:20" x14ac:dyDescent="0.25">
      <c r="A236" s="5">
        <v>44357</v>
      </c>
      <c r="B236">
        <v>5.1429999999999997E-2</v>
      </c>
      <c r="C236">
        <v>9.4469999999999998E-2</v>
      </c>
      <c r="D236">
        <v>5.083E-2</v>
      </c>
      <c r="E236">
        <v>6.2770000000000006E-2</v>
      </c>
      <c r="F236">
        <v>295118698.89999998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-0.4527956003666358</v>
      </c>
      <c r="Q236">
        <f t="shared" si="960"/>
        <v>-133628448.44784591</v>
      </c>
      <c r="R236">
        <f t="shared" si="961"/>
        <v>-410969955.90322864</v>
      </c>
      <c r="S236">
        <f t="shared" si="962"/>
        <v>-4109.6995590322867</v>
      </c>
      <c r="T236">
        <f t="shared" si="963"/>
        <v>-4.1096995590322871</v>
      </c>
    </row>
    <row r="237" spans="1:20" x14ac:dyDescent="0.25">
      <c r="A237" s="5">
        <v>44356</v>
      </c>
      <c r="B237">
        <v>4.7960000000000003E-2</v>
      </c>
      <c r="C237">
        <v>5.1999999999999998E-2</v>
      </c>
      <c r="D237">
        <v>4.4609999999999997E-2</v>
      </c>
      <c r="E237">
        <v>5.1720000000000002E-2</v>
      </c>
      <c r="F237">
        <v>6602326.2999999998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0.92422192151556282</v>
      </c>
      <c r="Q237">
        <f t="shared" si="960"/>
        <v>6102014.699458736</v>
      </c>
      <c r="R237">
        <f t="shared" si="961"/>
        <v>-277341507.45538276</v>
      </c>
      <c r="S237">
        <f t="shared" si="962"/>
        <v>-2773.4150745538277</v>
      </c>
      <c r="T237">
        <f t="shared" si="963"/>
        <v>-2.7734150745538275</v>
      </c>
    </row>
    <row r="238" spans="1:20" x14ac:dyDescent="0.25">
      <c r="A238" s="5">
        <v>44355</v>
      </c>
      <c r="B238">
        <v>4.8890000000000003E-2</v>
      </c>
      <c r="C238">
        <v>5.0520000000000002E-2</v>
      </c>
      <c r="D238">
        <v>4.2410000000000003E-2</v>
      </c>
      <c r="E238">
        <v>4.7960000000000003E-2</v>
      </c>
      <c r="F238">
        <v>3362778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0.36868064118372379</v>
      </c>
      <c r="Q238">
        <f t="shared" si="960"/>
        <v>1239791.1491985202</v>
      </c>
      <c r="R238">
        <f t="shared" si="961"/>
        <v>-283443522.15484148</v>
      </c>
      <c r="S238">
        <f t="shared" si="962"/>
        <v>-2834.435221548415</v>
      </c>
      <c r="T238">
        <f t="shared" si="963"/>
        <v>-2.8344352215484152</v>
      </c>
    </row>
    <row r="239" spans="1:20" x14ac:dyDescent="0.25">
      <c r="A239" s="5">
        <v>44354</v>
      </c>
      <c r="B239">
        <v>5.8279999999999998E-2</v>
      </c>
      <c r="C239">
        <v>0.06</v>
      </c>
      <c r="D239">
        <v>4.777E-2</v>
      </c>
      <c r="E239">
        <v>4.8280000000000003E-2</v>
      </c>
      <c r="F239">
        <v>6399394.2999999998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-0.91659852820932075</v>
      </c>
      <c r="Q239">
        <f t="shared" si="960"/>
        <v>-5865675.3968111165</v>
      </c>
      <c r="R239">
        <f t="shared" si="961"/>
        <v>-284683313.30404001</v>
      </c>
      <c r="S239">
        <f t="shared" si="962"/>
        <v>-2846.8331330404003</v>
      </c>
      <c r="T239">
        <f t="shared" si="963"/>
        <v>-2.8468331330404002</v>
      </c>
    </row>
    <row r="240" spans="1:20" x14ac:dyDescent="0.25">
      <c r="A240" s="5">
        <v>44353</v>
      </c>
      <c r="B240">
        <v>5.3069999999999999E-2</v>
      </c>
      <c r="C240">
        <v>6.1499999999999999E-2</v>
      </c>
      <c r="D240">
        <v>5.2510000000000001E-2</v>
      </c>
      <c r="E240">
        <v>5.8279999999999998E-2</v>
      </c>
      <c r="F240">
        <v>13917983.6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0.28364849833147909</v>
      </c>
      <c r="Q240">
        <f t="shared" si="960"/>
        <v>3947815.1479421533</v>
      </c>
      <c r="R240">
        <f t="shared" si="961"/>
        <v>-278817637.90722889</v>
      </c>
      <c r="S240">
        <f t="shared" si="962"/>
        <v>-2788.1763790722889</v>
      </c>
      <c r="T240">
        <f t="shared" si="963"/>
        <v>-2.7881763790722891</v>
      </c>
    </row>
    <row r="241" spans="1:20" x14ac:dyDescent="0.25">
      <c r="A241" s="5">
        <v>44352</v>
      </c>
      <c r="B241">
        <v>5.7259999999999998E-2</v>
      </c>
      <c r="C241">
        <v>6.5680000000000002E-2</v>
      </c>
      <c r="D241">
        <v>5.0999999999999997E-2</v>
      </c>
      <c r="E241">
        <v>5.3060000000000003E-2</v>
      </c>
      <c r="F241">
        <v>5757772.5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-0.71934604904632082</v>
      </c>
      <c r="Q241">
        <f t="shared" si="960"/>
        <v>-4141830.8991825571</v>
      </c>
      <c r="R241">
        <f t="shared" si="961"/>
        <v>-282765453.05517101</v>
      </c>
      <c r="S241">
        <f t="shared" si="962"/>
        <v>-2827.6545305517102</v>
      </c>
      <c r="T241">
        <f t="shared" si="963"/>
        <v>-2.82765453055171</v>
      </c>
    </row>
    <row r="242" spans="1:20" x14ac:dyDescent="0.25">
      <c r="A242" s="5">
        <v>44351</v>
      </c>
      <c r="B242">
        <v>6.2420000000000003E-2</v>
      </c>
      <c r="C242">
        <v>6.2449999999999999E-2</v>
      </c>
      <c r="D242">
        <v>5.3650000000000003E-2</v>
      </c>
      <c r="E242">
        <v>5.7329999999999999E-2</v>
      </c>
      <c r="F242">
        <v>3083032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-0.16363636363636416</v>
      </c>
      <c r="Q242">
        <f t="shared" si="960"/>
        <v>-504496.14545454708</v>
      </c>
      <c r="R242">
        <f t="shared" si="961"/>
        <v>-278623622.15598845</v>
      </c>
      <c r="S242">
        <f t="shared" si="962"/>
        <v>-2786.2362215598846</v>
      </c>
      <c r="T242">
        <f t="shared" si="963"/>
        <v>-2.7862362215598848</v>
      </c>
    </row>
    <row r="243" spans="1:20" x14ac:dyDescent="0.25">
      <c r="A243" s="5">
        <v>44350</v>
      </c>
      <c r="B243">
        <v>5.6000000000000001E-2</v>
      </c>
      <c r="C243">
        <v>6.6449999999999995E-2</v>
      </c>
      <c r="D243">
        <v>5.5E-2</v>
      </c>
      <c r="E243">
        <v>6.2330000000000003E-2</v>
      </c>
      <c r="F243">
        <v>4781421.5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0.28034934497816705</v>
      </c>
      <c r="Q243">
        <f t="shared" si="960"/>
        <v>1340468.3855895249</v>
      </c>
      <c r="R243">
        <f t="shared" si="961"/>
        <v>-278119126.01053393</v>
      </c>
      <c r="S243">
        <f t="shared" si="962"/>
        <v>-2781.1912601053391</v>
      </c>
      <c r="T243">
        <f t="shared" si="963"/>
        <v>-2.7811912601053392</v>
      </c>
    </row>
    <row r="244" spans="1:20" x14ac:dyDescent="0.25">
      <c r="A244" s="5">
        <v>44349</v>
      </c>
      <c r="B244">
        <v>5.2999999999999999E-2</v>
      </c>
      <c r="C244">
        <v>5.7049999999999997E-2</v>
      </c>
      <c r="D244">
        <v>5.185E-2</v>
      </c>
      <c r="E244">
        <v>5.5899999999999998E-2</v>
      </c>
      <c r="F244">
        <v>1191368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0.55769230769230804</v>
      </c>
      <c r="Q244">
        <f t="shared" si="960"/>
        <v>664416.7692307696</v>
      </c>
      <c r="R244">
        <f t="shared" si="961"/>
        <v>-279459594.39612347</v>
      </c>
      <c r="S244">
        <f t="shared" si="962"/>
        <v>-2794.5959439612348</v>
      </c>
      <c r="T244">
        <f t="shared" si="963"/>
        <v>-2.7945959439612347</v>
      </c>
    </row>
    <row r="245" spans="1:20" x14ac:dyDescent="0.25">
      <c r="A245" s="5">
        <v>44348</v>
      </c>
      <c r="B245">
        <v>5.552E-2</v>
      </c>
      <c r="C245">
        <v>5.6079999999999998E-2</v>
      </c>
      <c r="D245">
        <v>5.1499999999999997E-2</v>
      </c>
      <c r="E245">
        <v>5.2999999999999999E-2</v>
      </c>
      <c r="F245">
        <v>1655612.7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-0.34497816593886416</v>
      </c>
      <c r="Q245">
        <f t="shared" si="960"/>
        <v>-571150.23275109089</v>
      </c>
      <c r="R245">
        <f t="shared" si="961"/>
        <v>-280124011.16535425</v>
      </c>
      <c r="S245">
        <f t="shared" si="962"/>
        <v>-2801.2401116535425</v>
      </c>
      <c r="T245">
        <f t="shared" si="963"/>
        <v>-2.8012401116535424</v>
      </c>
    </row>
    <row r="246" spans="1:20" x14ac:dyDescent="0.25">
      <c r="A246" s="5">
        <v>44347</v>
      </c>
      <c r="B246">
        <v>5.4510000000000003E-2</v>
      </c>
      <c r="C246">
        <v>5.552E-2</v>
      </c>
      <c r="D246">
        <v>4.9000000000000002E-2</v>
      </c>
      <c r="E246">
        <v>5.552E-2</v>
      </c>
      <c r="F246">
        <v>3255351.2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1</v>
      </c>
      <c r="Q246">
        <f t="shared" si="960"/>
        <v>3255351.2</v>
      </c>
      <c r="R246">
        <f t="shared" si="961"/>
        <v>-279552860.93260318</v>
      </c>
      <c r="S246">
        <f t="shared" si="962"/>
        <v>-2795.528609326032</v>
      </c>
      <c r="T246">
        <f t="shared" si="963"/>
        <v>-2.7955286093260319</v>
      </c>
    </row>
    <row r="247" spans="1:20" x14ac:dyDescent="0.25">
      <c r="A247" s="5">
        <v>44346</v>
      </c>
      <c r="B247">
        <v>5.0639999999999998E-2</v>
      </c>
      <c r="C247">
        <v>5.5890000000000002E-2</v>
      </c>
      <c r="D247">
        <v>4.7579999999999997E-2</v>
      </c>
      <c r="E247">
        <v>5.4010000000000002E-2</v>
      </c>
      <c r="F247">
        <v>1731586.7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0.54753309265944683</v>
      </c>
      <c r="Q247">
        <f t="shared" si="960"/>
        <v>948101.02105896571</v>
      </c>
      <c r="R247">
        <f t="shared" si="961"/>
        <v>-282808212.13260317</v>
      </c>
      <c r="S247">
        <f t="shared" si="962"/>
        <v>-2828.0821213260315</v>
      </c>
      <c r="T247">
        <f t="shared" si="963"/>
        <v>-2.8280821213260317</v>
      </c>
    </row>
    <row r="248" spans="1:20" x14ac:dyDescent="0.25">
      <c r="A248" s="5">
        <v>44345</v>
      </c>
      <c r="B248">
        <v>5.4089999999999999E-2</v>
      </c>
      <c r="C248">
        <v>5.672E-2</v>
      </c>
      <c r="D248">
        <v>4.7419999999999997E-2</v>
      </c>
      <c r="E248">
        <v>5.0639999999999998E-2</v>
      </c>
      <c r="F248">
        <v>3970059.5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-0.30752688172043019</v>
      </c>
      <c r="Q248">
        <f t="shared" si="960"/>
        <v>-1220900.0182795702</v>
      </c>
      <c r="R248">
        <f t="shared" si="961"/>
        <v>-283756313.15366215</v>
      </c>
      <c r="S248">
        <f t="shared" si="962"/>
        <v>-2837.5631315366213</v>
      </c>
      <c r="T248">
        <f t="shared" si="963"/>
        <v>-2.8375631315366214</v>
      </c>
    </row>
    <row r="249" spans="1:20" x14ac:dyDescent="0.25">
      <c r="A249" s="5">
        <v>44344</v>
      </c>
      <c r="B249">
        <v>6.4430000000000001E-2</v>
      </c>
      <c r="C249">
        <v>6.6309999999999994E-2</v>
      </c>
      <c r="D249">
        <v>5.0889999999999998E-2</v>
      </c>
      <c r="E249">
        <v>5.4100000000000002E-2</v>
      </c>
      <c r="F249">
        <v>5792646.2999999998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-0.58365758754863739</v>
      </c>
      <c r="Q249">
        <f t="shared" si="960"/>
        <v>-3380921.9649805403</v>
      </c>
      <c r="R249">
        <f t="shared" si="961"/>
        <v>-282535413.13538259</v>
      </c>
      <c r="S249">
        <f t="shared" si="962"/>
        <v>-2825.3541313538258</v>
      </c>
      <c r="T249">
        <f t="shared" si="963"/>
        <v>-2.825354131353826</v>
      </c>
    </row>
    <row r="250" spans="1:20" x14ac:dyDescent="0.25">
      <c r="A250" s="5">
        <v>44343</v>
      </c>
      <c r="B250">
        <v>5.9619999999999999E-2</v>
      </c>
      <c r="C250">
        <v>7.5770000000000004E-2</v>
      </c>
      <c r="D250">
        <v>5.3510000000000002E-2</v>
      </c>
      <c r="E250">
        <v>6.4820000000000003E-2</v>
      </c>
      <c r="F250">
        <v>14033364.199999999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1.6172506738544437E-2</v>
      </c>
      <c r="Q250">
        <f t="shared" si="960"/>
        <v>226954.67708894826</v>
      </c>
      <c r="R250">
        <f t="shared" si="961"/>
        <v>-279154491.17040205</v>
      </c>
      <c r="S250">
        <f t="shared" si="962"/>
        <v>-2791.5449117040207</v>
      </c>
      <c r="T250">
        <f t="shared" si="963"/>
        <v>-2.7915449117040207</v>
      </c>
    </row>
    <row r="251" spans="1:20" x14ac:dyDescent="0.25">
      <c r="A251" s="5">
        <v>44342</v>
      </c>
      <c r="B251">
        <v>5.5160000000000001E-2</v>
      </c>
      <c r="C251">
        <v>6.3990000000000005E-2</v>
      </c>
      <c r="D251">
        <v>5.2900000000000003E-2</v>
      </c>
      <c r="E251">
        <v>6.003E-2</v>
      </c>
      <c r="F251">
        <v>6591439.2999999998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0.28584310189359707</v>
      </c>
      <c r="Q251">
        <f t="shared" si="960"/>
        <v>1884117.45545536</v>
      </c>
      <c r="R251">
        <f t="shared" si="961"/>
        <v>-279381445.84749103</v>
      </c>
      <c r="S251">
        <f t="shared" si="962"/>
        <v>-2793.8144584749102</v>
      </c>
      <c r="T251">
        <f t="shared" si="963"/>
        <v>-2.7938144584749103</v>
      </c>
    </row>
    <row r="252" spans="1:20" x14ac:dyDescent="0.25">
      <c r="A252" s="5">
        <v>44341</v>
      </c>
      <c r="B252">
        <v>5.1049999999999998E-2</v>
      </c>
      <c r="C252">
        <v>5.5590000000000001E-2</v>
      </c>
      <c r="D252">
        <v>4.7030000000000002E-2</v>
      </c>
      <c r="E252">
        <v>5.5280000000000003E-2</v>
      </c>
      <c r="F252">
        <v>6245058.7000000002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0.92757009345794439</v>
      </c>
      <c r="Q252">
        <f t="shared" si="960"/>
        <v>5792729.6820093486</v>
      </c>
      <c r="R252">
        <f t="shared" si="961"/>
        <v>-281265563.30294639</v>
      </c>
      <c r="S252">
        <f t="shared" si="962"/>
        <v>-2812.6556330294638</v>
      </c>
      <c r="T252">
        <f t="shared" si="963"/>
        <v>-2.8126556330294639</v>
      </c>
    </row>
    <row r="253" spans="1:20" x14ac:dyDescent="0.25">
      <c r="A253" s="5">
        <v>44340</v>
      </c>
      <c r="B253">
        <v>4.0980000000000003E-2</v>
      </c>
      <c r="C253">
        <v>5.1999999999999998E-2</v>
      </c>
      <c r="D253">
        <v>4.0500000000000001E-2</v>
      </c>
      <c r="E253">
        <v>5.058E-2</v>
      </c>
      <c r="F253">
        <v>4694345.3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0.75304347826086993</v>
      </c>
      <c r="Q253">
        <f t="shared" si="960"/>
        <v>3535046.1128695668</v>
      </c>
      <c r="R253">
        <f t="shared" si="961"/>
        <v>-287058292.98495573</v>
      </c>
      <c r="S253">
        <f t="shared" si="962"/>
        <v>-2870.5829298495573</v>
      </c>
      <c r="T253">
        <f t="shared" si="963"/>
        <v>-2.8705829298495575</v>
      </c>
    </row>
    <row r="254" spans="1:20" x14ac:dyDescent="0.25">
      <c r="A254" s="5">
        <v>44339</v>
      </c>
      <c r="B254">
        <v>4.8239999999999998E-2</v>
      </c>
      <c r="C254">
        <v>4.8890000000000003E-2</v>
      </c>
      <c r="D254">
        <v>3.406E-2</v>
      </c>
      <c r="E254">
        <v>4.0840000000000001E-2</v>
      </c>
      <c r="F254">
        <v>4849627.5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-8.5637221847606207E-2</v>
      </c>
      <c r="Q254">
        <f t="shared" si="960"/>
        <v>-415308.62609575188</v>
      </c>
      <c r="R254">
        <f t="shared" si="961"/>
        <v>-290593339.09782529</v>
      </c>
      <c r="S254">
        <f t="shared" si="962"/>
        <v>-2905.9333909782531</v>
      </c>
      <c r="T254">
        <f t="shared" si="963"/>
        <v>-2.905933390978253</v>
      </c>
    </row>
    <row r="255" spans="1:20" x14ac:dyDescent="0.25">
      <c r="A255" s="5">
        <v>44338</v>
      </c>
      <c r="B255">
        <v>4.827E-2</v>
      </c>
      <c r="C255">
        <v>5.049E-2</v>
      </c>
      <c r="D255">
        <v>4.3630000000000002E-2</v>
      </c>
      <c r="E255">
        <v>4.8070000000000002E-2</v>
      </c>
      <c r="F255">
        <v>3102445.5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0.29446064139941713</v>
      </c>
      <c r="Q255">
        <f t="shared" si="960"/>
        <v>913548.09183673537</v>
      </c>
      <c r="R255">
        <f t="shared" si="961"/>
        <v>-290178030.47172952</v>
      </c>
      <c r="S255">
        <f t="shared" si="962"/>
        <v>-2901.7803047172952</v>
      </c>
      <c r="T255">
        <f t="shared" si="963"/>
        <v>-2.901780304717295</v>
      </c>
    </row>
    <row r="256" spans="1:20" x14ac:dyDescent="0.25">
      <c r="A256" s="5">
        <v>44337</v>
      </c>
      <c r="B256">
        <v>5.8099999999999999E-2</v>
      </c>
      <c r="C256">
        <v>6.2640000000000001E-2</v>
      </c>
      <c r="D256">
        <v>4.233E-2</v>
      </c>
      <c r="E256">
        <v>4.7370000000000002E-2</v>
      </c>
      <c r="F256">
        <v>5566207.7999999998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-0.50369276218611503</v>
      </c>
      <c r="Q256">
        <f t="shared" si="960"/>
        <v>-2803658.5816838983</v>
      </c>
      <c r="R256">
        <f t="shared" si="961"/>
        <v>-291091578.56356627</v>
      </c>
      <c r="S256">
        <f t="shared" si="962"/>
        <v>-2910.9157856356628</v>
      </c>
      <c r="T256">
        <f t="shared" si="963"/>
        <v>-2.9109157856356629</v>
      </c>
    </row>
    <row r="257" spans="1:20" x14ac:dyDescent="0.25">
      <c r="A257" s="5">
        <v>44336</v>
      </c>
      <c r="B257">
        <v>5.4170000000000003E-2</v>
      </c>
      <c r="C257">
        <v>6.6890000000000005E-2</v>
      </c>
      <c r="D257">
        <v>4.7849999999999997E-2</v>
      </c>
      <c r="E257">
        <v>5.8369999999999998E-2</v>
      </c>
      <c r="F257">
        <v>7165621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0.10504201680672237</v>
      </c>
      <c r="Q257">
        <f t="shared" si="960"/>
        <v>752691.28151260281</v>
      </c>
      <c r="R257">
        <f t="shared" si="961"/>
        <v>-288287919.98188239</v>
      </c>
      <c r="S257">
        <f t="shared" si="962"/>
        <v>-2882.879199818824</v>
      </c>
      <c r="T257">
        <f t="shared" si="963"/>
        <v>-2.8828791998188241</v>
      </c>
    </row>
    <row r="258" spans="1:20" x14ac:dyDescent="0.25">
      <c r="A258" s="5">
        <v>44335</v>
      </c>
      <c r="B258">
        <v>8.6959999999999996E-2</v>
      </c>
      <c r="C258">
        <v>8.9120000000000005E-2</v>
      </c>
      <c r="D258">
        <v>4.0230000000000002E-2</v>
      </c>
      <c r="E258">
        <v>5.305E-2</v>
      </c>
      <c r="F258">
        <v>14497047.800000001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-0.4755573736960525</v>
      </c>
      <c r="Q258">
        <f t="shared" si="960"/>
        <v>-6894177.9781141365</v>
      </c>
      <c r="R258">
        <f t="shared" si="961"/>
        <v>-289040611.26339501</v>
      </c>
      <c r="S258">
        <f t="shared" si="962"/>
        <v>-2890.4061126339502</v>
      </c>
      <c r="T258">
        <f t="shared" si="963"/>
        <v>-2.8904061126339502</v>
      </c>
    </row>
    <row r="259" spans="1:20" x14ac:dyDescent="0.25">
      <c r="A259" s="5">
        <v>44334</v>
      </c>
      <c r="B259">
        <v>8.5089999999999999E-2</v>
      </c>
      <c r="C259">
        <v>9.2069999999999999E-2</v>
      </c>
      <c r="D259">
        <v>8.5000000000000006E-2</v>
      </c>
      <c r="E259">
        <v>8.7620000000000003E-2</v>
      </c>
      <c r="F259">
        <v>3025762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-0.25884016973125884</v>
      </c>
      <c r="Q259">
        <f t="shared" si="960"/>
        <v>-783188.74964639323</v>
      </c>
      <c r="R259">
        <f t="shared" si="961"/>
        <v>-282146433.28528088</v>
      </c>
      <c r="S259">
        <f t="shared" si="962"/>
        <v>-2821.4643328528086</v>
      </c>
      <c r="T259">
        <f t="shared" si="963"/>
        <v>-2.8214643328528086</v>
      </c>
    </row>
    <row r="260" spans="1:20" x14ac:dyDescent="0.25">
      <c r="A260" s="5">
        <v>44333</v>
      </c>
      <c r="B260">
        <v>9.6979999999999997E-2</v>
      </c>
      <c r="C260">
        <v>9.7000000000000003E-2</v>
      </c>
      <c r="D260">
        <v>8.3000000000000004E-2</v>
      </c>
      <c r="E260">
        <v>8.4739999999999996E-2</v>
      </c>
      <c r="F260">
        <v>2907290.6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-0.75142857142857256</v>
      </c>
      <c r="Q260">
        <f t="shared" si="960"/>
        <v>-2184621.2222857177</v>
      </c>
      <c r="R260">
        <f t="shared" si="961"/>
        <v>-281363244.53563452</v>
      </c>
      <c r="S260">
        <f t="shared" si="962"/>
        <v>-2813.6324453563452</v>
      </c>
      <c r="T260">
        <f t="shared" si="963"/>
        <v>-2.8136324453563453</v>
      </c>
    </row>
    <row r="261" spans="1:20" x14ac:dyDescent="0.25">
      <c r="A261" s="5">
        <v>44332</v>
      </c>
      <c r="B261">
        <v>9.7350000000000006E-2</v>
      </c>
      <c r="C261">
        <v>0.109</v>
      </c>
      <c r="D261">
        <v>8.9749999999999996E-2</v>
      </c>
      <c r="E261">
        <v>9.6860000000000002E-2</v>
      </c>
      <c r="F261">
        <v>3924713.1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-0.26129870129870086</v>
      </c>
      <c r="Q261">
        <f t="shared" si="960"/>
        <v>-1025522.4359999984</v>
      </c>
      <c r="R261">
        <f t="shared" si="961"/>
        <v>-279178623.31334883</v>
      </c>
      <c r="S261">
        <f t="shared" si="962"/>
        <v>-2791.7862331334882</v>
      </c>
      <c r="T261">
        <f t="shared" si="963"/>
        <v>-2.7917862331334882</v>
      </c>
    </row>
    <row r="262" spans="1:20" x14ac:dyDescent="0.25">
      <c r="A262" s="5">
        <v>44331</v>
      </c>
      <c r="B262">
        <v>0.10778</v>
      </c>
      <c r="C262">
        <v>0.10936999999999999</v>
      </c>
      <c r="D262">
        <v>9.6360000000000001E-2</v>
      </c>
      <c r="E262">
        <v>9.7059999999999994E-2</v>
      </c>
      <c r="F262">
        <v>2625284.9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-0.89239046887010109</v>
      </c>
      <c r="Q262">
        <f t="shared" ref="Q262:Q325" si="965">F262*P262</f>
        <v>-2342779.2228285964</v>
      </c>
      <c r="R262">
        <f t="shared" ref="R262:R325" si="966">R263+Q262</f>
        <v>-278153100.87734884</v>
      </c>
      <c r="S262">
        <f t="shared" ref="S262:S325" si="967">R262/100000</f>
        <v>-2781.5310087734883</v>
      </c>
      <c r="T262">
        <f t="shared" ref="T262:T325" si="968">S262/1000</f>
        <v>-2.7815310087734884</v>
      </c>
    </row>
    <row r="263" spans="1:20" x14ac:dyDescent="0.25">
      <c r="A263" s="5">
        <v>44330</v>
      </c>
      <c r="B263">
        <v>0.10112</v>
      </c>
      <c r="C263">
        <v>0.11129</v>
      </c>
      <c r="D263">
        <v>0.10063</v>
      </c>
      <c r="E263">
        <v>0.10828</v>
      </c>
      <c r="F263">
        <v>3679881.7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0.43527204502814298</v>
      </c>
      <c r="Q263">
        <f t="shared" si="965"/>
        <v>1601749.6330206394</v>
      </c>
      <c r="R263">
        <f t="shared" si="966"/>
        <v>-275810321.65452027</v>
      </c>
      <c r="S263">
        <f t="shared" si="967"/>
        <v>-2758.1032165452029</v>
      </c>
      <c r="T263">
        <f t="shared" si="968"/>
        <v>-2.7581032165452029</v>
      </c>
    </row>
    <row r="264" spans="1:20" x14ac:dyDescent="0.25">
      <c r="A264" s="5">
        <v>44329</v>
      </c>
      <c r="B264">
        <v>9.8919999999999994E-2</v>
      </c>
      <c r="C264">
        <v>0.11382</v>
      </c>
      <c r="D264">
        <v>9.4030000000000002E-2</v>
      </c>
      <c r="E264">
        <v>0.10104</v>
      </c>
      <c r="F264">
        <v>8646181.5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-0.2915613946437593</v>
      </c>
      <c r="Q264">
        <f t="shared" si="965"/>
        <v>-2520892.7364830705</v>
      </c>
      <c r="R264">
        <f t="shared" si="966"/>
        <v>-277412071.28754091</v>
      </c>
      <c r="S264">
        <f t="shared" si="967"/>
        <v>-2774.120712875409</v>
      </c>
      <c r="T264">
        <f t="shared" si="968"/>
        <v>-2.7741207128754088</v>
      </c>
    </row>
    <row r="265" spans="1:20" x14ac:dyDescent="0.25">
      <c r="A265" s="5">
        <v>44328</v>
      </c>
      <c r="B265">
        <v>0.11824</v>
      </c>
      <c r="C265">
        <v>0.12299</v>
      </c>
      <c r="D265">
        <v>9.8919999999999994E-2</v>
      </c>
      <c r="E265">
        <v>9.9709999999999993E-2</v>
      </c>
      <c r="F265">
        <v>5468772.5999999996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-0.93435812214374747</v>
      </c>
      <c r="Q265">
        <f t="shared" si="965"/>
        <v>-5109792.0969671793</v>
      </c>
      <c r="R265">
        <f t="shared" si="966"/>
        <v>-274891178.55105782</v>
      </c>
      <c r="S265">
        <f t="shared" si="967"/>
        <v>-2748.9117855105783</v>
      </c>
      <c r="T265">
        <f t="shared" si="968"/>
        <v>-2.7489117855105785</v>
      </c>
    </row>
    <row r="266" spans="1:20" x14ac:dyDescent="0.25">
      <c r="A266" s="5">
        <v>44327</v>
      </c>
      <c r="B266">
        <v>0.11429</v>
      </c>
      <c r="C266">
        <v>0.123</v>
      </c>
      <c r="D266">
        <v>0.10864</v>
      </c>
      <c r="E266">
        <v>0.11809</v>
      </c>
      <c r="F266">
        <v>4023674.3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0.31615598885793894</v>
      </c>
      <c r="Q266">
        <f t="shared" si="965"/>
        <v>1272108.7271587753</v>
      </c>
      <c r="R266">
        <f t="shared" si="966"/>
        <v>-269781386.45409065</v>
      </c>
      <c r="S266">
        <f t="shared" si="967"/>
        <v>-2697.8138645409067</v>
      </c>
      <c r="T266">
        <f t="shared" si="968"/>
        <v>-2.6978138645409069</v>
      </c>
    </row>
    <row r="267" spans="1:20" x14ac:dyDescent="0.25">
      <c r="A267" s="5">
        <v>44326</v>
      </c>
      <c r="B267">
        <v>0.12615999999999999</v>
      </c>
      <c r="C267">
        <v>0.12689</v>
      </c>
      <c r="D267">
        <v>0.11018</v>
      </c>
      <c r="E267">
        <v>0.11428000000000001</v>
      </c>
      <c r="F267">
        <v>6111586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-0.50927588270496638</v>
      </c>
      <c r="Q267">
        <f t="shared" si="965"/>
        <v>-3112483.3548773145</v>
      </c>
      <c r="R267">
        <f t="shared" si="966"/>
        <v>-271053495.18124944</v>
      </c>
      <c r="S267">
        <f t="shared" si="967"/>
        <v>-2710.5349518124945</v>
      </c>
      <c r="T267">
        <f t="shared" si="968"/>
        <v>-2.7105349518124946</v>
      </c>
    </row>
    <row r="268" spans="1:20" x14ac:dyDescent="0.25">
      <c r="A268" s="5">
        <v>44325</v>
      </c>
      <c r="B268">
        <v>0.1212</v>
      </c>
      <c r="C268">
        <v>0.13250000000000001</v>
      </c>
      <c r="D268">
        <v>0.11501</v>
      </c>
      <c r="E268">
        <v>0.12615999999999999</v>
      </c>
      <c r="F268">
        <v>10572599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0.27501429388221721</v>
      </c>
      <c r="Q268">
        <f t="shared" si="965"/>
        <v>2907615.8484848356</v>
      </c>
      <c r="R268">
        <f t="shared" si="966"/>
        <v>-267941011.82637212</v>
      </c>
      <c r="S268">
        <f t="shared" si="967"/>
        <v>-2679.410118263721</v>
      </c>
      <c r="T268">
        <f t="shared" si="968"/>
        <v>-2.6794101182637209</v>
      </c>
    </row>
    <row r="269" spans="1:20" x14ac:dyDescent="0.25">
      <c r="A269" s="5">
        <v>44324</v>
      </c>
      <c r="B269">
        <v>0.12046</v>
      </c>
      <c r="C269">
        <v>0.12742999999999999</v>
      </c>
      <c r="D269">
        <v>0.11700000000000001</v>
      </c>
      <c r="E269">
        <v>0.1208</v>
      </c>
      <c r="F269">
        <v>7142089.2999999998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-0.2713326941514852</v>
      </c>
      <c r="Q269">
        <f t="shared" si="965"/>
        <v>-1937882.331639495</v>
      </c>
      <c r="R269">
        <f t="shared" si="966"/>
        <v>-270848627.67485696</v>
      </c>
      <c r="S269">
        <f t="shared" si="967"/>
        <v>-2708.4862767485697</v>
      </c>
      <c r="T269">
        <f t="shared" si="968"/>
        <v>-2.7084862767485696</v>
      </c>
    </row>
    <row r="270" spans="1:20" x14ac:dyDescent="0.25">
      <c r="A270" s="5">
        <v>44323</v>
      </c>
      <c r="B270">
        <v>0.12218</v>
      </c>
      <c r="C270">
        <v>0.12989999999999999</v>
      </c>
      <c r="D270">
        <v>0.11748</v>
      </c>
      <c r="E270">
        <v>0.12064</v>
      </c>
      <c r="F270">
        <v>5391416.7000000002</v>
      </c>
      <c r="G270">
        <v>0</v>
      </c>
      <c r="L270" t="s">
        <v>8</v>
      </c>
      <c r="M270" t="s">
        <v>7</v>
      </c>
      <c r="N270" t="s">
        <v>7</v>
      </c>
      <c r="P270">
        <f t="shared" si="964"/>
        <v>-0.49114331723027382</v>
      </c>
      <c r="Q270">
        <f t="shared" si="965"/>
        <v>-2647958.2826086963</v>
      </c>
      <c r="R270">
        <f t="shared" si="966"/>
        <v>-268910745.34321749</v>
      </c>
      <c r="S270">
        <f t="shared" si="967"/>
        <v>-2689.1074534321751</v>
      </c>
      <c r="T270">
        <f t="shared" si="968"/>
        <v>-2.6891074534321753</v>
      </c>
    </row>
    <row r="271" spans="1:20" x14ac:dyDescent="0.25">
      <c r="A271" s="5">
        <v>44322</v>
      </c>
      <c r="B271">
        <v>0.12870000000000001</v>
      </c>
      <c r="C271">
        <v>0.12895000000000001</v>
      </c>
      <c r="D271">
        <v>0.115</v>
      </c>
      <c r="E271">
        <v>0.12106</v>
      </c>
      <c r="F271">
        <v>7557159.5999999996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-0.13118279569892558</v>
      </c>
      <c r="Q271">
        <f t="shared" si="965"/>
        <v>-991369.32387097413</v>
      </c>
      <c r="R271">
        <f t="shared" si="966"/>
        <v>-266262787.0606088</v>
      </c>
      <c r="S271">
        <f t="shared" si="967"/>
        <v>-2662.627870606088</v>
      </c>
      <c r="T271">
        <f t="shared" si="968"/>
        <v>-2.6626278706060882</v>
      </c>
    </row>
    <row r="272" spans="1:20" x14ac:dyDescent="0.25">
      <c r="A272" s="5">
        <v>44321</v>
      </c>
      <c r="B272">
        <v>0.12187000000000001</v>
      </c>
      <c r="C272">
        <v>0.13299</v>
      </c>
      <c r="D272">
        <v>0.11842</v>
      </c>
      <c r="E272">
        <v>0.12864</v>
      </c>
      <c r="F272">
        <v>7148593.7999999998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0.40288263555250614</v>
      </c>
      <c r="Q272">
        <f t="shared" si="965"/>
        <v>2880044.3106383048</v>
      </c>
      <c r="R272">
        <f t="shared" si="966"/>
        <v>-265271417.73673782</v>
      </c>
      <c r="S272">
        <f t="shared" si="967"/>
        <v>-2652.7141773673784</v>
      </c>
      <c r="T272">
        <f t="shared" si="968"/>
        <v>-2.6527141773673786</v>
      </c>
    </row>
    <row r="273" spans="1:20" x14ac:dyDescent="0.25">
      <c r="A273" s="5">
        <v>44320</v>
      </c>
      <c r="B273">
        <v>0.13857</v>
      </c>
      <c r="C273">
        <v>0.13957</v>
      </c>
      <c r="D273">
        <v>0.12064</v>
      </c>
      <c r="E273">
        <v>0.12187000000000001</v>
      </c>
      <c r="F273">
        <v>8777851.0999999996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-0.87004754358161551</v>
      </c>
      <c r="Q273">
        <f t="shared" si="965"/>
        <v>-7637147.7874801811</v>
      </c>
      <c r="R273">
        <f t="shared" si="966"/>
        <v>-268151462.04737613</v>
      </c>
      <c r="S273">
        <f t="shared" si="967"/>
        <v>-2681.5146204737612</v>
      </c>
      <c r="T273">
        <f t="shared" si="968"/>
        <v>-2.6815146204737612</v>
      </c>
    </row>
    <row r="274" spans="1:20" x14ac:dyDescent="0.25">
      <c r="A274" s="5">
        <v>44319</v>
      </c>
      <c r="B274">
        <v>0.12972</v>
      </c>
      <c r="C274">
        <v>0.14929999999999999</v>
      </c>
      <c r="D274">
        <v>0.1275</v>
      </c>
      <c r="E274">
        <v>0.13858999999999999</v>
      </c>
      <c r="F274">
        <v>15838417.199999999</v>
      </c>
      <c r="G274">
        <v>0</v>
      </c>
      <c r="L274" t="s">
        <v>8</v>
      </c>
      <c r="M274" t="s">
        <v>8</v>
      </c>
      <c r="N274" t="s">
        <v>7</v>
      </c>
      <c r="P274">
        <f t="shared" si="964"/>
        <v>1.7431192660550078E-2</v>
      </c>
      <c r="Q274">
        <f t="shared" si="965"/>
        <v>276082.50165137008</v>
      </c>
      <c r="R274">
        <f t="shared" si="966"/>
        <v>-260514314.25989595</v>
      </c>
      <c r="S274">
        <f t="shared" si="967"/>
        <v>-2605.1431425989595</v>
      </c>
      <c r="T274">
        <f t="shared" si="968"/>
        <v>-2.6051431425989593</v>
      </c>
    </row>
    <row r="275" spans="1:20" x14ac:dyDescent="0.25">
      <c r="A275" s="5">
        <v>44318</v>
      </c>
      <c r="B275">
        <v>0.13344</v>
      </c>
      <c r="C275">
        <v>0.13400000000000001</v>
      </c>
      <c r="D275">
        <v>0.12476</v>
      </c>
      <c r="E275">
        <v>0.12881000000000001</v>
      </c>
      <c r="F275">
        <v>5897367.2999999998</v>
      </c>
      <c r="G275">
        <v>0</v>
      </c>
      <c r="L275" t="s">
        <v>7</v>
      </c>
      <c r="M275" t="s">
        <v>8</v>
      </c>
      <c r="N275" t="s">
        <v>7</v>
      </c>
      <c r="P275">
        <f t="shared" si="964"/>
        <v>-0.12337662337662195</v>
      </c>
      <c r="Q275">
        <f t="shared" si="965"/>
        <v>-727597.26428570587</v>
      </c>
      <c r="R275">
        <f t="shared" si="966"/>
        <v>-260790396.76154733</v>
      </c>
      <c r="S275">
        <f t="shared" si="967"/>
        <v>-2607.9039676154734</v>
      </c>
      <c r="T275">
        <f t="shared" si="968"/>
        <v>-2.6079039676154734</v>
      </c>
    </row>
    <row r="276" spans="1:20" x14ac:dyDescent="0.25">
      <c r="A276" s="5">
        <v>44317</v>
      </c>
      <c r="B276">
        <v>0.13727</v>
      </c>
      <c r="C276">
        <v>0.14399000000000001</v>
      </c>
      <c r="D276">
        <v>0.13</v>
      </c>
      <c r="E276">
        <v>0.13345000000000001</v>
      </c>
      <c r="F276">
        <v>9752691.4000000004</v>
      </c>
      <c r="G276">
        <v>0</v>
      </c>
      <c r="L276" t="s">
        <v>7</v>
      </c>
      <c r="M276" t="s">
        <v>8</v>
      </c>
      <c r="N276" t="s">
        <v>7</v>
      </c>
      <c r="P276">
        <f t="shared" si="964"/>
        <v>-0.50679056468906247</v>
      </c>
      <c r="Q276">
        <f t="shared" si="965"/>
        <v>-4942571.9818441635</v>
      </c>
      <c r="R276">
        <f t="shared" si="966"/>
        <v>-260062799.49726161</v>
      </c>
      <c r="S276">
        <f t="shared" si="967"/>
        <v>-2600.6279949726163</v>
      </c>
      <c r="T276">
        <f t="shared" si="968"/>
        <v>-2.6006279949726161</v>
      </c>
    </row>
    <row r="277" spans="1:20" x14ac:dyDescent="0.25">
      <c r="A277" s="5">
        <v>44316</v>
      </c>
      <c r="B277">
        <v>0.1371</v>
      </c>
      <c r="C277">
        <v>0.14699999999999999</v>
      </c>
      <c r="D277">
        <v>0.13067999999999999</v>
      </c>
      <c r="E277">
        <v>0.13602</v>
      </c>
      <c r="F277">
        <v>16931426.600000001</v>
      </c>
      <c r="G277">
        <v>0</v>
      </c>
      <c r="L277" t="s">
        <v>7</v>
      </c>
      <c r="M277" t="s">
        <v>8</v>
      </c>
      <c r="N277" t="s">
        <v>7</v>
      </c>
      <c r="P277">
        <f t="shared" si="964"/>
        <v>-0.34558823529411631</v>
      </c>
      <c r="Q277">
        <f t="shared" si="965"/>
        <v>-5851301.8397058602</v>
      </c>
      <c r="R277">
        <f t="shared" si="966"/>
        <v>-255120227.51541746</v>
      </c>
      <c r="S277">
        <f t="shared" si="967"/>
        <v>-2551.2022751541745</v>
      </c>
      <c r="T277">
        <f t="shared" si="968"/>
        <v>-2.5512022751541745</v>
      </c>
    </row>
    <row r="278" spans="1:20" x14ac:dyDescent="0.25">
      <c r="A278" s="5">
        <v>44315</v>
      </c>
      <c r="B278">
        <v>0.12252</v>
      </c>
      <c r="C278">
        <v>0.14874999999999999</v>
      </c>
      <c r="D278">
        <v>0.11927</v>
      </c>
      <c r="E278">
        <v>0.1371</v>
      </c>
      <c r="F278">
        <v>26968415.100000001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0.20963364993215761</v>
      </c>
      <c r="Q278">
        <f t="shared" si="965"/>
        <v>5653487.2902985131</v>
      </c>
      <c r="R278">
        <f t="shared" si="966"/>
        <v>-249268925.6757116</v>
      </c>
      <c r="S278">
        <f t="shared" si="967"/>
        <v>-2492.6892567571158</v>
      </c>
      <c r="T278">
        <f t="shared" si="968"/>
        <v>-2.4926892567571159</v>
      </c>
    </row>
    <row r="279" spans="1:20" x14ac:dyDescent="0.25">
      <c r="A279" s="5">
        <v>44314</v>
      </c>
      <c r="B279">
        <v>0.12841</v>
      </c>
      <c r="C279">
        <v>0.13800000000000001</v>
      </c>
      <c r="D279">
        <v>0.12</v>
      </c>
      <c r="E279">
        <v>0.12250999999999999</v>
      </c>
      <c r="F279">
        <v>7946867.7000000002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-0.72111111111111159</v>
      </c>
      <c r="Q279">
        <f t="shared" si="965"/>
        <v>-5730574.5970000038</v>
      </c>
      <c r="R279">
        <f t="shared" si="966"/>
        <v>-254922412.96601012</v>
      </c>
      <c r="S279">
        <f t="shared" si="967"/>
        <v>-2549.2241296601014</v>
      </c>
      <c r="T279">
        <f t="shared" si="968"/>
        <v>-2.5492241296601015</v>
      </c>
    </row>
    <row r="280" spans="1:20" x14ac:dyDescent="0.25">
      <c r="A280" s="5">
        <v>44313</v>
      </c>
      <c r="B280">
        <v>0.12581000000000001</v>
      </c>
      <c r="C280">
        <v>0.14199999999999999</v>
      </c>
      <c r="D280">
        <v>0.12214</v>
      </c>
      <c r="E280">
        <v>0.12925</v>
      </c>
      <c r="F280">
        <v>11552226.5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-0.28398791540785406</v>
      </c>
      <c r="Q280">
        <f t="shared" si="965"/>
        <v>-3280692.7220543702</v>
      </c>
      <c r="R280">
        <f t="shared" si="966"/>
        <v>-249191838.36901012</v>
      </c>
      <c r="S280">
        <f t="shared" si="967"/>
        <v>-2491.9183836901011</v>
      </c>
      <c r="T280">
        <f t="shared" si="968"/>
        <v>-2.4919183836901011</v>
      </c>
    </row>
    <row r="281" spans="1:20" x14ac:dyDescent="0.25">
      <c r="A281" s="5">
        <v>44312</v>
      </c>
      <c r="B281">
        <v>0.114</v>
      </c>
      <c r="C281">
        <v>0.13618</v>
      </c>
      <c r="D281">
        <v>0.11321000000000001</v>
      </c>
      <c r="E281">
        <v>0.12581000000000001</v>
      </c>
      <c r="F281">
        <v>22494737.899999999</v>
      </c>
      <c r="G281">
        <v>0</v>
      </c>
      <c r="L281" t="s">
        <v>7</v>
      </c>
      <c r="M281" t="s">
        <v>7</v>
      </c>
      <c r="N281" t="s">
        <v>7</v>
      </c>
      <c r="P281">
        <f t="shared" si="964"/>
        <v>9.708315193731E-2</v>
      </c>
      <c r="Q281">
        <f t="shared" si="965"/>
        <v>2183860.0573356654</v>
      </c>
      <c r="R281">
        <f t="shared" si="966"/>
        <v>-245911145.64695576</v>
      </c>
      <c r="S281">
        <f t="shared" si="967"/>
        <v>-2459.1114564695577</v>
      </c>
      <c r="T281">
        <f t="shared" si="968"/>
        <v>-2.4591114564695578</v>
      </c>
    </row>
    <row r="282" spans="1:20" x14ac:dyDescent="0.25">
      <c r="A282" s="5">
        <v>44311</v>
      </c>
      <c r="B282">
        <v>0.12701999999999999</v>
      </c>
      <c r="C282">
        <v>0.24199999999999999</v>
      </c>
      <c r="D282">
        <v>0.10806</v>
      </c>
      <c r="E282">
        <v>0.114</v>
      </c>
      <c r="F282">
        <v>46200036.700000003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-0.91130356876213225</v>
      </c>
      <c r="Q282">
        <f t="shared" si="965"/>
        <v>-42102258.321651489</v>
      </c>
      <c r="R282">
        <f t="shared" si="966"/>
        <v>-248095005.70429143</v>
      </c>
      <c r="S282">
        <f t="shared" si="967"/>
        <v>-2480.9500570429145</v>
      </c>
      <c r="T282">
        <f t="shared" si="968"/>
        <v>-2.4809500570429144</v>
      </c>
    </row>
    <row r="283" spans="1:20" x14ac:dyDescent="0.25">
      <c r="A283" s="5">
        <v>44310</v>
      </c>
      <c r="B283">
        <v>0.12169000000000001</v>
      </c>
      <c r="C283">
        <v>0.13533000000000001</v>
      </c>
      <c r="D283">
        <v>0.1114</v>
      </c>
      <c r="E283">
        <v>0.12597</v>
      </c>
      <c r="F283">
        <v>4114871.6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0.21771834517342209</v>
      </c>
      <c r="Q283">
        <f t="shared" si="965"/>
        <v>895883.03535311169</v>
      </c>
      <c r="R283">
        <f t="shared" si="966"/>
        <v>-205992747.38263994</v>
      </c>
      <c r="S283">
        <f t="shared" si="967"/>
        <v>-2059.9274738263994</v>
      </c>
      <c r="T283">
        <f t="shared" si="968"/>
        <v>-2.0599274738263995</v>
      </c>
    </row>
    <row r="284" spans="1:20" x14ac:dyDescent="0.25">
      <c r="A284" s="5">
        <v>44309</v>
      </c>
      <c r="B284">
        <v>0.11508</v>
      </c>
      <c r="C284">
        <v>0.12514</v>
      </c>
      <c r="D284">
        <v>9.4030000000000002E-2</v>
      </c>
      <c r="E284">
        <v>0.12130000000000001</v>
      </c>
      <c r="F284">
        <v>9268692.0999999996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0.75313404050144672</v>
      </c>
      <c r="Q284">
        <f t="shared" si="965"/>
        <v>6980567.5314368391</v>
      </c>
      <c r="R284">
        <f t="shared" si="966"/>
        <v>-206888630.41799307</v>
      </c>
      <c r="S284">
        <f t="shared" si="967"/>
        <v>-2068.8863041799309</v>
      </c>
      <c r="T284">
        <f t="shared" si="968"/>
        <v>-2.068886304179931</v>
      </c>
    </row>
    <row r="285" spans="1:20" x14ac:dyDescent="0.25">
      <c r="A285" s="5">
        <v>44308</v>
      </c>
      <c r="B285">
        <v>0.11501</v>
      </c>
      <c r="C285">
        <v>0.13</v>
      </c>
      <c r="D285">
        <v>0.10521999999999999</v>
      </c>
      <c r="E285">
        <v>0.11481</v>
      </c>
      <c r="F285">
        <v>6539021.7999999998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-0.22598870056497197</v>
      </c>
      <c r="Q285">
        <f t="shared" si="965"/>
        <v>-1477745.0395480241</v>
      </c>
      <c r="R285">
        <f t="shared" si="966"/>
        <v>-213869197.9494299</v>
      </c>
      <c r="S285">
        <f t="shared" si="967"/>
        <v>-2138.6919794942992</v>
      </c>
      <c r="T285">
        <f t="shared" si="968"/>
        <v>-2.1386919794942991</v>
      </c>
    </row>
    <row r="286" spans="1:20" x14ac:dyDescent="0.25">
      <c r="A286" s="5">
        <v>44307</v>
      </c>
      <c r="B286">
        <v>0.12311</v>
      </c>
      <c r="C286">
        <v>0.129</v>
      </c>
      <c r="D286">
        <v>0.1116</v>
      </c>
      <c r="E286">
        <v>0.11477</v>
      </c>
      <c r="F286">
        <v>6829191.9000000004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-0.63563218390804688</v>
      </c>
      <c r="Q286">
        <f t="shared" si="965"/>
        <v>-4340854.1617241446</v>
      </c>
      <c r="R286">
        <f t="shared" si="966"/>
        <v>-212391452.90988189</v>
      </c>
      <c r="S286">
        <f t="shared" si="967"/>
        <v>-2123.914529098819</v>
      </c>
      <c r="T286">
        <f t="shared" si="968"/>
        <v>-2.1239145290988191</v>
      </c>
    </row>
    <row r="287" spans="1:20" x14ac:dyDescent="0.25">
      <c r="A287" s="5">
        <v>44306</v>
      </c>
      <c r="B287">
        <v>0.11638999999999999</v>
      </c>
      <c r="C287">
        <v>0.12812000000000001</v>
      </c>
      <c r="D287">
        <v>0.10038</v>
      </c>
      <c r="E287">
        <v>0.12305000000000001</v>
      </c>
      <c r="F287">
        <v>7877330.7999999998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0.63446286950252329</v>
      </c>
      <c r="Q287">
        <f t="shared" si="965"/>
        <v>4997873.9033886073</v>
      </c>
      <c r="R287">
        <f t="shared" si="966"/>
        <v>-208050598.74815774</v>
      </c>
      <c r="S287">
        <f t="shared" si="967"/>
        <v>-2080.5059874815774</v>
      </c>
      <c r="T287">
        <f t="shared" si="968"/>
        <v>-2.0805059874815774</v>
      </c>
    </row>
    <row r="288" spans="1:20" x14ac:dyDescent="0.25">
      <c r="A288" s="5">
        <v>44305</v>
      </c>
      <c r="B288">
        <v>0.13025</v>
      </c>
      <c r="C288">
        <v>0.14199000000000001</v>
      </c>
      <c r="D288">
        <v>0.11303000000000001</v>
      </c>
      <c r="E288">
        <v>0.11638999999999999</v>
      </c>
      <c r="F288">
        <v>6121782.2999999998</v>
      </c>
      <c r="G288">
        <v>0</v>
      </c>
      <c r="L288" t="s">
        <v>7</v>
      </c>
      <c r="M288" t="s">
        <v>8</v>
      </c>
      <c r="N288" t="s">
        <v>7</v>
      </c>
      <c r="P288">
        <f t="shared" si="964"/>
        <v>-0.76795580110497319</v>
      </c>
      <c r="Q288">
        <f t="shared" si="965"/>
        <v>-4701258.2303867452</v>
      </c>
      <c r="R288">
        <f t="shared" si="966"/>
        <v>-213048472.65154636</v>
      </c>
      <c r="S288">
        <f t="shared" si="967"/>
        <v>-2130.4847265154635</v>
      </c>
      <c r="T288">
        <f t="shared" si="968"/>
        <v>-2.1304847265154634</v>
      </c>
    </row>
    <row r="289" spans="1:20" x14ac:dyDescent="0.25">
      <c r="A289" s="5">
        <v>44304</v>
      </c>
      <c r="B289">
        <v>0.15372</v>
      </c>
      <c r="C289">
        <v>0.15483</v>
      </c>
      <c r="D289">
        <v>0.11645</v>
      </c>
      <c r="E289">
        <v>0.13028999999999999</v>
      </c>
      <c r="F289">
        <v>5900744.7000000002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-0.2787910369984371</v>
      </c>
      <c r="Q289">
        <f t="shared" si="965"/>
        <v>-1645074.7339760317</v>
      </c>
      <c r="R289">
        <f t="shared" si="966"/>
        <v>-208347214.42115963</v>
      </c>
      <c r="S289">
        <f t="shared" si="967"/>
        <v>-2083.4721442115961</v>
      </c>
      <c r="T289">
        <f t="shared" si="968"/>
        <v>-2.083472144211596</v>
      </c>
    </row>
    <row r="290" spans="1:20" x14ac:dyDescent="0.25">
      <c r="A290" s="5">
        <v>44303</v>
      </c>
      <c r="B290">
        <v>0.16025</v>
      </c>
      <c r="C290">
        <v>0.17499999999999999</v>
      </c>
      <c r="D290">
        <v>0.15053</v>
      </c>
      <c r="E290">
        <v>0.153</v>
      </c>
      <c r="F290">
        <v>8095611.9000000004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-0.7981201471189211</v>
      </c>
      <c r="Q290">
        <f t="shared" si="965"/>
        <v>-6461270.9606456887</v>
      </c>
      <c r="R290">
        <f t="shared" si="966"/>
        <v>-206702139.68718359</v>
      </c>
      <c r="S290">
        <f t="shared" si="967"/>
        <v>-2067.0213968718358</v>
      </c>
      <c r="T290">
        <f t="shared" si="968"/>
        <v>-2.0670213968718358</v>
      </c>
    </row>
    <row r="291" spans="1:20" x14ac:dyDescent="0.25">
      <c r="A291" s="5">
        <v>44302</v>
      </c>
      <c r="B291">
        <v>0.15840000000000001</v>
      </c>
      <c r="C291">
        <v>0.16431999999999999</v>
      </c>
      <c r="D291">
        <v>0.14771999999999999</v>
      </c>
      <c r="E291">
        <v>0.16037999999999999</v>
      </c>
      <c r="F291">
        <v>7649073.9000000004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0.52530120481927733</v>
      </c>
      <c r="Q291">
        <f t="shared" si="965"/>
        <v>4018067.7354216888</v>
      </c>
      <c r="R291">
        <f t="shared" si="966"/>
        <v>-200240868.72653791</v>
      </c>
      <c r="S291">
        <f t="shared" si="967"/>
        <v>-2002.4086872653791</v>
      </c>
      <c r="T291">
        <f t="shared" si="968"/>
        <v>-2.0024086872653792</v>
      </c>
    </row>
    <row r="292" spans="1:20" x14ac:dyDescent="0.25">
      <c r="A292" s="5">
        <v>44301</v>
      </c>
      <c r="B292">
        <v>0.15773999999999999</v>
      </c>
      <c r="C292">
        <v>0.17663999999999999</v>
      </c>
      <c r="D292">
        <v>0.15415999999999999</v>
      </c>
      <c r="E292">
        <v>0.15784000000000001</v>
      </c>
      <c r="F292">
        <v>6843480.5999999996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-0.67259786476868177</v>
      </c>
      <c r="Q292">
        <f t="shared" si="965"/>
        <v>-4602910.4391458966</v>
      </c>
      <c r="R292">
        <f t="shared" si="966"/>
        <v>-204258936.4619596</v>
      </c>
      <c r="S292">
        <f t="shared" si="967"/>
        <v>-2042.5893646195959</v>
      </c>
      <c r="T292">
        <f t="shared" si="968"/>
        <v>-2.0425893646195958</v>
      </c>
    </row>
    <row r="293" spans="1:20" x14ac:dyDescent="0.25">
      <c r="A293" s="5">
        <v>44300</v>
      </c>
      <c r="B293">
        <v>0.16153000000000001</v>
      </c>
      <c r="C293">
        <v>0.18</v>
      </c>
      <c r="D293">
        <v>0.14835000000000001</v>
      </c>
      <c r="E293">
        <v>0.15744</v>
      </c>
      <c r="F293">
        <v>10871426.199999999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-0.42559241706161188</v>
      </c>
      <c r="Q293">
        <f t="shared" si="965"/>
        <v>-4626796.5533649344</v>
      </c>
      <c r="R293">
        <f t="shared" si="966"/>
        <v>-199656026.02281371</v>
      </c>
      <c r="S293">
        <f t="shared" si="967"/>
        <v>-1996.5602602281372</v>
      </c>
      <c r="T293">
        <f t="shared" si="968"/>
        <v>-1.9965602602281372</v>
      </c>
    </row>
    <row r="294" spans="1:20" x14ac:dyDescent="0.25">
      <c r="A294" s="5">
        <v>44299</v>
      </c>
      <c r="B294">
        <v>0.16433</v>
      </c>
      <c r="C294">
        <v>0.17055000000000001</v>
      </c>
      <c r="D294">
        <v>0.15775</v>
      </c>
      <c r="E294">
        <v>0.16142999999999999</v>
      </c>
      <c r="F294">
        <v>6216361.4000000004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-0.42500000000000199</v>
      </c>
      <c r="Q294">
        <f t="shared" si="965"/>
        <v>-2641953.5950000123</v>
      </c>
      <c r="R294">
        <f t="shared" si="966"/>
        <v>-195029229.46944878</v>
      </c>
      <c r="S294">
        <f t="shared" si="967"/>
        <v>-1950.2922946944877</v>
      </c>
      <c r="T294">
        <f t="shared" si="968"/>
        <v>-1.9502922946944878</v>
      </c>
    </row>
    <row r="295" spans="1:20" x14ac:dyDescent="0.25">
      <c r="A295" s="5">
        <v>44298</v>
      </c>
      <c r="B295">
        <v>0.18478</v>
      </c>
      <c r="C295">
        <v>0.1956</v>
      </c>
      <c r="D295">
        <v>0.16222</v>
      </c>
      <c r="E295">
        <v>0.16372</v>
      </c>
      <c r="F295">
        <v>8735040.1999999993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-0.91012582384661467</v>
      </c>
      <c r="Q295">
        <f t="shared" si="965"/>
        <v>-7949985.6583582973</v>
      </c>
      <c r="R295">
        <f t="shared" si="966"/>
        <v>-192387275.87444878</v>
      </c>
      <c r="S295">
        <f t="shared" si="967"/>
        <v>-1923.8727587444878</v>
      </c>
      <c r="T295">
        <f t="shared" si="968"/>
        <v>-1.9238727587444877</v>
      </c>
    </row>
    <row r="296" spans="1:20" x14ac:dyDescent="0.25">
      <c r="A296" s="5">
        <v>44297</v>
      </c>
      <c r="B296">
        <v>0.18684999999999999</v>
      </c>
      <c r="C296">
        <v>0.19675000000000001</v>
      </c>
      <c r="D296">
        <v>0.17269999999999999</v>
      </c>
      <c r="E296">
        <v>0.18581</v>
      </c>
      <c r="F296">
        <v>11183107.1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9.0228690228690386E-2</v>
      </c>
      <c r="Q296">
        <f t="shared" si="965"/>
        <v>1009037.106320168</v>
      </c>
      <c r="R296">
        <f t="shared" si="966"/>
        <v>-184437290.21609047</v>
      </c>
      <c r="S296">
        <f t="shared" si="967"/>
        <v>-1844.3729021609047</v>
      </c>
      <c r="T296">
        <f t="shared" si="968"/>
        <v>-1.8443729021609048</v>
      </c>
    </row>
    <row r="297" spans="1:20" x14ac:dyDescent="0.25">
      <c r="A297" s="5">
        <v>44296</v>
      </c>
      <c r="B297">
        <v>0.18209</v>
      </c>
      <c r="C297">
        <v>0.22445000000000001</v>
      </c>
      <c r="D297">
        <v>0.16446</v>
      </c>
      <c r="E297">
        <v>0.18684999999999999</v>
      </c>
      <c r="F297">
        <v>21012231.899999999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-0.25354225704284089</v>
      </c>
      <c r="Q297">
        <f t="shared" si="965"/>
        <v>-5327488.7014335804</v>
      </c>
      <c r="R297">
        <f t="shared" si="966"/>
        <v>-185446327.32241064</v>
      </c>
      <c r="S297">
        <f t="shared" si="967"/>
        <v>-1854.4632732241064</v>
      </c>
      <c r="T297">
        <f t="shared" si="968"/>
        <v>-1.8544632732241064</v>
      </c>
    </row>
    <row r="298" spans="1:20" x14ac:dyDescent="0.25">
      <c r="A298" s="5">
        <v>44295</v>
      </c>
      <c r="B298">
        <v>0.16702</v>
      </c>
      <c r="C298">
        <v>0.223</v>
      </c>
      <c r="D298">
        <v>0.15859999999999999</v>
      </c>
      <c r="E298">
        <v>0.18190000000000001</v>
      </c>
      <c r="F298">
        <v>28353933.300000001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-0.27639751552795</v>
      </c>
      <c r="Q298">
        <f t="shared" si="965"/>
        <v>-7836956.719565209</v>
      </c>
      <c r="R298">
        <f t="shared" si="966"/>
        <v>-180118838.62097707</v>
      </c>
      <c r="S298">
        <f t="shared" si="967"/>
        <v>-1801.1883862097707</v>
      </c>
      <c r="T298">
        <f t="shared" si="968"/>
        <v>-1.8011883862097706</v>
      </c>
    </row>
    <row r="299" spans="1:20" x14ac:dyDescent="0.25">
      <c r="A299" s="5">
        <v>44294</v>
      </c>
      <c r="B299">
        <v>0.13247999999999999</v>
      </c>
      <c r="C299">
        <v>0.17150000000000001</v>
      </c>
      <c r="D299">
        <v>0.13056000000000001</v>
      </c>
      <c r="E299">
        <v>0.16702</v>
      </c>
      <c r="F299">
        <v>10152787.800000001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0.78114313629701948</v>
      </c>
      <c r="Q299">
        <f t="shared" si="965"/>
        <v>7930780.5042501176</v>
      </c>
      <c r="R299">
        <f t="shared" si="966"/>
        <v>-172281881.90141186</v>
      </c>
      <c r="S299">
        <f t="shared" si="967"/>
        <v>-1722.8188190141186</v>
      </c>
      <c r="T299">
        <f t="shared" si="968"/>
        <v>-1.7228188190141187</v>
      </c>
    </row>
    <row r="300" spans="1:20" x14ac:dyDescent="0.25">
      <c r="A300" s="5">
        <v>44293</v>
      </c>
      <c r="B300">
        <v>0.15135999999999999</v>
      </c>
      <c r="C300">
        <v>0.16</v>
      </c>
      <c r="D300">
        <v>0.12826000000000001</v>
      </c>
      <c r="E300">
        <v>0.13247999999999999</v>
      </c>
      <c r="F300">
        <v>4819087.9000000004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-0.73408947700063165</v>
      </c>
      <c r="Q300">
        <f t="shared" si="965"/>
        <v>-3537641.7161310725</v>
      </c>
      <c r="R300">
        <f t="shared" si="966"/>
        <v>-180212662.40566197</v>
      </c>
      <c r="S300">
        <f t="shared" si="967"/>
        <v>-1802.1266240566197</v>
      </c>
      <c r="T300">
        <f t="shared" si="968"/>
        <v>-1.8021266240566196</v>
      </c>
    </row>
    <row r="301" spans="1:20" x14ac:dyDescent="0.25">
      <c r="A301" s="5">
        <v>44292</v>
      </c>
      <c r="B301">
        <v>0.15915000000000001</v>
      </c>
      <c r="C301">
        <v>0.16297</v>
      </c>
      <c r="D301">
        <v>0.14130999999999999</v>
      </c>
      <c r="E301">
        <v>0.15046999999999999</v>
      </c>
      <c r="F301">
        <v>5144263.0999999996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-0.15420129270544819</v>
      </c>
      <c r="Q301">
        <f t="shared" si="965"/>
        <v>-793252.02003693627</v>
      </c>
      <c r="R301">
        <f t="shared" si="966"/>
        <v>-176675020.68953091</v>
      </c>
      <c r="S301">
        <f t="shared" si="967"/>
        <v>-1766.750206895309</v>
      </c>
      <c r="T301">
        <f t="shared" si="968"/>
        <v>-1.7667502068953089</v>
      </c>
    </row>
    <row r="302" spans="1:20" x14ac:dyDescent="0.25">
      <c r="A302" s="5">
        <v>44291</v>
      </c>
      <c r="B302">
        <v>0.17322000000000001</v>
      </c>
      <c r="C302">
        <v>0.17949999999999999</v>
      </c>
      <c r="D302">
        <v>0.15246999999999999</v>
      </c>
      <c r="E302">
        <v>0.15915000000000001</v>
      </c>
      <c r="F302">
        <v>7871949.4000000004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-0.50573436921938442</v>
      </c>
      <c r="Q302">
        <f t="shared" si="965"/>
        <v>-3981115.3643359118</v>
      </c>
      <c r="R302">
        <f t="shared" si="966"/>
        <v>-175881768.66949397</v>
      </c>
      <c r="S302">
        <f t="shared" si="967"/>
        <v>-1758.8176866949398</v>
      </c>
      <c r="T302">
        <f t="shared" si="968"/>
        <v>-1.7588176866949399</v>
      </c>
    </row>
    <row r="303" spans="1:20" x14ac:dyDescent="0.25">
      <c r="A303" s="5">
        <v>44290</v>
      </c>
      <c r="B303">
        <v>0.14738999999999999</v>
      </c>
      <c r="C303">
        <v>0.17984</v>
      </c>
      <c r="D303">
        <v>0.14101</v>
      </c>
      <c r="E303">
        <v>0.17322000000000001</v>
      </c>
      <c r="F303">
        <v>7369173.0999999996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0.65902652588205068</v>
      </c>
      <c r="Q303">
        <f t="shared" si="965"/>
        <v>4856480.5467164619</v>
      </c>
      <c r="R303">
        <f t="shared" si="966"/>
        <v>-171900653.30515805</v>
      </c>
      <c r="S303">
        <f t="shared" si="967"/>
        <v>-1719.0065330515804</v>
      </c>
      <c r="T303">
        <f t="shared" si="968"/>
        <v>-1.7190065330515805</v>
      </c>
    </row>
    <row r="304" spans="1:20" x14ac:dyDescent="0.25">
      <c r="A304" s="5">
        <v>44289</v>
      </c>
      <c r="B304">
        <v>0.14885000000000001</v>
      </c>
      <c r="C304">
        <v>0.18304999999999999</v>
      </c>
      <c r="D304">
        <v>0.14499000000000001</v>
      </c>
      <c r="E304">
        <v>0.14796999999999999</v>
      </c>
      <c r="F304">
        <v>13643424.4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-0.84340514976353209</v>
      </c>
      <c r="Q304">
        <f t="shared" si="965"/>
        <v>-11506934.399369428</v>
      </c>
      <c r="R304">
        <f t="shared" si="966"/>
        <v>-176757133.8518745</v>
      </c>
      <c r="S304">
        <f t="shared" si="967"/>
        <v>-1767.5713385187451</v>
      </c>
      <c r="T304">
        <f t="shared" si="968"/>
        <v>-1.767571338518745</v>
      </c>
    </row>
    <row r="305" spans="1:20" x14ac:dyDescent="0.25">
      <c r="A305" s="5">
        <v>44288</v>
      </c>
      <c r="B305">
        <v>0.14258000000000001</v>
      </c>
      <c r="C305">
        <v>0.14885999999999999</v>
      </c>
      <c r="D305">
        <v>0.13594000000000001</v>
      </c>
      <c r="E305">
        <v>0.14868000000000001</v>
      </c>
      <c r="F305">
        <v>4798536.7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0.97213622291021895</v>
      </c>
      <c r="Q305">
        <f t="shared" si="965"/>
        <v>4664831.3430340663</v>
      </c>
      <c r="R305">
        <f t="shared" si="966"/>
        <v>-165250199.45250508</v>
      </c>
      <c r="S305">
        <f t="shared" si="967"/>
        <v>-1652.5019945250508</v>
      </c>
      <c r="T305">
        <f t="shared" si="968"/>
        <v>-1.6525019945250508</v>
      </c>
    </row>
    <row r="306" spans="1:20" x14ac:dyDescent="0.25">
      <c r="A306" s="5">
        <v>44287</v>
      </c>
      <c r="B306">
        <v>0.15187</v>
      </c>
      <c r="C306">
        <v>0.1615</v>
      </c>
      <c r="D306">
        <v>0.14191000000000001</v>
      </c>
      <c r="E306">
        <v>0.14258000000000001</v>
      </c>
      <c r="F306">
        <v>5080638.7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-0.93159775395609967</v>
      </c>
      <c r="Q306">
        <f t="shared" si="965"/>
        <v>-4733111.6015824387</v>
      </c>
      <c r="R306">
        <f t="shared" si="966"/>
        <v>-169915030.79553914</v>
      </c>
      <c r="S306">
        <f t="shared" si="967"/>
        <v>-1699.1503079553913</v>
      </c>
      <c r="T306">
        <f t="shared" si="968"/>
        <v>-1.6991503079553913</v>
      </c>
    </row>
    <row r="307" spans="1:20" x14ac:dyDescent="0.25">
      <c r="A307" s="5">
        <v>44286</v>
      </c>
      <c r="B307">
        <v>0.16597000000000001</v>
      </c>
      <c r="C307">
        <v>0.16597000000000001</v>
      </c>
      <c r="D307">
        <v>0.14605000000000001</v>
      </c>
      <c r="E307">
        <v>0.15187</v>
      </c>
      <c r="F307">
        <v>6913529.4000000004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-0.41566265060241026</v>
      </c>
      <c r="Q307">
        <f t="shared" si="965"/>
        <v>-2873695.9554216913</v>
      </c>
      <c r="R307">
        <f t="shared" si="966"/>
        <v>-165181919.1939567</v>
      </c>
      <c r="S307">
        <f t="shared" si="967"/>
        <v>-1651.819191939567</v>
      </c>
      <c r="T307">
        <f t="shared" si="968"/>
        <v>-1.6518191919395671</v>
      </c>
    </row>
    <row r="308" spans="1:20" x14ac:dyDescent="0.25">
      <c r="A308" s="5">
        <v>44285</v>
      </c>
      <c r="B308">
        <v>0.18276999999999999</v>
      </c>
      <c r="C308">
        <v>0.18573000000000001</v>
      </c>
      <c r="D308">
        <v>0.161</v>
      </c>
      <c r="E308">
        <v>0.16519</v>
      </c>
      <c r="F308">
        <v>8205338.2000000002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-0.66114031540638907</v>
      </c>
      <c r="Q308">
        <f t="shared" si="965"/>
        <v>-5424879.8855640925</v>
      </c>
      <c r="R308">
        <f t="shared" si="966"/>
        <v>-162308223.23853502</v>
      </c>
      <c r="S308">
        <f t="shared" si="967"/>
        <v>-1623.0822323853502</v>
      </c>
      <c r="T308">
        <f t="shared" si="968"/>
        <v>-1.6230822323853502</v>
      </c>
    </row>
    <row r="309" spans="1:20" x14ac:dyDescent="0.25">
      <c r="A309" s="5">
        <v>44284</v>
      </c>
      <c r="B309">
        <v>0.15367</v>
      </c>
      <c r="C309">
        <v>0.19900000000000001</v>
      </c>
      <c r="D309">
        <v>0.14863000000000001</v>
      </c>
      <c r="E309">
        <v>0.18232000000000001</v>
      </c>
      <c r="F309">
        <v>26033465.899999999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0.33770101250744489</v>
      </c>
      <c r="Q309">
        <f t="shared" si="965"/>
        <v>8791527.7935080398</v>
      </c>
      <c r="R309">
        <f t="shared" si="966"/>
        <v>-156883343.35297093</v>
      </c>
      <c r="S309">
        <f t="shared" si="967"/>
        <v>-1568.8334335297093</v>
      </c>
      <c r="T309">
        <f t="shared" si="968"/>
        <v>-1.5688334335297094</v>
      </c>
    </row>
    <row r="310" spans="1:20" x14ac:dyDescent="0.25">
      <c r="A310" s="5">
        <v>44283</v>
      </c>
      <c r="B310">
        <v>0.15051999999999999</v>
      </c>
      <c r="C310">
        <v>0.16</v>
      </c>
      <c r="D310">
        <v>0.13059999999999999</v>
      </c>
      <c r="E310">
        <v>0.15484000000000001</v>
      </c>
      <c r="F310">
        <v>8196344.5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0.64897959183673493</v>
      </c>
      <c r="Q310">
        <f t="shared" si="965"/>
        <v>5319260.3081632676</v>
      </c>
      <c r="R310">
        <f t="shared" si="966"/>
        <v>-165674871.14647898</v>
      </c>
      <c r="S310">
        <f t="shared" si="967"/>
        <v>-1656.7487114647897</v>
      </c>
      <c r="T310">
        <f t="shared" si="968"/>
        <v>-1.6567487114647896</v>
      </c>
    </row>
    <row r="311" spans="1:20" x14ac:dyDescent="0.25">
      <c r="A311" s="5">
        <v>44282</v>
      </c>
      <c r="B311">
        <v>0.15428</v>
      </c>
      <c r="C311">
        <v>0.1618</v>
      </c>
      <c r="D311">
        <v>0.13755999999999999</v>
      </c>
      <c r="E311">
        <v>0.15051</v>
      </c>
      <c r="F311">
        <v>9033812.6999999993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6.848184818481938E-2</v>
      </c>
      <c r="Q311">
        <f t="shared" si="965"/>
        <v>618652.18985149323</v>
      </c>
      <c r="R311">
        <f t="shared" si="966"/>
        <v>-170994131.45464224</v>
      </c>
      <c r="S311">
        <f t="shared" si="967"/>
        <v>-1709.9413145464223</v>
      </c>
      <c r="T311">
        <f t="shared" si="968"/>
        <v>-1.7099413145464224</v>
      </c>
    </row>
    <row r="312" spans="1:20" x14ac:dyDescent="0.25">
      <c r="A312" s="5">
        <v>44281</v>
      </c>
      <c r="B312">
        <v>0.12067</v>
      </c>
      <c r="C312">
        <v>0.15631</v>
      </c>
      <c r="D312">
        <v>0.12</v>
      </c>
      <c r="E312">
        <v>0.15422</v>
      </c>
      <c r="F312">
        <v>11074451.199999999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0.88488019829248099</v>
      </c>
      <c r="Q312">
        <f t="shared" si="965"/>
        <v>9799562.573836403</v>
      </c>
      <c r="R312">
        <f t="shared" si="966"/>
        <v>-171612783.64449373</v>
      </c>
      <c r="S312">
        <f t="shared" si="967"/>
        <v>-1716.1278364449372</v>
      </c>
      <c r="T312">
        <f t="shared" si="968"/>
        <v>-1.7161278364449373</v>
      </c>
    </row>
    <row r="313" spans="1:20" x14ac:dyDescent="0.25">
      <c r="A313" s="5">
        <v>44280</v>
      </c>
      <c r="B313">
        <v>0.12645999999999999</v>
      </c>
      <c r="C313">
        <v>0.15</v>
      </c>
      <c r="D313">
        <v>0.12</v>
      </c>
      <c r="E313">
        <v>0.12068</v>
      </c>
      <c r="F313">
        <v>14619378.1</v>
      </c>
      <c r="G313">
        <v>0</v>
      </c>
      <c r="L313" t="s">
        <v>8</v>
      </c>
      <c r="M313" t="s">
        <v>8</v>
      </c>
      <c r="N313" t="s">
        <v>8</v>
      </c>
      <c r="P313">
        <f t="shared" si="964"/>
        <v>-0.95466666666666666</v>
      </c>
      <c r="Q313">
        <f t="shared" si="965"/>
        <v>-13956632.959466666</v>
      </c>
      <c r="R313">
        <f t="shared" si="966"/>
        <v>-181412346.21833014</v>
      </c>
      <c r="S313">
        <f t="shared" si="967"/>
        <v>-1814.1234621833014</v>
      </c>
      <c r="T313">
        <f t="shared" si="968"/>
        <v>-1.8141234621833013</v>
      </c>
    </row>
    <row r="314" spans="1:20" x14ac:dyDescent="0.25">
      <c r="A314" s="5">
        <v>44279</v>
      </c>
      <c r="B314">
        <v>0.11096</v>
      </c>
      <c r="C314">
        <v>0.14230999999999999</v>
      </c>
      <c r="D314">
        <v>0.10741000000000001</v>
      </c>
      <c r="E314">
        <v>0.12583</v>
      </c>
      <c r="F314">
        <v>16057196.9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5.5587392550143208E-2</v>
      </c>
      <c r="Q314">
        <f t="shared" si="965"/>
        <v>892577.70733524265</v>
      </c>
      <c r="R314">
        <f t="shared" si="966"/>
        <v>-167455713.25886348</v>
      </c>
      <c r="S314">
        <f t="shared" si="967"/>
        <v>-1674.5571325886349</v>
      </c>
      <c r="T314">
        <f t="shared" si="968"/>
        <v>-1.6745571325886348</v>
      </c>
    </row>
    <row r="315" spans="1:20" x14ac:dyDescent="0.25">
      <c r="A315" s="5">
        <v>44278</v>
      </c>
      <c r="B315">
        <v>0.11434</v>
      </c>
      <c r="C315">
        <v>0.12717999999999999</v>
      </c>
      <c r="D315">
        <v>0.10559</v>
      </c>
      <c r="E315">
        <v>0.11096</v>
      </c>
      <c r="F315">
        <v>17172748.600000001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-0.50254747568318636</v>
      </c>
      <c r="Q315">
        <f t="shared" si="965"/>
        <v>-8630121.4594719727</v>
      </c>
      <c r="R315">
        <f t="shared" si="966"/>
        <v>-168348290.96619871</v>
      </c>
      <c r="S315">
        <f t="shared" si="967"/>
        <v>-1683.4829096619872</v>
      </c>
      <c r="T315">
        <f t="shared" si="968"/>
        <v>-1.6834829096619872</v>
      </c>
    </row>
    <row r="316" spans="1:20" x14ac:dyDescent="0.25">
      <c r="A316" s="5">
        <v>44277</v>
      </c>
      <c r="B316">
        <v>9.7780000000000006E-2</v>
      </c>
      <c r="C316">
        <v>0.12598999999999999</v>
      </c>
      <c r="D316">
        <v>9.6500000000000002E-2</v>
      </c>
      <c r="E316">
        <v>0.11378000000000001</v>
      </c>
      <c r="F316">
        <v>19400689.699999999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0.17192268565615534</v>
      </c>
      <c r="Q316">
        <f t="shared" si="965"/>
        <v>3335418.6768057104</v>
      </c>
      <c r="R316">
        <f t="shared" si="966"/>
        <v>-159718169.50672674</v>
      </c>
      <c r="S316">
        <f t="shared" si="967"/>
        <v>-1597.1816950672674</v>
      </c>
      <c r="T316">
        <f t="shared" si="968"/>
        <v>-1.5971816950672673</v>
      </c>
    </row>
    <row r="317" spans="1:20" x14ac:dyDescent="0.25">
      <c r="A317" s="5">
        <v>44276</v>
      </c>
      <c r="B317">
        <v>9.7670000000000007E-2</v>
      </c>
      <c r="C317">
        <v>0.10105</v>
      </c>
      <c r="D317">
        <v>8.8319999999999996E-2</v>
      </c>
      <c r="E317">
        <v>9.7500000000000003E-2</v>
      </c>
      <c r="F317">
        <v>5735414.9000000004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0.44226237234878302</v>
      </c>
      <c r="Q317">
        <f t="shared" si="965"/>
        <v>2536558.2000785582</v>
      </c>
      <c r="R317">
        <f t="shared" si="966"/>
        <v>-163053588.18353245</v>
      </c>
      <c r="S317">
        <f t="shared" si="967"/>
        <v>-1630.5358818353245</v>
      </c>
      <c r="T317">
        <f t="shared" si="968"/>
        <v>-1.6305358818353246</v>
      </c>
    </row>
    <row r="318" spans="1:20" x14ac:dyDescent="0.25">
      <c r="A318" s="5">
        <v>44275</v>
      </c>
      <c r="B318">
        <v>9.5089999999999994E-2</v>
      </c>
      <c r="C318">
        <v>0.10415000000000001</v>
      </c>
      <c r="D318">
        <v>9.4899999999999998E-2</v>
      </c>
      <c r="E318">
        <v>9.7670000000000007E-2</v>
      </c>
      <c r="F318">
        <v>5309538.4000000004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-0.40108108108107976</v>
      </c>
      <c r="Q318">
        <f t="shared" si="965"/>
        <v>-2129555.4015135067</v>
      </c>
      <c r="R318">
        <f t="shared" si="966"/>
        <v>-165590146.38361099</v>
      </c>
      <c r="S318">
        <f t="shared" si="967"/>
        <v>-1655.90146383611</v>
      </c>
      <c r="T318">
        <f t="shared" si="968"/>
        <v>-1.65590146383611</v>
      </c>
    </row>
    <row r="319" spans="1:20" x14ac:dyDescent="0.25">
      <c r="A319" s="5">
        <v>44274</v>
      </c>
      <c r="B319">
        <v>9.4520000000000007E-2</v>
      </c>
      <c r="C319">
        <v>0.10002</v>
      </c>
      <c r="D319">
        <v>9.1050000000000006E-2</v>
      </c>
      <c r="E319">
        <v>9.5280000000000004E-2</v>
      </c>
      <c r="F319">
        <v>4286884.2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-5.685618729096957E-2</v>
      </c>
      <c r="Q319">
        <f t="shared" si="965"/>
        <v>-243735.89096989826</v>
      </c>
      <c r="R319">
        <f t="shared" si="966"/>
        <v>-163460590.98209748</v>
      </c>
      <c r="S319">
        <f t="shared" si="967"/>
        <v>-1634.6059098209748</v>
      </c>
      <c r="T319">
        <f t="shared" si="968"/>
        <v>-1.6346059098209749</v>
      </c>
    </row>
    <row r="320" spans="1:20" x14ac:dyDescent="0.25">
      <c r="A320" s="5">
        <v>44273</v>
      </c>
      <c r="B320">
        <v>0.10004</v>
      </c>
      <c r="C320">
        <v>0.10109</v>
      </c>
      <c r="D320">
        <v>9.3450000000000005E-2</v>
      </c>
      <c r="E320">
        <v>9.4899999999999998E-2</v>
      </c>
      <c r="F320">
        <v>3962590.2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-0.62041884816754078</v>
      </c>
      <c r="Q320">
        <f t="shared" si="965"/>
        <v>-2458465.6476439852</v>
      </c>
      <c r="R320">
        <f t="shared" si="966"/>
        <v>-163216855.09112757</v>
      </c>
      <c r="S320">
        <f t="shared" si="967"/>
        <v>-1632.1685509112758</v>
      </c>
      <c r="T320">
        <f t="shared" si="968"/>
        <v>-1.6321685509112758</v>
      </c>
    </row>
    <row r="321" spans="1:20" x14ac:dyDescent="0.25">
      <c r="A321" s="5">
        <v>44272</v>
      </c>
      <c r="B321">
        <v>0.10854999999999999</v>
      </c>
      <c r="C321">
        <v>0.10894</v>
      </c>
      <c r="D321">
        <v>9.7000000000000003E-2</v>
      </c>
      <c r="E321">
        <v>9.9820000000000006E-2</v>
      </c>
      <c r="F321">
        <v>7502354.0999999996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-0.52763819095477305</v>
      </c>
      <c r="Q321">
        <f t="shared" si="965"/>
        <v>-3958528.5452261241</v>
      </c>
      <c r="R321">
        <f t="shared" si="966"/>
        <v>-160758389.44348359</v>
      </c>
      <c r="S321">
        <f t="shared" si="967"/>
        <v>-1607.5838944348359</v>
      </c>
      <c r="T321">
        <f t="shared" si="968"/>
        <v>-1.607583894434836</v>
      </c>
    </row>
    <row r="322" spans="1:20" x14ac:dyDescent="0.25">
      <c r="A322" s="5">
        <v>44271</v>
      </c>
      <c r="B322">
        <v>9.7000000000000003E-2</v>
      </c>
      <c r="C322">
        <v>0.11</v>
      </c>
      <c r="D322">
        <v>8.8400000000000006E-2</v>
      </c>
      <c r="E322">
        <v>0.10853</v>
      </c>
      <c r="F322">
        <v>9349111.1999999993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0.86388888888888893</v>
      </c>
      <c r="Q322">
        <f t="shared" si="965"/>
        <v>8076593.2866666662</v>
      </c>
      <c r="R322">
        <f t="shared" si="966"/>
        <v>-156799860.89825746</v>
      </c>
      <c r="S322">
        <f t="shared" si="967"/>
        <v>-1567.9986089825748</v>
      </c>
      <c r="T322">
        <f t="shared" si="968"/>
        <v>-1.5679986089825748</v>
      </c>
    </row>
    <row r="323" spans="1:20" x14ac:dyDescent="0.25">
      <c r="A323" s="5">
        <v>44270</v>
      </c>
      <c r="B323">
        <v>8.9800000000000005E-2</v>
      </c>
      <c r="C323">
        <v>0.11799999999999999</v>
      </c>
      <c r="D323">
        <v>8.4309999999999996E-2</v>
      </c>
      <c r="E323">
        <v>9.7000000000000003E-2</v>
      </c>
      <c r="F323">
        <v>12480922.4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-0.24666073018699866</v>
      </c>
      <c r="Q323">
        <f t="shared" si="965"/>
        <v>-3078553.4325912679</v>
      </c>
      <c r="R323">
        <f t="shared" si="966"/>
        <v>-164876454.18492413</v>
      </c>
      <c r="S323">
        <f t="shared" si="967"/>
        <v>-1648.7645418492414</v>
      </c>
      <c r="T323">
        <f t="shared" si="968"/>
        <v>-1.6487645418492414</v>
      </c>
    </row>
    <row r="324" spans="1:20" x14ac:dyDescent="0.25">
      <c r="A324" s="5">
        <v>44269</v>
      </c>
      <c r="B324">
        <v>9.3369999999999995E-2</v>
      </c>
      <c r="C324">
        <v>9.9989999999999996E-2</v>
      </c>
      <c r="D324">
        <v>8.7499999999999994E-2</v>
      </c>
      <c r="E324">
        <v>8.9800000000000005E-2</v>
      </c>
      <c r="F324">
        <v>6002609.7999999998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-0.63170536429143154</v>
      </c>
      <c r="Q324">
        <f t="shared" si="965"/>
        <v>-3791880.810408317</v>
      </c>
      <c r="R324">
        <f t="shared" si="966"/>
        <v>-161797900.75233287</v>
      </c>
      <c r="S324">
        <f t="shared" si="967"/>
        <v>-1617.9790075233286</v>
      </c>
      <c r="T324">
        <f t="shared" si="968"/>
        <v>-1.6179790075233287</v>
      </c>
    </row>
    <row r="325" spans="1:20" x14ac:dyDescent="0.25">
      <c r="A325" s="5">
        <v>44268</v>
      </c>
      <c r="B325">
        <v>8.2849999999999993E-2</v>
      </c>
      <c r="C325">
        <v>9.7769999999999996E-2</v>
      </c>
      <c r="D325">
        <v>7.9219999999999999E-2</v>
      </c>
      <c r="E325">
        <v>9.3369999999999995E-2</v>
      </c>
      <c r="F325">
        <v>8519808.5999999996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0.52560646900269525</v>
      </c>
      <c r="Q325">
        <f t="shared" si="965"/>
        <v>4478066.5148247965</v>
      </c>
      <c r="R325">
        <f t="shared" si="966"/>
        <v>-158006019.94192454</v>
      </c>
      <c r="S325">
        <f t="shared" si="967"/>
        <v>-1580.0601994192455</v>
      </c>
      <c r="T325">
        <f t="shared" si="968"/>
        <v>-1.5800601994192454</v>
      </c>
    </row>
    <row r="326" spans="1:20" x14ac:dyDescent="0.25">
      <c r="A326" s="5">
        <v>44267</v>
      </c>
      <c r="B326">
        <v>9.0010000000000007E-2</v>
      </c>
      <c r="C326">
        <v>9.3969999999999998E-2</v>
      </c>
      <c r="D326">
        <v>8.0060000000000006E-2</v>
      </c>
      <c r="E326">
        <v>8.2540000000000002E-2</v>
      </c>
      <c r="F326">
        <v>8361522.5999999996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-0.64342199856218585</v>
      </c>
      <c r="Q326">
        <f t="shared" ref="Q326:Q389" si="970">F326*P326</f>
        <v>-5379987.5823148843</v>
      </c>
      <c r="R326">
        <f t="shared" ref="R326:R389" si="971">R327+Q326</f>
        <v>-162484086.45674935</v>
      </c>
      <c r="S326">
        <f t="shared" ref="S326:S389" si="972">R326/100000</f>
        <v>-1624.8408645674936</v>
      </c>
      <c r="T326">
        <f t="shared" ref="T326:T389" si="973">S326/1000</f>
        <v>-1.6248408645674937</v>
      </c>
    </row>
    <row r="327" spans="1:20" x14ac:dyDescent="0.25">
      <c r="A327" s="5">
        <v>44266</v>
      </c>
      <c r="B327">
        <v>9.9150000000000002E-2</v>
      </c>
      <c r="C327">
        <v>0.1071</v>
      </c>
      <c r="D327">
        <v>8.7819999999999995E-2</v>
      </c>
      <c r="E327">
        <v>0.09</v>
      </c>
      <c r="F327">
        <v>12437972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-0.77385892116182564</v>
      </c>
      <c r="Q327">
        <f t="shared" si="970"/>
        <v>-9625235.593360994</v>
      </c>
      <c r="R327">
        <f t="shared" si="971"/>
        <v>-157104098.87443447</v>
      </c>
      <c r="S327">
        <f t="shared" si="972"/>
        <v>-1571.0409887443448</v>
      </c>
      <c r="T327">
        <f t="shared" si="973"/>
        <v>-1.5710409887443448</v>
      </c>
    </row>
    <row r="328" spans="1:20" x14ac:dyDescent="0.25">
      <c r="A328" s="5">
        <v>44265</v>
      </c>
      <c r="B328">
        <v>8.9719999999999994E-2</v>
      </c>
      <c r="C328">
        <v>0.107</v>
      </c>
      <c r="D328">
        <v>8.5190000000000002E-2</v>
      </c>
      <c r="E328">
        <v>9.9169999999999994E-2</v>
      </c>
      <c r="F328">
        <v>25912632.100000001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0.28198074277854152</v>
      </c>
      <c r="Q328">
        <f t="shared" si="970"/>
        <v>7306863.2469050782</v>
      </c>
      <c r="R328">
        <f t="shared" si="971"/>
        <v>-147478863.28107348</v>
      </c>
      <c r="S328">
        <f t="shared" si="972"/>
        <v>-1474.7886328107347</v>
      </c>
      <c r="T328">
        <f t="shared" si="973"/>
        <v>-1.4747886328107347</v>
      </c>
    </row>
    <row r="329" spans="1:20" x14ac:dyDescent="0.25">
      <c r="A329" s="5">
        <v>44264</v>
      </c>
      <c r="B329">
        <v>7.4709999999999999E-2</v>
      </c>
      <c r="C329">
        <v>9.2999999999999999E-2</v>
      </c>
      <c r="D329">
        <v>7.3499999999999996E-2</v>
      </c>
      <c r="E329">
        <v>8.974E-2</v>
      </c>
      <c r="F329">
        <v>16123170.199999999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0.66564102564102579</v>
      </c>
      <c r="Q329">
        <f t="shared" si="970"/>
        <v>10732243.548512822</v>
      </c>
      <c r="R329">
        <f t="shared" si="971"/>
        <v>-154785726.52797857</v>
      </c>
      <c r="S329">
        <f t="shared" si="972"/>
        <v>-1547.8572652797857</v>
      </c>
      <c r="T329">
        <f t="shared" si="973"/>
        <v>-1.5478572652797857</v>
      </c>
    </row>
    <row r="330" spans="1:20" x14ac:dyDescent="0.25">
      <c r="A330" s="5">
        <v>44263</v>
      </c>
      <c r="B330">
        <v>7.2289999999999993E-2</v>
      </c>
      <c r="C330">
        <v>7.9699999999999993E-2</v>
      </c>
      <c r="D330">
        <v>6.6869999999999999E-2</v>
      </c>
      <c r="E330">
        <v>7.4370000000000006E-2</v>
      </c>
      <c r="F330">
        <v>5989370.5999999996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0.16913484021824007</v>
      </c>
      <c r="Q330">
        <f t="shared" si="970"/>
        <v>1013011.2394388246</v>
      </c>
      <c r="R330">
        <f t="shared" si="971"/>
        <v>-165517970.07649139</v>
      </c>
      <c r="S330">
        <f t="shared" si="972"/>
        <v>-1655.1797007649138</v>
      </c>
      <c r="T330">
        <f t="shared" si="973"/>
        <v>-1.6551797007649138</v>
      </c>
    </row>
    <row r="331" spans="1:20" x14ac:dyDescent="0.25">
      <c r="A331" s="5">
        <v>44262</v>
      </c>
      <c r="B331">
        <v>7.3230000000000003E-2</v>
      </c>
      <c r="C331">
        <v>7.4609999999999996E-2</v>
      </c>
      <c r="D331">
        <v>6.9000000000000006E-2</v>
      </c>
      <c r="E331">
        <v>7.2289999999999993E-2</v>
      </c>
      <c r="F331">
        <v>4075242.5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0.17290552584669991</v>
      </c>
      <c r="Q331">
        <f t="shared" si="970"/>
        <v>704631.94741531997</v>
      </c>
      <c r="R331">
        <f t="shared" si="971"/>
        <v>-166530981.31593022</v>
      </c>
      <c r="S331">
        <f t="shared" si="972"/>
        <v>-1665.3098131593022</v>
      </c>
      <c r="T331">
        <f t="shared" si="973"/>
        <v>-1.6653098131593023</v>
      </c>
    </row>
    <row r="332" spans="1:20" x14ac:dyDescent="0.25">
      <c r="A332" s="5">
        <v>44261</v>
      </c>
      <c r="B332">
        <v>7.5810000000000002E-2</v>
      </c>
      <c r="C332">
        <v>7.8280000000000002E-2</v>
      </c>
      <c r="D332">
        <v>6.8260000000000001E-2</v>
      </c>
      <c r="E332">
        <v>7.2900000000000006E-2</v>
      </c>
      <c r="F332">
        <v>4868572.5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-7.3852295409180702E-2</v>
      </c>
      <c r="Q332">
        <f t="shared" si="970"/>
        <v>-359555.25449101342</v>
      </c>
      <c r="R332">
        <f t="shared" si="971"/>
        <v>-167235613.26334554</v>
      </c>
      <c r="S332">
        <f t="shared" si="972"/>
        <v>-1672.3561326334554</v>
      </c>
      <c r="T332">
        <f t="shared" si="973"/>
        <v>-1.6723561326334555</v>
      </c>
    </row>
    <row r="333" spans="1:20" x14ac:dyDescent="0.25">
      <c r="A333" s="5">
        <v>44260</v>
      </c>
      <c r="B333">
        <v>7.0699999999999999E-2</v>
      </c>
      <c r="C333">
        <v>7.9699999999999993E-2</v>
      </c>
      <c r="D333">
        <v>6.4360000000000001E-2</v>
      </c>
      <c r="E333">
        <v>7.5810000000000002E-2</v>
      </c>
      <c r="F333">
        <v>12111635.1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0.49282920469361247</v>
      </c>
      <c r="Q333">
        <f t="shared" si="970"/>
        <v>5968967.4938722411</v>
      </c>
      <c r="R333">
        <f t="shared" si="971"/>
        <v>-166876058.00885454</v>
      </c>
      <c r="S333">
        <f t="shared" si="972"/>
        <v>-1668.7605800885453</v>
      </c>
      <c r="T333">
        <f t="shared" si="973"/>
        <v>-1.6687605800885454</v>
      </c>
    </row>
    <row r="334" spans="1:20" x14ac:dyDescent="0.25">
      <c r="A334" s="5">
        <v>44259</v>
      </c>
      <c r="B334">
        <v>6.837E-2</v>
      </c>
      <c r="C334">
        <v>7.1709999999999996E-2</v>
      </c>
      <c r="D334">
        <v>6.3009999999999997E-2</v>
      </c>
      <c r="E334">
        <v>7.0860000000000006E-2</v>
      </c>
      <c r="F334">
        <v>9170786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0.80459770114942764</v>
      </c>
      <c r="Q334">
        <f t="shared" si="970"/>
        <v>7378793.3333333544</v>
      </c>
      <c r="R334">
        <f t="shared" si="971"/>
        <v>-172845025.50272679</v>
      </c>
      <c r="S334">
        <f t="shared" si="972"/>
        <v>-1728.450255027268</v>
      </c>
      <c r="T334">
        <f t="shared" si="973"/>
        <v>-1.728450255027268</v>
      </c>
    </row>
    <row r="335" spans="1:20" x14ac:dyDescent="0.25">
      <c r="A335" s="5">
        <v>44258</v>
      </c>
      <c r="B335">
        <v>6.0440000000000001E-2</v>
      </c>
      <c r="C335">
        <v>7.0000000000000007E-2</v>
      </c>
      <c r="D335">
        <v>6.0199999999999997E-2</v>
      </c>
      <c r="E335">
        <v>6.8849999999999995E-2</v>
      </c>
      <c r="F335">
        <v>6530208.9000000004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0.76530612244897733</v>
      </c>
      <c r="Q335">
        <f t="shared" si="970"/>
        <v>4997608.8520408021</v>
      </c>
      <c r="R335">
        <f t="shared" si="971"/>
        <v>-180223818.83606014</v>
      </c>
      <c r="S335">
        <f t="shared" si="972"/>
        <v>-1802.2381883606013</v>
      </c>
      <c r="T335">
        <f t="shared" si="973"/>
        <v>-1.8022381883606013</v>
      </c>
    </row>
    <row r="336" spans="1:20" x14ac:dyDescent="0.25">
      <c r="A336" s="5">
        <v>44257</v>
      </c>
      <c r="B336">
        <v>6.2670000000000003E-2</v>
      </c>
      <c r="C336">
        <v>6.4990000000000006E-2</v>
      </c>
      <c r="D336">
        <v>5.7509999999999999E-2</v>
      </c>
      <c r="E336">
        <v>6.0299999999999999E-2</v>
      </c>
      <c r="F336">
        <v>4035766.6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-0.25401069518716629</v>
      </c>
      <c r="Q336">
        <f t="shared" si="970"/>
        <v>-1025127.8796791465</v>
      </c>
      <c r="R336">
        <f t="shared" si="971"/>
        <v>-185221427.68810093</v>
      </c>
      <c r="S336">
        <f t="shared" si="972"/>
        <v>-1852.2142768810093</v>
      </c>
      <c r="T336">
        <f t="shared" si="973"/>
        <v>-1.8522142768810093</v>
      </c>
    </row>
    <row r="337" spans="1:20" x14ac:dyDescent="0.25">
      <c r="A337" s="5">
        <v>44256</v>
      </c>
      <c r="B337">
        <v>5.4809999999999998E-2</v>
      </c>
      <c r="C337">
        <v>6.7229999999999998E-2</v>
      </c>
      <c r="D337">
        <v>5.4809999999999998E-2</v>
      </c>
      <c r="E337">
        <v>6.2670000000000003E-2</v>
      </c>
      <c r="F337">
        <v>7703683.4000000004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0.26570048309178834</v>
      </c>
      <c r="Q337">
        <f t="shared" si="970"/>
        <v>2046872.4009661907</v>
      </c>
      <c r="R337">
        <f t="shared" si="971"/>
        <v>-184196299.80842179</v>
      </c>
      <c r="S337">
        <f t="shared" si="972"/>
        <v>-1841.9629980842178</v>
      </c>
      <c r="T337">
        <f t="shared" si="973"/>
        <v>-1.8419629980842178</v>
      </c>
    </row>
    <row r="338" spans="1:20" x14ac:dyDescent="0.25">
      <c r="A338" s="5">
        <v>44255</v>
      </c>
      <c r="B338">
        <v>5.8160000000000003E-2</v>
      </c>
      <c r="C338">
        <v>6.5000000000000002E-2</v>
      </c>
      <c r="D338">
        <v>5.0189999999999999E-2</v>
      </c>
      <c r="E338">
        <v>5.4809999999999998E-2</v>
      </c>
      <c r="F338">
        <v>9045364.1999999993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-0.37609723160027037</v>
      </c>
      <c r="Q338">
        <f t="shared" si="970"/>
        <v>-3401936.4344361941</v>
      </c>
      <c r="R338">
        <f t="shared" si="971"/>
        <v>-186243172.20938799</v>
      </c>
      <c r="S338">
        <f t="shared" si="972"/>
        <v>-1862.4317220938799</v>
      </c>
      <c r="T338">
        <f t="shared" si="973"/>
        <v>-1.86243172209388</v>
      </c>
    </row>
    <row r="339" spans="1:20" x14ac:dyDescent="0.25">
      <c r="A339" s="5">
        <v>44254</v>
      </c>
      <c r="B339">
        <v>5.1279999999999999E-2</v>
      </c>
      <c r="C339">
        <v>6.8599999999999994E-2</v>
      </c>
      <c r="D339">
        <v>5.024E-2</v>
      </c>
      <c r="E339">
        <v>5.8200000000000002E-2</v>
      </c>
      <c r="F339">
        <v>13615099.4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-0.13289760348583832</v>
      </c>
      <c r="Q339">
        <f t="shared" si="970"/>
        <v>-1809414.0814814752</v>
      </c>
      <c r="R339">
        <f t="shared" si="971"/>
        <v>-182841235.77495179</v>
      </c>
      <c r="S339">
        <f t="shared" si="972"/>
        <v>-1828.4123577495179</v>
      </c>
      <c r="T339">
        <f t="shared" si="973"/>
        <v>-1.8284123577495179</v>
      </c>
    </row>
    <row r="340" spans="1:20" x14ac:dyDescent="0.25">
      <c r="A340" s="5">
        <v>44253</v>
      </c>
      <c r="B340">
        <v>5.2499999999999998E-2</v>
      </c>
      <c r="C340">
        <v>5.493E-2</v>
      </c>
      <c r="D340">
        <v>4.7600000000000003E-2</v>
      </c>
      <c r="E340">
        <v>5.1049999999999998E-2</v>
      </c>
      <c r="F340">
        <v>4482873.0999999996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-5.8663028649387036E-2</v>
      </c>
      <c r="Q340">
        <f t="shared" si="970"/>
        <v>-262978.91309686645</v>
      </c>
      <c r="R340">
        <f t="shared" si="971"/>
        <v>-181031821.6934703</v>
      </c>
      <c r="S340">
        <f t="shared" si="972"/>
        <v>-1810.3182169347031</v>
      </c>
      <c r="T340">
        <f t="shared" si="973"/>
        <v>-1.810318216934703</v>
      </c>
    </row>
    <row r="341" spans="1:20" x14ac:dyDescent="0.25">
      <c r="A341" s="5">
        <v>44252</v>
      </c>
      <c r="B341">
        <v>5.5669999999999997E-2</v>
      </c>
      <c r="C341">
        <v>6.3009999999999997E-2</v>
      </c>
      <c r="D341">
        <v>5.2499999999999998E-2</v>
      </c>
      <c r="E341">
        <v>5.2499999999999998E-2</v>
      </c>
      <c r="F341">
        <v>7707812</v>
      </c>
      <c r="G341">
        <v>0</v>
      </c>
      <c r="L341" t="s">
        <v>8</v>
      </c>
      <c r="M341" t="s">
        <v>7</v>
      </c>
      <c r="N341" t="s">
        <v>7</v>
      </c>
      <c r="P341">
        <f t="shared" si="969"/>
        <v>-1</v>
      </c>
      <c r="Q341">
        <f t="shared" si="970"/>
        <v>-7707812</v>
      </c>
      <c r="R341">
        <f t="shared" si="971"/>
        <v>-180768842.78037342</v>
      </c>
      <c r="S341">
        <f t="shared" si="972"/>
        <v>-1807.6884278037342</v>
      </c>
      <c r="T341">
        <f t="shared" si="973"/>
        <v>-1.8076884278037342</v>
      </c>
    </row>
    <row r="342" spans="1:20" x14ac:dyDescent="0.25">
      <c r="A342" s="5">
        <v>44251</v>
      </c>
      <c r="B342">
        <v>5.3999999999999999E-2</v>
      </c>
      <c r="C342">
        <v>6.2019999999999999E-2</v>
      </c>
      <c r="D342">
        <v>5.1180000000000003E-2</v>
      </c>
      <c r="E342">
        <v>5.5669999999999997E-2</v>
      </c>
      <c r="F342">
        <v>6978886.2000000002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-0.17158671586715943</v>
      </c>
      <c r="Q342">
        <f t="shared" si="970"/>
        <v>-1197484.1634686401</v>
      </c>
      <c r="R342">
        <f t="shared" si="971"/>
        <v>-173061030.78037342</v>
      </c>
      <c r="S342">
        <f t="shared" si="972"/>
        <v>-1730.6103078037343</v>
      </c>
      <c r="T342">
        <f t="shared" si="973"/>
        <v>-1.7306103078037343</v>
      </c>
    </row>
    <row r="343" spans="1:20" x14ac:dyDescent="0.25">
      <c r="A343" s="5">
        <v>44250</v>
      </c>
      <c r="B343">
        <v>6.7680000000000004E-2</v>
      </c>
      <c r="C343">
        <v>6.7879999999999996E-2</v>
      </c>
      <c r="D343">
        <v>4.8000000000000001E-2</v>
      </c>
      <c r="E343">
        <v>5.3519999999999998E-2</v>
      </c>
      <c r="F343">
        <v>8259898.2999999998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-0.44466800804828988</v>
      </c>
      <c r="Q343">
        <f t="shared" si="970"/>
        <v>-3672912.523742456</v>
      </c>
      <c r="R343">
        <f t="shared" si="971"/>
        <v>-171863546.6169048</v>
      </c>
      <c r="S343">
        <f t="shared" si="972"/>
        <v>-1718.635466169048</v>
      </c>
      <c r="T343">
        <f t="shared" si="973"/>
        <v>-1.7186354661690479</v>
      </c>
    </row>
    <row r="344" spans="1:20" x14ac:dyDescent="0.25">
      <c r="A344" s="5">
        <v>44249</v>
      </c>
      <c r="B344">
        <v>7.51E-2</v>
      </c>
      <c r="C344">
        <v>7.7100000000000002E-2</v>
      </c>
      <c r="D344">
        <v>5.7430000000000002E-2</v>
      </c>
      <c r="E344">
        <v>6.7680000000000004E-2</v>
      </c>
      <c r="F344">
        <v>8233039.7999999998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4.2196237925775516E-2</v>
      </c>
      <c r="Q344">
        <f t="shared" si="970"/>
        <v>347403.30625317927</v>
      </c>
      <c r="R344">
        <f t="shared" si="971"/>
        <v>-168190634.09316233</v>
      </c>
      <c r="S344">
        <f t="shared" si="972"/>
        <v>-1681.9063409316234</v>
      </c>
      <c r="T344">
        <f t="shared" si="973"/>
        <v>-1.6819063409316235</v>
      </c>
    </row>
    <row r="345" spans="1:20" x14ac:dyDescent="0.25">
      <c r="A345" s="5">
        <v>44248</v>
      </c>
      <c r="B345">
        <v>7.3370000000000005E-2</v>
      </c>
      <c r="C345">
        <v>7.9490000000000005E-2</v>
      </c>
      <c r="D345">
        <v>7.2029999999999997E-2</v>
      </c>
      <c r="E345">
        <v>7.5039999999999996E-2</v>
      </c>
      <c r="F345">
        <v>5022938.3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-0.19302949061662319</v>
      </c>
      <c r="Q345">
        <f t="shared" si="970"/>
        <v>-969575.22144772718</v>
      </c>
      <c r="R345">
        <f t="shared" si="971"/>
        <v>-168538037.39941549</v>
      </c>
      <c r="S345">
        <f t="shared" si="972"/>
        <v>-1685.380373994155</v>
      </c>
      <c r="T345">
        <f t="shared" si="973"/>
        <v>-1.6853803739941551</v>
      </c>
    </row>
    <row r="346" spans="1:20" x14ac:dyDescent="0.25">
      <c r="A346" s="5">
        <v>44247</v>
      </c>
      <c r="B346">
        <v>7.9570000000000002E-2</v>
      </c>
      <c r="C346">
        <v>8.5000000000000006E-2</v>
      </c>
      <c r="D346">
        <v>7.1999999999999995E-2</v>
      </c>
      <c r="E346">
        <v>7.3389999999999997E-2</v>
      </c>
      <c r="F346">
        <v>10812364.699999999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-0.78615384615384598</v>
      </c>
      <c r="Q346">
        <f t="shared" si="970"/>
        <v>-8500182.0949230753</v>
      </c>
      <c r="R346">
        <f t="shared" si="971"/>
        <v>-167568462.17796776</v>
      </c>
      <c r="S346">
        <f t="shared" si="972"/>
        <v>-1675.6846217796776</v>
      </c>
      <c r="T346">
        <f t="shared" si="973"/>
        <v>-1.6756846217796777</v>
      </c>
    </row>
    <row r="347" spans="1:20" x14ac:dyDescent="0.25">
      <c r="A347" s="5">
        <v>44246</v>
      </c>
      <c r="B347">
        <v>7.893E-2</v>
      </c>
      <c r="C347">
        <v>8.7429999999999994E-2</v>
      </c>
      <c r="D347">
        <v>7.6859999999999998E-2</v>
      </c>
      <c r="E347">
        <v>7.9549999999999996E-2</v>
      </c>
      <c r="F347">
        <v>13417554.1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-0.49101229895931903</v>
      </c>
      <c r="Q347">
        <f t="shared" si="970"/>
        <v>-6588184.0850520367</v>
      </c>
      <c r="R347">
        <f t="shared" si="971"/>
        <v>-159068280.08304468</v>
      </c>
      <c r="S347">
        <f t="shared" si="972"/>
        <v>-1590.6828008304467</v>
      </c>
      <c r="T347">
        <f t="shared" si="973"/>
        <v>-1.5906828008304468</v>
      </c>
    </row>
    <row r="348" spans="1:20" x14ac:dyDescent="0.25">
      <c r="A348" s="5">
        <v>44245</v>
      </c>
      <c r="B348">
        <v>8.3260000000000001E-2</v>
      </c>
      <c r="C348">
        <v>8.5290000000000005E-2</v>
      </c>
      <c r="D348">
        <v>7.4630000000000002E-2</v>
      </c>
      <c r="E348">
        <v>7.8579999999999997E-2</v>
      </c>
      <c r="F348">
        <v>12490809.1</v>
      </c>
      <c r="G348">
        <v>0</v>
      </c>
      <c r="L348" t="s">
        <v>8</v>
      </c>
      <c r="M348" t="s">
        <v>7</v>
      </c>
      <c r="N348" t="s">
        <v>8</v>
      </c>
      <c r="P348">
        <f t="shared" si="969"/>
        <v>-0.25891181988743073</v>
      </c>
      <c r="Q348">
        <f t="shared" si="970"/>
        <v>-3234018.1159474808</v>
      </c>
      <c r="R348">
        <f t="shared" si="971"/>
        <v>-152480095.99799263</v>
      </c>
      <c r="S348">
        <f t="shared" si="972"/>
        <v>-1524.8009599799263</v>
      </c>
      <c r="T348">
        <f t="shared" si="973"/>
        <v>-1.5248009599799264</v>
      </c>
    </row>
    <row r="349" spans="1:20" x14ac:dyDescent="0.25">
      <c r="A349" s="5">
        <v>44244</v>
      </c>
      <c r="B349">
        <v>8.0229999999999996E-2</v>
      </c>
      <c r="C349">
        <v>0.09</v>
      </c>
      <c r="D349">
        <v>7.3660000000000003E-2</v>
      </c>
      <c r="E349">
        <v>8.3150000000000002E-2</v>
      </c>
      <c r="F349">
        <v>13296206.5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0.16156670746634055</v>
      </c>
      <c r="Q349">
        <f t="shared" si="970"/>
        <v>2148224.3059975556</v>
      </c>
      <c r="R349">
        <f t="shared" si="971"/>
        <v>-149246077.88204515</v>
      </c>
      <c r="S349">
        <f t="shared" si="972"/>
        <v>-1492.4607788204514</v>
      </c>
      <c r="T349">
        <f t="shared" si="973"/>
        <v>-1.4924607788204514</v>
      </c>
    </row>
    <row r="350" spans="1:20" x14ac:dyDescent="0.25">
      <c r="A350" s="5">
        <v>44243</v>
      </c>
      <c r="B350">
        <v>8.677E-2</v>
      </c>
      <c r="C350">
        <v>9.3359999999999999E-2</v>
      </c>
      <c r="D350">
        <v>7.5300000000000006E-2</v>
      </c>
      <c r="E350">
        <v>8.0149999999999999E-2</v>
      </c>
      <c r="F350">
        <v>5526851.2999999998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-0.46290143964562624</v>
      </c>
      <c r="Q350">
        <f t="shared" si="970"/>
        <v>-2558387.4234773009</v>
      </c>
      <c r="R350">
        <f t="shared" si="971"/>
        <v>-151394302.1880427</v>
      </c>
      <c r="S350">
        <f t="shared" si="972"/>
        <v>-1513.9430218804271</v>
      </c>
      <c r="T350">
        <f t="shared" si="973"/>
        <v>-1.5139430218804271</v>
      </c>
    </row>
    <row r="351" spans="1:20" x14ac:dyDescent="0.25">
      <c r="A351" s="5">
        <v>44242</v>
      </c>
      <c r="B351">
        <v>8.2979999999999998E-2</v>
      </c>
      <c r="C351">
        <v>9.5469999999999999E-2</v>
      </c>
      <c r="D351">
        <v>6.7220000000000002E-2</v>
      </c>
      <c r="E351">
        <v>8.7660000000000002E-2</v>
      </c>
      <c r="F351">
        <v>12964883.300000001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0.44707964601769923</v>
      </c>
      <c r="Q351">
        <f t="shared" si="970"/>
        <v>5796335.4364247806</v>
      </c>
      <c r="R351">
        <f t="shared" si="971"/>
        <v>-148835914.76456541</v>
      </c>
      <c r="S351">
        <f t="shared" si="972"/>
        <v>-1488.359147645654</v>
      </c>
      <c r="T351">
        <f t="shared" si="973"/>
        <v>-1.4883591476456541</v>
      </c>
    </row>
    <row r="352" spans="1:20" x14ac:dyDescent="0.25">
      <c r="A352" s="5">
        <v>44241</v>
      </c>
      <c r="B352">
        <v>8.4919999999999995E-2</v>
      </c>
      <c r="C352">
        <v>9.4579999999999997E-2</v>
      </c>
      <c r="D352">
        <v>7.9500000000000001E-2</v>
      </c>
      <c r="E352">
        <v>8.2570000000000005E-2</v>
      </c>
      <c r="F352">
        <v>7908187.7000000002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-0.59283819628647161</v>
      </c>
      <c r="Q352">
        <f t="shared" si="970"/>
        <v>-4688275.7319628606</v>
      </c>
      <c r="R352">
        <f t="shared" si="971"/>
        <v>-154632250.2009902</v>
      </c>
      <c r="S352">
        <f t="shared" si="972"/>
        <v>-1546.3225020099021</v>
      </c>
      <c r="T352">
        <f t="shared" si="973"/>
        <v>-1.5463225020099021</v>
      </c>
    </row>
    <row r="353" spans="1:20" x14ac:dyDescent="0.25">
      <c r="A353" s="5">
        <v>44240</v>
      </c>
      <c r="B353">
        <v>8.1699999999999995E-2</v>
      </c>
      <c r="C353">
        <v>0.1095</v>
      </c>
      <c r="D353">
        <v>8.1170000000000006E-2</v>
      </c>
      <c r="E353">
        <v>8.5930000000000006E-2</v>
      </c>
      <c r="F353">
        <v>18946746.100000001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-0.66396046593716895</v>
      </c>
      <c r="Q353">
        <f t="shared" si="970"/>
        <v>-12579890.368549239</v>
      </c>
      <c r="R353">
        <f t="shared" si="971"/>
        <v>-149943974.46902734</v>
      </c>
      <c r="S353">
        <f t="shared" si="972"/>
        <v>-1499.4397446902733</v>
      </c>
      <c r="T353">
        <f t="shared" si="973"/>
        <v>-1.4994397446902732</v>
      </c>
    </row>
    <row r="354" spans="1:20" x14ac:dyDescent="0.25">
      <c r="A354" s="5">
        <v>44239</v>
      </c>
      <c r="B354">
        <v>6.8479999999999999E-2</v>
      </c>
      <c r="C354">
        <v>9.2679999999999998E-2</v>
      </c>
      <c r="D354">
        <v>6.7000000000000004E-2</v>
      </c>
      <c r="E354">
        <v>8.2000000000000003E-2</v>
      </c>
      <c r="F354">
        <v>18111537.199999999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0.16822429906542077</v>
      </c>
      <c r="Q354">
        <f t="shared" si="970"/>
        <v>3046800.6504672933</v>
      </c>
      <c r="R354">
        <f t="shared" si="971"/>
        <v>-137364084.10047811</v>
      </c>
      <c r="S354">
        <f t="shared" si="972"/>
        <v>-1373.6408410047811</v>
      </c>
      <c r="T354">
        <f t="shared" si="973"/>
        <v>-1.3736408410047811</v>
      </c>
    </row>
    <row r="355" spans="1:20" x14ac:dyDescent="0.25">
      <c r="A355" s="5">
        <v>44238</v>
      </c>
      <c r="B355">
        <v>6.6229999999999997E-2</v>
      </c>
      <c r="C355">
        <v>7.0980000000000001E-2</v>
      </c>
      <c r="D355">
        <v>6.2190000000000002E-2</v>
      </c>
      <c r="E355">
        <v>6.9099999999999995E-2</v>
      </c>
      <c r="F355">
        <v>9861028.0999999996</v>
      </c>
      <c r="G355">
        <v>0</v>
      </c>
      <c r="L355" t="s">
        <v>7</v>
      </c>
      <c r="M355" t="s">
        <v>8</v>
      </c>
      <c r="N355" t="s">
        <v>7</v>
      </c>
      <c r="P355">
        <f t="shared" si="969"/>
        <v>0.57224118316268335</v>
      </c>
      <c r="Q355">
        <f t="shared" si="970"/>
        <v>5642886.3871444669</v>
      </c>
      <c r="R355">
        <f t="shared" si="971"/>
        <v>-140410884.75094542</v>
      </c>
      <c r="S355">
        <f t="shared" si="972"/>
        <v>-1404.1088475094541</v>
      </c>
      <c r="T355">
        <f t="shared" si="973"/>
        <v>-1.4041088475094541</v>
      </c>
    </row>
    <row r="356" spans="1:20" x14ac:dyDescent="0.25">
      <c r="A356" s="5">
        <v>44237</v>
      </c>
      <c r="B356">
        <v>6.6030000000000005E-2</v>
      </c>
      <c r="C356">
        <v>7.4999999999999997E-2</v>
      </c>
      <c r="D356">
        <v>6.0999999999999999E-2</v>
      </c>
      <c r="E356">
        <v>6.6009999999999999E-2</v>
      </c>
      <c r="F356">
        <v>11108750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-0.28428571428571414</v>
      </c>
      <c r="Q356">
        <f t="shared" si="970"/>
        <v>-3158058.9285714268</v>
      </c>
      <c r="R356">
        <f t="shared" si="971"/>
        <v>-146053771.1380899</v>
      </c>
      <c r="S356">
        <f t="shared" si="972"/>
        <v>-1460.5377113808991</v>
      </c>
      <c r="T356">
        <f t="shared" si="973"/>
        <v>-1.4605377113808991</v>
      </c>
    </row>
    <row r="357" spans="1:20" x14ac:dyDescent="0.25">
      <c r="A357" s="5">
        <v>44236</v>
      </c>
      <c r="B357">
        <v>6.0639999999999999E-2</v>
      </c>
      <c r="C357">
        <v>6.8860000000000005E-2</v>
      </c>
      <c r="D357">
        <v>5.7680000000000002E-2</v>
      </c>
      <c r="E357">
        <v>6.6059999999999994E-2</v>
      </c>
      <c r="F357">
        <v>14751285.6</v>
      </c>
      <c r="G357">
        <v>0</v>
      </c>
      <c r="L357" t="s">
        <v>7</v>
      </c>
      <c r="M357" t="s">
        <v>7</v>
      </c>
      <c r="N357" t="s">
        <v>7</v>
      </c>
      <c r="P357">
        <f t="shared" si="969"/>
        <v>0.49910554561717169</v>
      </c>
      <c r="Q357">
        <f t="shared" si="970"/>
        <v>7362448.4479427272</v>
      </c>
      <c r="R357">
        <f t="shared" si="971"/>
        <v>-142895712.20951846</v>
      </c>
      <c r="S357">
        <f t="shared" si="972"/>
        <v>-1428.9571220951846</v>
      </c>
      <c r="T357">
        <f t="shared" si="973"/>
        <v>-1.4289571220951847</v>
      </c>
    </row>
    <row r="358" spans="1:20" x14ac:dyDescent="0.25">
      <c r="A358" s="5">
        <v>44235</v>
      </c>
      <c r="B358">
        <v>5.9929999999999997E-2</v>
      </c>
      <c r="C358">
        <v>6.9900000000000004E-2</v>
      </c>
      <c r="D358">
        <v>5.8000000000000003E-2</v>
      </c>
      <c r="E358">
        <v>6.0580000000000002E-2</v>
      </c>
      <c r="F358">
        <v>8580765.4000000004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-0.56638655462184895</v>
      </c>
      <c r="Q358">
        <f t="shared" si="970"/>
        <v>-4860030.1509243716</v>
      </c>
      <c r="R358">
        <f t="shared" si="971"/>
        <v>-150258160.6574612</v>
      </c>
      <c r="S358">
        <f t="shared" si="972"/>
        <v>-1502.5816065746119</v>
      </c>
      <c r="T358">
        <f t="shared" si="973"/>
        <v>-1.5025816065746118</v>
      </c>
    </row>
    <row r="359" spans="1:20" x14ac:dyDescent="0.25">
      <c r="A359" s="5">
        <v>44234</v>
      </c>
      <c r="B359">
        <v>6.5320000000000003E-2</v>
      </c>
      <c r="C359">
        <v>7.0000000000000007E-2</v>
      </c>
      <c r="D359">
        <v>5.7200000000000001E-2</v>
      </c>
      <c r="E359">
        <v>5.9880000000000003E-2</v>
      </c>
      <c r="F359">
        <v>4926402.2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-0.58124999999999993</v>
      </c>
      <c r="Q359">
        <f t="shared" si="970"/>
        <v>-2863471.2787499996</v>
      </c>
      <c r="R359">
        <f t="shared" si="971"/>
        <v>-145398130.50653681</v>
      </c>
      <c r="S359">
        <f t="shared" si="972"/>
        <v>-1453.9813050653681</v>
      </c>
      <c r="T359">
        <f t="shared" si="973"/>
        <v>-1.453981305065368</v>
      </c>
    </row>
    <row r="360" spans="1:20" x14ac:dyDescent="0.25">
      <c r="A360" s="5">
        <v>44233</v>
      </c>
      <c r="B360">
        <v>6.9290000000000004E-2</v>
      </c>
      <c r="C360">
        <v>7.1400000000000005E-2</v>
      </c>
      <c r="D360">
        <v>6.3E-2</v>
      </c>
      <c r="E360">
        <v>6.5350000000000005E-2</v>
      </c>
      <c r="F360">
        <v>5336142.7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-0.44047619047618963</v>
      </c>
      <c r="Q360">
        <f t="shared" si="970"/>
        <v>-2350443.8083333289</v>
      </c>
      <c r="R360">
        <f t="shared" si="971"/>
        <v>-142534659.22778681</v>
      </c>
      <c r="S360">
        <f t="shared" si="972"/>
        <v>-1425.346592277868</v>
      </c>
      <c r="T360">
        <f t="shared" si="973"/>
        <v>-1.4253465922778681</v>
      </c>
    </row>
    <row r="361" spans="1:20" x14ac:dyDescent="0.25">
      <c r="A361" s="5">
        <v>44232</v>
      </c>
      <c r="B361">
        <v>6.6979999999999998E-2</v>
      </c>
      <c r="C361">
        <v>8.2250000000000004E-2</v>
      </c>
      <c r="D361">
        <v>6.658E-2</v>
      </c>
      <c r="E361">
        <v>7.0260000000000003E-2</v>
      </c>
      <c r="F361">
        <v>9520451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-0.53031269942565384</v>
      </c>
      <c r="Q361">
        <f t="shared" si="970"/>
        <v>-5048816.0695596654</v>
      </c>
      <c r="R361">
        <f t="shared" si="971"/>
        <v>-140184215.41945347</v>
      </c>
      <c r="S361">
        <f t="shared" si="972"/>
        <v>-1401.8421541945347</v>
      </c>
      <c r="T361">
        <f t="shared" si="973"/>
        <v>-1.4018421541945347</v>
      </c>
    </row>
    <row r="362" spans="1:20" x14ac:dyDescent="0.25">
      <c r="A362" s="5">
        <v>44231</v>
      </c>
      <c r="B362">
        <v>6.9159999999999999E-2</v>
      </c>
      <c r="C362">
        <v>7.1349999999999997E-2</v>
      </c>
      <c r="D362">
        <v>6.4140000000000003E-2</v>
      </c>
      <c r="E362">
        <v>6.6979999999999998E-2</v>
      </c>
      <c r="F362">
        <v>8356108.9000000004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-0.2122052704576983</v>
      </c>
      <c r="Q362">
        <f t="shared" si="970"/>
        <v>-1773210.3490984798</v>
      </c>
      <c r="R362">
        <f t="shared" si="971"/>
        <v>-135135399.34989381</v>
      </c>
      <c r="S362">
        <f t="shared" si="972"/>
        <v>-1351.3539934989381</v>
      </c>
      <c r="T362">
        <f t="shared" si="973"/>
        <v>-1.351353993498938</v>
      </c>
    </row>
    <row r="363" spans="1:20" x14ac:dyDescent="0.25">
      <c r="A363" s="5">
        <v>44230</v>
      </c>
      <c r="B363">
        <v>7.4730000000000005E-2</v>
      </c>
      <c r="C363">
        <v>8.1949999999999995E-2</v>
      </c>
      <c r="D363">
        <v>6.8000000000000005E-2</v>
      </c>
      <c r="E363">
        <v>6.9709999999999994E-2</v>
      </c>
      <c r="F363">
        <v>10052610.4</v>
      </c>
      <c r="G363">
        <v>0</v>
      </c>
      <c r="L363" t="s">
        <v>7</v>
      </c>
      <c r="M363" t="s">
        <v>7</v>
      </c>
      <c r="N363" t="s">
        <v>7</v>
      </c>
      <c r="P363">
        <f t="shared" si="969"/>
        <v>-0.75483870967742073</v>
      </c>
      <c r="Q363">
        <f t="shared" si="970"/>
        <v>-7588099.4632258201</v>
      </c>
      <c r="R363">
        <f t="shared" si="971"/>
        <v>-133362189.00079532</v>
      </c>
      <c r="S363">
        <f t="shared" si="972"/>
        <v>-1333.6218900079532</v>
      </c>
      <c r="T363">
        <f t="shared" si="973"/>
        <v>-1.3336218900079533</v>
      </c>
    </row>
    <row r="364" spans="1:20" x14ac:dyDescent="0.25">
      <c r="A364" s="5">
        <v>44229</v>
      </c>
      <c r="B364">
        <v>6.9290000000000004E-2</v>
      </c>
      <c r="C364">
        <v>9.9000000000000005E-2</v>
      </c>
      <c r="D364">
        <v>6.6640000000000005E-2</v>
      </c>
      <c r="E364">
        <v>7.5429999999999997E-2</v>
      </c>
      <c r="F364">
        <v>22936870.5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-0.45673671199011173</v>
      </c>
      <c r="Q364">
        <f t="shared" si="970"/>
        <v>-10476110.815512991</v>
      </c>
      <c r="R364">
        <f t="shared" si="971"/>
        <v>-125774089.53756949</v>
      </c>
      <c r="S364">
        <f t="shared" si="972"/>
        <v>-1257.7408953756949</v>
      </c>
      <c r="T364">
        <f t="shared" si="973"/>
        <v>-1.257740895375695</v>
      </c>
    </row>
    <row r="365" spans="1:20" x14ac:dyDescent="0.25">
      <c r="A365" s="5">
        <v>44228</v>
      </c>
      <c r="B365">
        <v>5.3220000000000003E-2</v>
      </c>
      <c r="C365">
        <v>8.5000000000000006E-2</v>
      </c>
      <c r="D365">
        <v>5.1040000000000002E-2</v>
      </c>
      <c r="E365">
        <v>6.9120000000000001E-2</v>
      </c>
      <c r="F365">
        <v>19118333.399999999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6.4782096584216534E-2</v>
      </c>
      <c r="Q365">
        <f t="shared" si="970"/>
        <v>1238525.7208480528</v>
      </c>
      <c r="R365">
        <f t="shared" si="971"/>
        <v>-115297978.72205651</v>
      </c>
      <c r="S365">
        <f t="shared" si="972"/>
        <v>-1152.9797872205652</v>
      </c>
      <c r="T365">
        <f t="shared" si="973"/>
        <v>-1.1529797872205652</v>
      </c>
    </row>
    <row r="366" spans="1:20" x14ac:dyDescent="0.25">
      <c r="A366" s="5">
        <v>44227</v>
      </c>
      <c r="B366">
        <v>4.0829999999999998E-2</v>
      </c>
      <c r="C366">
        <v>0.113</v>
      </c>
      <c r="D366">
        <v>4.0829999999999998E-2</v>
      </c>
      <c r="E366">
        <v>5.3220000000000003E-2</v>
      </c>
      <c r="F366">
        <v>80618091.799999997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-0.65664403491755563</v>
      </c>
      <c r="Q366">
        <f t="shared" si="970"/>
        <v>-52937389.086905904</v>
      </c>
      <c r="R366">
        <f t="shared" si="971"/>
        <v>-116536504.44290456</v>
      </c>
      <c r="S366">
        <f t="shared" si="972"/>
        <v>-1165.3650444290456</v>
      </c>
      <c r="T366">
        <f t="shared" si="973"/>
        <v>-1.1653650444290455</v>
      </c>
    </row>
    <row r="367" spans="1:20" x14ac:dyDescent="0.25">
      <c r="A367" s="5">
        <v>44226</v>
      </c>
      <c r="B367">
        <v>3.7359999999999997E-2</v>
      </c>
      <c r="C367">
        <v>4.5650000000000003E-2</v>
      </c>
      <c r="D367">
        <v>3.6200000000000003E-2</v>
      </c>
      <c r="E367">
        <v>4.0829999999999998E-2</v>
      </c>
      <c r="F367">
        <v>8060931.4000000004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-2.0105820105821123E-2</v>
      </c>
      <c r="Q367">
        <f t="shared" si="970"/>
        <v>-162071.63661376483</v>
      </c>
      <c r="R367">
        <f t="shared" si="971"/>
        <v>-63599115.355998658</v>
      </c>
      <c r="S367">
        <f t="shared" si="972"/>
        <v>-635.99115355998663</v>
      </c>
      <c r="T367">
        <f t="shared" si="973"/>
        <v>-0.63599115355998659</v>
      </c>
    </row>
    <row r="368" spans="1:20" x14ac:dyDescent="0.25">
      <c r="A368" s="5">
        <v>44225</v>
      </c>
      <c r="B368">
        <v>3.9120000000000002E-2</v>
      </c>
      <c r="C368">
        <v>0.04</v>
      </c>
      <c r="D368">
        <v>3.5999999999999997E-2</v>
      </c>
      <c r="E368">
        <v>3.7429999999999998E-2</v>
      </c>
      <c r="F368">
        <v>7614533.4000000004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-0.28500000000000025</v>
      </c>
      <c r="Q368">
        <f t="shared" si="970"/>
        <v>-2170142.0190000022</v>
      </c>
      <c r="R368">
        <f t="shared" si="971"/>
        <v>-63437043.719384894</v>
      </c>
      <c r="S368">
        <f t="shared" si="972"/>
        <v>-634.37043719384894</v>
      </c>
      <c r="T368">
        <f t="shared" si="973"/>
        <v>-0.63437043719384889</v>
      </c>
    </row>
    <row r="369" spans="1:20" x14ac:dyDescent="0.25">
      <c r="A369" s="5">
        <v>44224</v>
      </c>
      <c r="B369">
        <v>3.746E-2</v>
      </c>
      <c r="C369">
        <v>4.5100000000000001E-2</v>
      </c>
      <c r="D369">
        <v>3.6360000000000003E-2</v>
      </c>
      <c r="E369">
        <v>3.9109999999999999E-2</v>
      </c>
      <c r="F369">
        <v>6661951.5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-0.37070938215103061</v>
      </c>
      <c r="Q369">
        <f t="shared" si="970"/>
        <v>-2469647.9244851316</v>
      </c>
      <c r="R369">
        <f t="shared" si="971"/>
        <v>-61266901.700384893</v>
      </c>
      <c r="S369">
        <f t="shared" si="972"/>
        <v>-612.66901700384892</v>
      </c>
      <c r="T369">
        <f t="shared" si="973"/>
        <v>-0.6126690170038489</v>
      </c>
    </row>
    <row r="370" spans="1:20" x14ac:dyDescent="0.25">
      <c r="A370" s="5">
        <v>44223</v>
      </c>
      <c r="B370">
        <v>4.4740000000000002E-2</v>
      </c>
      <c r="C370">
        <v>4.5449999999999997E-2</v>
      </c>
      <c r="D370">
        <v>3.5560000000000001E-2</v>
      </c>
      <c r="E370">
        <v>3.866E-2</v>
      </c>
      <c r="F370">
        <v>4702884.3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-0.37310414560161781</v>
      </c>
      <c r="Q370">
        <f t="shared" si="970"/>
        <v>-1754665.6286147623</v>
      </c>
      <c r="R370">
        <f t="shared" si="971"/>
        <v>-58797253.77589976</v>
      </c>
      <c r="S370">
        <f t="shared" si="972"/>
        <v>-587.97253775899765</v>
      </c>
      <c r="T370">
        <f t="shared" si="973"/>
        <v>-0.5879725377589976</v>
      </c>
    </row>
    <row r="371" spans="1:20" x14ac:dyDescent="0.25">
      <c r="A371" s="5">
        <v>44222</v>
      </c>
      <c r="B371">
        <v>4.8399999999999999E-2</v>
      </c>
      <c r="C371">
        <v>5.0389999999999997E-2</v>
      </c>
      <c r="D371">
        <v>4.0439999999999997E-2</v>
      </c>
      <c r="E371">
        <v>4.548E-2</v>
      </c>
      <c r="F371">
        <v>5161231.3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1.3065326633166343E-2</v>
      </c>
      <c r="Q371">
        <f t="shared" si="970"/>
        <v>67433.172763821742</v>
      </c>
      <c r="R371">
        <f t="shared" si="971"/>
        <v>-57042588.147284999</v>
      </c>
      <c r="S371">
        <f t="shared" si="972"/>
        <v>-570.42588147285005</v>
      </c>
      <c r="T371">
        <f t="shared" si="973"/>
        <v>-0.57042588147285</v>
      </c>
    </row>
    <row r="372" spans="1:20" x14ac:dyDescent="0.25">
      <c r="A372" s="5">
        <v>44221</v>
      </c>
      <c r="B372">
        <v>4.0500000000000001E-2</v>
      </c>
      <c r="C372">
        <v>5.7889999999999997E-2</v>
      </c>
      <c r="D372">
        <v>4.0500000000000001E-2</v>
      </c>
      <c r="E372">
        <v>4.9549999999999997E-2</v>
      </c>
      <c r="F372">
        <v>25548786.399999999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4.0828062104657593E-2</v>
      </c>
      <c r="Q372">
        <f t="shared" si="970"/>
        <v>1043107.4378378312</v>
      </c>
      <c r="R372">
        <f t="shared" si="971"/>
        <v>-57110021.320048824</v>
      </c>
      <c r="S372">
        <f t="shared" si="972"/>
        <v>-571.10021320048827</v>
      </c>
      <c r="T372">
        <f t="shared" si="973"/>
        <v>-0.57110021320048832</v>
      </c>
    </row>
    <row r="373" spans="1:20" x14ac:dyDescent="0.25">
      <c r="A373" s="5">
        <v>44220</v>
      </c>
      <c r="B373">
        <v>3.49E-2</v>
      </c>
      <c r="C373">
        <v>4.1209999999999997E-2</v>
      </c>
      <c r="D373">
        <v>3.4790000000000001E-2</v>
      </c>
      <c r="E373">
        <v>0.04</v>
      </c>
      <c r="F373">
        <v>3575405.5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0.6230529595015587</v>
      </c>
      <c r="Q373">
        <f t="shared" si="970"/>
        <v>2227666.9781931504</v>
      </c>
      <c r="R373">
        <f t="shared" si="971"/>
        <v>-58153128.757886656</v>
      </c>
      <c r="S373">
        <f t="shared" si="972"/>
        <v>-581.53128757886657</v>
      </c>
      <c r="T373">
        <f t="shared" si="973"/>
        <v>-0.58153128757886652</v>
      </c>
    </row>
    <row r="374" spans="1:20" x14ac:dyDescent="0.25">
      <c r="A374" s="5">
        <v>44219</v>
      </c>
      <c r="B374">
        <v>3.4200000000000001E-2</v>
      </c>
      <c r="C374">
        <v>3.6429999999999997E-2</v>
      </c>
      <c r="D374">
        <v>3.4000000000000002E-2</v>
      </c>
      <c r="E374">
        <v>3.4880000000000001E-2</v>
      </c>
      <c r="F374">
        <v>4224802.5999999996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-0.27572016460905285</v>
      </c>
      <c r="Q374">
        <f t="shared" si="970"/>
        <v>-1164863.2683127543</v>
      </c>
      <c r="R374">
        <f t="shared" si="971"/>
        <v>-60380795.736079805</v>
      </c>
      <c r="S374">
        <f t="shared" si="972"/>
        <v>-603.80795736079801</v>
      </c>
      <c r="T374">
        <f t="shared" si="973"/>
        <v>-0.60380795736079806</v>
      </c>
    </row>
    <row r="375" spans="1:20" x14ac:dyDescent="0.25">
      <c r="A375" s="5">
        <v>44218</v>
      </c>
      <c r="B375">
        <v>3.5549999999999998E-2</v>
      </c>
      <c r="C375">
        <v>3.6110000000000003E-2</v>
      </c>
      <c r="D375">
        <v>3.0949999999999998E-2</v>
      </c>
      <c r="E375">
        <v>3.4200000000000001E-2</v>
      </c>
      <c r="F375">
        <v>2345556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0.25968992248062006</v>
      </c>
      <c r="Q375">
        <f t="shared" si="970"/>
        <v>609117.25581395323</v>
      </c>
      <c r="R375">
        <f t="shared" si="971"/>
        <v>-59215932.467767052</v>
      </c>
      <c r="S375">
        <f t="shared" si="972"/>
        <v>-592.1593246776705</v>
      </c>
      <c r="T375">
        <f t="shared" si="973"/>
        <v>-0.59215932467767052</v>
      </c>
    </row>
    <row r="376" spans="1:20" x14ac:dyDescent="0.25">
      <c r="A376" s="5">
        <v>44217</v>
      </c>
      <c r="B376">
        <v>3.4599999999999999E-2</v>
      </c>
      <c r="C376">
        <v>3.6760000000000001E-2</v>
      </c>
      <c r="D376">
        <v>3.1510000000000003E-2</v>
      </c>
      <c r="E376">
        <v>3.4299999999999997E-2</v>
      </c>
      <c r="F376">
        <v>2713635.4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6.2857142857140988E-2</v>
      </c>
      <c r="Q376">
        <f t="shared" si="970"/>
        <v>170571.36799999492</v>
      </c>
      <c r="R376">
        <f t="shared" si="971"/>
        <v>-59825049.723581009</v>
      </c>
      <c r="S376">
        <f t="shared" si="972"/>
        <v>-598.25049723581003</v>
      </c>
      <c r="T376">
        <f t="shared" si="973"/>
        <v>-0.59825049723581003</v>
      </c>
    </row>
    <row r="377" spans="1:20" x14ac:dyDescent="0.25">
      <c r="A377" s="5">
        <v>44216</v>
      </c>
      <c r="B377">
        <v>3.415E-2</v>
      </c>
      <c r="C377">
        <v>3.5999999999999997E-2</v>
      </c>
      <c r="D377">
        <v>3.2550000000000003E-2</v>
      </c>
      <c r="E377">
        <v>3.4639999999999997E-2</v>
      </c>
      <c r="F377">
        <v>1855957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0.21159420289854947</v>
      </c>
      <c r="Q377">
        <f t="shared" si="970"/>
        <v>392709.74202898319</v>
      </c>
      <c r="R377">
        <f t="shared" si="971"/>
        <v>-59995621.091581002</v>
      </c>
      <c r="S377">
        <f t="shared" si="972"/>
        <v>-599.95621091581006</v>
      </c>
      <c r="T377">
        <f t="shared" si="973"/>
        <v>-0.59995621091581008</v>
      </c>
    </row>
    <row r="378" spans="1:20" x14ac:dyDescent="0.25">
      <c r="A378" s="5">
        <v>44215</v>
      </c>
      <c r="B378">
        <v>3.73E-2</v>
      </c>
      <c r="C378">
        <v>3.7530000000000001E-2</v>
      </c>
      <c r="D378">
        <v>3.4009999999999999E-2</v>
      </c>
      <c r="E378">
        <v>3.415E-2</v>
      </c>
      <c r="F378">
        <v>2742625.3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-0.92045454545454486</v>
      </c>
      <c r="Q378">
        <f t="shared" si="970"/>
        <v>-2524461.9238636345</v>
      </c>
      <c r="R378">
        <f t="shared" si="971"/>
        <v>-60388330.833609983</v>
      </c>
      <c r="S378">
        <f t="shared" si="972"/>
        <v>-603.88330833609984</v>
      </c>
      <c r="T378">
        <f t="shared" si="973"/>
        <v>-0.60388330833609982</v>
      </c>
    </row>
    <row r="379" spans="1:20" x14ac:dyDescent="0.25">
      <c r="A379" s="5">
        <v>44214</v>
      </c>
      <c r="B379">
        <v>3.4389999999999997E-2</v>
      </c>
      <c r="C379">
        <v>3.7600000000000001E-2</v>
      </c>
      <c r="D379">
        <v>3.4099999999999998E-2</v>
      </c>
      <c r="E379">
        <v>3.7400000000000003E-2</v>
      </c>
      <c r="F379">
        <v>2579562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0.88571428571428645</v>
      </c>
      <c r="Q379">
        <f t="shared" si="970"/>
        <v>2284754.9142857161</v>
      </c>
      <c r="R379">
        <f t="shared" si="971"/>
        <v>-57863868.909746349</v>
      </c>
      <c r="S379">
        <f t="shared" si="972"/>
        <v>-578.6386890974635</v>
      </c>
      <c r="T379">
        <f t="shared" si="973"/>
        <v>-0.57863868909746352</v>
      </c>
    </row>
    <row r="380" spans="1:20" x14ac:dyDescent="0.25">
      <c r="A380" s="5">
        <v>44213</v>
      </c>
      <c r="B380">
        <v>3.5310000000000001E-2</v>
      </c>
      <c r="C380">
        <v>4.7100000000000003E-2</v>
      </c>
      <c r="D380">
        <v>3.3000000000000002E-2</v>
      </c>
      <c r="E380">
        <v>3.4279999999999998E-2</v>
      </c>
      <c r="F380">
        <v>5794094.2000000002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-0.81843971631205725</v>
      </c>
      <c r="Q380">
        <f t="shared" si="970"/>
        <v>-4742116.8133333363</v>
      </c>
      <c r="R380">
        <f t="shared" si="971"/>
        <v>-60148623.824032068</v>
      </c>
      <c r="S380">
        <f t="shared" si="972"/>
        <v>-601.48623824032063</v>
      </c>
      <c r="T380">
        <f t="shared" si="973"/>
        <v>-0.60148623824032066</v>
      </c>
    </row>
    <row r="381" spans="1:20" x14ac:dyDescent="0.25">
      <c r="A381" s="5">
        <v>44212</v>
      </c>
      <c r="B381">
        <v>3.3730000000000003E-2</v>
      </c>
      <c r="C381">
        <v>3.8600000000000002E-2</v>
      </c>
      <c r="D381">
        <v>3.3000000000000002E-2</v>
      </c>
      <c r="E381">
        <v>3.5310000000000001E-2</v>
      </c>
      <c r="F381">
        <v>3620331.2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-0.17500000000000027</v>
      </c>
      <c r="Q381">
        <f t="shared" si="970"/>
        <v>-633557.96000000101</v>
      </c>
      <c r="R381">
        <f t="shared" si="971"/>
        <v>-55406507.010698728</v>
      </c>
      <c r="S381">
        <f t="shared" si="972"/>
        <v>-554.06507010698726</v>
      </c>
      <c r="T381">
        <f t="shared" si="973"/>
        <v>-0.55406507010698725</v>
      </c>
    </row>
    <row r="382" spans="1:20" x14ac:dyDescent="0.25">
      <c r="A382" s="5">
        <v>44211</v>
      </c>
      <c r="B382">
        <v>3.4229999999999997E-2</v>
      </c>
      <c r="C382">
        <v>3.4770000000000002E-2</v>
      </c>
      <c r="D382">
        <v>3.1519999999999999E-2</v>
      </c>
      <c r="E382">
        <v>3.3340000000000002E-2</v>
      </c>
      <c r="F382">
        <v>2567567.2999999998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0.12000000000000034</v>
      </c>
      <c r="Q382">
        <f t="shared" si="970"/>
        <v>308108.07600000087</v>
      </c>
      <c r="R382">
        <f t="shared" si="971"/>
        <v>-54772949.050698727</v>
      </c>
      <c r="S382">
        <f t="shared" si="972"/>
        <v>-547.7294905069873</v>
      </c>
      <c r="T382">
        <f t="shared" si="973"/>
        <v>-0.54772949050698727</v>
      </c>
    </row>
    <row r="383" spans="1:20" x14ac:dyDescent="0.25">
      <c r="A383" s="5">
        <v>44210</v>
      </c>
      <c r="B383">
        <v>3.4430000000000002E-2</v>
      </c>
      <c r="C383">
        <v>3.5000000000000003E-2</v>
      </c>
      <c r="D383">
        <v>3.313E-2</v>
      </c>
      <c r="E383">
        <v>3.4250000000000003E-2</v>
      </c>
      <c r="F383">
        <v>1780428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0.19786096256684577</v>
      </c>
      <c r="Q383">
        <f t="shared" si="970"/>
        <v>352277.19786096405</v>
      </c>
      <c r="R383">
        <f t="shared" si="971"/>
        <v>-55081057.126698725</v>
      </c>
      <c r="S383">
        <f t="shared" si="972"/>
        <v>-550.81057126698727</v>
      </c>
      <c r="T383">
        <f t="shared" si="973"/>
        <v>-0.55081057126698729</v>
      </c>
    </row>
    <row r="384" spans="1:20" x14ac:dyDescent="0.25">
      <c r="A384" s="5">
        <v>44209</v>
      </c>
      <c r="B384">
        <v>3.2489999999999998E-2</v>
      </c>
      <c r="C384">
        <v>3.4439999999999998E-2</v>
      </c>
      <c r="D384">
        <v>3.1320000000000001E-2</v>
      </c>
      <c r="E384">
        <v>3.4009999999999999E-2</v>
      </c>
      <c r="F384">
        <v>1040820.7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0.72435897435897423</v>
      </c>
      <c r="Q384">
        <f t="shared" si="970"/>
        <v>753927.81474358961</v>
      </c>
      <c r="R384">
        <f t="shared" si="971"/>
        <v>-55433334.324559689</v>
      </c>
      <c r="S384">
        <f t="shared" si="972"/>
        <v>-554.33334324559689</v>
      </c>
      <c r="T384">
        <f t="shared" si="973"/>
        <v>-0.55433334324559691</v>
      </c>
    </row>
    <row r="385" spans="1:20" x14ac:dyDescent="0.25">
      <c r="A385" s="5">
        <v>44208</v>
      </c>
      <c r="B385">
        <v>3.329E-2</v>
      </c>
      <c r="C385">
        <v>3.4599999999999999E-2</v>
      </c>
      <c r="D385">
        <v>3.1579999999999997E-2</v>
      </c>
      <c r="E385">
        <v>3.2120000000000003E-2</v>
      </c>
      <c r="F385">
        <v>1441362.1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-0.6423841059602613</v>
      </c>
      <c r="Q385">
        <f t="shared" si="970"/>
        <v>-925908.10397350485</v>
      </c>
      <c r="R385">
        <f t="shared" si="971"/>
        <v>-56187262.139303282</v>
      </c>
      <c r="S385">
        <f t="shared" si="972"/>
        <v>-561.87262139303277</v>
      </c>
      <c r="T385">
        <f t="shared" si="973"/>
        <v>-0.56187262139303273</v>
      </c>
    </row>
    <row r="386" spans="1:20" x14ac:dyDescent="0.25">
      <c r="A386" s="5">
        <v>44207</v>
      </c>
      <c r="B386">
        <v>3.6400000000000002E-2</v>
      </c>
      <c r="C386">
        <v>3.6400000000000002E-2</v>
      </c>
      <c r="D386">
        <v>2.81E-2</v>
      </c>
      <c r="E386">
        <v>3.3250000000000002E-2</v>
      </c>
      <c r="F386">
        <v>2788260.2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0.24096385542168691</v>
      </c>
      <c r="Q386">
        <f t="shared" si="970"/>
        <v>671869.92771084385</v>
      </c>
      <c r="R386">
        <f t="shared" si="971"/>
        <v>-55261354.035329774</v>
      </c>
      <c r="S386">
        <f t="shared" si="972"/>
        <v>-552.61354035329771</v>
      </c>
      <c r="T386">
        <f t="shared" si="973"/>
        <v>-0.55261354035329768</v>
      </c>
    </row>
    <row r="387" spans="1:20" x14ac:dyDescent="0.25">
      <c r="A387" s="5">
        <v>44206</v>
      </c>
      <c r="B387">
        <v>4.2349999999999999E-2</v>
      </c>
      <c r="C387">
        <v>4.2659999999999997E-2</v>
      </c>
      <c r="D387">
        <v>3.261E-2</v>
      </c>
      <c r="E387">
        <v>3.6389999999999999E-2</v>
      </c>
      <c r="F387">
        <v>5286085.8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-0.24776119402985075</v>
      </c>
      <c r="Q387">
        <f t="shared" si="970"/>
        <v>-1309686.9295522389</v>
      </c>
      <c r="R387">
        <f t="shared" si="971"/>
        <v>-55933223.96304062</v>
      </c>
      <c r="S387">
        <f t="shared" si="972"/>
        <v>-559.33223963040621</v>
      </c>
      <c r="T387">
        <f t="shared" si="973"/>
        <v>-0.55933223963040624</v>
      </c>
    </row>
    <row r="388" spans="1:20" x14ac:dyDescent="0.25">
      <c r="A388" s="5">
        <v>44205</v>
      </c>
      <c r="B388">
        <v>3.8760000000000003E-2</v>
      </c>
      <c r="C388">
        <v>4.5710000000000001E-2</v>
      </c>
      <c r="D388">
        <v>3.6819999999999999E-2</v>
      </c>
      <c r="E388">
        <v>4.2340000000000003E-2</v>
      </c>
      <c r="F388">
        <v>5942911</v>
      </c>
      <c r="G388">
        <v>0</v>
      </c>
      <c r="L388" t="s">
        <v>7</v>
      </c>
      <c r="M388" t="s">
        <v>7</v>
      </c>
      <c r="N388" t="s">
        <v>7</v>
      </c>
      <c r="P388">
        <f t="shared" si="969"/>
        <v>0.24184476940382515</v>
      </c>
      <c r="Q388">
        <f t="shared" si="970"/>
        <v>1437261.9403824559</v>
      </c>
      <c r="R388">
        <f t="shared" si="971"/>
        <v>-54623537.033488378</v>
      </c>
      <c r="S388">
        <f t="shared" si="972"/>
        <v>-546.23537033488378</v>
      </c>
      <c r="T388">
        <f t="shared" si="973"/>
        <v>-0.54623537033488379</v>
      </c>
    </row>
    <row r="389" spans="1:20" x14ac:dyDescent="0.25">
      <c r="A389" s="5">
        <v>44204</v>
      </c>
      <c r="B389">
        <v>4.2959999999999998E-2</v>
      </c>
      <c r="C389">
        <v>6.6799999999999998E-2</v>
      </c>
      <c r="D389">
        <v>3.5990000000000001E-2</v>
      </c>
      <c r="E389">
        <v>3.918E-2</v>
      </c>
      <c r="F389">
        <v>13110863.300000001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-0.7929243752028563</v>
      </c>
      <c r="Q389">
        <f t="shared" si="970"/>
        <v>-10395923.090522559</v>
      </c>
      <c r="R389">
        <f t="shared" si="971"/>
        <v>-56060798.973870836</v>
      </c>
      <c r="S389">
        <f t="shared" si="972"/>
        <v>-560.6079897387084</v>
      </c>
      <c r="T389">
        <f t="shared" si="973"/>
        <v>-0.5606079897387084</v>
      </c>
    </row>
    <row r="390" spans="1:20" x14ac:dyDescent="0.25">
      <c r="A390" s="5">
        <v>44203</v>
      </c>
      <c r="B390">
        <v>3.567E-2</v>
      </c>
      <c r="C390">
        <v>4.7E-2</v>
      </c>
      <c r="D390">
        <v>3.5009999999999999E-2</v>
      </c>
      <c r="E390">
        <v>4.2250000000000003E-2</v>
      </c>
      <c r="F390">
        <v>3393666.5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0.20767306088407056</v>
      </c>
      <c r="Q390">
        <f t="shared" ref="Q390:Q453" si="975">F390*P390</f>
        <v>704773.10967473069</v>
      </c>
      <c r="R390">
        <f t="shared" ref="R390:R453" si="976">R391+Q390</f>
        <v>-45664875.883348279</v>
      </c>
      <c r="S390">
        <f t="shared" ref="S390:S453" si="977">R390/100000</f>
        <v>-456.64875883348276</v>
      </c>
      <c r="T390">
        <f t="shared" ref="T390:T453" si="978">S390/1000</f>
        <v>-0.45664875883348277</v>
      </c>
    </row>
    <row r="391" spans="1:20" x14ac:dyDescent="0.25">
      <c r="A391" s="5">
        <v>44202</v>
      </c>
      <c r="B391">
        <v>3.295E-2</v>
      </c>
      <c r="C391">
        <v>3.7789999999999997E-2</v>
      </c>
      <c r="D391">
        <v>3.1890000000000002E-2</v>
      </c>
      <c r="E391">
        <v>3.5889999999999998E-2</v>
      </c>
      <c r="F391">
        <v>3296265.9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0.35593220338983039</v>
      </c>
      <c r="Q391">
        <f t="shared" si="975"/>
        <v>1173247.1847457623</v>
      </c>
      <c r="R391">
        <f t="shared" si="976"/>
        <v>-46369648.993023008</v>
      </c>
      <c r="S391">
        <f t="shared" si="977"/>
        <v>-463.69648993023009</v>
      </c>
      <c r="T391">
        <f t="shared" si="978"/>
        <v>-0.4636964899302301</v>
      </c>
    </row>
    <row r="392" spans="1:20" x14ac:dyDescent="0.25">
      <c r="A392" s="5">
        <v>44201</v>
      </c>
      <c r="B392">
        <v>3.0470000000000001E-2</v>
      </c>
      <c r="C392">
        <v>3.3709999999999997E-2</v>
      </c>
      <c r="D392">
        <v>2.726E-2</v>
      </c>
      <c r="E392">
        <v>3.2320000000000002E-2</v>
      </c>
      <c r="F392">
        <v>2883933.4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0.56899224806201676</v>
      </c>
      <c r="Q392">
        <f t="shared" si="975"/>
        <v>1640935.7485271352</v>
      </c>
      <c r="R392">
        <f t="shared" si="976"/>
        <v>-47542896.177768767</v>
      </c>
      <c r="S392">
        <f t="shared" si="977"/>
        <v>-475.42896177768768</v>
      </c>
      <c r="T392">
        <f t="shared" si="978"/>
        <v>-0.47542896177768768</v>
      </c>
    </row>
    <row r="393" spans="1:20" x14ac:dyDescent="0.25">
      <c r="A393" s="5">
        <v>44200</v>
      </c>
      <c r="B393">
        <v>2.9139999999999999E-2</v>
      </c>
      <c r="C393">
        <v>3.1359999999999999E-2</v>
      </c>
      <c r="D393">
        <v>2.64E-2</v>
      </c>
      <c r="E393">
        <v>2.964E-2</v>
      </c>
      <c r="F393">
        <v>2826699.5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0.30645161290322598</v>
      </c>
      <c r="Q393">
        <f t="shared" si="975"/>
        <v>866246.6209677424</v>
      </c>
      <c r="R393">
        <f t="shared" si="976"/>
        <v>-49183831.926295899</v>
      </c>
      <c r="S393">
        <f t="shared" si="977"/>
        <v>-491.83831926295898</v>
      </c>
      <c r="T393">
        <f t="shared" si="978"/>
        <v>-0.49183831926295896</v>
      </c>
    </row>
    <row r="394" spans="1:20" x14ac:dyDescent="0.25">
      <c r="A394" s="5">
        <v>44199</v>
      </c>
      <c r="B394">
        <v>2.938E-2</v>
      </c>
      <c r="C394">
        <v>4.1099999999999998E-2</v>
      </c>
      <c r="D394">
        <v>2.7099999999999999E-2</v>
      </c>
      <c r="E394">
        <v>2.8719999999999999E-2</v>
      </c>
      <c r="F394">
        <v>4361439</v>
      </c>
      <c r="G394">
        <v>0</v>
      </c>
      <c r="L394" t="s">
        <v>7</v>
      </c>
      <c r="M394" t="s">
        <v>8</v>
      </c>
      <c r="N394" t="s">
        <v>8</v>
      </c>
      <c r="P394">
        <f t="shared" si="974"/>
        <v>-0.76857142857142857</v>
      </c>
      <c r="Q394">
        <f t="shared" si="975"/>
        <v>-3352077.402857143</v>
      </c>
      <c r="R394">
        <f t="shared" si="976"/>
        <v>-50050078.547263645</v>
      </c>
      <c r="S394">
        <f t="shared" si="977"/>
        <v>-500.50078547263644</v>
      </c>
      <c r="T394">
        <f t="shared" si="978"/>
        <v>-0.50050078547263643</v>
      </c>
    </row>
    <row r="395" spans="1:20" x14ac:dyDescent="0.25">
      <c r="A395" s="5">
        <v>44198</v>
      </c>
      <c r="B395">
        <v>3.2410000000000001E-2</v>
      </c>
      <c r="C395">
        <v>3.3000000000000002E-2</v>
      </c>
      <c r="D395">
        <v>2.7220000000000001E-2</v>
      </c>
      <c r="E395">
        <v>2.853E-2</v>
      </c>
      <c r="F395">
        <v>3597867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-0.54671280276816658</v>
      </c>
      <c r="Q395">
        <f t="shared" si="975"/>
        <v>-1966999.9515570952</v>
      </c>
      <c r="R395">
        <f t="shared" si="976"/>
        <v>-46698001.144406505</v>
      </c>
      <c r="S395">
        <f t="shared" si="977"/>
        <v>-466.98001144406504</v>
      </c>
      <c r="T395">
        <f t="shared" si="978"/>
        <v>-0.46698001144406504</v>
      </c>
    </row>
    <row r="396" spans="1:20" x14ac:dyDescent="0.25">
      <c r="A396" s="5">
        <v>44197</v>
      </c>
      <c r="B396">
        <v>3.4139999999999997E-2</v>
      </c>
      <c r="C396">
        <v>3.5000000000000003E-2</v>
      </c>
      <c r="D396">
        <v>3.1879999999999999E-2</v>
      </c>
      <c r="E396">
        <v>3.2410000000000001E-2</v>
      </c>
      <c r="F396">
        <v>3989391.7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-0.66025641025640902</v>
      </c>
      <c r="Q396">
        <f t="shared" si="975"/>
        <v>-2634021.442948713</v>
      </c>
      <c r="R396">
        <f t="shared" si="976"/>
        <v>-44731001.192849413</v>
      </c>
      <c r="S396">
        <f t="shared" si="977"/>
        <v>-447.31001192849413</v>
      </c>
      <c r="T396">
        <f t="shared" si="978"/>
        <v>-0.44731001192849412</v>
      </c>
    </row>
    <row r="397" spans="1:20" x14ac:dyDescent="0.25">
      <c r="A397" s="5">
        <v>44196</v>
      </c>
      <c r="B397">
        <v>3.5220000000000001E-2</v>
      </c>
      <c r="C397">
        <v>7.467E-2</v>
      </c>
      <c r="D397">
        <v>3.2500000000000001E-2</v>
      </c>
      <c r="E397">
        <v>3.4290000000000001E-2</v>
      </c>
      <c r="F397">
        <v>9507991.4000000004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-0.91510552525492062</v>
      </c>
      <c r="Q397">
        <f t="shared" si="975"/>
        <v>-8700815.4642162677</v>
      </c>
      <c r="R397">
        <f t="shared" si="976"/>
        <v>-42096979.749900699</v>
      </c>
      <c r="S397">
        <f t="shared" si="977"/>
        <v>-420.96979749900697</v>
      </c>
      <c r="T397">
        <f t="shared" si="978"/>
        <v>-0.42096979749900698</v>
      </c>
    </row>
    <row r="398" spans="1:20" x14ac:dyDescent="0.25">
      <c r="A398" s="5">
        <v>44195</v>
      </c>
      <c r="B398">
        <v>3.5799999999999998E-2</v>
      </c>
      <c r="C398">
        <v>3.619E-2</v>
      </c>
      <c r="D398">
        <v>2.912E-2</v>
      </c>
      <c r="E398">
        <v>3.5060000000000001E-2</v>
      </c>
      <c r="F398">
        <v>8280327.7999999998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0.68033946251768063</v>
      </c>
      <c r="Q398">
        <f t="shared" si="975"/>
        <v>5633433.7649222091</v>
      </c>
      <c r="R398">
        <f t="shared" si="976"/>
        <v>-33396164.285684429</v>
      </c>
      <c r="S398">
        <f t="shared" si="977"/>
        <v>-333.96164285684426</v>
      </c>
      <c r="T398">
        <f t="shared" si="978"/>
        <v>-0.33396164285684427</v>
      </c>
    </row>
    <row r="399" spans="1:20" x14ac:dyDescent="0.25">
      <c r="A399" s="5">
        <v>44194</v>
      </c>
      <c r="B399">
        <v>3.5130000000000002E-2</v>
      </c>
      <c r="C399">
        <v>3.7999999999999999E-2</v>
      </c>
      <c r="D399">
        <v>3.2989999999999998E-2</v>
      </c>
      <c r="E399">
        <v>3.4930000000000003E-2</v>
      </c>
      <c r="F399">
        <v>1401541.7</v>
      </c>
      <c r="G399">
        <v>0</v>
      </c>
      <c r="L399" t="s">
        <v>8</v>
      </c>
      <c r="M399" t="s">
        <v>7</v>
      </c>
      <c r="N399" t="s">
        <v>7</v>
      </c>
      <c r="P399">
        <f t="shared" si="974"/>
        <v>-0.22554890219560719</v>
      </c>
      <c r="Q399">
        <f t="shared" si="975"/>
        <v>-316116.19181636506</v>
      </c>
      <c r="R399">
        <f t="shared" si="976"/>
        <v>-39029598.050606638</v>
      </c>
      <c r="S399">
        <f t="shared" si="977"/>
        <v>-390.29598050606637</v>
      </c>
      <c r="T399">
        <f t="shared" si="978"/>
        <v>-0.3902959805060664</v>
      </c>
    </row>
    <row r="400" spans="1:20" x14ac:dyDescent="0.25">
      <c r="A400" s="5">
        <v>44193</v>
      </c>
      <c r="B400">
        <v>3.465E-2</v>
      </c>
      <c r="C400">
        <v>3.5139999999999998E-2</v>
      </c>
      <c r="D400">
        <v>3.2660000000000002E-2</v>
      </c>
      <c r="E400">
        <v>3.4329999999999999E-2</v>
      </c>
      <c r="F400">
        <v>363172.6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0.34677419354838751</v>
      </c>
      <c r="Q400">
        <f t="shared" si="975"/>
        <v>125938.88548387111</v>
      </c>
      <c r="R400">
        <f t="shared" si="976"/>
        <v>-38713481.858790271</v>
      </c>
      <c r="S400">
        <f t="shared" si="977"/>
        <v>-387.13481858790271</v>
      </c>
      <c r="T400">
        <f t="shared" si="978"/>
        <v>-0.38713481858790272</v>
      </c>
    </row>
    <row r="401" spans="1:20" x14ac:dyDescent="0.25">
      <c r="A401" s="5">
        <v>44192</v>
      </c>
      <c r="B401">
        <v>3.3599999999999998E-2</v>
      </c>
      <c r="C401">
        <v>3.8399999999999997E-2</v>
      </c>
      <c r="D401">
        <v>3.141E-2</v>
      </c>
      <c r="E401">
        <v>3.422E-2</v>
      </c>
      <c r="F401">
        <v>1984856.5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-0.19599427753934148</v>
      </c>
      <c r="Q401">
        <f t="shared" si="975"/>
        <v>-389020.51573676593</v>
      </c>
      <c r="R401">
        <f t="shared" si="976"/>
        <v>-38839420.744274139</v>
      </c>
      <c r="S401">
        <f t="shared" si="977"/>
        <v>-388.39420744274139</v>
      </c>
      <c r="T401">
        <f t="shared" si="978"/>
        <v>-0.38839420744274139</v>
      </c>
    </row>
    <row r="402" spans="1:20" x14ac:dyDescent="0.25">
      <c r="A402" s="5">
        <v>44191</v>
      </c>
      <c r="B402">
        <v>3.3790000000000001E-2</v>
      </c>
      <c r="C402">
        <v>3.4950000000000002E-2</v>
      </c>
      <c r="D402">
        <v>3.1050000000000001E-2</v>
      </c>
      <c r="E402">
        <v>3.3369999999999997E-2</v>
      </c>
      <c r="F402">
        <v>923651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0.18974358974358732</v>
      </c>
      <c r="Q402">
        <f t="shared" si="975"/>
        <v>175256.85641025417</v>
      </c>
      <c r="R402">
        <f t="shared" si="976"/>
        <v>-38450400.228537373</v>
      </c>
      <c r="S402">
        <f t="shared" si="977"/>
        <v>-384.50400228537376</v>
      </c>
      <c r="T402">
        <f t="shared" si="978"/>
        <v>-0.38450400228537374</v>
      </c>
    </row>
    <row r="403" spans="1:20" x14ac:dyDescent="0.25">
      <c r="A403" s="5">
        <v>44190</v>
      </c>
      <c r="B403">
        <v>3.4189999999999998E-2</v>
      </c>
      <c r="C403">
        <v>3.6119999999999999E-2</v>
      </c>
      <c r="D403">
        <v>3.2559999999999999E-2</v>
      </c>
      <c r="E403">
        <v>3.3360000000000001E-2</v>
      </c>
      <c r="F403">
        <v>11569120.1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-0.55056179775280789</v>
      </c>
      <c r="Q403">
        <f t="shared" si="975"/>
        <v>-6369515.560674144</v>
      </c>
      <c r="R403">
        <f t="shared" si="976"/>
        <v>-38625657.084947631</v>
      </c>
      <c r="S403">
        <f t="shared" si="977"/>
        <v>-386.2565708494763</v>
      </c>
      <c r="T403">
        <f t="shared" si="978"/>
        <v>-0.38625657084947629</v>
      </c>
    </row>
    <row r="404" spans="1:20" x14ac:dyDescent="0.25">
      <c r="A404" s="5">
        <v>44189</v>
      </c>
      <c r="B404">
        <v>3.3570000000000003E-2</v>
      </c>
      <c r="C404">
        <v>3.4970000000000001E-2</v>
      </c>
      <c r="D404">
        <v>3.227E-2</v>
      </c>
      <c r="E404">
        <v>3.4970000000000001E-2</v>
      </c>
      <c r="F404">
        <v>346167.2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1</v>
      </c>
      <c r="Q404">
        <f t="shared" si="975"/>
        <v>346167.2</v>
      </c>
      <c r="R404">
        <f t="shared" si="976"/>
        <v>-32256141.524273489</v>
      </c>
      <c r="S404">
        <f t="shared" si="977"/>
        <v>-322.56141524273488</v>
      </c>
      <c r="T404">
        <f t="shared" si="978"/>
        <v>-0.32256141524273491</v>
      </c>
    </row>
    <row r="405" spans="1:20" x14ac:dyDescent="0.25">
      <c r="A405" s="5">
        <v>44188</v>
      </c>
      <c r="B405">
        <v>3.8620000000000002E-2</v>
      </c>
      <c r="C405">
        <v>3.8969999999999998E-2</v>
      </c>
      <c r="D405">
        <v>3.3000000000000002E-2</v>
      </c>
      <c r="E405">
        <v>3.3270000000000001E-2</v>
      </c>
      <c r="F405">
        <v>554728.4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-0.9095477386934675</v>
      </c>
      <c r="Q405">
        <f t="shared" si="975"/>
        <v>-504551.96180904534</v>
      </c>
      <c r="R405">
        <f t="shared" si="976"/>
        <v>-32602308.724273488</v>
      </c>
      <c r="S405">
        <f t="shared" si="977"/>
        <v>-326.0230872427349</v>
      </c>
      <c r="T405">
        <f t="shared" si="978"/>
        <v>-0.32602308724273488</v>
      </c>
    </row>
    <row r="406" spans="1:20" x14ac:dyDescent="0.25">
      <c r="A406" s="5">
        <v>44187</v>
      </c>
      <c r="B406">
        <v>3.5340000000000003E-2</v>
      </c>
      <c r="C406">
        <v>4.1500000000000002E-2</v>
      </c>
      <c r="D406">
        <v>3.3730000000000003E-2</v>
      </c>
      <c r="E406">
        <v>3.8620000000000002E-2</v>
      </c>
      <c r="F406">
        <v>1065895.3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0.25868725868725845</v>
      </c>
      <c r="Q406">
        <f t="shared" si="975"/>
        <v>275733.53320463299</v>
      </c>
      <c r="R406">
        <f t="shared" si="976"/>
        <v>-32097756.762464441</v>
      </c>
      <c r="S406">
        <f t="shared" si="977"/>
        <v>-320.97756762464439</v>
      </c>
      <c r="T406">
        <f t="shared" si="978"/>
        <v>-0.32097756762464441</v>
      </c>
    </row>
    <row r="407" spans="1:20" x14ac:dyDescent="0.25">
      <c r="A407" s="5">
        <v>44186</v>
      </c>
      <c r="B407">
        <v>3.6209999999999999E-2</v>
      </c>
      <c r="C407">
        <v>3.7130000000000003E-2</v>
      </c>
      <c r="D407">
        <v>3.2599999999999997E-2</v>
      </c>
      <c r="E407">
        <v>3.5000000000000003E-2</v>
      </c>
      <c r="F407">
        <v>746788.8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5.9602649006623834E-2</v>
      </c>
      <c r="Q407">
        <f t="shared" si="975"/>
        <v>44510.590728477808</v>
      </c>
      <c r="R407">
        <f t="shared" si="976"/>
        <v>-32373490.295669075</v>
      </c>
      <c r="S407">
        <f t="shared" si="977"/>
        <v>-323.73490295669075</v>
      </c>
      <c r="T407">
        <f t="shared" si="978"/>
        <v>-0.32373490295669077</v>
      </c>
    </row>
    <row r="408" spans="1:20" x14ac:dyDescent="0.25">
      <c r="A408" s="5">
        <v>44185</v>
      </c>
      <c r="B408">
        <v>3.5900000000000001E-2</v>
      </c>
      <c r="C408">
        <v>4.8189999999999997E-2</v>
      </c>
      <c r="D408">
        <v>3.4360000000000002E-2</v>
      </c>
      <c r="E408">
        <v>3.6209999999999999E-2</v>
      </c>
      <c r="F408">
        <v>2564681.6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-0.73246565437454836</v>
      </c>
      <c r="Q408">
        <f t="shared" si="975"/>
        <v>-1878541.1864063637</v>
      </c>
      <c r="R408">
        <f t="shared" si="976"/>
        <v>-32418000.886397552</v>
      </c>
      <c r="S408">
        <f t="shared" si="977"/>
        <v>-324.1800088639755</v>
      </c>
      <c r="T408">
        <f t="shared" si="978"/>
        <v>-0.32418000886397552</v>
      </c>
    </row>
    <row r="409" spans="1:20" x14ac:dyDescent="0.25">
      <c r="A409" s="5">
        <v>44184</v>
      </c>
      <c r="B409">
        <v>3.934E-2</v>
      </c>
      <c r="C409">
        <v>3.9969999999999999E-2</v>
      </c>
      <c r="D409">
        <v>3.4020000000000002E-2</v>
      </c>
      <c r="E409">
        <v>3.5999999999999997E-2</v>
      </c>
      <c r="F409">
        <v>2017966.3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-0.33445378151260619</v>
      </c>
      <c r="Q409">
        <f t="shared" si="975"/>
        <v>-674916.46000000229</v>
      </c>
      <c r="R409">
        <f t="shared" si="976"/>
        <v>-30539459.699991189</v>
      </c>
      <c r="S409">
        <f t="shared" si="977"/>
        <v>-305.39459699991187</v>
      </c>
      <c r="T409">
        <f t="shared" si="978"/>
        <v>-0.30539459699991189</v>
      </c>
    </row>
    <row r="410" spans="1:20" x14ac:dyDescent="0.25">
      <c r="A410" s="5">
        <v>44183</v>
      </c>
      <c r="B410">
        <v>3.193E-2</v>
      </c>
      <c r="C410">
        <v>5.1999999999999998E-2</v>
      </c>
      <c r="D410">
        <v>3.107E-2</v>
      </c>
      <c r="E410">
        <v>3.934E-2</v>
      </c>
      <c r="F410">
        <v>4644527.9000000004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-0.20974677496416622</v>
      </c>
      <c r="Q410">
        <f t="shared" si="975"/>
        <v>-974174.74825609161</v>
      </c>
      <c r="R410">
        <f t="shared" si="976"/>
        <v>-29864543.239991188</v>
      </c>
      <c r="S410">
        <f t="shared" si="977"/>
        <v>-298.6454323999119</v>
      </c>
      <c r="T410">
        <f t="shared" si="978"/>
        <v>-0.29864543239991187</v>
      </c>
    </row>
    <row r="411" spans="1:20" x14ac:dyDescent="0.25">
      <c r="A411" s="5">
        <v>44182</v>
      </c>
      <c r="B411">
        <v>3.4799999999999998E-2</v>
      </c>
      <c r="C411">
        <v>3.671E-2</v>
      </c>
      <c r="D411">
        <v>3.075E-2</v>
      </c>
      <c r="E411">
        <v>3.1969999999999998E-2</v>
      </c>
      <c r="F411">
        <v>973252.3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-0.59060402684563795</v>
      </c>
      <c r="Q411">
        <f t="shared" si="975"/>
        <v>-574806.72751677886</v>
      </c>
      <c r="R411">
        <f t="shared" si="976"/>
        <v>-28890368.491735097</v>
      </c>
      <c r="S411">
        <f t="shared" si="977"/>
        <v>-288.90368491735097</v>
      </c>
      <c r="T411">
        <f t="shared" si="978"/>
        <v>-0.28890368491735097</v>
      </c>
    </row>
    <row r="412" spans="1:20" x14ac:dyDescent="0.25">
      <c r="A412" s="5">
        <v>44181</v>
      </c>
      <c r="B412">
        <v>3.5279999999999999E-2</v>
      </c>
      <c r="C412">
        <v>3.5979999999999998E-2</v>
      </c>
      <c r="D412">
        <v>3.2939999999999997E-2</v>
      </c>
      <c r="E412">
        <v>3.4369999999999998E-2</v>
      </c>
      <c r="F412">
        <v>375104.2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-5.9210526315789325E-2</v>
      </c>
      <c r="Q412">
        <f t="shared" si="975"/>
        <v>-22210.117105263103</v>
      </c>
      <c r="R412">
        <f t="shared" si="976"/>
        <v>-28315561.764218319</v>
      </c>
      <c r="S412">
        <f t="shared" si="977"/>
        <v>-283.15561764218319</v>
      </c>
      <c r="T412">
        <f t="shared" si="978"/>
        <v>-0.28315561764218317</v>
      </c>
    </row>
    <row r="413" spans="1:20" x14ac:dyDescent="0.25">
      <c r="A413" s="5">
        <v>44180</v>
      </c>
      <c r="B413">
        <v>3.4180000000000002E-2</v>
      </c>
      <c r="C413">
        <v>3.5950000000000003E-2</v>
      </c>
      <c r="D413">
        <v>3.3270000000000001E-2</v>
      </c>
      <c r="E413">
        <v>3.5159999999999997E-2</v>
      </c>
      <c r="F413">
        <v>773283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0.41044776119402582</v>
      </c>
      <c r="Q413">
        <f t="shared" si="975"/>
        <v>317392.27611939987</v>
      </c>
      <c r="R413">
        <f t="shared" si="976"/>
        <v>-28293351.647113055</v>
      </c>
      <c r="S413">
        <f t="shared" si="977"/>
        <v>-282.93351647113053</v>
      </c>
      <c r="T413">
        <f t="shared" si="978"/>
        <v>-0.28293351647113052</v>
      </c>
    </row>
    <row r="414" spans="1:20" x14ac:dyDescent="0.25">
      <c r="A414" s="5">
        <v>44179</v>
      </c>
      <c r="B414">
        <v>3.3739999999999999E-2</v>
      </c>
      <c r="C414">
        <v>3.5189999999999999E-2</v>
      </c>
      <c r="D414">
        <v>3.2219999999999999E-2</v>
      </c>
      <c r="E414">
        <v>3.4250000000000003E-2</v>
      </c>
      <c r="F414">
        <v>421910.1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0.3670033670033695</v>
      </c>
      <c r="Q414">
        <f t="shared" si="975"/>
        <v>154842.42727272832</v>
      </c>
      <c r="R414">
        <f t="shared" si="976"/>
        <v>-28610743.923232455</v>
      </c>
      <c r="S414">
        <f t="shared" si="977"/>
        <v>-286.10743923232457</v>
      </c>
      <c r="T414">
        <f t="shared" si="978"/>
        <v>-0.28610743923232457</v>
      </c>
    </row>
    <row r="415" spans="1:20" x14ac:dyDescent="0.25">
      <c r="A415" s="5">
        <v>44178</v>
      </c>
      <c r="B415">
        <v>3.193E-2</v>
      </c>
      <c r="C415">
        <v>3.381E-2</v>
      </c>
      <c r="D415">
        <v>3.134E-2</v>
      </c>
      <c r="E415">
        <v>3.329E-2</v>
      </c>
      <c r="F415">
        <v>267195.90000000002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0.57894736842105288</v>
      </c>
      <c r="Q415">
        <f t="shared" si="975"/>
        <v>154692.36315789481</v>
      </c>
      <c r="R415">
        <f t="shared" si="976"/>
        <v>-28765586.350505184</v>
      </c>
      <c r="S415">
        <f t="shared" si="977"/>
        <v>-287.65586350505185</v>
      </c>
      <c r="T415">
        <f t="shared" si="978"/>
        <v>-0.28765586350505185</v>
      </c>
    </row>
    <row r="416" spans="1:20" x14ac:dyDescent="0.25">
      <c r="A416" s="5">
        <v>44177</v>
      </c>
      <c r="B416">
        <v>3.0669999999999999E-2</v>
      </c>
      <c r="C416">
        <v>3.3799999999999997E-2</v>
      </c>
      <c r="D416">
        <v>3.0669999999999999E-2</v>
      </c>
      <c r="E416">
        <v>3.322E-2</v>
      </c>
      <c r="F416">
        <v>780966.3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0.6293929712460079</v>
      </c>
      <c r="Q416">
        <f t="shared" si="975"/>
        <v>491534.70000000123</v>
      </c>
      <c r="R416">
        <f t="shared" si="976"/>
        <v>-28920278.713663079</v>
      </c>
      <c r="S416">
        <f t="shared" si="977"/>
        <v>-289.20278713663077</v>
      </c>
      <c r="T416">
        <f t="shared" si="978"/>
        <v>-0.28920278713663078</v>
      </c>
    </row>
    <row r="417" spans="1:20" x14ac:dyDescent="0.25">
      <c r="A417" s="5">
        <v>44176</v>
      </c>
      <c r="B417">
        <v>3.5380000000000002E-2</v>
      </c>
      <c r="C417">
        <v>3.5869999999999999E-2</v>
      </c>
      <c r="D417">
        <v>0.03</v>
      </c>
      <c r="E417">
        <v>3.1469999999999998E-2</v>
      </c>
      <c r="F417">
        <v>976158.8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-0.49914821124361192</v>
      </c>
      <c r="Q417">
        <f t="shared" si="975"/>
        <v>-487247.91890971072</v>
      </c>
      <c r="R417">
        <f t="shared" si="976"/>
        <v>-29411813.413663082</v>
      </c>
      <c r="S417">
        <f t="shared" si="977"/>
        <v>-294.11813413663083</v>
      </c>
      <c r="T417">
        <f t="shared" si="978"/>
        <v>-0.29411813413663085</v>
      </c>
    </row>
    <row r="418" spans="1:20" x14ac:dyDescent="0.25">
      <c r="A418" s="5">
        <v>44175</v>
      </c>
      <c r="B418">
        <v>3.1189999999999999E-2</v>
      </c>
      <c r="C418">
        <v>4.2999999999999997E-2</v>
      </c>
      <c r="D418">
        <v>2.9700000000000001E-2</v>
      </c>
      <c r="E418">
        <v>3.4819999999999997E-2</v>
      </c>
      <c r="F418">
        <v>5566161.7999999998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-0.23007518796992515</v>
      </c>
      <c r="Q418">
        <f t="shared" si="975"/>
        <v>-1280635.7224060169</v>
      </c>
      <c r="R418">
        <f t="shared" si="976"/>
        <v>-28924565.494753372</v>
      </c>
      <c r="S418">
        <f t="shared" si="977"/>
        <v>-289.24565494753369</v>
      </c>
      <c r="T418">
        <f t="shared" si="978"/>
        <v>-0.28924565494753368</v>
      </c>
    </row>
    <row r="419" spans="1:20" x14ac:dyDescent="0.25">
      <c r="A419" s="5">
        <v>44174</v>
      </c>
      <c r="B419">
        <v>2.904E-2</v>
      </c>
      <c r="C419">
        <v>3.2190000000000003E-2</v>
      </c>
      <c r="D419">
        <v>2.7009999999999999E-2</v>
      </c>
      <c r="E419">
        <v>3.1189999999999999E-2</v>
      </c>
      <c r="F419">
        <v>715103.1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0.61389961389961256</v>
      </c>
      <c r="Q419">
        <f t="shared" si="975"/>
        <v>439001.51698841603</v>
      </c>
      <c r="R419">
        <f t="shared" si="976"/>
        <v>-27643929.772347353</v>
      </c>
      <c r="S419">
        <f t="shared" si="977"/>
        <v>-276.43929772347354</v>
      </c>
      <c r="T419">
        <f t="shared" si="978"/>
        <v>-0.27643929772347353</v>
      </c>
    </row>
    <row r="420" spans="1:20" x14ac:dyDescent="0.25">
      <c r="A420" s="5">
        <v>44173</v>
      </c>
      <c r="B420">
        <v>3.3230000000000003E-2</v>
      </c>
      <c r="C420">
        <v>3.3419999999999998E-2</v>
      </c>
      <c r="D420">
        <v>2.9100000000000001E-2</v>
      </c>
      <c r="E420">
        <v>2.911E-2</v>
      </c>
      <c r="F420">
        <v>1446652.8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-0.99537037037037057</v>
      </c>
      <c r="Q420">
        <f t="shared" si="975"/>
        <v>-1439955.3333333337</v>
      </c>
      <c r="R420">
        <f t="shared" si="976"/>
        <v>-28082931.289335769</v>
      </c>
      <c r="S420">
        <f t="shared" si="977"/>
        <v>-280.82931289335767</v>
      </c>
      <c r="T420">
        <f t="shared" si="978"/>
        <v>-0.28082931289335766</v>
      </c>
    </row>
    <row r="421" spans="1:20" x14ac:dyDescent="0.25">
      <c r="A421" s="5">
        <v>44172</v>
      </c>
      <c r="B421">
        <v>3.569E-2</v>
      </c>
      <c r="C421">
        <v>3.8899999999999997E-2</v>
      </c>
      <c r="D421">
        <v>3.27E-2</v>
      </c>
      <c r="E421">
        <v>3.3050000000000003E-2</v>
      </c>
      <c r="F421">
        <v>1497281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-0.88709677419354738</v>
      </c>
      <c r="Q421">
        <f t="shared" si="975"/>
        <v>-1328233.1451612888</v>
      </c>
      <c r="R421">
        <f t="shared" si="976"/>
        <v>-26642975.956002437</v>
      </c>
      <c r="S421">
        <f t="shared" si="977"/>
        <v>-266.42975956002437</v>
      </c>
      <c r="T421">
        <f t="shared" si="978"/>
        <v>-0.26642975956002435</v>
      </c>
    </row>
    <row r="422" spans="1:20" x14ac:dyDescent="0.25">
      <c r="A422" s="5">
        <v>44171</v>
      </c>
      <c r="B422">
        <v>3.4849999999999999E-2</v>
      </c>
      <c r="C422">
        <v>3.9980000000000002E-2</v>
      </c>
      <c r="D422">
        <v>3.3369999999999997E-2</v>
      </c>
      <c r="E422">
        <v>3.5529999999999999E-2</v>
      </c>
      <c r="F422">
        <v>997491.9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-0.34644478063540074</v>
      </c>
      <c r="Q422">
        <f t="shared" si="975"/>
        <v>-345575.86248108908</v>
      </c>
      <c r="R422">
        <f t="shared" si="976"/>
        <v>-25314742.810841147</v>
      </c>
      <c r="S422">
        <f t="shared" si="977"/>
        <v>-253.14742810841148</v>
      </c>
      <c r="T422">
        <f t="shared" si="978"/>
        <v>-0.25314742810841145</v>
      </c>
    </row>
    <row r="423" spans="1:20" x14ac:dyDescent="0.25">
      <c r="A423" s="5">
        <v>44170</v>
      </c>
      <c r="B423">
        <v>3.2750000000000001E-2</v>
      </c>
      <c r="C423">
        <v>3.7280000000000001E-2</v>
      </c>
      <c r="D423">
        <v>3.2289999999999999E-2</v>
      </c>
      <c r="E423">
        <v>3.465E-2</v>
      </c>
      <c r="F423">
        <v>373487.7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-5.4108216432865598E-2</v>
      </c>
      <c r="Q423">
        <f t="shared" si="975"/>
        <v>-20208.753306613176</v>
      </c>
      <c r="R423">
        <f t="shared" si="976"/>
        <v>-24969166.948360059</v>
      </c>
      <c r="S423">
        <f t="shared" si="977"/>
        <v>-249.69166948360061</v>
      </c>
      <c r="T423">
        <f t="shared" si="978"/>
        <v>-0.24969166948360061</v>
      </c>
    </row>
    <row r="424" spans="1:20" x14ac:dyDescent="0.25">
      <c r="A424" s="5">
        <v>44169</v>
      </c>
      <c r="B424">
        <v>3.6700000000000003E-2</v>
      </c>
      <c r="C424">
        <v>3.6799999999999999E-2</v>
      </c>
      <c r="D424">
        <v>3.2809999999999999E-2</v>
      </c>
      <c r="E424">
        <v>3.338E-2</v>
      </c>
      <c r="F424">
        <v>619592.80000000005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-0.71428571428571375</v>
      </c>
      <c r="Q424">
        <f t="shared" si="975"/>
        <v>-442566.28571428539</v>
      </c>
      <c r="R424">
        <f t="shared" si="976"/>
        <v>-24948958.195053447</v>
      </c>
      <c r="S424">
        <f t="shared" si="977"/>
        <v>-249.48958195053447</v>
      </c>
      <c r="T424">
        <f t="shared" si="978"/>
        <v>-0.24948958195053447</v>
      </c>
    </row>
    <row r="425" spans="1:20" x14ac:dyDescent="0.25">
      <c r="A425" s="5">
        <v>44168</v>
      </c>
      <c r="B425">
        <v>3.6459999999999999E-2</v>
      </c>
      <c r="C425">
        <v>4.129E-2</v>
      </c>
      <c r="D425">
        <v>3.5810000000000002E-2</v>
      </c>
      <c r="E425">
        <v>3.6600000000000001E-2</v>
      </c>
      <c r="F425">
        <v>899381.6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-0.71167883211678862</v>
      </c>
      <c r="Q425">
        <f t="shared" si="975"/>
        <v>-640070.84671532875</v>
      </c>
      <c r="R425">
        <f t="shared" si="976"/>
        <v>-24506391.909339163</v>
      </c>
      <c r="S425">
        <f t="shared" si="977"/>
        <v>-245.06391909339163</v>
      </c>
      <c r="T425">
        <f t="shared" si="978"/>
        <v>-0.24506391909339162</v>
      </c>
    </row>
    <row r="426" spans="1:20" x14ac:dyDescent="0.25">
      <c r="A426" s="5">
        <v>44167</v>
      </c>
      <c r="B426">
        <v>3.5360000000000003E-2</v>
      </c>
      <c r="C426">
        <v>3.6490000000000002E-2</v>
      </c>
      <c r="D426">
        <v>3.4049999999999997E-2</v>
      </c>
      <c r="E426">
        <v>3.6319999999999998E-2</v>
      </c>
      <c r="F426">
        <v>907640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0.86065573770491544</v>
      </c>
      <c r="Q426">
        <f t="shared" si="975"/>
        <v>781165.57377048943</v>
      </c>
      <c r="R426">
        <f t="shared" si="976"/>
        <v>-23866321.062623836</v>
      </c>
      <c r="S426">
        <f t="shared" si="977"/>
        <v>-238.66321062623837</v>
      </c>
      <c r="T426">
        <f t="shared" si="978"/>
        <v>-0.23866321062623835</v>
      </c>
    </row>
    <row r="427" spans="1:20" x14ac:dyDescent="0.25">
      <c r="A427" s="5">
        <v>44166</v>
      </c>
      <c r="B427">
        <v>3.5700000000000003E-2</v>
      </c>
      <c r="C427">
        <v>3.78E-2</v>
      </c>
      <c r="D427">
        <v>3.243E-2</v>
      </c>
      <c r="E427">
        <v>3.5189999999999999E-2</v>
      </c>
      <c r="F427">
        <v>1985722.3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2.7932960893854258E-2</v>
      </c>
      <c r="Q427">
        <f t="shared" si="975"/>
        <v>55467.103351954334</v>
      </c>
      <c r="R427">
        <f t="shared" si="976"/>
        <v>-24647486.636394326</v>
      </c>
      <c r="S427">
        <f t="shared" si="977"/>
        <v>-246.47486636394325</v>
      </c>
      <c r="T427">
        <f t="shared" si="978"/>
        <v>-0.24647486636394325</v>
      </c>
    </row>
    <row r="428" spans="1:20" x14ac:dyDescent="0.25">
      <c r="A428" s="5">
        <v>44165</v>
      </c>
      <c r="B428">
        <v>3.7600000000000001E-2</v>
      </c>
      <c r="C428">
        <v>3.8589999999999999E-2</v>
      </c>
      <c r="D428">
        <v>3.2989999999999998E-2</v>
      </c>
      <c r="E428">
        <v>3.4540000000000001E-2</v>
      </c>
      <c r="F428">
        <v>3275980.9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-0.44642857142857051</v>
      </c>
      <c r="Q428">
        <f t="shared" si="975"/>
        <v>-1462491.4732142827</v>
      </c>
      <c r="R428">
        <f t="shared" si="976"/>
        <v>-24702953.73974628</v>
      </c>
      <c r="S428">
        <f t="shared" si="977"/>
        <v>-247.0295373974628</v>
      </c>
      <c r="T428">
        <f t="shared" si="978"/>
        <v>-0.24702953739746281</v>
      </c>
    </row>
    <row r="429" spans="1:20" x14ac:dyDescent="0.25">
      <c r="A429" s="5">
        <v>44164</v>
      </c>
      <c r="B429">
        <v>3.7850000000000002E-2</v>
      </c>
      <c r="C429">
        <v>3.986E-2</v>
      </c>
      <c r="D429">
        <v>3.4079999999999999E-2</v>
      </c>
      <c r="E429">
        <v>3.6880000000000003E-2</v>
      </c>
      <c r="F429">
        <v>1304566.3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-3.1141868512109455E-2</v>
      </c>
      <c r="Q429">
        <f t="shared" si="975"/>
        <v>-40626.63217992914</v>
      </c>
      <c r="R429">
        <f t="shared" si="976"/>
        <v>-23240462.266531996</v>
      </c>
      <c r="S429">
        <f t="shared" si="977"/>
        <v>-232.40462266531998</v>
      </c>
      <c r="T429">
        <f t="shared" si="978"/>
        <v>-0.23240462266531997</v>
      </c>
    </row>
    <row r="430" spans="1:20" x14ac:dyDescent="0.25">
      <c r="A430" s="5">
        <v>44163</v>
      </c>
      <c r="B430">
        <v>3.85E-2</v>
      </c>
      <c r="C430">
        <v>3.9940000000000003E-2</v>
      </c>
      <c r="D430">
        <v>3.712E-2</v>
      </c>
      <c r="E430">
        <v>3.8629999999999998E-2</v>
      </c>
      <c r="F430">
        <v>249070.2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7.0921985815599872E-2</v>
      </c>
      <c r="Q430">
        <f t="shared" si="975"/>
        <v>17664.553191488623</v>
      </c>
      <c r="R430">
        <f t="shared" si="976"/>
        <v>-23199835.634352066</v>
      </c>
      <c r="S430">
        <f t="shared" si="977"/>
        <v>-231.99835634352067</v>
      </c>
      <c r="T430">
        <f t="shared" si="978"/>
        <v>-0.23199835634352067</v>
      </c>
    </row>
    <row r="431" spans="1:20" x14ac:dyDescent="0.25">
      <c r="A431" s="5">
        <v>44162</v>
      </c>
      <c r="B431">
        <v>4.1709999999999997E-2</v>
      </c>
      <c r="C431">
        <v>4.1730000000000003E-2</v>
      </c>
      <c r="D431">
        <v>3.6740000000000002E-2</v>
      </c>
      <c r="E431">
        <v>3.789E-2</v>
      </c>
      <c r="F431">
        <v>158566.39999999999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-0.53907815631262612</v>
      </c>
      <c r="Q431">
        <f t="shared" si="975"/>
        <v>-85479.682565130395</v>
      </c>
      <c r="R431">
        <f t="shared" si="976"/>
        <v>-23217500.187543556</v>
      </c>
      <c r="S431">
        <f t="shared" si="977"/>
        <v>-232.17500187543556</v>
      </c>
      <c r="T431">
        <f t="shared" si="978"/>
        <v>-0.23217500187543555</v>
      </c>
    </row>
    <row r="432" spans="1:20" x14ac:dyDescent="0.25">
      <c r="A432" s="5">
        <v>44161</v>
      </c>
      <c r="B432">
        <v>4.4760000000000001E-2</v>
      </c>
      <c r="C432">
        <v>4.6580000000000003E-2</v>
      </c>
      <c r="D432">
        <v>3.2070000000000001E-2</v>
      </c>
      <c r="E432">
        <v>3.7659999999999999E-2</v>
      </c>
      <c r="F432">
        <v>1684941.4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-0.22949689869055864</v>
      </c>
      <c r="Q432">
        <f t="shared" si="975"/>
        <v>-386688.82577532803</v>
      </c>
      <c r="R432">
        <f t="shared" si="976"/>
        <v>-23132020.504978426</v>
      </c>
      <c r="S432">
        <f t="shared" si="977"/>
        <v>-231.32020504978425</v>
      </c>
      <c r="T432">
        <f t="shared" si="978"/>
        <v>-0.23132020504978426</v>
      </c>
    </row>
    <row r="433" spans="1:20" x14ac:dyDescent="0.25">
      <c r="A433" s="5">
        <v>44160</v>
      </c>
      <c r="B433">
        <v>4.462E-2</v>
      </c>
      <c r="C433">
        <v>5.398E-2</v>
      </c>
      <c r="D433">
        <v>4.2509999999999999E-2</v>
      </c>
      <c r="E433">
        <v>4.2849999999999999E-2</v>
      </c>
      <c r="F433">
        <v>3593453.3</v>
      </c>
      <c r="G433">
        <v>0</v>
      </c>
      <c r="L433" t="s">
        <v>7</v>
      </c>
      <c r="M433" t="s">
        <v>8</v>
      </c>
      <c r="N433" t="s">
        <v>7</v>
      </c>
      <c r="P433">
        <f t="shared" si="974"/>
        <v>-0.94071490845684391</v>
      </c>
      <c r="Q433">
        <f t="shared" si="975"/>
        <v>-3380415.0921534435</v>
      </c>
      <c r="R433">
        <f t="shared" si="976"/>
        <v>-22745331.679203097</v>
      </c>
      <c r="S433">
        <f t="shared" si="977"/>
        <v>-227.45331679203096</v>
      </c>
      <c r="T433">
        <f t="shared" si="978"/>
        <v>-0.22745331679203096</v>
      </c>
    </row>
    <row r="434" spans="1:20" x14ac:dyDescent="0.25">
      <c r="A434" s="5">
        <v>44159</v>
      </c>
      <c r="B434">
        <v>4.6960000000000002E-2</v>
      </c>
      <c r="C434">
        <v>4.7989999999999998E-2</v>
      </c>
      <c r="D434">
        <v>4.2999999999999997E-2</v>
      </c>
      <c r="E434">
        <v>4.462E-2</v>
      </c>
      <c r="F434">
        <v>1167593.3</v>
      </c>
      <c r="G434">
        <v>0</v>
      </c>
      <c r="L434" t="s">
        <v>7</v>
      </c>
      <c r="M434" t="s">
        <v>8</v>
      </c>
      <c r="N434" t="s">
        <v>7</v>
      </c>
      <c r="P434">
        <f t="shared" si="974"/>
        <v>-0.35070140280561007</v>
      </c>
      <c r="Q434">
        <f t="shared" si="975"/>
        <v>-409476.60821643152</v>
      </c>
      <c r="R434">
        <f t="shared" si="976"/>
        <v>-19364916.587049652</v>
      </c>
      <c r="S434">
        <f t="shared" si="977"/>
        <v>-193.64916587049652</v>
      </c>
      <c r="T434">
        <f t="shared" si="978"/>
        <v>-0.19364916587049652</v>
      </c>
    </row>
    <row r="435" spans="1:20" x14ac:dyDescent="0.25">
      <c r="A435" s="5">
        <v>44158</v>
      </c>
      <c r="B435">
        <v>4.1390000000000003E-2</v>
      </c>
      <c r="C435">
        <v>4.9489999999999999E-2</v>
      </c>
      <c r="D435">
        <v>4.1020000000000001E-2</v>
      </c>
      <c r="E435">
        <v>4.4999999999999998E-2</v>
      </c>
      <c r="F435">
        <v>500002.4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-6.021251475796973E-2</v>
      </c>
      <c r="Q435">
        <f t="shared" si="975"/>
        <v>-30106.401889020286</v>
      </c>
      <c r="R435">
        <f t="shared" si="976"/>
        <v>-18955439.978833221</v>
      </c>
      <c r="S435">
        <f t="shared" si="977"/>
        <v>-189.5543997883322</v>
      </c>
      <c r="T435">
        <f t="shared" si="978"/>
        <v>-0.18955439978833222</v>
      </c>
    </row>
    <row r="436" spans="1:20" x14ac:dyDescent="0.25">
      <c r="A436" s="5">
        <v>44157</v>
      </c>
      <c r="B436">
        <v>4.2630000000000001E-2</v>
      </c>
      <c r="C436">
        <v>4.3090000000000003E-2</v>
      </c>
      <c r="D436">
        <v>3.9370000000000002E-2</v>
      </c>
      <c r="E436">
        <v>4.2500000000000003E-2</v>
      </c>
      <c r="F436">
        <v>378889.9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0.68279569892473113</v>
      </c>
      <c r="Q436">
        <f t="shared" si="975"/>
        <v>258704.39408602149</v>
      </c>
      <c r="R436">
        <f t="shared" si="976"/>
        <v>-18925333.576944202</v>
      </c>
      <c r="S436">
        <f t="shared" si="977"/>
        <v>-189.25333576944203</v>
      </c>
      <c r="T436">
        <f t="shared" si="978"/>
        <v>-0.18925333576944203</v>
      </c>
    </row>
    <row r="437" spans="1:20" x14ac:dyDescent="0.25">
      <c r="A437" s="5">
        <v>44156</v>
      </c>
      <c r="B437">
        <v>4.2700000000000002E-2</v>
      </c>
      <c r="C437">
        <v>4.3779999999999999E-2</v>
      </c>
      <c r="D437">
        <v>0.04</v>
      </c>
      <c r="E437">
        <v>4.3549999999999998E-2</v>
      </c>
      <c r="F437">
        <v>402183.1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0.8783068783068777</v>
      </c>
      <c r="Q437">
        <f t="shared" si="975"/>
        <v>353240.18306878279</v>
      </c>
      <c r="R437">
        <f t="shared" si="976"/>
        <v>-19184037.971030224</v>
      </c>
      <c r="S437">
        <f t="shared" si="977"/>
        <v>-191.84037971030224</v>
      </c>
      <c r="T437">
        <f t="shared" si="978"/>
        <v>-0.19184037971030224</v>
      </c>
    </row>
    <row r="438" spans="1:20" x14ac:dyDescent="0.25">
      <c r="A438" s="5">
        <v>44155</v>
      </c>
      <c r="B438">
        <v>4.147E-2</v>
      </c>
      <c r="C438">
        <v>4.6010000000000002E-2</v>
      </c>
      <c r="D438">
        <v>4.0009999999999997E-2</v>
      </c>
      <c r="E438">
        <v>4.1570000000000003E-2</v>
      </c>
      <c r="F438">
        <v>560381.4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-0.47999999999999854</v>
      </c>
      <c r="Q438">
        <f t="shared" si="975"/>
        <v>-268983.07199999917</v>
      </c>
      <c r="R438">
        <f t="shared" si="976"/>
        <v>-19537278.154099006</v>
      </c>
      <c r="S438">
        <f t="shared" si="977"/>
        <v>-195.37278154099008</v>
      </c>
      <c r="T438">
        <f t="shared" si="978"/>
        <v>-0.19537278154099008</v>
      </c>
    </row>
    <row r="439" spans="1:20" x14ac:dyDescent="0.25">
      <c r="A439" s="5">
        <v>44154</v>
      </c>
      <c r="B439">
        <v>4.1860000000000001E-2</v>
      </c>
      <c r="C439">
        <v>5.4469999999999998E-2</v>
      </c>
      <c r="D439">
        <v>3.9600000000000003E-2</v>
      </c>
      <c r="E439">
        <v>4.02E-2</v>
      </c>
      <c r="F439">
        <v>3270493.1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-0.91930060524546109</v>
      </c>
      <c r="Q439">
        <f t="shared" si="975"/>
        <v>-3006566.2862811042</v>
      </c>
      <c r="R439">
        <f t="shared" si="976"/>
        <v>-19268295.082099006</v>
      </c>
      <c r="S439">
        <f t="shared" si="977"/>
        <v>-192.68295082099004</v>
      </c>
      <c r="T439">
        <f t="shared" si="978"/>
        <v>-0.19268295082099005</v>
      </c>
    </row>
    <row r="440" spans="1:20" x14ac:dyDescent="0.25">
      <c r="A440" s="5">
        <v>44153</v>
      </c>
      <c r="B440">
        <v>4.5629999999999997E-2</v>
      </c>
      <c r="C440">
        <v>4.8000000000000001E-2</v>
      </c>
      <c r="D440">
        <v>4.1309999999999999E-2</v>
      </c>
      <c r="E440">
        <v>4.2590000000000003E-2</v>
      </c>
      <c r="F440">
        <v>2254932.9</v>
      </c>
      <c r="G440">
        <v>0</v>
      </c>
      <c r="L440" t="s">
        <v>8</v>
      </c>
      <c r="M440" t="s">
        <v>7</v>
      </c>
      <c r="N440" t="s">
        <v>7</v>
      </c>
      <c r="P440">
        <f t="shared" si="974"/>
        <v>-0.61733931240657602</v>
      </c>
      <c r="Q440">
        <f t="shared" si="975"/>
        <v>-1392058.7260089663</v>
      </c>
      <c r="R440">
        <f t="shared" si="976"/>
        <v>-16261728.7958179</v>
      </c>
      <c r="S440">
        <f t="shared" si="977"/>
        <v>-162.61728795817899</v>
      </c>
      <c r="T440">
        <f t="shared" si="978"/>
        <v>-0.16261728795817898</v>
      </c>
    </row>
    <row r="441" spans="1:20" x14ac:dyDescent="0.25">
      <c r="A441" s="5">
        <v>44152</v>
      </c>
      <c r="B441">
        <v>4.4589999999999998E-2</v>
      </c>
      <c r="C441">
        <v>4.623E-2</v>
      </c>
      <c r="D441">
        <v>4.2950000000000002E-2</v>
      </c>
      <c r="E441">
        <v>4.5760000000000002E-2</v>
      </c>
      <c r="F441">
        <v>141616.6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0.71341463414634243</v>
      </c>
      <c r="Q441">
        <f t="shared" si="975"/>
        <v>101031.35487804892</v>
      </c>
      <c r="R441">
        <f t="shared" si="976"/>
        <v>-14869670.069808934</v>
      </c>
      <c r="S441">
        <f t="shared" si="977"/>
        <v>-148.69670069808933</v>
      </c>
      <c r="T441">
        <f t="shared" si="978"/>
        <v>-0.14869670069808932</v>
      </c>
    </row>
    <row r="442" spans="1:20" x14ac:dyDescent="0.25">
      <c r="A442" s="5">
        <v>44151</v>
      </c>
      <c r="B442">
        <v>4.1980000000000003E-2</v>
      </c>
      <c r="C442">
        <v>4.8989999999999999E-2</v>
      </c>
      <c r="D442">
        <v>4.1200000000000001E-2</v>
      </c>
      <c r="E442">
        <v>4.4269999999999997E-2</v>
      </c>
      <c r="F442">
        <v>3740383.9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-0.21181001283697123</v>
      </c>
      <c r="Q442">
        <f t="shared" si="975"/>
        <v>-792250.76187420054</v>
      </c>
      <c r="R442">
        <f t="shared" si="976"/>
        <v>-14970701.424686983</v>
      </c>
      <c r="S442">
        <f t="shared" si="977"/>
        <v>-149.70701424686985</v>
      </c>
      <c r="T442">
        <f t="shared" si="978"/>
        <v>-0.14970701424686986</v>
      </c>
    </row>
    <row r="443" spans="1:20" x14ac:dyDescent="0.25">
      <c r="A443" s="5">
        <v>44150</v>
      </c>
      <c r="B443">
        <v>4.3299999999999998E-2</v>
      </c>
      <c r="C443">
        <v>0.06</v>
      </c>
      <c r="D443">
        <v>4.0059999999999998E-2</v>
      </c>
      <c r="E443">
        <v>4.3090000000000003E-2</v>
      </c>
      <c r="F443">
        <v>8312684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-0.69608826479438268</v>
      </c>
      <c r="Q443">
        <f t="shared" si="975"/>
        <v>-5786361.7813440282</v>
      </c>
      <c r="R443">
        <f t="shared" si="976"/>
        <v>-14178450.662812782</v>
      </c>
      <c r="S443">
        <f t="shared" si="977"/>
        <v>-141.78450662812782</v>
      </c>
      <c r="T443">
        <f t="shared" si="978"/>
        <v>-0.1417845066281278</v>
      </c>
    </row>
    <row r="444" spans="1:20" x14ac:dyDescent="0.25">
      <c r="A444" s="5">
        <v>44149</v>
      </c>
      <c r="B444">
        <v>4.335E-2</v>
      </c>
      <c r="C444">
        <v>4.444E-2</v>
      </c>
      <c r="D444">
        <v>4.1549999999999997E-2</v>
      </c>
      <c r="E444">
        <v>4.444E-2</v>
      </c>
      <c r="F444">
        <v>2800508.3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1</v>
      </c>
      <c r="Q444">
        <f t="shared" si="975"/>
        <v>2800508.3</v>
      </c>
      <c r="R444">
        <f t="shared" si="976"/>
        <v>-8392088.8814687543</v>
      </c>
      <c r="S444">
        <f t="shared" si="977"/>
        <v>-83.920888814687544</v>
      </c>
      <c r="T444">
        <f t="shared" si="978"/>
        <v>-8.3920888814687539E-2</v>
      </c>
    </row>
    <row r="445" spans="1:20" x14ac:dyDescent="0.25">
      <c r="A445" s="5">
        <v>44148</v>
      </c>
      <c r="B445">
        <v>4.0379999999999999E-2</v>
      </c>
      <c r="C445">
        <v>4.3339999999999997E-2</v>
      </c>
      <c r="D445">
        <v>4.027E-2</v>
      </c>
      <c r="E445">
        <v>4.3339999999999997E-2</v>
      </c>
      <c r="F445">
        <v>163449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1</v>
      </c>
      <c r="Q445">
        <f t="shared" si="975"/>
        <v>163449</v>
      </c>
      <c r="R445">
        <f t="shared" si="976"/>
        <v>-11192597.181468755</v>
      </c>
      <c r="S445">
        <f t="shared" si="977"/>
        <v>-111.92597181468756</v>
      </c>
      <c r="T445">
        <f t="shared" si="978"/>
        <v>-0.11192597181468755</v>
      </c>
    </row>
    <row r="446" spans="1:20" x14ac:dyDescent="0.25">
      <c r="A446" s="5">
        <v>44147</v>
      </c>
      <c r="B446">
        <v>4.657E-2</v>
      </c>
      <c r="C446">
        <v>4.7829999999999998E-2</v>
      </c>
      <c r="D446">
        <v>3.9480000000000001E-2</v>
      </c>
      <c r="E446">
        <v>4.2139999999999997E-2</v>
      </c>
      <c r="F446">
        <v>435189.5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-0.36287425149700675</v>
      </c>
      <c r="Q446">
        <f t="shared" si="975"/>
        <v>-157919.06407185661</v>
      </c>
      <c r="R446">
        <f t="shared" si="976"/>
        <v>-11356046.181468755</v>
      </c>
      <c r="S446">
        <f t="shared" si="977"/>
        <v>-113.56046181468756</v>
      </c>
      <c r="T446">
        <f t="shared" si="978"/>
        <v>-0.11356046181468755</v>
      </c>
    </row>
    <row r="447" spans="1:20" x14ac:dyDescent="0.25">
      <c r="A447" s="5">
        <v>44146</v>
      </c>
      <c r="B447">
        <v>4.8030000000000003E-2</v>
      </c>
      <c r="C447">
        <v>4.8030000000000003E-2</v>
      </c>
      <c r="D447">
        <v>4.2160000000000003E-2</v>
      </c>
      <c r="E447">
        <v>4.5560000000000003E-2</v>
      </c>
      <c r="F447">
        <v>145152.9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0.15843270868824536</v>
      </c>
      <c r="Q447">
        <f t="shared" si="975"/>
        <v>22996.967120954007</v>
      </c>
      <c r="R447">
        <f t="shared" si="976"/>
        <v>-11198127.117396899</v>
      </c>
      <c r="S447">
        <f t="shared" si="977"/>
        <v>-111.98127117396899</v>
      </c>
      <c r="T447">
        <f t="shared" si="978"/>
        <v>-0.11198127117396899</v>
      </c>
    </row>
    <row r="448" spans="1:20" x14ac:dyDescent="0.25">
      <c r="A448" s="5">
        <v>44145</v>
      </c>
      <c r="B448">
        <v>4.2259999999999999E-2</v>
      </c>
      <c r="C448">
        <v>0.05</v>
      </c>
      <c r="D448">
        <v>4.1640000000000003E-2</v>
      </c>
      <c r="E448">
        <v>4.7890000000000002E-2</v>
      </c>
      <c r="F448">
        <v>243876.1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0.49521531100478444</v>
      </c>
      <c r="Q448">
        <f t="shared" si="975"/>
        <v>120771.17870813391</v>
      </c>
      <c r="R448">
        <f t="shared" si="976"/>
        <v>-11221124.084517853</v>
      </c>
      <c r="S448">
        <f t="shared" si="977"/>
        <v>-112.21124084517854</v>
      </c>
      <c r="T448">
        <f t="shared" si="978"/>
        <v>-0.11221124084517854</v>
      </c>
    </row>
    <row r="449" spans="1:20" x14ac:dyDescent="0.25">
      <c r="A449" s="5">
        <v>44144</v>
      </c>
      <c r="B449">
        <v>4.6379999999999998E-2</v>
      </c>
      <c r="C449">
        <v>4.6379999999999998E-2</v>
      </c>
      <c r="D449">
        <v>4.2009999999999999E-2</v>
      </c>
      <c r="E449">
        <v>4.2999999999999997E-2</v>
      </c>
      <c r="F449">
        <v>139702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-0.54691075514874232</v>
      </c>
      <c r="Q449">
        <f t="shared" si="975"/>
        <v>-76404.526315789597</v>
      </c>
      <c r="R449">
        <f t="shared" si="976"/>
        <v>-11341895.263225988</v>
      </c>
      <c r="S449">
        <f t="shared" si="977"/>
        <v>-113.41895263225987</v>
      </c>
      <c r="T449">
        <f t="shared" si="978"/>
        <v>-0.11341895263225987</v>
      </c>
    </row>
    <row r="450" spans="1:20" x14ac:dyDescent="0.25">
      <c r="A450" s="5">
        <v>44143</v>
      </c>
      <c r="B450">
        <v>4.3299999999999998E-2</v>
      </c>
      <c r="C450">
        <v>4.7890000000000002E-2</v>
      </c>
      <c r="D450">
        <v>4.2049999999999997E-2</v>
      </c>
      <c r="E450">
        <v>4.5629999999999997E-2</v>
      </c>
      <c r="F450">
        <v>948252.1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0.22602739726027288</v>
      </c>
      <c r="Q450">
        <f t="shared" si="975"/>
        <v>214330.954109588</v>
      </c>
      <c r="R450">
        <f t="shared" si="976"/>
        <v>-11265490.736910198</v>
      </c>
      <c r="S450">
        <f t="shared" si="977"/>
        <v>-112.65490736910198</v>
      </c>
      <c r="T450">
        <f t="shared" si="978"/>
        <v>-0.11265490736910198</v>
      </c>
    </row>
    <row r="451" spans="1:20" x14ac:dyDescent="0.25">
      <c r="A451" s="5">
        <v>44142</v>
      </c>
      <c r="B451">
        <v>4.4999999999999998E-2</v>
      </c>
      <c r="C451">
        <v>5.4510000000000003E-2</v>
      </c>
      <c r="D451">
        <v>4.301E-2</v>
      </c>
      <c r="E451">
        <v>4.3679999999999997E-2</v>
      </c>
      <c r="F451">
        <v>1157590.6000000001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-0.88347826086956582</v>
      </c>
      <c r="Q451">
        <f t="shared" si="975"/>
        <v>-1022706.1300869574</v>
      </c>
      <c r="R451">
        <f t="shared" si="976"/>
        <v>-11479821.691019787</v>
      </c>
      <c r="S451">
        <f t="shared" si="977"/>
        <v>-114.79821691019787</v>
      </c>
      <c r="T451">
        <f t="shared" si="978"/>
        <v>-0.11479821691019787</v>
      </c>
    </row>
    <row r="452" spans="1:20" x14ac:dyDescent="0.25">
      <c r="A452" s="5">
        <v>44141</v>
      </c>
      <c r="B452">
        <v>4.2959999999999998E-2</v>
      </c>
      <c r="C452">
        <v>4.7460000000000002E-2</v>
      </c>
      <c r="D452">
        <v>4.1489999999999999E-2</v>
      </c>
      <c r="E452">
        <v>4.5220000000000003E-2</v>
      </c>
      <c r="F452">
        <v>116543.7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0.24958123953098901</v>
      </c>
      <c r="Q452">
        <f t="shared" si="975"/>
        <v>29087.121105527724</v>
      </c>
      <c r="R452">
        <f t="shared" si="976"/>
        <v>-10457115.56093283</v>
      </c>
      <c r="S452">
        <f t="shared" si="977"/>
        <v>-104.5711556093283</v>
      </c>
      <c r="T452">
        <f t="shared" si="978"/>
        <v>-0.1045711556093283</v>
      </c>
    </row>
    <row r="453" spans="1:20" x14ac:dyDescent="0.25">
      <c r="A453" s="5">
        <v>44140</v>
      </c>
      <c r="B453">
        <v>4.2000000000000003E-2</v>
      </c>
      <c r="C453">
        <v>4.2779999999999999E-2</v>
      </c>
      <c r="D453">
        <v>3.9399999999999998E-2</v>
      </c>
      <c r="E453">
        <v>4.2779999999999999E-2</v>
      </c>
      <c r="F453">
        <v>64192.6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1</v>
      </c>
      <c r="Q453">
        <f t="shared" si="975"/>
        <v>64192.6</v>
      </c>
      <c r="R453">
        <f t="shared" si="976"/>
        <v>-10486202.682038357</v>
      </c>
      <c r="S453">
        <f t="shared" si="977"/>
        <v>-104.86202682038358</v>
      </c>
      <c r="T453">
        <f t="shared" si="978"/>
        <v>-0.10486202682038358</v>
      </c>
    </row>
    <row r="454" spans="1:20" x14ac:dyDescent="0.25">
      <c r="A454" s="5">
        <v>44139</v>
      </c>
      <c r="B454">
        <v>4.2099999999999999E-2</v>
      </c>
      <c r="C454">
        <v>4.2979999999999997E-2</v>
      </c>
      <c r="D454">
        <v>4.147E-2</v>
      </c>
      <c r="E454">
        <v>4.2349999999999999E-2</v>
      </c>
      <c r="F454">
        <v>107796.2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0.1655629139072852</v>
      </c>
      <c r="Q454">
        <f t="shared" ref="Q454:Q517" si="980">F454*P454</f>
        <v>17847.052980132496</v>
      </c>
      <c r="R454">
        <f t="shared" ref="R454:R517" si="981">R455+Q454</f>
        <v>-10550395.282038357</v>
      </c>
      <c r="S454">
        <f t="shared" ref="S454:S517" si="982">R454/100000</f>
        <v>-105.50395282038357</v>
      </c>
      <c r="T454">
        <f t="shared" ref="T454:T517" si="983">S454/1000</f>
        <v>-0.10550395282038358</v>
      </c>
    </row>
    <row r="455" spans="1:20" x14ac:dyDescent="0.25">
      <c r="A455" s="5">
        <v>44138</v>
      </c>
      <c r="B455">
        <v>4.53E-2</v>
      </c>
      <c r="C455">
        <v>4.53E-2</v>
      </c>
      <c r="D455">
        <v>4.1790000000000001E-2</v>
      </c>
      <c r="E455">
        <v>4.2619999999999998E-2</v>
      </c>
      <c r="F455">
        <v>73314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-0.52706552706552845</v>
      </c>
      <c r="Q455">
        <f t="shared" si="980"/>
        <v>-38641.282051282156</v>
      </c>
      <c r="R455">
        <f t="shared" si="981"/>
        <v>-10568242.33501849</v>
      </c>
      <c r="S455">
        <f t="shared" si="982"/>
        <v>-105.68242335018489</v>
      </c>
      <c r="T455">
        <f t="shared" si="983"/>
        <v>-0.10568242335018489</v>
      </c>
    </row>
    <row r="456" spans="1:20" x14ac:dyDescent="0.25">
      <c r="A456" s="5">
        <v>44137</v>
      </c>
      <c r="B456">
        <v>4.5879999999999997E-2</v>
      </c>
      <c r="C456">
        <v>4.8500000000000001E-2</v>
      </c>
      <c r="D456">
        <v>4.5170000000000002E-2</v>
      </c>
      <c r="E456">
        <v>4.5789999999999997E-2</v>
      </c>
      <c r="F456">
        <v>100317.1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-0.62762762762763025</v>
      </c>
      <c r="Q456">
        <f t="shared" si="980"/>
        <v>-62961.783483483749</v>
      </c>
      <c r="R456">
        <f t="shared" si="981"/>
        <v>-10529601.052967208</v>
      </c>
      <c r="S456">
        <f t="shared" si="982"/>
        <v>-105.29601052967207</v>
      </c>
      <c r="T456">
        <f t="shared" si="983"/>
        <v>-0.10529601052967208</v>
      </c>
    </row>
    <row r="457" spans="1:20" x14ac:dyDescent="0.25">
      <c r="A457" s="5">
        <v>44136</v>
      </c>
      <c r="B457">
        <v>4.5850000000000002E-2</v>
      </c>
      <c r="C457">
        <v>4.7E-2</v>
      </c>
      <c r="D457">
        <v>4.5199999999999997E-2</v>
      </c>
      <c r="E457">
        <v>4.607E-2</v>
      </c>
      <c r="F457">
        <v>23157.7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-3.3333333333331917E-2</v>
      </c>
      <c r="Q457">
        <f t="shared" si="980"/>
        <v>-771.92333333330055</v>
      </c>
      <c r="R457">
        <f t="shared" si="981"/>
        <v>-10466639.269483725</v>
      </c>
      <c r="S457">
        <f t="shared" si="982"/>
        <v>-104.66639269483724</v>
      </c>
      <c r="T457">
        <f t="shared" si="983"/>
        <v>-0.10466639269483724</v>
      </c>
    </row>
    <row r="458" spans="1:20" x14ac:dyDescent="0.25">
      <c r="A458" s="5">
        <v>44135</v>
      </c>
      <c r="B458">
        <v>4.5679999999999998E-2</v>
      </c>
      <c r="C458">
        <v>4.6620000000000002E-2</v>
      </c>
      <c r="D458">
        <v>4.53E-2</v>
      </c>
      <c r="E458">
        <v>4.5769999999999998E-2</v>
      </c>
      <c r="F458">
        <v>102510.7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-0.28787878787879156</v>
      </c>
      <c r="Q458">
        <f t="shared" si="980"/>
        <v>-29510.656060606438</v>
      </c>
      <c r="R458">
        <f t="shared" si="981"/>
        <v>-10465867.346150391</v>
      </c>
      <c r="S458">
        <f t="shared" si="982"/>
        <v>-104.65867346150391</v>
      </c>
      <c r="T458">
        <f t="shared" si="983"/>
        <v>-0.10465867346150391</v>
      </c>
    </row>
    <row r="459" spans="1:20" x14ac:dyDescent="0.25">
      <c r="A459" s="5">
        <v>44134</v>
      </c>
      <c r="B459">
        <v>5.0569999999999997E-2</v>
      </c>
      <c r="C459">
        <v>5.0569999999999997E-2</v>
      </c>
      <c r="D459">
        <v>4.3650000000000001E-2</v>
      </c>
      <c r="E459">
        <v>4.546E-2</v>
      </c>
      <c r="F459">
        <v>411190.3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-0.47687861271676291</v>
      </c>
      <c r="Q459">
        <f t="shared" si="980"/>
        <v>-196087.85982658956</v>
      </c>
      <c r="R459">
        <f t="shared" si="981"/>
        <v>-10436356.690089785</v>
      </c>
      <c r="S459">
        <f t="shared" si="982"/>
        <v>-104.36356690089785</v>
      </c>
      <c r="T459">
        <f t="shared" si="983"/>
        <v>-0.10436356690089785</v>
      </c>
    </row>
    <row r="460" spans="1:20" x14ac:dyDescent="0.25">
      <c r="A460" s="5">
        <v>44133</v>
      </c>
      <c r="B460">
        <v>5.0479999999999997E-2</v>
      </c>
      <c r="C460">
        <v>5.3109999999999997E-2</v>
      </c>
      <c r="D460">
        <v>4.8129999999999999E-2</v>
      </c>
      <c r="E460">
        <v>5.1180000000000003E-2</v>
      </c>
      <c r="F460">
        <v>226067.9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0.22489959839357634</v>
      </c>
      <c r="Q460">
        <f t="shared" si="980"/>
        <v>50842.579919679178</v>
      </c>
      <c r="R460">
        <f t="shared" si="981"/>
        <v>-10240268.830263196</v>
      </c>
      <c r="S460">
        <f t="shared" si="982"/>
        <v>-102.40268830263196</v>
      </c>
      <c r="T460">
        <f t="shared" si="983"/>
        <v>-0.10240268830263195</v>
      </c>
    </row>
    <row r="461" spans="1:20" x14ac:dyDescent="0.25">
      <c r="A461" s="5">
        <v>44132</v>
      </c>
      <c r="B461">
        <v>5.525E-2</v>
      </c>
      <c r="C461">
        <v>5.8000000000000003E-2</v>
      </c>
      <c r="D461">
        <v>0.05</v>
      </c>
      <c r="E461">
        <v>5.0999999999999997E-2</v>
      </c>
      <c r="F461">
        <v>471898.1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-0.75000000000000155</v>
      </c>
      <c r="Q461">
        <f t="shared" si="980"/>
        <v>-353923.57500000071</v>
      </c>
      <c r="R461">
        <f t="shared" si="981"/>
        <v>-10291111.410182875</v>
      </c>
      <c r="S461">
        <f t="shared" si="982"/>
        <v>-102.91111410182874</v>
      </c>
      <c r="T461">
        <f t="shared" si="983"/>
        <v>-0.10291111410182874</v>
      </c>
    </row>
    <row r="462" spans="1:20" x14ac:dyDescent="0.25">
      <c r="A462" s="5">
        <v>44131</v>
      </c>
      <c r="B462">
        <v>4.9520000000000002E-2</v>
      </c>
      <c r="C462">
        <v>7.4079999999999993E-2</v>
      </c>
      <c r="D462">
        <v>4.9020000000000001E-2</v>
      </c>
      <c r="E462">
        <v>5.4109999999999998E-2</v>
      </c>
      <c r="F462">
        <v>1201104.5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-0.59377494014365528</v>
      </c>
      <c r="Q462">
        <f t="shared" si="980"/>
        <v>-713185.75259377505</v>
      </c>
      <c r="R462">
        <f t="shared" si="981"/>
        <v>-9937187.8351828735</v>
      </c>
      <c r="S462">
        <f t="shared" si="982"/>
        <v>-99.371878351828741</v>
      </c>
      <c r="T462">
        <f t="shared" si="983"/>
        <v>-9.9371878351828744E-2</v>
      </c>
    </row>
    <row r="463" spans="1:20" x14ac:dyDescent="0.25">
      <c r="A463" s="5">
        <v>44130</v>
      </c>
      <c r="B463">
        <v>5.4199999999999998E-2</v>
      </c>
      <c r="C463">
        <v>5.5E-2</v>
      </c>
      <c r="D463">
        <v>4.8809999999999999E-2</v>
      </c>
      <c r="E463">
        <v>4.922E-2</v>
      </c>
      <c r="F463">
        <v>284615.40000000002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-0.86752827140549249</v>
      </c>
      <c r="Q463">
        <f t="shared" si="980"/>
        <v>-246911.90597738282</v>
      </c>
      <c r="R463">
        <f t="shared" si="981"/>
        <v>-9224002.0825890992</v>
      </c>
      <c r="S463">
        <f t="shared" si="982"/>
        <v>-92.240020825890994</v>
      </c>
      <c r="T463">
        <f t="shared" si="983"/>
        <v>-9.2240020825891E-2</v>
      </c>
    </row>
    <row r="464" spans="1:20" x14ac:dyDescent="0.25">
      <c r="A464" s="5">
        <v>44129</v>
      </c>
      <c r="B464">
        <v>5.4129999999999998E-2</v>
      </c>
      <c r="C464">
        <v>7.2859999999999994E-2</v>
      </c>
      <c r="D464">
        <v>5.203E-2</v>
      </c>
      <c r="E464">
        <v>5.21E-2</v>
      </c>
      <c r="F464">
        <v>1256834.2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-0.99327892462794043</v>
      </c>
      <c r="Q464">
        <f t="shared" si="980"/>
        <v>-1248386.9226116177</v>
      </c>
      <c r="R464">
        <f t="shared" si="981"/>
        <v>-8977090.1766117159</v>
      </c>
      <c r="S464">
        <f t="shared" si="982"/>
        <v>-89.770901766117163</v>
      </c>
      <c r="T464">
        <f t="shared" si="983"/>
        <v>-8.9770901766117156E-2</v>
      </c>
    </row>
    <row r="465" spans="1:20" x14ac:dyDescent="0.25">
      <c r="A465" s="5">
        <v>44128</v>
      </c>
      <c r="B465">
        <v>5.6759999999999998E-2</v>
      </c>
      <c r="C465">
        <v>5.772E-2</v>
      </c>
      <c r="D465">
        <v>5.1029999999999999E-2</v>
      </c>
      <c r="E465">
        <v>5.4120000000000001E-2</v>
      </c>
      <c r="F465">
        <v>335092.2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-7.6233183856501713E-2</v>
      </c>
      <c r="Q465">
        <f t="shared" si="980"/>
        <v>-25545.145291479643</v>
      </c>
      <c r="R465">
        <f t="shared" si="981"/>
        <v>-7728703.2540000975</v>
      </c>
      <c r="S465">
        <f t="shared" si="982"/>
        <v>-77.287032540000979</v>
      </c>
      <c r="T465">
        <f t="shared" si="983"/>
        <v>-7.728703254000098E-2</v>
      </c>
    </row>
    <row r="466" spans="1:20" x14ac:dyDescent="0.25">
      <c r="A466" s="5">
        <v>44127</v>
      </c>
      <c r="B466">
        <v>6.0920000000000002E-2</v>
      </c>
      <c r="C466">
        <v>8.0310000000000006E-2</v>
      </c>
      <c r="D466">
        <v>5.7000000000000002E-2</v>
      </c>
      <c r="E466">
        <v>5.7000000000000002E-2</v>
      </c>
      <c r="F466">
        <v>1364328.3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-1</v>
      </c>
      <c r="Q466">
        <f t="shared" si="980"/>
        <v>-1364328.3</v>
      </c>
      <c r="R466">
        <f t="shared" si="981"/>
        <v>-7703158.1087086182</v>
      </c>
      <c r="S466">
        <f t="shared" si="982"/>
        <v>-77.031581087086181</v>
      </c>
      <c r="T466">
        <f t="shared" si="983"/>
        <v>-7.7031581087086187E-2</v>
      </c>
    </row>
    <row r="467" spans="1:20" x14ac:dyDescent="0.25">
      <c r="A467" s="5">
        <v>44126</v>
      </c>
      <c r="B467">
        <v>5.765E-2</v>
      </c>
      <c r="C467">
        <v>6.216E-2</v>
      </c>
      <c r="D467">
        <v>5.6710000000000003E-2</v>
      </c>
      <c r="E467">
        <v>6.1199999999999997E-2</v>
      </c>
      <c r="F467">
        <v>166061.20000000001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0.64770642201834749</v>
      </c>
      <c r="Q467">
        <f t="shared" si="980"/>
        <v>107558.90568807321</v>
      </c>
      <c r="R467">
        <f t="shared" si="981"/>
        <v>-6338829.8087086184</v>
      </c>
      <c r="S467">
        <f t="shared" si="982"/>
        <v>-63.388298087086184</v>
      </c>
      <c r="T467">
        <f t="shared" si="983"/>
        <v>-6.3388298087086181E-2</v>
      </c>
    </row>
    <row r="468" spans="1:20" x14ac:dyDescent="0.25">
      <c r="A468" s="5">
        <v>44125</v>
      </c>
      <c r="B468">
        <v>5.772E-2</v>
      </c>
      <c r="C468">
        <v>6.0269999999999997E-2</v>
      </c>
      <c r="D468">
        <v>5.4879999999999998E-2</v>
      </c>
      <c r="E468">
        <v>5.765E-2</v>
      </c>
      <c r="F468">
        <v>745613.7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2.7829313543600059E-2</v>
      </c>
      <c r="Q468">
        <f t="shared" si="980"/>
        <v>20749.91743970375</v>
      </c>
      <c r="R468">
        <f t="shared" si="981"/>
        <v>-6446388.7143966919</v>
      </c>
      <c r="S468">
        <f t="shared" si="982"/>
        <v>-64.463887143966915</v>
      </c>
      <c r="T468">
        <f t="shared" si="983"/>
        <v>-6.4463887143966919E-2</v>
      </c>
    </row>
    <row r="469" spans="1:20" x14ac:dyDescent="0.25">
      <c r="A469" s="5">
        <v>44124</v>
      </c>
      <c r="B469">
        <v>6.651E-2</v>
      </c>
      <c r="C469">
        <v>6.7720000000000002E-2</v>
      </c>
      <c r="D469">
        <v>5.6750000000000002E-2</v>
      </c>
      <c r="E469">
        <v>5.8650000000000001E-2</v>
      </c>
      <c r="F469">
        <v>137170.6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-0.65360072926162283</v>
      </c>
      <c r="Q469">
        <f t="shared" si="980"/>
        <v>-89654.804193254371</v>
      </c>
      <c r="R469">
        <f t="shared" si="981"/>
        <v>-6467138.6318363957</v>
      </c>
      <c r="S469">
        <f t="shared" si="982"/>
        <v>-64.671386318363957</v>
      </c>
      <c r="T469">
        <f t="shared" si="983"/>
        <v>-6.4671386318363958E-2</v>
      </c>
    </row>
    <row r="470" spans="1:20" x14ac:dyDescent="0.25">
      <c r="A470" s="5">
        <v>44123</v>
      </c>
      <c r="B470">
        <v>6.8229999999999999E-2</v>
      </c>
      <c r="C470">
        <v>6.9320000000000007E-2</v>
      </c>
      <c r="D470">
        <v>6.3539999999999999E-2</v>
      </c>
      <c r="E470">
        <v>6.5680000000000002E-2</v>
      </c>
      <c r="F470">
        <v>117308.4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-0.25951557093425598</v>
      </c>
      <c r="Q470">
        <f t="shared" si="980"/>
        <v>-30443.356401384073</v>
      </c>
      <c r="R470">
        <f t="shared" si="981"/>
        <v>-6377483.8276431412</v>
      </c>
      <c r="S470">
        <f t="shared" si="982"/>
        <v>-63.77483827643141</v>
      </c>
      <c r="T470">
        <f t="shared" si="983"/>
        <v>-6.3774838276431406E-2</v>
      </c>
    </row>
    <row r="471" spans="1:20" x14ac:dyDescent="0.25">
      <c r="A471" s="5">
        <v>44122</v>
      </c>
      <c r="B471">
        <v>6.3570000000000002E-2</v>
      </c>
      <c r="C471">
        <v>6.447E-2</v>
      </c>
      <c r="D471">
        <v>6.2810000000000005E-2</v>
      </c>
      <c r="E471">
        <v>6.2950000000000006E-2</v>
      </c>
      <c r="F471">
        <v>75792.600000000006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-0.83132530120481729</v>
      </c>
      <c r="Q471">
        <f t="shared" si="980"/>
        <v>-63008.306024096237</v>
      </c>
      <c r="R471">
        <f t="shared" si="981"/>
        <v>-6347040.4712417573</v>
      </c>
      <c r="S471">
        <f t="shared" si="982"/>
        <v>-63.470404712417576</v>
      </c>
      <c r="T471">
        <f t="shared" si="983"/>
        <v>-6.3470404712417577E-2</v>
      </c>
    </row>
    <row r="472" spans="1:20" x14ac:dyDescent="0.25">
      <c r="A472" s="5">
        <v>44121</v>
      </c>
      <c r="B472">
        <v>6.3450000000000006E-2</v>
      </c>
      <c r="C472">
        <v>6.3570000000000002E-2</v>
      </c>
      <c r="D472">
        <v>6.2059999999999997E-2</v>
      </c>
      <c r="E472">
        <v>6.3570000000000002E-2</v>
      </c>
      <c r="F472">
        <v>46968.6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1</v>
      </c>
      <c r="Q472">
        <f t="shared" si="980"/>
        <v>46968.6</v>
      </c>
      <c r="R472">
        <f t="shared" si="981"/>
        <v>-6284032.1652176613</v>
      </c>
      <c r="S472">
        <f t="shared" si="982"/>
        <v>-62.840321652176613</v>
      </c>
      <c r="T472">
        <f t="shared" si="983"/>
        <v>-6.2840321652176609E-2</v>
      </c>
    </row>
    <row r="473" spans="1:20" x14ac:dyDescent="0.25">
      <c r="A473" s="5">
        <v>44120</v>
      </c>
      <c r="B473">
        <v>6.6420000000000007E-2</v>
      </c>
      <c r="C473">
        <v>6.6420000000000007E-2</v>
      </c>
      <c r="D473">
        <v>6.2539999999999998E-2</v>
      </c>
      <c r="E473">
        <v>6.3570000000000002E-2</v>
      </c>
      <c r="F473">
        <v>94130.5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-0.46907216494845316</v>
      </c>
      <c r="Q473">
        <f t="shared" si="980"/>
        <v>-44153.997422680368</v>
      </c>
      <c r="R473">
        <f t="shared" si="981"/>
        <v>-6331000.7652176609</v>
      </c>
      <c r="S473">
        <f t="shared" si="982"/>
        <v>-63.310007652176608</v>
      </c>
      <c r="T473">
        <f t="shared" si="983"/>
        <v>-6.3310007652176606E-2</v>
      </c>
    </row>
    <row r="474" spans="1:20" x14ac:dyDescent="0.25">
      <c r="A474" s="5">
        <v>44119</v>
      </c>
      <c r="B474">
        <v>6.5009999999999998E-2</v>
      </c>
      <c r="C474">
        <v>6.8930000000000005E-2</v>
      </c>
      <c r="D474">
        <v>6.4460000000000003E-2</v>
      </c>
      <c r="E474">
        <v>6.6269999999999996E-2</v>
      </c>
      <c r="F474">
        <v>119275.7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-0.19015659955257652</v>
      </c>
      <c r="Q474">
        <f t="shared" si="980"/>
        <v>-22681.06152125325</v>
      </c>
      <c r="R474">
        <f t="shared" si="981"/>
        <v>-6286846.7677949807</v>
      </c>
      <c r="S474">
        <f t="shared" si="982"/>
        <v>-62.868467677949809</v>
      </c>
      <c r="T474">
        <f t="shared" si="983"/>
        <v>-6.2868467677949805E-2</v>
      </c>
    </row>
    <row r="475" spans="1:20" x14ac:dyDescent="0.25">
      <c r="A475" s="5">
        <v>44118</v>
      </c>
      <c r="B475">
        <v>6.7699999999999996E-2</v>
      </c>
      <c r="C475">
        <v>6.8879999999999997E-2</v>
      </c>
      <c r="D475">
        <v>6.4939999999999998E-2</v>
      </c>
      <c r="E475">
        <v>6.4939999999999998E-2</v>
      </c>
      <c r="F475">
        <v>71852.399999999994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-1</v>
      </c>
      <c r="Q475">
        <f t="shared" si="980"/>
        <v>-71852.399999999994</v>
      </c>
      <c r="R475">
        <f t="shared" si="981"/>
        <v>-6264165.7062737271</v>
      </c>
      <c r="S475">
        <f t="shared" si="982"/>
        <v>-62.641657062737274</v>
      </c>
      <c r="T475">
        <f t="shared" si="983"/>
        <v>-6.2641657062737277E-2</v>
      </c>
    </row>
    <row r="476" spans="1:20" x14ac:dyDescent="0.25">
      <c r="A476" s="5">
        <v>44117</v>
      </c>
      <c r="B476">
        <v>6.7379999999999995E-2</v>
      </c>
      <c r="C476">
        <v>6.8949999999999997E-2</v>
      </c>
      <c r="D476">
        <v>6.6170000000000007E-2</v>
      </c>
      <c r="E476">
        <v>6.6170000000000007E-2</v>
      </c>
      <c r="F476">
        <v>28997.4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-1</v>
      </c>
      <c r="Q476">
        <f t="shared" si="980"/>
        <v>-28997.4</v>
      </c>
      <c r="R476">
        <f t="shared" si="981"/>
        <v>-6192313.3062737267</v>
      </c>
      <c r="S476">
        <f t="shared" si="982"/>
        <v>-61.923133062737264</v>
      </c>
      <c r="T476">
        <f t="shared" si="983"/>
        <v>-6.1923133062737265E-2</v>
      </c>
    </row>
    <row r="477" spans="1:20" x14ac:dyDescent="0.25">
      <c r="A477" s="5">
        <v>44116</v>
      </c>
      <c r="B477">
        <v>6.948E-2</v>
      </c>
      <c r="C477">
        <v>7.4719999999999995E-2</v>
      </c>
      <c r="D477">
        <v>6.4680000000000001E-2</v>
      </c>
      <c r="E477">
        <v>6.7479999999999998E-2</v>
      </c>
      <c r="F477">
        <v>88665.8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-0.44223107569721137</v>
      </c>
      <c r="Q477">
        <f t="shared" si="980"/>
        <v>-39210.772111553808</v>
      </c>
      <c r="R477">
        <f t="shared" si="981"/>
        <v>-6163315.9062737264</v>
      </c>
      <c r="S477">
        <f t="shared" si="982"/>
        <v>-61.633159062737263</v>
      </c>
      <c r="T477">
        <f t="shared" si="983"/>
        <v>-6.1633159062737267E-2</v>
      </c>
    </row>
    <row r="478" spans="1:20" x14ac:dyDescent="0.25">
      <c r="A478" s="5">
        <v>44115</v>
      </c>
      <c r="B478">
        <v>7.1819999999999995E-2</v>
      </c>
      <c r="C478">
        <v>7.46E-2</v>
      </c>
      <c r="D478">
        <v>6.5759999999999999E-2</v>
      </c>
      <c r="E478">
        <v>6.8610000000000004E-2</v>
      </c>
      <c r="F478">
        <v>55399.8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-0.35520361990950111</v>
      </c>
      <c r="Q478">
        <f t="shared" si="980"/>
        <v>-19678.20950226238</v>
      </c>
      <c r="R478">
        <f t="shared" si="981"/>
        <v>-6124105.1341621727</v>
      </c>
      <c r="S478">
        <f t="shared" si="982"/>
        <v>-61.241051341621727</v>
      </c>
      <c r="T478">
        <f t="shared" si="983"/>
        <v>-6.1241051341621729E-2</v>
      </c>
    </row>
    <row r="479" spans="1:20" x14ac:dyDescent="0.25">
      <c r="A479" s="5">
        <v>44114</v>
      </c>
      <c r="B479">
        <v>6.9150000000000003E-2</v>
      </c>
      <c r="C479">
        <v>7.4829999999999994E-2</v>
      </c>
      <c r="D479">
        <v>6.9150000000000003E-2</v>
      </c>
      <c r="E479">
        <v>7.2709999999999997E-2</v>
      </c>
      <c r="F479">
        <v>209502.3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0.25352112676056326</v>
      </c>
      <c r="Q479">
        <f t="shared" si="980"/>
        <v>53113.259154929547</v>
      </c>
      <c r="R479">
        <f t="shared" si="981"/>
        <v>-6104426.9246599106</v>
      </c>
      <c r="S479">
        <f t="shared" si="982"/>
        <v>-61.044269246599107</v>
      </c>
      <c r="T479">
        <f t="shared" si="983"/>
        <v>-6.1044269246599107E-2</v>
      </c>
    </row>
    <row r="480" spans="1:20" x14ac:dyDescent="0.25">
      <c r="A480" s="5">
        <v>44113</v>
      </c>
      <c r="B480">
        <v>6.4350000000000004E-2</v>
      </c>
      <c r="C480">
        <v>6.7460000000000006E-2</v>
      </c>
      <c r="D480">
        <v>6.4199999999999993E-2</v>
      </c>
      <c r="E480">
        <v>6.7150000000000001E-2</v>
      </c>
      <c r="F480">
        <v>72959.899999999994</v>
      </c>
      <c r="G480">
        <v>0</v>
      </c>
      <c r="L480" t="s">
        <v>7</v>
      </c>
      <c r="M480" t="s">
        <v>8</v>
      </c>
      <c r="N480" t="s">
        <v>7</v>
      </c>
      <c r="P480">
        <f t="shared" si="979"/>
        <v>0.80981595092024328</v>
      </c>
      <c r="Q480">
        <f t="shared" si="980"/>
        <v>59084.090797545854</v>
      </c>
      <c r="R480">
        <f t="shared" si="981"/>
        <v>-6157540.1838148404</v>
      </c>
      <c r="S480">
        <f t="shared" si="982"/>
        <v>-61.575401838148402</v>
      </c>
      <c r="T480">
        <f t="shared" si="983"/>
        <v>-6.15754018381484E-2</v>
      </c>
    </row>
    <row r="481" spans="1:20" x14ac:dyDescent="0.25">
      <c r="A481" s="5">
        <v>44112</v>
      </c>
      <c r="B481">
        <v>5.7840000000000003E-2</v>
      </c>
      <c r="C481">
        <v>7.0910000000000001E-2</v>
      </c>
      <c r="D481">
        <v>5.6919999999999998E-2</v>
      </c>
      <c r="E481">
        <v>6.5000000000000002E-2</v>
      </c>
      <c r="F481">
        <v>345739.5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0.15511079342387454</v>
      </c>
      <c r="Q481">
        <f t="shared" si="980"/>
        <v>53627.928162973672</v>
      </c>
      <c r="R481">
        <f t="shared" si="981"/>
        <v>-6216624.2746123867</v>
      </c>
      <c r="S481">
        <f t="shared" si="982"/>
        <v>-62.166242746123864</v>
      </c>
      <c r="T481">
        <f t="shared" si="983"/>
        <v>-6.2166242746123861E-2</v>
      </c>
    </row>
    <row r="482" spans="1:20" x14ac:dyDescent="0.25">
      <c r="A482" s="5">
        <v>44111</v>
      </c>
      <c r="B482">
        <v>5.6370000000000003E-2</v>
      </c>
      <c r="C482">
        <v>5.8450000000000002E-2</v>
      </c>
      <c r="D482">
        <v>5.5820000000000002E-2</v>
      </c>
      <c r="E482">
        <v>5.7840000000000003E-2</v>
      </c>
      <c r="F482">
        <v>152633.1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0.53612167300380276</v>
      </c>
      <c r="Q482">
        <f t="shared" si="980"/>
        <v>81829.912927756726</v>
      </c>
      <c r="R482">
        <f t="shared" si="981"/>
        <v>-6270252.2027753601</v>
      </c>
      <c r="S482">
        <f t="shared" si="982"/>
        <v>-62.702522027753602</v>
      </c>
      <c r="T482">
        <f t="shared" si="983"/>
        <v>-6.2702522027753602E-2</v>
      </c>
    </row>
    <row r="483" spans="1:20" x14ac:dyDescent="0.25">
      <c r="A483" s="5">
        <v>44110</v>
      </c>
      <c r="B483">
        <v>5.9760000000000001E-2</v>
      </c>
      <c r="C483">
        <v>6.1030000000000001E-2</v>
      </c>
      <c r="D483">
        <v>5.6570000000000002E-2</v>
      </c>
      <c r="E483">
        <v>5.6570000000000002E-2</v>
      </c>
      <c r="F483">
        <v>274353.3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-1</v>
      </c>
      <c r="Q483">
        <f t="shared" si="980"/>
        <v>-274353.3</v>
      </c>
      <c r="R483">
        <f t="shared" si="981"/>
        <v>-6352082.1157031171</v>
      </c>
      <c r="S483">
        <f t="shared" si="982"/>
        <v>-63.520821157031172</v>
      </c>
      <c r="T483">
        <f t="shared" si="983"/>
        <v>-6.3520821157031171E-2</v>
      </c>
    </row>
    <row r="484" spans="1:20" x14ac:dyDescent="0.25">
      <c r="A484" s="5">
        <v>44109</v>
      </c>
      <c r="B484">
        <v>6.5759999999999999E-2</v>
      </c>
      <c r="C484">
        <v>6.5769999999999995E-2</v>
      </c>
      <c r="D484">
        <v>5.8610000000000002E-2</v>
      </c>
      <c r="E484">
        <v>5.9749999999999998E-2</v>
      </c>
      <c r="F484">
        <v>561362.19999999995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-0.68156424581005692</v>
      </c>
      <c r="Q484">
        <f t="shared" si="980"/>
        <v>-382604.40446927433</v>
      </c>
      <c r="R484">
        <f t="shared" si="981"/>
        <v>-6077728.8157031173</v>
      </c>
      <c r="S484">
        <f t="shared" si="982"/>
        <v>-60.777288157031172</v>
      </c>
      <c r="T484">
        <f t="shared" si="983"/>
        <v>-6.0777288157031172E-2</v>
      </c>
    </row>
    <row r="485" spans="1:20" x14ac:dyDescent="0.25">
      <c r="A485" s="5">
        <v>44108</v>
      </c>
      <c r="B485">
        <v>6.062E-2</v>
      </c>
      <c r="C485">
        <v>6.3280000000000003E-2</v>
      </c>
      <c r="D485">
        <v>5.9990000000000002E-2</v>
      </c>
      <c r="E485">
        <v>6.232E-2</v>
      </c>
      <c r="F485">
        <v>30631.9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0.41641337386018107</v>
      </c>
      <c r="Q485">
        <f t="shared" si="980"/>
        <v>12755.532826747682</v>
      </c>
      <c r="R485">
        <f t="shared" si="981"/>
        <v>-5695124.4112338433</v>
      </c>
      <c r="S485">
        <f t="shared" si="982"/>
        <v>-56.951244112338436</v>
      </c>
      <c r="T485">
        <f t="shared" si="983"/>
        <v>-5.6951244112338435E-2</v>
      </c>
    </row>
    <row r="486" spans="1:20" x14ac:dyDescent="0.25">
      <c r="A486" s="5">
        <v>44107</v>
      </c>
      <c r="B486">
        <v>6.0170000000000001E-2</v>
      </c>
      <c r="C486">
        <v>6.0999999999999999E-2</v>
      </c>
      <c r="D486">
        <v>6.0170000000000001E-2</v>
      </c>
      <c r="E486">
        <v>6.0999999999999999E-2</v>
      </c>
      <c r="F486">
        <v>17673.400000000001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1</v>
      </c>
      <c r="Q486">
        <f t="shared" si="980"/>
        <v>17673.400000000001</v>
      </c>
      <c r="R486">
        <f t="shared" si="981"/>
        <v>-5707879.944060591</v>
      </c>
      <c r="S486">
        <f t="shared" si="982"/>
        <v>-57.078799440605913</v>
      </c>
      <c r="T486">
        <f t="shared" si="983"/>
        <v>-5.7078799440605912E-2</v>
      </c>
    </row>
    <row r="487" spans="1:20" x14ac:dyDescent="0.25">
      <c r="A487" s="5">
        <v>44106</v>
      </c>
      <c r="B487">
        <v>6.0990000000000003E-2</v>
      </c>
      <c r="C487">
        <v>6.5790000000000001E-2</v>
      </c>
      <c r="D487">
        <v>5.8970000000000002E-2</v>
      </c>
      <c r="E487">
        <v>6.0170000000000001E-2</v>
      </c>
      <c r="F487">
        <v>244964.3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-0.64809384164222883</v>
      </c>
      <c r="Q487">
        <f t="shared" si="980"/>
        <v>-158759.85425219944</v>
      </c>
      <c r="R487">
        <f t="shared" si="981"/>
        <v>-5725553.3440605914</v>
      </c>
      <c r="S487">
        <f t="shared" si="982"/>
        <v>-57.255533440605916</v>
      </c>
      <c r="T487">
        <f t="shared" si="983"/>
        <v>-5.7255533440605917E-2</v>
      </c>
    </row>
    <row r="488" spans="1:20" x14ac:dyDescent="0.25">
      <c r="A488" s="5">
        <v>44105</v>
      </c>
      <c r="B488">
        <v>6.6850000000000007E-2</v>
      </c>
      <c r="C488">
        <v>6.9529999999999995E-2</v>
      </c>
      <c r="D488">
        <v>6.0729999999999999E-2</v>
      </c>
      <c r="E488">
        <v>6.2E-2</v>
      </c>
      <c r="F488">
        <v>69708.600000000006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-0.7113636363636362</v>
      </c>
      <c r="Q488">
        <f t="shared" si="980"/>
        <v>-49588.163181818178</v>
      </c>
      <c r="R488">
        <f t="shared" si="981"/>
        <v>-5566793.4898083918</v>
      </c>
      <c r="S488">
        <f t="shared" si="982"/>
        <v>-55.667934898083921</v>
      </c>
      <c r="T488">
        <f t="shared" si="983"/>
        <v>-5.5667934898083922E-2</v>
      </c>
    </row>
    <row r="489" spans="1:20" x14ac:dyDescent="0.25">
      <c r="A489" s="5">
        <v>44104</v>
      </c>
      <c r="B489">
        <v>6.2109999999999999E-2</v>
      </c>
      <c r="C489">
        <v>7.0989999999999998E-2</v>
      </c>
      <c r="D489">
        <v>5.9479999999999998E-2</v>
      </c>
      <c r="E489">
        <v>6.4159999999999995E-2</v>
      </c>
      <c r="F489">
        <v>517688.7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-0.18679409209383199</v>
      </c>
      <c r="Q489">
        <f t="shared" si="980"/>
        <v>-96701.190703736167</v>
      </c>
      <c r="R489">
        <f t="shared" si="981"/>
        <v>-5517205.3266265737</v>
      </c>
      <c r="S489">
        <f t="shared" si="982"/>
        <v>-55.172053266265735</v>
      </c>
      <c r="T489">
        <f t="shared" si="983"/>
        <v>-5.5172053266265737E-2</v>
      </c>
    </row>
    <row r="490" spans="1:20" x14ac:dyDescent="0.25">
      <c r="A490" s="5">
        <v>44103</v>
      </c>
      <c r="B490">
        <v>6.139E-2</v>
      </c>
      <c r="C490">
        <v>6.2109999999999999E-2</v>
      </c>
      <c r="D490">
        <v>5.9080000000000001E-2</v>
      </c>
      <c r="E490">
        <v>6.0999999999999999E-2</v>
      </c>
      <c r="F490">
        <v>362005.3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0.2673267326732669</v>
      </c>
      <c r="Q490">
        <f t="shared" si="980"/>
        <v>96773.694059405781</v>
      </c>
      <c r="R490">
        <f t="shared" si="981"/>
        <v>-5420504.1359228371</v>
      </c>
      <c r="S490">
        <f t="shared" si="982"/>
        <v>-54.205041359228368</v>
      </c>
      <c r="T490">
        <f t="shared" si="983"/>
        <v>-5.4205041359228365E-2</v>
      </c>
    </row>
    <row r="491" spans="1:20" x14ac:dyDescent="0.25">
      <c r="A491" s="5">
        <v>44102</v>
      </c>
      <c r="B491">
        <v>6.241E-2</v>
      </c>
      <c r="C491">
        <v>6.6900000000000001E-2</v>
      </c>
      <c r="D491">
        <v>6.241E-2</v>
      </c>
      <c r="E491">
        <v>6.25E-2</v>
      </c>
      <c r="F491">
        <v>171013.2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-0.95991091314031185</v>
      </c>
      <c r="Q491">
        <f t="shared" si="980"/>
        <v>-164157.43697104679</v>
      </c>
      <c r="R491">
        <f t="shared" si="981"/>
        <v>-5517277.8299822425</v>
      </c>
      <c r="S491">
        <f t="shared" si="982"/>
        <v>-55.172778299822426</v>
      </c>
      <c r="T491">
        <f t="shared" si="983"/>
        <v>-5.5172778299822423E-2</v>
      </c>
    </row>
    <row r="492" spans="1:20" x14ac:dyDescent="0.25">
      <c r="A492" s="5">
        <v>44101</v>
      </c>
      <c r="B492">
        <v>6.216E-2</v>
      </c>
      <c r="C492">
        <v>6.361E-2</v>
      </c>
      <c r="D492">
        <v>6.0100000000000001E-2</v>
      </c>
      <c r="E492">
        <v>6.361E-2</v>
      </c>
      <c r="F492">
        <v>23175.3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1</v>
      </c>
      <c r="Q492">
        <f t="shared" si="980"/>
        <v>23175.3</v>
      </c>
      <c r="R492">
        <f t="shared" si="981"/>
        <v>-5353120.3930111956</v>
      </c>
      <c r="S492">
        <f t="shared" si="982"/>
        <v>-53.531203930111957</v>
      </c>
      <c r="T492">
        <f t="shared" si="983"/>
        <v>-5.3531203930111959E-2</v>
      </c>
    </row>
    <row r="493" spans="1:20" x14ac:dyDescent="0.25">
      <c r="A493" s="5">
        <v>44100</v>
      </c>
      <c r="B493">
        <v>6.3659999999999994E-2</v>
      </c>
      <c r="C493">
        <v>6.5540000000000001E-2</v>
      </c>
      <c r="D493">
        <v>6.0409999999999998E-2</v>
      </c>
      <c r="E493">
        <v>6.1850000000000002E-2</v>
      </c>
      <c r="F493">
        <v>322894.90000000002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-0.43859649122806899</v>
      </c>
      <c r="Q493">
        <f t="shared" si="980"/>
        <v>-141620.57017543822</v>
      </c>
      <c r="R493">
        <f t="shared" si="981"/>
        <v>-5376295.6930111954</v>
      </c>
      <c r="S493">
        <f t="shared" si="982"/>
        <v>-53.762956930111955</v>
      </c>
      <c r="T493">
        <f t="shared" si="983"/>
        <v>-5.3762956930111953E-2</v>
      </c>
    </row>
    <row r="494" spans="1:20" x14ac:dyDescent="0.25">
      <c r="A494" s="5">
        <v>44099</v>
      </c>
      <c r="B494">
        <v>6.3E-2</v>
      </c>
      <c r="C494">
        <v>6.6000000000000003E-2</v>
      </c>
      <c r="D494">
        <v>5.9540000000000003E-2</v>
      </c>
      <c r="E494">
        <v>6.4369999999999997E-2</v>
      </c>
      <c r="F494">
        <v>251036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0.49535603715170085</v>
      </c>
      <c r="Q494">
        <f t="shared" si="980"/>
        <v>124352.19814241437</v>
      </c>
      <c r="R494">
        <f t="shared" si="981"/>
        <v>-5234675.1228357572</v>
      </c>
      <c r="S494">
        <f t="shared" si="982"/>
        <v>-52.346751228357569</v>
      </c>
      <c r="T494">
        <f t="shared" si="983"/>
        <v>-5.2346751228357566E-2</v>
      </c>
    </row>
    <row r="495" spans="1:20" x14ac:dyDescent="0.25">
      <c r="A495" s="5">
        <v>44098</v>
      </c>
      <c r="B495">
        <v>6.1600000000000002E-2</v>
      </c>
      <c r="C495">
        <v>7.4550000000000005E-2</v>
      </c>
      <c r="D495">
        <v>6.0170000000000001E-2</v>
      </c>
      <c r="E495">
        <v>6.4839999999999995E-2</v>
      </c>
      <c r="F495">
        <v>500121.2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-0.3504867872044517</v>
      </c>
      <c r="Q495">
        <f t="shared" si="980"/>
        <v>-175285.87260083502</v>
      </c>
      <c r="R495">
        <f t="shared" si="981"/>
        <v>-5359027.3209781712</v>
      </c>
      <c r="S495">
        <f t="shared" si="982"/>
        <v>-53.590273209781714</v>
      </c>
      <c r="T495">
        <f t="shared" si="983"/>
        <v>-5.3590273209781714E-2</v>
      </c>
    </row>
    <row r="496" spans="1:20" x14ac:dyDescent="0.25">
      <c r="A496" s="5">
        <v>44097</v>
      </c>
      <c r="B496">
        <v>5.6120000000000003E-2</v>
      </c>
      <c r="C496">
        <v>7.4829999999999994E-2</v>
      </c>
      <c r="D496">
        <v>5.3249999999999999E-2</v>
      </c>
      <c r="E496">
        <v>6.25E-2</v>
      </c>
      <c r="F496">
        <v>641145.19999999995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-0.14272474513438338</v>
      </c>
      <c r="Q496">
        <f t="shared" si="980"/>
        <v>-91507.285264133257</v>
      </c>
      <c r="R496">
        <f t="shared" si="981"/>
        <v>-5183741.4483773364</v>
      </c>
      <c r="S496">
        <f t="shared" si="982"/>
        <v>-51.837414483773365</v>
      </c>
      <c r="T496">
        <f t="shared" si="983"/>
        <v>-5.1837414483773367E-2</v>
      </c>
    </row>
    <row r="497" spans="1:20" x14ac:dyDescent="0.25">
      <c r="A497" s="5">
        <v>44096</v>
      </c>
      <c r="B497">
        <v>5.8909999999999997E-2</v>
      </c>
      <c r="C497">
        <v>5.8909999999999997E-2</v>
      </c>
      <c r="D497">
        <v>5.423E-2</v>
      </c>
      <c r="E497">
        <v>5.5809999999999998E-2</v>
      </c>
      <c r="F497">
        <v>258005.2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-0.32478632478632513</v>
      </c>
      <c r="Q497">
        <f t="shared" si="980"/>
        <v>-83796.560683760777</v>
      </c>
      <c r="R497">
        <f t="shared" si="981"/>
        <v>-5092234.1631132029</v>
      </c>
      <c r="S497">
        <f t="shared" si="982"/>
        <v>-50.922341631132028</v>
      </c>
      <c r="T497">
        <f t="shared" si="983"/>
        <v>-5.0922341631132025E-2</v>
      </c>
    </row>
    <row r="498" spans="1:20" x14ac:dyDescent="0.25">
      <c r="A498" s="5">
        <v>44095</v>
      </c>
      <c r="B498">
        <v>6.7769999999999997E-2</v>
      </c>
      <c r="C498">
        <v>6.8989999999999996E-2</v>
      </c>
      <c r="D498">
        <v>5.8569999999999997E-2</v>
      </c>
      <c r="E498">
        <v>6.0100000000000001E-2</v>
      </c>
      <c r="F498">
        <v>132012.5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-0.70633397312859814</v>
      </c>
      <c r="Q498">
        <f t="shared" si="980"/>
        <v>-93244.913627639064</v>
      </c>
      <c r="R498">
        <f t="shared" si="981"/>
        <v>-5008437.6024294421</v>
      </c>
      <c r="S498">
        <f t="shared" si="982"/>
        <v>-50.084376024294421</v>
      </c>
      <c r="T498">
        <f t="shared" si="983"/>
        <v>-5.0084376024294421E-2</v>
      </c>
    </row>
    <row r="499" spans="1:20" x14ac:dyDescent="0.25">
      <c r="A499" s="5">
        <v>44094</v>
      </c>
      <c r="B499">
        <v>7.0849999999999996E-2</v>
      </c>
      <c r="C499">
        <v>7.4840000000000004E-2</v>
      </c>
      <c r="D499">
        <v>6.6420000000000007E-2</v>
      </c>
      <c r="E499">
        <v>6.8959999999999994E-2</v>
      </c>
      <c r="F499">
        <v>150487.9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-0.39667458432304331</v>
      </c>
      <c r="Q499">
        <f t="shared" si="980"/>
        <v>-59694.72517814771</v>
      </c>
      <c r="R499">
        <f t="shared" si="981"/>
        <v>-4915192.6888018027</v>
      </c>
      <c r="S499">
        <f t="shared" si="982"/>
        <v>-49.151926888018025</v>
      </c>
      <c r="T499">
        <f t="shared" si="983"/>
        <v>-4.9151926888018026E-2</v>
      </c>
    </row>
    <row r="500" spans="1:20" x14ac:dyDescent="0.25">
      <c r="A500" s="5">
        <v>44093</v>
      </c>
      <c r="B500">
        <v>6.2880000000000005E-2</v>
      </c>
      <c r="C500">
        <v>7.4980000000000005E-2</v>
      </c>
      <c r="D500">
        <v>6.2230000000000001E-2</v>
      </c>
      <c r="E500">
        <v>7.4859999999999996E-2</v>
      </c>
      <c r="F500">
        <v>624465.9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0.98117647058823387</v>
      </c>
      <c r="Q500">
        <f t="shared" si="980"/>
        <v>612711.24776470498</v>
      </c>
      <c r="R500">
        <f t="shared" si="981"/>
        <v>-4855497.963623655</v>
      </c>
      <c r="S500">
        <f t="shared" si="982"/>
        <v>-48.554979636236553</v>
      </c>
      <c r="T500">
        <f t="shared" si="983"/>
        <v>-4.8554979636236555E-2</v>
      </c>
    </row>
    <row r="501" spans="1:20" x14ac:dyDescent="0.25">
      <c r="A501" s="5">
        <v>44092</v>
      </c>
      <c r="B501">
        <v>5.8999999999999997E-2</v>
      </c>
      <c r="C501">
        <v>6.9959999999999994E-2</v>
      </c>
      <c r="D501">
        <v>5.7230000000000003E-2</v>
      </c>
      <c r="E501">
        <v>6.2850000000000003E-2</v>
      </c>
      <c r="F501">
        <v>1000568.5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-0.11704634721131126</v>
      </c>
      <c r="Q501">
        <f t="shared" si="980"/>
        <v>-117112.88805970088</v>
      </c>
      <c r="R501">
        <f t="shared" si="981"/>
        <v>-5468209.2113883598</v>
      </c>
      <c r="S501">
        <f t="shared" si="982"/>
        <v>-54.682092113883598</v>
      </c>
      <c r="T501">
        <f t="shared" si="983"/>
        <v>-5.4682092113883599E-2</v>
      </c>
    </row>
    <row r="502" spans="1:20" x14ac:dyDescent="0.25">
      <c r="A502" s="5">
        <v>44091</v>
      </c>
      <c r="B502">
        <v>6.7720000000000002E-2</v>
      </c>
      <c r="C502">
        <v>7.0000000000000007E-2</v>
      </c>
      <c r="D502">
        <v>5.8999999999999997E-2</v>
      </c>
      <c r="E502">
        <v>6.0170000000000001E-2</v>
      </c>
      <c r="F502">
        <v>360060.9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-0.78727272727272668</v>
      </c>
      <c r="Q502">
        <f t="shared" si="980"/>
        <v>-283466.12672727252</v>
      </c>
      <c r="R502">
        <f t="shared" si="981"/>
        <v>-5351096.3233286589</v>
      </c>
      <c r="S502">
        <f t="shared" si="982"/>
        <v>-53.510963233286589</v>
      </c>
      <c r="T502">
        <f t="shared" si="983"/>
        <v>-5.3510963233286586E-2</v>
      </c>
    </row>
    <row r="503" spans="1:20" x14ac:dyDescent="0.25">
      <c r="A503" s="5">
        <v>44090</v>
      </c>
      <c r="B503">
        <v>7.3690000000000005E-2</v>
      </c>
      <c r="C503">
        <v>7.3929999999999996E-2</v>
      </c>
      <c r="D503">
        <v>6.6320000000000004E-2</v>
      </c>
      <c r="E503">
        <v>6.8000000000000005E-2</v>
      </c>
      <c r="F503">
        <v>323501.5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-0.55847568988173379</v>
      </c>
      <c r="Q503">
        <f t="shared" si="980"/>
        <v>-180667.7233902757</v>
      </c>
      <c r="R503">
        <f t="shared" si="981"/>
        <v>-5067630.1966013862</v>
      </c>
      <c r="S503">
        <f t="shared" si="982"/>
        <v>-50.67630196601386</v>
      </c>
      <c r="T503">
        <f t="shared" si="983"/>
        <v>-5.0676301966013859E-2</v>
      </c>
    </row>
    <row r="504" spans="1:20" x14ac:dyDescent="0.25">
      <c r="A504" s="5">
        <v>44089</v>
      </c>
      <c r="B504">
        <v>7.689E-2</v>
      </c>
      <c r="C504">
        <v>0.08</v>
      </c>
      <c r="D504">
        <v>7.1999999999999995E-2</v>
      </c>
      <c r="E504">
        <v>7.3690000000000005E-2</v>
      </c>
      <c r="F504">
        <v>310186.2</v>
      </c>
      <c r="G504">
        <v>0</v>
      </c>
      <c r="L504" t="s">
        <v>8</v>
      </c>
      <c r="M504" t="s">
        <v>7</v>
      </c>
      <c r="N504" t="s">
        <v>8</v>
      </c>
      <c r="P504">
        <f t="shared" si="979"/>
        <v>-0.57749999999999768</v>
      </c>
      <c r="Q504">
        <f t="shared" si="980"/>
        <v>-179132.53049999929</v>
      </c>
      <c r="R504">
        <f t="shared" si="981"/>
        <v>-4886962.4732111106</v>
      </c>
      <c r="S504">
        <f t="shared" si="982"/>
        <v>-48.869624732111106</v>
      </c>
      <c r="T504">
        <f t="shared" si="983"/>
        <v>-4.8869624732111108E-2</v>
      </c>
    </row>
    <row r="505" spans="1:20" x14ac:dyDescent="0.25">
      <c r="A505" s="5">
        <v>44088</v>
      </c>
      <c r="B505">
        <v>7.3109999999999994E-2</v>
      </c>
      <c r="C505">
        <v>7.6950000000000005E-2</v>
      </c>
      <c r="D505">
        <v>7.1870000000000003E-2</v>
      </c>
      <c r="E505">
        <v>7.689E-2</v>
      </c>
      <c r="F505">
        <v>155562.79999999999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0.97637795275590378</v>
      </c>
      <c r="Q505">
        <f t="shared" si="980"/>
        <v>151888.08818897611</v>
      </c>
      <c r="R505">
        <f t="shared" si="981"/>
        <v>-4707829.9427111112</v>
      </c>
      <c r="S505">
        <f t="shared" si="982"/>
        <v>-47.078299427111112</v>
      </c>
      <c r="T505">
        <f t="shared" si="983"/>
        <v>-4.7078299427111114E-2</v>
      </c>
    </row>
    <row r="506" spans="1:20" x14ac:dyDescent="0.25">
      <c r="A506" s="5">
        <v>44087</v>
      </c>
      <c r="B506">
        <v>0.08</v>
      </c>
      <c r="C506">
        <v>8.1780000000000005E-2</v>
      </c>
      <c r="D506">
        <v>7.109E-2</v>
      </c>
      <c r="E506">
        <v>7.109E-2</v>
      </c>
      <c r="F506">
        <v>218593.9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-1</v>
      </c>
      <c r="Q506">
        <f t="shared" si="980"/>
        <v>-218593.9</v>
      </c>
      <c r="R506">
        <f t="shared" si="981"/>
        <v>-4859718.0309000872</v>
      </c>
      <c r="S506">
        <f t="shared" si="982"/>
        <v>-48.597180309000869</v>
      </c>
      <c r="T506">
        <f t="shared" si="983"/>
        <v>-4.859718030900087E-2</v>
      </c>
    </row>
    <row r="507" spans="1:20" x14ac:dyDescent="0.25">
      <c r="A507" s="5">
        <v>44086</v>
      </c>
      <c r="B507">
        <v>8.1739999999999993E-2</v>
      </c>
      <c r="C507">
        <v>8.4290000000000004E-2</v>
      </c>
      <c r="D507">
        <v>7.6660000000000006E-2</v>
      </c>
      <c r="E507">
        <v>7.9070000000000001E-2</v>
      </c>
      <c r="F507">
        <v>332291.5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-0.36828309305373624</v>
      </c>
      <c r="Q507">
        <f t="shared" si="980"/>
        <v>-122377.34141546559</v>
      </c>
      <c r="R507">
        <f t="shared" si="981"/>
        <v>-4641124.1309000868</v>
      </c>
      <c r="S507">
        <f t="shared" si="982"/>
        <v>-46.411241309000872</v>
      </c>
      <c r="T507">
        <f t="shared" si="983"/>
        <v>-4.6411241309000872E-2</v>
      </c>
    </row>
    <row r="508" spans="1:20" x14ac:dyDescent="0.25">
      <c r="A508" s="5">
        <v>44085</v>
      </c>
      <c r="B508">
        <v>8.3290000000000003E-2</v>
      </c>
      <c r="C508">
        <v>8.5819999999999994E-2</v>
      </c>
      <c r="D508">
        <v>7.6999999999999999E-2</v>
      </c>
      <c r="E508">
        <v>8.4269999999999998E-2</v>
      </c>
      <c r="F508">
        <v>237245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0.64852607709750643</v>
      </c>
      <c r="Q508">
        <f t="shared" si="980"/>
        <v>153859.56916099793</v>
      </c>
      <c r="R508">
        <f t="shared" si="981"/>
        <v>-4518746.789484621</v>
      </c>
      <c r="S508">
        <f t="shared" si="982"/>
        <v>-45.187467894846208</v>
      </c>
      <c r="T508">
        <f t="shared" si="983"/>
        <v>-4.5187467894846206E-2</v>
      </c>
    </row>
    <row r="509" spans="1:20" x14ac:dyDescent="0.25">
      <c r="A509" s="5">
        <v>44084</v>
      </c>
      <c r="B509">
        <v>8.3570000000000005E-2</v>
      </c>
      <c r="C509">
        <v>9.1689999999999994E-2</v>
      </c>
      <c r="D509">
        <v>8.2100000000000006E-2</v>
      </c>
      <c r="E509">
        <v>8.2909999999999998E-2</v>
      </c>
      <c r="F509">
        <v>202726.5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-0.83107403545359915</v>
      </c>
      <c r="Q509">
        <f t="shared" si="980"/>
        <v>-168480.73044838407</v>
      </c>
      <c r="R509">
        <f t="shared" si="981"/>
        <v>-4672606.3586456189</v>
      </c>
      <c r="S509">
        <f t="shared" si="982"/>
        <v>-46.726063586456192</v>
      </c>
      <c r="T509">
        <f t="shared" si="983"/>
        <v>-4.6726063586456194E-2</v>
      </c>
    </row>
    <row r="510" spans="1:20" x14ac:dyDescent="0.25">
      <c r="A510" s="5">
        <v>44083</v>
      </c>
      <c r="B510">
        <v>7.9960000000000003E-2</v>
      </c>
      <c r="C510">
        <v>8.5000000000000006E-2</v>
      </c>
      <c r="D510">
        <v>7.8030000000000002E-2</v>
      </c>
      <c r="E510">
        <v>8.2930000000000004E-2</v>
      </c>
      <c r="F510">
        <v>179229.4</v>
      </c>
      <c r="G510">
        <v>0</v>
      </c>
      <c r="L510" t="s">
        <v>7</v>
      </c>
      <c r="M510" t="s">
        <v>7</v>
      </c>
      <c r="N510" t="s">
        <v>8</v>
      </c>
      <c r="P510">
        <f t="shared" si="979"/>
        <v>0.40602582496413164</v>
      </c>
      <c r="Q510">
        <f t="shared" si="980"/>
        <v>72771.764992826327</v>
      </c>
      <c r="R510">
        <f t="shared" si="981"/>
        <v>-4504125.6281972351</v>
      </c>
      <c r="S510">
        <f t="shared" si="982"/>
        <v>-45.041256281972352</v>
      </c>
      <c r="T510">
        <f t="shared" si="983"/>
        <v>-4.504125628197235E-2</v>
      </c>
    </row>
    <row r="511" spans="1:20" x14ac:dyDescent="0.25">
      <c r="A511" s="5">
        <v>44082</v>
      </c>
      <c r="B511">
        <v>8.5750000000000007E-2</v>
      </c>
      <c r="C511">
        <v>9.894E-2</v>
      </c>
      <c r="D511">
        <v>7.6499999999999999E-2</v>
      </c>
      <c r="E511">
        <v>0.08</v>
      </c>
      <c r="F511">
        <v>313381</v>
      </c>
      <c r="G511">
        <v>0</v>
      </c>
      <c r="L511" t="s">
        <v>8</v>
      </c>
      <c r="M511" t="s">
        <v>7</v>
      </c>
      <c r="N511" t="s">
        <v>8</v>
      </c>
      <c r="P511">
        <f t="shared" si="979"/>
        <v>-0.68805704099821718</v>
      </c>
      <c r="Q511">
        <f t="shared" si="980"/>
        <v>-215624.0035650623</v>
      </c>
      <c r="R511">
        <f t="shared" si="981"/>
        <v>-4576897.3931900617</v>
      </c>
      <c r="S511">
        <f t="shared" si="982"/>
        <v>-45.768973931900618</v>
      </c>
      <c r="T511">
        <f t="shared" si="983"/>
        <v>-4.5768973931900617E-2</v>
      </c>
    </row>
    <row r="512" spans="1:20" x14ac:dyDescent="0.25">
      <c r="A512" s="5">
        <v>44081</v>
      </c>
      <c r="B512">
        <v>8.1460000000000005E-2</v>
      </c>
      <c r="C512">
        <v>9.8229999999999998E-2</v>
      </c>
      <c r="D512">
        <v>7.6200000000000004E-2</v>
      </c>
      <c r="E512">
        <v>8.5769999999999999E-2</v>
      </c>
      <c r="F512">
        <v>660613.6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-0.13118474807081273</v>
      </c>
      <c r="Q512">
        <f t="shared" si="980"/>
        <v>-86662.42868815265</v>
      </c>
      <c r="R512">
        <f t="shared" si="981"/>
        <v>-4361273.3896249989</v>
      </c>
      <c r="S512">
        <f t="shared" si="982"/>
        <v>-43.612733896249992</v>
      </c>
      <c r="T512">
        <f t="shared" si="983"/>
        <v>-4.3612733896249992E-2</v>
      </c>
    </row>
    <row r="513" spans="1:20" x14ac:dyDescent="0.25">
      <c r="A513" s="5">
        <v>44080</v>
      </c>
      <c r="B513">
        <v>8.5110000000000005E-2</v>
      </c>
      <c r="C513">
        <v>0.09</v>
      </c>
      <c r="D513">
        <v>6.3810000000000006E-2</v>
      </c>
      <c r="E513">
        <v>8.14E-2</v>
      </c>
      <c r="F513">
        <v>478468.8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0.34326078655975567</v>
      </c>
      <c r="Q513">
        <f t="shared" si="980"/>
        <v>164239.57663230243</v>
      </c>
      <c r="R513">
        <f t="shared" si="981"/>
        <v>-4274610.9609368462</v>
      </c>
      <c r="S513">
        <f t="shared" si="982"/>
        <v>-42.74610960936846</v>
      </c>
      <c r="T513">
        <f t="shared" si="983"/>
        <v>-4.2746109609368463E-2</v>
      </c>
    </row>
    <row r="514" spans="1:20" x14ac:dyDescent="0.25">
      <c r="A514" s="5">
        <v>44079</v>
      </c>
      <c r="B514">
        <v>8.7970000000000007E-2</v>
      </c>
      <c r="C514">
        <v>9.6180000000000002E-2</v>
      </c>
      <c r="D514">
        <v>7.2969999999999993E-2</v>
      </c>
      <c r="E514">
        <v>8.5000000000000006E-2</v>
      </c>
      <c r="F514">
        <v>395866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3.6622145626885698E-2</v>
      </c>
      <c r="Q514">
        <f t="shared" si="980"/>
        <v>14497.462300732734</v>
      </c>
      <c r="R514">
        <f t="shared" si="981"/>
        <v>-4438850.5375691485</v>
      </c>
      <c r="S514">
        <f t="shared" si="982"/>
        <v>-44.388505375691487</v>
      </c>
      <c r="T514">
        <f t="shared" si="983"/>
        <v>-4.4388505375691487E-2</v>
      </c>
    </row>
    <row r="515" spans="1:20" x14ac:dyDescent="0.25">
      <c r="A515" s="5">
        <v>44078</v>
      </c>
      <c r="B515">
        <v>8.5059999999999997E-2</v>
      </c>
      <c r="C515">
        <v>0.1125</v>
      </c>
      <c r="D515">
        <v>7.6969999999999997E-2</v>
      </c>
      <c r="E515">
        <v>8.7970000000000007E-2</v>
      </c>
      <c r="F515">
        <v>506116.4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-0.38080495356037108</v>
      </c>
      <c r="Q515">
        <f t="shared" si="980"/>
        <v>-192731.63219814221</v>
      </c>
      <c r="R515">
        <f t="shared" si="981"/>
        <v>-4453347.9998698812</v>
      </c>
      <c r="S515">
        <f t="shared" si="982"/>
        <v>-44.533479998698809</v>
      </c>
      <c r="T515">
        <f t="shared" si="983"/>
        <v>-4.4533479998698812E-2</v>
      </c>
    </row>
    <row r="516" spans="1:20" x14ac:dyDescent="0.25">
      <c r="A516" s="5">
        <v>44077</v>
      </c>
      <c r="B516">
        <v>0.10656</v>
      </c>
      <c r="C516">
        <v>0.10732999999999999</v>
      </c>
      <c r="D516">
        <v>8.4889999999999993E-2</v>
      </c>
      <c r="E516">
        <v>9.1850000000000001E-2</v>
      </c>
      <c r="F516">
        <v>552518.40000000002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-0.37967914438502609</v>
      </c>
      <c r="Q516">
        <f t="shared" si="980"/>
        <v>-209779.71336898362</v>
      </c>
      <c r="R516">
        <f t="shared" si="981"/>
        <v>-4260616.3676717393</v>
      </c>
      <c r="S516">
        <f t="shared" si="982"/>
        <v>-42.606163676717394</v>
      </c>
      <c r="T516">
        <f t="shared" si="983"/>
        <v>-4.2606163676717393E-2</v>
      </c>
    </row>
    <row r="517" spans="1:20" x14ac:dyDescent="0.25">
      <c r="A517" s="5">
        <v>44076</v>
      </c>
      <c r="B517">
        <v>0.11433</v>
      </c>
      <c r="C517">
        <v>0.11765</v>
      </c>
      <c r="D517">
        <v>9.6170000000000005E-2</v>
      </c>
      <c r="E517">
        <v>0.10616</v>
      </c>
      <c r="F517">
        <v>751778.5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-6.9832402234636937E-2</v>
      </c>
      <c r="Q517">
        <f t="shared" si="980"/>
        <v>-52498.498603352004</v>
      </c>
      <c r="R517">
        <f t="shared" si="981"/>
        <v>-4050836.6543027554</v>
      </c>
      <c r="S517">
        <f t="shared" si="982"/>
        <v>-40.508366543027556</v>
      </c>
      <c r="T517">
        <f t="shared" si="983"/>
        <v>-4.0508366543027557E-2</v>
      </c>
    </row>
    <row r="518" spans="1:20" x14ac:dyDescent="0.25">
      <c r="A518" s="5">
        <v>44075</v>
      </c>
      <c r="B518">
        <v>0.12790000000000001</v>
      </c>
      <c r="C518">
        <v>0.13500999999999999</v>
      </c>
      <c r="D518">
        <v>0.11201999999999999</v>
      </c>
      <c r="E518">
        <v>0.11670999999999999</v>
      </c>
      <c r="F518">
        <v>680412.9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-0.59199652022618521</v>
      </c>
      <c r="Q518">
        <f t="shared" ref="Q518:Q581" si="985">F518*P518</f>
        <v>-402802.06911700737</v>
      </c>
      <c r="R518">
        <f t="shared" ref="R518:R581" si="986">R519+Q518</f>
        <v>-3998338.1556994035</v>
      </c>
      <c r="S518">
        <f t="shared" ref="S518:S581" si="987">R518/100000</f>
        <v>-39.983381556994033</v>
      </c>
      <c r="T518">
        <f t="shared" ref="T518:T581" si="988">S518/1000</f>
        <v>-3.9983381556994033E-2</v>
      </c>
    </row>
    <row r="519" spans="1:20" x14ac:dyDescent="0.25">
      <c r="A519" s="5">
        <v>44074</v>
      </c>
      <c r="B519">
        <v>0.12182</v>
      </c>
      <c r="C519">
        <v>0.13739000000000001</v>
      </c>
      <c r="D519">
        <v>0.115</v>
      </c>
      <c r="E519">
        <v>0.12740000000000001</v>
      </c>
      <c r="F519">
        <v>622381.9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0.10763733809736528</v>
      </c>
      <c r="Q519">
        <f t="shared" si="985"/>
        <v>66991.530995980589</v>
      </c>
      <c r="R519">
        <f t="shared" si="986"/>
        <v>-3595536.0865823962</v>
      </c>
      <c r="S519">
        <f t="shared" si="987"/>
        <v>-35.955360865823963</v>
      </c>
      <c r="T519">
        <f t="shared" si="988"/>
        <v>-3.595536086582396E-2</v>
      </c>
    </row>
    <row r="520" spans="1:20" x14ac:dyDescent="0.25">
      <c r="A520" s="5">
        <v>44073</v>
      </c>
      <c r="B520">
        <v>0.12038</v>
      </c>
      <c r="C520">
        <v>0.13617000000000001</v>
      </c>
      <c r="D520">
        <v>0.11597</v>
      </c>
      <c r="E520">
        <v>0.12148</v>
      </c>
      <c r="F520">
        <v>614827.80000000005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-0.45445544554455464</v>
      </c>
      <c r="Q520">
        <f t="shared" si="985"/>
        <v>-279411.84178217832</v>
      </c>
      <c r="R520">
        <f t="shared" si="986"/>
        <v>-3662527.6175783766</v>
      </c>
      <c r="S520">
        <f t="shared" si="987"/>
        <v>-36.625276175783767</v>
      </c>
      <c r="T520">
        <f t="shared" si="988"/>
        <v>-3.6625276175783768E-2</v>
      </c>
    </row>
    <row r="521" spans="1:20" x14ac:dyDescent="0.25">
      <c r="A521" s="5">
        <v>44072</v>
      </c>
      <c r="B521">
        <v>0.11931</v>
      </c>
      <c r="C521">
        <v>0.1318</v>
      </c>
      <c r="D521">
        <v>0.10821</v>
      </c>
      <c r="E521">
        <v>0.12018</v>
      </c>
      <c r="F521">
        <v>696105.6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1.4836795252225062E-2</v>
      </c>
      <c r="Q521">
        <f t="shared" si="985"/>
        <v>10327.976261127278</v>
      </c>
      <c r="R521">
        <f t="shared" si="986"/>
        <v>-3383115.7757961983</v>
      </c>
      <c r="S521">
        <f t="shared" si="987"/>
        <v>-33.831157757961982</v>
      </c>
      <c r="T521">
        <f t="shared" si="988"/>
        <v>-3.3831157757961985E-2</v>
      </c>
    </row>
    <row r="522" spans="1:20" x14ac:dyDescent="0.25">
      <c r="A522" s="5">
        <v>44071</v>
      </c>
      <c r="B522">
        <v>0.10621</v>
      </c>
      <c r="C522">
        <v>0.14399999999999999</v>
      </c>
      <c r="D522">
        <v>0.10621</v>
      </c>
      <c r="E522">
        <v>0.11938</v>
      </c>
      <c r="F522">
        <v>1552437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-0.302990209050013</v>
      </c>
      <c r="Q522">
        <f t="shared" si="985"/>
        <v>-470373.21116697503</v>
      </c>
      <c r="R522">
        <f t="shared" si="986"/>
        <v>-3393443.7520573256</v>
      </c>
      <c r="S522">
        <f t="shared" si="987"/>
        <v>-33.934437520573255</v>
      </c>
      <c r="T522">
        <f t="shared" si="988"/>
        <v>-3.3934437520573256E-2</v>
      </c>
    </row>
    <row r="523" spans="1:20" x14ac:dyDescent="0.25">
      <c r="A523" s="5">
        <v>44070</v>
      </c>
      <c r="B523">
        <v>9.9349999999999994E-2</v>
      </c>
      <c r="C523">
        <v>0.11647</v>
      </c>
      <c r="D523">
        <v>9.5000000000000001E-2</v>
      </c>
      <c r="E523">
        <v>0.11117</v>
      </c>
      <c r="F523">
        <v>1257926</v>
      </c>
      <c r="G523">
        <v>0</v>
      </c>
      <c r="L523" t="s">
        <v>8</v>
      </c>
      <c r="M523" t="s">
        <v>8</v>
      </c>
      <c r="N523" t="s">
        <v>7</v>
      </c>
      <c r="P523">
        <f t="shared" si="984"/>
        <v>0.50628784350256184</v>
      </c>
      <c r="Q523">
        <f t="shared" si="985"/>
        <v>636872.64182580356</v>
      </c>
      <c r="R523">
        <f t="shared" si="986"/>
        <v>-2923070.5408903505</v>
      </c>
      <c r="S523">
        <f t="shared" si="987"/>
        <v>-29.230705408903503</v>
      </c>
      <c r="T523">
        <f t="shared" si="988"/>
        <v>-2.9230705408903504E-2</v>
      </c>
    </row>
    <row r="524" spans="1:20" x14ac:dyDescent="0.25">
      <c r="A524" s="5">
        <v>44069</v>
      </c>
      <c r="B524">
        <v>9.2999999999999999E-2</v>
      </c>
      <c r="C524">
        <v>0.1</v>
      </c>
      <c r="D524">
        <v>8.9590000000000003E-2</v>
      </c>
      <c r="E524">
        <v>9.7790000000000002E-2</v>
      </c>
      <c r="F524">
        <v>810928.8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0.57540826128722322</v>
      </c>
      <c r="Q524">
        <f t="shared" si="985"/>
        <v>466615.13083573442</v>
      </c>
      <c r="R524">
        <f t="shared" si="986"/>
        <v>-3559943.182716154</v>
      </c>
      <c r="S524">
        <f t="shared" si="987"/>
        <v>-35.599431827161538</v>
      </c>
      <c r="T524">
        <f t="shared" si="988"/>
        <v>-3.5599431827161541E-2</v>
      </c>
    </row>
    <row r="525" spans="1:20" x14ac:dyDescent="0.25">
      <c r="A525" s="5">
        <v>44068</v>
      </c>
      <c r="B525">
        <v>0.10763</v>
      </c>
      <c r="C525">
        <v>0.11164</v>
      </c>
      <c r="D525">
        <v>8.4610000000000005E-2</v>
      </c>
      <c r="E525">
        <v>9.3670000000000003E-2</v>
      </c>
      <c r="F525">
        <v>1021258.3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-0.32963374028856834</v>
      </c>
      <c r="Q525">
        <f t="shared" si="985"/>
        <v>-336641.19322974485</v>
      </c>
      <c r="R525">
        <f t="shared" si="986"/>
        <v>-4026558.3135518883</v>
      </c>
      <c r="S525">
        <f t="shared" si="987"/>
        <v>-40.265583135518881</v>
      </c>
      <c r="T525">
        <f t="shared" si="988"/>
        <v>-4.0265583135518881E-2</v>
      </c>
    </row>
    <row r="526" spans="1:20" x14ac:dyDescent="0.25">
      <c r="A526" s="5">
        <v>44067</v>
      </c>
      <c r="B526">
        <v>0.11119</v>
      </c>
      <c r="C526">
        <v>0.11647</v>
      </c>
      <c r="D526">
        <v>0.104</v>
      </c>
      <c r="E526">
        <v>0.10889</v>
      </c>
      <c r="F526">
        <v>839633.4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-0.21571772253408147</v>
      </c>
      <c r="Q526">
        <f t="shared" si="985"/>
        <v>-181123.80481154745</v>
      </c>
      <c r="R526">
        <f t="shared" si="986"/>
        <v>-3689917.1203221437</v>
      </c>
      <c r="S526">
        <f t="shared" si="987"/>
        <v>-36.899171203221435</v>
      </c>
      <c r="T526">
        <f t="shared" si="988"/>
        <v>-3.6899171203221434E-2</v>
      </c>
    </row>
    <row r="527" spans="1:20" x14ac:dyDescent="0.25">
      <c r="A527" s="5">
        <v>44066</v>
      </c>
      <c r="B527">
        <v>0.12239999999999999</v>
      </c>
      <c r="C527">
        <v>0.14499999999999999</v>
      </c>
      <c r="D527">
        <v>0.104</v>
      </c>
      <c r="E527">
        <v>0.11563</v>
      </c>
      <c r="F527">
        <v>2307538.2999999998</v>
      </c>
      <c r="G527">
        <v>0</v>
      </c>
      <c r="L527" t="s">
        <v>7</v>
      </c>
      <c r="M527" t="s">
        <v>7</v>
      </c>
      <c r="N527" t="s">
        <v>7</v>
      </c>
      <c r="P527">
        <f t="shared" si="984"/>
        <v>-0.43268292682926818</v>
      </c>
      <c r="Q527">
        <f t="shared" si="985"/>
        <v>-998432.42541463382</v>
      </c>
      <c r="R527">
        <f t="shared" si="986"/>
        <v>-3508793.3155105961</v>
      </c>
      <c r="S527">
        <f t="shared" si="987"/>
        <v>-35.087933155105965</v>
      </c>
      <c r="T527">
        <f t="shared" si="988"/>
        <v>-3.5087933155105965E-2</v>
      </c>
    </row>
    <row r="528" spans="1:20" x14ac:dyDescent="0.25">
      <c r="A528" s="5">
        <v>44065</v>
      </c>
      <c r="B528">
        <v>9.0999999999999998E-2</v>
      </c>
      <c r="C528">
        <v>0.17541000000000001</v>
      </c>
      <c r="D528">
        <v>9.0999999999999998E-2</v>
      </c>
      <c r="E528">
        <v>0.12239999999999999</v>
      </c>
      <c r="F528">
        <v>9805625.3000000007</v>
      </c>
      <c r="G528">
        <v>0</v>
      </c>
      <c r="P528">
        <f t="shared" si="984"/>
        <v>-0.25601232081506947</v>
      </c>
      <c r="Q528">
        <f t="shared" si="985"/>
        <v>-2510360.8900959622</v>
      </c>
      <c r="R528">
        <f t="shared" si="986"/>
        <v>-2510360.8900959622</v>
      </c>
      <c r="S528">
        <f t="shared" si="987"/>
        <v>-25.103608900959621</v>
      </c>
      <c r="T528">
        <f t="shared" si="988"/>
        <v>-2.5103608900959622E-2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X696" sqref="JX69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$A$695</v>
      </c>
      <c r="D111" s="1" t="str">
        <f>ADDRESS(C121-1,D121,1,1)</f>
        <v>$JX$695</v>
      </c>
      <c r="E111"/>
    </row>
    <row r="112" spans="1:5" x14ac:dyDescent="0.25">
      <c r="A112" s="7">
        <v>12164.144957890772</v>
      </c>
      <c r="C112" s="1" t="str">
        <f>ADDRESS(C121,1,1,1)</f>
        <v>$A$696</v>
      </c>
      <c r="D112" s="1" t="str">
        <f>ADDRESS(C121,D121-1,1,1)</f>
        <v>$JW$696</v>
      </c>
      <c r="E112"/>
    </row>
    <row r="113" spans="1:5" x14ac:dyDescent="0.25">
      <c r="A113" s="7">
        <v>11925.63231165762</v>
      </c>
      <c r="C113" s="1" t="str">
        <f>ADDRESS(C121+1,1,1,1)</f>
        <v>$A$697</v>
      </c>
      <c r="D113" s="1" t="str">
        <f>ADDRESS(C121-1,D121+1,1,1)</f>
        <v>$JY$695</v>
      </c>
    </row>
    <row r="114" spans="1:5" x14ac:dyDescent="0.25">
      <c r="A114" s="7">
        <v>11691.796383978059</v>
      </c>
      <c r="C114" s="1" t="str">
        <f>ADDRESS(C121,D121,1,1)</f>
        <v>$JX$696</v>
      </c>
      <c r="D114" s="1" t="str">
        <f>ADDRESS(C121+1,D121+1,1,1)</f>
        <v>$JY$697</v>
      </c>
    </row>
    <row r="115" spans="1:5" x14ac:dyDescent="0.25">
      <c r="A115" s="7">
        <v>11462.545474488292</v>
      </c>
      <c r="C115" s="1" t="str">
        <f>ADDRESS(C121+1,D121,1,1)</f>
        <v>$JX$697</v>
      </c>
    </row>
    <row r="116" spans="1:5" x14ac:dyDescent="0.25">
      <c r="A116" s="7">
        <v>11237.789680870874</v>
      </c>
      <c r="C116" s="1">
        <f>C117-1</f>
        <v>695</v>
      </c>
    </row>
    <row r="117" spans="1:5" x14ac:dyDescent="0.25">
      <c r="A117" s="7">
        <v>11017.440863598895</v>
      </c>
      <c r="C117" s="1">
        <f>C121</f>
        <v>696</v>
      </c>
      <c r="D117" s="1">
        <f>D121</f>
        <v>284</v>
      </c>
    </row>
    <row r="118" spans="1:5" x14ac:dyDescent="0.25">
      <c r="A118" s="7">
        <v>10801.412611371465</v>
      </c>
      <c r="C118" s="1">
        <f>C117+1</f>
        <v>697</v>
      </c>
      <c r="D118" s="1">
        <f>D117+1</f>
        <v>285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696</v>
      </c>
      <c r="D121" s="19">
        <v>284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R696</v>
      </c>
      <c r="D123" s="1" t="str">
        <f>"C"&amp;D121</f>
        <v>C284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0.11549981216674166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220" x14ac:dyDescent="0.25">
      <c r="A561" s="7">
        <v>1.6734181143540252</v>
      </c>
      <c r="B561"/>
      <c r="C561"/>
      <c r="D561"/>
      <c r="E561"/>
      <c r="HK561" s="27" t="s">
        <v>8</v>
      </c>
    </row>
    <row r="562" spans="1:220" x14ac:dyDescent="0.25">
      <c r="A562" s="7">
        <v>1.6406059944647307</v>
      </c>
      <c r="B562"/>
      <c r="C562"/>
      <c r="D562"/>
      <c r="E562"/>
      <c r="HK562" s="27" t="s">
        <v>8</v>
      </c>
      <c r="HL562" s="27" t="s">
        <v>7</v>
      </c>
    </row>
    <row r="563" spans="1:220" x14ac:dyDescent="0.25">
      <c r="A563" s="7">
        <v>1.6084372494752261</v>
      </c>
      <c r="B563"/>
      <c r="C563"/>
      <c r="D563"/>
      <c r="E563"/>
      <c r="HK563" s="27" t="s">
        <v>8</v>
      </c>
      <c r="HL563" s="27" t="s">
        <v>7</v>
      </c>
    </row>
    <row r="564" spans="1:220" x14ac:dyDescent="0.25">
      <c r="A564" s="7">
        <v>1.5768992641913981</v>
      </c>
      <c r="B564"/>
      <c r="C564"/>
      <c r="D564"/>
      <c r="E564"/>
      <c r="HK564" s="27" t="s">
        <v>8</v>
      </c>
      <c r="HL564" s="27" t="s">
        <v>7</v>
      </c>
    </row>
    <row r="565" spans="1:220" x14ac:dyDescent="0.25">
      <c r="A565" s="7">
        <v>1.5459796707758806</v>
      </c>
      <c r="B565"/>
      <c r="C565"/>
      <c r="D565"/>
      <c r="E565"/>
      <c r="HK565" s="27" t="s">
        <v>8</v>
      </c>
      <c r="HL565" s="27" t="s">
        <v>7</v>
      </c>
    </row>
    <row r="566" spans="1:220" x14ac:dyDescent="0.25">
      <c r="A566" s="7">
        <v>1.5156663438979221</v>
      </c>
      <c r="B566"/>
      <c r="C566"/>
      <c r="D566"/>
      <c r="E566"/>
      <c r="HK566" s="27" t="s">
        <v>8</v>
      </c>
      <c r="HL566" s="27" t="s">
        <v>7</v>
      </c>
    </row>
    <row r="567" spans="1:220" x14ac:dyDescent="0.25">
      <c r="A567" s="7">
        <v>1.4859473959783549</v>
      </c>
      <c r="B567"/>
      <c r="C567"/>
      <c r="D567"/>
      <c r="E567"/>
      <c r="HK567" s="27" t="s">
        <v>8</v>
      </c>
      <c r="HL567" s="27" t="s">
        <v>7</v>
      </c>
    </row>
    <row r="568" spans="1:220" x14ac:dyDescent="0.25">
      <c r="A568" s="7">
        <v>1.4568111725277988</v>
      </c>
      <c r="B568"/>
      <c r="C568"/>
      <c r="D568"/>
      <c r="E568"/>
      <c r="HK568" s="27" t="s">
        <v>8</v>
      </c>
      <c r="HL568" s="27" t="s">
        <v>7</v>
      </c>
    </row>
    <row r="569" spans="1:220" x14ac:dyDescent="0.25">
      <c r="A569" s="7">
        <v>1.4282462475762734</v>
      </c>
      <c r="B569"/>
      <c r="C569"/>
      <c r="D569"/>
      <c r="E569"/>
      <c r="HK569" s="27" t="s">
        <v>8</v>
      </c>
      <c r="HL569" s="27" t="s">
        <v>7</v>
      </c>
    </row>
    <row r="570" spans="1:220" x14ac:dyDescent="0.25">
      <c r="A570" s="7">
        <v>1.4002414191924248</v>
      </c>
      <c r="B570"/>
      <c r="C570"/>
      <c r="D570"/>
      <c r="E570"/>
      <c r="HK570" s="27" t="s">
        <v>8</v>
      </c>
      <c r="HL570" s="27" t="s">
        <v>7</v>
      </c>
    </row>
    <row r="571" spans="1:220" x14ac:dyDescent="0.25">
      <c r="A571" s="7">
        <v>1.3727857050906125</v>
      </c>
      <c r="B571"/>
      <c r="C571"/>
      <c r="D571"/>
      <c r="E571"/>
      <c r="HK571" s="27" t="s">
        <v>8</v>
      </c>
      <c r="HL571" s="27" t="s">
        <v>7</v>
      </c>
    </row>
    <row r="572" spans="1:220" x14ac:dyDescent="0.25">
      <c r="A572" s="7">
        <v>1.3458683383241299</v>
      </c>
      <c r="B572"/>
      <c r="C572"/>
      <c r="D572"/>
      <c r="E572"/>
      <c r="HK572" s="27" t="s">
        <v>8</v>
      </c>
      <c r="HL572" s="27" t="s">
        <v>7</v>
      </c>
    </row>
    <row r="573" spans="1:220" x14ac:dyDescent="0.25">
      <c r="A573" s="7">
        <v>1.3194787630628724</v>
      </c>
      <c r="B573"/>
      <c r="C573"/>
      <c r="D573"/>
      <c r="E573"/>
      <c r="HK573" s="27" t="s">
        <v>8</v>
      </c>
      <c r="HL573" s="27" t="s">
        <v>7</v>
      </c>
    </row>
    <row r="574" spans="1:220" x14ac:dyDescent="0.25">
      <c r="A574" s="7">
        <v>1.2936066304537963</v>
      </c>
      <c r="B574"/>
      <c r="C574"/>
      <c r="D574"/>
      <c r="E574"/>
      <c r="HK574" s="27" t="s">
        <v>8</v>
      </c>
      <c r="HL574" s="27" t="s">
        <v>7</v>
      </c>
    </row>
    <row r="575" spans="1:220" x14ac:dyDescent="0.25">
      <c r="A575" s="7">
        <v>1.2682417945625455</v>
      </c>
      <c r="B575"/>
      <c r="C575"/>
      <c r="D575"/>
      <c r="E575"/>
      <c r="HK575" s="27" t="s">
        <v>8</v>
      </c>
      <c r="HL575" s="27" t="s">
        <v>7</v>
      </c>
    </row>
    <row r="576" spans="1:220" x14ac:dyDescent="0.25">
      <c r="A576" s="7">
        <v>1.2433743083946525</v>
      </c>
      <c r="B576"/>
      <c r="C576"/>
      <c r="D576"/>
      <c r="E576"/>
      <c r="HK576" s="27" t="s">
        <v>8</v>
      </c>
      <c r="HL576" s="27" t="s">
        <v>7</v>
      </c>
    </row>
    <row r="577" spans="1:220" x14ac:dyDescent="0.25">
      <c r="A577" s="7">
        <v>1.2189944199947573</v>
      </c>
      <c r="B577"/>
      <c r="C577"/>
      <c r="D577"/>
      <c r="E577"/>
      <c r="HK577" s="27" t="s">
        <v>8</v>
      </c>
      <c r="HL577" s="27" t="s">
        <v>7</v>
      </c>
    </row>
    <row r="578" spans="1:220" x14ac:dyDescent="0.25">
      <c r="A578" s="7">
        <v>1.1950925686223111</v>
      </c>
      <c r="B578"/>
      <c r="C578"/>
      <c r="D578"/>
      <c r="E578"/>
      <c r="HK578" s="27" t="s">
        <v>8</v>
      </c>
      <c r="HL578" s="27" t="s">
        <v>7</v>
      </c>
    </row>
    <row r="579" spans="1:220" x14ac:dyDescent="0.25">
      <c r="A579" s="7">
        <v>1.1716593810022657</v>
      </c>
      <c r="B579"/>
      <c r="C579"/>
      <c r="D579"/>
      <c r="E579"/>
      <c r="HK579" s="27" t="s">
        <v>8</v>
      </c>
      <c r="HL579" s="27" t="s">
        <v>7</v>
      </c>
    </row>
    <row r="580" spans="1:220" x14ac:dyDescent="0.25">
      <c r="A580" s="7">
        <v>1.14868566764928</v>
      </c>
      <c r="B580"/>
      <c r="C580"/>
      <c r="D580"/>
      <c r="E580"/>
      <c r="HK580" s="27" t="s">
        <v>8</v>
      </c>
      <c r="HL580" s="27" t="s">
        <v>7</v>
      </c>
    </row>
    <row r="581" spans="1:220" x14ac:dyDescent="0.25">
      <c r="A581" s="7">
        <v>1.1261624192640001</v>
      </c>
      <c r="B581"/>
      <c r="C581"/>
      <c r="D581"/>
      <c r="E581"/>
      <c r="HK581" s="27" t="s">
        <v>8</v>
      </c>
      <c r="HL581" s="27" t="s">
        <v>7</v>
      </c>
    </row>
    <row r="582" spans="1:220" x14ac:dyDescent="0.25">
      <c r="A582" s="7">
        <v>1.1040808032</v>
      </c>
      <c r="B582"/>
      <c r="C582"/>
      <c r="D582"/>
      <c r="E582"/>
      <c r="HK582" s="27" t="s">
        <v>8</v>
      </c>
      <c r="HL582" s="27" t="s">
        <v>7</v>
      </c>
    </row>
    <row r="583" spans="1:220" x14ac:dyDescent="0.25">
      <c r="A583" s="7">
        <v>1.08243216</v>
      </c>
      <c r="B583"/>
      <c r="C583"/>
      <c r="D583"/>
      <c r="E583"/>
      <c r="HK583" s="27" t="s">
        <v>8</v>
      </c>
      <c r="HL583" s="27" t="s">
        <v>7</v>
      </c>
    </row>
    <row r="584" spans="1:220" x14ac:dyDescent="0.25">
      <c r="A584" s="7">
        <v>1.0612079999999999</v>
      </c>
      <c r="B584"/>
      <c r="C584"/>
      <c r="D584"/>
      <c r="E584"/>
      <c r="HK584" s="27" t="s">
        <v>8</v>
      </c>
      <c r="HL584" s="27" t="s">
        <v>7</v>
      </c>
    </row>
    <row r="585" spans="1:220" x14ac:dyDescent="0.25">
      <c r="A585" s="7">
        <v>1.0404</v>
      </c>
      <c r="B585"/>
      <c r="C585"/>
      <c r="D585"/>
      <c r="E585"/>
      <c r="HK585" s="27" t="s">
        <v>8</v>
      </c>
      <c r="HL585" s="27" t="s">
        <v>7</v>
      </c>
    </row>
    <row r="586" spans="1:220" x14ac:dyDescent="0.25">
      <c r="A586" s="7">
        <v>1.02</v>
      </c>
      <c r="B586"/>
      <c r="C586"/>
      <c r="D586"/>
      <c r="E586"/>
      <c r="HK586" s="27" t="s">
        <v>8</v>
      </c>
      <c r="HL586" s="27" t="s">
        <v>7</v>
      </c>
    </row>
    <row r="587" spans="1:220" x14ac:dyDescent="0.25">
      <c r="A587" s="7">
        <v>1</v>
      </c>
      <c r="B587"/>
      <c r="C587"/>
      <c r="D587"/>
      <c r="E587" s="29" t="s">
        <v>8</v>
      </c>
      <c r="HK587" s="27" t="s">
        <v>8</v>
      </c>
      <c r="HL587" s="27" t="s">
        <v>7</v>
      </c>
    </row>
    <row r="588" spans="1:220" x14ac:dyDescent="0.25">
      <c r="A588" s="7">
        <v>0.98039215686274506</v>
      </c>
      <c r="B588"/>
      <c r="C588"/>
      <c r="D588"/>
      <c r="E588"/>
      <c r="F588" s="27" t="s">
        <v>7</v>
      </c>
      <c r="HK588" s="27" t="s">
        <v>8</v>
      </c>
      <c r="HL588" s="27" t="s">
        <v>7</v>
      </c>
    </row>
    <row r="589" spans="1:220" x14ac:dyDescent="0.25">
      <c r="A589" s="7">
        <v>0.96116878123798544</v>
      </c>
      <c r="B589"/>
      <c r="C589"/>
      <c r="D589"/>
      <c r="E589"/>
      <c r="F589" s="27" t="s">
        <v>7</v>
      </c>
      <c r="HK589" s="27" t="s">
        <v>8</v>
      </c>
      <c r="HL589" s="27" t="s">
        <v>7</v>
      </c>
    </row>
    <row r="590" spans="1:220" x14ac:dyDescent="0.25">
      <c r="A590" s="7">
        <v>0.94232233454704462</v>
      </c>
      <c r="B590"/>
      <c r="C590"/>
      <c r="D590"/>
      <c r="E590"/>
      <c r="F590" s="27" t="s">
        <v>7</v>
      </c>
      <c r="HK590" s="27" t="s">
        <v>8</v>
      </c>
      <c r="HL590" s="27" t="s">
        <v>7</v>
      </c>
    </row>
    <row r="591" spans="1:220" x14ac:dyDescent="0.25">
      <c r="A591" s="7">
        <v>0.92384542602651432</v>
      </c>
      <c r="B591"/>
      <c r="C591"/>
      <c r="D591"/>
      <c r="E591"/>
      <c r="F591" s="27" t="s">
        <v>7</v>
      </c>
      <c r="HK591" s="27" t="s">
        <v>8</v>
      </c>
      <c r="HL591" s="27" t="s">
        <v>7</v>
      </c>
    </row>
    <row r="592" spans="1:220" x14ac:dyDescent="0.25">
      <c r="A592" s="7">
        <v>0.90573080982991594</v>
      </c>
      <c r="B592"/>
      <c r="C592"/>
      <c r="D592"/>
      <c r="E592"/>
      <c r="F592" s="27" t="s">
        <v>7</v>
      </c>
      <c r="HK592" s="27" t="s">
        <v>8</v>
      </c>
      <c r="HL592" s="27" t="s">
        <v>7</v>
      </c>
    </row>
    <row r="593" spans="1:222" x14ac:dyDescent="0.25">
      <c r="A593" s="7">
        <v>0.8879713821861922</v>
      </c>
      <c r="B593"/>
      <c r="C593"/>
      <c r="D593"/>
      <c r="E593"/>
      <c r="F593" s="27" t="s">
        <v>7</v>
      </c>
      <c r="HK593" s="27" t="s">
        <v>8</v>
      </c>
      <c r="HL593" s="27" t="s">
        <v>7</v>
      </c>
    </row>
    <row r="594" spans="1:222" x14ac:dyDescent="0.25">
      <c r="A594" s="7">
        <v>0.87056017861391399</v>
      </c>
      <c r="B594"/>
      <c r="C594"/>
      <c r="D594"/>
      <c r="E594"/>
      <c r="F594" s="27" t="s">
        <v>7</v>
      </c>
      <c r="HK594" s="27" t="s">
        <v>8</v>
      </c>
      <c r="HL594" s="27" t="s">
        <v>7</v>
      </c>
    </row>
    <row r="595" spans="1:222" x14ac:dyDescent="0.25">
      <c r="A595" s="7">
        <v>0.85349037119011173</v>
      </c>
      <c r="B595"/>
      <c r="C595"/>
      <c r="D595"/>
      <c r="E595"/>
      <c r="F595" s="27" t="s">
        <v>7</v>
      </c>
      <c r="HK595" s="27" t="s">
        <v>8</v>
      </c>
      <c r="HL595" s="27" t="s">
        <v>7</v>
      </c>
    </row>
    <row r="596" spans="1:222" x14ac:dyDescent="0.25">
      <c r="A596" s="7">
        <v>0.83675526587265858</v>
      </c>
      <c r="B596"/>
      <c r="C596"/>
      <c r="D596"/>
      <c r="E596"/>
      <c r="F596" s="27" t="s">
        <v>7</v>
      </c>
      <c r="HK596" s="27" t="s">
        <v>8</v>
      </c>
      <c r="HL596" s="27" t="s">
        <v>7</v>
      </c>
    </row>
    <row r="597" spans="1:222" x14ac:dyDescent="0.25">
      <c r="A597" s="7">
        <v>0.82034829987515545</v>
      </c>
      <c r="B597"/>
      <c r="C597"/>
      <c r="D597"/>
      <c r="E597"/>
      <c r="F597" s="27" t="s">
        <v>7</v>
      </c>
      <c r="HK597" s="27" t="s">
        <v>8</v>
      </c>
      <c r="HL597" s="27" t="s">
        <v>7</v>
      </c>
    </row>
    <row r="598" spans="1:222" x14ac:dyDescent="0.25">
      <c r="A598" s="7">
        <v>0.80426303909328967</v>
      </c>
      <c r="B598"/>
      <c r="C598"/>
      <c r="D598"/>
      <c r="E598"/>
      <c r="F598" s="27" t="s">
        <v>7</v>
      </c>
      <c r="HK598" s="27" t="s">
        <v>8</v>
      </c>
      <c r="HL598" s="27" t="s">
        <v>7</v>
      </c>
    </row>
    <row r="599" spans="1:222" x14ac:dyDescent="0.25">
      <c r="A599" s="7">
        <v>0.78849317558165644</v>
      </c>
      <c r="B599"/>
      <c r="C599"/>
      <c r="D599"/>
      <c r="E599"/>
      <c r="F599" s="27" t="s">
        <v>7</v>
      </c>
      <c r="HK599" s="27" t="s">
        <v>8</v>
      </c>
      <c r="HL599" s="27" t="s">
        <v>7</v>
      </c>
    </row>
    <row r="600" spans="1:222" x14ac:dyDescent="0.25">
      <c r="A600" s="7">
        <v>0.77303252508005538</v>
      </c>
      <c r="B600"/>
      <c r="C600"/>
      <c r="D600"/>
      <c r="E600"/>
      <c r="F600" s="27" t="s">
        <v>7</v>
      </c>
      <c r="HK600" s="27" t="s">
        <v>8</v>
      </c>
      <c r="HL600" s="27" t="s">
        <v>7</v>
      </c>
    </row>
    <row r="601" spans="1:222" x14ac:dyDescent="0.25">
      <c r="A601" s="7">
        <v>0.75787502458828959</v>
      </c>
      <c r="B601"/>
      <c r="C601"/>
      <c r="D601"/>
      <c r="E601"/>
      <c r="F601" s="27" t="s">
        <v>7</v>
      </c>
      <c r="HK601" s="27" t="s">
        <v>8</v>
      </c>
      <c r="HL601" s="27" t="s">
        <v>7</v>
      </c>
    </row>
    <row r="602" spans="1:222" x14ac:dyDescent="0.25">
      <c r="A602" s="7">
        <v>0.74301472998851925</v>
      </c>
      <c r="B602"/>
      <c r="C602"/>
      <c r="D602"/>
      <c r="E602"/>
      <c r="F602" s="27" t="s">
        <v>7</v>
      </c>
      <c r="HK602" s="27" t="s">
        <v>8</v>
      </c>
      <c r="HL602" s="27" t="s">
        <v>7</v>
      </c>
      <c r="HM602" s="27" t="s">
        <v>8</v>
      </c>
    </row>
    <row r="603" spans="1:222" x14ac:dyDescent="0.25">
      <c r="A603" s="7">
        <v>0.72844581371423456</v>
      </c>
      <c r="B603"/>
      <c r="C603"/>
      <c r="D603"/>
      <c r="E603"/>
      <c r="F603" s="27" t="s">
        <v>7</v>
      </c>
      <c r="HK603" s="27" t="s">
        <v>8</v>
      </c>
      <c r="HL603" s="27" t="s">
        <v>7</v>
      </c>
      <c r="HM603" s="27" t="s">
        <v>8</v>
      </c>
      <c r="HN603" s="27" t="s">
        <v>7</v>
      </c>
    </row>
    <row r="604" spans="1:222" x14ac:dyDescent="0.25">
      <c r="A604" s="7">
        <v>0.71416256246493581</v>
      </c>
      <c r="B604"/>
      <c r="C604"/>
      <c r="D604"/>
      <c r="E604"/>
      <c r="F604" s="27" t="s">
        <v>7</v>
      </c>
      <c r="HK604" s="27" t="s">
        <v>8</v>
      </c>
      <c r="HL604" s="27" t="s">
        <v>7</v>
      </c>
      <c r="HM604" s="27" t="s">
        <v>8</v>
      </c>
      <c r="HN604" s="27" t="s">
        <v>7</v>
      </c>
    </row>
    <row r="605" spans="1:222" x14ac:dyDescent="0.25">
      <c r="A605" s="7">
        <v>0.7001593749656233</v>
      </c>
      <c r="B605"/>
      <c r="C605"/>
      <c r="D605"/>
      <c r="E605"/>
      <c r="F605" s="27" t="s">
        <v>7</v>
      </c>
      <c r="HK605" s="27" t="s">
        <v>8</v>
      </c>
      <c r="HL605" s="27" t="s">
        <v>7</v>
      </c>
      <c r="HM605" s="27" t="s">
        <v>8</v>
      </c>
      <c r="HN605" s="27" t="s">
        <v>7</v>
      </c>
    </row>
    <row r="606" spans="1:222" x14ac:dyDescent="0.25">
      <c r="A606" s="7">
        <v>0.68643075977021883</v>
      </c>
      <c r="B606"/>
      <c r="C606"/>
      <c r="D606"/>
      <c r="E606"/>
      <c r="F606" s="27" t="s">
        <v>7</v>
      </c>
      <c r="HK606" s="27" t="s">
        <v>8</v>
      </c>
      <c r="HL606" s="27" t="s">
        <v>7</v>
      </c>
      <c r="HM606" s="27" t="s">
        <v>8</v>
      </c>
      <c r="HN606" s="27" t="s">
        <v>7</v>
      </c>
    </row>
    <row r="607" spans="1:222" x14ac:dyDescent="0.25">
      <c r="A607" s="7">
        <v>0.67297133310805768</v>
      </c>
      <c r="B607"/>
      <c r="C607"/>
      <c r="D607"/>
      <c r="E607"/>
      <c r="F607" s="27" t="s">
        <v>7</v>
      </c>
      <c r="HK607" s="27" t="s">
        <v>8</v>
      </c>
      <c r="HL607" s="27" t="s">
        <v>7</v>
      </c>
      <c r="HM607" s="27" t="s">
        <v>8</v>
      </c>
      <c r="HN607" s="27" t="s">
        <v>7</v>
      </c>
    </row>
    <row r="608" spans="1:222" x14ac:dyDescent="0.25">
      <c r="A608" s="7">
        <v>0.65977581677260566</v>
      </c>
      <c r="B608"/>
      <c r="C608"/>
      <c r="D608"/>
      <c r="E608"/>
      <c r="F608" s="27" t="s">
        <v>7</v>
      </c>
      <c r="HK608" s="27" t="s">
        <v>8</v>
      </c>
      <c r="HL608" s="27" t="s">
        <v>7</v>
      </c>
      <c r="HM608" s="27" t="s">
        <v>8</v>
      </c>
      <c r="HN608" s="27" t="s">
        <v>7</v>
      </c>
    </row>
    <row r="609" spans="1:258" x14ac:dyDescent="0.25">
      <c r="A609" s="7">
        <v>0.64683903605157422</v>
      </c>
      <c r="B609"/>
      <c r="C609"/>
      <c r="D609"/>
      <c r="E609"/>
      <c r="F609" s="27" t="s">
        <v>7</v>
      </c>
      <c r="HK609" s="27" t="s">
        <v>8</v>
      </c>
      <c r="HL609" s="27" t="s">
        <v>7</v>
      </c>
      <c r="HM609" s="27" t="s">
        <v>8</v>
      </c>
      <c r="HN609" s="27" t="s">
        <v>7</v>
      </c>
      <c r="HO609" s="27" t="s">
        <v>8</v>
      </c>
    </row>
    <row r="610" spans="1:258" x14ac:dyDescent="0.25">
      <c r="A610" s="7">
        <v>0.63415591769762181</v>
      </c>
      <c r="B610"/>
      <c r="C610"/>
      <c r="D610"/>
      <c r="E610"/>
      <c r="F610" s="27" t="s">
        <v>7</v>
      </c>
      <c r="HK610" s="27" t="s">
        <v>8</v>
      </c>
      <c r="HL610" s="27" t="s">
        <v>7</v>
      </c>
      <c r="HM610" s="27" t="s">
        <v>8</v>
      </c>
      <c r="HN610" s="27" t="s">
        <v>7</v>
      </c>
      <c r="HO610" s="27" t="s">
        <v>8</v>
      </c>
      <c r="HP610" s="27" t="s">
        <v>7</v>
      </c>
    </row>
    <row r="611" spans="1:258" x14ac:dyDescent="0.25">
      <c r="A611" s="7">
        <v>0.62172148793884496</v>
      </c>
      <c r="B611"/>
      <c r="C611"/>
      <c r="D611"/>
      <c r="E611"/>
      <c r="F611" s="27" t="s">
        <v>7</v>
      </c>
      <c r="HK611" s="27" t="s">
        <v>8</v>
      </c>
      <c r="HL611" s="27" t="s">
        <v>7</v>
      </c>
      <c r="HM611" s="27" t="s">
        <v>8</v>
      </c>
      <c r="HN611" s="27" t="s">
        <v>7</v>
      </c>
      <c r="HO611" s="27" t="s">
        <v>8</v>
      </c>
      <c r="HP611" s="27" t="s">
        <v>7</v>
      </c>
    </row>
    <row r="612" spans="1:258" x14ac:dyDescent="0.25">
      <c r="A612" s="7">
        <v>0.60953087052827937</v>
      </c>
      <c r="B612"/>
      <c r="C612"/>
      <c r="D612"/>
      <c r="E612"/>
      <c r="F612" s="27" t="s">
        <v>7</v>
      </c>
      <c r="HK612" s="27" t="s">
        <v>8</v>
      </c>
      <c r="HL612" s="27" t="s">
        <v>7</v>
      </c>
      <c r="HM612" s="27" t="s">
        <v>8</v>
      </c>
      <c r="HN612" s="27" t="s">
        <v>7</v>
      </c>
      <c r="HO612" s="27" t="s">
        <v>8</v>
      </c>
      <c r="HP612" s="27" t="s">
        <v>7</v>
      </c>
    </row>
    <row r="613" spans="1:258" x14ac:dyDescent="0.25">
      <c r="A613" s="7">
        <v>0.59757928483164646</v>
      </c>
      <c r="B613"/>
      <c r="C613"/>
      <c r="D613"/>
      <c r="E613"/>
      <c r="F613" s="27" t="s">
        <v>7</v>
      </c>
      <c r="HK613" s="27" t="s">
        <v>8</v>
      </c>
      <c r="HL613" s="27" t="s">
        <v>7</v>
      </c>
      <c r="HM613" s="27" t="s">
        <v>8</v>
      </c>
      <c r="HN613" s="27" t="s">
        <v>7</v>
      </c>
      <c r="HO613" s="27" t="s">
        <v>8</v>
      </c>
      <c r="HP613" s="27" t="s">
        <v>7</v>
      </c>
    </row>
    <row r="614" spans="1:258" x14ac:dyDescent="0.25">
      <c r="A614" s="7">
        <v>0.58586204395259456</v>
      </c>
      <c r="B614"/>
      <c r="C614"/>
      <c r="D614"/>
      <c r="E614"/>
      <c r="F614" s="27" t="s">
        <v>7</v>
      </c>
      <c r="HK614" s="27" t="s">
        <v>8</v>
      </c>
      <c r="HL614" s="27" t="s">
        <v>7</v>
      </c>
      <c r="HM614" s="27" t="s">
        <v>8</v>
      </c>
      <c r="HN614" s="27" t="s">
        <v>7</v>
      </c>
      <c r="HO614" s="27" t="s">
        <v>8</v>
      </c>
      <c r="HP614" s="27" t="s">
        <v>7</v>
      </c>
    </row>
    <row r="615" spans="1:258" x14ac:dyDescent="0.25">
      <c r="A615" s="7">
        <v>0.57437455289470052</v>
      </c>
      <c r="B615"/>
      <c r="C615"/>
      <c r="D615"/>
      <c r="E615"/>
      <c r="F615" s="27" t="s">
        <v>7</v>
      </c>
      <c r="HK615" s="27" t="s">
        <v>8</v>
      </c>
      <c r="HL615" s="27" t="s">
        <v>7</v>
      </c>
      <c r="HM615" s="27" t="s">
        <v>8</v>
      </c>
      <c r="HN615" s="27" t="s">
        <v>7</v>
      </c>
      <c r="HO615" s="27" t="s">
        <v>8</v>
      </c>
      <c r="HP615" s="27" t="s">
        <v>7</v>
      </c>
    </row>
    <row r="616" spans="1:258" x14ac:dyDescent="0.25">
      <c r="A616" s="7">
        <v>0.56311230675951029</v>
      </c>
      <c r="B616"/>
      <c r="C616"/>
      <c r="D616"/>
      <c r="E616"/>
      <c r="F616" s="27" t="s">
        <v>7</v>
      </c>
      <c r="HK616" s="27" t="s">
        <v>8</v>
      </c>
      <c r="HL616" s="27" t="s">
        <v>7</v>
      </c>
      <c r="HM616" s="27" t="s">
        <v>8</v>
      </c>
      <c r="HN616" s="27" t="s">
        <v>7</v>
      </c>
      <c r="HO616" s="27" t="s">
        <v>8</v>
      </c>
      <c r="HP616" s="27" t="s">
        <v>7</v>
      </c>
    </row>
    <row r="617" spans="1:258" x14ac:dyDescent="0.25">
      <c r="A617" s="7">
        <v>0.55207088897991208</v>
      </c>
      <c r="B617"/>
      <c r="C617"/>
      <c r="D617"/>
      <c r="E617"/>
      <c r="F617" s="27" t="s">
        <v>7</v>
      </c>
      <c r="HK617" s="27" t="s">
        <v>8</v>
      </c>
      <c r="HL617" s="27" t="s">
        <v>7</v>
      </c>
      <c r="HM617" s="27" t="s">
        <v>8</v>
      </c>
      <c r="HN617" s="27" t="s">
        <v>7</v>
      </c>
      <c r="HO617" s="27" t="s">
        <v>8</v>
      </c>
      <c r="HP617" s="27" t="s">
        <v>7</v>
      </c>
    </row>
    <row r="618" spans="1:258" x14ac:dyDescent="0.25">
      <c r="A618" s="7">
        <v>0.54124596958814908</v>
      </c>
      <c r="B618"/>
      <c r="C618"/>
      <c r="D618"/>
      <c r="E618"/>
      <c r="F618" s="27" t="s">
        <v>7</v>
      </c>
      <c r="HK618" s="27" t="s">
        <v>8</v>
      </c>
      <c r="HL618" s="27" t="s">
        <v>7</v>
      </c>
      <c r="HM618" s="27" t="s">
        <v>8</v>
      </c>
      <c r="HN618" s="27" t="s">
        <v>7</v>
      </c>
      <c r="HO618" s="27" t="s">
        <v>8</v>
      </c>
      <c r="HP618" s="27" t="s">
        <v>7</v>
      </c>
    </row>
    <row r="619" spans="1:258" x14ac:dyDescent="0.25">
      <c r="A619" s="7">
        <v>0.53063330351779314</v>
      </c>
      <c r="B619"/>
      <c r="C619"/>
      <c r="D619"/>
      <c r="E619"/>
      <c r="F619" s="27" t="s">
        <v>7</v>
      </c>
      <c r="HK619" s="27" t="s">
        <v>8</v>
      </c>
      <c r="HL619" s="27" t="s">
        <v>7</v>
      </c>
      <c r="HM619" s="27" t="s">
        <v>8</v>
      </c>
      <c r="HN619" s="27" t="s">
        <v>7</v>
      </c>
      <c r="HO619" s="27" t="s">
        <v>8</v>
      </c>
      <c r="HP619" s="27" t="s">
        <v>7</v>
      </c>
    </row>
    <row r="620" spans="1:258" x14ac:dyDescent="0.25">
      <c r="A620" s="7">
        <v>0.52022872893901284</v>
      </c>
      <c r="B620"/>
      <c r="C620"/>
      <c r="D620"/>
      <c r="E620"/>
      <c r="F620" s="27" t="s">
        <v>7</v>
      </c>
      <c r="HK620" s="27" t="s">
        <v>8</v>
      </c>
      <c r="HL620" s="27" t="s">
        <v>7</v>
      </c>
      <c r="HM620" s="27" t="s">
        <v>8</v>
      </c>
      <c r="HN620" s="27" t="s">
        <v>7</v>
      </c>
      <c r="HO620" s="27" t="s">
        <v>8</v>
      </c>
      <c r="HP620" s="27" t="s">
        <v>7</v>
      </c>
      <c r="HQ620" s="27" t="s">
        <v>8</v>
      </c>
    </row>
    <row r="621" spans="1:258" x14ac:dyDescent="0.25">
      <c r="A621" s="7">
        <v>0.51002816562648323</v>
      </c>
      <c r="B621"/>
      <c r="C621"/>
      <c r="D621"/>
      <c r="E621"/>
      <c r="F621" s="27" t="s">
        <v>7</v>
      </c>
      <c r="HK621" s="27" t="s">
        <v>8</v>
      </c>
      <c r="HL621" s="27" t="s">
        <v>7</v>
      </c>
      <c r="HM621" s="27" t="s">
        <v>8</v>
      </c>
      <c r="HN621" s="27" t="s">
        <v>7</v>
      </c>
      <c r="HO621" s="27" t="s">
        <v>8</v>
      </c>
      <c r="HP621" s="27" t="s">
        <v>7</v>
      </c>
      <c r="HQ621" s="27" t="s">
        <v>8</v>
      </c>
      <c r="HR621" s="27" t="s">
        <v>7</v>
      </c>
      <c r="IW621" s="27" t="s">
        <v>8</v>
      </c>
    </row>
    <row r="622" spans="1:258" x14ac:dyDescent="0.25">
      <c r="A622" s="7">
        <v>0.50002761335929735</v>
      </c>
      <c r="B622"/>
      <c r="C622"/>
      <c r="D622"/>
      <c r="E622"/>
      <c r="F622" s="27" t="s">
        <v>7</v>
      </c>
      <c r="HK622" s="27" t="s">
        <v>8</v>
      </c>
      <c r="HL622" s="27" t="s">
        <v>7</v>
      </c>
      <c r="HM622" s="27" t="s">
        <v>8</v>
      </c>
      <c r="HN622" s="27" t="s">
        <v>7</v>
      </c>
      <c r="HO622" s="27" t="s">
        <v>8</v>
      </c>
      <c r="HP622" s="27" t="s">
        <v>7</v>
      </c>
      <c r="HQ622" s="27" t="s">
        <v>8</v>
      </c>
      <c r="HR622" s="27" t="s">
        <v>7</v>
      </c>
      <c r="IW622" s="27" t="s">
        <v>8</v>
      </c>
      <c r="IX622" s="27" t="s">
        <v>7</v>
      </c>
    </row>
    <row r="623" spans="1:258" x14ac:dyDescent="0.25">
      <c r="A623" s="7">
        <v>0.49022315035225228</v>
      </c>
      <c r="B623"/>
      <c r="C623"/>
      <c r="D623"/>
      <c r="E623"/>
      <c r="F623" s="27" t="s">
        <v>7</v>
      </c>
      <c r="HK623" s="27" t="s">
        <v>8</v>
      </c>
      <c r="HL623" s="27" t="s">
        <v>7</v>
      </c>
      <c r="HM623" s="27" t="s">
        <v>8</v>
      </c>
      <c r="HN623" s="27" t="s">
        <v>7</v>
      </c>
      <c r="HO623" s="27" t="s">
        <v>8</v>
      </c>
      <c r="HP623" s="27" t="s">
        <v>7</v>
      </c>
      <c r="HQ623" s="27" t="s">
        <v>8</v>
      </c>
      <c r="HR623" s="27" t="s">
        <v>7</v>
      </c>
      <c r="IW623" s="27" t="s">
        <v>8</v>
      </c>
      <c r="IX623" s="27" t="s">
        <v>7</v>
      </c>
    </row>
    <row r="624" spans="1:258" x14ac:dyDescent="0.25">
      <c r="A624" s="7">
        <v>0.48061093171789437</v>
      </c>
      <c r="B624"/>
      <c r="C624"/>
      <c r="D624"/>
      <c r="E624"/>
      <c r="F624" s="27" t="s">
        <v>7</v>
      </c>
      <c r="HK624" s="27" t="s">
        <v>8</v>
      </c>
      <c r="HL624" s="27" t="s">
        <v>7</v>
      </c>
      <c r="HM624" s="27" t="s">
        <v>8</v>
      </c>
      <c r="HN624" s="27" t="s">
        <v>7</v>
      </c>
      <c r="HO624" s="27" t="s">
        <v>8</v>
      </c>
      <c r="HP624" s="27" t="s">
        <v>7</v>
      </c>
      <c r="HQ624" s="27" t="s">
        <v>8</v>
      </c>
      <c r="HR624" s="27" t="s">
        <v>7</v>
      </c>
      <c r="IO624" s="27" t="s">
        <v>8</v>
      </c>
      <c r="IW624" s="27" t="s">
        <v>8</v>
      </c>
      <c r="IX624" s="27" t="s">
        <v>7</v>
      </c>
    </row>
    <row r="625" spans="1:260" x14ac:dyDescent="0.25">
      <c r="A625" s="7">
        <v>0.47118718795871994</v>
      </c>
      <c r="B625"/>
      <c r="C625"/>
      <c r="D625"/>
      <c r="E625"/>
      <c r="F625" s="27" t="s">
        <v>7</v>
      </c>
      <c r="HK625" s="27" t="s">
        <v>8</v>
      </c>
      <c r="HL625" s="27" t="s">
        <v>7</v>
      </c>
      <c r="HM625" s="27" t="s">
        <v>8</v>
      </c>
      <c r="HN625" s="27" t="s">
        <v>7</v>
      </c>
      <c r="HP625" s="27" t="s">
        <v>7</v>
      </c>
      <c r="HQ625" s="27" t="s">
        <v>8</v>
      </c>
      <c r="HR625" s="27" t="s">
        <v>7</v>
      </c>
      <c r="IO625" s="27" t="s">
        <v>8</v>
      </c>
      <c r="IP625" s="27" t="s">
        <v>7</v>
      </c>
      <c r="IW625" s="27" t="s">
        <v>8</v>
      </c>
      <c r="IX625" s="27" t="s">
        <v>7</v>
      </c>
      <c r="IY625" s="27" t="s">
        <v>8</v>
      </c>
    </row>
    <row r="626" spans="1:260" x14ac:dyDescent="0.25">
      <c r="A626" s="7">
        <v>0.46194822348894116</v>
      </c>
      <c r="B626"/>
      <c r="C626"/>
      <c r="D626"/>
      <c r="E626"/>
      <c r="F626" s="27" t="s">
        <v>7</v>
      </c>
      <c r="HK626" s="27" t="s">
        <v>8</v>
      </c>
      <c r="HL626" s="27" t="s">
        <v>7</v>
      </c>
      <c r="HM626" s="27" t="s">
        <v>8</v>
      </c>
      <c r="HP626" s="27" t="s">
        <v>7</v>
      </c>
      <c r="HQ626" s="27" t="s">
        <v>8</v>
      </c>
      <c r="HR626" s="27" t="s">
        <v>7</v>
      </c>
      <c r="IO626" s="27" t="s">
        <v>8</v>
      </c>
      <c r="IP626" s="27" t="s">
        <v>7</v>
      </c>
      <c r="IW626" s="27" t="s">
        <v>8</v>
      </c>
      <c r="IX626" s="27" t="s">
        <v>7</v>
      </c>
      <c r="IY626" s="27" t="s">
        <v>8</v>
      </c>
      <c r="IZ626" s="27" t="s">
        <v>7</v>
      </c>
    </row>
    <row r="627" spans="1:260" x14ac:dyDescent="0.25">
      <c r="A627" s="7">
        <v>0.45289041518523643</v>
      </c>
      <c r="B627"/>
      <c r="C627"/>
      <c r="D627"/>
      <c r="E627"/>
      <c r="F627" s="27" t="s">
        <v>7</v>
      </c>
      <c r="HK627" s="27" t="s">
        <v>8</v>
      </c>
      <c r="HL627" s="27" t="s">
        <v>7</v>
      </c>
      <c r="HM627" s="27" t="s">
        <v>8</v>
      </c>
      <c r="HP627" s="27" t="s">
        <v>7</v>
      </c>
      <c r="HQ627" s="27" t="s">
        <v>8</v>
      </c>
      <c r="HR627" s="27" t="s">
        <v>7</v>
      </c>
      <c r="IO627" s="27" t="s">
        <v>8</v>
      </c>
      <c r="IP627" s="27" t="s">
        <v>7</v>
      </c>
      <c r="IW627" s="27" t="s">
        <v>8</v>
      </c>
      <c r="IX627" s="27" t="s">
        <v>7</v>
      </c>
      <c r="IY627" s="27" t="s">
        <v>8</v>
      </c>
      <c r="IZ627" s="27" t="s">
        <v>7</v>
      </c>
    </row>
    <row r="628" spans="1:260" x14ac:dyDescent="0.25">
      <c r="A628" s="7">
        <v>0.44401021096591808</v>
      </c>
      <c r="B628"/>
      <c r="C628"/>
      <c r="D628"/>
      <c r="E628"/>
      <c r="F628" s="27" t="s">
        <v>7</v>
      </c>
      <c r="HK628" s="27" t="s">
        <v>8</v>
      </c>
      <c r="HL628" s="27" t="s">
        <v>7</v>
      </c>
      <c r="HM628" s="27" t="s">
        <v>8</v>
      </c>
      <c r="HP628" s="27" t="s">
        <v>7</v>
      </c>
      <c r="HQ628" s="27" t="s">
        <v>8</v>
      </c>
      <c r="HR628" s="27" t="s">
        <v>7</v>
      </c>
      <c r="HU628" s="27" t="s">
        <v>8</v>
      </c>
      <c r="IO628" s="27" t="s">
        <v>8</v>
      </c>
      <c r="IP628" s="27" t="s">
        <v>7</v>
      </c>
      <c r="IW628" s="27" t="s">
        <v>8</v>
      </c>
      <c r="IX628" s="27" t="s">
        <v>7</v>
      </c>
      <c r="IY628" s="27" t="s">
        <v>8</v>
      </c>
      <c r="IZ628" s="27" t="s">
        <v>7</v>
      </c>
    </row>
    <row r="629" spans="1:260" x14ac:dyDescent="0.25">
      <c r="A629" s="7">
        <v>0.4353041283979589</v>
      </c>
      <c r="B629"/>
      <c r="C629"/>
      <c r="D629"/>
      <c r="E629"/>
      <c r="F629" s="27" t="s">
        <v>7</v>
      </c>
      <c r="HK629" s="27" t="s">
        <v>8</v>
      </c>
      <c r="HL629" s="27" t="s">
        <v>7</v>
      </c>
      <c r="HM629" s="27" t="s">
        <v>8</v>
      </c>
      <c r="HP629" s="27" t="s">
        <v>7</v>
      </c>
      <c r="HQ629" s="27" t="s">
        <v>8</v>
      </c>
      <c r="HR629" s="27" t="s">
        <v>7</v>
      </c>
      <c r="HU629" s="27" t="s">
        <v>8</v>
      </c>
      <c r="HV629" s="27" t="s">
        <v>7</v>
      </c>
      <c r="IO629" s="27" t="s">
        <v>8</v>
      </c>
      <c r="IP629" s="27" t="s">
        <v>7</v>
      </c>
      <c r="IW629" s="27" t="s">
        <v>8</v>
      </c>
      <c r="IX629" s="27" t="s">
        <v>7</v>
      </c>
      <c r="IY629" s="27" t="s">
        <v>8</v>
      </c>
      <c r="IZ629" s="27" t="s">
        <v>7</v>
      </c>
    </row>
    <row r="630" spans="1:260" x14ac:dyDescent="0.25">
      <c r="A630" s="7">
        <v>0.4267687533313323</v>
      </c>
      <c r="B630"/>
      <c r="C630"/>
      <c r="D630"/>
      <c r="E630"/>
      <c r="F630" s="27" t="s">
        <v>7</v>
      </c>
      <c r="HK630" s="27" t="s">
        <v>8</v>
      </c>
      <c r="HL630" s="27" t="s">
        <v>7</v>
      </c>
      <c r="HM630" s="27" t="s">
        <v>8</v>
      </c>
      <c r="HP630" s="27" t="s">
        <v>7</v>
      </c>
      <c r="HQ630" s="27" t="s">
        <v>8</v>
      </c>
      <c r="HR630" s="27" t="s">
        <v>7</v>
      </c>
      <c r="HU630" s="27" t="s">
        <v>8</v>
      </c>
      <c r="HV630" s="27" t="s">
        <v>7</v>
      </c>
      <c r="IO630" s="27" t="s">
        <v>8</v>
      </c>
      <c r="IP630" s="27" t="s">
        <v>7</v>
      </c>
      <c r="IW630" s="27" t="s">
        <v>8</v>
      </c>
      <c r="IX630" s="27" t="s">
        <v>7</v>
      </c>
      <c r="IY630" s="27" t="s">
        <v>8</v>
      </c>
      <c r="IZ630" s="27" t="s">
        <v>7</v>
      </c>
    </row>
    <row r="631" spans="1:260" x14ac:dyDescent="0.25">
      <c r="A631" s="7">
        <v>0.41840073856012971</v>
      </c>
      <c r="B631"/>
      <c r="C631"/>
      <c r="D631"/>
      <c r="E631"/>
      <c r="F631" s="27" t="s">
        <v>7</v>
      </c>
      <c r="HK631" s="27" t="s">
        <v>8</v>
      </c>
      <c r="HL631" s="27" t="s">
        <v>7</v>
      </c>
      <c r="HM631" s="27" t="s">
        <v>8</v>
      </c>
      <c r="HP631" s="27" t="s">
        <v>7</v>
      </c>
      <c r="HR631" s="27" t="s">
        <v>7</v>
      </c>
      <c r="HU631" s="27" t="s">
        <v>8</v>
      </c>
      <c r="HV631" s="27" t="s">
        <v>7</v>
      </c>
      <c r="IO631" s="27" t="s">
        <v>8</v>
      </c>
      <c r="IP631" s="27" t="s">
        <v>7</v>
      </c>
      <c r="IW631" s="27" t="s">
        <v>8</v>
      </c>
      <c r="IX631" s="27" t="s">
        <v>7</v>
      </c>
      <c r="IY631" s="27" t="s">
        <v>8</v>
      </c>
      <c r="IZ631" s="27" t="s">
        <v>7</v>
      </c>
    </row>
    <row r="632" spans="1:260" x14ac:dyDescent="0.25">
      <c r="A632" s="7">
        <v>0.41019680250993112</v>
      </c>
      <c r="B632"/>
      <c r="C632"/>
      <c r="D632"/>
      <c r="E632"/>
      <c r="F632" s="27" t="s">
        <v>7</v>
      </c>
      <c r="HK632" s="27" t="s">
        <v>8</v>
      </c>
      <c r="HL632" s="27" t="s">
        <v>7</v>
      </c>
      <c r="HM632" s="27" t="s">
        <v>8</v>
      </c>
      <c r="HR632" s="27" t="s">
        <v>7</v>
      </c>
      <c r="HU632" s="27" t="s">
        <v>8</v>
      </c>
      <c r="HV632" s="27" t="s">
        <v>7</v>
      </c>
      <c r="IO632" s="27" t="s">
        <v>8</v>
      </c>
      <c r="IP632" s="27" t="s">
        <v>7</v>
      </c>
      <c r="IW632" s="27" t="s">
        <v>8</v>
      </c>
      <c r="IX632" s="27" t="s">
        <v>7</v>
      </c>
      <c r="IY632" s="27" t="s">
        <v>8</v>
      </c>
      <c r="IZ632" s="27" t="s">
        <v>7</v>
      </c>
    </row>
    <row r="633" spans="1:260" x14ac:dyDescent="0.25">
      <c r="A633" s="7">
        <v>0.40215372795091286</v>
      </c>
      <c r="B633"/>
      <c r="C633"/>
      <c r="D633"/>
      <c r="E633"/>
      <c r="F633" s="27" t="s">
        <v>7</v>
      </c>
      <c r="HK633" s="27" t="s">
        <v>8</v>
      </c>
      <c r="HL633" s="27" t="s">
        <v>7</v>
      </c>
      <c r="HM633" s="27" t="s">
        <v>8</v>
      </c>
      <c r="HR633" s="27" t="s">
        <v>7</v>
      </c>
      <c r="HU633" s="27" t="s">
        <v>8</v>
      </c>
      <c r="HV633" s="27" t="s">
        <v>7</v>
      </c>
      <c r="HW633" s="27" t="s">
        <v>8</v>
      </c>
      <c r="IO633" s="27" t="s">
        <v>8</v>
      </c>
      <c r="IP633" s="27" t="s">
        <v>7</v>
      </c>
      <c r="IW633" s="27" t="s">
        <v>8</v>
      </c>
      <c r="IX633" s="27" t="s">
        <v>7</v>
      </c>
      <c r="IY633" s="27" t="s">
        <v>8</v>
      </c>
      <c r="IZ633" s="27" t="s">
        <v>7</v>
      </c>
    </row>
    <row r="634" spans="1:260" x14ac:dyDescent="0.25">
      <c r="A634" s="7">
        <v>0.39426836073618904</v>
      </c>
      <c r="B634"/>
      <c r="C634"/>
      <c r="D634"/>
      <c r="E634"/>
      <c r="F634" s="27" t="s">
        <v>7</v>
      </c>
      <c r="HK634" s="27" t="s">
        <v>8</v>
      </c>
      <c r="HL634" s="27" t="s">
        <v>7</v>
      </c>
      <c r="HM634" s="27" t="s">
        <v>8</v>
      </c>
      <c r="HR634" s="27" t="s">
        <v>7</v>
      </c>
      <c r="HU634" s="27" t="s">
        <v>8</v>
      </c>
      <c r="HV634" s="27" t="s">
        <v>7</v>
      </c>
      <c r="HW634" s="27" t="s">
        <v>8</v>
      </c>
      <c r="HX634" s="27" t="s">
        <v>7</v>
      </c>
      <c r="IA634" s="27" t="s">
        <v>8</v>
      </c>
      <c r="IO634" s="27" t="s">
        <v>8</v>
      </c>
      <c r="IP634" s="27" t="s">
        <v>7</v>
      </c>
      <c r="IQ634" s="27" t="s">
        <v>8</v>
      </c>
      <c r="IW634" s="27" t="s">
        <v>8</v>
      </c>
      <c r="IX634" s="27" t="s">
        <v>7</v>
      </c>
      <c r="IY634" s="27" t="s">
        <v>8</v>
      </c>
      <c r="IZ634" s="27" t="s">
        <v>7</v>
      </c>
    </row>
    <row r="635" spans="1:260" x14ac:dyDescent="0.25">
      <c r="A635" s="7">
        <v>0.38653760856489122</v>
      </c>
      <c r="B635"/>
      <c r="C635"/>
      <c r="D635"/>
      <c r="E635"/>
      <c r="F635" s="27" t="s">
        <v>7</v>
      </c>
      <c r="HK635" s="27" t="s">
        <v>8</v>
      </c>
      <c r="HL635" s="27" t="s">
        <v>7</v>
      </c>
      <c r="HM635" s="27" t="s">
        <v>8</v>
      </c>
      <c r="HR635" s="27" t="s">
        <v>7</v>
      </c>
      <c r="HU635" s="27" t="s">
        <v>8</v>
      </c>
      <c r="HV635" s="27" t="s">
        <v>7</v>
      </c>
      <c r="HW635" s="27" t="s">
        <v>8</v>
      </c>
      <c r="HX635" s="27" t="s">
        <v>7</v>
      </c>
      <c r="IA635" s="27" t="s">
        <v>8</v>
      </c>
      <c r="IB635" s="27" t="s">
        <v>7</v>
      </c>
      <c r="IO635" s="27" t="s">
        <v>8</v>
      </c>
      <c r="IP635" s="27" t="s">
        <v>7</v>
      </c>
      <c r="IQ635" s="27" t="s">
        <v>8</v>
      </c>
      <c r="IR635" s="27" t="s">
        <v>7</v>
      </c>
      <c r="IS635" s="27" t="s">
        <v>8</v>
      </c>
      <c r="IU635" s="27" t="s">
        <v>8</v>
      </c>
      <c r="IW635" s="27" t="s">
        <v>8</v>
      </c>
      <c r="IX635" s="27" t="s">
        <v>7</v>
      </c>
      <c r="IY635" s="27" t="s">
        <v>8</v>
      </c>
      <c r="IZ635" s="27" t="s">
        <v>7</v>
      </c>
    </row>
    <row r="636" spans="1:260" x14ac:dyDescent="0.25">
      <c r="A636" s="7">
        <v>0.37895843976950117</v>
      </c>
      <c r="B636"/>
      <c r="C636"/>
      <c r="D636"/>
      <c r="E636"/>
      <c r="F636" s="27" t="s">
        <v>7</v>
      </c>
      <c r="HK636" s="27" t="s">
        <v>8</v>
      </c>
      <c r="HL636" s="27" t="s">
        <v>7</v>
      </c>
      <c r="HR636" s="27" t="s">
        <v>7</v>
      </c>
      <c r="HU636" s="27" t="s">
        <v>8</v>
      </c>
      <c r="HV636" s="27" t="s">
        <v>7</v>
      </c>
      <c r="HW636" s="27" t="s">
        <v>8</v>
      </c>
      <c r="HX636" s="27" t="s">
        <v>7</v>
      </c>
      <c r="IA636" s="27" t="s">
        <v>8</v>
      </c>
      <c r="IB636" s="27" t="s">
        <v>7</v>
      </c>
      <c r="IM636" s="27" t="s">
        <v>8</v>
      </c>
      <c r="IO636" s="27" t="s">
        <v>8</v>
      </c>
      <c r="IP636" s="27" t="s">
        <v>7</v>
      </c>
      <c r="IQ636" s="27" t="s">
        <v>8</v>
      </c>
      <c r="IR636" s="27" t="s">
        <v>7</v>
      </c>
      <c r="IS636" s="27" t="s">
        <v>8</v>
      </c>
      <c r="IT636" s="27" t="s">
        <v>7</v>
      </c>
      <c r="IU636" s="27" t="s">
        <v>8</v>
      </c>
      <c r="IV636" s="27" t="s">
        <v>7</v>
      </c>
      <c r="IW636" s="27" t="s">
        <v>8</v>
      </c>
      <c r="IX636" s="27" t="s">
        <v>7</v>
      </c>
      <c r="IY636" s="27" t="s">
        <v>8</v>
      </c>
      <c r="IZ636" s="27" t="s">
        <v>7</v>
      </c>
    </row>
    <row r="637" spans="1:260" x14ac:dyDescent="0.25">
      <c r="A637" s="7">
        <v>0.37152788212696197</v>
      </c>
      <c r="B637"/>
      <c r="C637"/>
      <c r="D637"/>
      <c r="E637"/>
      <c r="F637" s="27" t="s">
        <v>7</v>
      </c>
      <c r="HK637" s="27" t="s">
        <v>8</v>
      </c>
      <c r="HR637" s="27" t="s">
        <v>7</v>
      </c>
      <c r="HS637" s="27" t="s">
        <v>8</v>
      </c>
      <c r="HU637" s="27" t="s">
        <v>8</v>
      </c>
      <c r="HV637" s="27" t="s">
        <v>7</v>
      </c>
      <c r="HW637" s="27" t="s">
        <v>8</v>
      </c>
      <c r="HX637" s="27" t="s">
        <v>7</v>
      </c>
      <c r="IA637" s="27" t="s">
        <v>8</v>
      </c>
      <c r="IB637" s="27" t="s">
        <v>7</v>
      </c>
      <c r="IM637" s="27" t="s">
        <v>8</v>
      </c>
      <c r="IN637" s="27" t="s">
        <v>7</v>
      </c>
      <c r="IO637" s="27" t="s">
        <v>8</v>
      </c>
      <c r="IP637" s="27" t="s">
        <v>7</v>
      </c>
      <c r="IQ637" s="27" t="s">
        <v>8</v>
      </c>
      <c r="IR637" s="27" t="s">
        <v>7</v>
      </c>
      <c r="IS637" s="27" t="s">
        <v>8</v>
      </c>
      <c r="IT637" s="27" t="s">
        <v>7</v>
      </c>
      <c r="IU637" s="27" t="s">
        <v>8</v>
      </c>
      <c r="IV637" s="27" t="s">
        <v>7</v>
      </c>
      <c r="IW637" s="27" t="s">
        <v>8</v>
      </c>
      <c r="IX637" s="27" t="s">
        <v>7</v>
      </c>
      <c r="IY637" s="27" t="s">
        <v>8</v>
      </c>
      <c r="IZ637" s="27" t="s">
        <v>7</v>
      </c>
    </row>
    <row r="638" spans="1:260" x14ac:dyDescent="0.25">
      <c r="A638" s="7">
        <v>0.36424302169310002</v>
      </c>
      <c r="B638"/>
      <c r="C638"/>
      <c r="D638"/>
      <c r="E638"/>
      <c r="F638" s="27" t="s">
        <v>7</v>
      </c>
      <c r="HK638" s="27" t="s">
        <v>8</v>
      </c>
      <c r="HR638" s="27" t="s">
        <v>7</v>
      </c>
      <c r="HS638" s="27" t="s">
        <v>8</v>
      </c>
      <c r="HT638" s="27" t="s">
        <v>7</v>
      </c>
      <c r="HU638" s="27" t="s">
        <v>8</v>
      </c>
      <c r="HV638" s="27" t="s">
        <v>7</v>
      </c>
      <c r="HW638" s="27" t="s">
        <v>8</v>
      </c>
      <c r="HX638" s="27" t="s">
        <v>7</v>
      </c>
      <c r="IA638" s="27" t="s">
        <v>8</v>
      </c>
      <c r="IB638" s="27" t="s">
        <v>7</v>
      </c>
      <c r="IM638" s="27" t="s">
        <v>8</v>
      </c>
      <c r="IN638" s="27" t="s">
        <v>7</v>
      </c>
      <c r="IO638" s="27" t="s">
        <v>8</v>
      </c>
      <c r="IP638" s="27" t="s">
        <v>7</v>
      </c>
      <c r="IQ638" s="27" t="s">
        <v>8</v>
      </c>
      <c r="IR638" s="27" t="s">
        <v>7</v>
      </c>
      <c r="IS638" s="27" t="s">
        <v>8</v>
      </c>
      <c r="IT638" s="27" t="s">
        <v>7</v>
      </c>
      <c r="IU638" s="27" t="s">
        <v>8</v>
      </c>
      <c r="IV638" s="27" t="s">
        <v>7</v>
      </c>
      <c r="IW638" s="27" t="s">
        <v>8</v>
      </c>
      <c r="IX638" s="27" t="s">
        <v>7</v>
      </c>
      <c r="IY638" s="27" t="s">
        <v>8</v>
      </c>
      <c r="IZ638" s="27" t="s">
        <v>7</v>
      </c>
    </row>
    <row r="639" spans="1:260" x14ac:dyDescent="0.25">
      <c r="A639" s="7">
        <v>0.35710100165990194</v>
      </c>
      <c r="B639"/>
      <c r="C639"/>
      <c r="D639"/>
      <c r="E639"/>
      <c r="F639" s="27" t="s">
        <v>7</v>
      </c>
      <c r="HK639" s="27" t="s">
        <v>8</v>
      </c>
      <c r="HR639" s="27" t="s">
        <v>7</v>
      </c>
      <c r="HS639" s="27" t="s">
        <v>8</v>
      </c>
      <c r="HT639" s="27" t="s">
        <v>7</v>
      </c>
      <c r="HU639" s="27" t="s">
        <v>8</v>
      </c>
      <c r="HV639" s="27" t="s">
        <v>7</v>
      </c>
      <c r="HW639" s="27" t="s">
        <v>8</v>
      </c>
      <c r="HX639" s="27" t="s">
        <v>7</v>
      </c>
      <c r="IA639" s="27" t="s">
        <v>8</v>
      </c>
      <c r="IB639" s="27" t="s">
        <v>7</v>
      </c>
      <c r="IE639" s="27" t="s">
        <v>8</v>
      </c>
      <c r="IM639" s="27" t="s">
        <v>8</v>
      </c>
      <c r="IN639" s="27" t="s">
        <v>7</v>
      </c>
      <c r="IO639" s="27" t="s">
        <v>8</v>
      </c>
      <c r="IP639" s="27" t="s">
        <v>7</v>
      </c>
      <c r="IR639" s="27" t="s">
        <v>7</v>
      </c>
      <c r="IS639" s="27" t="s">
        <v>8</v>
      </c>
      <c r="IT639" s="27" t="s">
        <v>7</v>
      </c>
      <c r="IU639" s="27" t="s">
        <v>8</v>
      </c>
      <c r="IV639" s="27" t="s">
        <v>7</v>
      </c>
      <c r="IW639" s="27" t="s">
        <v>8</v>
      </c>
      <c r="IX639" s="27" t="s">
        <v>7</v>
      </c>
      <c r="IY639" s="27" t="s">
        <v>8</v>
      </c>
      <c r="IZ639" s="27" t="s">
        <v>7</v>
      </c>
    </row>
    <row r="640" spans="1:260" x14ac:dyDescent="0.25">
      <c r="A640" s="7">
        <v>0.35009902123519804</v>
      </c>
      <c r="B640"/>
      <c r="C640"/>
      <c r="D640"/>
      <c r="E640"/>
      <c r="F640" s="27" t="s">
        <v>7</v>
      </c>
      <c r="HK640" s="27" t="s">
        <v>8</v>
      </c>
      <c r="HR640" s="27" t="s">
        <v>7</v>
      </c>
      <c r="HS640" s="27" t="s">
        <v>8</v>
      </c>
      <c r="HT640" s="27" t="s">
        <v>7</v>
      </c>
      <c r="HU640" s="27" t="s">
        <v>8</v>
      </c>
      <c r="HV640" s="27" t="s">
        <v>7</v>
      </c>
      <c r="HW640" s="27" t="s">
        <v>8</v>
      </c>
      <c r="HX640" s="27" t="s">
        <v>7</v>
      </c>
      <c r="IA640" s="27" t="s">
        <v>8</v>
      </c>
      <c r="IB640" s="27" t="s">
        <v>7</v>
      </c>
      <c r="IE640" s="27" t="s">
        <v>8</v>
      </c>
      <c r="IF640" s="27" t="s">
        <v>7</v>
      </c>
      <c r="IM640" s="27" t="s">
        <v>8</v>
      </c>
      <c r="IN640" s="27" t="s">
        <v>7</v>
      </c>
      <c r="IO640" s="27" t="s">
        <v>8</v>
      </c>
      <c r="IR640" s="27" t="s">
        <v>7</v>
      </c>
      <c r="IS640" s="27" t="s">
        <v>8</v>
      </c>
      <c r="IT640" s="27" t="s">
        <v>7</v>
      </c>
      <c r="IU640" s="27" t="s">
        <v>8</v>
      </c>
      <c r="IV640" s="27" t="s">
        <v>7</v>
      </c>
      <c r="IW640" s="27" t="s">
        <v>8</v>
      </c>
      <c r="IX640" s="27" t="s">
        <v>7</v>
      </c>
      <c r="IY640" s="27" t="s">
        <v>8</v>
      </c>
      <c r="IZ640" s="27" t="s">
        <v>7</v>
      </c>
    </row>
    <row r="641" spans="1:275" x14ac:dyDescent="0.25">
      <c r="A641" s="7">
        <v>0.34323433454431179</v>
      </c>
      <c r="B641"/>
      <c r="C641"/>
      <c r="D641"/>
      <c r="E641"/>
      <c r="F641" s="27" t="s">
        <v>7</v>
      </c>
      <c r="HK641" s="27" t="s">
        <v>8</v>
      </c>
      <c r="HR641" s="27" t="s">
        <v>7</v>
      </c>
      <c r="HS641" s="27" t="s">
        <v>8</v>
      </c>
      <c r="HT641" s="27" t="s">
        <v>7</v>
      </c>
      <c r="HU641" s="27" t="s">
        <v>8</v>
      </c>
      <c r="HV641" s="27" t="s">
        <v>7</v>
      </c>
      <c r="HW641" s="27" t="s">
        <v>8</v>
      </c>
      <c r="HX641" s="27" t="s">
        <v>7</v>
      </c>
      <c r="IA641" s="27" t="s">
        <v>8</v>
      </c>
      <c r="IB641" s="27" t="s">
        <v>7</v>
      </c>
      <c r="IE641" s="27" t="s">
        <v>8</v>
      </c>
      <c r="IF641" s="27" t="s">
        <v>7</v>
      </c>
      <c r="IM641" s="27" t="s">
        <v>8</v>
      </c>
      <c r="IN641" s="27" t="s">
        <v>7</v>
      </c>
      <c r="IO641" s="27" t="s">
        <v>8</v>
      </c>
      <c r="IR641" s="27" t="s">
        <v>7</v>
      </c>
      <c r="IS641" s="27" t="s">
        <v>8</v>
      </c>
      <c r="IT641" s="27" t="s">
        <v>7</v>
      </c>
      <c r="IU641" s="27" t="s">
        <v>8</v>
      </c>
      <c r="IV641" s="27" t="s">
        <v>7</v>
      </c>
      <c r="IW641" s="27" t="s">
        <v>8</v>
      </c>
      <c r="IX641" s="27" t="s">
        <v>7</v>
      </c>
      <c r="IY641" s="27" t="s">
        <v>8</v>
      </c>
      <c r="IZ641" s="27" t="s">
        <v>7</v>
      </c>
    </row>
    <row r="642" spans="1:275" x14ac:dyDescent="0.25">
      <c r="A642" s="7">
        <v>0.33650424955324681</v>
      </c>
      <c r="B642"/>
      <c r="C642"/>
      <c r="D642"/>
      <c r="E642"/>
      <c r="F642" s="27" t="s">
        <v>7</v>
      </c>
      <c r="HK642" s="27" t="s">
        <v>8</v>
      </c>
      <c r="HR642" s="27" t="s">
        <v>7</v>
      </c>
      <c r="HS642" s="27" t="s">
        <v>8</v>
      </c>
      <c r="HT642" s="27" t="s">
        <v>7</v>
      </c>
      <c r="HU642" s="27" t="s">
        <v>8</v>
      </c>
      <c r="HV642" s="27" t="s">
        <v>7</v>
      </c>
      <c r="HW642" s="27" t="s">
        <v>8</v>
      </c>
      <c r="HX642" s="27" t="s">
        <v>7</v>
      </c>
      <c r="IA642" s="27" t="s">
        <v>8</v>
      </c>
      <c r="IB642" s="27" t="s">
        <v>7</v>
      </c>
      <c r="IE642" s="27" t="s">
        <v>8</v>
      </c>
      <c r="IF642" s="27" t="s">
        <v>7</v>
      </c>
      <c r="IM642" s="27" t="s">
        <v>8</v>
      </c>
      <c r="IN642" s="27" t="s">
        <v>7</v>
      </c>
      <c r="IO642" s="27" t="s">
        <v>8</v>
      </c>
      <c r="IR642" s="27" t="s">
        <v>7</v>
      </c>
      <c r="IS642" s="27" t="s">
        <v>8</v>
      </c>
      <c r="IT642" s="27" t="s">
        <v>7</v>
      </c>
      <c r="IU642" s="27" t="s">
        <v>8</v>
      </c>
      <c r="IV642" s="27" t="s">
        <v>7</v>
      </c>
      <c r="IW642" s="27" t="s">
        <v>8</v>
      </c>
      <c r="IX642" s="27" t="s">
        <v>7</v>
      </c>
      <c r="IY642" s="27" t="s">
        <v>8</v>
      </c>
      <c r="IZ642" s="27" t="s">
        <v>7</v>
      </c>
    </row>
    <row r="643" spans="1:275" x14ac:dyDescent="0.25">
      <c r="A643" s="7">
        <v>0.3299061270129871</v>
      </c>
      <c r="B643"/>
      <c r="C643"/>
      <c r="D643"/>
      <c r="E643"/>
      <c r="F643" s="27" t="s">
        <v>7</v>
      </c>
      <c r="HK643" s="27" t="s">
        <v>8</v>
      </c>
      <c r="HR643" s="27" t="s">
        <v>7</v>
      </c>
      <c r="HS643" s="27" t="s">
        <v>8</v>
      </c>
      <c r="HT643" s="27" t="s">
        <v>7</v>
      </c>
      <c r="HU643" s="27" t="s">
        <v>8</v>
      </c>
      <c r="HV643" s="27" t="s">
        <v>7</v>
      </c>
      <c r="HW643" s="27" t="s">
        <v>8</v>
      </c>
      <c r="HX643" s="27" t="s">
        <v>7</v>
      </c>
      <c r="HY643" s="27" t="s">
        <v>8</v>
      </c>
      <c r="IA643" s="27" t="s">
        <v>8</v>
      </c>
      <c r="IB643" s="27" t="s">
        <v>7</v>
      </c>
      <c r="IC643" s="27" t="s">
        <v>8</v>
      </c>
      <c r="IE643" s="27" t="s">
        <v>8</v>
      </c>
      <c r="IF643" s="27" t="s">
        <v>7</v>
      </c>
      <c r="IK643" s="27" t="s">
        <v>8</v>
      </c>
      <c r="IM643" s="27" t="s">
        <v>8</v>
      </c>
      <c r="IN643" s="27" t="s">
        <v>7</v>
      </c>
      <c r="IO643" s="27" t="s">
        <v>8</v>
      </c>
      <c r="IR643" s="27" t="s">
        <v>7</v>
      </c>
      <c r="IS643" s="27" t="s">
        <v>8</v>
      </c>
      <c r="IT643" s="27" t="s">
        <v>7</v>
      </c>
      <c r="IU643" s="27" t="s">
        <v>8</v>
      </c>
      <c r="IV643" s="27" t="s">
        <v>7</v>
      </c>
      <c r="IW643" s="27" t="s">
        <v>8</v>
      </c>
      <c r="IX643" s="27" t="s">
        <v>7</v>
      </c>
      <c r="IY643" s="27" t="s">
        <v>8</v>
      </c>
      <c r="IZ643" s="27" t="s">
        <v>7</v>
      </c>
    </row>
    <row r="644" spans="1:275" x14ac:dyDescent="0.25">
      <c r="A644" s="7">
        <v>0.32343737942449713</v>
      </c>
      <c r="B644"/>
      <c r="C644"/>
      <c r="D644"/>
      <c r="E644"/>
      <c r="F644" s="27" t="s">
        <v>7</v>
      </c>
      <c r="HK644" s="27" t="s">
        <v>8</v>
      </c>
      <c r="HR644" s="27" t="s">
        <v>7</v>
      </c>
      <c r="HS644" s="27" t="s">
        <v>8</v>
      </c>
      <c r="HT644" s="27" t="s">
        <v>7</v>
      </c>
      <c r="HU644" s="27" t="s">
        <v>8</v>
      </c>
      <c r="HV644" s="27" t="s">
        <v>7</v>
      </c>
      <c r="HW644" s="27" t="s">
        <v>8</v>
      </c>
      <c r="HX644" s="27" t="s">
        <v>7</v>
      </c>
      <c r="HY644" s="27" t="s">
        <v>8</v>
      </c>
      <c r="HZ644" s="27" t="s">
        <v>7</v>
      </c>
      <c r="IA644" s="27" t="s">
        <v>8</v>
      </c>
      <c r="IB644" s="27" t="s">
        <v>7</v>
      </c>
      <c r="IC644" s="27" t="s">
        <v>8</v>
      </c>
      <c r="ID644" s="27" t="s">
        <v>7</v>
      </c>
      <c r="IE644" s="27" t="s">
        <v>8</v>
      </c>
      <c r="IF644" s="27" t="s">
        <v>7</v>
      </c>
      <c r="IK644" s="27" t="s">
        <v>8</v>
      </c>
      <c r="IL644" s="27" t="s">
        <v>7</v>
      </c>
      <c r="IM644" s="27" t="s">
        <v>8</v>
      </c>
      <c r="IN644" s="27" t="s">
        <v>7</v>
      </c>
      <c r="IO644" s="27" t="s">
        <v>8</v>
      </c>
      <c r="IR644" s="27" t="s">
        <v>7</v>
      </c>
      <c r="IS644" s="27" t="s">
        <v>8</v>
      </c>
      <c r="IT644" s="27" t="s">
        <v>7</v>
      </c>
      <c r="IU644" s="27" t="s">
        <v>8</v>
      </c>
      <c r="IV644" s="27" t="s">
        <v>7</v>
      </c>
      <c r="IX644" s="27" t="s">
        <v>7</v>
      </c>
      <c r="IY644" s="27" t="s">
        <v>8</v>
      </c>
      <c r="IZ644" s="27" t="s">
        <v>7</v>
      </c>
    </row>
    <row r="645" spans="1:275" x14ac:dyDescent="0.25">
      <c r="A645" s="7">
        <v>0.31709547002401678</v>
      </c>
      <c r="B645"/>
      <c r="C645"/>
      <c r="D645"/>
      <c r="E645"/>
      <c r="F645" s="27" t="s">
        <v>7</v>
      </c>
      <c r="HK645" s="27" t="s">
        <v>8</v>
      </c>
      <c r="HR645" s="27" t="s">
        <v>7</v>
      </c>
      <c r="HT645" s="27" t="s">
        <v>7</v>
      </c>
      <c r="HU645" s="27" t="s">
        <v>8</v>
      </c>
      <c r="HV645" s="27" t="s">
        <v>7</v>
      </c>
      <c r="HW645" s="27" t="s">
        <v>8</v>
      </c>
      <c r="HX645" s="27" t="s">
        <v>7</v>
      </c>
      <c r="HY645" s="27" t="s">
        <v>8</v>
      </c>
      <c r="HZ645" s="27" t="s">
        <v>7</v>
      </c>
      <c r="IA645" s="27" t="s">
        <v>8</v>
      </c>
      <c r="IB645" s="27" t="s">
        <v>7</v>
      </c>
      <c r="IC645" s="27" t="s">
        <v>8</v>
      </c>
      <c r="ID645" s="27" t="s">
        <v>7</v>
      </c>
      <c r="IE645" s="27" t="s">
        <v>8</v>
      </c>
      <c r="IF645" s="27" t="s">
        <v>7</v>
      </c>
      <c r="IK645" s="27" t="s">
        <v>8</v>
      </c>
      <c r="IL645" s="27" t="s">
        <v>7</v>
      </c>
      <c r="IM645" s="27" t="s">
        <v>8</v>
      </c>
      <c r="IN645" s="27" t="s">
        <v>7</v>
      </c>
      <c r="IO645" s="27" t="s">
        <v>8</v>
      </c>
      <c r="IR645" s="27" t="s">
        <v>7</v>
      </c>
      <c r="IT645" s="27" t="s">
        <v>7</v>
      </c>
      <c r="IX645" s="27" t="s">
        <v>7</v>
      </c>
      <c r="IY645" s="27" t="s">
        <v>8</v>
      </c>
      <c r="IZ645" s="27" t="s">
        <v>7</v>
      </c>
      <c r="JA645" s="27" t="s">
        <v>8</v>
      </c>
    </row>
    <row r="646" spans="1:275" x14ac:dyDescent="0.25">
      <c r="A646" s="7">
        <v>0.31087791178825175</v>
      </c>
      <c r="B646"/>
      <c r="C646"/>
      <c r="D646"/>
      <c r="E646"/>
      <c r="F646" s="27" t="s">
        <v>7</v>
      </c>
      <c r="HK646" s="27" t="s">
        <v>8</v>
      </c>
      <c r="HT646" s="27" t="s">
        <v>7</v>
      </c>
      <c r="HU646" s="27" t="s">
        <v>8</v>
      </c>
      <c r="HV646" s="27" t="s">
        <v>7</v>
      </c>
      <c r="HW646" s="27" t="s">
        <v>8</v>
      </c>
      <c r="HX646" s="27" t="s">
        <v>7</v>
      </c>
      <c r="HY646" s="27" t="s">
        <v>8</v>
      </c>
      <c r="HZ646" s="27" t="s">
        <v>7</v>
      </c>
      <c r="IA646" s="27" t="s">
        <v>8</v>
      </c>
      <c r="IB646" s="27" t="s">
        <v>7</v>
      </c>
      <c r="IC646" s="27" t="s">
        <v>8</v>
      </c>
      <c r="ID646" s="27" t="s">
        <v>7</v>
      </c>
      <c r="IE646" s="27" t="s">
        <v>8</v>
      </c>
      <c r="IF646" s="27" t="s">
        <v>7</v>
      </c>
      <c r="IK646" s="27" t="s">
        <v>8</v>
      </c>
      <c r="IL646" s="27" t="s">
        <v>7</v>
      </c>
      <c r="IM646" s="27" t="s">
        <v>8</v>
      </c>
      <c r="IN646" s="27" t="s">
        <v>7</v>
      </c>
      <c r="IO646" s="27" t="s">
        <v>8</v>
      </c>
      <c r="IX646" s="27" t="s">
        <v>7</v>
      </c>
      <c r="IY646" s="27" t="s">
        <v>8</v>
      </c>
      <c r="IZ646" s="27" t="s">
        <v>7</v>
      </c>
      <c r="JA646" s="27" t="s">
        <v>8</v>
      </c>
      <c r="JB646" s="27" t="s">
        <v>7</v>
      </c>
    </row>
    <row r="647" spans="1:275" x14ac:dyDescent="0.25">
      <c r="A647" s="7">
        <v>0.30478226645907036</v>
      </c>
      <c r="B647"/>
      <c r="C647"/>
      <c r="D647"/>
      <c r="E647"/>
      <c r="F647" s="27" t="s">
        <v>7</v>
      </c>
      <c r="HK647" s="27" t="s">
        <v>8</v>
      </c>
      <c r="HT647" s="27" t="s">
        <v>7</v>
      </c>
      <c r="HU647" s="27" t="s">
        <v>8</v>
      </c>
      <c r="HV647" s="27" t="s">
        <v>7</v>
      </c>
      <c r="HX647" s="27" t="s">
        <v>7</v>
      </c>
      <c r="HY647" s="27" t="s">
        <v>8</v>
      </c>
      <c r="HZ647" s="27" t="s">
        <v>7</v>
      </c>
      <c r="IB647" s="27" t="s">
        <v>7</v>
      </c>
      <c r="IC647" s="27" t="s">
        <v>8</v>
      </c>
      <c r="ID647" s="27" t="s">
        <v>7</v>
      </c>
      <c r="IF647" s="27" t="s">
        <v>7</v>
      </c>
      <c r="IK647" s="27" t="s">
        <v>8</v>
      </c>
      <c r="IL647" s="27" t="s">
        <v>7</v>
      </c>
      <c r="IM647" s="27" t="s">
        <v>8</v>
      </c>
      <c r="IN647" s="27" t="s">
        <v>7</v>
      </c>
      <c r="IO647" s="27" t="s">
        <v>8</v>
      </c>
      <c r="IX647" s="27" t="s">
        <v>7</v>
      </c>
      <c r="IY647" s="27" t="s">
        <v>8</v>
      </c>
      <c r="IZ647" s="27" t="s">
        <v>7</v>
      </c>
      <c r="JA647" s="27" t="s">
        <v>8</v>
      </c>
      <c r="JB647" s="27" t="s">
        <v>7</v>
      </c>
      <c r="JC647" s="27" t="s">
        <v>8</v>
      </c>
    </row>
    <row r="648" spans="1:275" x14ac:dyDescent="0.25">
      <c r="A648" s="7">
        <v>0.29880614358732388</v>
      </c>
      <c r="B648"/>
      <c r="C648"/>
      <c r="D648"/>
      <c r="E648"/>
      <c r="F648" s="27" t="s">
        <v>7</v>
      </c>
      <c r="HK648" s="27" t="s">
        <v>8</v>
      </c>
      <c r="HT648" s="27" t="s">
        <v>7</v>
      </c>
      <c r="HU648" s="27" t="s">
        <v>8</v>
      </c>
      <c r="HX648" s="27" t="s">
        <v>7</v>
      </c>
      <c r="HY648" s="27" t="s">
        <v>8</v>
      </c>
      <c r="IB648" s="27" t="s">
        <v>7</v>
      </c>
      <c r="IF648" s="27" t="s">
        <v>7</v>
      </c>
      <c r="IK648" s="27" t="s">
        <v>8</v>
      </c>
      <c r="IL648" s="27" t="s">
        <v>7</v>
      </c>
      <c r="IM648" s="27" t="s">
        <v>8</v>
      </c>
      <c r="IN648" s="27" t="s">
        <v>7</v>
      </c>
      <c r="IO648" s="27" t="s">
        <v>8</v>
      </c>
      <c r="IX648" s="27" t="s">
        <v>7</v>
      </c>
      <c r="IY648" s="27" t="s">
        <v>8</v>
      </c>
      <c r="IZ648" s="27" t="s">
        <v>7</v>
      </c>
      <c r="JB648" s="27" t="s">
        <v>7</v>
      </c>
      <c r="JC648" s="27" t="s">
        <v>8</v>
      </c>
      <c r="JD648" s="27" t="s">
        <v>7</v>
      </c>
    </row>
    <row r="649" spans="1:275" x14ac:dyDescent="0.25">
      <c r="A649" s="7">
        <v>0.2929471995954156</v>
      </c>
      <c r="B649"/>
      <c r="C649"/>
      <c r="D649"/>
      <c r="E649"/>
      <c r="F649" s="27" t="s">
        <v>7</v>
      </c>
      <c r="HK649" s="27" t="s">
        <v>8</v>
      </c>
      <c r="HT649" s="27" t="s">
        <v>7</v>
      </c>
      <c r="HU649" s="27" t="s">
        <v>8</v>
      </c>
      <c r="HX649" s="27" t="s">
        <v>7</v>
      </c>
      <c r="HY649" s="27" t="s">
        <v>8</v>
      </c>
      <c r="IF649" s="27" t="s">
        <v>7</v>
      </c>
      <c r="IG649" s="27" t="s">
        <v>8</v>
      </c>
      <c r="IK649" s="27" t="s">
        <v>8</v>
      </c>
      <c r="IL649" s="27" t="s">
        <v>7</v>
      </c>
      <c r="IM649" s="27" t="s">
        <v>8</v>
      </c>
      <c r="IN649" s="27" t="s">
        <v>7</v>
      </c>
      <c r="IO649" s="27" t="s">
        <v>8</v>
      </c>
      <c r="IX649" s="27" t="s">
        <v>7</v>
      </c>
      <c r="IY649" s="27" t="s">
        <v>8</v>
      </c>
      <c r="JB649" s="27" t="s">
        <v>7</v>
      </c>
      <c r="JC649" s="27" t="s">
        <v>8</v>
      </c>
      <c r="JD649" s="27" t="s">
        <v>7</v>
      </c>
      <c r="JE649" s="27" t="s">
        <v>8</v>
      </c>
      <c r="JK649" s="27" t="s">
        <v>8</v>
      </c>
    </row>
    <row r="650" spans="1:275" x14ac:dyDescent="0.25">
      <c r="A650" s="7">
        <v>0.28720313685825055</v>
      </c>
      <c r="B650"/>
      <c r="C650"/>
      <c r="D650"/>
      <c r="E650"/>
      <c r="F650" s="27" t="s">
        <v>7</v>
      </c>
      <c r="HK650" s="27" t="s">
        <v>8</v>
      </c>
      <c r="HT650" s="27" t="s">
        <v>7</v>
      </c>
      <c r="HU650" s="27" t="s">
        <v>8</v>
      </c>
      <c r="HX650" s="27" t="s">
        <v>7</v>
      </c>
      <c r="HY650" s="27" t="s">
        <v>8</v>
      </c>
      <c r="IF650" s="27" t="s">
        <v>7</v>
      </c>
      <c r="IG650" s="27" t="s">
        <v>8</v>
      </c>
      <c r="IH650" s="27" t="s">
        <v>7</v>
      </c>
      <c r="IK650" s="27" t="s">
        <v>8</v>
      </c>
      <c r="IL650" s="27" t="s">
        <v>7</v>
      </c>
      <c r="IM650" s="27" t="s">
        <v>8</v>
      </c>
      <c r="IN650" s="27" t="s">
        <v>7</v>
      </c>
      <c r="IO650" s="27" t="s">
        <v>8</v>
      </c>
      <c r="IX650" s="27" t="s">
        <v>7</v>
      </c>
      <c r="IY650" s="27" t="s">
        <v>8</v>
      </c>
      <c r="JB650" s="27" t="s">
        <v>7</v>
      </c>
      <c r="JC650" s="27" t="s">
        <v>8</v>
      </c>
      <c r="JD650" s="27" t="s">
        <v>7</v>
      </c>
      <c r="JE650" s="27" t="s">
        <v>8</v>
      </c>
      <c r="JF650" s="27" t="s">
        <v>7</v>
      </c>
      <c r="JI650" s="27" t="s">
        <v>8</v>
      </c>
      <c r="JK650" s="27" t="s">
        <v>8</v>
      </c>
      <c r="JL650" s="27" t="s">
        <v>7</v>
      </c>
    </row>
    <row r="651" spans="1:275" x14ac:dyDescent="0.25">
      <c r="A651" s="7">
        <v>0.28157170280220645</v>
      </c>
      <c r="B651"/>
      <c r="C651"/>
      <c r="D651"/>
      <c r="E651"/>
      <c r="F651" s="27" t="s">
        <v>7</v>
      </c>
      <c r="HK651" s="27" t="s">
        <v>8</v>
      </c>
      <c r="HT651" s="27" t="s">
        <v>7</v>
      </c>
      <c r="HU651" s="27" t="s">
        <v>8</v>
      </c>
      <c r="HX651" s="27" t="s">
        <v>7</v>
      </c>
      <c r="IF651" s="27" t="s">
        <v>7</v>
      </c>
      <c r="IG651" s="27" t="s">
        <v>8</v>
      </c>
      <c r="IH651" s="27" t="s">
        <v>7</v>
      </c>
      <c r="IK651" s="27" t="s">
        <v>8</v>
      </c>
      <c r="IL651" s="27" t="s">
        <v>7</v>
      </c>
      <c r="IM651" s="27" t="s">
        <v>8</v>
      </c>
      <c r="IN651" s="27" t="s">
        <v>7</v>
      </c>
      <c r="IO651" s="27" t="s">
        <v>8</v>
      </c>
      <c r="IX651" s="27" t="s">
        <v>7</v>
      </c>
      <c r="IY651" s="27" t="s">
        <v>8</v>
      </c>
      <c r="JB651" s="27" t="s">
        <v>7</v>
      </c>
      <c r="JC651" s="27" t="s">
        <v>8</v>
      </c>
      <c r="JD651" s="27" t="s">
        <v>7</v>
      </c>
      <c r="JE651" s="27" t="s">
        <v>8</v>
      </c>
      <c r="JF651" s="27" t="s">
        <v>7</v>
      </c>
      <c r="JG651" s="27" t="s">
        <v>8</v>
      </c>
      <c r="JI651" s="27" t="s">
        <v>8</v>
      </c>
      <c r="JJ651" s="27" t="s">
        <v>7</v>
      </c>
      <c r="JK651" s="27" t="s">
        <v>8</v>
      </c>
      <c r="JL651" s="27" t="s">
        <v>7</v>
      </c>
      <c r="JM651" s="27" t="s">
        <v>8</v>
      </c>
    </row>
    <row r="652" spans="1:275" x14ac:dyDescent="0.25">
      <c r="A652" s="7">
        <v>0.27605068902177105</v>
      </c>
      <c r="B652"/>
      <c r="C652"/>
      <c r="D652"/>
      <c r="E652"/>
      <c r="F652" s="27" t="s">
        <v>7</v>
      </c>
      <c r="HK652" s="27" t="s">
        <v>8</v>
      </c>
      <c r="HT652" s="27" t="s">
        <v>7</v>
      </c>
      <c r="HU652" s="27" t="s">
        <v>8</v>
      </c>
      <c r="IF652" s="27" t="s">
        <v>7</v>
      </c>
      <c r="IG652" s="27" t="s">
        <v>8</v>
      </c>
      <c r="IH652" s="27" t="s">
        <v>7</v>
      </c>
      <c r="IK652" s="27" t="s">
        <v>8</v>
      </c>
      <c r="IL652" s="27" t="s">
        <v>7</v>
      </c>
      <c r="IM652" s="27" t="s">
        <v>8</v>
      </c>
      <c r="IN652" s="27" t="s">
        <v>7</v>
      </c>
      <c r="IO652" s="27" t="s">
        <v>8</v>
      </c>
      <c r="IX652" s="27" t="s">
        <v>7</v>
      </c>
      <c r="IY652" s="27" t="s">
        <v>8</v>
      </c>
      <c r="JB652" s="27" t="s">
        <v>7</v>
      </c>
      <c r="JC652" s="27" t="s">
        <v>8</v>
      </c>
      <c r="JD652" s="27" t="s">
        <v>7</v>
      </c>
      <c r="JE652" s="27" t="s">
        <v>8</v>
      </c>
      <c r="JF652" s="27" t="s">
        <v>7</v>
      </c>
      <c r="JG652" s="27" t="s">
        <v>8</v>
      </c>
      <c r="JH652" s="27" t="s">
        <v>7</v>
      </c>
      <c r="JI652" s="27" t="s">
        <v>8</v>
      </c>
      <c r="JJ652" s="27" t="s">
        <v>7</v>
      </c>
      <c r="JK652" s="27" t="s">
        <v>8</v>
      </c>
      <c r="JL652" s="27" t="s">
        <v>7</v>
      </c>
      <c r="JM652" s="27" t="s">
        <v>8</v>
      </c>
      <c r="JN652" s="27" t="s">
        <v>7</v>
      </c>
    </row>
    <row r="653" spans="1:275" x14ac:dyDescent="0.25">
      <c r="A653" s="7">
        <v>0.27063793041350104</v>
      </c>
      <c r="B653"/>
      <c r="C653"/>
      <c r="D653"/>
      <c r="E653"/>
      <c r="F653" s="27" t="s">
        <v>7</v>
      </c>
      <c r="HK653" s="27" t="s">
        <v>8</v>
      </c>
      <c r="HT653" s="27" t="s">
        <v>7</v>
      </c>
      <c r="HU653" s="27" t="s">
        <v>8</v>
      </c>
      <c r="IF653" s="27" t="s">
        <v>7</v>
      </c>
      <c r="IG653" s="27" t="s">
        <v>8</v>
      </c>
      <c r="IH653" s="27" t="s">
        <v>7</v>
      </c>
      <c r="II653" s="27" t="s">
        <v>8</v>
      </c>
      <c r="IK653" s="27" t="s">
        <v>8</v>
      </c>
      <c r="IL653" s="27" t="s">
        <v>7</v>
      </c>
      <c r="IM653" s="27" t="s">
        <v>8</v>
      </c>
      <c r="IN653" s="27" t="s">
        <v>7</v>
      </c>
      <c r="IO653" s="27" t="s">
        <v>8</v>
      </c>
      <c r="IX653" s="27" t="s">
        <v>7</v>
      </c>
      <c r="IY653" s="27" t="s">
        <v>8</v>
      </c>
      <c r="JB653" s="27" t="s">
        <v>7</v>
      </c>
      <c r="JC653" s="27" t="s">
        <v>8</v>
      </c>
      <c r="JD653" s="27" t="s">
        <v>7</v>
      </c>
      <c r="JF653" s="27" t="s">
        <v>7</v>
      </c>
      <c r="JG653" s="27" t="s">
        <v>8</v>
      </c>
      <c r="JH653" s="27" t="s">
        <v>7</v>
      </c>
      <c r="JI653" s="27" t="s">
        <v>8</v>
      </c>
      <c r="JJ653" s="27" t="s">
        <v>7</v>
      </c>
      <c r="JL653" s="27" t="s">
        <v>7</v>
      </c>
      <c r="JM653" s="27" t="s">
        <v>8</v>
      </c>
      <c r="JN653" s="27" t="s">
        <v>7</v>
      </c>
    </row>
    <row r="654" spans="1:275" x14ac:dyDescent="0.25">
      <c r="A654" s="7">
        <v>0.26533130432696184</v>
      </c>
      <c r="B654"/>
      <c r="C654"/>
      <c r="D654"/>
      <c r="E654"/>
      <c r="F654" s="27" t="s">
        <v>7</v>
      </c>
      <c r="HK654" s="27" t="s">
        <v>8</v>
      </c>
      <c r="HT654" s="27" t="s">
        <v>7</v>
      </c>
      <c r="HU654" s="27" t="s">
        <v>8</v>
      </c>
      <c r="IF654" s="27" t="s">
        <v>7</v>
      </c>
      <c r="IG654" s="27" t="s">
        <v>8</v>
      </c>
      <c r="IH654" s="27" t="s">
        <v>7</v>
      </c>
      <c r="II654" s="27" t="s">
        <v>8</v>
      </c>
      <c r="IJ654" s="27" t="s">
        <v>7</v>
      </c>
      <c r="IK654" s="27" t="s">
        <v>8</v>
      </c>
      <c r="IL654" s="27" t="s">
        <v>7</v>
      </c>
      <c r="IM654" s="27" t="s">
        <v>8</v>
      </c>
      <c r="IN654" s="27" t="s">
        <v>7</v>
      </c>
      <c r="IO654" s="27" t="s">
        <v>8</v>
      </c>
      <c r="IX654" s="27" t="s">
        <v>7</v>
      </c>
      <c r="IY654" s="27" t="s">
        <v>8</v>
      </c>
      <c r="JB654" s="27" t="s">
        <v>7</v>
      </c>
      <c r="JF654" s="27" t="s">
        <v>7</v>
      </c>
      <c r="JG654" s="27" t="s">
        <v>8</v>
      </c>
      <c r="JH654" s="27" t="s">
        <v>7</v>
      </c>
      <c r="JI654" s="27" t="s">
        <v>8</v>
      </c>
      <c r="JL654" s="27" t="s">
        <v>7</v>
      </c>
      <c r="JM654" s="27" t="s">
        <v>8</v>
      </c>
      <c r="JN654" s="27" t="s">
        <v>7</v>
      </c>
    </row>
    <row r="655" spans="1:275" x14ac:dyDescent="0.25">
      <c r="A655" s="7">
        <v>0.26012872973231554</v>
      </c>
      <c r="B655"/>
      <c r="C655"/>
      <c r="D655"/>
      <c r="E655"/>
      <c r="F655" s="27" t="s">
        <v>7</v>
      </c>
      <c r="HK655" s="27" t="s">
        <v>8</v>
      </c>
      <c r="HT655" s="27" t="s">
        <v>7</v>
      </c>
      <c r="HU655" s="27" t="s">
        <v>8</v>
      </c>
      <c r="IF655" s="27" t="s">
        <v>7</v>
      </c>
      <c r="IG655" s="27" t="s">
        <v>8</v>
      </c>
      <c r="IH655" s="27" t="s">
        <v>7</v>
      </c>
      <c r="II655" s="27" t="s">
        <v>8</v>
      </c>
      <c r="IJ655" s="27" t="s">
        <v>7</v>
      </c>
      <c r="IK655" s="27" t="s">
        <v>8</v>
      </c>
      <c r="IL655" s="27" t="s">
        <v>7</v>
      </c>
      <c r="IM655" s="27" t="s">
        <v>8</v>
      </c>
      <c r="IN655" s="27" t="s">
        <v>7</v>
      </c>
      <c r="IO655" s="27" t="s">
        <v>8</v>
      </c>
      <c r="IX655" s="27" t="s">
        <v>7</v>
      </c>
      <c r="IY655" s="27" t="s">
        <v>8</v>
      </c>
      <c r="JF655" s="27" t="s">
        <v>7</v>
      </c>
      <c r="JH655" s="27" t="s">
        <v>7</v>
      </c>
      <c r="JI655" s="27" t="s">
        <v>8</v>
      </c>
      <c r="JL655" s="27" t="s">
        <v>7</v>
      </c>
      <c r="JM655" s="27" t="s">
        <v>8</v>
      </c>
      <c r="JN655" s="27" t="s">
        <v>7</v>
      </c>
    </row>
    <row r="656" spans="1:275" x14ac:dyDescent="0.25">
      <c r="A656" s="7">
        <v>0.25502816640423093</v>
      </c>
      <c r="B656"/>
      <c r="C656"/>
      <c r="D656"/>
      <c r="E656"/>
      <c r="F656" s="27" t="s">
        <v>7</v>
      </c>
      <c r="HK656" s="27" t="s">
        <v>8</v>
      </c>
      <c r="HT656" s="27" t="s">
        <v>7</v>
      </c>
      <c r="HU656" s="27" t="s">
        <v>8</v>
      </c>
      <c r="IF656" s="27" t="s">
        <v>7</v>
      </c>
      <c r="IG656" s="27" t="s">
        <v>8</v>
      </c>
      <c r="IH656" s="27" t="s">
        <v>7</v>
      </c>
      <c r="II656" s="27" t="s">
        <v>8</v>
      </c>
      <c r="IJ656" s="27" t="s">
        <v>7</v>
      </c>
      <c r="IK656" s="27" t="s">
        <v>8</v>
      </c>
      <c r="IL656" s="27" t="s">
        <v>7</v>
      </c>
      <c r="IM656" s="27" t="s">
        <v>8</v>
      </c>
      <c r="IN656" s="27" t="s">
        <v>7</v>
      </c>
      <c r="IX656" s="27" t="s">
        <v>7</v>
      </c>
      <c r="IY656" s="27" t="s">
        <v>8</v>
      </c>
      <c r="JH656" s="27" t="s">
        <v>7</v>
      </c>
      <c r="JI656" s="27" t="s">
        <v>8</v>
      </c>
      <c r="JL656" s="27" t="s">
        <v>7</v>
      </c>
      <c r="JN656" s="27" t="s">
        <v>7</v>
      </c>
      <c r="JO656" s="27" t="s">
        <v>8</v>
      </c>
    </row>
    <row r="657" spans="1:280" x14ac:dyDescent="0.25">
      <c r="A657" s="7">
        <v>0.25002761412179503</v>
      </c>
      <c r="B657"/>
      <c r="C657"/>
      <c r="D657"/>
      <c r="E657"/>
      <c r="F657" s="27" t="s">
        <v>7</v>
      </c>
      <c r="HK657" s="27" t="s">
        <v>8</v>
      </c>
      <c r="HT657" s="27" t="s">
        <v>7</v>
      </c>
      <c r="HU657" s="27" t="s">
        <v>8</v>
      </c>
      <c r="IF657" s="27" t="s">
        <v>7</v>
      </c>
      <c r="IG657" s="27" t="s">
        <v>8</v>
      </c>
      <c r="IH657" s="27" t="s">
        <v>7</v>
      </c>
      <c r="II657" s="27" t="s">
        <v>8</v>
      </c>
      <c r="IJ657" s="27" t="s">
        <v>7</v>
      </c>
      <c r="IK657" s="27" t="s">
        <v>8</v>
      </c>
      <c r="IL657" s="27" t="s">
        <v>7</v>
      </c>
      <c r="IM657" s="27" t="s">
        <v>8</v>
      </c>
      <c r="IX657" s="27" t="s">
        <v>7</v>
      </c>
      <c r="IY657" s="27" t="s">
        <v>8</v>
      </c>
      <c r="JH657" s="27" t="s">
        <v>7</v>
      </c>
      <c r="JI657" s="27" t="s">
        <v>8</v>
      </c>
      <c r="JN657" s="27" t="s">
        <v>7</v>
      </c>
      <c r="JO657" s="27" t="s">
        <v>8</v>
      </c>
      <c r="JP657" s="27" t="s">
        <v>7</v>
      </c>
    </row>
    <row r="658" spans="1:280" x14ac:dyDescent="0.25">
      <c r="A658" s="7">
        <v>0.24512511188411276</v>
      </c>
      <c r="B658"/>
      <c r="C658"/>
      <c r="D658"/>
      <c r="E658"/>
      <c r="F658" s="27" t="s">
        <v>7</v>
      </c>
      <c r="HK658" s="27" t="s">
        <v>8</v>
      </c>
      <c r="HT658" s="27" t="s">
        <v>7</v>
      </c>
      <c r="HU658" s="27" t="s">
        <v>8</v>
      </c>
      <c r="IF658" s="27" t="s">
        <v>7</v>
      </c>
      <c r="IG658" s="27" t="s">
        <v>8</v>
      </c>
      <c r="IH658" s="27" t="s">
        <v>7</v>
      </c>
      <c r="II658" s="27" t="s">
        <v>8</v>
      </c>
      <c r="IJ658" s="27" t="s">
        <v>7</v>
      </c>
      <c r="IK658" s="27" t="s">
        <v>8</v>
      </c>
      <c r="IL658" s="27" t="s">
        <v>7</v>
      </c>
      <c r="IM658" s="27" t="s">
        <v>8</v>
      </c>
      <c r="IX658" s="27" t="s">
        <v>7</v>
      </c>
      <c r="JH658" s="27" t="s">
        <v>7</v>
      </c>
      <c r="JN658" s="27" t="s">
        <v>7</v>
      </c>
      <c r="JO658" s="27" t="s">
        <v>8</v>
      </c>
      <c r="JP658" s="27" t="s">
        <v>7</v>
      </c>
    </row>
    <row r="659" spans="1:280" x14ac:dyDescent="0.25">
      <c r="A659" s="7">
        <v>0.24031873714128701</v>
      </c>
      <c r="B659"/>
      <c r="C659"/>
      <c r="D659"/>
      <c r="E659"/>
      <c r="F659" s="27" t="s">
        <v>7</v>
      </c>
      <c r="ES659" s="27" t="s">
        <v>8</v>
      </c>
      <c r="HK659" s="27" t="s">
        <v>8</v>
      </c>
      <c r="HT659" s="27" t="s">
        <v>7</v>
      </c>
      <c r="IF659" s="27" t="s">
        <v>7</v>
      </c>
      <c r="IG659" s="27" t="s">
        <v>8</v>
      </c>
      <c r="IH659" s="27" t="s">
        <v>7</v>
      </c>
      <c r="II659" s="27" t="s">
        <v>8</v>
      </c>
      <c r="IJ659" s="27" t="s">
        <v>7</v>
      </c>
      <c r="IK659" s="27" t="s">
        <v>8</v>
      </c>
      <c r="IL659" s="27" t="s">
        <v>7</v>
      </c>
      <c r="JN659" s="27" t="s">
        <v>7</v>
      </c>
      <c r="JO659" s="27" t="s">
        <v>8</v>
      </c>
      <c r="JP659" s="27" t="s">
        <v>7</v>
      </c>
    </row>
    <row r="660" spans="1:280" x14ac:dyDescent="0.25">
      <c r="A660" s="7">
        <v>0.23560660504047748</v>
      </c>
      <c r="B660"/>
      <c r="C660"/>
      <c r="D660"/>
      <c r="E660"/>
      <c r="F660" s="27" t="s">
        <v>7</v>
      </c>
      <c r="ES660" s="27" t="s">
        <v>8</v>
      </c>
      <c r="ET660" s="27" t="s">
        <v>7</v>
      </c>
      <c r="HK660" s="27" t="s">
        <v>8</v>
      </c>
      <c r="IF660" s="27" t="s">
        <v>7</v>
      </c>
      <c r="IG660" s="27" t="s">
        <v>8</v>
      </c>
      <c r="IH660" s="27" t="s">
        <v>7</v>
      </c>
      <c r="IJ660" s="27" t="s">
        <v>7</v>
      </c>
      <c r="JN660" s="27" t="s">
        <v>7</v>
      </c>
      <c r="JO660" s="27" t="s">
        <v>8</v>
      </c>
      <c r="JP660" s="27" t="s">
        <v>7</v>
      </c>
    </row>
    <row r="661" spans="1:280" x14ac:dyDescent="0.25">
      <c r="A661" s="7">
        <v>0.23098686768674265</v>
      </c>
      <c r="B661"/>
      <c r="C661"/>
      <c r="D661"/>
      <c r="E661"/>
      <c r="F661" s="27" t="s">
        <v>7</v>
      </c>
      <c r="ES661" s="27" t="s">
        <v>8</v>
      </c>
      <c r="ET661" s="27" t="s">
        <v>7</v>
      </c>
      <c r="HK661" s="27" t="s">
        <v>8</v>
      </c>
      <c r="IF661" s="27" t="s">
        <v>7</v>
      </c>
      <c r="IG661" s="27" t="s">
        <v>8</v>
      </c>
      <c r="JN661" s="27" t="s">
        <v>7</v>
      </c>
      <c r="JO661" s="27" t="s">
        <v>8</v>
      </c>
      <c r="JP661" s="27" t="s">
        <v>7</v>
      </c>
    </row>
    <row r="662" spans="1:280" x14ac:dyDescent="0.25">
      <c r="A662" s="7">
        <v>0.22645771341837515</v>
      </c>
      <c r="B662"/>
      <c r="C662"/>
      <c r="D662"/>
      <c r="E662"/>
      <c r="F662" s="27" t="s">
        <v>7</v>
      </c>
      <c r="ES662" s="27" t="s">
        <v>8</v>
      </c>
      <c r="ET662" s="27" t="s">
        <v>7</v>
      </c>
      <c r="HK662" s="27" t="s">
        <v>8</v>
      </c>
      <c r="IF662" s="27" t="s">
        <v>7</v>
      </c>
      <c r="JN662" s="27" t="s">
        <v>7</v>
      </c>
      <c r="JO662" s="27" t="s">
        <v>8</v>
      </c>
      <c r="JP662" s="27" t="s">
        <v>7</v>
      </c>
    </row>
    <row r="663" spans="1:280" x14ac:dyDescent="0.25">
      <c r="A663" s="7">
        <v>0.22201736609644623</v>
      </c>
      <c r="B663"/>
      <c r="C663"/>
      <c r="D663"/>
      <c r="E663"/>
      <c r="F663" s="27" t="s">
        <v>7</v>
      </c>
      <c r="EI663" s="27" t="s">
        <v>8</v>
      </c>
      <c r="ES663" s="27" t="s">
        <v>8</v>
      </c>
      <c r="ET663" s="27" t="s">
        <v>7</v>
      </c>
      <c r="HK663" s="27" t="s">
        <v>8</v>
      </c>
      <c r="JN663" s="27" t="s">
        <v>7</v>
      </c>
      <c r="JO663" s="27" t="s">
        <v>8</v>
      </c>
      <c r="JP663" s="27" t="s">
        <v>7</v>
      </c>
    </row>
    <row r="664" spans="1:280" x14ac:dyDescent="0.25">
      <c r="A664" s="7">
        <v>0.21766408440828061</v>
      </c>
      <c r="B664"/>
      <c r="C664"/>
      <c r="D664"/>
      <c r="E664"/>
      <c r="F664" s="27" t="s">
        <v>7</v>
      </c>
      <c r="EI664" s="27" t="s">
        <v>8</v>
      </c>
      <c r="EJ664" s="27" t="s">
        <v>7</v>
      </c>
      <c r="ES664" s="27" t="s">
        <v>8</v>
      </c>
      <c r="ET664" s="27" t="s">
        <v>7</v>
      </c>
      <c r="HK664" s="27" t="s">
        <v>8</v>
      </c>
      <c r="JN664" s="27" t="s">
        <v>7</v>
      </c>
      <c r="JO664" s="27" t="s">
        <v>8</v>
      </c>
      <c r="JP664" s="27" t="s">
        <v>7</v>
      </c>
      <c r="JQ664" s="27" t="s">
        <v>8</v>
      </c>
      <c r="JS664" s="27" t="s">
        <v>8</v>
      </c>
    </row>
    <row r="665" spans="1:280" x14ac:dyDescent="0.25">
      <c r="A665" s="7">
        <v>0.21339616118458882</v>
      </c>
      <c r="B665"/>
      <c r="C665"/>
      <c r="D665"/>
      <c r="E665"/>
      <c r="F665" s="27" t="s">
        <v>7</v>
      </c>
      <c r="EI665" s="27" t="s">
        <v>8</v>
      </c>
      <c r="EJ665" s="27" t="s">
        <v>7</v>
      </c>
      <c r="ES665" s="27" t="s">
        <v>8</v>
      </c>
      <c r="ET665" s="27" t="s">
        <v>7</v>
      </c>
      <c r="HK665" s="27" t="s">
        <v>8</v>
      </c>
      <c r="JN665" s="27" t="s">
        <v>7</v>
      </c>
      <c r="JO665" s="27" t="s">
        <v>8</v>
      </c>
      <c r="JP665" s="27" t="s">
        <v>7</v>
      </c>
      <c r="JQ665" s="27" t="s">
        <v>8</v>
      </c>
      <c r="JR665" s="27" t="s">
        <v>7</v>
      </c>
      <c r="JS665" s="27" t="s">
        <v>8</v>
      </c>
      <c r="JT665" s="27" t="s">
        <v>7</v>
      </c>
    </row>
    <row r="666" spans="1:280" x14ac:dyDescent="0.25">
      <c r="A666" s="7">
        <v>0.20921192272998904</v>
      </c>
      <c r="B666"/>
      <c r="C666"/>
      <c r="D666"/>
      <c r="E666"/>
      <c r="F666" s="27" t="s">
        <v>7</v>
      </c>
      <c r="EI666" s="27" t="s">
        <v>8</v>
      </c>
      <c r="EJ666" s="27" t="s">
        <v>7</v>
      </c>
      <c r="ES666" s="27" t="s">
        <v>8</v>
      </c>
      <c r="ET666" s="27" t="s">
        <v>7</v>
      </c>
      <c r="HK666" s="27" t="s">
        <v>8</v>
      </c>
      <c r="JN666" s="27" t="s">
        <v>7</v>
      </c>
      <c r="JO666" s="27" t="s">
        <v>8</v>
      </c>
      <c r="JP666" s="27" t="s">
        <v>7</v>
      </c>
      <c r="JQ666" s="27" t="s">
        <v>8</v>
      </c>
      <c r="JR666" s="27" t="s">
        <v>7</v>
      </c>
      <c r="JS666" s="27" t="s">
        <v>8</v>
      </c>
      <c r="JT666" s="27" t="s">
        <v>7</v>
      </c>
    </row>
    <row r="667" spans="1:280" x14ac:dyDescent="0.25">
      <c r="A667" s="7">
        <v>0.20510972816665593</v>
      </c>
      <c r="B667"/>
      <c r="C667"/>
      <c r="D667"/>
      <c r="E667"/>
      <c r="F667" s="27" t="s">
        <v>7</v>
      </c>
      <c r="EI667" s="27" t="s">
        <v>8</v>
      </c>
      <c r="EJ667" s="27" t="s">
        <v>7</v>
      </c>
      <c r="ES667" s="27" t="s">
        <v>8</v>
      </c>
      <c r="ET667" s="27" t="s">
        <v>7</v>
      </c>
      <c r="HK667" s="27" t="s">
        <v>8</v>
      </c>
      <c r="JN667" s="27" t="s">
        <v>7</v>
      </c>
      <c r="JO667" s="27" t="s">
        <v>8</v>
      </c>
      <c r="JP667" s="27" t="s">
        <v>7</v>
      </c>
      <c r="JQ667" s="27" t="s">
        <v>8</v>
      </c>
      <c r="JR667" s="27" t="s">
        <v>7</v>
      </c>
      <c r="JS667" s="27" t="s">
        <v>8</v>
      </c>
      <c r="JT667" s="27" t="s">
        <v>7</v>
      </c>
    </row>
    <row r="668" spans="1:280" x14ac:dyDescent="0.25">
      <c r="A668" s="7">
        <v>0.20108796879083912</v>
      </c>
      <c r="B668"/>
      <c r="C668"/>
      <c r="D668"/>
      <c r="E668"/>
      <c r="F668" s="27" t="s">
        <v>7</v>
      </c>
      <c r="EI668" s="27" t="s">
        <v>8</v>
      </c>
      <c r="EJ668" s="27" t="s">
        <v>7</v>
      </c>
      <c r="ES668" s="27" t="s">
        <v>8</v>
      </c>
      <c r="ET668" s="27" t="s">
        <v>7</v>
      </c>
      <c r="HK668" s="27" t="s">
        <v>8</v>
      </c>
      <c r="JN668" s="27" t="s">
        <v>7</v>
      </c>
      <c r="JP668" s="27" t="s">
        <v>7</v>
      </c>
      <c r="JQ668" s="27" t="s">
        <v>8</v>
      </c>
      <c r="JR668" s="27" t="s">
        <v>7</v>
      </c>
      <c r="JS668" s="27" t="s">
        <v>8</v>
      </c>
      <c r="JT668" s="27" t="s">
        <v>7</v>
      </c>
    </row>
    <row r="669" spans="1:280" x14ac:dyDescent="0.25">
      <c r="A669" s="7">
        <v>0.19714506744199917</v>
      </c>
      <c r="B669"/>
      <c r="C669"/>
      <c r="D669"/>
      <c r="E669"/>
      <c r="F669" s="27" t="s">
        <v>7</v>
      </c>
      <c r="EC669" s="27" t="s">
        <v>8</v>
      </c>
      <c r="EI669" s="27" t="s">
        <v>8</v>
      </c>
      <c r="EJ669" s="27" t="s">
        <v>7</v>
      </c>
      <c r="ES669" s="27" t="s">
        <v>8</v>
      </c>
      <c r="ET669" s="27" t="s">
        <v>7</v>
      </c>
      <c r="HK669" s="27" t="s">
        <v>8</v>
      </c>
      <c r="JP669" s="27" t="s">
        <v>7</v>
      </c>
      <c r="JQ669" s="27" t="s">
        <v>8</v>
      </c>
      <c r="JR669" s="27" t="s">
        <v>7</v>
      </c>
      <c r="JT669" s="27" t="s">
        <v>7</v>
      </c>
    </row>
    <row r="670" spans="1:280" x14ac:dyDescent="0.25">
      <c r="A670" s="7">
        <v>0.19327947788431293</v>
      </c>
      <c r="B670"/>
      <c r="C670"/>
      <c r="D670"/>
      <c r="E670"/>
      <c r="F670" s="27" t="s">
        <v>7</v>
      </c>
      <c r="EC670" s="27" t="s">
        <v>8</v>
      </c>
      <c r="ED670" s="27" t="s">
        <v>7</v>
      </c>
      <c r="EI670" s="27" t="s">
        <v>8</v>
      </c>
      <c r="EJ670" s="27" t="s">
        <v>7</v>
      </c>
      <c r="EK670" s="27" t="s">
        <v>8</v>
      </c>
      <c r="ES670" s="27" t="s">
        <v>8</v>
      </c>
      <c r="ET670" s="27" t="s">
        <v>7</v>
      </c>
      <c r="HK670" s="27" t="s">
        <v>8</v>
      </c>
      <c r="JP670" s="27" t="s">
        <v>7</v>
      </c>
      <c r="JT670" s="27" t="s">
        <v>7</v>
      </c>
    </row>
    <row r="671" spans="1:280" x14ac:dyDescent="0.25">
      <c r="A671" s="7">
        <v>0.18948968420030682</v>
      </c>
      <c r="B671"/>
      <c r="C671"/>
      <c r="D671"/>
      <c r="E671"/>
      <c r="F671" s="27" t="s">
        <v>7</v>
      </c>
      <c r="EC671" s="27" t="s">
        <v>8</v>
      </c>
      <c r="ED671" s="27" t="s">
        <v>7</v>
      </c>
      <c r="EI671" s="27" t="s">
        <v>8</v>
      </c>
      <c r="EJ671" s="27" t="s">
        <v>7</v>
      </c>
      <c r="EK671" s="27" t="s">
        <v>8</v>
      </c>
      <c r="EL671" s="27" t="s">
        <v>7</v>
      </c>
      <c r="ES671" s="27" t="s">
        <v>8</v>
      </c>
      <c r="ET671" s="27" t="s">
        <v>7</v>
      </c>
      <c r="HK671" s="27" t="s">
        <v>8</v>
      </c>
      <c r="JT671" s="27" t="s">
        <v>7</v>
      </c>
    </row>
    <row r="672" spans="1:280" x14ac:dyDescent="0.25">
      <c r="A672" s="7">
        <v>0.18577420019637925</v>
      </c>
      <c r="B672"/>
      <c r="C672"/>
      <c r="D672"/>
      <c r="E672"/>
      <c r="F672" s="27" t="s">
        <v>7</v>
      </c>
      <c r="EC672" s="27" t="s">
        <v>8</v>
      </c>
      <c r="ED672" s="27" t="s">
        <v>7</v>
      </c>
      <c r="EI672" s="27" t="s">
        <v>8</v>
      </c>
      <c r="EJ672" s="27" t="s">
        <v>7</v>
      </c>
      <c r="EK672" s="27" t="s">
        <v>8</v>
      </c>
      <c r="EL672" s="27" t="s">
        <v>7</v>
      </c>
      <c r="ES672" s="27" t="s">
        <v>8</v>
      </c>
      <c r="ET672" s="27" t="s">
        <v>7</v>
      </c>
      <c r="HK672" s="27" t="s">
        <v>8</v>
      </c>
      <c r="JT672" s="27" t="s">
        <v>7</v>
      </c>
    </row>
    <row r="673" spans="1:283" x14ac:dyDescent="0.25">
      <c r="A673" s="7">
        <v>0.18213156881997963</v>
      </c>
      <c r="B673"/>
      <c r="C673"/>
      <c r="D673"/>
      <c r="E673"/>
      <c r="F673" s="27" t="s">
        <v>7</v>
      </c>
      <c r="EC673" s="27" t="s">
        <v>8</v>
      </c>
      <c r="ED673" s="27" t="s">
        <v>7</v>
      </c>
      <c r="EE673" s="27" t="s">
        <v>8</v>
      </c>
      <c r="EI673" s="27" t="s">
        <v>8</v>
      </c>
      <c r="EJ673" s="27" t="s">
        <v>7</v>
      </c>
      <c r="EK673" s="27" t="s">
        <v>8</v>
      </c>
      <c r="EL673" s="27" t="s">
        <v>7</v>
      </c>
      <c r="ES673" s="27" t="s">
        <v>8</v>
      </c>
      <c r="ET673" s="27" t="s">
        <v>7</v>
      </c>
      <c r="HK673" s="27" t="s">
        <v>8</v>
      </c>
      <c r="JT673" s="27" t="s">
        <v>7</v>
      </c>
    </row>
    <row r="674" spans="1:283" x14ac:dyDescent="0.25">
      <c r="A674" s="7">
        <v>0.17856036158821534</v>
      </c>
      <c r="B674"/>
      <c r="C674"/>
      <c r="D674"/>
      <c r="E674"/>
      <c r="F674" s="27" t="s">
        <v>7</v>
      </c>
      <c r="EC674" s="27" t="s">
        <v>8</v>
      </c>
      <c r="ED674" s="27" t="s">
        <v>7</v>
      </c>
      <c r="EE674" s="27" t="s">
        <v>8</v>
      </c>
      <c r="EF674" s="27" t="s">
        <v>7</v>
      </c>
      <c r="EG674" s="27" t="s">
        <v>8</v>
      </c>
      <c r="EI674" s="27" t="s">
        <v>8</v>
      </c>
      <c r="EJ674" s="27" t="s">
        <v>7</v>
      </c>
      <c r="EK674" s="27" t="s">
        <v>8</v>
      </c>
      <c r="EL674" s="27" t="s">
        <v>7</v>
      </c>
      <c r="ES674" s="27" t="s">
        <v>8</v>
      </c>
      <c r="ET674" s="27" t="s">
        <v>7</v>
      </c>
      <c r="HK674" s="27" t="s">
        <v>8</v>
      </c>
      <c r="JT674" s="27" t="s">
        <v>7</v>
      </c>
    </row>
    <row r="675" spans="1:283" x14ac:dyDescent="0.25">
      <c r="A675" s="7">
        <v>0.17505917802766208</v>
      </c>
      <c r="B675"/>
      <c r="C675"/>
      <c r="D675"/>
      <c r="E675"/>
      <c r="F675" s="27" t="s">
        <v>7</v>
      </c>
      <c r="EC675" s="27" t="s">
        <v>8</v>
      </c>
      <c r="ED675" s="27" t="s">
        <v>7</v>
      </c>
      <c r="EE675" s="27" t="s">
        <v>8</v>
      </c>
      <c r="EF675" s="27" t="s">
        <v>7</v>
      </c>
      <c r="EG675" s="27" t="s">
        <v>8</v>
      </c>
      <c r="EH675" s="27" t="s">
        <v>7</v>
      </c>
      <c r="EI675" s="27" t="s">
        <v>8</v>
      </c>
      <c r="EJ675" s="27" t="s">
        <v>7</v>
      </c>
      <c r="EK675" s="27" t="s">
        <v>8</v>
      </c>
      <c r="EL675" s="27" t="s">
        <v>7</v>
      </c>
      <c r="EM675" s="27" t="s">
        <v>8</v>
      </c>
      <c r="ES675" s="27" t="s">
        <v>8</v>
      </c>
      <c r="ET675" s="27" t="s">
        <v>7</v>
      </c>
      <c r="HK675" s="27" t="s">
        <v>8</v>
      </c>
      <c r="JT675" s="27" t="s">
        <v>7</v>
      </c>
    </row>
    <row r="676" spans="1:283" x14ac:dyDescent="0.25">
      <c r="A676" s="7">
        <v>0.17162664512515888</v>
      </c>
      <c r="B676"/>
      <c r="C676"/>
      <c r="D676"/>
      <c r="E676"/>
      <c r="F676" s="27" t="s">
        <v>7</v>
      </c>
      <c r="EC676" s="27" t="s">
        <v>8</v>
      </c>
      <c r="ED676" s="27" t="s">
        <v>7</v>
      </c>
      <c r="EE676" s="27" t="s">
        <v>8</v>
      </c>
      <c r="EF676" s="27" t="s">
        <v>7</v>
      </c>
      <c r="EG676" s="27" t="s">
        <v>8</v>
      </c>
      <c r="EH676" s="27" t="s">
        <v>7</v>
      </c>
      <c r="EI676" s="27" t="s">
        <v>8</v>
      </c>
      <c r="EJ676" s="27" t="s">
        <v>7</v>
      </c>
      <c r="EK676" s="27" t="s">
        <v>8</v>
      </c>
      <c r="EL676" s="27" t="s">
        <v>7</v>
      </c>
      <c r="EM676" s="27" t="s">
        <v>8</v>
      </c>
      <c r="EN676" s="27" t="s">
        <v>7</v>
      </c>
      <c r="EO676" s="27" t="s">
        <v>8</v>
      </c>
      <c r="ES676" s="27" t="s">
        <v>8</v>
      </c>
      <c r="ET676" s="27" t="s">
        <v>7</v>
      </c>
      <c r="HK676" s="27" t="s">
        <v>8</v>
      </c>
      <c r="JT676" s="27" t="s">
        <v>7</v>
      </c>
    </row>
    <row r="677" spans="1:283" x14ac:dyDescent="0.25">
      <c r="A677" s="7">
        <v>0.16826141678937145</v>
      </c>
      <c r="B677"/>
      <c r="C677"/>
      <c r="D677"/>
      <c r="E677"/>
      <c r="F677" s="27" t="s">
        <v>7</v>
      </c>
      <c r="EC677" s="27" t="s">
        <v>8</v>
      </c>
      <c r="ED677" s="27" t="s">
        <v>7</v>
      </c>
      <c r="EE677" s="27" t="s">
        <v>8</v>
      </c>
      <c r="EF677" s="27" t="s">
        <v>7</v>
      </c>
      <c r="EG677" s="27" t="s">
        <v>8</v>
      </c>
      <c r="EH677" s="27" t="s">
        <v>7</v>
      </c>
      <c r="EI677" s="27" t="s">
        <v>8</v>
      </c>
      <c r="EJ677" s="27" t="s">
        <v>7</v>
      </c>
      <c r="EK677" s="27" t="s">
        <v>8</v>
      </c>
      <c r="EL677" s="27" t="s">
        <v>7</v>
      </c>
      <c r="EM677" s="27" t="s">
        <v>8</v>
      </c>
      <c r="EN677" s="27" t="s">
        <v>7</v>
      </c>
      <c r="EO677" s="27" t="s">
        <v>8</v>
      </c>
      <c r="EP677" s="27" t="s">
        <v>7</v>
      </c>
      <c r="ES677" s="27" t="s">
        <v>8</v>
      </c>
      <c r="ET677" s="27" t="s">
        <v>7</v>
      </c>
      <c r="HK677" s="27" t="s">
        <v>8</v>
      </c>
      <c r="JT677" s="27" t="s">
        <v>7</v>
      </c>
    </row>
    <row r="678" spans="1:283" x14ac:dyDescent="0.25">
      <c r="A678" s="7">
        <v>0.16496217332291319</v>
      </c>
      <c r="B678"/>
      <c r="C678"/>
      <c r="D678"/>
      <c r="E678"/>
      <c r="F678" s="27" t="s">
        <v>7</v>
      </c>
      <c r="EC678" s="27" t="s">
        <v>8</v>
      </c>
      <c r="ED678" s="27" t="s">
        <v>7</v>
      </c>
      <c r="EE678" s="27" t="s">
        <v>8</v>
      </c>
      <c r="EF678" s="27" t="s">
        <v>7</v>
      </c>
      <c r="EG678" s="27" t="s">
        <v>8</v>
      </c>
      <c r="EH678" s="27" t="s">
        <v>7</v>
      </c>
      <c r="EI678" s="27" t="s">
        <v>8</v>
      </c>
      <c r="EJ678" s="27" t="s">
        <v>7</v>
      </c>
      <c r="EL678" s="27" t="s">
        <v>7</v>
      </c>
      <c r="EM678" s="27" t="s">
        <v>8</v>
      </c>
      <c r="EN678" s="27" t="s">
        <v>7</v>
      </c>
      <c r="EO678" s="27" t="s">
        <v>8</v>
      </c>
      <c r="EP678" s="27" t="s">
        <v>7</v>
      </c>
      <c r="ES678" s="27" t="s">
        <v>8</v>
      </c>
      <c r="ET678" s="27" t="s">
        <v>7</v>
      </c>
      <c r="HK678" s="27" t="s">
        <v>8</v>
      </c>
      <c r="JT678" s="27" t="s">
        <v>7</v>
      </c>
    </row>
    <row r="679" spans="1:283" x14ac:dyDescent="0.25">
      <c r="A679" s="7">
        <v>0.16172762090481685</v>
      </c>
      <c r="B679"/>
      <c r="C679"/>
      <c r="D679"/>
      <c r="E679"/>
      <c r="F679" s="27" t="s">
        <v>7</v>
      </c>
      <c r="EA679" s="27" t="s">
        <v>8</v>
      </c>
      <c r="EC679" s="27" t="s">
        <v>8</v>
      </c>
      <c r="ED679" s="27" t="s">
        <v>7</v>
      </c>
      <c r="EE679" s="27" t="s">
        <v>8</v>
      </c>
      <c r="EF679" s="27" t="s">
        <v>7</v>
      </c>
      <c r="EG679" s="27" t="s">
        <v>8</v>
      </c>
      <c r="EH679" s="27" t="s">
        <v>7</v>
      </c>
      <c r="EI679" s="27" t="s">
        <v>8</v>
      </c>
      <c r="EL679" s="27" t="s">
        <v>7</v>
      </c>
      <c r="EM679" s="27" t="s">
        <v>8</v>
      </c>
      <c r="EN679" s="27" t="s">
        <v>7</v>
      </c>
      <c r="EO679" s="27" t="s">
        <v>8</v>
      </c>
      <c r="EP679" s="27" t="s">
        <v>7</v>
      </c>
      <c r="ES679" s="27" t="s">
        <v>8</v>
      </c>
      <c r="ET679" s="27" t="s">
        <v>7</v>
      </c>
      <c r="HK679" s="27" t="s">
        <v>8</v>
      </c>
      <c r="JT679" s="27" t="s">
        <v>7</v>
      </c>
    </row>
    <row r="680" spans="1:283" x14ac:dyDescent="0.25">
      <c r="A680" s="7">
        <v>0.15855649108315376</v>
      </c>
      <c r="B680"/>
      <c r="C680"/>
      <c r="D680"/>
      <c r="E680"/>
      <c r="F680" s="27" t="s">
        <v>7</v>
      </c>
      <c r="EA680" s="27" t="s">
        <v>8</v>
      </c>
      <c r="EB680" s="27" t="s">
        <v>7</v>
      </c>
      <c r="EC680" s="27" t="s">
        <v>8</v>
      </c>
      <c r="ED680" s="27" t="s">
        <v>7</v>
      </c>
      <c r="EE680" s="27" t="s">
        <v>8</v>
      </c>
      <c r="EF680" s="27" t="s">
        <v>7</v>
      </c>
      <c r="EG680" s="27" t="s">
        <v>8</v>
      </c>
      <c r="EH680" s="27" t="s">
        <v>7</v>
      </c>
      <c r="EI680" s="27" t="s">
        <v>8</v>
      </c>
      <c r="EL680" s="27" t="s">
        <v>7</v>
      </c>
      <c r="EM680" s="27" t="s">
        <v>8</v>
      </c>
      <c r="EN680" s="27" t="s">
        <v>7</v>
      </c>
      <c r="EO680" s="27" t="s">
        <v>8</v>
      </c>
      <c r="EP680" s="27" t="s">
        <v>7</v>
      </c>
      <c r="ES680" s="27" t="s">
        <v>8</v>
      </c>
      <c r="ET680" s="27" t="s">
        <v>7</v>
      </c>
      <c r="HK680" s="27" t="s">
        <v>8</v>
      </c>
      <c r="JT680" s="27" t="s">
        <v>7</v>
      </c>
    </row>
    <row r="681" spans="1:283" x14ac:dyDescent="0.25">
      <c r="A681" s="7">
        <v>0.15544754027760171</v>
      </c>
      <c r="B681"/>
      <c r="C681"/>
      <c r="D681"/>
      <c r="E681"/>
      <c r="F681" s="27" t="s">
        <v>7</v>
      </c>
      <c r="EA681" s="27" t="s">
        <v>8</v>
      </c>
      <c r="EB681" s="27" t="s">
        <v>7</v>
      </c>
      <c r="EC681" s="27" t="s">
        <v>8</v>
      </c>
      <c r="ED681" s="27" t="s">
        <v>7</v>
      </c>
      <c r="EE681" s="27" t="s">
        <v>8</v>
      </c>
      <c r="EF681" s="27" t="s">
        <v>7</v>
      </c>
      <c r="EG681" s="27" t="s">
        <v>8</v>
      </c>
      <c r="EH681" s="27" t="s">
        <v>7</v>
      </c>
      <c r="EI681" s="27" t="s">
        <v>8</v>
      </c>
      <c r="EL681" s="27" t="s">
        <v>7</v>
      </c>
      <c r="EM681" s="27" t="s">
        <v>8</v>
      </c>
      <c r="EN681" s="27" t="s">
        <v>7</v>
      </c>
      <c r="EO681" s="27" t="s">
        <v>8</v>
      </c>
      <c r="EP681" s="27" t="s">
        <v>7</v>
      </c>
      <c r="ES681" s="27" t="s">
        <v>8</v>
      </c>
      <c r="ET681" s="27" t="s">
        <v>7</v>
      </c>
      <c r="HK681" s="27" t="s">
        <v>8</v>
      </c>
      <c r="JT681" s="27" t="s">
        <v>7</v>
      </c>
    </row>
    <row r="682" spans="1:283" x14ac:dyDescent="0.25">
      <c r="A682" s="7">
        <v>0.15239954929176638</v>
      </c>
      <c r="B682"/>
      <c r="C682"/>
      <c r="D682"/>
      <c r="E682"/>
      <c r="F682" s="27" t="s">
        <v>7</v>
      </c>
      <c r="EA682" s="27" t="s">
        <v>8</v>
      </c>
      <c r="EB682" s="27" t="s">
        <v>7</v>
      </c>
      <c r="EC682" s="27" t="s">
        <v>8</v>
      </c>
      <c r="ED682" s="27" t="s">
        <v>7</v>
      </c>
      <c r="EE682" s="27" t="s">
        <v>8</v>
      </c>
      <c r="EF682" s="27" t="s">
        <v>7</v>
      </c>
      <c r="EG682" s="27" t="s">
        <v>8</v>
      </c>
      <c r="EH682" s="27" t="s">
        <v>7</v>
      </c>
      <c r="EI682" s="27" t="s">
        <v>8</v>
      </c>
      <c r="EL682" s="27" t="s">
        <v>7</v>
      </c>
      <c r="EM682" s="27" t="s">
        <v>8</v>
      </c>
      <c r="EN682" s="27" t="s">
        <v>7</v>
      </c>
      <c r="EO682" s="27" t="s">
        <v>8</v>
      </c>
      <c r="EP682" s="27" t="s">
        <v>7</v>
      </c>
      <c r="ES682" s="27" t="s">
        <v>8</v>
      </c>
      <c r="ET682" s="27" t="s">
        <v>7</v>
      </c>
      <c r="HK682" s="27" t="s">
        <v>8</v>
      </c>
      <c r="JT682" s="27" t="s">
        <v>7</v>
      </c>
    </row>
    <row r="683" spans="1:283" x14ac:dyDescent="0.25">
      <c r="A683" s="7">
        <v>0.14941132283506509</v>
      </c>
      <c r="B683"/>
      <c r="C683"/>
      <c r="D683"/>
      <c r="E683"/>
      <c r="F683" s="27" t="s">
        <v>7</v>
      </c>
      <c r="EA683" s="27" t="s">
        <v>8</v>
      </c>
      <c r="EB683" s="27" t="s">
        <v>7</v>
      </c>
      <c r="EC683" s="27" t="s">
        <v>8</v>
      </c>
      <c r="ED683" s="27" t="s">
        <v>7</v>
      </c>
      <c r="EE683" s="27" t="s">
        <v>8</v>
      </c>
      <c r="EF683" s="27" t="s">
        <v>7</v>
      </c>
      <c r="EG683" s="27" t="s">
        <v>8</v>
      </c>
      <c r="EH683" s="27" t="s">
        <v>7</v>
      </c>
      <c r="EI683" s="27" t="s">
        <v>8</v>
      </c>
      <c r="EL683" s="27" t="s">
        <v>7</v>
      </c>
      <c r="EN683" s="27" t="s">
        <v>7</v>
      </c>
      <c r="EP683" s="27" t="s">
        <v>7</v>
      </c>
      <c r="ES683" s="27" t="s">
        <v>8</v>
      </c>
      <c r="ET683" s="27" t="s">
        <v>7</v>
      </c>
      <c r="HK683" s="27" t="s">
        <v>8</v>
      </c>
      <c r="JT683" s="27" t="s">
        <v>7</v>
      </c>
    </row>
    <row r="684" spans="1:283" x14ac:dyDescent="0.25">
      <c r="A684" s="7">
        <v>0.14648168905398537</v>
      </c>
      <c r="B684"/>
      <c r="C684"/>
      <c r="D684"/>
      <c r="E684"/>
      <c r="F684" s="27" t="s">
        <v>7</v>
      </c>
      <c r="EA684" s="27" t="s">
        <v>8</v>
      </c>
      <c r="EB684" s="27" t="s">
        <v>7</v>
      </c>
      <c r="EC684" s="27" t="s">
        <v>8</v>
      </c>
      <c r="ED684" s="27" t="s">
        <v>7</v>
      </c>
      <c r="EE684" s="27" t="s">
        <v>8</v>
      </c>
      <c r="EF684" s="27" t="s">
        <v>7</v>
      </c>
      <c r="EG684" s="27" t="s">
        <v>8</v>
      </c>
      <c r="EH684" s="27" t="s">
        <v>7</v>
      </c>
      <c r="EI684" s="27" t="s">
        <v>8</v>
      </c>
      <c r="EP684" s="27" t="s">
        <v>7</v>
      </c>
      <c r="ES684" s="27" t="s">
        <v>8</v>
      </c>
      <c r="ET684" s="27" t="s">
        <v>7</v>
      </c>
      <c r="EW684" s="27" t="s">
        <v>8</v>
      </c>
      <c r="EY684" s="27" t="s">
        <v>8</v>
      </c>
      <c r="HK684" s="27" t="s">
        <v>8</v>
      </c>
      <c r="JT684" s="27" t="s">
        <v>7</v>
      </c>
    </row>
    <row r="685" spans="1:283" x14ac:dyDescent="0.25">
      <c r="A685" s="7">
        <v>0.14360949907253467</v>
      </c>
      <c r="B685"/>
      <c r="C685"/>
      <c r="D685"/>
      <c r="E685"/>
      <c r="F685" s="27" t="s">
        <v>7</v>
      </c>
      <c r="I685" s="27" t="s">
        <v>8</v>
      </c>
      <c r="EA685" s="27" t="s">
        <v>8</v>
      </c>
      <c r="EB685" s="27" t="s">
        <v>7</v>
      </c>
      <c r="EC685" s="27" t="s">
        <v>8</v>
      </c>
      <c r="ED685" s="27" t="s">
        <v>7</v>
      </c>
      <c r="EE685" s="27" t="s">
        <v>8</v>
      </c>
      <c r="EF685" s="27" t="s">
        <v>7</v>
      </c>
      <c r="EH685" s="27" t="s">
        <v>7</v>
      </c>
      <c r="EI685" s="27" t="s">
        <v>8</v>
      </c>
      <c r="EP685" s="27" t="s">
        <v>7</v>
      </c>
      <c r="ES685" s="27" t="s">
        <v>8</v>
      </c>
      <c r="ET685" s="27" t="s">
        <v>7</v>
      </c>
      <c r="EW685" s="27" t="s">
        <v>8</v>
      </c>
      <c r="EX685" s="27" t="s">
        <v>7</v>
      </c>
      <c r="EY685" s="27" t="s">
        <v>8</v>
      </c>
      <c r="EZ685" s="27" t="s">
        <v>7</v>
      </c>
      <c r="HK685" s="27" t="s">
        <v>8</v>
      </c>
      <c r="JT685" s="27" t="s">
        <v>7</v>
      </c>
    </row>
    <row r="686" spans="1:283" x14ac:dyDescent="0.25">
      <c r="A686" s="7">
        <v>0.14079362654170066</v>
      </c>
      <c r="B686"/>
      <c r="C686"/>
      <c r="D686"/>
      <c r="E686"/>
      <c r="F686" s="27" t="s">
        <v>7</v>
      </c>
      <c r="I686" s="27" t="s">
        <v>8</v>
      </c>
      <c r="J686" s="27" t="s">
        <v>7</v>
      </c>
      <c r="EA686" s="27" t="s">
        <v>8</v>
      </c>
      <c r="EB686" s="27" t="s">
        <v>7</v>
      </c>
      <c r="EC686" s="27" t="s">
        <v>8</v>
      </c>
      <c r="ED686" s="27" t="s">
        <v>7</v>
      </c>
      <c r="EE686" s="27" t="s">
        <v>8</v>
      </c>
      <c r="EH686" s="27" t="s">
        <v>7</v>
      </c>
      <c r="EI686" s="27" t="s">
        <v>8</v>
      </c>
      <c r="EP686" s="27" t="s">
        <v>7</v>
      </c>
      <c r="ES686" s="27" t="s">
        <v>8</v>
      </c>
      <c r="ET686" s="27" t="s">
        <v>7</v>
      </c>
      <c r="EU686" s="27" t="s">
        <v>8</v>
      </c>
      <c r="EW686" s="27" t="s">
        <v>8</v>
      </c>
      <c r="EX686" s="27" t="s">
        <v>7</v>
      </c>
      <c r="EY686" s="27" t="s">
        <v>8</v>
      </c>
      <c r="EZ686" s="27" t="s">
        <v>7</v>
      </c>
      <c r="HK686" s="27" t="s">
        <v>8</v>
      </c>
      <c r="JT686" s="27" t="s">
        <v>7</v>
      </c>
    </row>
    <row r="687" spans="1:283" x14ac:dyDescent="0.25">
      <c r="A687" s="7">
        <v>0.13803296719774574</v>
      </c>
      <c r="B687"/>
      <c r="C687"/>
      <c r="D687"/>
      <c r="E687"/>
      <c r="F687" s="27" t="s">
        <v>7</v>
      </c>
      <c r="I687" s="27" t="s">
        <v>8</v>
      </c>
      <c r="J687" s="27" t="s">
        <v>7</v>
      </c>
      <c r="EA687" s="27" t="s">
        <v>8</v>
      </c>
      <c r="EB687" s="27" t="s">
        <v>7</v>
      </c>
      <c r="EC687" s="27" t="s">
        <v>8</v>
      </c>
      <c r="ED687" s="27" t="s">
        <v>7</v>
      </c>
      <c r="EH687" s="27" t="s">
        <v>7</v>
      </c>
      <c r="EI687" s="27" t="s">
        <v>8</v>
      </c>
      <c r="EP687" s="27" t="s">
        <v>7</v>
      </c>
      <c r="ES687" s="27" t="s">
        <v>8</v>
      </c>
      <c r="ET687" s="27" t="s">
        <v>7</v>
      </c>
      <c r="EU687" s="27" t="s">
        <v>8</v>
      </c>
      <c r="EV687" s="27" t="s">
        <v>7</v>
      </c>
      <c r="EW687" s="27" t="s">
        <v>8</v>
      </c>
      <c r="EX687" s="27" t="s">
        <v>7</v>
      </c>
      <c r="EY687" s="27" t="s">
        <v>8</v>
      </c>
      <c r="EZ687" s="27" t="s">
        <v>7</v>
      </c>
      <c r="HK687" s="27" t="s">
        <v>8</v>
      </c>
      <c r="JT687" s="27" t="s">
        <v>7</v>
      </c>
    </row>
    <row r="688" spans="1:283" x14ac:dyDescent="0.25">
      <c r="A688" s="7">
        <v>0.1353264384291625</v>
      </c>
      <c r="B688"/>
      <c r="C688"/>
      <c r="D688"/>
      <c r="E688"/>
      <c r="F688" s="27" t="s">
        <v>7</v>
      </c>
      <c r="I688" s="27" t="s">
        <v>8</v>
      </c>
      <c r="J688" s="27" t="s">
        <v>7</v>
      </c>
      <c r="K688" s="27" t="s">
        <v>8</v>
      </c>
      <c r="EA688" s="27" t="s">
        <v>8</v>
      </c>
      <c r="EB688" s="27" t="s">
        <v>7</v>
      </c>
      <c r="EC688" s="27" t="s">
        <v>8</v>
      </c>
      <c r="EH688" s="27" t="s">
        <v>7</v>
      </c>
      <c r="EI688" s="27" t="s">
        <v>8</v>
      </c>
      <c r="EP688" s="27" t="s">
        <v>7</v>
      </c>
      <c r="ES688" s="27" t="s">
        <v>8</v>
      </c>
      <c r="ET688" s="27" t="s">
        <v>7</v>
      </c>
      <c r="EU688" s="27" t="s">
        <v>8</v>
      </c>
      <c r="EV688" s="27" t="s">
        <v>7</v>
      </c>
      <c r="EW688" s="27" t="s">
        <v>8</v>
      </c>
      <c r="EX688" s="27" t="s">
        <v>7</v>
      </c>
      <c r="EY688" s="27" t="s">
        <v>8</v>
      </c>
      <c r="EZ688" s="27" t="s">
        <v>7</v>
      </c>
      <c r="HK688" s="27" t="s">
        <v>8</v>
      </c>
      <c r="JT688" s="27" t="s">
        <v>7</v>
      </c>
      <c r="JW688" s="27" t="s">
        <v>8</v>
      </c>
    </row>
    <row r="689" spans="1:284" x14ac:dyDescent="0.25">
      <c r="A689" s="7">
        <v>0.13267297885212009</v>
      </c>
      <c r="B689"/>
      <c r="C689"/>
      <c r="D689"/>
      <c r="E689"/>
      <c r="F689" s="27" t="s">
        <v>7</v>
      </c>
      <c r="I689" s="27" t="s">
        <v>8</v>
      </c>
      <c r="J689" s="27" t="s">
        <v>7</v>
      </c>
      <c r="K689" s="27" t="s">
        <v>8</v>
      </c>
      <c r="L689" s="27" t="s">
        <v>7</v>
      </c>
      <c r="EA689" s="27" t="s">
        <v>8</v>
      </c>
      <c r="EB689" s="27" t="s">
        <v>7</v>
      </c>
      <c r="EH689" s="27" t="s">
        <v>7</v>
      </c>
      <c r="EI689" s="27" t="s">
        <v>8</v>
      </c>
      <c r="EP689" s="27" t="s">
        <v>7</v>
      </c>
      <c r="ES689" s="27" t="s">
        <v>8</v>
      </c>
      <c r="ET689" s="27" t="s">
        <v>7</v>
      </c>
      <c r="EU689" s="27" t="s">
        <v>8</v>
      </c>
      <c r="EV689" s="27" t="s">
        <v>7</v>
      </c>
      <c r="EW689" s="27" t="s">
        <v>8</v>
      </c>
      <c r="EX689" s="27" t="s">
        <v>7</v>
      </c>
      <c r="EY689" s="27" t="s">
        <v>8</v>
      </c>
      <c r="EZ689" s="27" t="s">
        <v>7</v>
      </c>
      <c r="HK689" s="27" t="s">
        <v>8</v>
      </c>
      <c r="JT689" s="27" t="s">
        <v>7</v>
      </c>
      <c r="JW689" s="27" t="s">
        <v>8</v>
      </c>
      <c r="JX689" s="27" t="s">
        <v>7</v>
      </c>
    </row>
    <row r="690" spans="1:284" x14ac:dyDescent="0.25">
      <c r="A690" s="7">
        <v>0.13007154789423539</v>
      </c>
      <c r="B690"/>
      <c r="C690"/>
      <c r="D690"/>
      <c r="E690"/>
      <c r="F690" s="27" t="s">
        <v>7</v>
      </c>
      <c r="I690" s="27" t="s">
        <v>8</v>
      </c>
      <c r="J690" s="27" t="s">
        <v>7</v>
      </c>
      <c r="K690" s="27" t="s">
        <v>8</v>
      </c>
      <c r="L690" s="27" t="s">
        <v>7</v>
      </c>
      <c r="EA690" s="27" t="s">
        <v>8</v>
      </c>
      <c r="EH690" s="27" t="s">
        <v>7</v>
      </c>
      <c r="EP690" s="27" t="s">
        <v>7</v>
      </c>
      <c r="ES690" s="27" t="s">
        <v>8</v>
      </c>
      <c r="ET690" s="27" t="s">
        <v>7</v>
      </c>
      <c r="EU690" s="27" t="s">
        <v>8</v>
      </c>
      <c r="EV690" s="27" t="s">
        <v>7</v>
      </c>
      <c r="EW690" s="27" t="s">
        <v>8</v>
      </c>
      <c r="EX690" s="27" t="s">
        <v>7</v>
      </c>
      <c r="EY690" s="27" t="s">
        <v>8</v>
      </c>
      <c r="EZ690" s="27" t="s">
        <v>7</v>
      </c>
      <c r="HK690" s="27" t="s">
        <v>8</v>
      </c>
      <c r="JT690" s="27" t="s">
        <v>7</v>
      </c>
      <c r="JW690" s="27" t="s">
        <v>8</v>
      </c>
      <c r="JX690" s="27" t="s">
        <v>7</v>
      </c>
    </row>
    <row r="691" spans="1:284" x14ac:dyDescent="0.25">
      <c r="A691" s="7">
        <v>0.12752112538650529</v>
      </c>
      <c r="B691"/>
      <c r="C691"/>
      <c r="D691"/>
      <c r="E691"/>
      <c r="F691" s="27" t="s">
        <v>7</v>
      </c>
      <c r="I691" s="27" t="s">
        <v>8</v>
      </c>
      <c r="J691" s="27" t="s">
        <v>7</v>
      </c>
      <c r="K691" s="27" t="s">
        <v>8</v>
      </c>
      <c r="L691" s="27" t="s">
        <v>7</v>
      </c>
      <c r="EA691" s="27" t="s">
        <v>8</v>
      </c>
      <c r="EP691" s="27" t="s">
        <v>7</v>
      </c>
      <c r="EQ691" s="27" t="s">
        <v>8</v>
      </c>
      <c r="ES691" s="27" t="s">
        <v>8</v>
      </c>
      <c r="ET691" s="27" t="s">
        <v>7</v>
      </c>
      <c r="EU691" s="27" t="s">
        <v>8</v>
      </c>
      <c r="EV691" s="27" t="s">
        <v>7</v>
      </c>
      <c r="EW691" s="27" t="s">
        <v>8</v>
      </c>
      <c r="EX691" s="27" t="s">
        <v>7</v>
      </c>
      <c r="EY691" s="27" t="s">
        <v>8</v>
      </c>
      <c r="EZ691" s="27" t="s">
        <v>7</v>
      </c>
      <c r="FA691" s="27" t="s">
        <v>8</v>
      </c>
      <c r="HK691" s="27" t="s">
        <v>8</v>
      </c>
      <c r="JT691" s="27" t="s">
        <v>7</v>
      </c>
      <c r="JU691" s="27" t="s">
        <v>8</v>
      </c>
      <c r="JW691" s="27" t="s">
        <v>8</v>
      </c>
      <c r="JX691" s="27" t="s">
        <v>7</v>
      </c>
    </row>
    <row r="692" spans="1:284" x14ac:dyDescent="0.25">
      <c r="A692" s="7">
        <v>0.12502071116324048</v>
      </c>
      <c r="B692"/>
      <c r="C692"/>
      <c r="D692"/>
      <c r="E692"/>
      <c r="F692" s="27" t="s">
        <v>7</v>
      </c>
      <c r="I692" s="27" t="s">
        <v>8</v>
      </c>
      <c r="J692" s="27" t="s">
        <v>7</v>
      </c>
      <c r="K692" s="27" t="s">
        <v>8</v>
      </c>
      <c r="L692" s="27" t="s">
        <v>7</v>
      </c>
      <c r="DY692" s="27" t="s">
        <v>8</v>
      </c>
      <c r="EA692" s="27" t="s">
        <v>8</v>
      </c>
      <c r="EP692" s="27" t="s">
        <v>7</v>
      </c>
      <c r="EQ692" s="27" t="s">
        <v>8</v>
      </c>
      <c r="ER692" s="27" t="s">
        <v>7</v>
      </c>
      <c r="ES692" s="27" t="s">
        <v>8</v>
      </c>
      <c r="ET692" s="27" t="s">
        <v>7</v>
      </c>
      <c r="EU692" s="27" t="s">
        <v>8</v>
      </c>
      <c r="EV692" s="27" t="s">
        <v>7</v>
      </c>
      <c r="EW692" s="27" t="s">
        <v>8</v>
      </c>
      <c r="EX692" s="27" t="s">
        <v>7</v>
      </c>
      <c r="EZ692" s="27" t="s">
        <v>7</v>
      </c>
      <c r="FA692" s="27" t="s">
        <v>8</v>
      </c>
      <c r="FB692" s="27" t="s">
        <v>7</v>
      </c>
      <c r="HK692" s="27" t="s">
        <v>8</v>
      </c>
      <c r="JT692" s="27" t="s">
        <v>7</v>
      </c>
      <c r="JU692" s="27" t="s">
        <v>8</v>
      </c>
      <c r="JV692" s="27" t="s">
        <v>7</v>
      </c>
      <c r="JW692" s="27" t="s">
        <v>8</v>
      </c>
      <c r="JX692" s="27" t="s">
        <v>7</v>
      </c>
    </row>
    <row r="693" spans="1:284" x14ac:dyDescent="0.25">
      <c r="A693" s="7">
        <v>0.1225693246698436</v>
      </c>
      <c r="B693"/>
      <c r="C693"/>
      <c r="D693"/>
      <c r="E693"/>
      <c r="F693" s="27" t="s">
        <v>7</v>
      </c>
      <c r="I693" s="27" t="s">
        <v>8</v>
      </c>
      <c r="J693" s="27" t="s">
        <v>7</v>
      </c>
      <c r="K693" s="27" t="s">
        <v>8</v>
      </c>
      <c r="L693" s="27" t="s">
        <v>7</v>
      </c>
      <c r="DY693" s="27" t="s">
        <v>8</v>
      </c>
      <c r="DZ693" s="27" t="s">
        <v>7</v>
      </c>
      <c r="EA693" s="27" t="s">
        <v>8</v>
      </c>
      <c r="EP693" s="27" t="s">
        <v>7</v>
      </c>
      <c r="EQ693" s="27" t="s">
        <v>8</v>
      </c>
      <c r="ER693" s="27" t="s">
        <v>7</v>
      </c>
      <c r="ES693" s="27" t="s">
        <v>8</v>
      </c>
      <c r="ET693" s="27" t="s">
        <v>7</v>
      </c>
      <c r="EU693" s="27" t="s">
        <v>8</v>
      </c>
      <c r="EV693" s="27" t="s">
        <v>7</v>
      </c>
      <c r="EW693" s="27" t="s">
        <v>8</v>
      </c>
      <c r="EZ693" s="27" t="s">
        <v>7</v>
      </c>
      <c r="FA693" s="27" t="s">
        <v>8</v>
      </c>
      <c r="FB693" s="27" t="s">
        <v>7</v>
      </c>
      <c r="HK693" s="27" t="s">
        <v>8</v>
      </c>
      <c r="JT693" s="27" t="s">
        <v>7</v>
      </c>
      <c r="JU693" s="27" t="s">
        <v>8</v>
      </c>
      <c r="JV693" s="27" t="s">
        <v>7</v>
      </c>
      <c r="JW693" s="27" t="s">
        <v>8</v>
      </c>
      <c r="JX693" s="27" t="s">
        <v>7</v>
      </c>
    </row>
    <row r="694" spans="1:284" x14ac:dyDescent="0.25">
      <c r="A694" s="7">
        <v>0.12016600457827803</v>
      </c>
      <c r="B694"/>
      <c r="C694"/>
      <c r="D694"/>
      <c r="E694"/>
      <c r="F694" s="27" t="s">
        <v>7</v>
      </c>
      <c r="I694" s="27" t="s">
        <v>8</v>
      </c>
      <c r="J694" s="27" t="s">
        <v>7</v>
      </c>
      <c r="K694" s="27" t="s">
        <v>8</v>
      </c>
      <c r="L694" s="27" t="s">
        <v>7</v>
      </c>
      <c r="DY694" s="27" t="s">
        <v>8</v>
      </c>
      <c r="DZ694" s="27" t="s">
        <v>7</v>
      </c>
      <c r="EA694" s="27" t="s">
        <v>8</v>
      </c>
      <c r="EP694" s="27" t="s">
        <v>7</v>
      </c>
      <c r="EQ694" s="27" t="s">
        <v>8</v>
      </c>
      <c r="ER694" s="27" t="s">
        <v>7</v>
      </c>
      <c r="ES694" s="27" t="s">
        <v>8</v>
      </c>
      <c r="ET694" s="27" t="s">
        <v>7</v>
      </c>
      <c r="EU694" s="27" t="s">
        <v>8</v>
      </c>
      <c r="EV694" s="27" t="s">
        <v>7</v>
      </c>
      <c r="EZ694" s="27" t="s">
        <v>7</v>
      </c>
      <c r="FA694" s="27" t="s">
        <v>8</v>
      </c>
      <c r="FB694" s="27" t="s">
        <v>7</v>
      </c>
      <c r="HK694" s="27" t="s">
        <v>8</v>
      </c>
      <c r="JT694" s="27" t="s">
        <v>7</v>
      </c>
      <c r="JU694" s="27" t="s">
        <v>8</v>
      </c>
      <c r="JV694" s="27" t="s">
        <v>7</v>
      </c>
      <c r="JW694" s="27" t="s">
        <v>8</v>
      </c>
      <c r="JX694" s="27" t="s">
        <v>7</v>
      </c>
    </row>
    <row r="695" spans="1:284" x14ac:dyDescent="0.25">
      <c r="A695" s="7">
        <v>0.1178098084100765</v>
      </c>
      <c r="B695"/>
      <c r="C695"/>
      <c r="D695"/>
      <c r="E695"/>
      <c r="F695" s="27" t="s">
        <v>7</v>
      </c>
      <c r="I695" s="27" t="s">
        <v>8</v>
      </c>
      <c r="J695" s="27" t="s">
        <v>7</v>
      </c>
      <c r="K695" s="27" t="s">
        <v>8</v>
      </c>
      <c r="L695" s="27" t="s">
        <v>7</v>
      </c>
      <c r="DS695" s="27" t="s">
        <v>8</v>
      </c>
      <c r="DY695" s="27" t="s">
        <v>8</v>
      </c>
      <c r="DZ695" s="27" t="s">
        <v>7</v>
      </c>
      <c r="EA695" s="27" t="s">
        <v>8</v>
      </c>
      <c r="EP695" s="27" t="s">
        <v>7</v>
      </c>
      <c r="EQ695" s="27" t="s">
        <v>8</v>
      </c>
      <c r="ER695" s="27" t="s">
        <v>7</v>
      </c>
      <c r="ES695" s="27" t="s">
        <v>8</v>
      </c>
      <c r="ET695" s="27" t="s">
        <v>7</v>
      </c>
      <c r="EU695" s="27" t="s">
        <v>8</v>
      </c>
      <c r="EZ695" s="27" t="s">
        <v>7</v>
      </c>
      <c r="FA695" s="27" t="s">
        <v>8</v>
      </c>
      <c r="FB695" s="27" t="s">
        <v>7</v>
      </c>
      <c r="HK695" s="27" t="s">
        <v>8</v>
      </c>
      <c r="JT695" s="27" t="s">
        <v>7</v>
      </c>
      <c r="JU695" s="27" t="s">
        <v>8</v>
      </c>
      <c r="JV695" s="27" t="s">
        <v>7</v>
      </c>
      <c r="JW695" s="27" t="s">
        <v>8</v>
      </c>
      <c r="JX695" s="27" t="s">
        <v>7</v>
      </c>
    </row>
    <row r="696" spans="1:284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I696" s="27" t="s">
        <v>8</v>
      </c>
      <c r="J696" s="27" t="s">
        <v>7</v>
      </c>
      <c r="K696" s="27" t="s">
        <v>8</v>
      </c>
      <c r="L696" s="27" t="s">
        <v>7</v>
      </c>
      <c r="DS696" s="27" t="s">
        <v>8</v>
      </c>
      <c r="DT696" s="27" t="s">
        <v>7</v>
      </c>
      <c r="DY696" s="27" t="s">
        <v>8</v>
      </c>
      <c r="DZ696" s="27" t="s">
        <v>7</v>
      </c>
      <c r="EA696" s="27" t="s">
        <v>8</v>
      </c>
      <c r="EP696" s="27" t="s">
        <v>7</v>
      </c>
      <c r="EQ696" s="27" t="s">
        <v>8</v>
      </c>
      <c r="ER696" s="27" t="s">
        <v>7</v>
      </c>
      <c r="ES696" s="27" t="s">
        <v>8</v>
      </c>
      <c r="ET696" s="27" t="s">
        <v>7</v>
      </c>
      <c r="EU696" s="27" t="s">
        <v>8</v>
      </c>
      <c r="EZ696" s="27" t="s">
        <v>7</v>
      </c>
      <c r="FB696" s="27" t="s">
        <v>7</v>
      </c>
      <c r="HK696" s="27" t="s">
        <v>8</v>
      </c>
      <c r="JT696" s="27" t="s">
        <v>7</v>
      </c>
      <c r="JU696" s="27" t="s">
        <v>8</v>
      </c>
      <c r="JV696" s="27" t="s">
        <v>7</v>
      </c>
      <c r="JW696" s="27" t="s">
        <v>8</v>
      </c>
      <c r="JX696" s="27" t="s">
        <v>7</v>
      </c>
    </row>
    <row r="697" spans="1:284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H697" s="27" t="s">
        <v>7</v>
      </c>
      <c r="I697" s="27" t="s">
        <v>8</v>
      </c>
      <c r="J697" s="27" t="s">
        <v>7</v>
      </c>
      <c r="K697" s="27" t="s">
        <v>8</v>
      </c>
      <c r="L697" s="27" t="s">
        <v>7</v>
      </c>
      <c r="DS697" s="27" t="s">
        <v>8</v>
      </c>
      <c r="DT697" s="27" t="s">
        <v>7</v>
      </c>
      <c r="DY697" s="27" t="s">
        <v>8</v>
      </c>
      <c r="DZ697" s="27" t="s">
        <v>7</v>
      </c>
      <c r="EA697" s="27" t="s">
        <v>8</v>
      </c>
      <c r="EP697" s="27" t="s">
        <v>7</v>
      </c>
      <c r="EQ697" s="27" t="s">
        <v>8</v>
      </c>
      <c r="ER697" s="27" t="s">
        <v>7</v>
      </c>
      <c r="ES697" s="27" t="s">
        <v>8</v>
      </c>
      <c r="ET697" s="27" t="s">
        <v>7</v>
      </c>
      <c r="FB697" s="27" t="s">
        <v>7</v>
      </c>
      <c r="HK697" s="27" t="s">
        <v>8</v>
      </c>
      <c r="JT697" s="27" t="s">
        <v>7</v>
      </c>
      <c r="JU697" s="27" t="s">
        <v>8</v>
      </c>
      <c r="JV697" s="27" t="s">
        <v>7</v>
      </c>
      <c r="JW697" s="27" t="s">
        <v>8</v>
      </c>
    </row>
    <row r="698" spans="1:284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H698" s="27" t="s">
        <v>7</v>
      </c>
      <c r="I698" s="27" t="s">
        <v>8</v>
      </c>
      <c r="J698" s="27" t="s">
        <v>7</v>
      </c>
      <c r="K698" s="27" t="s">
        <v>8</v>
      </c>
      <c r="L698" s="27" t="s">
        <v>7</v>
      </c>
      <c r="CQ698" s="27" t="s">
        <v>8</v>
      </c>
      <c r="DS698" s="27" t="s">
        <v>8</v>
      </c>
      <c r="DT698" s="27" t="s">
        <v>7</v>
      </c>
      <c r="DY698" s="27" t="s">
        <v>8</v>
      </c>
      <c r="DZ698" s="27" t="s">
        <v>7</v>
      </c>
      <c r="EA698" s="27" t="s">
        <v>8</v>
      </c>
      <c r="EP698" s="27" t="s">
        <v>7</v>
      </c>
      <c r="EQ698" s="27" t="s">
        <v>8</v>
      </c>
      <c r="ER698" s="27" t="s">
        <v>7</v>
      </c>
      <c r="ES698" s="27" t="s">
        <v>8</v>
      </c>
      <c r="FB698" s="27" t="s">
        <v>7</v>
      </c>
      <c r="FC698" s="27" t="s">
        <v>8</v>
      </c>
      <c r="HK698" s="27" t="s">
        <v>8</v>
      </c>
      <c r="JT698" s="27" t="s">
        <v>7</v>
      </c>
      <c r="JU698" s="27" t="s">
        <v>8</v>
      </c>
      <c r="JV698" s="27" t="s">
        <v>7</v>
      </c>
      <c r="JW698" s="27" t="s">
        <v>8</v>
      </c>
    </row>
    <row r="699" spans="1:284" x14ac:dyDescent="0.25">
      <c r="A699" s="7">
        <v>0.10883805264070913</v>
      </c>
      <c r="B699"/>
      <c r="C699"/>
      <c r="D699"/>
      <c r="E699"/>
      <c r="F699" s="27" t="s">
        <v>7</v>
      </c>
      <c r="G699" s="27" t="s">
        <v>8</v>
      </c>
      <c r="H699" s="27" t="s">
        <v>7</v>
      </c>
      <c r="I699" s="27" t="s">
        <v>8</v>
      </c>
      <c r="J699" s="27" t="s">
        <v>7</v>
      </c>
      <c r="L699" s="27" t="s">
        <v>7</v>
      </c>
      <c r="CQ699" s="27" t="s">
        <v>8</v>
      </c>
      <c r="CR699" s="27" t="s">
        <v>7</v>
      </c>
      <c r="DA699" s="27" t="s">
        <v>8</v>
      </c>
      <c r="DS699" s="27" t="s">
        <v>8</v>
      </c>
      <c r="DT699" s="27" t="s">
        <v>7</v>
      </c>
      <c r="DU699" s="27" t="s">
        <v>8</v>
      </c>
      <c r="DY699" s="27" t="s">
        <v>8</v>
      </c>
      <c r="DZ699" s="27" t="s">
        <v>7</v>
      </c>
      <c r="EA699" s="27" t="s">
        <v>8</v>
      </c>
      <c r="EP699" s="27" t="s">
        <v>7</v>
      </c>
      <c r="EQ699" s="27" t="s">
        <v>8</v>
      </c>
      <c r="ER699" s="27" t="s">
        <v>7</v>
      </c>
      <c r="ES699" s="27" t="s">
        <v>8</v>
      </c>
      <c r="FB699" s="27" t="s">
        <v>7</v>
      </c>
      <c r="FC699" s="27" t="s">
        <v>8</v>
      </c>
      <c r="FD699" s="27" t="s">
        <v>7</v>
      </c>
      <c r="HK699" s="27" t="s">
        <v>8</v>
      </c>
      <c r="JT699" s="27" t="s">
        <v>7</v>
      </c>
      <c r="JV699" s="27" t="s">
        <v>7</v>
      </c>
      <c r="JW699" s="27" t="s">
        <v>8</v>
      </c>
    </row>
    <row r="700" spans="1:284" x14ac:dyDescent="0.25">
      <c r="A700" s="7">
        <v>0.10670397317716582</v>
      </c>
      <c r="B700"/>
      <c r="C700"/>
      <c r="D700"/>
      <c r="E700"/>
      <c r="F700" s="27" t="s">
        <v>7</v>
      </c>
      <c r="G700" s="27" t="s">
        <v>8</v>
      </c>
      <c r="H700" s="27" t="s">
        <v>7</v>
      </c>
      <c r="I700" s="27" t="s">
        <v>8</v>
      </c>
      <c r="L700" s="27" t="s">
        <v>7</v>
      </c>
      <c r="CQ700" s="27" t="s">
        <v>8</v>
      </c>
      <c r="CR700" s="27" t="s">
        <v>7</v>
      </c>
      <c r="DA700" s="27" t="s">
        <v>8</v>
      </c>
      <c r="DB700" s="27" t="s">
        <v>7</v>
      </c>
      <c r="DQ700" s="27" t="s">
        <v>8</v>
      </c>
      <c r="DS700" s="27" t="s">
        <v>8</v>
      </c>
      <c r="DT700" s="27" t="s">
        <v>7</v>
      </c>
      <c r="DU700" s="27" t="s">
        <v>8</v>
      </c>
      <c r="DV700" s="27" t="s">
        <v>7</v>
      </c>
      <c r="DY700" s="27" t="s">
        <v>8</v>
      </c>
      <c r="DZ700" s="27" t="s">
        <v>7</v>
      </c>
      <c r="EP700" s="27" t="s">
        <v>7</v>
      </c>
      <c r="EQ700" s="27" t="s">
        <v>8</v>
      </c>
      <c r="ER700" s="27" t="s">
        <v>7</v>
      </c>
      <c r="ES700" s="27" t="s">
        <v>8</v>
      </c>
      <c r="FB700" s="27" t="s">
        <v>7</v>
      </c>
      <c r="FC700" s="27" t="s">
        <v>8</v>
      </c>
      <c r="FD700" s="27" t="s">
        <v>7</v>
      </c>
      <c r="HK700" s="27" t="s">
        <v>8</v>
      </c>
      <c r="JV700" s="27" t="s">
        <v>7</v>
      </c>
    </row>
    <row r="701" spans="1:284" x14ac:dyDescent="0.25">
      <c r="A701" s="7">
        <v>0.1046117384089861</v>
      </c>
      <c r="B701"/>
      <c r="C701"/>
      <c r="D701"/>
      <c r="E701"/>
      <c r="F701" s="27" t="s">
        <v>7</v>
      </c>
      <c r="H701" s="27" t="s">
        <v>7</v>
      </c>
      <c r="I701" s="27" t="s">
        <v>8</v>
      </c>
      <c r="L701" s="27" t="s">
        <v>7</v>
      </c>
      <c r="CQ701" s="27" t="s">
        <v>8</v>
      </c>
      <c r="CR701" s="27" t="s">
        <v>7</v>
      </c>
      <c r="DA701" s="27" t="s">
        <v>8</v>
      </c>
      <c r="DB701" s="27" t="s">
        <v>7</v>
      </c>
      <c r="DQ701" s="27" t="s">
        <v>8</v>
      </c>
      <c r="DR701" s="27" t="s">
        <v>7</v>
      </c>
      <c r="DS701" s="27" t="s">
        <v>8</v>
      </c>
      <c r="DT701" s="27" t="s">
        <v>7</v>
      </c>
      <c r="DU701" s="27" t="s">
        <v>8</v>
      </c>
      <c r="DV701" s="27" t="s">
        <v>7</v>
      </c>
      <c r="DY701" s="27" t="s">
        <v>8</v>
      </c>
      <c r="EP701" s="27" t="s">
        <v>7</v>
      </c>
      <c r="EQ701" s="27" t="s">
        <v>8</v>
      </c>
      <c r="ER701" s="27" t="s">
        <v>7</v>
      </c>
      <c r="ES701" s="27" t="s">
        <v>8</v>
      </c>
      <c r="FB701" s="27" t="s">
        <v>7</v>
      </c>
      <c r="FC701" s="27" t="s">
        <v>8</v>
      </c>
      <c r="FD701" s="27" t="s">
        <v>7</v>
      </c>
      <c r="HK701" s="27" t="s">
        <v>8</v>
      </c>
    </row>
    <row r="702" spans="1:284" x14ac:dyDescent="0.25">
      <c r="A702" s="7">
        <v>0.10256052785194716</v>
      </c>
      <c r="B702"/>
      <c r="C702"/>
      <c r="D702"/>
      <c r="E702"/>
      <c r="H702" s="27" t="s">
        <v>7</v>
      </c>
      <c r="I702" s="27" t="s">
        <v>8</v>
      </c>
      <c r="L702" s="27" t="s">
        <v>7</v>
      </c>
      <c r="CQ702" s="27" t="s">
        <v>8</v>
      </c>
      <c r="CR702" s="27" t="s">
        <v>7</v>
      </c>
      <c r="DA702" s="27" t="s">
        <v>8</v>
      </c>
      <c r="DB702" s="27" t="s">
        <v>7</v>
      </c>
      <c r="DQ702" s="27" t="s">
        <v>8</v>
      </c>
      <c r="DR702" s="27" t="s">
        <v>7</v>
      </c>
      <c r="DS702" s="27" t="s">
        <v>8</v>
      </c>
      <c r="DT702" s="27" t="s">
        <v>7</v>
      </c>
      <c r="DU702" s="27" t="s">
        <v>8</v>
      </c>
      <c r="DV702" s="27" t="s">
        <v>7</v>
      </c>
      <c r="DW702" s="27" t="s">
        <v>8</v>
      </c>
      <c r="DY702" s="27" t="s">
        <v>8</v>
      </c>
      <c r="EP702" s="27" t="s">
        <v>7</v>
      </c>
      <c r="EQ702" s="27" t="s">
        <v>8</v>
      </c>
      <c r="ER702" s="27" t="s">
        <v>7</v>
      </c>
      <c r="ES702" s="27" t="s">
        <v>8</v>
      </c>
      <c r="FB702" s="27" t="s">
        <v>7</v>
      </c>
      <c r="FC702" s="27" t="s">
        <v>8</v>
      </c>
      <c r="FD702" s="27" t="s">
        <v>7</v>
      </c>
      <c r="HK702" s="27" t="s">
        <v>8</v>
      </c>
    </row>
    <row r="703" spans="1:284" x14ac:dyDescent="0.25">
      <c r="A703" s="7">
        <v>0.10054953710975212</v>
      </c>
      <c r="B703"/>
      <c r="C703"/>
      <c r="D703"/>
      <c r="E703"/>
      <c r="H703" s="27" t="s">
        <v>7</v>
      </c>
      <c r="I703" s="27" t="s">
        <v>8</v>
      </c>
      <c r="L703" s="27" t="s">
        <v>7</v>
      </c>
      <c r="CQ703" s="27" t="s">
        <v>8</v>
      </c>
      <c r="CR703" s="27" t="s">
        <v>7</v>
      </c>
      <c r="DA703" s="27" t="s">
        <v>8</v>
      </c>
      <c r="DB703" s="27" t="s">
        <v>7</v>
      </c>
      <c r="DQ703" s="27" t="s">
        <v>8</v>
      </c>
      <c r="DR703" s="27" t="s">
        <v>7</v>
      </c>
      <c r="DS703" s="27" t="s">
        <v>8</v>
      </c>
      <c r="DT703" s="27" t="s">
        <v>7</v>
      </c>
      <c r="DU703" s="27" t="s">
        <v>8</v>
      </c>
      <c r="DV703" s="27" t="s">
        <v>7</v>
      </c>
      <c r="DW703" s="27" t="s">
        <v>8</v>
      </c>
      <c r="DX703" s="27" t="s">
        <v>7</v>
      </c>
      <c r="DY703" s="27" t="s">
        <v>8</v>
      </c>
      <c r="EP703" s="27" t="s">
        <v>7</v>
      </c>
      <c r="ER703" s="27" t="s">
        <v>7</v>
      </c>
      <c r="ES703" s="27" t="s">
        <v>8</v>
      </c>
      <c r="FB703" s="27" t="s">
        <v>7</v>
      </c>
      <c r="FC703" s="27" t="s">
        <v>8</v>
      </c>
      <c r="FD703" s="27" t="s">
        <v>7</v>
      </c>
      <c r="HK703" s="27" t="s">
        <v>8</v>
      </c>
    </row>
    <row r="704" spans="1:284" x14ac:dyDescent="0.25">
      <c r="A704" s="7">
        <v>9.8577977558580512E-2</v>
      </c>
      <c r="B704"/>
      <c r="C704"/>
      <c r="D704"/>
      <c r="E704"/>
      <c r="H704" s="27" t="s">
        <v>7</v>
      </c>
      <c r="I704" s="27" t="s">
        <v>8</v>
      </c>
      <c r="L704" s="27" t="s">
        <v>7</v>
      </c>
      <c r="M704" s="27" t="s">
        <v>8</v>
      </c>
      <c r="CQ704" s="27" t="s">
        <v>8</v>
      </c>
      <c r="CR704" s="27" t="s">
        <v>7</v>
      </c>
      <c r="CS704" s="27" t="s">
        <v>8</v>
      </c>
      <c r="DA704" s="27" t="s">
        <v>8</v>
      </c>
      <c r="DB704" s="27" t="s">
        <v>7</v>
      </c>
      <c r="DQ704" s="27" t="s">
        <v>8</v>
      </c>
      <c r="DR704" s="27" t="s">
        <v>7</v>
      </c>
      <c r="DS704" s="27" t="s">
        <v>8</v>
      </c>
      <c r="DT704" s="27" t="s">
        <v>7</v>
      </c>
      <c r="DU704" s="27" t="s">
        <v>8</v>
      </c>
      <c r="DV704" s="27" t="s">
        <v>7</v>
      </c>
      <c r="DW704" s="27" t="s">
        <v>8</v>
      </c>
      <c r="DX704" s="27" t="s">
        <v>7</v>
      </c>
      <c r="DY704" s="27" t="s">
        <v>8</v>
      </c>
      <c r="ER704" s="27" t="s">
        <v>7</v>
      </c>
      <c r="ES704" s="27" t="s">
        <v>8</v>
      </c>
      <c r="FB704" s="27" t="s">
        <v>7</v>
      </c>
      <c r="FC704" s="27" t="s">
        <v>8</v>
      </c>
      <c r="FD704" s="27" t="s">
        <v>7</v>
      </c>
      <c r="HK704" s="27" t="s">
        <v>8</v>
      </c>
    </row>
    <row r="705" spans="1:219" x14ac:dyDescent="0.25">
      <c r="A705" s="7">
        <v>9.6645076037824032E-2</v>
      </c>
      <c r="B705"/>
      <c r="C705"/>
      <c r="D705"/>
      <c r="E705"/>
      <c r="H705" s="27" t="s">
        <v>7</v>
      </c>
      <c r="I705" s="27" t="s">
        <v>8</v>
      </c>
      <c r="L705" s="27" t="s">
        <v>7</v>
      </c>
      <c r="M705" s="27" t="s">
        <v>8</v>
      </c>
      <c r="N705" s="27" t="s">
        <v>7</v>
      </c>
      <c r="CQ705" s="27" t="s">
        <v>8</v>
      </c>
      <c r="CR705" s="27" t="s">
        <v>7</v>
      </c>
      <c r="CS705" s="27" t="s">
        <v>8</v>
      </c>
      <c r="CT705" s="27" t="s">
        <v>7</v>
      </c>
      <c r="DA705" s="27" t="s">
        <v>8</v>
      </c>
      <c r="DB705" s="27" t="s">
        <v>7</v>
      </c>
      <c r="DQ705" s="27" t="s">
        <v>8</v>
      </c>
      <c r="DR705" s="27" t="s">
        <v>7</v>
      </c>
      <c r="DS705" s="27" t="s">
        <v>8</v>
      </c>
      <c r="DT705" s="27" t="s">
        <v>7</v>
      </c>
      <c r="DU705" s="27" t="s">
        <v>8</v>
      </c>
      <c r="DV705" s="27" t="s">
        <v>7</v>
      </c>
      <c r="DW705" s="27" t="s">
        <v>8</v>
      </c>
      <c r="DX705" s="27" t="s">
        <v>7</v>
      </c>
      <c r="DY705" s="27" t="s">
        <v>8</v>
      </c>
      <c r="ER705" s="27" t="s">
        <v>7</v>
      </c>
      <c r="ES705" s="27" t="s">
        <v>8</v>
      </c>
      <c r="FB705" s="27" t="s">
        <v>7</v>
      </c>
      <c r="FC705" s="27" t="s">
        <v>8</v>
      </c>
      <c r="FD705" s="27" t="s">
        <v>7</v>
      </c>
      <c r="HK705" s="27" t="s">
        <v>8</v>
      </c>
    </row>
    <row r="706" spans="1:219" x14ac:dyDescent="0.25">
      <c r="A706" s="7">
        <v>9.4750074546886304E-2</v>
      </c>
      <c r="B706"/>
      <c r="C706"/>
      <c r="D706"/>
      <c r="E706"/>
      <c r="H706" s="27" t="s">
        <v>7</v>
      </c>
      <c r="I706" s="27" t="s">
        <v>8</v>
      </c>
      <c r="L706" s="27" t="s">
        <v>7</v>
      </c>
      <c r="M706" s="27" t="s">
        <v>8</v>
      </c>
      <c r="N706" s="27" t="s">
        <v>7</v>
      </c>
      <c r="CQ706" s="27" t="s">
        <v>8</v>
      </c>
      <c r="CR706" s="27" t="s">
        <v>7</v>
      </c>
      <c r="CS706" s="27" t="s">
        <v>8</v>
      </c>
      <c r="CT706" s="27" t="s">
        <v>7</v>
      </c>
      <c r="DA706" s="27" t="s">
        <v>8</v>
      </c>
      <c r="DB706" s="27" t="s">
        <v>7</v>
      </c>
      <c r="DQ706" s="27" t="s">
        <v>8</v>
      </c>
      <c r="DR706" s="27" t="s">
        <v>7</v>
      </c>
      <c r="DS706" s="27" t="s">
        <v>8</v>
      </c>
      <c r="DT706" s="27" t="s">
        <v>7</v>
      </c>
      <c r="DU706" s="27" t="s">
        <v>8</v>
      </c>
      <c r="DV706" s="27" t="s">
        <v>7</v>
      </c>
      <c r="DW706" s="27" t="s">
        <v>8</v>
      </c>
      <c r="DX706" s="27" t="s">
        <v>7</v>
      </c>
      <c r="DY706" s="27" t="s">
        <v>8</v>
      </c>
      <c r="ER706" s="27" t="s">
        <v>7</v>
      </c>
      <c r="FB706" s="27" t="s">
        <v>7</v>
      </c>
      <c r="FD706" s="27" t="s">
        <v>7</v>
      </c>
      <c r="HK706" s="27" t="s">
        <v>8</v>
      </c>
    </row>
    <row r="707" spans="1:219" x14ac:dyDescent="0.25">
      <c r="A707" s="7">
        <v>9.2892229947927743E-2</v>
      </c>
      <c r="B707"/>
      <c r="C707"/>
      <c r="D707"/>
      <c r="E707"/>
      <c r="H707" s="27" t="s">
        <v>7</v>
      </c>
      <c r="I707" s="27" t="s">
        <v>8</v>
      </c>
      <c r="L707" s="27" t="s">
        <v>7</v>
      </c>
      <c r="M707" s="27" t="s">
        <v>8</v>
      </c>
      <c r="N707" s="27" t="s">
        <v>7</v>
      </c>
      <c r="CQ707" s="27" t="s">
        <v>8</v>
      </c>
      <c r="CR707" s="27" t="s">
        <v>7</v>
      </c>
      <c r="CS707" s="27" t="s">
        <v>8</v>
      </c>
      <c r="CT707" s="27" t="s">
        <v>7</v>
      </c>
      <c r="DA707" s="27" t="s">
        <v>8</v>
      </c>
      <c r="DB707" s="27" t="s">
        <v>7</v>
      </c>
      <c r="DC707" s="27" t="s">
        <v>8</v>
      </c>
      <c r="DQ707" s="27" t="s">
        <v>8</v>
      </c>
      <c r="DR707" s="27" t="s">
        <v>7</v>
      </c>
      <c r="DS707" s="27" t="s">
        <v>8</v>
      </c>
      <c r="DT707" s="27" t="s">
        <v>7</v>
      </c>
      <c r="DU707" s="27" t="s">
        <v>8</v>
      </c>
      <c r="DV707" s="27" t="s">
        <v>7</v>
      </c>
      <c r="DW707" s="27" t="s">
        <v>8</v>
      </c>
      <c r="DX707" s="27" t="s">
        <v>7</v>
      </c>
      <c r="DY707" s="27" t="s">
        <v>8</v>
      </c>
      <c r="FD707" s="27" t="s">
        <v>7</v>
      </c>
      <c r="FS707" s="27" t="s">
        <v>8</v>
      </c>
      <c r="HK707" s="27" t="s">
        <v>8</v>
      </c>
    </row>
    <row r="708" spans="1:219" x14ac:dyDescent="0.25">
      <c r="A708" s="7">
        <v>9.1070813674438963E-2</v>
      </c>
      <c r="B708"/>
      <c r="C708"/>
      <c r="D708"/>
      <c r="E708"/>
      <c r="H708" s="27" t="s">
        <v>7</v>
      </c>
      <c r="I708" s="27" t="s">
        <v>8</v>
      </c>
      <c r="L708" s="27" t="s">
        <v>7</v>
      </c>
      <c r="M708" s="27" t="s">
        <v>8</v>
      </c>
      <c r="N708" s="27" t="s">
        <v>7</v>
      </c>
      <c r="O708" s="27" t="s">
        <v>8</v>
      </c>
      <c r="CQ708" s="27" t="s">
        <v>8</v>
      </c>
      <c r="CR708" s="27" t="s">
        <v>7</v>
      </c>
      <c r="CS708" s="27" t="s">
        <v>8</v>
      </c>
      <c r="CT708" s="27" t="s">
        <v>7</v>
      </c>
      <c r="DA708" s="27" t="s">
        <v>8</v>
      </c>
      <c r="DB708" s="27" t="s">
        <v>7</v>
      </c>
      <c r="DC708" s="27" t="s">
        <v>8</v>
      </c>
      <c r="DD708" s="27" t="s">
        <v>7</v>
      </c>
      <c r="DQ708" s="27" t="s">
        <v>8</v>
      </c>
      <c r="DR708" s="27" t="s">
        <v>7</v>
      </c>
      <c r="DS708" s="27" t="s">
        <v>8</v>
      </c>
      <c r="DT708" s="27" t="s">
        <v>7</v>
      </c>
      <c r="DU708" s="27" t="s">
        <v>8</v>
      </c>
      <c r="DV708" s="27" t="s">
        <v>7</v>
      </c>
      <c r="DX708" s="27" t="s">
        <v>7</v>
      </c>
      <c r="DY708" s="27" t="s">
        <v>8</v>
      </c>
      <c r="FD708" s="27" t="s">
        <v>7</v>
      </c>
      <c r="FE708" s="27" t="s">
        <v>8</v>
      </c>
      <c r="FS708" s="27" t="s">
        <v>8</v>
      </c>
      <c r="FT708" s="27" t="s">
        <v>7</v>
      </c>
      <c r="HK708" s="27" t="s">
        <v>8</v>
      </c>
    </row>
    <row r="709" spans="1:219" x14ac:dyDescent="0.25">
      <c r="A709" s="7">
        <v>8.9285111445528392E-2</v>
      </c>
      <c r="B709"/>
      <c r="C709"/>
      <c r="D709"/>
      <c r="E709"/>
      <c r="H709" s="27" t="s">
        <v>7</v>
      </c>
      <c r="I709" s="27" t="s">
        <v>8</v>
      </c>
      <c r="L709" s="27" t="s">
        <v>7</v>
      </c>
      <c r="M709" s="27" t="s">
        <v>8</v>
      </c>
      <c r="N709" s="27" t="s">
        <v>7</v>
      </c>
      <c r="O709" s="27" t="s">
        <v>8</v>
      </c>
      <c r="P709" s="27" t="s">
        <v>7</v>
      </c>
      <c r="CQ709" s="27" t="s">
        <v>8</v>
      </c>
      <c r="CR709" s="27" t="s">
        <v>7</v>
      </c>
      <c r="CS709" s="27" t="s">
        <v>8</v>
      </c>
      <c r="CT709" s="27" t="s">
        <v>7</v>
      </c>
      <c r="DA709" s="27" t="s">
        <v>8</v>
      </c>
      <c r="DB709" s="27" t="s">
        <v>7</v>
      </c>
      <c r="DC709" s="27" t="s">
        <v>8</v>
      </c>
      <c r="DD709" s="27" t="s">
        <v>7</v>
      </c>
      <c r="DQ709" s="27" t="s">
        <v>8</v>
      </c>
      <c r="DR709" s="27" t="s">
        <v>7</v>
      </c>
      <c r="DS709" s="27" t="s">
        <v>8</v>
      </c>
      <c r="DT709" s="27" t="s">
        <v>7</v>
      </c>
      <c r="DX709" s="27" t="s">
        <v>7</v>
      </c>
      <c r="FD709" s="27" t="s">
        <v>7</v>
      </c>
      <c r="FE709" s="27" t="s">
        <v>8</v>
      </c>
      <c r="FF709" s="27" t="s">
        <v>7</v>
      </c>
      <c r="FS709" s="27" t="s">
        <v>8</v>
      </c>
      <c r="FT709" s="27" t="s">
        <v>7</v>
      </c>
      <c r="HK709" s="27" t="s">
        <v>8</v>
      </c>
    </row>
    <row r="710" spans="1:219" x14ac:dyDescent="0.25">
      <c r="A710" s="7">
        <v>8.7534422985812155E-2</v>
      </c>
      <c r="B710"/>
      <c r="C710"/>
      <c r="D710"/>
      <c r="E710"/>
      <c r="H710" s="27" t="s">
        <v>7</v>
      </c>
      <c r="I710" s="27" t="s">
        <v>8</v>
      </c>
      <c r="L710" s="27" t="s">
        <v>7</v>
      </c>
      <c r="M710" s="27" t="s">
        <v>8</v>
      </c>
      <c r="N710" s="27" t="s">
        <v>7</v>
      </c>
      <c r="O710" s="27" t="s">
        <v>8</v>
      </c>
      <c r="P710" s="27" t="s">
        <v>7</v>
      </c>
      <c r="CQ710" s="27" t="s">
        <v>8</v>
      </c>
      <c r="CR710" s="27" t="s">
        <v>7</v>
      </c>
      <c r="CS710" s="27" t="s">
        <v>8</v>
      </c>
      <c r="CT710" s="27" t="s">
        <v>7</v>
      </c>
      <c r="DA710" s="27" t="s">
        <v>8</v>
      </c>
      <c r="DB710" s="27" t="s">
        <v>7</v>
      </c>
      <c r="DC710" s="27" t="s">
        <v>8</v>
      </c>
      <c r="DD710" s="27" t="s">
        <v>7</v>
      </c>
      <c r="DQ710" s="27" t="s">
        <v>8</v>
      </c>
      <c r="DR710" s="27" t="s">
        <v>7</v>
      </c>
      <c r="DS710" s="27" t="s">
        <v>8</v>
      </c>
      <c r="FD710" s="27" t="s">
        <v>7</v>
      </c>
      <c r="FE710" s="27" t="s">
        <v>8</v>
      </c>
      <c r="FF710" s="27" t="s">
        <v>7</v>
      </c>
      <c r="FS710" s="27" t="s">
        <v>8</v>
      </c>
      <c r="FT710" s="27" t="s">
        <v>7</v>
      </c>
      <c r="HK710" s="27" t="s">
        <v>8</v>
      </c>
    </row>
    <row r="711" spans="1:219" x14ac:dyDescent="0.25">
      <c r="A711" s="7">
        <v>8.5818061750796232E-2</v>
      </c>
      <c r="B711"/>
      <c r="C711"/>
      <c r="D711"/>
      <c r="E711"/>
      <c r="H711" s="27" t="s">
        <v>7</v>
      </c>
      <c r="L711" s="27" t="s">
        <v>7</v>
      </c>
      <c r="M711" s="27" t="s">
        <v>8</v>
      </c>
      <c r="N711" s="27" t="s">
        <v>7</v>
      </c>
      <c r="O711" s="27" t="s">
        <v>8</v>
      </c>
      <c r="P711" s="27" t="s">
        <v>7</v>
      </c>
      <c r="CQ711" s="27" t="s">
        <v>8</v>
      </c>
      <c r="CR711" s="27" t="s">
        <v>7</v>
      </c>
      <c r="CS711" s="27" t="s">
        <v>8</v>
      </c>
      <c r="CT711" s="27" t="s">
        <v>7</v>
      </c>
      <c r="DA711" s="27" t="s">
        <v>8</v>
      </c>
      <c r="DB711" s="27" t="s">
        <v>7</v>
      </c>
      <c r="DC711" s="27" t="s">
        <v>8</v>
      </c>
      <c r="DD711" s="27" t="s">
        <v>7</v>
      </c>
      <c r="DE711" s="27" t="s">
        <v>8</v>
      </c>
      <c r="DQ711" s="27" t="s">
        <v>8</v>
      </c>
      <c r="DR711" s="27" t="s">
        <v>7</v>
      </c>
      <c r="DS711" s="27" t="s">
        <v>8</v>
      </c>
      <c r="FD711" s="27" t="s">
        <v>7</v>
      </c>
      <c r="FE711" s="27" t="s">
        <v>8</v>
      </c>
      <c r="FF711" s="27" t="s">
        <v>7</v>
      </c>
      <c r="FS711" s="27" t="s">
        <v>8</v>
      </c>
      <c r="FT711" s="27" t="s">
        <v>7</v>
      </c>
      <c r="HK711" s="27" t="s">
        <v>8</v>
      </c>
    </row>
    <row r="712" spans="1:219" x14ac:dyDescent="0.25">
      <c r="A712" s="7">
        <v>8.4135354657643366E-2</v>
      </c>
      <c r="B712"/>
      <c r="C712"/>
      <c r="D712"/>
      <c r="E712"/>
      <c r="L712" s="27" t="s">
        <v>7</v>
      </c>
      <c r="M712" s="27" t="s">
        <v>8</v>
      </c>
      <c r="N712" s="27" t="s">
        <v>7</v>
      </c>
      <c r="O712" s="27" t="s">
        <v>8</v>
      </c>
      <c r="P712" s="27" t="s">
        <v>7</v>
      </c>
      <c r="Q712" s="27" t="s">
        <v>8</v>
      </c>
      <c r="CQ712" s="27" t="s">
        <v>8</v>
      </c>
      <c r="CR712" s="27" t="s">
        <v>7</v>
      </c>
      <c r="CS712" s="27" t="s">
        <v>8</v>
      </c>
      <c r="CT712" s="27" t="s">
        <v>7</v>
      </c>
      <c r="DA712" s="27" t="s">
        <v>8</v>
      </c>
      <c r="DB712" s="27" t="s">
        <v>7</v>
      </c>
      <c r="DC712" s="27" t="s">
        <v>8</v>
      </c>
      <c r="DD712" s="27" t="s">
        <v>7</v>
      </c>
      <c r="DE712" s="27" t="s">
        <v>8</v>
      </c>
      <c r="DF712" s="27" t="s">
        <v>7</v>
      </c>
      <c r="DQ712" s="27" t="s">
        <v>8</v>
      </c>
      <c r="DR712" s="27" t="s">
        <v>7</v>
      </c>
      <c r="DS712" s="27" t="s">
        <v>8</v>
      </c>
      <c r="FD712" s="27" t="s">
        <v>7</v>
      </c>
      <c r="FF712" s="27" t="s">
        <v>7</v>
      </c>
      <c r="FS712" s="27" t="s">
        <v>8</v>
      </c>
      <c r="FT712" s="27" t="s">
        <v>7</v>
      </c>
      <c r="HK712" s="27" t="s">
        <v>8</v>
      </c>
    </row>
    <row r="713" spans="1:219" x14ac:dyDescent="0.25">
      <c r="A713" s="7">
        <v>8.248564182121898E-2</v>
      </c>
      <c r="B713"/>
      <c r="C713"/>
      <c r="D713"/>
      <c r="E713"/>
      <c r="L713" s="27" t="s">
        <v>7</v>
      </c>
      <c r="M713" s="27" t="s">
        <v>8</v>
      </c>
      <c r="N713" s="27" t="s">
        <v>7</v>
      </c>
      <c r="O713" s="27" t="s">
        <v>8</v>
      </c>
      <c r="P713" s="27" t="s">
        <v>7</v>
      </c>
      <c r="Q713" s="27" t="s">
        <v>8</v>
      </c>
      <c r="R713" s="27" t="s">
        <v>7</v>
      </c>
      <c r="CQ713" s="27" t="s">
        <v>8</v>
      </c>
      <c r="CR713" s="27" t="s">
        <v>7</v>
      </c>
      <c r="CS713" s="27" t="s">
        <v>8</v>
      </c>
      <c r="CT713" s="27" t="s">
        <v>7</v>
      </c>
      <c r="DA713" s="27" t="s">
        <v>8</v>
      </c>
      <c r="DB713" s="27" t="s">
        <v>7</v>
      </c>
      <c r="DC713" s="27" t="s">
        <v>8</v>
      </c>
      <c r="DD713" s="27" t="s">
        <v>7</v>
      </c>
      <c r="DE713" s="27" t="s">
        <v>8</v>
      </c>
      <c r="DF713" s="27" t="s">
        <v>7</v>
      </c>
      <c r="DQ713" s="27" t="s">
        <v>8</v>
      </c>
      <c r="DR713" s="27" t="s">
        <v>7</v>
      </c>
      <c r="DS713" s="27" t="s">
        <v>8</v>
      </c>
      <c r="FF713" s="27" t="s">
        <v>7</v>
      </c>
      <c r="FS713" s="27" t="s">
        <v>8</v>
      </c>
      <c r="FT713" s="27" t="s">
        <v>7</v>
      </c>
      <c r="HK713" s="27" t="s">
        <v>8</v>
      </c>
    </row>
    <row r="714" spans="1:219" x14ac:dyDescent="0.25">
      <c r="A714" s="7">
        <v>8.0868276295312735E-2</v>
      </c>
      <c r="B714"/>
      <c r="C714"/>
      <c r="D714"/>
      <c r="E714"/>
      <c r="L714" s="27" t="s">
        <v>7</v>
      </c>
      <c r="M714" s="27" t="s">
        <v>8</v>
      </c>
      <c r="N714" s="27" t="s">
        <v>7</v>
      </c>
      <c r="O714" s="27" t="s">
        <v>8</v>
      </c>
      <c r="P714" s="27" t="s">
        <v>7</v>
      </c>
      <c r="Q714" s="27" t="s">
        <v>8</v>
      </c>
      <c r="R714" s="27" t="s">
        <v>7</v>
      </c>
      <c r="CQ714" s="27" t="s">
        <v>8</v>
      </c>
      <c r="CR714" s="27" t="s">
        <v>7</v>
      </c>
      <c r="CS714" s="27" t="s">
        <v>8</v>
      </c>
      <c r="CT714" s="27" t="s">
        <v>7</v>
      </c>
      <c r="CU714" s="27" t="s">
        <v>8</v>
      </c>
      <c r="DA714" s="27" t="s">
        <v>8</v>
      </c>
      <c r="DB714" s="27" t="s">
        <v>7</v>
      </c>
      <c r="DC714" s="27" t="s">
        <v>8</v>
      </c>
      <c r="DD714" s="27" t="s">
        <v>7</v>
      </c>
      <c r="DE714" s="27" t="s">
        <v>8</v>
      </c>
      <c r="DF714" s="27" t="s">
        <v>7</v>
      </c>
      <c r="DQ714" s="27" t="s">
        <v>8</v>
      </c>
      <c r="DR714" s="27" t="s">
        <v>7</v>
      </c>
      <c r="DS714" s="27" t="s">
        <v>8</v>
      </c>
      <c r="FF714" s="27" t="s">
        <v>7</v>
      </c>
      <c r="FS714" s="27" t="s">
        <v>8</v>
      </c>
      <c r="FT714" s="27" t="s">
        <v>7</v>
      </c>
      <c r="HK714" s="27" t="s">
        <v>8</v>
      </c>
    </row>
    <row r="715" spans="1:219" x14ac:dyDescent="0.25">
      <c r="A715" s="7">
        <v>7.9282623818934056E-2</v>
      </c>
      <c r="B715"/>
      <c r="C715"/>
      <c r="D715"/>
      <c r="E715"/>
      <c r="L715" s="27" t="s">
        <v>7</v>
      </c>
      <c r="M715" s="27" t="s">
        <v>8</v>
      </c>
      <c r="N715" s="27" t="s">
        <v>7</v>
      </c>
      <c r="P715" s="27" t="s">
        <v>7</v>
      </c>
      <c r="Q715" s="27" t="s">
        <v>8</v>
      </c>
      <c r="R715" s="27" t="s">
        <v>7</v>
      </c>
      <c r="S715" s="27" t="s">
        <v>8</v>
      </c>
      <c r="AK715" s="27" t="s">
        <v>8</v>
      </c>
      <c r="CQ715" s="27" t="s">
        <v>8</v>
      </c>
      <c r="CR715" s="27" t="s">
        <v>7</v>
      </c>
      <c r="CS715" s="27" t="s">
        <v>8</v>
      </c>
      <c r="CT715" s="27" t="s">
        <v>7</v>
      </c>
      <c r="CU715" s="27" t="s">
        <v>8</v>
      </c>
      <c r="CV715" s="27" t="s">
        <v>7</v>
      </c>
      <c r="DA715" s="27" t="s">
        <v>8</v>
      </c>
      <c r="DB715" s="27" t="s">
        <v>7</v>
      </c>
      <c r="DC715" s="27" t="s">
        <v>8</v>
      </c>
      <c r="DD715" s="27" t="s">
        <v>7</v>
      </c>
      <c r="DE715" s="27" t="s">
        <v>8</v>
      </c>
      <c r="DF715" s="27" t="s">
        <v>7</v>
      </c>
      <c r="DG715" s="27" t="s">
        <v>8</v>
      </c>
      <c r="DO715" s="27" t="s">
        <v>8</v>
      </c>
      <c r="DQ715" s="27" t="s">
        <v>8</v>
      </c>
      <c r="DR715" s="27" t="s">
        <v>7</v>
      </c>
      <c r="FF715" s="27" t="s">
        <v>7</v>
      </c>
      <c r="FS715" s="27" t="s">
        <v>8</v>
      </c>
      <c r="FT715" s="27" t="s">
        <v>7</v>
      </c>
      <c r="HK715" s="27" t="s">
        <v>8</v>
      </c>
    </row>
    <row r="716" spans="1:219" x14ac:dyDescent="0.25">
      <c r="A716" s="7">
        <v>7.7728062567582412E-2</v>
      </c>
      <c r="B716"/>
      <c r="C716"/>
      <c r="D716"/>
      <c r="E716"/>
      <c r="L716" s="27" t="s">
        <v>7</v>
      </c>
      <c r="M716" s="27" t="s">
        <v>8</v>
      </c>
      <c r="P716" s="27" t="s">
        <v>7</v>
      </c>
      <c r="R716" s="27" t="s">
        <v>7</v>
      </c>
      <c r="S716" s="27" t="s">
        <v>8</v>
      </c>
      <c r="T716" s="27" t="s">
        <v>7</v>
      </c>
      <c r="AK716" s="27" t="s">
        <v>8</v>
      </c>
      <c r="AL716" s="27" t="s">
        <v>7</v>
      </c>
      <c r="CQ716" s="27" t="s">
        <v>8</v>
      </c>
      <c r="CR716" s="27" t="s">
        <v>7</v>
      </c>
      <c r="CS716" s="27" t="s">
        <v>8</v>
      </c>
      <c r="CT716" s="27" t="s">
        <v>7</v>
      </c>
      <c r="CU716" s="27" t="s">
        <v>8</v>
      </c>
      <c r="CV716" s="27" t="s">
        <v>7</v>
      </c>
      <c r="DA716" s="27" t="s">
        <v>8</v>
      </c>
      <c r="DB716" s="27" t="s">
        <v>7</v>
      </c>
      <c r="DC716" s="27" t="s">
        <v>8</v>
      </c>
      <c r="DD716" s="27" t="s">
        <v>7</v>
      </c>
      <c r="DE716" s="27" t="s">
        <v>8</v>
      </c>
      <c r="DF716" s="27" t="s">
        <v>7</v>
      </c>
      <c r="DG716" s="27" t="s">
        <v>8</v>
      </c>
      <c r="DH716" s="27" t="s">
        <v>7</v>
      </c>
      <c r="DO716" s="27" t="s">
        <v>8</v>
      </c>
      <c r="DP716" s="27" t="s">
        <v>7</v>
      </c>
      <c r="DQ716" s="27" t="s">
        <v>8</v>
      </c>
      <c r="FF716" s="27" t="s">
        <v>7</v>
      </c>
      <c r="FS716" s="27" t="s">
        <v>8</v>
      </c>
      <c r="FT716" s="27" t="s">
        <v>7</v>
      </c>
      <c r="HK716" s="27" t="s">
        <v>8</v>
      </c>
    </row>
    <row r="717" spans="1:219" x14ac:dyDescent="0.25">
      <c r="A717" s="7">
        <v>7.6203982909394521E-2</v>
      </c>
      <c r="B717"/>
      <c r="C717"/>
      <c r="D717"/>
      <c r="E717"/>
      <c r="L717" s="27" t="s">
        <v>7</v>
      </c>
      <c r="M717" s="27" t="s">
        <v>8</v>
      </c>
      <c r="R717" s="27" t="s">
        <v>7</v>
      </c>
      <c r="S717" s="27" t="s">
        <v>8</v>
      </c>
      <c r="T717" s="27" t="s">
        <v>7</v>
      </c>
      <c r="AK717" s="27" t="s">
        <v>8</v>
      </c>
      <c r="AL717" s="27" t="s">
        <v>7</v>
      </c>
      <c r="CQ717" s="27" t="s">
        <v>8</v>
      </c>
      <c r="CR717" s="27" t="s">
        <v>7</v>
      </c>
      <c r="CS717" s="27" t="s">
        <v>8</v>
      </c>
      <c r="CT717" s="27" t="s">
        <v>7</v>
      </c>
      <c r="CU717" s="27" t="s">
        <v>8</v>
      </c>
      <c r="CV717" s="27" t="s">
        <v>7</v>
      </c>
      <c r="DA717" s="27" t="s">
        <v>8</v>
      </c>
      <c r="DB717" s="27" t="s">
        <v>7</v>
      </c>
      <c r="DC717" s="27" t="s">
        <v>8</v>
      </c>
      <c r="DD717" s="27" t="s">
        <v>7</v>
      </c>
      <c r="DE717" s="27" t="s">
        <v>8</v>
      </c>
      <c r="DF717" s="27" t="s">
        <v>7</v>
      </c>
      <c r="DG717" s="27" t="s">
        <v>8</v>
      </c>
      <c r="DH717" s="27" t="s">
        <v>7</v>
      </c>
      <c r="DO717" s="27" t="s">
        <v>8</v>
      </c>
      <c r="DP717" s="27" t="s">
        <v>7</v>
      </c>
      <c r="DQ717" s="27" t="s">
        <v>8</v>
      </c>
      <c r="FF717" s="27" t="s">
        <v>7</v>
      </c>
      <c r="FS717" s="27" t="s">
        <v>8</v>
      </c>
      <c r="FT717" s="27" t="s">
        <v>7</v>
      </c>
      <c r="HK717" s="27" t="s">
        <v>8</v>
      </c>
    </row>
    <row r="718" spans="1:219" x14ac:dyDescent="0.25">
      <c r="A718" s="7">
        <v>7.4709787166073058E-2</v>
      </c>
      <c r="B718"/>
      <c r="C718"/>
      <c r="D718"/>
      <c r="E718"/>
      <c r="L718" s="27" t="s">
        <v>7</v>
      </c>
      <c r="M718" s="27" t="s">
        <v>8</v>
      </c>
      <c r="R718" s="27" t="s">
        <v>7</v>
      </c>
      <c r="S718" s="27" t="s">
        <v>8</v>
      </c>
      <c r="T718" s="27" t="s">
        <v>7</v>
      </c>
      <c r="U718" s="27" t="s">
        <v>8</v>
      </c>
      <c r="AG718" s="27" t="s">
        <v>8</v>
      </c>
      <c r="AK718" s="27" t="s">
        <v>8</v>
      </c>
      <c r="AL718" s="27" t="s">
        <v>7</v>
      </c>
      <c r="CQ718" s="27" t="s">
        <v>8</v>
      </c>
      <c r="CR718" s="27" t="s">
        <v>7</v>
      </c>
      <c r="CS718" s="27" t="s">
        <v>8</v>
      </c>
      <c r="CT718" s="27" t="s">
        <v>7</v>
      </c>
      <c r="CU718" s="27" t="s">
        <v>8</v>
      </c>
      <c r="CV718" s="27" t="s">
        <v>7</v>
      </c>
      <c r="CY718" s="27" t="s">
        <v>8</v>
      </c>
      <c r="DA718" s="27" t="s">
        <v>8</v>
      </c>
      <c r="DB718" s="27" t="s">
        <v>7</v>
      </c>
      <c r="DC718" s="27" t="s">
        <v>8</v>
      </c>
      <c r="DD718" s="27" t="s">
        <v>7</v>
      </c>
      <c r="DF718" s="27" t="s">
        <v>7</v>
      </c>
      <c r="DG718" s="27" t="s">
        <v>8</v>
      </c>
      <c r="DH718" s="27" t="s">
        <v>7</v>
      </c>
      <c r="DO718" s="27" t="s">
        <v>8</v>
      </c>
      <c r="DP718" s="27" t="s">
        <v>7</v>
      </c>
      <c r="DQ718" s="27" t="s">
        <v>8</v>
      </c>
      <c r="FF718" s="27" t="s">
        <v>7</v>
      </c>
      <c r="FK718" s="27" t="s">
        <v>8</v>
      </c>
      <c r="FS718" s="27" t="s">
        <v>8</v>
      </c>
      <c r="FT718" s="27" t="s">
        <v>7</v>
      </c>
      <c r="HK718" s="27" t="s">
        <v>8</v>
      </c>
    </row>
    <row r="719" spans="1:219" x14ac:dyDescent="0.25">
      <c r="A719" s="7">
        <v>7.3244889378503E-2</v>
      </c>
      <c r="B719"/>
      <c r="C719"/>
      <c r="D719"/>
      <c r="E719"/>
      <c r="L719" s="27" t="s">
        <v>7</v>
      </c>
      <c r="M719" s="27" t="s">
        <v>8</v>
      </c>
      <c r="R719" s="27" t="s">
        <v>7</v>
      </c>
      <c r="S719" s="27" t="s">
        <v>8</v>
      </c>
      <c r="T719" s="27" t="s">
        <v>7</v>
      </c>
      <c r="U719" s="27" t="s">
        <v>8</v>
      </c>
      <c r="V719" s="27" t="s">
        <v>7</v>
      </c>
      <c r="W719" s="27" t="s">
        <v>8</v>
      </c>
      <c r="AG719" s="27" t="s">
        <v>8</v>
      </c>
      <c r="AH719" s="27" t="s">
        <v>7</v>
      </c>
      <c r="AK719" s="27" t="s">
        <v>8</v>
      </c>
      <c r="AL719" s="27" t="s">
        <v>7</v>
      </c>
      <c r="AO719" s="27" t="s">
        <v>8</v>
      </c>
      <c r="CA719" s="27" t="s">
        <v>8</v>
      </c>
      <c r="CQ719" s="27" t="s">
        <v>8</v>
      </c>
      <c r="CR719" s="27" t="s">
        <v>7</v>
      </c>
      <c r="CS719" s="27" t="s">
        <v>8</v>
      </c>
      <c r="CT719" s="27" t="s">
        <v>7</v>
      </c>
      <c r="CU719" s="27" t="s">
        <v>8</v>
      </c>
      <c r="CV719" s="27" t="s">
        <v>7</v>
      </c>
      <c r="CY719" s="27" t="s">
        <v>8</v>
      </c>
      <c r="CZ719" s="27" t="s">
        <v>7</v>
      </c>
      <c r="DA719" s="27" t="s">
        <v>8</v>
      </c>
      <c r="DB719" s="27" t="s">
        <v>7</v>
      </c>
      <c r="DC719" s="27" t="s">
        <v>8</v>
      </c>
      <c r="DF719" s="27" t="s">
        <v>7</v>
      </c>
      <c r="DH719" s="27" t="s">
        <v>7</v>
      </c>
      <c r="DO719" s="27" t="s">
        <v>8</v>
      </c>
      <c r="DP719" s="27" t="s">
        <v>7</v>
      </c>
      <c r="DQ719" s="27" t="s">
        <v>8</v>
      </c>
      <c r="FF719" s="27" t="s">
        <v>7</v>
      </c>
      <c r="FK719" s="27" t="s">
        <v>8</v>
      </c>
      <c r="FL719" s="27" t="s">
        <v>7</v>
      </c>
      <c r="FS719" s="27" t="s">
        <v>8</v>
      </c>
      <c r="FT719" s="27" t="s">
        <v>7</v>
      </c>
      <c r="GU719" s="27" t="s">
        <v>8</v>
      </c>
      <c r="HA719" s="27" t="s">
        <v>8</v>
      </c>
      <c r="HK719" s="27" t="s">
        <v>8</v>
      </c>
    </row>
    <row r="720" spans="1:219" x14ac:dyDescent="0.25">
      <c r="A720" s="7">
        <v>7.1808715076963722E-2</v>
      </c>
      <c r="B720"/>
      <c r="C720"/>
      <c r="D720"/>
      <c r="E720"/>
      <c r="L720" s="27" t="s">
        <v>7</v>
      </c>
      <c r="M720" s="27" t="s">
        <v>8</v>
      </c>
      <c r="R720" s="27" t="s">
        <v>7</v>
      </c>
      <c r="T720" s="27" t="s">
        <v>7</v>
      </c>
      <c r="U720" s="27" t="s">
        <v>8</v>
      </c>
      <c r="V720" s="27" t="s">
        <v>7</v>
      </c>
      <c r="W720" s="27" t="s">
        <v>8</v>
      </c>
      <c r="X720" s="27" t="s">
        <v>7</v>
      </c>
      <c r="AG720" s="27" t="s">
        <v>8</v>
      </c>
      <c r="AH720" s="27" t="s">
        <v>7</v>
      </c>
      <c r="AK720" s="27" t="s">
        <v>8</v>
      </c>
      <c r="AL720" s="27" t="s">
        <v>7</v>
      </c>
      <c r="AM720" s="27" t="s">
        <v>8</v>
      </c>
      <c r="AO720" s="27" t="s">
        <v>8</v>
      </c>
      <c r="AP720" s="27" t="s">
        <v>7</v>
      </c>
      <c r="CA720" s="27" t="s">
        <v>8</v>
      </c>
      <c r="CB720" s="27" t="s">
        <v>7</v>
      </c>
      <c r="CQ720" s="27" t="s">
        <v>8</v>
      </c>
      <c r="CR720" s="27" t="s">
        <v>7</v>
      </c>
      <c r="CS720" s="27" t="s">
        <v>8</v>
      </c>
      <c r="CT720" s="27" t="s">
        <v>7</v>
      </c>
      <c r="CU720" s="27" t="s">
        <v>8</v>
      </c>
      <c r="CV720" s="27" t="s">
        <v>7</v>
      </c>
      <c r="CY720" s="27" t="s">
        <v>8</v>
      </c>
      <c r="CZ720" s="27" t="s">
        <v>7</v>
      </c>
      <c r="DA720" s="27" t="s">
        <v>8</v>
      </c>
      <c r="DB720" s="27" t="s">
        <v>7</v>
      </c>
      <c r="DC720" s="27" t="s">
        <v>8</v>
      </c>
      <c r="DH720" s="27" t="s">
        <v>7</v>
      </c>
      <c r="DO720" s="27" t="s">
        <v>8</v>
      </c>
      <c r="DP720" s="27" t="s">
        <v>7</v>
      </c>
      <c r="DQ720" s="27" t="s">
        <v>8</v>
      </c>
      <c r="FF720" s="27" t="s">
        <v>7</v>
      </c>
      <c r="FK720" s="27" t="s">
        <v>8</v>
      </c>
      <c r="FL720" s="27" t="s">
        <v>7</v>
      </c>
      <c r="FS720" s="27" t="s">
        <v>8</v>
      </c>
      <c r="FT720" s="27" t="s">
        <v>7</v>
      </c>
      <c r="GU720" s="27" t="s">
        <v>8</v>
      </c>
      <c r="GV720" s="27" t="s">
        <v>7</v>
      </c>
      <c r="HA720" s="27" t="s">
        <v>8</v>
      </c>
      <c r="HB720" s="27" t="s">
        <v>7</v>
      </c>
      <c r="HG720" s="27" t="s">
        <v>8</v>
      </c>
      <c r="HK720" s="27" t="s">
        <v>8</v>
      </c>
    </row>
    <row r="721" spans="1:219" x14ac:dyDescent="0.25">
      <c r="A721" s="7">
        <v>7.0400701055846782E-2</v>
      </c>
      <c r="B721"/>
      <c r="C721"/>
      <c r="D721"/>
      <c r="E721"/>
      <c r="L721" s="27" t="s">
        <v>7</v>
      </c>
      <c r="M721" s="27" t="s">
        <v>8</v>
      </c>
      <c r="T721" s="27" t="s">
        <v>7</v>
      </c>
      <c r="U721" s="27" t="s">
        <v>8</v>
      </c>
      <c r="V721" s="27" t="s">
        <v>7</v>
      </c>
      <c r="W721" s="27" t="s">
        <v>8</v>
      </c>
      <c r="X721" s="27" t="s">
        <v>7</v>
      </c>
      <c r="AC721" s="27" t="s">
        <v>8</v>
      </c>
      <c r="AE721" s="27" t="s">
        <v>8</v>
      </c>
      <c r="AG721" s="27" t="s">
        <v>8</v>
      </c>
      <c r="AH721" s="27" t="s">
        <v>7</v>
      </c>
      <c r="AK721" s="27" t="s">
        <v>8</v>
      </c>
      <c r="AL721" s="27" t="s">
        <v>7</v>
      </c>
      <c r="AM721" s="27" t="s">
        <v>8</v>
      </c>
      <c r="AN721" s="27" t="s">
        <v>7</v>
      </c>
      <c r="AO721" s="27" t="s">
        <v>8</v>
      </c>
      <c r="AP721" s="27" t="s">
        <v>7</v>
      </c>
      <c r="CA721" s="27" t="s">
        <v>8</v>
      </c>
      <c r="CB721" s="27" t="s">
        <v>7</v>
      </c>
      <c r="CQ721" s="27" t="s">
        <v>8</v>
      </c>
      <c r="CR721" s="27" t="s">
        <v>7</v>
      </c>
      <c r="CS721" s="27" t="s">
        <v>8</v>
      </c>
      <c r="CT721" s="27" t="s">
        <v>7</v>
      </c>
      <c r="CU721" s="27" t="s">
        <v>8</v>
      </c>
      <c r="CV721" s="27" t="s">
        <v>7</v>
      </c>
      <c r="CY721" s="27" t="s">
        <v>8</v>
      </c>
      <c r="CZ721" s="27" t="s">
        <v>7</v>
      </c>
      <c r="DA721" s="27" t="s">
        <v>8</v>
      </c>
      <c r="DB721" s="27" t="s">
        <v>7</v>
      </c>
      <c r="DC721" s="27" t="s">
        <v>8</v>
      </c>
      <c r="DH721" s="27" t="s">
        <v>7</v>
      </c>
      <c r="DO721" s="27" t="s">
        <v>8</v>
      </c>
      <c r="DP721" s="27" t="s">
        <v>7</v>
      </c>
      <c r="DQ721" s="27" t="s">
        <v>8</v>
      </c>
      <c r="FF721" s="27" t="s">
        <v>7</v>
      </c>
      <c r="FK721" s="27" t="s">
        <v>8</v>
      </c>
      <c r="FL721" s="27" t="s">
        <v>7</v>
      </c>
      <c r="FS721" s="27" t="s">
        <v>8</v>
      </c>
      <c r="FT721" s="27" t="s">
        <v>7</v>
      </c>
      <c r="GU721" s="27" t="s">
        <v>8</v>
      </c>
      <c r="GV721" s="27" t="s">
        <v>7</v>
      </c>
      <c r="HA721" s="27" t="s">
        <v>8</v>
      </c>
      <c r="HB721" s="27" t="s">
        <v>7</v>
      </c>
      <c r="HG721" s="27" t="s">
        <v>8</v>
      </c>
      <c r="HH721" s="27" t="s">
        <v>7</v>
      </c>
      <c r="HK721" s="27" t="s">
        <v>8</v>
      </c>
    </row>
    <row r="722" spans="1:219" x14ac:dyDescent="0.25">
      <c r="A722" s="7">
        <v>6.9020295152790956E-2</v>
      </c>
      <c r="B722"/>
      <c r="C722"/>
      <c r="D722"/>
      <c r="E722"/>
      <c r="L722" s="27" t="s">
        <v>7</v>
      </c>
      <c r="M722" s="27" t="s">
        <v>8</v>
      </c>
      <c r="T722" s="27" t="s">
        <v>7</v>
      </c>
      <c r="U722" s="27" t="s">
        <v>8</v>
      </c>
      <c r="V722" s="27" t="s">
        <v>7</v>
      </c>
      <c r="W722" s="27" t="s">
        <v>8</v>
      </c>
      <c r="X722" s="27" t="s">
        <v>7</v>
      </c>
      <c r="AC722" s="27" t="s">
        <v>8</v>
      </c>
      <c r="AD722" s="27" t="s">
        <v>7</v>
      </c>
      <c r="AE722" s="27" t="s">
        <v>8</v>
      </c>
      <c r="AF722" s="27" t="s">
        <v>7</v>
      </c>
      <c r="AG722" s="27" t="s">
        <v>8</v>
      </c>
      <c r="AH722" s="27" t="s">
        <v>7</v>
      </c>
      <c r="AI722" s="27" t="s">
        <v>8</v>
      </c>
      <c r="AK722" s="27" t="s">
        <v>8</v>
      </c>
      <c r="AL722" s="27" t="s">
        <v>7</v>
      </c>
      <c r="AM722" s="27" t="s">
        <v>8</v>
      </c>
      <c r="AN722" s="27" t="s">
        <v>7</v>
      </c>
      <c r="AO722" s="27" t="s">
        <v>8</v>
      </c>
      <c r="AP722" s="27" t="s">
        <v>7</v>
      </c>
      <c r="CA722" s="27" t="s">
        <v>8</v>
      </c>
      <c r="CB722" s="27" t="s">
        <v>7</v>
      </c>
      <c r="CQ722" s="27" t="s">
        <v>8</v>
      </c>
      <c r="CR722" s="27" t="s">
        <v>7</v>
      </c>
      <c r="CS722" s="27" t="s">
        <v>8</v>
      </c>
      <c r="CT722" s="27" t="s">
        <v>7</v>
      </c>
      <c r="CU722" s="27" t="s">
        <v>8</v>
      </c>
      <c r="CV722" s="27" t="s">
        <v>7</v>
      </c>
      <c r="CW722" s="27" t="s">
        <v>8</v>
      </c>
      <c r="CY722" s="27" t="s">
        <v>8</v>
      </c>
      <c r="CZ722" s="27" t="s">
        <v>7</v>
      </c>
      <c r="DA722" s="27" t="s">
        <v>8</v>
      </c>
      <c r="DB722" s="27" t="s">
        <v>7</v>
      </c>
      <c r="DC722" s="27" t="s">
        <v>8</v>
      </c>
      <c r="DH722" s="27" t="s">
        <v>7</v>
      </c>
      <c r="DO722" s="27" t="s">
        <v>8</v>
      </c>
      <c r="DP722" s="27" t="s">
        <v>7</v>
      </c>
      <c r="FF722" s="27" t="s">
        <v>7</v>
      </c>
      <c r="FK722" s="27" t="s">
        <v>8</v>
      </c>
      <c r="FL722" s="27" t="s">
        <v>7</v>
      </c>
      <c r="FS722" s="27" t="s">
        <v>8</v>
      </c>
      <c r="FT722" s="27" t="s">
        <v>7</v>
      </c>
      <c r="GU722" s="27" t="s">
        <v>8</v>
      </c>
      <c r="GV722" s="27" t="s">
        <v>7</v>
      </c>
      <c r="HA722" s="27" t="s">
        <v>8</v>
      </c>
      <c r="HB722" s="27" t="s">
        <v>7</v>
      </c>
      <c r="HC722" s="27" t="s">
        <v>8</v>
      </c>
      <c r="HG722" s="27" t="s">
        <v>8</v>
      </c>
      <c r="HH722" s="27" t="s">
        <v>7</v>
      </c>
      <c r="HK722" s="27" t="s">
        <v>8</v>
      </c>
    </row>
    <row r="723" spans="1:219" x14ac:dyDescent="0.25">
      <c r="A723" s="7">
        <v>6.7666956032147993E-2</v>
      </c>
      <c r="B723"/>
      <c r="C723"/>
      <c r="D723"/>
      <c r="E723"/>
      <c r="L723" s="27" t="s">
        <v>7</v>
      </c>
      <c r="M723" s="27" t="s">
        <v>8</v>
      </c>
      <c r="T723" s="27" t="s">
        <v>7</v>
      </c>
      <c r="U723" s="27" t="s">
        <v>8</v>
      </c>
      <c r="V723" s="27" t="s">
        <v>7</v>
      </c>
      <c r="W723" s="27" t="s">
        <v>8</v>
      </c>
      <c r="X723" s="27" t="s">
        <v>7</v>
      </c>
      <c r="AC723" s="27" t="s">
        <v>8</v>
      </c>
      <c r="AD723" s="27" t="s">
        <v>7</v>
      </c>
      <c r="AE723" s="27" t="s">
        <v>8</v>
      </c>
      <c r="AF723" s="27" t="s">
        <v>7</v>
      </c>
      <c r="AG723" s="27" t="s">
        <v>8</v>
      </c>
      <c r="AH723" s="27" t="s">
        <v>7</v>
      </c>
      <c r="AI723" s="27" t="s">
        <v>8</v>
      </c>
      <c r="AJ723" s="27" t="s">
        <v>7</v>
      </c>
      <c r="AK723" s="27" t="s">
        <v>8</v>
      </c>
      <c r="AL723" s="27" t="s">
        <v>7</v>
      </c>
      <c r="AM723" s="27" t="s">
        <v>8</v>
      </c>
      <c r="AN723" s="27" t="s">
        <v>7</v>
      </c>
      <c r="AO723" s="27" t="s">
        <v>8</v>
      </c>
      <c r="AP723" s="27" t="s">
        <v>7</v>
      </c>
      <c r="CA723" s="27" t="s">
        <v>8</v>
      </c>
      <c r="CB723" s="27" t="s">
        <v>7</v>
      </c>
      <c r="CQ723" s="27" t="s">
        <v>8</v>
      </c>
      <c r="CR723" s="27" t="s">
        <v>7</v>
      </c>
      <c r="CS723" s="27" t="s">
        <v>8</v>
      </c>
      <c r="CT723" s="27" t="s">
        <v>7</v>
      </c>
      <c r="CU723" s="27" t="s">
        <v>8</v>
      </c>
      <c r="CV723" s="27" t="s">
        <v>7</v>
      </c>
      <c r="CW723" s="27" t="s">
        <v>8</v>
      </c>
      <c r="CX723" s="27" t="s">
        <v>7</v>
      </c>
      <c r="CY723" s="27" t="s">
        <v>8</v>
      </c>
      <c r="CZ723" s="27" t="s">
        <v>7</v>
      </c>
      <c r="DA723" s="27" t="s">
        <v>8</v>
      </c>
      <c r="DB723" s="27" t="s">
        <v>7</v>
      </c>
      <c r="DH723" s="27" t="s">
        <v>7</v>
      </c>
      <c r="DK723" s="27" t="s">
        <v>8</v>
      </c>
      <c r="DO723" s="27" t="s">
        <v>8</v>
      </c>
      <c r="FF723" s="27" t="s">
        <v>7</v>
      </c>
      <c r="FK723" s="27" t="s">
        <v>8</v>
      </c>
      <c r="FL723" s="27" t="s">
        <v>7</v>
      </c>
      <c r="FS723" s="27" t="s">
        <v>8</v>
      </c>
      <c r="FT723" s="27" t="s">
        <v>7</v>
      </c>
      <c r="GU723" s="27" t="s">
        <v>8</v>
      </c>
      <c r="GV723" s="27" t="s">
        <v>7</v>
      </c>
      <c r="HA723" s="27" t="s">
        <v>8</v>
      </c>
      <c r="HB723" s="27" t="s">
        <v>7</v>
      </c>
      <c r="HC723" s="27" t="s">
        <v>8</v>
      </c>
      <c r="HD723" s="27" t="s">
        <v>7</v>
      </c>
      <c r="HE723" s="27" t="s">
        <v>8</v>
      </c>
      <c r="HG723" s="27" t="s">
        <v>8</v>
      </c>
      <c r="HH723" s="27" t="s">
        <v>7</v>
      </c>
      <c r="HK723" s="27" t="s">
        <v>8</v>
      </c>
    </row>
    <row r="724" spans="1:219" x14ac:dyDescent="0.25">
      <c r="A724" s="7">
        <v>6.6340152972694105E-2</v>
      </c>
      <c r="B724"/>
      <c r="C724"/>
      <c r="D724"/>
      <c r="E724"/>
      <c r="L724" s="27" t="s">
        <v>7</v>
      </c>
      <c r="M724" s="27" t="s">
        <v>8</v>
      </c>
      <c r="T724" s="27" t="s">
        <v>7</v>
      </c>
      <c r="U724" s="27" t="s">
        <v>8</v>
      </c>
      <c r="V724" s="27" t="s">
        <v>7</v>
      </c>
      <c r="W724" s="27" t="s">
        <v>8</v>
      </c>
      <c r="X724" s="27" t="s">
        <v>7</v>
      </c>
      <c r="AA724" s="27" t="s">
        <v>8</v>
      </c>
      <c r="AC724" s="27" t="s">
        <v>8</v>
      </c>
      <c r="AD724" s="27" t="s">
        <v>7</v>
      </c>
      <c r="AE724" s="27" t="s">
        <v>8</v>
      </c>
      <c r="AF724" s="27" t="s">
        <v>7</v>
      </c>
      <c r="AG724" s="27" t="s">
        <v>8</v>
      </c>
      <c r="AH724" s="27" t="s">
        <v>7</v>
      </c>
      <c r="AI724" s="27" t="s">
        <v>8</v>
      </c>
      <c r="AJ724" s="27" t="s">
        <v>7</v>
      </c>
      <c r="AK724" s="27" t="s">
        <v>8</v>
      </c>
      <c r="AL724" s="27" t="s">
        <v>7</v>
      </c>
      <c r="AM724" s="27" t="s">
        <v>8</v>
      </c>
      <c r="AN724" s="27" t="s">
        <v>7</v>
      </c>
      <c r="AO724" s="27" t="s">
        <v>8</v>
      </c>
      <c r="AP724" s="27" t="s">
        <v>7</v>
      </c>
      <c r="CA724" s="27" t="s">
        <v>8</v>
      </c>
      <c r="CB724" s="27" t="s">
        <v>7</v>
      </c>
      <c r="CC724" s="27" t="s">
        <v>8</v>
      </c>
      <c r="CQ724" s="27" t="s">
        <v>8</v>
      </c>
      <c r="CR724" s="27" t="s">
        <v>7</v>
      </c>
      <c r="CS724" s="27" t="s">
        <v>8</v>
      </c>
      <c r="CT724" s="27" t="s">
        <v>7</v>
      </c>
      <c r="CU724" s="27" t="s">
        <v>8</v>
      </c>
      <c r="CV724" s="27" t="s">
        <v>7</v>
      </c>
      <c r="CW724" s="27" t="s">
        <v>8</v>
      </c>
      <c r="CX724" s="27" t="s">
        <v>7</v>
      </c>
      <c r="CY724" s="27" t="s">
        <v>8</v>
      </c>
      <c r="CZ724" s="27" t="s">
        <v>7</v>
      </c>
      <c r="DA724" s="27" t="s">
        <v>8</v>
      </c>
      <c r="DH724" s="27" t="s">
        <v>7</v>
      </c>
      <c r="DK724" s="27" t="s">
        <v>8</v>
      </c>
      <c r="DL724" s="27" t="s">
        <v>7</v>
      </c>
      <c r="DM724" s="27" t="s">
        <v>8</v>
      </c>
      <c r="DO724" s="27" t="s">
        <v>8</v>
      </c>
      <c r="FF724" s="27" t="s">
        <v>7</v>
      </c>
      <c r="FG724" s="27" t="s">
        <v>8</v>
      </c>
      <c r="FK724" s="27" t="s">
        <v>8</v>
      </c>
      <c r="FL724" s="27" t="s">
        <v>7</v>
      </c>
      <c r="FO724" s="27" t="s">
        <v>8</v>
      </c>
      <c r="FS724" s="27" t="s">
        <v>8</v>
      </c>
      <c r="FT724" s="27" t="s">
        <v>7</v>
      </c>
      <c r="GU724" s="27" t="s">
        <v>8</v>
      </c>
      <c r="GV724" s="27" t="s">
        <v>7</v>
      </c>
      <c r="HA724" s="27" t="s">
        <v>8</v>
      </c>
      <c r="HB724" s="27" t="s">
        <v>7</v>
      </c>
      <c r="HC724" s="27" t="s">
        <v>8</v>
      </c>
      <c r="HD724" s="27" t="s">
        <v>7</v>
      </c>
      <c r="HE724" s="27" t="s">
        <v>8</v>
      </c>
      <c r="HF724" s="27" t="s">
        <v>7</v>
      </c>
      <c r="HG724" s="27" t="s">
        <v>8</v>
      </c>
      <c r="HH724" s="27" t="s">
        <v>7</v>
      </c>
      <c r="HI724" s="27" t="s">
        <v>8</v>
      </c>
      <c r="HK724" s="27" t="s">
        <v>8</v>
      </c>
    </row>
    <row r="725" spans="1:219" x14ac:dyDescent="0.25">
      <c r="A725" s="7">
        <v>6.5039365659504023E-2</v>
      </c>
      <c r="B725"/>
      <c r="C725"/>
      <c r="D725"/>
      <c r="E725"/>
      <c r="L725" s="27" t="s">
        <v>7</v>
      </c>
      <c r="T725" s="27" t="s">
        <v>7</v>
      </c>
      <c r="U725" s="27" t="s">
        <v>8</v>
      </c>
      <c r="V725" s="27" t="s">
        <v>7</v>
      </c>
      <c r="W725" s="27" t="s">
        <v>8</v>
      </c>
      <c r="X725" s="27" t="s">
        <v>7</v>
      </c>
      <c r="Y725" s="27" t="s">
        <v>8</v>
      </c>
      <c r="AA725" s="27" t="s">
        <v>8</v>
      </c>
      <c r="AB725" s="27" t="s">
        <v>7</v>
      </c>
      <c r="AC725" s="27" t="s">
        <v>8</v>
      </c>
      <c r="AD725" s="27" t="s">
        <v>7</v>
      </c>
      <c r="AE725" s="27" t="s">
        <v>8</v>
      </c>
      <c r="AF725" s="27" t="s">
        <v>7</v>
      </c>
      <c r="AH725" s="27" t="s">
        <v>7</v>
      </c>
      <c r="AI725" s="27" t="s">
        <v>8</v>
      </c>
      <c r="AJ725" s="27" t="s">
        <v>7</v>
      </c>
      <c r="AK725" s="27" t="s">
        <v>8</v>
      </c>
      <c r="AL725" s="27" t="s">
        <v>7</v>
      </c>
      <c r="AM725" s="27" t="s">
        <v>8</v>
      </c>
      <c r="AN725" s="27" t="s">
        <v>7</v>
      </c>
      <c r="AO725" s="27" t="s">
        <v>8</v>
      </c>
      <c r="AP725" s="27" t="s">
        <v>7</v>
      </c>
      <c r="CA725" s="27" t="s">
        <v>8</v>
      </c>
      <c r="CB725" s="27" t="s">
        <v>7</v>
      </c>
      <c r="CC725" s="27" t="s">
        <v>8</v>
      </c>
      <c r="CD725" s="27" t="s">
        <v>7</v>
      </c>
      <c r="CQ725" s="27" t="s">
        <v>8</v>
      </c>
      <c r="CR725" s="27" t="s">
        <v>7</v>
      </c>
      <c r="CS725" s="27" t="s">
        <v>8</v>
      </c>
      <c r="CT725" s="27" t="s">
        <v>7</v>
      </c>
      <c r="CV725" s="27" t="s">
        <v>7</v>
      </c>
      <c r="CW725" s="27" t="s">
        <v>8</v>
      </c>
      <c r="CX725" s="27" t="s">
        <v>7</v>
      </c>
      <c r="CY725" s="27" t="s">
        <v>8</v>
      </c>
      <c r="CZ725" s="27" t="s">
        <v>7</v>
      </c>
      <c r="DA725" s="27" t="s">
        <v>8</v>
      </c>
      <c r="DH725" s="27" t="s">
        <v>7</v>
      </c>
      <c r="DK725" s="27" t="s">
        <v>8</v>
      </c>
      <c r="DL725" s="27" t="s">
        <v>7</v>
      </c>
      <c r="DM725" s="27" t="s">
        <v>8</v>
      </c>
      <c r="DN725" s="27" t="s">
        <v>7</v>
      </c>
      <c r="DO725" s="27" t="s">
        <v>8</v>
      </c>
      <c r="FF725" s="27" t="s">
        <v>7</v>
      </c>
      <c r="FG725" s="27" t="s">
        <v>8</v>
      </c>
      <c r="FH725" s="27" t="s">
        <v>7</v>
      </c>
      <c r="FK725" s="27" t="s">
        <v>8</v>
      </c>
      <c r="FL725" s="27" t="s">
        <v>7</v>
      </c>
      <c r="FO725" s="27" t="s">
        <v>8</v>
      </c>
      <c r="FP725" s="27" t="s">
        <v>7</v>
      </c>
      <c r="FS725" s="27" t="s">
        <v>8</v>
      </c>
      <c r="FT725" s="27" t="s">
        <v>7</v>
      </c>
      <c r="GU725" s="27" t="s">
        <v>8</v>
      </c>
      <c r="GV725" s="27" t="s">
        <v>7</v>
      </c>
      <c r="HA725" s="27" t="s">
        <v>8</v>
      </c>
      <c r="HB725" s="27" t="s">
        <v>7</v>
      </c>
      <c r="HC725" s="27" t="s">
        <v>8</v>
      </c>
      <c r="HD725" s="27" t="s">
        <v>7</v>
      </c>
      <c r="HE725" s="27" t="s">
        <v>8</v>
      </c>
      <c r="HF725" s="27" t="s">
        <v>7</v>
      </c>
      <c r="HG725" s="27" t="s">
        <v>8</v>
      </c>
      <c r="HH725" s="27" t="s">
        <v>7</v>
      </c>
      <c r="HI725" s="27" t="s">
        <v>8</v>
      </c>
      <c r="HJ725" s="27" t="s">
        <v>7</v>
      </c>
      <c r="HK725" s="27" t="s">
        <v>8</v>
      </c>
    </row>
    <row r="726" spans="1:219" x14ac:dyDescent="0.25">
      <c r="A726" s="7">
        <v>6.3764083979905906E-2</v>
      </c>
      <c r="B726"/>
      <c r="C726"/>
      <c r="D726"/>
      <c r="E726"/>
      <c r="T726" s="27" t="s">
        <v>7</v>
      </c>
      <c r="U726" s="27" t="s">
        <v>8</v>
      </c>
      <c r="V726" s="27" t="s">
        <v>7</v>
      </c>
      <c r="W726" s="27" t="s">
        <v>8</v>
      </c>
      <c r="X726" s="27" t="s">
        <v>7</v>
      </c>
      <c r="Y726" s="27" t="s">
        <v>8</v>
      </c>
      <c r="Z726" s="27" t="s">
        <v>7</v>
      </c>
      <c r="AA726" s="27" t="s">
        <v>8</v>
      </c>
      <c r="AB726" s="27" t="s">
        <v>7</v>
      </c>
      <c r="AC726" s="27" t="s">
        <v>8</v>
      </c>
      <c r="AD726" s="27" t="s">
        <v>7</v>
      </c>
      <c r="AE726" s="27" t="s">
        <v>8</v>
      </c>
      <c r="AH726" s="27" t="s">
        <v>7</v>
      </c>
      <c r="AI726" s="27" t="s">
        <v>8</v>
      </c>
      <c r="AJ726" s="27" t="s">
        <v>7</v>
      </c>
      <c r="AK726" s="27" t="s">
        <v>8</v>
      </c>
      <c r="AL726" s="27" t="s">
        <v>7</v>
      </c>
      <c r="AM726" s="27" t="s">
        <v>8</v>
      </c>
      <c r="AN726" s="27" t="s">
        <v>7</v>
      </c>
      <c r="AO726" s="27" t="s">
        <v>8</v>
      </c>
      <c r="AP726" s="27" t="s">
        <v>7</v>
      </c>
      <c r="CA726" s="27" t="s">
        <v>8</v>
      </c>
      <c r="CB726" s="27" t="s">
        <v>7</v>
      </c>
      <c r="CC726" s="27" t="s">
        <v>8</v>
      </c>
      <c r="CD726" s="27" t="s">
        <v>7</v>
      </c>
      <c r="CQ726" s="27" t="s">
        <v>8</v>
      </c>
      <c r="CR726" s="27" t="s">
        <v>7</v>
      </c>
      <c r="CS726" s="27" t="s">
        <v>8</v>
      </c>
      <c r="CV726" s="27" t="s">
        <v>7</v>
      </c>
      <c r="CW726" s="27" t="s">
        <v>8</v>
      </c>
      <c r="CX726" s="27" t="s">
        <v>7</v>
      </c>
      <c r="CY726" s="27" t="s">
        <v>8</v>
      </c>
      <c r="CZ726" s="27" t="s">
        <v>7</v>
      </c>
      <c r="DA726" s="27" t="s">
        <v>8</v>
      </c>
      <c r="DH726" s="27" t="s">
        <v>7</v>
      </c>
      <c r="DK726" s="27" t="s">
        <v>8</v>
      </c>
      <c r="DL726" s="27" t="s">
        <v>7</v>
      </c>
      <c r="DM726" s="27" t="s">
        <v>8</v>
      </c>
      <c r="DN726" s="27" t="s">
        <v>7</v>
      </c>
      <c r="DO726" s="27" t="s">
        <v>8</v>
      </c>
      <c r="FF726" s="27" t="s">
        <v>7</v>
      </c>
      <c r="FG726" s="27" t="s">
        <v>8</v>
      </c>
      <c r="FH726" s="27" t="s">
        <v>7</v>
      </c>
      <c r="FK726" s="27" t="s">
        <v>8</v>
      </c>
      <c r="FL726" s="27" t="s">
        <v>7</v>
      </c>
      <c r="FO726" s="27" t="s">
        <v>8</v>
      </c>
      <c r="FP726" s="27" t="s">
        <v>7</v>
      </c>
      <c r="FS726" s="27" t="s">
        <v>8</v>
      </c>
      <c r="FT726" s="27" t="s">
        <v>7</v>
      </c>
      <c r="GU726" s="27" t="s">
        <v>8</v>
      </c>
      <c r="GV726" s="27" t="s">
        <v>7</v>
      </c>
      <c r="GY726" s="27" t="s">
        <v>8</v>
      </c>
      <c r="HA726" s="27" t="s">
        <v>8</v>
      </c>
      <c r="HB726" s="27" t="s">
        <v>7</v>
      </c>
      <c r="HD726" s="27" t="s">
        <v>7</v>
      </c>
      <c r="HE726" s="27" t="s">
        <v>8</v>
      </c>
      <c r="HF726" s="27" t="s">
        <v>7</v>
      </c>
      <c r="HH726" s="27" t="s">
        <v>7</v>
      </c>
      <c r="HI726" s="27" t="s">
        <v>8</v>
      </c>
      <c r="HJ726" s="27" t="s">
        <v>7</v>
      </c>
      <c r="HK726" s="27" t="s">
        <v>8</v>
      </c>
    </row>
    <row r="727" spans="1:219" x14ac:dyDescent="0.25">
      <c r="A727" s="7">
        <v>6.251380782343717E-2</v>
      </c>
      <c r="B727"/>
      <c r="C727"/>
      <c r="D727"/>
      <c r="E727"/>
      <c r="T727" s="27" t="s">
        <v>7</v>
      </c>
      <c r="U727" s="27" t="s">
        <v>8</v>
      </c>
      <c r="V727" s="27" t="s">
        <v>7</v>
      </c>
      <c r="W727" s="27" t="s">
        <v>8</v>
      </c>
      <c r="X727" s="27" t="s">
        <v>7</v>
      </c>
      <c r="Y727" s="27" t="s">
        <v>8</v>
      </c>
      <c r="Z727" s="27" t="s">
        <v>7</v>
      </c>
      <c r="AA727" s="27" t="s">
        <v>8</v>
      </c>
      <c r="AB727" s="27" t="s">
        <v>7</v>
      </c>
      <c r="AC727" s="27" t="s">
        <v>8</v>
      </c>
      <c r="AD727" s="27" t="s">
        <v>7</v>
      </c>
      <c r="AE727" s="27" t="s">
        <v>8</v>
      </c>
      <c r="AH727" s="27" t="s">
        <v>7</v>
      </c>
      <c r="AJ727" s="27" t="s">
        <v>7</v>
      </c>
      <c r="AK727" s="27" t="s">
        <v>8</v>
      </c>
      <c r="AL727" s="27" t="s">
        <v>7</v>
      </c>
      <c r="AM727" s="27" t="s">
        <v>8</v>
      </c>
      <c r="AN727" s="27" t="s">
        <v>7</v>
      </c>
      <c r="AO727" s="27" t="s">
        <v>8</v>
      </c>
      <c r="AP727" s="27" t="s">
        <v>7</v>
      </c>
      <c r="CA727" s="27" t="s">
        <v>8</v>
      </c>
      <c r="CB727" s="27" t="s">
        <v>7</v>
      </c>
      <c r="CC727" s="27" t="s">
        <v>8</v>
      </c>
      <c r="CD727" s="27" t="s">
        <v>7</v>
      </c>
      <c r="CQ727" s="27" t="s">
        <v>8</v>
      </c>
      <c r="CR727" s="27" t="s">
        <v>7</v>
      </c>
      <c r="CS727" s="27" t="s">
        <v>8</v>
      </c>
      <c r="CV727" s="27" t="s">
        <v>7</v>
      </c>
      <c r="CW727" s="27" t="s">
        <v>8</v>
      </c>
      <c r="CX727" s="27" t="s">
        <v>7</v>
      </c>
      <c r="CY727" s="27" t="s">
        <v>8</v>
      </c>
      <c r="CZ727" s="27" t="s">
        <v>7</v>
      </c>
      <c r="DH727" s="27" t="s">
        <v>7</v>
      </c>
      <c r="DI727" s="27" t="s">
        <v>8</v>
      </c>
      <c r="DK727" s="27" t="s">
        <v>8</v>
      </c>
      <c r="DL727" s="27" t="s">
        <v>7</v>
      </c>
      <c r="DM727" s="27" t="s">
        <v>8</v>
      </c>
      <c r="DN727" s="27" t="s">
        <v>7</v>
      </c>
      <c r="DO727" s="27" t="s">
        <v>8</v>
      </c>
      <c r="FF727" s="27" t="s">
        <v>7</v>
      </c>
      <c r="FG727" s="27" t="s">
        <v>8</v>
      </c>
      <c r="FH727" s="27" t="s">
        <v>7</v>
      </c>
      <c r="FK727" s="27" t="s">
        <v>8</v>
      </c>
      <c r="FL727" s="27" t="s">
        <v>7</v>
      </c>
      <c r="FO727" s="27" t="s">
        <v>8</v>
      </c>
      <c r="FP727" s="27" t="s">
        <v>7</v>
      </c>
      <c r="FS727" s="27" t="s">
        <v>8</v>
      </c>
      <c r="FT727" s="27" t="s">
        <v>7</v>
      </c>
      <c r="GS727" s="27" t="s">
        <v>8</v>
      </c>
      <c r="GU727" s="27" t="s">
        <v>8</v>
      </c>
      <c r="GV727" s="27" t="s">
        <v>7</v>
      </c>
      <c r="GY727" s="27" t="s">
        <v>8</v>
      </c>
      <c r="GZ727" s="27" t="s">
        <v>7</v>
      </c>
      <c r="HA727" s="27" t="s">
        <v>8</v>
      </c>
      <c r="HD727" s="27" t="s">
        <v>7</v>
      </c>
      <c r="HE727" s="27" t="s">
        <v>8</v>
      </c>
      <c r="HH727" s="27" t="s">
        <v>7</v>
      </c>
      <c r="HI727" s="27" t="s">
        <v>8</v>
      </c>
      <c r="HJ727" s="27" t="s">
        <v>7</v>
      </c>
      <c r="HK727" s="27" t="s">
        <v>8</v>
      </c>
    </row>
    <row r="728" spans="1:219" x14ac:dyDescent="0.25">
      <c r="A728" s="7">
        <v>6.1288046885722716E-2</v>
      </c>
      <c r="B728"/>
      <c r="C728"/>
      <c r="D728"/>
      <c r="E728"/>
      <c r="T728" s="27" t="s">
        <v>7</v>
      </c>
      <c r="U728" s="27" t="s">
        <v>8</v>
      </c>
      <c r="V728" s="27" t="s">
        <v>7</v>
      </c>
      <c r="W728" s="27" t="s">
        <v>8</v>
      </c>
      <c r="X728" s="27" t="s">
        <v>7</v>
      </c>
      <c r="Y728" s="27" t="s">
        <v>8</v>
      </c>
      <c r="Z728" s="27" t="s">
        <v>7</v>
      </c>
      <c r="AB728" s="27" t="s">
        <v>7</v>
      </c>
      <c r="AC728" s="27" t="s">
        <v>8</v>
      </c>
      <c r="AD728" s="27" t="s">
        <v>7</v>
      </c>
      <c r="AE728" s="27" t="s">
        <v>8</v>
      </c>
      <c r="AJ728" s="27" t="s">
        <v>7</v>
      </c>
      <c r="AK728" s="27" t="s">
        <v>8</v>
      </c>
      <c r="AL728" s="27" t="s">
        <v>7</v>
      </c>
      <c r="AM728" s="27" t="s">
        <v>8</v>
      </c>
      <c r="AN728" s="27" t="s">
        <v>7</v>
      </c>
      <c r="AO728" s="27" t="s">
        <v>8</v>
      </c>
      <c r="AP728" s="27" t="s">
        <v>7</v>
      </c>
      <c r="CA728" s="27" t="s">
        <v>8</v>
      </c>
      <c r="CB728" s="27" t="s">
        <v>7</v>
      </c>
      <c r="CC728" s="27" t="s">
        <v>8</v>
      </c>
      <c r="CD728" s="27" t="s">
        <v>7</v>
      </c>
      <c r="CQ728" s="27" t="s">
        <v>8</v>
      </c>
      <c r="CR728" s="27" t="s">
        <v>7</v>
      </c>
      <c r="CS728" s="27" t="s">
        <v>8</v>
      </c>
      <c r="CV728" s="27" t="s">
        <v>7</v>
      </c>
      <c r="CW728" s="27" t="s">
        <v>8</v>
      </c>
      <c r="CX728" s="27" t="s">
        <v>7</v>
      </c>
      <c r="CY728" s="27" t="s">
        <v>8</v>
      </c>
      <c r="DH728" s="27" t="s">
        <v>7</v>
      </c>
      <c r="DI728" s="27" t="s">
        <v>8</v>
      </c>
      <c r="DJ728" s="27" t="s">
        <v>7</v>
      </c>
      <c r="DK728" s="27" t="s">
        <v>8</v>
      </c>
      <c r="DL728" s="27" t="s">
        <v>7</v>
      </c>
      <c r="DM728" s="27" t="s">
        <v>8</v>
      </c>
      <c r="DN728" s="27" t="s">
        <v>7</v>
      </c>
      <c r="DO728" s="27" t="s">
        <v>8</v>
      </c>
      <c r="FF728" s="27" t="s">
        <v>7</v>
      </c>
      <c r="FG728" s="27" t="s">
        <v>8</v>
      </c>
      <c r="FH728" s="27" t="s">
        <v>7</v>
      </c>
      <c r="FK728" s="27" t="s">
        <v>8</v>
      </c>
      <c r="FL728" s="27" t="s">
        <v>7</v>
      </c>
      <c r="FO728" s="27" t="s">
        <v>8</v>
      </c>
      <c r="FP728" s="27" t="s">
        <v>7</v>
      </c>
      <c r="FQ728" s="27" t="s">
        <v>8</v>
      </c>
      <c r="FS728" s="27" t="s">
        <v>8</v>
      </c>
      <c r="FT728" s="27" t="s">
        <v>7</v>
      </c>
      <c r="FU728" s="27" t="s">
        <v>8</v>
      </c>
      <c r="GS728" s="27" t="s">
        <v>8</v>
      </c>
      <c r="GT728" s="27" t="s">
        <v>7</v>
      </c>
      <c r="GU728" s="27" t="s">
        <v>8</v>
      </c>
      <c r="GV728" s="27" t="s">
        <v>7</v>
      </c>
      <c r="GY728" s="27" t="s">
        <v>8</v>
      </c>
      <c r="GZ728" s="27" t="s">
        <v>7</v>
      </c>
      <c r="HA728" s="27" t="s">
        <v>8</v>
      </c>
      <c r="HD728" s="27" t="s">
        <v>7</v>
      </c>
      <c r="HE728" s="27" t="s">
        <v>8</v>
      </c>
      <c r="HH728" s="27" t="s">
        <v>7</v>
      </c>
      <c r="HI728" s="27" t="s">
        <v>8</v>
      </c>
      <c r="HJ728" s="27" t="s">
        <v>7</v>
      </c>
      <c r="HK728" s="27" t="s">
        <v>8</v>
      </c>
    </row>
    <row r="729" spans="1:219" x14ac:dyDescent="0.25">
      <c r="A729" s="7">
        <v>6.0086320476198739E-2</v>
      </c>
      <c r="B729"/>
      <c r="C729"/>
      <c r="D729"/>
      <c r="E729"/>
      <c r="T729" s="27" t="s">
        <v>7</v>
      </c>
      <c r="U729" s="27" t="s">
        <v>8</v>
      </c>
      <c r="V729" s="27" t="s">
        <v>7</v>
      </c>
      <c r="W729" s="27" t="s">
        <v>8</v>
      </c>
      <c r="X729" s="27" t="s">
        <v>7</v>
      </c>
      <c r="AB729" s="27" t="s">
        <v>7</v>
      </c>
      <c r="AD729" s="27" t="s">
        <v>7</v>
      </c>
      <c r="AE729" s="27" t="s">
        <v>8</v>
      </c>
      <c r="AJ729" s="27" t="s">
        <v>7</v>
      </c>
      <c r="AK729" s="27" t="s">
        <v>8</v>
      </c>
      <c r="AL729" s="27" t="s">
        <v>7</v>
      </c>
      <c r="AM729" s="27" t="s">
        <v>8</v>
      </c>
      <c r="AN729" s="27" t="s">
        <v>7</v>
      </c>
      <c r="AO729" s="27" t="s">
        <v>8</v>
      </c>
      <c r="AP729" s="27" t="s">
        <v>7</v>
      </c>
      <c r="CA729" s="27" t="s">
        <v>8</v>
      </c>
      <c r="CB729" s="27" t="s">
        <v>7</v>
      </c>
      <c r="CC729" s="27" t="s">
        <v>8</v>
      </c>
      <c r="CD729" s="27" t="s">
        <v>7</v>
      </c>
      <c r="CQ729" s="27" t="s">
        <v>8</v>
      </c>
      <c r="CR729" s="27" t="s">
        <v>7</v>
      </c>
      <c r="CS729" s="27" t="s">
        <v>8</v>
      </c>
      <c r="CV729" s="27" t="s">
        <v>7</v>
      </c>
      <c r="CW729" s="27" t="s">
        <v>8</v>
      </c>
      <c r="CX729" s="27" t="s">
        <v>7</v>
      </c>
      <c r="CY729" s="27" t="s">
        <v>8</v>
      </c>
      <c r="DH729" s="27" t="s">
        <v>7</v>
      </c>
      <c r="DI729" s="27" t="s">
        <v>8</v>
      </c>
      <c r="DJ729" s="27" t="s">
        <v>7</v>
      </c>
      <c r="DK729" s="27" t="s">
        <v>8</v>
      </c>
      <c r="DL729" s="27" t="s">
        <v>7</v>
      </c>
      <c r="DM729" s="27" t="s">
        <v>8</v>
      </c>
      <c r="DN729" s="27" t="s">
        <v>7</v>
      </c>
      <c r="DO729" s="27" t="s">
        <v>8</v>
      </c>
      <c r="FF729" s="27" t="s">
        <v>7</v>
      </c>
      <c r="FG729" s="27" t="s">
        <v>8</v>
      </c>
      <c r="FH729" s="27" t="s">
        <v>7</v>
      </c>
      <c r="FK729" s="27" t="s">
        <v>8</v>
      </c>
      <c r="FL729" s="27" t="s">
        <v>7</v>
      </c>
      <c r="FO729" s="27" t="s">
        <v>8</v>
      </c>
      <c r="FP729" s="27" t="s">
        <v>7</v>
      </c>
      <c r="FQ729" s="27" t="s">
        <v>8</v>
      </c>
      <c r="FR729" s="27" t="s">
        <v>7</v>
      </c>
      <c r="FS729" s="27" t="s">
        <v>8</v>
      </c>
      <c r="FT729" s="27" t="s">
        <v>7</v>
      </c>
      <c r="FU729" s="27" t="s">
        <v>8</v>
      </c>
      <c r="FV729" s="27" t="s">
        <v>7</v>
      </c>
      <c r="GS729" s="27" t="s">
        <v>8</v>
      </c>
      <c r="GT729" s="27" t="s">
        <v>7</v>
      </c>
      <c r="GU729" s="27" t="s">
        <v>8</v>
      </c>
      <c r="GV729" s="27" t="s">
        <v>7</v>
      </c>
      <c r="GY729" s="27" t="s">
        <v>8</v>
      </c>
      <c r="GZ729" s="27" t="s">
        <v>7</v>
      </c>
      <c r="HA729" s="27" t="s">
        <v>8</v>
      </c>
      <c r="HD729" s="27" t="s">
        <v>7</v>
      </c>
      <c r="HH729" s="27" t="s">
        <v>7</v>
      </c>
      <c r="HJ729" s="27" t="s">
        <v>7</v>
      </c>
    </row>
    <row r="730" spans="1:219" x14ac:dyDescent="0.25">
      <c r="A730" s="7">
        <v>5.8908157329606609E-2</v>
      </c>
      <c r="B730"/>
      <c r="C730"/>
      <c r="D730"/>
      <c r="E730"/>
      <c r="T730" s="27" t="s">
        <v>7</v>
      </c>
      <c r="U730" s="27" t="s">
        <v>8</v>
      </c>
      <c r="V730" s="27" t="s">
        <v>7</v>
      </c>
      <c r="W730" s="27" t="s">
        <v>8</v>
      </c>
      <c r="AD730" s="27" t="s">
        <v>7</v>
      </c>
      <c r="AE730" s="27" t="s">
        <v>8</v>
      </c>
      <c r="AJ730" s="27" t="s">
        <v>7</v>
      </c>
      <c r="AK730" s="27" t="s">
        <v>8</v>
      </c>
      <c r="AL730" s="27" t="s">
        <v>7</v>
      </c>
      <c r="AM730" s="27" t="s">
        <v>8</v>
      </c>
      <c r="AN730" s="27" t="s">
        <v>7</v>
      </c>
      <c r="AO730" s="27" t="s">
        <v>8</v>
      </c>
      <c r="AP730" s="27" t="s">
        <v>7</v>
      </c>
      <c r="AW730" s="27" t="s">
        <v>8</v>
      </c>
      <c r="CA730" s="27" t="s">
        <v>8</v>
      </c>
      <c r="CB730" s="27" t="s">
        <v>7</v>
      </c>
      <c r="CC730" s="27" t="s">
        <v>8</v>
      </c>
      <c r="CD730" s="27" t="s">
        <v>7</v>
      </c>
      <c r="CQ730" s="27" t="s">
        <v>8</v>
      </c>
      <c r="CR730" s="27" t="s">
        <v>7</v>
      </c>
      <c r="CS730" s="27" t="s">
        <v>8</v>
      </c>
      <c r="CV730" s="27" t="s">
        <v>7</v>
      </c>
      <c r="CW730" s="27" t="s">
        <v>8</v>
      </c>
      <c r="CX730" s="27" t="s">
        <v>7</v>
      </c>
      <c r="CY730" s="27" t="s">
        <v>8</v>
      </c>
      <c r="DH730" s="27" t="s">
        <v>7</v>
      </c>
      <c r="DI730" s="27" t="s">
        <v>8</v>
      </c>
      <c r="DJ730" s="27" t="s">
        <v>7</v>
      </c>
      <c r="DK730" s="27" t="s">
        <v>8</v>
      </c>
      <c r="DL730" s="27" t="s">
        <v>7</v>
      </c>
      <c r="DM730" s="27" t="s">
        <v>8</v>
      </c>
      <c r="DN730" s="27" t="s">
        <v>7</v>
      </c>
      <c r="DO730" s="27" t="s">
        <v>8</v>
      </c>
      <c r="FF730" s="27" t="s">
        <v>7</v>
      </c>
      <c r="FG730" s="27" t="s">
        <v>8</v>
      </c>
      <c r="FH730" s="27" t="s">
        <v>7</v>
      </c>
      <c r="FK730" s="27" t="s">
        <v>8</v>
      </c>
      <c r="FL730" s="27" t="s">
        <v>7</v>
      </c>
      <c r="FO730" s="27" t="s">
        <v>8</v>
      </c>
      <c r="FP730" s="27" t="s">
        <v>7</v>
      </c>
      <c r="FQ730" s="27" t="s">
        <v>8</v>
      </c>
      <c r="FR730" s="27" t="s">
        <v>7</v>
      </c>
      <c r="FS730" s="27" t="s">
        <v>8</v>
      </c>
      <c r="FT730" s="27" t="s">
        <v>7</v>
      </c>
      <c r="FU730" s="27" t="s">
        <v>8</v>
      </c>
      <c r="FV730" s="27" t="s">
        <v>7</v>
      </c>
      <c r="GS730" s="27" t="s">
        <v>8</v>
      </c>
      <c r="GT730" s="27" t="s">
        <v>7</v>
      </c>
      <c r="GU730" s="27" t="s">
        <v>8</v>
      </c>
      <c r="GV730" s="27" t="s">
        <v>7</v>
      </c>
      <c r="GW730" s="27" t="s">
        <v>8</v>
      </c>
      <c r="GY730" s="27" t="s">
        <v>8</v>
      </c>
      <c r="GZ730" s="27" t="s">
        <v>7</v>
      </c>
    </row>
    <row r="731" spans="1:219" x14ac:dyDescent="0.25">
      <c r="A731" s="7">
        <v>5.7753095421182947E-2</v>
      </c>
      <c r="B731"/>
      <c r="C731"/>
      <c r="D731"/>
      <c r="E731"/>
      <c r="T731" s="27" t="s">
        <v>7</v>
      </c>
      <c r="V731" s="27" t="s">
        <v>7</v>
      </c>
      <c r="W731" s="27" t="s">
        <v>8</v>
      </c>
      <c r="AD731" s="27" t="s">
        <v>7</v>
      </c>
      <c r="AE731" s="27" t="s">
        <v>8</v>
      </c>
      <c r="AJ731" s="27" t="s">
        <v>7</v>
      </c>
      <c r="AK731" s="27" t="s">
        <v>8</v>
      </c>
      <c r="AL731" s="27" t="s">
        <v>7</v>
      </c>
      <c r="AM731" s="27" t="s">
        <v>8</v>
      </c>
      <c r="AN731" s="27" t="s">
        <v>7</v>
      </c>
      <c r="AO731" s="27" t="s">
        <v>8</v>
      </c>
      <c r="AP731" s="27" t="s">
        <v>7</v>
      </c>
      <c r="AW731" s="27" t="s">
        <v>8</v>
      </c>
      <c r="AX731" s="27" t="s">
        <v>7</v>
      </c>
      <c r="CA731" s="27" t="s">
        <v>8</v>
      </c>
      <c r="CB731" s="27" t="s">
        <v>7</v>
      </c>
      <c r="CC731" s="27" t="s">
        <v>8</v>
      </c>
      <c r="CD731" s="27" t="s">
        <v>7</v>
      </c>
      <c r="CM731" s="27" t="s">
        <v>8</v>
      </c>
      <c r="CQ731" s="27" t="s">
        <v>8</v>
      </c>
      <c r="CR731" s="27" t="s">
        <v>7</v>
      </c>
      <c r="CS731" s="27" t="s">
        <v>8</v>
      </c>
      <c r="CV731" s="27" t="s">
        <v>7</v>
      </c>
      <c r="CX731" s="27" t="s">
        <v>7</v>
      </c>
      <c r="DH731" s="27" t="s">
        <v>7</v>
      </c>
      <c r="DI731" s="27" t="s">
        <v>8</v>
      </c>
      <c r="DJ731" s="27" t="s">
        <v>7</v>
      </c>
      <c r="DK731" s="27" t="s">
        <v>8</v>
      </c>
      <c r="DL731" s="27" t="s">
        <v>7</v>
      </c>
      <c r="DM731" s="27" t="s">
        <v>8</v>
      </c>
      <c r="DN731" s="27" t="s">
        <v>7</v>
      </c>
      <c r="FF731" s="27" t="s">
        <v>7</v>
      </c>
      <c r="FG731" s="27" t="s">
        <v>8</v>
      </c>
      <c r="FH731" s="27" t="s">
        <v>7</v>
      </c>
      <c r="FK731" s="27" t="s">
        <v>8</v>
      </c>
      <c r="FL731" s="27" t="s">
        <v>7</v>
      </c>
      <c r="FO731" s="27" t="s">
        <v>8</v>
      </c>
      <c r="FP731" s="27" t="s">
        <v>7</v>
      </c>
      <c r="FQ731" s="27" t="s">
        <v>8</v>
      </c>
      <c r="FR731" s="27" t="s">
        <v>7</v>
      </c>
      <c r="FS731" s="27" t="s">
        <v>8</v>
      </c>
      <c r="FT731" s="27" t="s">
        <v>7</v>
      </c>
      <c r="FU731" s="27" t="s">
        <v>8</v>
      </c>
      <c r="FV731" s="27" t="s">
        <v>7</v>
      </c>
      <c r="GS731" s="27" t="s">
        <v>8</v>
      </c>
      <c r="GT731" s="27" t="s">
        <v>7</v>
      </c>
      <c r="GU731" s="27" t="s">
        <v>8</v>
      </c>
      <c r="GV731" s="27" t="s">
        <v>7</v>
      </c>
      <c r="GW731" s="27" t="s">
        <v>8</v>
      </c>
      <c r="GX731" s="27" t="s">
        <v>7</v>
      </c>
      <c r="GY731" s="27" t="s">
        <v>8</v>
      </c>
    </row>
    <row r="732" spans="1:219" x14ac:dyDescent="0.25">
      <c r="A732" s="7">
        <v>5.6620681785473484E-2</v>
      </c>
      <c r="B732"/>
      <c r="C732"/>
      <c r="D732"/>
      <c r="E732"/>
      <c r="V732" s="27" t="s">
        <v>7</v>
      </c>
      <c r="W732" s="27" t="s">
        <v>8</v>
      </c>
      <c r="AD732" s="27" t="s">
        <v>7</v>
      </c>
      <c r="AJ732" s="27" t="s">
        <v>7</v>
      </c>
      <c r="AK732" s="27" t="s">
        <v>8</v>
      </c>
      <c r="AL732" s="27" t="s">
        <v>7</v>
      </c>
      <c r="AM732" s="27" t="s">
        <v>8</v>
      </c>
      <c r="AN732" s="27" t="s">
        <v>7</v>
      </c>
      <c r="AO732" s="27" t="s">
        <v>8</v>
      </c>
      <c r="AP732" s="27" t="s">
        <v>7</v>
      </c>
      <c r="AW732" s="27" t="s">
        <v>8</v>
      </c>
      <c r="AX732" s="27" t="s">
        <v>7</v>
      </c>
      <c r="CA732" s="27" t="s">
        <v>8</v>
      </c>
      <c r="CB732" s="27" t="s">
        <v>7</v>
      </c>
      <c r="CC732" s="27" t="s">
        <v>8</v>
      </c>
      <c r="CD732" s="27" t="s">
        <v>7</v>
      </c>
      <c r="CM732" s="27" t="s">
        <v>8</v>
      </c>
      <c r="CN732" s="27" t="s">
        <v>7</v>
      </c>
      <c r="CQ732" s="27" t="s">
        <v>8</v>
      </c>
      <c r="CR732" s="27" t="s">
        <v>7</v>
      </c>
      <c r="CS732" s="27" t="s">
        <v>8</v>
      </c>
      <c r="DH732" s="27" t="s">
        <v>7</v>
      </c>
      <c r="DI732" s="27" t="s">
        <v>8</v>
      </c>
      <c r="DJ732" s="27" t="s">
        <v>7</v>
      </c>
      <c r="DK732" s="27" t="s">
        <v>8</v>
      </c>
      <c r="DL732" s="27" t="s">
        <v>7</v>
      </c>
      <c r="DM732" s="27" t="s">
        <v>8</v>
      </c>
      <c r="FF732" s="27" t="s">
        <v>7</v>
      </c>
      <c r="FG732" s="27" t="s">
        <v>8</v>
      </c>
      <c r="FH732" s="27" t="s">
        <v>7</v>
      </c>
      <c r="FK732" s="27" t="s">
        <v>8</v>
      </c>
      <c r="FL732" s="27" t="s">
        <v>7</v>
      </c>
      <c r="FO732" s="27" t="s">
        <v>8</v>
      </c>
      <c r="FP732" s="27" t="s">
        <v>7</v>
      </c>
      <c r="FQ732" s="27" t="s">
        <v>8</v>
      </c>
      <c r="FR732" s="27" t="s">
        <v>7</v>
      </c>
      <c r="FS732" s="27" t="s">
        <v>8</v>
      </c>
      <c r="FT732" s="27" t="s">
        <v>7</v>
      </c>
      <c r="FU732" s="27" t="s">
        <v>8</v>
      </c>
      <c r="FV732" s="27" t="s">
        <v>7</v>
      </c>
      <c r="GM732" s="27" t="s">
        <v>8</v>
      </c>
      <c r="GS732" s="27" t="s">
        <v>8</v>
      </c>
      <c r="GT732" s="27" t="s">
        <v>7</v>
      </c>
      <c r="GU732" s="27" t="s">
        <v>8</v>
      </c>
      <c r="GV732" s="27" t="s">
        <v>7</v>
      </c>
      <c r="GW732" s="27" t="s">
        <v>8</v>
      </c>
      <c r="GX732" s="27" t="s">
        <v>7</v>
      </c>
      <c r="GY732" s="27" t="s">
        <v>8</v>
      </c>
    </row>
    <row r="733" spans="1:219" x14ac:dyDescent="0.25">
      <c r="A733" s="7">
        <v>5.5510472338699497E-2</v>
      </c>
      <c r="B733"/>
      <c r="C733"/>
      <c r="D733"/>
      <c r="E733"/>
      <c r="V733" s="27" t="s">
        <v>7</v>
      </c>
      <c r="W733" s="27" t="s">
        <v>8</v>
      </c>
      <c r="AJ733" s="27" t="s">
        <v>7</v>
      </c>
      <c r="AL733" s="27" t="s">
        <v>7</v>
      </c>
      <c r="AM733" s="27" t="s">
        <v>8</v>
      </c>
      <c r="AN733" s="27" t="s">
        <v>7</v>
      </c>
      <c r="AO733" s="27" t="s">
        <v>8</v>
      </c>
      <c r="AP733" s="27" t="s">
        <v>7</v>
      </c>
      <c r="AW733" s="27" t="s">
        <v>8</v>
      </c>
      <c r="AX733" s="27" t="s">
        <v>7</v>
      </c>
      <c r="CA733" s="27" t="s">
        <v>8</v>
      </c>
      <c r="CB733" s="27" t="s">
        <v>7</v>
      </c>
      <c r="CC733" s="27" t="s">
        <v>8</v>
      </c>
      <c r="CD733" s="27" t="s">
        <v>7</v>
      </c>
      <c r="CM733" s="27" t="s">
        <v>8</v>
      </c>
      <c r="CN733" s="27" t="s">
        <v>7</v>
      </c>
      <c r="CQ733" s="27" t="s">
        <v>8</v>
      </c>
      <c r="CR733" s="27" t="s">
        <v>7</v>
      </c>
      <c r="CS733" s="27" t="s">
        <v>8</v>
      </c>
      <c r="DH733" s="27" t="s">
        <v>7</v>
      </c>
      <c r="DI733" s="27" t="s">
        <v>8</v>
      </c>
      <c r="DJ733" s="27" t="s">
        <v>7</v>
      </c>
      <c r="DK733" s="27" t="s">
        <v>8</v>
      </c>
      <c r="DL733" s="27" t="s">
        <v>7</v>
      </c>
      <c r="DM733" s="27" t="s">
        <v>8</v>
      </c>
      <c r="FF733" s="27" t="s">
        <v>7</v>
      </c>
      <c r="FG733" s="27" t="s">
        <v>8</v>
      </c>
      <c r="FH733" s="27" t="s">
        <v>7</v>
      </c>
      <c r="FK733" s="27" t="s">
        <v>8</v>
      </c>
      <c r="FL733" s="27" t="s">
        <v>7</v>
      </c>
      <c r="FM733" s="27" t="s">
        <v>8</v>
      </c>
      <c r="FO733" s="27" t="s">
        <v>8</v>
      </c>
      <c r="FP733" s="27" t="s">
        <v>7</v>
      </c>
      <c r="FQ733" s="27" t="s">
        <v>8</v>
      </c>
      <c r="FR733" s="27" t="s">
        <v>7</v>
      </c>
      <c r="FS733" s="27" t="s">
        <v>8</v>
      </c>
      <c r="FT733" s="27" t="s">
        <v>7</v>
      </c>
      <c r="FU733" s="27" t="s">
        <v>8</v>
      </c>
      <c r="FV733" s="27" t="s">
        <v>7</v>
      </c>
      <c r="GM733" s="27" t="s">
        <v>8</v>
      </c>
      <c r="GN733" s="27" t="s">
        <v>7</v>
      </c>
      <c r="GO733" s="27" t="s">
        <v>8</v>
      </c>
      <c r="GS733" s="27" t="s">
        <v>8</v>
      </c>
      <c r="GT733" s="27" t="s">
        <v>7</v>
      </c>
      <c r="GU733" s="27" t="s">
        <v>8</v>
      </c>
      <c r="GV733" s="27" t="s">
        <v>7</v>
      </c>
      <c r="GW733" s="27" t="s">
        <v>8</v>
      </c>
      <c r="GX733" s="27" t="s">
        <v>7</v>
      </c>
    </row>
    <row r="734" spans="1:219" x14ac:dyDescent="0.25">
      <c r="A734" s="7">
        <v>5.4422031704607354E-2</v>
      </c>
      <c r="B734"/>
      <c r="C734"/>
      <c r="D734"/>
      <c r="E734"/>
      <c r="V734" s="27" t="s">
        <v>7</v>
      </c>
      <c r="W734" s="27" t="s">
        <v>8</v>
      </c>
      <c r="AL734" s="27" t="s">
        <v>7</v>
      </c>
      <c r="AM734" s="27" t="s">
        <v>8</v>
      </c>
      <c r="AN734" s="27" t="s">
        <v>7</v>
      </c>
      <c r="AO734" s="27" t="s">
        <v>8</v>
      </c>
      <c r="AP734" s="27" t="s">
        <v>7</v>
      </c>
      <c r="AS734" s="27" t="s">
        <v>8</v>
      </c>
      <c r="AW734" s="27" t="s">
        <v>8</v>
      </c>
      <c r="AX734" s="27" t="s">
        <v>7</v>
      </c>
      <c r="AY734" s="27" t="s">
        <v>8</v>
      </c>
      <c r="CA734" s="27" t="s">
        <v>8</v>
      </c>
      <c r="CB734" s="27" t="s">
        <v>7</v>
      </c>
      <c r="CC734" s="27" t="s">
        <v>8</v>
      </c>
      <c r="CD734" s="27" t="s">
        <v>7</v>
      </c>
      <c r="CM734" s="27" t="s">
        <v>8</v>
      </c>
      <c r="CN734" s="27" t="s">
        <v>7</v>
      </c>
      <c r="CQ734" s="27" t="s">
        <v>8</v>
      </c>
      <c r="CR734" s="27" t="s">
        <v>7</v>
      </c>
      <c r="CS734" s="27" t="s">
        <v>8</v>
      </c>
      <c r="DH734" s="27" t="s">
        <v>7</v>
      </c>
      <c r="DI734" s="27" t="s">
        <v>8</v>
      </c>
      <c r="DJ734" s="27" t="s">
        <v>7</v>
      </c>
      <c r="DK734" s="27" t="s">
        <v>8</v>
      </c>
      <c r="DL734" s="27" t="s">
        <v>7</v>
      </c>
      <c r="DM734" s="27" t="s">
        <v>8</v>
      </c>
      <c r="FF734" s="27" t="s">
        <v>7</v>
      </c>
      <c r="FG734" s="27" t="s">
        <v>8</v>
      </c>
      <c r="FH734" s="27" t="s">
        <v>7</v>
      </c>
      <c r="FK734" s="27" t="s">
        <v>8</v>
      </c>
      <c r="FL734" s="27" t="s">
        <v>7</v>
      </c>
      <c r="FM734" s="27" t="s">
        <v>8</v>
      </c>
      <c r="FN734" s="27" t="s">
        <v>7</v>
      </c>
      <c r="FO734" s="27" t="s">
        <v>8</v>
      </c>
      <c r="FP734" s="27" t="s">
        <v>7</v>
      </c>
      <c r="FQ734" s="27" t="s">
        <v>8</v>
      </c>
      <c r="FR734" s="27" t="s">
        <v>7</v>
      </c>
      <c r="FS734" s="27" t="s">
        <v>8</v>
      </c>
      <c r="FT734" s="27" t="s">
        <v>7</v>
      </c>
      <c r="FU734" s="27" t="s">
        <v>8</v>
      </c>
      <c r="FV734" s="27" t="s">
        <v>7</v>
      </c>
      <c r="FW734" s="27" t="s">
        <v>8</v>
      </c>
      <c r="GM734" s="27" t="s">
        <v>8</v>
      </c>
      <c r="GN734" s="27" t="s">
        <v>7</v>
      </c>
      <c r="GO734" s="27" t="s">
        <v>8</v>
      </c>
      <c r="GP734" s="27" t="s">
        <v>7</v>
      </c>
      <c r="GS734" s="27" t="s">
        <v>8</v>
      </c>
      <c r="GT734" s="27" t="s">
        <v>7</v>
      </c>
      <c r="GU734" s="27" t="s">
        <v>8</v>
      </c>
      <c r="GV734" s="27" t="s">
        <v>7</v>
      </c>
    </row>
    <row r="735" spans="1:219" x14ac:dyDescent="0.25">
      <c r="A735" s="7">
        <v>5.3354933043732705E-2</v>
      </c>
      <c r="B735"/>
      <c r="C735"/>
      <c r="D735"/>
      <c r="E735"/>
      <c r="V735" s="27" t="s">
        <v>7</v>
      </c>
      <c r="AL735" s="27" t="s">
        <v>7</v>
      </c>
      <c r="AM735" s="27" t="s">
        <v>8</v>
      </c>
      <c r="AN735" s="27" t="s">
        <v>7</v>
      </c>
      <c r="AO735" s="27" t="s">
        <v>8</v>
      </c>
      <c r="AP735" s="27" t="s">
        <v>7</v>
      </c>
      <c r="AS735" s="27" t="s">
        <v>8</v>
      </c>
      <c r="AT735" s="27" t="s">
        <v>7</v>
      </c>
      <c r="AW735" s="27" t="s">
        <v>8</v>
      </c>
      <c r="AX735" s="27" t="s">
        <v>7</v>
      </c>
      <c r="AY735" s="27" t="s">
        <v>8</v>
      </c>
      <c r="AZ735" s="27" t="s">
        <v>7</v>
      </c>
      <c r="CA735" s="27" t="s">
        <v>8</v>
      </c>
      <c r="CB735" s="27" t="s">
        <v>7</v>
      </c>
      <c r="CC735" s="27" t="s">
        <v>8</v>
      </c>
      <c r="CD735" s="27" t="s">
        <v>7</v>
      </c>
      <c r="CM735" s="27" t="s">
        <v>8</v>
      </c>
      <c r="CN735" s="27" t="s">
        <v>7</v>
      </c>
      <c r="CQ735" s="27" t="s">
        <v>8</v>
      </c>
      <c r="CR735" s="27" t="s">
        <v>7</v>
      </c>
      <c r="CS735" s="27" t="s">
        <v>8</v>
      </c>
      <c r="DH735" s="27" t="s">
        <v>7</v>
      </c>
      <c r="DI735" s="27" t="s">
        <v>8</v>
      </c>
      <c r="DJ735" s="27" t="s">
        <v>7</v>
      </c>
      <c r="DK735" s="27" t="s">
        <v>8</v>
      </c>
      <c r="DL735" s="27" t="s">
        <v>7</v>
      </c>
      <c r="DM735" s="27" t="s">
        <v>8</v>
      </c>
      <c r="FF735" s="27" t="s">
        <v>7</v>
      </c>
      <c r="FG735" s="27" t="s">
        <v>8</v>
      </c>
      <c r="FH735" s="27" t="s">
        <v>7</v>
      </c>
      <c r="FK735" s="27" t="s">
        <v>8</v>
      </c>
      <c r="FL735" s="27" t="s">
        <v>7</v>
      </c>
      <c r="FM735" s="27" t="s">
        <v>8</v>
      </c>
      <c r="FN735" s="27" t="s">
        <v>7</v>
      </c>
      <c r="FO735" s="27" t="s">
        <v>8</v>
      </c>
      <c r="FP735" s="27" t="s">
        <v>7</v>
      </c>
      <c r="FQ735" s="27" t="s">
        <v>8</v>
      </c>
      <c r="FR735" s="27" t="s">
        <v>7</v>
      </c>
      <c r="FS735" s="27" t="s">
        <v>8</v>
      </c>
      <c r="FT735" s="27" t="s">
        <v>7</v>
      </c>
      <c r="FU735" s="27" t="s">
        <v>8</v>
      </c>
      <c r="FV735" s="27" t="s">
        <v>7</v>
      </c>
      <c r="FW735" s="27" t="s">
        <v>8</v>
      </c>
      <c r="FX735" s="27" t="s">
        <v>7</v>
      </c>
      <c r="GM735" s="27" t="s">
        <v>8</v>
      </c>
      <c r="GN735" s="27" t="s">
        <v>7</v>
      </c>
      <c r="GO735" s="27" t="s">
        <v>8</v>
      </c>
      <c r="GP735" s="27" t="s">
        <v>7</v>
      </c>
      <c r="GS735" s="27" t="s">
        <v>8</v>
      </c>
      <c r="GT735" s="27" t="s">
        <v>7</v>
      </c>
      <c r="GU735" s="27" t="s">
        <v>8</v>
      </c>
    </row>
    <row r="736" spans="1:219" x14ac:dyDescent="0.25">
      <c r="A736" s="7">
        <v>5.2308757886012455E-2</v>
      </c>
      <c r="B736"/>
      <c r="C736"/>
      <c r="D736"/>
      <c r="E736"/>
      <c r="AL736" s="27" t="s">
        <v>7</v>
      </c>
      <c r="AM736" s="27" t="s">
        <v>8</v>
      </c>
      <c r="AN736" s="27" t="s">
        <v>7</v>
      </c>
      <c r="AO736" s="27" t="s">
        <v>8</v>
      </c>
      <c r="AP736" s="27" t="s">
        <v>7</v>
      </c>
      <c r="AS736" s="27" t="s">
        <v>8</v>
      </c>
      <c r="AT736" s="27" t="s">
        <v>7</v>
      </c>
      <c r="AW736" s="27" t="s">
        <v>8</v>
      </c>
      <c r="AX736" s="27" t="s">
        <v>7</v>
      </c>
      <c r="AY736" s="27" t="s">
        <v>8</v>
      </c>
      <c r="AZ736" s="27" t="s">
        <v>7</v>
      </c>
      <c r="CA736" s="27" t="s">
        <v>8</v>
      </c>
      <c r="CB736" s="27" t="s">
        <v>7</v>
      </c>
      <c r="CC736" s="27" t="s">
        <v>8</v>
      </c>
      <c r="CD736" s="27" t="s">
        <v>7</v>
      </c>
      <c r="CM736" s="27" t="s">
        <v>8</v>
      </c>
      <c r="CN736" s="27" t="s">
        <v>7</v>
      </c>
      <c r="CQ736" s="27" t="s">
        <v>8</v>
      </c>
      <c r="CR736" s="27" t="s">
        <v>7</v>
      </c>
      <c r="CS736" s="27" t="s">
        <v>8</v>
      </c>
      <c r="DH736" s="27" t="s">
        <v>7</v>
      </c>
      <c r="DI736" s="27" t="s">
        <v>8</v>
      </c>
      <c r="DJ736" s="27" t="s">
        <v>7</v>
      </c>
      <c r="DK736" s="27" t="s">
        <v>8</v>
      </c>
      <c r="DL736" s="27" t="s">
        <v>7</v>
      </c>
      <c r="DM736" s="27" t="s">
        <v>8</v>
      </c>
      <c r="FF736" s="27" t="s">
        <v>7</v>
      </c>
      <c r="FG736" s="27" t="s">
        <v>8</v>
      </c>
      <c r="FH736" s="27" t="s">
        <v>7</v>
      </c>
      <c r="FK736" s="27" t="s">
        <v>8</v>
      </c>
      <c r="FL736" s="27" t="s">
        <v>7</v>
      </c>
      <c r="FM736" s="27" t="s">
        <v>8</v>
      </c>
      <c r="FN736" s="27" t="s">
        <v>7</v>
      </c>
      <c r="FO736" s="27" t="s">
        <v>8</v>
      </c>
      <c r="FP736" s="27" t="s">
        <v>7</v>
      </c>
      <c r="FQ736" s="27" t="s">
        <v>8</v>
      </c>
      <c r="FR736" s="27" t="s">
        <v>7</v>
      </c>
      <c r="FS736" s="27" t="s">
        <v>8</v>
      </c>
      <c r="FT736" s="27" t="s">
        <v>7</v>
      </c>
      <c r="FU736" s="27" t="s">
        <v>8</v>
      </c>
      <c r="FV736" s="27" t="s">
        <v>7</v>
      </c>
      <c r="FW736" s="27" t="s">
        <v>8</v>
      </c>
      <c r="FX736" s="27" t="s">
        <v>7</v>
      </c>
      <c r="GM736" s="27" t="s">
        <v>8</v>
      </c>
      <c r="GN736" s="27" t="s">
        <v>7</v>
      </c>
      <c r="GO736" s="27" t="s">
        <v>8</v>
      </c>
      <c r="GP736" s="27" t="s">
        <v>7</v>
      </c>
      <c r="GS736" s="27" t="s">
        <v>8</v>
      </c>
      <c r="GT736" s="27" t="s">
        <v>7</v>
      </c>
    </row>
    <row r="737" spans="1:201" x14ac:dyDescent="0.25">
      <c r="A737" s="7">
        <v>5.1283095966678877E-2</v>
      </c>
      <c r="B737"/>
      <c r="C737"/>
      <c r="D737"/>
      <c r="E737"/>
      <c r="AL737" s="27" t="s">
        <v>7</v>
      </c>
      <c r="AN737" s="27" t="s">
        <v>7</v>
      </c>
      <c r="AO737" s="27" t="s">
        <v>8</v>
      </c>
      <c r="AP737" s="27" t="s">
        <v>7</v>
      </c>
      <c r="AS737" s="27" t="s">
        <v>8</v>
      </c>
      <c r="AT737" s="27" t="s">
        <v>7</v>
      </c>
      <c r="AW737" s="27" t="s">
        <v>8</v>
      </c>
      <c r="AX737" s="27" t="s">
        <v>7</v>
      </c>
      <c r="AY737" s="27" t="s">
        <v>8</v>
      </c>
      <c r="AZ737" s="27" t="s">
        <v>7</v>
      </c>
      <c r="BO737" s="27" t="s">
        <v>8</v>
      </c>
      <c r="CA737" s="27" t="s">
        <v>8</v>
      </c>
      <c r="CB737" s="27" t="s">
        <v>7</v>
      </c>
      <c r="CC737" s="27" t="s">
        <v>8</v>
      </c>
      <c r="CD737" s="27" t="s">
        <v>7</v>
      </c>
      <c r="CM737" s="27" t="s">
        <v>8</v>
      </c>
      <c r="CN737" s="27" t="s">
        <v>7</v>
      </c>
      <c r="CQ737" s="27" t="s">
        <v>8</v>
      </c>
      <c r="CR737" s="27" t="s">
        <v>7</v>
      </c>
      <c r="DH737" s="27" t="s">
        <v>7</v>
      </c>
      <c r="DI737" s="27" t="s">
        <v>8</v>
      </c>
      <c r="DJ737" s="27" t="s">
        <v>7</v>
      </c>
      <c r="DK737" s="27" t="s">
        <v>8</v>
      </c>
      <c r="DL737" s="27" t="s">
        <v>7</v>
      </c>
      <c r="DM737" s="27" t="s">
        <v>8</v>
      </c>
      <c r="FF737" s="27" t="s">
        <v>7</v>
      </c>
      <c r="FG737" s="27" t="s">
        <v>8</v>
      </c>
      <c r="FH737" s="27" t="s">
        <v>7</v>
      </c>
      <c r="FK737" s="27" t="s">
        <v>8</v>
      </c>
      <c r="FL737" s="27" t="s">
        <v>7</v>
      </c>
      <c r="FM737" s="27" t="s">
        <v>8</v>
      </c>
      <c r="FN737" s="27" t="s">
        <v>7</v>
      </c>
      <c r="FO737" s="27" t="s">
        <v>8</v>
      </c>
      <c r="FP737" s="27" t="s">
        <v>7</v>
      </c>
      <c r="FR737" s="27" t="s">
        <v>7</v>
      </c>
      <c r="FS737" s="27" t="s">
        <v>8</v>
      </c>
      <c r="FT737" s="27" t="s">
        <v>7</v>
      </c>
      <c r="FU737" s="27" t="s">
        <v>8</v>
      </c>
      <c r="FV737" s="27" t="s">
        <v>7</v>
      </c>
      <c r="FW737" s="27" t="s">
        <v>8</v>
      </c>
      <c r="FX737" s="27" t="s">
        <v>7</v>
      </c>
      <c r="GM737" s="27" t="s">
        <v>8</v>
      </c>
      <c r="GN737" s="27" t="s">
        <v>7</v>
      </c>
      <c r="GO737" s="27" t="s">
        <v>8</v>
      </c>
      <c r="GP737" s="27" t="s">
        <v>7</v>
      </c>
      <c r="GS737" s="27" t="s">
        <v>8</v>
      </c>
    </row>
    <row r="738" spans="1:201" x14ac:dyDescent="0.25">
      <c r="A738" s="7">
        <v>5.0277545065371444E-2</v>
      </c>
      <c r="B738"/>
      <c r="C738"/>
      <c r="D738"/>
      <c r="E738"/>
      <c r="AN738" s="27" t="s">
        <v>7</v>
      </c>
      <c r="AO738" s="27" t="s">
        <v>8</v>
      </c>
      <c r="AP738" s="27" t="s">
        <v>7</v>
      </c>
      <c r="AS738" s="27" t="s">
        <v>8</v>
      </c>
      <c r="AT738" s="27" t="s">
        <v>7</v>
      </c>
      <c r="AW738" s="27" t="s">
        <v>8</v>
      </c>
      <c r="AX738" s="27" t="s">
        <v>7</v>
      </c>
      <c r="AY738" s="27" t="s">
        <v>8</v>
      </c>
      <c r="AZ738" s="27" t="s">
        <v>7</v>
      </c>
      <c r="BO738" s="27" t="s">
        <v>8</v>
      </c>
      <c r="BP738" s="27" t="s">
        <v>7</v>
      </c>
      <c r="CA738" s="27" t="s">
        <v>8</v>
      </c>
      <c r="CB738" s="27" t="s">
        <v>7</v>
      </c>
      <c r="CC738" s="27" t="s">
        <v>8</v>
      </c>
      <c r="CD738" s="27" t="s">
        <v>7</v>
      </c>
      <c r="CM738" s="27" t="s">
        <v>8</v>
      </c>
      <c r="CN738" s="27" t="s">
        <v>7</v>
      </c>
      <c r="CQ738" s="27" t="s">
        <v>8</v>
      </c>
      <c r="DH738" s="27" t="s">
        <v>7</v>
      </c>
      <c r="DI738" s="27" t="s">
        <v>8</v>
      </c>
      <c r="DJ738" s="27" t="s">
        <v>7</v>
      </c>
      <c r="DK738" s="27" t="s">
        <v>8</v>
      </c>
      <c r="DL738" s="27" t="s">
        <v>7</v>
      </c>
      <c r="FF738" s="27" t="s">
        <v>7</v>
      </c>
      <c r="FG738" s="27" t="s">
        <v>8</v>
      </c>
      <c r="FH738" s="27" t="s">
        <v>7</v>
      </c>
      <c r="FI738" s="27" t="s">
        <v>8</v>
      </c>
      <c r="FK738" s="27" t="s">
        <v>8</v>
      </c>
      <c r="FL738" s="27" t="s">
        <v>7</v>
      </c>
      <c r="FM738" s="27" t="s">
        <v>8</v>
      </c>
      <c r="FN738" s="27" t="s">
        <v>7</v>
      </c>
      <c r="FO738" s="27" t="s">
        <v>8</v>
      </c>
      <c r="FR738" s="27" t="s">
        <v>7</v>
      </c>
      <c r="FS738" s="27" t="s">
        <v>8</v>
      </c>
      <c r="FT738" s="27" t="s">
        <v>7</v>
      </c>
      <c r="FU738" s="27" t="s">
        <v>8</v>
      </c>
      <c r="FV738" s="27" t="s">
        <v>7</v>
      </c>
      <c r="FX738" s="27" t="s">
        <v>7</v>
      </c>
      <c r="GM738" s="27" t="s">
        <v>8</v>
      </c>
      <c r="GN738" s="27" t="s">
        <v>7</v>
      </c>
      <c r="GO738" s="27" t="s">
        <v>8</v>
      </c>
      <c r="GP738" s="27" t="s">
        <v>7</v>
      </c>
      <c r="GS738" s="27" t="s">
        <v>8</v>
      </c>
    </row>
    <row r="739" spans="1:201" x14ac:dyDescent="0.25">
      <c r="A739" s="7">
        <v>4.9291710848403378E-2</v>
      </c>
      <c r="B739"/>
      <c r="C739"/>
      <c r="D739"/>
      <c r="E739"/>
      <c r="AN739" s="27" t="s">
        <v>7</v>
      </c>
      <c r="AP739" s="27" t="s">
        <v>7</v>
      </c>
      <c r="AS739" s="27" t="s">
        <v>8</v>
      </c>
      <c r="AT739" s="27" t="s">
        <v>7</v>
      </c>
      <c r="AU739" s="27" t="s">
        <v>8</v>
      </c>
      <c r="AW739" s="27" t="s">
        <v>8</v>
      </c>
      <c r="AX739" s="27" t="s">
        <v>7</v>
      </c>
      <c r="AY739" s="27" t="s">
        <v>8</v>
      </c>
      <c r="AZ739" s="27" t="s">
        <v>7</v>
      </c>
      <c r="BC739" s="27" t="s">
        <v>8</v>
      </c>
      <c r="BO739" s="27" t="s">
        <v>8</v>
      </c>
      <c r="BP739" s="27" t="s">
        <v>7</v>
      </c>
      <c r="CA739" s="27" t="s">
        <v>8</v>
      </c>
      <c r="CB739" s="27" t="s">
        <v>7</v>
      </c>
      <c r="CC739" s="27" t="s">
        <v>8</v>
      </c>
      <c r="CD739" s="27" t="s">
        <v>7</v>
      </c>
      <c r="CM739" s="27" t="s">
        <v>8</v>
      </c>
      <c r="CN739" s="27" t="s">
        <v>7</v>
      </c>
      <c r="CQ739" s="27" t="s">
        <v>8</v>
      </c>
      <c r="DH739" s="27" t="s">
        <v>7</v>
      </c>
      <c r="DI739" s="27" t="s">
        <v>8</v>
      </c>
      <c r="DJ739" s="27" t="s">
        <v>7</v>
      </c>
      <c r="DK739" s="27" t="s">
        <v>8</v>
      </c>
      <c r="FF739" s="27" t="s">
        <v>7</v>
      </c>
      <c r="FG739" s="27" t="s">
        <v>8</v>
      </c>
      <c r="FH739" s="27" t="s">
        <v>7</v>
      </c>
      <c r="FI739" s="27" t="s">
        <v>8</v>
      </c>
      <c r="FJ739" s="27" t="s">
        <v>7</v>
      </c>
      <c r="FK739" s="27" t="s">
        <v>8</v>
      </c>
      <c r="FL739" s="27" t="s">
        <v>7</v>
      </c>
      <c r="FM739" s="27" t="s">
        <v>8</v>
      </c>
      <c r="FN739" s="27" t="s">
        <v>7</v>
      </c>
      <c r="FR739" s="27" t="s">
        <v>7</v>
      </c>
      <c r="FS739" s="27" t="s">
        <v>8</v>
      </c>
      <c r="FT739" s="27" t="s">
        <v>7</v>
      </c>
      <c r="FU739" s="27" t="s">
        <v>8</v>
      </c>
      <c r="FX739" s="27" t="s">
        <v>7</v>
      </c>
      <c r="GM739" s="27" t="s">
        <v>8</v>
      </c>
      <c r="GN739" s="27" t="s">
        <v>7</v>
      </c>
      <c r="GO739" s="27" t="s">
        <v>8</v>
      </c>
      <c r="GP739" s="27" t="s">
        <v>7</v>
      </c>
      <c r="GS739" s="27" t="s">
        <v>8</v>
      </c>
    </row>
    <row r="740" spans="1:201" x14ac:dyDescent="0.25">
      <c r="A740" s="7">
        <v>4.8325206714120959E-2</v>
      </c>
      <c r="B740"/>
      <c r="C740"/>
      <c r="D740"/>
      <c r="E740"/>
      <c r="AP740" s="27" t="s">
        <v>7</v>
      </c>
      <c r="AQ740" s="27" t="s">
        <v>8</v>
      </c>
      <c r="AS740" s="27" t="s">
        <v>8</v>
      </c>
      <c r="AT740" s="27" t="s">
        <v>7</v>
      </c>
      <c r="AU740" s="27" t="s">
        <v>8</v>
      </c>
      <c r="AV740" s="27" t="s">
        <v>7</v>
      </c>
      <c r="AW740" s="27" t="s">
        <v>8</v>
      </c>
      <c r="AX740" s="27" t="s">
        <v>7</v>
      </c>
      <c r="AY740" s="27" t="s">
        <v>8</v>
      </c>
      <c r="AZ740" s="27" t="s">
        <v>7</v>
      </c>
      <c r="BC740" s="27" t="s">
        <v>8</v>
      </c>
      <c r="BD740" s="27" t="s">
        <v>7</v>
      </c>
      <c r="BO740" s="27" t="s">
        <v>8</v>
      </c>
      <c r="BP740" s="27" t="s">
        <v>7</v>
      </c>
      <c r="CA740" s="27" t="s">
        <v>8</v>
      </c>
      <c r="CB740" s="27" t="s">
        <v>7</v>
      </c>
      <c r="CC740" s="27" t="s">
        <v>8</v>
      </c>
      <c r="CD740" s="27" t="s">
        <v>7</v>
      </c>
      <c r="CM740" s="27" t="s">
        <v>8</v>
      </c>
      <c r="CN740" s="27" t="s">
        <v>7</v>
      </c>
      <c r="CQ740" s="27" t="s">
        <v>8</v>
      </c>
      <c r="DH740" s="27" t="s">
        <v>7</v>
      </c>
      <c r="DJ740" s="27" t="s">
        <v>7</v>
      </c>
      <c r="FF740" s="27" t="s">
        <v>7</v>
      </c>
      <c r="FG740" s="27" t="s">
        <v>8</v>
      </c>
      <c r="FH740" s="27" t="s">
        <v>7</v>
      </c>
      <c r="FI740" s="27" t="s">
        <v>8</v>
      </c>
      <c r="FJ740" s="27" t="s">
        <v>7</v>
      </c>
      <c r="FK740" s="27" t="s">
        <v>8</v>
      </c>
      <c r="FL740" s="27" t="s">
        <v>7</v>
      </c>
      <c r="FR740" s="27" t="s">
        <v>7</v>
      </c>
      <c r="FS740" s="27" t="s">
        <v>8</v>
      </c>
      <c r="FT740" s="27" t="s">
        <v>7</v>
      </c>
      <c r="FU740" s="27" t="s">
        <v>8</v>
      </c>
      <c r="FX740" s="27" t="s">
        <v>7</v>
      </c>
      <c r="GM740" s="27" t="s">
        <v>8</v>
      </c>
      <c r="GN740" s="27" t="s">
        <v>7</v>
      </c>
      <c r="GO740" s="27" t="s">
        <v>8</v>
      </c>
      <c r="GP740" s="27" t="s">
        <v>7</v>
      </c>
      <c r="GS740" s="27" t="s">
        <v>8</v>
      </c>
    </row>
    <row r="741" spans="1:201" x14ac:dyDescent="0.25">
      <c r="A741" s="7">
        <v>4.7377653641295057E-2</v>
      </c>
      <c r="B741"/>
      <c r="C741"/>
      <c r="D741"/>
      <c r="E741"/>
      <c r="AP741" s="27" t="s">
        <v>7</v>
      </c>
      <c r="AQ741" s="27" t="s">
        <v>8</v>
      </c>
      <c r="AR741" s="27" t="s">
        <v>7</v>
      </c>
      <c r="AS741" s="27" t="s">
        <v>8</v>
      </c>
      <c r="AT741" s="27" t="s">
        <v>7</v>
      </c>
      <c r="AU741" s="27" t="s">
        <v>8</v>
      </c>
      <c r="AV741" s="27" t="s">
        <v>7</v>
      </c>
      <c r="AW741" s="27" t="s">
        <v>8</v>
      </c>
      <c r="AX741" s="27" t="s">
        <v>7</v>
      </c>
      <c r="AY741" s="27" t="s">
        <v>8</v>
      </c>
      <c r="AZ741" s="27" t="s">
        <v>7</v>
      </c>
      <c r="BC741" s="27" t="s">
        <v>8</v>
      </c>
      <c r="BD741" s="27" t="s">
        <v>7</v>
      </c>
      <c r="BO741" s="27" t="s">
        <v>8</v>
      </c>
      <c r="BP741" s="27" t="s">
        <v>7</v>
      </c>
      <c r="BQ741" s="27" t="s">
        <v>8</v>
      </c>
      <c r="CA741" s="27" t="s">
        <v>8</v>
      </c>
      <c r="CB741" s="27" t="s">
        <v>7</v>
      </c>
      <c r="CC741" s="27" t="s">
        <v>8</v>
      </c>
      <c r="CD741" s="27" t="s">
        <v>7</v>
      </c>
      <c r="CM741" s="27" t="s">
        <v>8</v>
      </c>
      <c r="CN741" s="27" t="s">
        <v>7</v>
      </c>
      <c r="CQ741" s="27" t="s">
        <v>8</v>
      </c>
      <c r="FF741" s="27" t="s">
        <v>7</v>
      </c>
      <c r="FG741" s="27" t="s">
        <v>8</v>
      </c>
      <c r="FH741" s="27" t="s">
        <v>7</v>
      </c>
      <c r="FI741" s="27" t="s">
        <v>8</v>
      </c>
      <c r="FJ741" s="27" t="s">
        <v>7</v>
      </c>
      <c r="FK741" s="27" t="s">
        <v>8</v>
      </c>
      <c r="FR741" s="27" t="s">
        <v>7</v>
      </c>
      <c r="FS741" s="27" t="s">
        <v>8</v>
      </c>
      <c r="FT741" s="27" t="s">
        <v>7</v>
      </c>
      <c r="FX741" s="27" t="s">
        <v>7</v>
      </c>
      <c r="GM741" s="27" t="s">
        <v>8</v>
      </c>
      <c r="GN741" s="27" t="s">
        <v>7</v>
      </c>
      <c r="GO741" s="27" t="s">
        <v>8</v>
      </c>
      <c r="GP741" s="27" t="s">
        <v>7</v>
      </c>
      <c r="GS741" s="27" t="s">
        <v>8</v>
      </c>
    </row>
    <row r="742" spans="1:201" x14ac:dyDescent="0.25">
      <c r="A742" s="7">
        <v>4.644868004048535E-2</v>
      </c>
      <c r="B742"/>
      <c r="C742"/>
      <c r="D742"/>
      <c r="E742"/>
      <c r="AP742" s="27" t="s">
        <v>7</v>
      </c>
      <c r="AQ742" s="27" t="s">
        <v>8</v>
      </c>
      <c r="AR742" s="27" t="s">
        <v>7</v>
      </c>
      <c r="AS742" s="27" t="s">
        <v>8</v>
      </c>
      <c r="AT742" s="27" t="s">
        <v>7</v>
      </c>
      <c r="AU742" s="27" t="s">
        <v>8</v>
      </c>
      <c r="AV742" s="27" t="s">
        <v>7</v>
      </c>
      <c r="AW742" s="27" t="s">
        <v>8</v>
      </c>
      <c r="AX742" s="27" t="s">
        <v>7</v>
      </c>
      <c r="AY742" s="27" t="s">
        <v>8</v>
      </c>
      <c r="AZ742" s="27" t="s">
        <v>7</v>
      </c>
      <c r="BC742" s="27" t="s">
        <v>8</v>
      </c>
      <c r="BD742" s="27" t="s">
        <v>7</v>
      </c>
      <c r="BO742" s="27" t="s">
        <v>8</v>
      </c>
      <c r="BP742" s="27" t="s">
        <v>7</v>
      </c>
      <c r="BQ742" s="27" t="s">
        <v>8</v>
      </c>
      <c r="BR742" s="27" t="s">
        <v>7</v>
      </c>
      <c r="CA742" s="27" t="s">
        <v>8</v>
      </c>
      <c r="CB742" s="27" t="s">
        <v>7</v>
      </c>
      <c r="CC742" s="27" t="s">
        <v>8</v>
      </c>
      <c r="CD742" s="27" t="s">
        <v>7</v>
      </c>
      <c r="CI742" s="27" t="s">
        <v>8</v>
      </c>
      <c r="CM742" s="27" t="s">
        <v>8</v>
      </c>
      <c r="CN742" s="27" t="s">
        <v>7</v>
      </c>
      <c r="CQ742" s="27" t="s">
        <v>8</v>
      </c>
      <c r="FF742" s="27" t="s">
        <v>7</v>
      </c>
      <c r="FG742" s="27" t="s">
        <v>8</v>
      </c>
      <c r="FH742" s="27" t="s">
        <v>7</v>
      </c>
      <c r="FI742" s="27" t="s">
        <v>8</v>
      </c>
      <c r="FJ742" s="27" t="s">
        <v>7</v>
      </c>
      <c r="FK742" s="27" t="s">
        <v>8</v>
      </c>
      <c r="FR742" s="27" t="s">
        <v>7</v>
      </c>
      <c r="FS742" s="27" t="s">
        <v>8</v>
      </c>
      <c r="FX742" s="27" t="s">
        <v>7</v>
      </c>
      <c r="GM742" s="27" t="s">
        <v>8</v>
      </c>
      <c r="GN742" s="27" t="s">
        <v>7</v>
      </c>
      <c r="GO742" s="27" t="s">
        <v>8</v>
      </c>
      <c r="GP742" s="27" t="s">
        <v>7</v>
      </c>
      <c r="GQ742" s="27" t="s">
        <v>8</v>
      </c>
      <c r="GS742" s="27" t="s">
        <v>8</v>
      </c>
    </row>
    <row r="743" spans="1:201" x14ac:dyDescent="0.25">
      <c r="A743" s="7">
        <v>4.5537921608318974E-2</v>
      </c>
      <c r="B743"/>
      <c r="C743"/>
      <c r="D743"/>
      <c r="E743"/>
      <c r="AP743" s="27" t="s">
        <v>7</v>
      </c>
      <c r="AQ743" s="27" t="s">
        <v>8</v>
      </c>
      <c r="AR743" s="27" t="s">
        <v>7</v>
      </c>
      <c r="AS743" s="27" t="s">
        <v>8</v>
      </c>
      <c r="AT743" s="27" t="s">
        <v>7</v>
      </c>
      <c r="AU743" s="27" t="s">
        <v>8</v>
      </c>
      <c r="AV743" s="27" t="s">
        <v>7</v>
      </c>
      <c r="AW743" s="27" t="s">
        <v>8</v>
      </c>
      <c r="AX743" s="27" t="s">
        <v>7</v>
      </c>
      <c r="AY743" s="27" t="s">
        <v>8</v>
      </c>
      <c r="AZ743" s="27" t="s">
        <v>7</v>
      </c>
      <c r="BC743" s="27" t="s">
        <v>8</v>
      </c>
      <c r="BD743" s="27" t="s">
        <v>7</v>
      </c>
      <c r="BO743" s="27" t="s">
        <v>8</v>
      </c>
      <c r="BP743" s="27" t="s">
        <v>7</v>
      </c>
      <c r="BQ743" s="27" t="s">
        <v>8</v>
      </c>
      <c r="BR743" s="27" t="s">
        <v>7</v>
      </c>
      <c r="CA743" s="27" t="s">
        <v>8</v>
      </c>
      <c r="CB743" s="27" t="s">
        <v>7</v>
      </c>
      <c r="CC743" s="27" t="s">
        <v>8</v>
      </c>
      <c r="CD743" s="27" t="s">
        <v>7</v>
      </c>
      <c r="CI743" s="27" t="s">
        <v>8</v>
      </c>
      <c r="CJ743" s="27" t="s">
        <v>7</v>
      </c>
      <c r="CM743" s="27" t="s">
        <v>8</v>
      </c>
      <c r="CN743" s="27" t="s">
        <v>7</v>
      </c>
      <c r="CQ743" s="27" t="s">
        <v>8</v>
      </c>
      <c r="FF743" s="27" t="s">
        <v>7</v>
      </c>
      <c r="FG743" s="27" t="s">
        <v>8</v>
      </c>
      <c r="FH743" s="27" t="s">
        <v>7</v>
      </c>
      <c r="FI743" s="27" t="s">
        <v>8</v>
      </c>
      <c r="FJ743" s="27" t="s">
        <v>7</v>
      </c>
      <c r="FK743" s="27" t="s">
        <v>8</v>
      </c>
      <c r="FR743" s="27" t="s">
        <v>7</v>
      </c>
      <c r="FS743" s="27" t="s">
        <v>8</v>
      </c>
      <c r="FX743" s="27" t="s">
        <v>7</v>
      </c>
      <c r="GM743" s="27" t="s">
        <v>8</v>
      </c>
      <c r="GN743" s="27" t="s">
        <v>7</v>
      </c>
      <c r="GO743" s="27" t="s">
        <v>8</v>
      </c>
      <c r="GP743" s="27" t="s">
        <v>7</v>
      </c>
      <c r="GQ743" s="27" t="s">
        <v>8</v>
      </c>
      <c r="GR743" s="27" t="s">
        <v>7</v>
      </c>
      <c r="GS743" s="27" t="s">
        <v>8</v>
      </c>
    </row>
    <row r="744" spans="1:201" x14ac:dyDescent="0.25">
      <c r="A744" s="7">
        <v>4.4645021184626446E-2</v>
      </c>
      <c r="B744"/>
      <c r="C744"/>
      <c r="D744"/>
      <c r="E744"/>
      <c r="AP744" s="27" t="s">
        <v>7</v>
      </c>
      <c r="AQ744" s="27" t="s">
        <v>8</v>
      </c>
      <c r="AR744" s="27" t="s">
        <v>7</v>
      </c>
      <c r="AS744" s="27" t="s">
        <v>8</v>
      </c>
      <c r="AT744" s="27" t="s">
        <v>7</v>
      </c>
      <c r="AU744" s="27" t="s">
        <v>8</v>
      </c>
      <c r="AV744" s="27" t="s">
        <v>7</v>
      </c>
      <c r="AW744" s="27" t="s">
        <v>8</v>
      </c>
      <c r="AX744" s="27" t="s">
        <v>7</v>
      </c>
      <c r="AY744" s="27" t="s">
        <v>8</v>
      </c>
      <c r="AZ744" s="27" t="s">
        <v>7</v>
      </c>
      <c r="BC744" s="27" t="s">
        <v>8</v>
      </c>
      <c r="BD744" s="27" t="s">
        <v>7</v>
      </c>
      <c r="BO744" s="27" t="s">
        <v>8</v>
      </c>
      <c r="BP744" s="27" t="s">
        <v>7</v>
      </c>
      <c r="BQ744" s="27" t="s">
        <v>8</v>
      </c>
      <c r="BR744" s="27" t="s">
        <v>7</v>
      </c>
      <c r="CA744" s="27" t="s">
        <v>8</v>
      </c>
      <c r="CB744" s="27" t="s">
        <v>7</v>
      </c>
      <c r="CC744" s="27" t="s">
        <v>8</v>
      </c>
      <c r="CD744" s="27" t="s">
        <v>7</v>
      </c>
      <c r="CI744" s="27" t="s">
        <v>8</v>
      </c>
      <c r="CJ744" s="27" t="s">
        <v>7</v>
      </c>
      <c r="CM744" s="27" t="s">
        <v>8</v>
      </c>
      <c r="CN744" s="27" t="s">
        <v>7</v>
      </c>
      <c r="CO744" s="27" t="s">
        <v>8</v>
      </c>
      <c r="CQ744" s="27" t="s">
        <v>8</v>
      </c>
      <c r="FF744" s="27" t="s">
        <v>7</v>
      </c>
      <c r="FG744" s="27" t="s">
        <v>8</v>
      </c>
      <c r="FH744" s="27" t="s">
        <v>7</v>
      </c>
      <c r="FI744" s="27" t="s">
        <v>8</v>
      </c>
      <c r="FJ744" s="27" t="s">
        <v>7</v>
      </c>
      <c r="FK744" s="27" t="s">
        <v>8</v>
      </c>
      <c r="FR744" s="27" t="s">
        <v>7</v>
      </c>
      <c r="FS744" s="27" t="s">
        <v>8</v>
      </c>
      <c r="FX744" s="27" t="s">
        <v>7</v>
      </c>
      <c r="GM744" s="27" t="s">
        <v>8</v>
      </c>
      <c r="GN744" s="27" t="s">
        <v>7</v>
      </c>
      <c r="GO744" s="27" t="s">
        <v>8</v>
      </c>
      <c r="GP744" s="27" t="s">
        <v>7</v>
      </c>
      <c r="GQ744" s="27" t="s">
        <v>8</v>
      </c>
      <c r="GR744" s="27" t="s">
        <v>7</v>
      </c>
      <c r="GS744" s="27" t="s">
        <v>8</v>
      </c>
    </row>
    <row r="745" spans="1:201" x14ac:dyDescent="0.25">
      <c r="A745" s="7">
        <v>4.3769628612378868E-2</v>
      </c>
      <c r="B745"/>
      <c r="C745"/>
      <c r="D745"/>
      <c r="E745"/>
      <c r="AP745" s="27" t="s">
        <v>7</v>
      </c>
      <c r="AR745" s="27" t="s">
        <v>7</v>
      </c>
      <c r="AS745" s="27" t="s">
        <v>8</v>
      </c>
      <c r="AT745" s="27" t="s">
        <v>7</v>
      </c>
      <c r="AU745" s="27" t="s">
        <v>8</v>
      </c>
      <c r="AV745" s="27" t="s">
        <v>7</v>
      </c>
      <c r="AW745" s="27" t="s">
        <v>8</v>
      </c>
      <c r="AX745" s="27" t="s">
        <v>7</v>
      </c>
      <c r="AY745" s="27" t="s">
        <v>8</v>
      </c>
      <c r="AZ745" s="27" t="s">
        <v>7</v>
      </c>
      <c r="BA745" s="27" t="s">
        <v>8</v>
      </c>
      <c r="BC745" s="27" t="s">
        <v>8</v>
      </c>
      <c r="BD745" s="27" t="s">
        <v>7</v>
      </c>
      <c r="BO745" s="27" t="s">
        <v>8</v>
      </c>
      <c r="BP745" s="27" t="s">
        <v>7</v>
      </c>
      <c r="BQ745" s="27" t="s">
        <v>8</v>
      </c>
      <c r="BR745" s="27" t="s">
        <v>7</v>
      </c>
      <c r="CA745" s="27" t="s">
        <v>8</v>
      </c>
      <c r="CB745" s="27" t="s">
        <v>7</v>
      </c>
      <c r="CC745" s="27" t="s">
        <v>8</v>
      </c>
      <c r="CD745" s="27" t="s">
        <v>7</v>
      </c>
      <c r="CI745" s="27" t="s">
        <v>8</v>
      </c>
      <c r="CJ745" s="27" t="s">
        <v>7</v>
      </c>
      <c r="CM745" s="27" t="s">
        <v>8</v>
      </c>
      <c r="CN745" s="27" t="s">
        <v>7</v>
      </c>
      <c r="CO745" s="27" t="s">
        <v>8</v>
      </c>
      <c r="CP745" s="27" t="s">
        <v>7</v>
      </c>
      <c r="CQ745" s="27" t="s">
        <v>8</v>
      </c>
      <c r="FF745" s="27" t="s">
        <v>7</v>
      </c>
      <c r="FG745" s="27" t="s">
        <v>8</v>
      </c>
      <c r="FH745" s="27" t="s">
        <v>7</v>
      </c>
      <c r="FI745" s="27" t="s">
        <v>8</v>
      </c>
      <c r="FJ745" s="27" t="s">
        <v>7</v>
      </c>
      <c r="FK745" s="27" t="s">
        <v>8</v>
      </c>
      <c r="FR745" s="27" t="s">
        <v>7</v>
      </c>
      <c r="FS745" s="27" t="s">
        <v>8</v>
      </c>
      <c r="FX745" s="27" t="s">
        <v>7</v>
      </c>
      <c r="GC745" s="27" t="s">
        <v>8</v>
      </c>
      <c r="GM745" s="27" t="s">
        <v>8</v>
      </c>
      <c r="GN745" s="27" t="s">
        <v>7</v>
      </c>
      <c r="GO745" s="27" t="s">
        <v>8</v>
      </c>
      <c r="GP745" s="27" t="s">
        <v>7</v>
      </c>
      <c r="GQ745" s="27" t="s">
        <v>8</v>
      </c>
      <c r="GR745" s="27" t="s">
        <v>7</v>
      </c>
      <c r="GS745" s="27" t="s">
        <v>8</v>
      </c>
    </row>
    <row r="746" spans="1:201" x14ac:dyDescent="0.25">
      <c r="A746" s="7">
        <v>4.2911400600371442E-2</v>
      </c>
      <c r="B746"/>
      <c r="C746"/>
      <c r="D746"/>
      <c r="E746"/>
      <c r="AR746" s="27" t="s">
        <v>7</v>
      </c>
      <c r="AS746" s="27" t="s">
        <v>8</v>
      </c>
      <c r="AT746" s="27" t="s">
        <v>7</v>
      </c>
      <c r="AU746" s="27" t="s">
        <v>8</v>
      </c>
      <c r="AV746" s="27" t="s">
        <v>7</v>
      </c>
      <c r="AW746" s="27" t="s">
        <v>8</v>
      </c>
      <c r="AX746" s="27" t="s">
        <v>7</v>
      </c>
      <c r="AY746" s="27" t="s">
        <v>8</v>
      </c>
      <c r="AZ746" s="27" t="s">
        <v>7</v>
      </c>
      <c r="BA746" s="27" t="s">
        <v>8</v>
      </c>
      <c r="BB746" s="27" t="s">
        <v>7</v>
      </c>
      <c r="BC746" s="27" t="s">
        <v>8</v>
      </c>
      <c r="BD746" s="27" t="s">
        <v>7</v>
      </c>
      <c r="BK746" s="27" t="s">
        <v>8</v>
      </c>
      <c r="BO746" s="27" t="s">
        <v>8</v>
      </c>
      <c r="BP746" s="27" t="s">
        <v>7</v>
      </c>
      <c r="BQ746" s="27" t="s">
        <v>8</v>
      </c>
      <c r="BR746" s="27" t="s">
        <v>7</v>
      </c>
      <c r="CA746" s="27" t="s">
        <v>8</v>
      </c>
      <c r="CB746" s="27" t="s">
        <v>7</v>
      </c>
      <c r="CC746" s="27" t="s">
        <v>8</v>
      </c>
      <c r="CD746" s="27" t="s">
        <v>7</v>
      </c>
      <c r="CI746" s="27" t="s">
        <v>8</v>
      </c>
      <c r="CJ746" s="27" t="s">
        <v>7</v>
      </c>
      <c r="CM746" s="27" t="s">
        <v>8</v>
      </c>
      <c r="CN746" s="27" t="s">
        <v>7</v>
      </c>
      <c r="CO746" s="27" t="s">
        <v>8</v>
      </c>
      <c r="CP746" s="27" t="s">
        <v>7</v>
      </c>
      <c r="CQ746" s="27" t="s">
        <v>8</v>
      </c>
      <c r="FF746" s="27" t="s">
        <v>7</v>
      </c>
      <c r="FG746" s="27" t="s">
        <v>8</v>
      </c>
      <c r="FH746" s="27" t="s">
        <v>7</v>
      </c>
      <c r="FJ746" s="27" t="s">
        <v>7</v>
      </c>
      <c r="FK746" s="27" t="s">
        <v>8</v>
      </c>
      <c r="FR746" s="27" t="s">
        <v>7</v>
      </c>
      <c r="FX746" s="27" t="s">
        <v>7</v>
      </c>
      <c r="GC746" s="27" t="s">
        <v>8</v>
      </c>
      <c r="GD746" s="27" t="s">
        <v>7</v>
      </c>
      <c r="GM746" s="27" t="s">
        <v>8</v>
      </c>
      <c r="GN746" s="27" t="s">
        <v>7</v>
      </c>
      <c r="GO746" s="27" t="s">
        <v>8</v>
      </c>
      <c r="GP746" s="27" t="s">
        <v>7</v>
      </c>
      <c r="GQ746" s="27" t="s">
        <v>8</v>
      </c>
      <c r="GR746" s="27" t="s">
        <v>7</v>
      </c>
      <c r="GS746" s="27" t="s">
        <v>8</v>
      </c>
    </row>
    <row r="747" spans="1:201" x14ac:dyDescent="0.25">
      <c r="A747" s="7">
        <v>4.2070000588599457E-2</v>
      </c>
      <c r="B747"/>
      <c r="C747"/>
      <c r="D747"/>
      <c r="E747"/>
      <c r="AR747" s="27" t="s">
        <v>7</v>
      </c>
      <c r="AS747" s="27" t="s">
        <v>8</v>
      </c>
      <c r="AT747" s="27" t="s">
        <v>7</v>
      </c>
      <c r="AV747" s="27" t="s">
        <v>7</v>
      </c>
      <c r="AW747" s="27" t="s">
        <v>8</v>
      </c>
      <c r="AX747" s="27" t="s">
        <v>7</v>
      </c>
      <c r="AY747" s="27" t="s">
        <v>8</v>
      </c>
      <c r="AZ747" s="27" t="s">
        <v>7</v>
      </c>
      <c r="BA747" s="27" t="s">
        <v>8</v>
      </c>
      <c r="BB747" s="27" t="s">
        <v>7</v>
      </c>
      <c r="BC747" s="27" t="s">
        <v>8</v>
      </c>
      <c r="BD747" s="27" t="s">
        <v>7</v>
      </c>
      <c r="BK747" s="27" t="s">
        <v>8</v>
      </c>
      <c r="BL747" s="27" t="s">
        <v>7</v>
      </c>
      <c r="BO747" s="27" t="s">
        <v>8</v>
      </c>
      <c r="BP747" s="27" t="s">
        <v>7</v>
      </c>
      <c r="BQ747" s="27" t="s">
        <v>8</v>
      </c>
      <c r="BR747" s="27" t="s">
        <v>7</v>
      </c>
      <c r="CA747" s="27" t="s">
        <v>8</v>
      </c>
      <c r="CB747" s="27" t="s">
        <v>7</v>
      </c>
      <c r="CC747" s="27" t="s">
        <v>8</v>
      </c>
      <c r="CD747" s="27" t="s">
        <v>7</v>
      </c>
      <c r="CI747" s="27" t="s">
        <v>8</v>
      </c>
      <c r="CJ747" s="27" t="s">
        <v>7</v>
      </c>
      <c r="CM747" s="27" t="s">
        <v>8</v>
      </c>
      <c r="CN747" s="27" t="s">
        <v>7</v>
      </c>
      <c r="CO747" s="27" t="s">
        <v>8</v>
      </c>
      <c r="CP747" s="27" t="s">
        <v>7</v>
      </c>
      <c r="CQ747" s="27" t="s">
        <v>8</v>
      </c>
      <c r="FF747" s="27" t="s">
        <v>7</v>
      </c>
      <c r="FG747" s="27" t="s">
        <v>8</v>
      </c>
      <c r="FJ747" s="27" t="s">
        <v>7</v>
      </c>
      <c r="FK747" s="27" t="s">
        <v>8</v>
      </c>
      <c r="FX747" s="27" t="s">
        <v>7</v>
      </c>
      <c r="GA747" s="27" t="s">
        <v>8</v>
      </c>
      <c r="GC747" s="27" t="s">
        <v>8</v>
      </c>
      <c r="GD747" s="27" t="s">
        <v>7</v>
      </c>
      <c r="GM747" s="27" t="s">
        <v>8</v>
      </c>
      <c r="GN747" s="27" t="s">
        <v>7</v>
      </c>
      <c r="GO747" s="27" t="s">
        <v>8</v>
      </c>
      <c r="GP747" s="27" t="s">
        <v>7</v>
      </c>
      <c r="GQ747" s="27" t="s">
        <v>8</v>
      </c>
      <c r="GR747" s="27" t="s">
        <v>7</v>
      </c>
    </row>
    <row r="748" spans="1:201" x14ac:dyDescent="0.25">
      <c r="A748" s="7">
        <v>4.1245098616273977E-2</v>
      </c>
      <c r="B748"/>
      <c r="C748"/>
      <c r="D748"/>
      <c r="E748"/>
      <c r="AR748" s="27" t="s">
        <v>7</v>
      </c>
      <c r="AS748" s="27" t="s">
        <v>8</v>
      </c>
      <c r="AV748" s="27" t="s">
        <v>7</v>
      </c>
      <c r="AW748" s="27" t="s">
        <v>8</v>
      </c>
      <c r="AX748" s="27" t="s">
        <v>7</v>
      </c>
      <c r="AZ748" s="27" t="s">
        <v>7</v>
      </c>
      <c r="BA748" s="27" t="s">
        <v>8</v>
      </c>
      <c r="BB748" s="27" t="s">
        <v>7</v>
      </c>
      <c r="BC748" s="27" t="s">
        <v>8</v>
      </c>
      <c r="BD748" s="27" t="s">
        <v>7</v>
      </c>
      <c r="BE748" s="27" t="s">
        <v>8</v>
      </c>
      <c r="BG748" s="27" t="s">
        <v>8</v>
      </c>
      <c r="BK748" s="27" t="s">
        <v>8</v>
      </c>
      <c r="BL748" s="27" t="s">
        <v>7</v>
      </c>
      <c r="BO748" s="27" t="s">
        <v>8</v>
      </c>
      <c r="BP748" s="27" t="s">
        <v>7</v>
      </c>
      <c r="BQ748" s="27" t="s">
        <v>8</v>
      </c>
      <c r="BR748" s="27" t="s">
        <v>7</v>
      </c>
      <c r="BS748" s="27" t="s">
        <v>8</v>
      </c>
      <c r="CA748" s="27" t="s">
        <v>8</v>
      </c>
      <c r="CB748" s="27" t="s">
        <v>7</v>
      </c>
      <c r="CC748" s="27" t="s">
        <v>8</v>
      </c>
      <c r="CD748" s="27" t="s">
        <v>7</v>
      </c>
      <c r="CI748" s="27" t="s">
        <v>8</v>
      </c>
      <c r="CJ748" s="27" t="s">
        <v>7</v>
      </c>
      <c r="CM748" s="27" t="s">
        <v>8</v>
      </c>
      <c r="CN748" s="27" t="s">
        <v>7</v>
      </c>
      <c r="CO748" s="27" t="s">
        <v>8</v>
      </c>
      <c r="CP748" s="27" t="s">
        <v>7</v>
      </c>
      <c r="CQ748" s="27" t="s">
        <v>8</v>
      </c>
      <c r="FF748" s="27" t="s">
        <v>7</v>
      </c>
      <c r="FG748" s="27" t="s">
        <v>8</v>
      </c>
      <c r="FJ748" s="27" t="s">
        <v>7</v>
      </c>
      <c r="FK748" s="27" t="s">
        <v>8</v>
      </c>
      <c r="FX748" s="27" t="s">
        <v>7</v>
      </c>
      <c r="GA748" s="27" t="s">
        <v>8</v>
      </c>
      <c r="GB748" s="27" t="s">
        <v>7</v>
      </c>
      <c r="GC748" s="27" t="s">
        <v>8</v>
      </c>
      <c r="GD748" s="27" t="s">
        <v>7</v>
      </c>
      <c r="GE748" s="27" t="s">
        <v>8</v>
      </c>
      <c r="GM748" s="27" t="s">
        <v>8</v>
      </c>
      <c r="GN748" s="27" t="s">
        <v>7</v>
      </c>
      <c r="GO748" s="27" t="s">
        <v>8</v>
      </c>
      <c r="GP748" s="27" t="s">
        <v>7</v>
      </c>
      <c r="GQ748" s="27" t="s">
        <v>8</v>
      </c>
    </row>
    <row r="749" spans="1:201" x14ac:dyDescent="0.25">
      <c r="A749" s="7">
        <v>4.043637119242547E-2</v>
      </c>
      <c r="B749"/>
      <c r="C749"/>
      <c r="D749"/>
      <c r="E749"/>
      <c r="AR749" s="27" t="s">
        <v>7</v>
      </c>
      <c r="AS749" s="27" t="s">
        <v>8</v>
      </c>
      <c r="AV749" s="27" t="s">
        <v>7</v>
      </c>
      <c r="AW749" s="27" t="s">
        <v>8</v>
      </c>
      <c r="AZ749" s="27" t="s">
        <v>7</v>
      </c>
      <c r="BB749" s="27" t="s">
        <v>7</v>
      </c>
      <c r="BC749" s="27" t="s">
        <v>8</v>
      </c>
      <c r="BD749" s="27" t="s">
        <v>7</v>
      </c>
      <c r="BE749" s="27" t="s">
        <v>8</v>
      </c>
      <c r="BF749" s="27" t="s">
        <v>7</v>
      </c>
      <c r="BG749" s="27" t="s">
        <v>8</v>
      </c>
      <c r="BH749" s="27" t="s">
        <v>7</v>
      </c>
      <c r="BK749" s="27" t="s">
        <v>8</v>
      </c>
      <c r="BL749" s="27" t="s">
        <v>7</v>
      </c>
      <c r="BO749" s="27" t="s">
        <v>8</v>
      </c>
      <c r="BP749" s="27" t="s">
        <v>7</v>
      </c>
      <c r="BQ749" s="27" t="s">
        <v>8</v>
      </c>
      <c r="BR749" s="27" t="s">
        <v>7</v>
      </c>
      <c r="BS749" s="27" t="s">
        <v>8</v>
      </c>
      <c r="BT749" s="27" t="s">
        <v>7</v>
      </c>
      <c r="CA749" s="27" t="s">
        <v>8</v>
      </c>
      <c r="CB749" s="27" t="s">
        <v>7</v>
      </c>
      <c r="CC749" s="27" t="s">
        <v>8</v>
      </c>
      <c r="CD749" s="27" t="s">
        <v>7</v>
      </c>
      <c r="CI749" s="27" t="s">
        <v>8</v>
      </c>
      <c r="CJ749" s="27" t="s">
        <v>7</v>
      </c>
      <c r="CM749" s="27" t="s">
        <v>8</v>
      </c>
      <c r="CN749" s="27" t="s">
        <v>7</v>
      </c>
      <c r="CO749" s="27" t="s">
        <v>8</v>
      </c>
      <c r="CP749" s="27" t="s">
        <v>7</v>
      </c>
      <c r="CQ749" s="27" t="s">
        <v>8</v>
      </c>
      <c r="FF749" s="27" t="s">
        <v>7</v>
      </c>
      <c r="FJ749" s="27" t="s">
        <v>7</v>
      </c>
      <c r="FK749" s="27" t="s">
        <v>8</v>
      </c>
      <c r="FX749" s="27" t="s">
        <v>7</v>
      </c>
      <c r="GA749" s="27" t="s">
        <v>8</v>
      </c>
      <c r="GB749" s="27" t="s">
        <v>7</v>
      </c>
      <c r="GC749" s="27" t="s">
        <v>8</v>
      </c>
      <c r="GD749" s="27" t="s">
        <v>7</v>
      </c>
      <c r="GE749" s="27" t="s">
        <v>8</v>
      </c>
      <c r="GF749" s="27" t="s">
        <v>7</v>
      </c>
      <c r="GM749" s="27" t="s">
        <v>8</v>
      </c>
      <c r="GN749" s="27" t="s">
        <v>7</v>
      </c>
      <c r="GO749" s="27" t="s">
        <v>8</v>
      </c>
      <c r="GP749" s="27" t="s">
        <v>7</v>
      </c>
      <c r="GQ749" s="27" t="s">
        <v>8</v>
      </c>
    </row>
    <row r="750" spans="1:201" x14ac:dyDescent="0.25">
      <c r="A750" s="7">
        <v>3.9643501169044582E-2</v>
      </c>
      <c r="B750"/>
      <c r="C750"/>
      <c r="D750"/>
      <c r="E750"/>
      <c r="AR750" s="27" t="s">
        <v>7</v>
      </c>
      <c r="AV750" s="27" t="s">
        <v>7</v>
      </c>
      <c r="BB750" s="27" t="s">
        <v>7</v>
      </c>
      <c r="BD750" s="27" t="s">
        <v>7</v>
      </c>
      <c r="BE750" s="27" t="s">
        <v>8</v>
      </c>
      <c r="BF750" s="27" t="s">
        <v>7</v>
      </c>
      <c r="BG750" s="27" t="s">
        <v>8</v>
      </c>
      <c r="BH750" s="27" t="s">
        <v>7</v>
      </c>
      <c r="BI750" s="27" t="s">
        <v>8</v>
      </c>
      <c r="BK750" s="27" t="s">
        <v>8</v>
      </c>
      <c r="BL750" s="27" t="s">
        <v>7</v>
      </c>
      <c r="BO750" s="27" t="s">
        <v>8</v>
      </c>
      <c r="BP750" s="27" t="s">
        <v>7</v>
      </c>
      <c r="BQ750" s="27" t="s">
        <v>8</v>
      </c>
      <c r="BR750" s="27" t="s">
        <v>7</v>
      </c>
      <c r="BS750" s="27" t="s">
        <v>8</v>
      </c>
      <c r="BT750" s="27" t="s">
        <v>7</v>
      </c>
      <c r="CA750" s="27" t="s">
        <v>8</v>
      </c>
      <c r="CB750" s="27" t="s">
        <v>7</v>
      </c>
      <c r="CC750" s="27" t="s">
        <v>8</v>
      </c>
      <c r="CD750" s="27" t="s">
        <v>7</v>
      </c>
      <c r="CI750" s="27" t="s">
        <v>8</v>
      </c>
      <c r="CJ750" s="27" t="s">
        <v>7</v>
      </c>
      <c r="CM750" s="27" t="s">
        <v>8</v>
      </c>
      <c r="CN750" s="27" t="s">
        <v>7</v>
      </c>
      <c r="CO750" s="27" t="s">
        <v>8</v>
      </c>
      <c r="CP750" s="27" t="s">
        <v>7</v>
      </c>
      <c r="CQ750" s="27" t="s">
        <v>8</v>
      </c>
      <c r="FJ750" s="27" t="s">
        <v>7</v>
      </c>
      <c r="FK750" s="27" t="s">
        <v>8</v>
      </c>
      <c r="FX750" s="27" t="s">
        <v>7</v>
      </c>
      <c r="GA750" s="27" t="s">
        <v>8</v>
      </c>
      <c r="GB750" s="27" t="s">
        <v>7</v>
      </c>
      <c r="GC750" s="27" t="s">
        <v>8</v>
      </c>
      <c r="GD750" s="27" t="s">
        <v>7</v>
      </c>
      <c r="GE750" s="27" t="s">
        <v>8</v>
      </c>
      <c r="GF750" s="27" t="s">
        <v>7</v>
      </c>
      <c r="GG750" s="27" t="s">
        <v>8</v>
      </c>
      <c r="GM750" s="27" t="s">
        <v>8</v>
      </c>
      <c r="GN750" s="27" t="s">
        <v>7</v>
      </c>
      <c r="GO750" s="27" t="s">
        <v>8</v>
      </c>
      <c r="GP750" s="27" t="s">
        <v>7</v>
      </c>
    </row>
    <row r="751" spans="1:201" x14ac:dyDescent="0.25">
      <c r="A751" s="7">
        <v>3.8866177616710372E-2</v>
      </c>
      <c r="B751"/>
      <c r="C751"/>
      <c r="D751"/>
      <c r="E751"/>
      <c r="BD751" s="27" t="s">
        <v>7</v>
      </c>
      <c r="BE751" s="27" t="s">
        <v>8</v>
      </c>
      <c r="BF751" s="27" t="s">
        <v>7</v>
      </c>
      <c r="BG751" s="27" t="s">
        <v>8</v>
      </c>
      <c r="BH751" s="27" t="s">
        <v>7</v>
      </c>
      <c r="BI751" s="27" t="s">
        <v>8</v>
      </c>
      <c r="BJ751" s="27" t="s">
        <v>7</v>
      </c>
      <c r="BK751" s="27" t="s">
        <v>8</v>
      </c>
      <c r="BL751" s="27" t="s">
        <v>7</v>
      </c>
      <c r="BO751" s="27" t="s">
        <v>8</v>
      </c>
      <c r="BP751" s="27" t="s">
        <v>7</v>
      </c>
      <c r="BQ751" s="27" t="s">
        <v>8</v>
      </c>
      <c r="BR751" s="27" t="s">
        <v>7</v>
      </c>
      <c r="BS751" s="27" t="s">
        <v>8</v>
      </c>
      <c r="BT751" s="27" t="s">
        <v>7</v>
      </c>
      <c r="CA751" s="27" t="s">
        <v>8</v>
      </c>
      <c r="CB751" s="27" t="s">
        <v>7</v>
      </c>
      <c r="CC751" s="27" t="s">
        <v>8</v>
      </c>
      <c r="CD751" s="27" t="s">
        <v>7</v>
      </c>
      <c r="CI751" s="27" t="s">
        <v>8</v>
      </c>
      <c r="CJ751" s="27" t="s">
        <v>7</v>
      </c>
      <c r="CM751" s="27" t="s">
        <v>8</v>
      </c>
      <c r="CN751" s="27" t="s">
        <v>7</v>
      </c>
      <c r="CO751" s="27" t="s">
        <v>8</v>
      </c>
      <c r="CP751" s="27" t="s">
        <v>7</v>
      </c>
      <c r="CQ751" s="27" t="s">
        <v>8</v>
      </c>
      <c r="FJ751" s="27" t="s">
        <v>7</v>
      </c>
      <c r="FK751" s="27" t="s">
        <v>8</v>
      </c>
      <c r="FX751" s="27" t="s">
        <v>7</v>
      </c>
      <c r="GA751" s="27" t="s">
        <v>8</v>
      </c>
      <c r="GB751" s="27" t="s">
        <v>7</v>
      </c>
      <c r="GC751" s="27" t="s">
        <v>8</v>
      </c>
      <c r="GD751" s="27" t="s">
        <v>7</v>
      </c>
      <c r="GE751" s="27" t="s">
        <v>8</v>
      </c>
      <c r="GF751" s="27" t="s">
        <v>7</v>
      </c>
      <c r="GG751" s="27" t="s">
        <v>8</v>
      </c>
      <c r="GH751" s="27" t="s">
        <v>7</v>
      </c>
      <c r="GM751" s="27" t="s">
        <v>8</v>
      </c>
      <c r="GN751" s="27" t="s">
        <v>7</v>
      </c>
      <c r="GO751" s="27" t="s">
        <v>8</v>
      </c>
    </row>
    <row r="752" spans="1:201" x14ac:dyDescent="0.25">
      <c r="A752" s="7">
        <v>3.8104095702657229E-2</v>
      </c>
      <c r="B752"/>
      <c r="C752"/>
      <c r="D752"/>
      <c r="E752"/>
      <c r="BD752" s="27" t="s">
        <v>7</v>
      </c>
      <c r="BE752" s="27" t="s">
        <v>8</v>
      </c>
      <c r="BF752" s="27" t="s">
        <v>7</v>
      </c>
      <c r="BG752" s="27" t="s">
        <v>8</v>
      </c>
      <c r="BH752" s="27" t="s">
        <v>7</v>
      </c>
      <c r="BI752" s="27" t="s">
        <v>8</v>
      </c>
      <c r="BJ752" s="27" t="s">
        <v>7</v>
      </c>
      <c r="BK752" s="27" t="s">
        <v>8</v>
      </c>
      <c r="BL752" s="27" t="s">
        <v>7</v>
      </c>
      <c r="BO752" s="27" t="s">
        <v>8</v>
      </c>
      <c r="BP752" s="27" t="s">
        <v>7</v>
      </c>
      <c r="BQ752" s="27" t="s">
        <v>8</v>
      </c>
      <c r="BR752" s="27" t="s">
        <v>7</v>
      </c>
      <c r="BS752" s="27" t="s">
        <v>8</v>
      </c>
      <c r="BT752" s="27" t="s">
        <v>7</v>
      </c>
      <c r="BW752" s="27" t="s">
        <v>8</v>
      </c>
      <c r="CA752" s="27" t="s">
        <v>8</v>
      </c>
      <c r="CB752" s="27" t="s">
        <v>7</v>
      </c>
      <c r="CC752" s="27" t="s">
        <v>8</v>
      </c>
      <c r="CD752" s="27" t="s">
        <v>7</v>
      </c>
      <c r="CI752" s="27" t="s">
        <v>8</v>
      </c>
      <c r="CJ752" s="27" t="s">
        <v>7</v>
      </c>
      <c r="CM752" s="27" t="s">
        <v>8</v>
      </c>
      <c r="CN752" s="27" t="s">
        <v>7</v>
      </c>
      <c r="CO752" s="27" t="s">
        <v>8</v>
      </c>
      <c r="CP752" s="27" t="s">
        <v>7</v>
      </c>
      <c r="CQ752" s="27" t="s">
        <v>8</v>
      </c>
      <c r="FJ752" s="27" t="s">
        <v>7</v>
      </c>
      <c r="FK752" s="27" t="s">
        <v>8</v>
      </c>
      <c r="FX752" s="27" t="s">
        <v>7</v>
      </c>
      <c r="GA752" s="27" t="s">
        <v>8</v>
      </c>
      <c r="GB752" s="27" t="s">
        <v>7</v>
      </c>
      <c r="GC752" s="27" t="s">
        <v>8</v>
      </c>
      <c r="GD752" s="27" t="s">
        <v>7</v>
      </c>
      <c r="GE752" s="27" t="s">
        <v>8</v>
      </c>
      <c r="GF752" s="27" t="s">
        <v>7</v>
      </c>
      <c r="GG752" s="27" t="s">
        <v>8</v>
      </c>
      <c r="GH752" s="27" t="s">
        <v>7</v>
      </c>
      <c r="GM752" s="27" t="s">
        <v>8</v>
      </c>
      <c r="GN752" s="27" t="s">
        <v>7</v>
      </c>
    </row>
    <row r="753" spans="1:195" x14ac:dyDescent="0.25">
      <c r="A753" s="7">
        <v>3.7356956571232579E-2</v>
      </c>
      <c r="B753"/>
      <c r="C753"/>
      <c r="D753"/>
      <c r="E753"/>
      <c r="BD753" s="27" t="s">
        <v>7</v>
      </c>
      <c r="BE753" s="27" t="s">
        <v>8</v>
      </c>
      <c r="BF753" s="27" t="s">
        <v>7</v>
      </c>
      <c r="BG753" s="27" t="s">
        <v>8</v>
      </c>
      <c r="BH753" s="27" t="s">
        <v>7</v>
      </c>
      <c r="BI753" s="27" t="s">
        <v>8</v>
      </c>
      <c r="BJ753" s="27" t="s">
        <v>7</v>
      </c>
      <c r="BK753" s="27" t="s">
        <v>8</v>
      </c>
      <c r="BL753" s="27" t="s">
        <v>7</v>
      </c>
      <c r="BO753" s="27" t="s">
        <v>8</v>
      </c>
      <c r="BP753" s="27" t="s">
        <v>7</v>
      </c>
      <c r="BQ753" s="27" t="s">
        <v>8</v>
      </c>
      <c r="BR753" s="27" t="s">
        <v>7</v>
      </c>
      <c r="BS753" s="27" t="s">
        <v>8</v>
      </c>
      <c r="BT753" s="27" t="s">
        <v>7</v>
      </c>
      <c r="BW753" s="27" t="s">
        <v>8</v>
      </c>
      <c r="BX753" s="27" t="s">
        <v>7</v>
      </c>
      <c r="BY753" s="27" t="s">
        <v>8</v>
      </c>
      <c r="CA753" s="27" t="s">
        <v>8</v>
      </c>
      <c r="CB753" s="27" t="s">
        <v>7</v>
      </c>
      <c r="CC753" s="27" t="s">
        <v>8</v>
      </c>
      <c r="CD753" s="27" t="s">
        <v>7</v>
      </c>
      <c r="CI753" s="27" t="s">
        <v>8</v>
      </c>
      <c r="CJ753" s="27" t="s">
        <v>7</v>
      </c>
      <c r="CK753" s="27" t="s">
        <v>8</v>
      </c>
      <c r="CM753" s="27" t="s">
        <v>8</v>
      </c>
      <c r="CN753" s="27" t="s">
        <v>7</v>
      </c>
      <c r="CO753" s="27" t="s">
        <v>8</v>
      </c>
      <c r="CP753" s="27" t="s">
        <v>7</v>
      </c>
      <c r="CQ753" s="27" t="s">
        <v>8</v>
      </c>
      <c r="FJ753" s="27" t="s">
        <v>7</v>
      </c>
      <c r="FK753" s="27" t="s">
        <v>8</v>
      </c>
      <c r="FX753" s="27" t="s">
        <v>7</v>
      </c>
      <c r="FY753" s="27" t="s">
        <v>8</v>
      </c>
      <c r="GA753" s="27" t="s">
        <v>8</v>
      </c>
      <c r="GB753" s="27" t="s">
        <v>7</v>
      </c>
      <c r="GC753" s="27" t="s">
        <v>8</v>
      </c>
      <c r="GD753" s="27" t="s">
        <v>7</v>
      </c>
      <c r="GE753" s="27" t="s">
        <v>8</v>
      </c>
      <c r="GF753" s="27" t="s">
        <v>7</v>
      </c>
      <c r="GG753" s="27" t="s">
        <v>8</v>
      </c>
      <c r="GH753" s="27" t="s">
        <v>7</v>
      </c>
      <c r="GM753" s="27" t="s">
        <v>8</v>
      </c>
    </row>
    <row r="754" spans="1:195" x14ac:dyDescent="0.25">
      <c r="A754" s="7">
        <v>3.6624467226698605E-2</v>
      </c>
      <c r="B754"/>
      <c r="C754"/>
      <c r="D754"/>
      <c r="E754"/>
      <c r="BD754" s="27" t="s">
        <v>7</v>
      </c>
      <c r="BE754" s="27" t="s">
        <v>8</v>
      </c>
      <c r="BF754" s="27" t="s">
        <v>7</v>
      </c>
      <c r="BG754" s="27" t="s">
        <v>8</v>
      </c>
      <c r="BH754" s="27" t="s">
        <v>7</v>
      </c>
      <c r="BI754" s="27" t="s">
        <v>8</v>
      </c>
      <c r="BJ754" s="27" t="s">
        <v>7</v>
      </c>
      <c r="BK754" s="27" t="s">
        <v>8</v>
      </c>
      <c r="BL754" s="27" t="s">
        <v>7</v>
      </c>
      <c r="BO754" s="27" t="s">
        <v>8</v>
      </c>
      <c r="BP754" s="27" t="s">
        <v>7</v>
      </c>
      <c r="BQ754" s="27" t="s">
        <v>8</v>
      </c>
      <c r="BR754" s="27" t="s">
        <v>7</v>
      </c>
      <c r="BS754" s="27" t="s">
        <v>8</v>
      </c>
      <c r="BT754" s="27" t="s">
        <v>7</v>
      </c>
      <c r="BW754" s="27" t="s">
        <v>8</v>
      </c>
      <c r="BX754" s="27" t="s">
        <v>7</v>
      </c>
      <c r="BY754" s="27" t="s">
        <v>8</v>
      </c>
      <c r="BZ754" s="27" t="s">
        <v>7</v>
      </c>
      <c r="CA754" s="27" t="s">
        <v>8</v>
      </c>
      <c r="CB754" s="27" t="s">
        <v>7</v>
      </c>
      <c r="CC754" s="27" t="s">
        <v>8</v>
      </c>
      <c r="CD754" s="27" t="s">
        <v>7</v>
      </c>
      <c r="CI754" s="27" t="s">
        <v>8</v>
      </c>
      <c r="CJ754" s="27" t="s">
        <v>7</v>
      </c>
      <c r="CK754" s="27" t="s">
        <v>8</v>
      </c>
      <c r="CL754" s="27" t="s">
        <v>7</v>
      </c>
      <c r="CM754" s="27" t="s">
        <v>8</v>
      </c>
      <c r="CN754" s="27" t="s">
        <v>7</v>
      </c>
      <c r="CO754" s="27" t="s">
        <v>8</v>
      </c>
      <c r="CP754" s="27" t="s">
        <v>7</v>
      </c>
      <c r="FJ754" s="27" t="s">
        <v>7</v>
      </c>
      <c r="FK754" s="27" t="s">
        <v>8</v>
      </c>
      <c r="FX754" s="27" t="s">
        <v>7</v>
      </c>
      <c r="FY754" s="27" t="s">
        <v>8</v>
      </c>
      <c r="FZ754" s="27" t="s">
        <v>7</v>
      </c>
      <c r="GA754" s="27" t="s">
        <v>8</v>
      </c>
      <c r="GB754" s="27" t="s">
        <v>7</v>
      </c>
      <c r="GC754" s="27" t="s">
        <v>8</v>
      </c>
      <c r="GD754" s="27" t="s">
        <v>7</v>
      </c>
      <c r="GF754" s="27" t="s">
        <v>7</v>
      </c>
      <c r="GG754" s="27" t="s">
        <v>8</v>
      </c>
      <c r="GH754" s="27" t="s">
        <v>7</v>
      </c>
      <c r="GI754" s="27" t="s">
        <v>8</v>
      </c>
      <c r="GM754" s="27" t="s">
        <v>8</v>
      </c>
    </row>
    <row r="755" spans="1:195" x14ac:dyDescent="0.25">
      <c r="A755" s="7">
        <v>3.5906340418331961E-2</v>
      </c>
      <c r="B755"/>
      <c r="C755"/>
      <c r="D755"/>
      <c r="E755"/>
      <c r="BD755" s="27" t="s">
        <v>7</v>
      </c>
      <c r="BE755" s="27" t="s">
        <v>8</v>
      </c>
      <c r="BF755" s="27" t="s">
        <v>7</v>
      </c>
      <c r="BG755" s="27" t="s">
        <v>8</v>
      </c>
      <c r="BH755" s="27" t="s">
        <v>7</v>
      </c>
      <c r="BI755" s="27" t="s">
        <v>8</v>
      </c>
      <c r="BJ755" s="27" t="s">
        <v>7</v>
      </c>
      <c r="BK755" s="27" t="s">
        <v>8</v>
      </c>
      <c r="BL755" s="27" t="s">
        <v>7</v>
      </c>
      <c r="BM755" s="27" t="s">
        <v>8</v>
      </c>
      <c r="BO755" s="27" t="s">
        <v>8</v>
      </c>
      <c r="BP755" s="27" t="s">
        <v>7</v>
      </c>
      <c r="BQ755" s="27" t="s">
        <v>8</v>
      </c>
      <c r="BR755" s="27" t="s">
        <v>7</v>
      </c>
      <c r="BS755" s="27" t="s">
        <v>8</v>
      </c>
      <c r="BT755" s="27" t="s">
        <v>7</v>
      </c>
      <c r="BU755" s="27" t="s">
        <v>8</v>
      </c>
      <c r="BW755" s="27" t="s">
        <v>8</v>
      </c>
      <c r="BX755" s="27" t="s">
        <v>7</v>
      </c>
      <c r="BY755" s="27" t="s">
        <v>8</v>
      </c>
      <c r="BZ755" s="27" t="s">
        <v>7</v>
      </c>
      <c r="CA755" s="27" t="s">
        <v>8</v>
      </c>
      <c r="CB755" s="27" t="s">
        <v>7</v>
      </c>
      <c r="CC755" s="27" t="s">
        <v>8</v>
      </c>
      <c r="CD755" s="27" t="s">
        <v>7</v>
      </c>
      <c r="CI755" s="27" t="s">
        <v>8</v>
      </c>
      <c r="CJ755" s="27" t="s">
        <v>7</v>
      </c>
      <c r="CK755" s="27" t="s">
        <v>8</v>
      </c>
      <c r="CL755" s="27" t="s">
        <v>7</v>
      </c>
      <c r="CM755" s="27" t="s">
        <v>8</v>
      </c>
      <c r="CN755" s="27" t="s">
        <v>7</v>
      </c>
      <c r="FJ755" s="27" t="s">
        <v>7</v>
      </c>
      <c r="FK755" s="27" t="s">
        <v>8</v>
      </c>
      <c r="FX755" s="27" t="s">
        <v>7</v>
      </c>
      <c r="FY755" s="27" t="s">
        <v>8</v>
      </c>
      <c r="FZ755" s="27" t="s">
        <v>7</v>
      </c>
      <c r="GA755" s="27" t="s">
        <v>8</v>
      </c>
      <c r="GB755" s="27" t="s">
        <v>7</v>
      </c>
      <c r="GC755" s="27" t="s">
        <v>8</v>
      </c>
      <c r="GF755" s="27" t="s">
        <v>7</v>
      </c>
      <c r="GH755" s="27" t="s">
        <v>7</v>
      </c>
      <c r="GI755" s="27" t="s">
        <v>8</v>
      </c>
      <c r="GJ755" s="27" t="s">
        <v>7</v>
      </c>
      <c r="GM755" s="27" t="s">
        <v>8</v>
      </c>
    </row>
    <row r="756" spans="1:195" x14ac:dyDescent="0.25">
      <c r="A756" s="7">
        <v>3.5202294527776436E-2</v>
      </c>
      <c r="B756"/>
      <c r="C756"/>
      <c r="D756"/>
      <c r="E756"/>
      <c r="BD756" s="27" t="s">
        <v>7</v>
      </c>
      <c r="BE756" s="27" t="s">
        <v>8</v>
      </c>
      <c r="BF756" s="27" t="s">
        <v>7</v>
      </c>
      <c r="BG756" s="27" t="s">
        <v>8</v>
      </c>
      <c r="BH756" s="27" t="s">
        <v>7</v>
      </c>
      <c r="BI756" s="27" t="s">
        <v>8</v>
      </c>
      <c r="BJ756" s="27" t="s">
        <v>7</v>
      </c>
      <c r="BK756" s="27" t="s">
        <v>8</v>
      </c>
      <c r="BL756" s="27" t="s">
        <v>7</v>
      </c>
      <c r="BM756" s="27" t="s">
        <v>8</v>
      </c>
      <c r="BN756" s="27" t="s">
        <v>7</v>
      </c>
      <c r="BO756" s="27" t="s">
        <v>8</v>
      </c>
      <c r="BP756" s="27" t="s">
        <v>7</v>
      </c>
      <c r="BQ756" s="27" t="s">
        <v>8</v>
      </c>
      <c r="BR756" s="27" t="s">
        <v>7</v>
      </c>
      <c r="BS756" s="27" t="s">
        <v>8</v>
      </c>
      <c r="BT756" s="27" t="s">
        <v>7</v>
      </c>
      <c r="BU756" s="27" t="s">
        <v>8</v>
      </c>
      <c r="BV756" s="27" t="s">
        <v>7</v>
      </c>
      <c r="BW756" s="27" t="s">
        <v>8</v>
      </c>
      <c r="BX756" s="27" t="s">
        <v>7</v>
      </c>
      <c r="BY756" s="27" t="s">
        <v>8</v>
      </c>
      <c r="BZ756" s="27" t="s">
        <v>7</v>
      </c>
      <c r="CA756" s="27" t="s">
        <v>8</v>
      </c>
      <c r="CB756" s="27" t="s">
        <v>7</v>
      </c>
      <c r="CC756" s="27" t="s">
        <v>8</v>
      </c>
      <c r="CD756" s="27" t="s">
        <v>7</v>
      </c>
      <c r="CI756" s="27" t="s">
        <v>8</v>
      </c>
      <c r="CJ756" s="27" t="s">
        <v>7</v>
      </c>
      <c r="CK756" s="27" t="s">
        <v>8</v>
      </c>
      <c r="CL756" s="27" t="s">
        <v>7</v>
      </c>
      <c r="CM756" s="27" t="s">
        <v>8</v>
      </c>
      <c r="FJ756" s="27" t="s">
        <v>7</v>
      </c>
      <c r="FK756" s="27" t="s">
        <v>8</v>
      </c>
      <c r="FX756" s="27" t="s">
        <v>7</v>
      </c>
      <c r="FY756" s="27" t="s">
        <v>8</v>
      </c>
      <c r="FZ756" s="27" t="s">
        <v>7</v>
      </c>
      <c r="GA756" s="27" t="s">
        <v>8</v>
      </c>
      <c r="GB756" s="27" t="s">
        <v>7</v>
      </c>
      <c r="GH756" s="27" t="s">
        <v>7</v>
      </c>
      <c r="GI756" s="27" t="s">
        <v>8</v>
      </c>
      <c r="GJ756" s="27" t="s">
        <v>7</v>
      </c>
      <c r="GM756" s="27" t="s">
        <v>8</v>
      </c>
    </row>
    <row r="757" spans="1:195" x14ac:dyDescent="0.25">
      <c r="A757" s="7">
        <v>3.451205345860435E-2</v>
      </c>
      <c r="B757"/>
      <c r="C757"/>
      <c r="D757"/>
      <c r="E757"/>
      <c r="BD757" s="27" t="s">
        <v>7</v>
      </c>
      <c r="BE757" s="27" t="s">
        <v>8</v>
      </c>
      <c r="BF757" s="27" t="s">
        <v>7</v>
      </c>
      <c r="BG757" s="27" t="s">
        <v>8</v>
      </c>
      <c r="BH757" s="27" t="s">
        <v>7</v>
      </c>
      <c r="BI757" s="27" t="s">
        <v>8</v>
      </c>
      <c r="BJ757" s="27" t="s">
        <v>7</v>
      </c>
      <c r="BK757" s="27" t="s">
        <v>8</v>
      </c>
      <c r="BL757" s="27" t="s">
        <v>7</v>
      </c>
      <c r="BM757" s="27" t="s">
        <v>8</v>
      </c>
      <c r="BN757" s="27" t="s">
        <v>7</v>
      </c>
      <c r="BO757" s="27" t="s">
        <v>8</v>
      </c>
      <c r="BP757" s="27" t="s">
        <v>7</v>
      </c>
      <c r="BR757" s="27" t="s">
        <v>7</v>
      </c>
      <c r="BS757" s="27" t="s">
        <v>8</v>
      </c>
      <c r="BT757" s="27" t="s">
        <v>7</v>
      </c>
      <c r="BU757" s="27" t="s">
        <v>8</v>
      </c>
      <c r="BV757" s="27" t="s">
        <v>7</v>
      </c>
      <c r="BW757" s="27" t="s">
        <v>8</v>
      </c>
      <c r="BX757" s="27" t="s">
        <v>7</v>
      </c>
      <c r="BY757" s="27" t="s">
        <v>8</v>
      </c>
      <c r="BZ757" s="27" t="s">
        <v>7</v>
      </c>
      <c r="CA757" s="27" t="s">
        <v>8</v>
      </c>
      <c r="CB757" s="27" t="s">
        <v>7</v>
      </c>
      <c r="CC757" s="27" t="s">
        <v>8</v>
      </c>
      <c r="CD757" s="27" t="s">
        <v>7</v>
      </c>
      <c r="CE757" s="27" t="s">
        <v>8</v>
      </c>
      <c r="CG757" s="27" t="s">
        <v>8</v>
      </c>
      <c r="CI757" s="27" t="s">
        <v>8</v>
      </c>
      <c r="CJ757" s="27" t="s">
        <v>7</v>
      </c>
      <c r="CL757" s="27" t="s">
        <v>7</v>
      </c>
      <c r="CM757" s="27" t="s">
        <v>8</v>
      </c>
      <c r="FJ757" s="27" t="s">
        <v>7</v>
      </c>
      <c r="FX757" s="27" t="s">
        <v>7</v>
      </c>
      <c r="FY757" s="27" t="s">
        <v>8</v>
      </c>
      <c r="FZ757" s="27" t="s">
        <v>7</v>
      </c>
      <c r="GA757" s="27" t="s">
        <v>8</v>
      </c>
      <c r="GH757" s="27" t="s">
        <v>7</v>
      </c>
      <c r="GJ757" s="27" t="s">
        <v>7</v>
      </c>
      <c r="GK757" s="27" t="s">
        <v>8</v>
      </c>
      <c r="GM757" s="27" t="s">
        <v>8</v>
      </c>
    </row>
    <row r="758" spans="1:195" x14ac:dyDescent="0.25">
      <c r="A758" s="7">
        <v>3.3835346528043479E-2</v>
      </c>
      <c r="B758"/>
      <c r="C758"/>
      <c r="D758"/>
      <c r="E758"/>
      <c r="BD758" s="27" t="s">
        <v>7</v>
      </c>
      <c r="BE758" s="27" t="s">
        <v>8</v>
      </c>
      <c r="BF758" s="27" t="s">
        <v>7</v>
      </c>
      <c r="BG758" s="27" t="s">
        <v>8</v>
      </c>
      <c r="BH758" s="27" t="s">
        <v>7</v>
      </c>
      <c r="BI758" s="27" t="s">
        <v>8</v>
      </c>
      <c r="BJ758" s="27" t="s">
        <v>7</v>
      </c>
      <c r="BK758" s="27" t="s">
        <v>8</v>
      </c>
      <c r="BL758" s="27" t="s">
        <v>7</v>
      </c>
      <c r="BM758" s="27" t="s">
        <v>8</v>
      </c>
      <c r="BN758" s="27" t="s">
        <v>7</v>
      </c>
      <c r="BO758" s="27" t="s">
        <v>8</v>
      </c>
      <c r="BR758" s="27" t="s">
        <v>7</v>
      </c>
      <c r="BS758" s="27" t="s">
        <v>8</v>
      </c>
      <c r="BT758" s="27" t="s">
        <v>7</v>
      </c>
      <c r="BU758" s="27" t="s">
        <v>8</v>
      </c>
      <c r="BV758" s="27" t="s">
        <v>7</v>
      </c>
      <c r="BW758" s="27" t="s">
        <v>8</v>
      </c>
      <c r="BX758" s="27" t="s">
        <v>7</v>
      </c>
      <c r="BY758" s="27" t="s">
        <v>8</v>
      </c>
      <c r="BZ758" s="27" t="s">
        <v>7</v>
      </c>
      <c r="CA758" s="27" t="s">
        <v>8</v>
      </c>
      <c r="CB758" s="27" t="s">
        <v>7</v>
      </c>
      <c r="CC758" s="27" t="s">
        <v>8</v>
      </c>
      <c r="CD758" s="27" t="s">
        <v>7</v>
      </c>
      <c r="CE758" s="27" t="s">
        <v>8</v>
      </c>
      <c r="CF758" s="27" t="s">
        <v>7</v>
      </c>
      <c r="CG758" s="27" t="s">
        <v>8</v>
      </c>
      <c r="CH758" s="27" t="s">
        <v>7</v>
      </c>
      <c r="CI758" s="27" t="s">
        <v>8</v>
      </c>
      <c r="CL758" s="27" t="s">
        <v>7</v>
      </c>
      <c r="CM758" s="27" t="s">
        <v>8</v>
      </c>
      <c r="FX758" s="27" t="s">
        <v>7</v>
      </c>
      <c r="FY758" s="27" t="s">
        <v>8</v>
      </c>
      <c r="FZ758" s="27" t="s">
        <v>7</v>
      </c>
      <c r="GA758" s="27" t="s">
        <v>8</v>
      </c>
      <c r="GJ758" s="27" t="s">
        <v>7</v>
      </c>
      <c r="GK758" s="27" t="s">
        <v>8</v>
      </c>
      <c r="GL758" s="27" t="s">
        <v>7</v>
      </c>
      <c r="GM758" s="27" t="s">
        <v>8</v>
      </c>
    </row>
    <row r="759" spans="1:195" x14ac:dyDescent="0.25">
      <c r="A759" s="7">
        <v>3.3171908360826938E-2</v>
      </c>
      <c r="B759"/>
      <c r="C759"/>
      <c r="D759"/>
      <c r="E759"/>
      <c r="BD759" s="27" t="s">
        <v>7</v>
      </c>
      <c r="BE759" s="27" t="s">
        <v>8</v>
      </c>
      <c r="BF759" s="27" t="s">
        <v>7</v>
      </c>
      <c r="BG759" s="27" t="s">
        <v>8</v>
      </c>
      <c r="BH759" s="27" t="s">
        <v>7</v>
      </c>
      <c r="BI759" s="27" t="s">
        <v>8</v>
      </c>
      <c r="BJ759" s="27" t="s">
        <v>7</v>
      </c>
      <c r="BK759" s="27" t="s">
        <v>8</v>
      </c>
      <c r="BL759" s="27" t="s">
        <v>7</v>
      </c>
      <c r="BM759" s="27" t="s">
        <v>8</v>
      </c>
      <c r="BN759" s="27" t="s">
        <v>7</v>
      </c>
      <c r="BO759" s="27" t="s">
        <v>8</v>
      </c>
      <c r="BR759" s="27" t="s">
        <v>7</v>
      </c>
      <c r="BT759" s="27" t="s">
        <v>7</v>
      </c>
      <c r="BU759" s="27" t="s">
        <v>8</v>
      </c>
      <c r="BV759" s="27" t="s">
        <v>7</v>
      </c>
      <c r="BW759" s="27" t="s">
        <v>8</v>
      </c>
      <c r="BX759" s="27" t="s">
        <v>7</v>
      </c>
      <c r="BZ759" s="27" t="s">
        <v>7</v>
      </c>
      <c r="CA759" s="27" t="s">
        <v>8</v>
      </c>
      <c r="CB759" s="27" t="s">
        <v>7</v>
      </c>
      <c r="CC759" s="27" t="s">
        <v>8</v>
      </c>
      <c r="CD759" s="27" t="s">
        <v>7</v>
      </c>
      <c r="CE759" s="27" t="s">
        <v>8</v>
      </c>
      <c r="CF759" s="27" t="s">
        <v>7</v>
      </c>
      <c r="CG759" s="27" t="s">
        <v>8</v>
      </c>
      <c r="CH759" s="27" t="s">
        <v>7</v>
      </c>
      <c r="CI759" s="27" t="s">
        <v>8</v>
      </c>
      <c r="CL759" s="27" t="s">
        <v>7</v>
      </c>
      <c r="CM759" s="27" t="s">
        <v>8</v>
      </c>
      <c r="FX759" s="27" t="s">
        <v>7</v>
      </c>
      <c r="FY759" s="27" t="s">
        <v>8</v>
      </c>
      <c r="FZ759" s="27" t="s">
        <v>7</v>
      </c>
      <c r="GA759" s="27" t="s">
        <v>8</v>
      </c>
      <c r="GJ759" s="27" t="s">
        <v>7</v>
      </c>
      <c r="GK759" s="27" t="s">
        <v>8</v>
      </c>
      <c r="GL759" s="27" t="s">
        <v>7</v>
      </c>
      <c r="GM759" s="27" t="s">
        <v>8</v>
      </c>
    </row>
    <row r="760" spans="1:195" x14ac:dyDescent="0.25">
      <c r="A760" s="7">
        <v>3.2521478785124451E-2</v>
      </c>
      <c r="B760"/>
      <c r="C760"/>
      <c r="D760"/>
      <c r="E760"/>
      <c r="BD760" s="27" t="s">
        <v>7</v>
      </c>
      <c r="BF760" s="27" t="s">
        <v>7</v>
      </c>
      <c r="BH760" s="27" t="s">
        <v>7</v>
      </c>
      <c r="BJ760" s="27" t="s">
        <v>7</v>
      </c>
      <c r="BK760" s="27" t="s">
        <v>8</v>
      </c>
      <c r="BL760" s="27" t="s">
        <v>7</v>
      </c>
      <c r="BM760" s="27" t="s">
        <v>8</v>
      </c>
      <c r="BN760" s="27" t="s">
        <v>7</v>
      </c>
      <c r="BO760" s="27" t="s">
        <v>8</v>
      </c>
      <c r="BT760" s="27" t="s">
        <v>7</v>
      </c>
      <c r="BV760" s="27" t="s">
        <v>7</v>
      </c>
      <c r="BW760" s="27" t="s">
        <v>8</v>
      </c>
      <c r="BZ760" s="27" t="s">
        <v>7</v>
      </c>
      <c r="CA760" s="27" t="s">
        <v>8</v>
      </c>
      <c r="CB760" s="27" t="s">
        <v>7</v>
      </c>
      <c r="CC760" s="27" t="s">
        <v>8</v>
      </c>
      <c r="CD760" s="27" t="s">
        <v>7</v>
      </c>
      <c r="CE760" s="27" t="s">
        <v>8</v>
      </c>
      <c r="CF760" s="27" t="s">
        <v>7</v>
      </c>
      <c r="CG760" s="27" t="s">
        <v>8</v>
      </c>
      <c r="CH760" s="27" t="s">
        <v>7</v>
      </c>
      <c r="CI760" s="27" t="s">
        <v>8</v>
      </c>
      <c r="CL760" s="27" t="s">
        <v>7</v>
      </c>
      <c r="CM760" s="27" t="s">
        <v>8</v>
      </c>
      <c r="FX760" s="27" t="s">
        <v>7</v>
      </c>
      <c r="FY760" s="27" t="s">
        <v>8</v>
      </c>
      <c r="FZ760" s="27" t="s">
        <v>7</v>
      </c>
      <c r="GA760" s="27" t="s">
        <v>8</v>
      </c>
      <c r="GJ760" s="27" t="s">
        <v>7</v>
      </c>
      <c r="GL760" s="27" t="s">
        <v>7</v>
      </c>
      <c r="GM760" s="27" t="s">
        <v>8</v>
      </c>
    </row>
    <row r="761" spans="1:195" x14ac:dyDescent="0.25">
      <c r="A761" s="7">
        <v>3.1883802730514173E-2</v>
      </c>
      <c r="B761"/>
      <c r="C761"/>
      <c r="D761"/>
      <c r="E761"/>
      <c r="BJ761" s="27" t="s">
        <v>7</v>
      </c>
      <c r="BK761" s="27" t="s">
        <v>8</v>
      </c>
      <c r="BL761" s="27" t="s">
        <v>7</v>
      </c>
      <c r="BM761" s="27" t="s">
        <v>8</v>
      </c>
      <c r="BN761" s="27" t="s">
        <v>7</v>
      </c>
      <c r="BO761" s="27" t="s">
        <v>8</v>
      </c>
      <c r="BV761" s="27" t="s">
        <v>7</v>
      </c>
      <c r="BW761" s="27" t="s">
        <v>8</v>
      </c>
      <c r="BZ761" s="27" t="s">
        <v>7</v>
      </c>
      <c r="CA761" s="27" t="s">
        <v>8</v>
      </c>
      <c r="CB761" s="27" t="s">
        <v>7</v>
      </c>
      <c r="CC761" s="27" t="s">
        <v>8</v>
      </c>
      <c r="CD761" s="27" t="s">
        <v>7</v>
      </c>
      <c r="CE761" s="27" t="s">
        <v>8</v>
      </c>
      <c r="CF761" s="27" t="s">
        <v>7</v>
      </c>
      <c r="CH761" s="27" t="s">
        <v>7</v>
      </c>
      <c r="CL761" s="27" t="s">
        <v>7</v>
      </c>
      <c r="CM761" s="27" t="s">
        <v>8</v>
      </c>
      <c r="FX761" s="27" t="s">
        <v>7</v>
      </c>
      <c r="FY761" s="27" t="s">
        <v>8</v>
      </c>
      <c r="FZ761" s="27" t="s">
        <v>7</v>
      </c>
      <c r="GA761" s="27" t="s">
        <v>8</v>
      </c>
      <c r="GL761" s="27" t="s">
        <v>7</v>
      </c>
      <c r="GM761" s="27" t="s">
        <v>8</v>
      </c>
    </row>
    <row r="762" spans="1:195" x14ac:dyDescent="0.25">
      <c r="A762" s="7">
        <v>3.1258630127955073E-2</v>
      </c>
      <c r="B762"/>
      <c r="C762"/>
      <c r="D762"/>
      <c r="E762"/>
      <c r="BJ762" s="27" t="s">
        <v>7</v>
      </c>
      <c r="BK762" s="27" t="s">
        <v>8</v>
      </c>
      <c r="BL762" s="27" t="s">
        <v>7</v>
      </c>
      <c r="BM762" s="27" t="s">
        <v>8</v>
      </c>
      <c r="BN762" s="27" t="s">
        <v>7</v>
      </c>
      <c r="BV762" s="27" t="s">
        <v>7</v>
      </c>
      <c r="BZ762" s="27" t="s">
        <v>7</v>
      </c>
      <c r="CA762" s="27" t="s">
        <v>8</v>
      </c>
      <c r="CB762" s="27" t="s">
        <v>7</v>
      </c>
      <c r="CC762" s="27" t="s">
        <v>8</v>
      </c>
      <c r="CD762" s="27" t="s">
        <v>7</v>
      </c>
      <c r="CE762" s="27" t="s">
        <v>8</v>
      </c>
      <c r="CL762" s="27" t="s">
        <v>7</v>
      </c>
      <c r="FX762" s="27" t="s">
        <v>7</v>
      </c>
      <c r="FY762" s="27" t="s">
        <v>8</v>
      </c>
      <c r="FZ762" s="27" t="s">
        <v>7</v>
      </c>
      <c r="GA762" s="27" t="s">
        <v>8</v>
      </c>
      <c r="GL762" s="27" t="s">
        <v>7</v>
      </c>
      <c r="GM762" s="27" t="s">
        <v>8</v>
      </c>
    </row>
    <row r="763" spans="1:195" x14ac:dyDescent="0.25">
      <c r="A763" s="7">
        <v>3.064571581172066E-2</v>
      </c>
      <c r="B763"/>
      <c r="C763"/>
      <c r="D763"/>
      <c r="E763"/>
      <c r="BJ763" s="27" t="s">
        <v>7</v>
      </c>
      <c r="BK763" s="27" t="s">
        <v>8</v>
      </c>
      <c r="BL763" s="27" t="s">
        <v>7</v>
      </c>
      <c r="BM763" s="27" t="s">
        <v>8</v>
      </c>
      <c r="BZ763" s="27" t="s">
        <v>7</v>
      </c>
      <c r="CA763" s="27" t="s">
        <v>8</v>
      </c>
      <c r="CB763" s="27" t="s">
        <v>7</v>
      </c>
      <c r="CC763" s="27" t="s">
        <v>8</v>
      </c>
      <c r="CD763" s="27" t="s">
        <v>7</v>
      </c>
      <c r="CE763" s="27" t="s">
        <v>8</v>
      </c>
      <c r="FX763" s="27" t="s">
        <v>7</v>
      </c>
      <c r="FY763" s="27" t="s">
        <v>8</v>
      </c>
      <c r="FZ763" s="27" t="s">
        <v>7</v>
      </c>
      <c r="GA763" s="27" t="s">
        <v>8</v>
      </c>
      <c r="GL763" s="27" t="s">
        <v>7</v>
      </c>
      <c r="GM763" s="27" t="s">
        <v>8</v>
      </c>
    </row>
    <row r="764" spans="1:195" x14ac:dyDescent="0.25">
      <c r="A764" s="7">
        <v>3.0044819423255549E-2</v>
      </c>
      <c r="B764"/>
      <c r="C764"/>
      <c r="D764"/>
      <c r="E764"/>
      <c r="BJ764" s="27" t="s">
        <v>7</v>
      </c>
      <c r="BK764" s="27" t="s">
        <v>8</v>
      </c>
      <c r="BL764" s="27" t="s">
        <v>7</v>
      </c>
      <c r="BZ764" s="27" t="s">
        <v>7</v>
      </c>
      <c r="CA764" s="27" t="s">
        <v>8</v>
      </c>
      <c r="CB764" s="27" t="s">
        <v>7</v>
      </c>
      <c r="CC764" s="27" t="s">
        <v>8</v>
      </c>
      <c r="CD764" s="27" t="s">
        <v>7</v>
      </c>
      <c r="CE764" s="27" t="s">
        <v>8</v>
      </c>
      <c r="FX764" s="27" t="s">
        <v>7</v>
      </c>
      <c r="FY764" s="27" t="s">
        <v>8</v>
      </c>
      <c r="FZ764" s="27" t="s">
        <v>7</v>
      </c>
      <c r="GA764" s="27" t="s">
        <v>8</v>
      </c>
      <c r="GL764" s="18" t="s">
        <v>7</v>
      </c>
      <c r="GM764" s="27" t="s">
        <v>8</v>
      </c>
    </row>
    <row r="765" spans="1:195" x14ac:dyDescent="0.25">
      <c r="A765" s="7">
        <v>2.9455705316917203E-2</v>
      </c>
      <c r="B765"/>
      <c r="C765"/>
      <c r="D765"/>
      <c r="E765"/>
      <c r="BJ765" s="27" t="s">
        <v>7</v>
      </c>
      <c r="BK765" s="27" t="s">
        <v>8</v>
      </c>
      <c r="BZ765" s="27" t="s">
        <v>7</v>
      </c>
      <c r="CB765" s="27" t="s">
        <v>7</v>
      </c>
      <c r="CC765" s="27" t="s">
        <v>8</v>
      </c>
      <c r="CD765" s="27" t="s">
        <v>7</v>
      </c>
      <c r="CE765" s="27" t="s">
        <v>8</v>
      </c>
      <c r="FX765" s="27" t="s">
        <v>7</v>
      </c>
      <c r="FY765" s="27" t="s">
        <v>8</v>
      </c>
      <c r="FZ765" s="27" t="s">
        <v>7</v>
      </c>
      <c r="GA765" s="27" t="s">
        <v>8</v>
      </c>
      <c r="GL765" s="27" t="s">
        <v>7</v>
      </c>
      <c r="GM765" s="27" t="s">
        <v>8</v>
      </c>
    </row>
    <row r="766" spans="1:195" x14ac:dyDescent="0.25">
      <c r="A766" s="7">
        <v>2.8878142467565884E-2</v>
      </c>
      <c r="B766"/>
      <c r="C766"/>
      <c r="D766"/>
      <c r="E766"/>
      <c r="BJ766" s="27" t="s">
        <v>7</v>
      </c>
      <c r="BK766" s="27" t="s">
        <v>8</v>
      </c>
      <c r="CB766" s="27" t="s">
        <v>7</v>
      </c>
      <c r="CC766" s="27" t="s">
        <v>8</v>
      </c>
      <c r="CD766" s="27" t="s">
        <v>7</v>
      </c>
      <c r="CE766" s="27" t="s">
        <v>8</v>
      </c>
      <c r="FX766" s="27" t="s">
        <v>7</v>
      </c>
      <c r="FY766" s="27" t="s">
        <v>8</v>
      </c>
      <c r="FZ766" s="27" t="s">
        <v>7</v>
      </c>
      <c r="GA766" s="27" t="s">
        <v>8</v>
      </c>
      <c r="GL766" s="27" t="s">
        <v>7</v>
      </c>
      <c r="GM766" s="27" t="s">
        <v>8</v>
      </c>
    </row>
    <row r="767" spans="1:195" x14ac:dyDescent="0.25">
      <c r="A767" s="7">
        <v>2.8311904379966554E-2</v>
      </c>
      <c r="B767"/>
      <c r="C767"/>
      <c r="D767"/>
      <c r="E767"/>
      <c r="BJ767" s="27" t="s">
        <v>7</v>
      </c>
      <c r="BK767" s="27" t="s">
        <v>8</v>
      </c>
      <c r="CB767" s="27" t="s">
        <v>7</v>
      </c>
      <c r="CC767" s="27" t="s">
        <v>8</v>
      </c>
      <c r="CD767" s="27" t="s">
        <v>7</v>
      </c>
      <c r="FX767" s="27" t="s">
        <v>7</v>
      </c>
      <c r="FY767" s="27" t="s">
        <v>8</v>
      </c>
      <c r="FZ767" s="27" t="s">
        <v>7</v>
      </c>
      <c r="GL767" s="27" t="s">
        <v>7</v>
      </c>
    </row>
    <row r="768" spans="1:195" x14ac:dyDescent="0.25">
      <c r="A768" s="7">
        <v>2.7756768999967207E-2</v>
      </c>
      <c r="B768"/>
      <c r="C768"/>
      <c r="D768"/>
      <c r="E768"/>
      <c r="BJ768" s="27" t="s">
        <v>7</v>
      </c>
      <c r="BK768" s="27" t="s">
        <v>8</v>
      </c>
      <c r="CB768" s="27" t="s">
        <v>7</v>
      </c>
      <c r="CC768" s="27" t="s">
        <v>8</v>
      </c>
      <c r="FX768" s="27" t="s">
        <v>7</v>
      </c>
      <c r="FY768" s="27" t="s">
        <v>8</v>
      </c>
    </row>
    <row r="769" spans="1:180" x14ac:dyDescent="0.25">
      <c r="A769" s="7">
        <v>2.7212518627418834E-2</v>
      </c>
      <c r="B769"/>
      <c r="C769"/>
      <c r="D769"/>
      <c r="E769"/>
      <c r="BJ769" s="27" t="s">
        <v>7</v>
      </c>
      <c r="CB769" s="27" t="s">
        <v>7</v>
      </c>
      <c r="CC769" s="27" t="s">
        <v>8</v>
      </c>
      <c r="FX769" s="27" t="s">
        <v>7</v>
      </c>
    </row>
    <row r="770" spans="1:180" x14ac:dyDescent="0.25">
      <c r="A770" s="7">
        <v>2.6678939830802779E-2</v>
      </c>
      <c r="B770"/>
      <c r="C770"/>
      <c r="D770"/>
      <c r="E770"/>
      <c r="CB770" s="27" t="s">
        <v>7</v>
      </c>
    </row>
    <row r="771" spans="1:180" x14ac:dyDescent="0.25">
      <c r="A771" s="7">
        <v>2.615582336353214E-2</v>
      </c>
      <c r="B771"/>
      <c r="C771"/>
      <c r="D771"/>
      <c r="E771"/>
    </row>
    <row r="772" spans="1:180" x14ac:dyDescent="0.25">
      <c r="A772" s="7">
        <v>2.5642964081894253E-2</v>
      </c>
      <c r="B772"/>
      <c r="C772"/>
      <c r="D772"/>
      <c r="E772"/>
    </row>
    <row r="773" spans="1:180" x14ac:dyDescent="0.25">
      <c r="A773" s="7">
        <v>2.5140160864602207E-2</v>
      </c>
      <c r="B773"/>
      <c r="C773"/>
      <c r="D773"/>
      <c r="E773"/>
    </row>
    <row r="774" spans="1:180" x14ac:dyDescent="0.25">
      <c r="A774" s="7">
        <v>2.4647216533923735E-2</v>
      </c>
      <c r="B774"/>
      <c r="C774"/>
      <c r="D774"/>
      <c r="E774"/>
    </row>
    <row r="775" spans="1:180" x14ac:dyDescent="0.25">
      <c r="A775" s="7">
        <v>2.4163937778356601E-2</v>
      </c>
      <c r="B775"/>
      <c r="C775"/>
      <c r="D775"/>
      <c r="E775"/>
    </row>
    <row r="776" spans="1:180" x14ac:dyDescent="0.25">
      <c r="A776" s="7">
        <v>2.3690135076820197E-2</v>
      </c>
      <c r="B776"/>
      <c r="C776"/>
      <c r="D776"/>
      <c r="E776"/>
    </row>
    <row r="777" spans="1:180" x14ac:dyDescent="0.25">
      <c r="A777" s="7">
        <v>2.3225622624333527E-2</v>
      </c>
      <c r="B777"/>
      <c r="C777"/>
      <c r="D777"/>
      <c r="E777"/>
    </row>
    <row r="778" spans="1:180" x14ac:dyDescent="0.25">
      <c r="A778" s="7">
        <v>2.2770218259150519E-2</v>
      </c>
      <c r="B778"/>
      <c r="C778"/>
      <c r="D778"/>
      <c r="E778"/>
    </row>
    <row r="779" spans="1:180" x14ac:dyDescent="0.25">
      <c r="A779" s="7">
        <v>2.2323743391324039E-2</v>
      </c>
      <c r="B779"/>
      <c r="C779"/>
      <c r="D779"/>
      <c r="E779"/>
    </row>
    <row r="780" spans="1:180" x14ac:dyDescent="0.25">
      <c r="A780" s="7">
        <v>2.188602293267063E-2</v>
      </c>
      <c r="B780"/>
      <c r="C780"/>
      <c r="D780"/>
      <c r="E780"/>
    </row>
    <row r="781" spans="1:180" x14ac:dyDescent="0.25">
      <c r="A781" s="7">
        <v>2.1456885228108461E-2</v>
      </c>
      <c r="B781"/>
      <c r="C781"/>
      <c r="D781"/>
      <c r="E781"/>
    </row>
    <row r="782" spans="1:180" x14ac:dyDescent="0.25">
      <c r="A782" s="7">
        <v>2.1036161988341632E-2</v>
      </c>
      <c r="B782"/>
      <c r="C782"/>
      <c r="D782"/>
      <c r="E782"/>
    </row>
    <row r="783" spans="1:180" x14ac:dyDescent="0.25">
      <c r="A783" s="7">
        <v>2.0623688223864345E-2</v>
      </c>
      <c r="B783"/>
      <c r="C783"/>
      <c r="D783"/>
      <c r="E783"/>
    </row>
    <row r="784" spans="1:180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29" operator="equal">
      <formula>$U$1</formula>
    </cfRule>
    <cfRule type="cellIs" dxfId="89" priority="930" operator="equal">
      <formula>$S$1</formula>
    </cfRule>
  </conditionalFormatting>
  <conditionalFormatting sqref="D27">
    <cfRule type="cellIs" dxfId="88" priority="927" operator="equal">
      <formula>$S$1</formula>
    </cfRule>
    <cfRule type="cellIs" dxfId="87" priority="928" operator="equal">
      <formula>$U$1</formula>
    </cfRule>
  </conditionalFormatting>
  <conditionalFormatting sqref="C164">
    <cfRule type="cellIs" dxfId="86" priority="925" operator="equal">
      <formula>$U$1</formula>
    </cfRule>
    <cfRule type="cellIs" dxfId="85" priority="926" operator="equal">
      <formula>$S$1</formula>
    </cfRule>
  </conditionalFormatting>
  <conditionalFormatting sqref="D164">
    <cfRule type="cellIs" dxfId="84" priority="923" operator="equal">
      <formula>$S$1</formula>
    </cfRule>
    <cfRule type="cellIs" dxfId="83" priority="924" operator="equal">
      <formula>$U$1</formula>
    </cfRule>
  </conditionalFormatting>
  <conditionalFormatting sqref="C55">
    <cfRule type="cellIs" dxfId="82" priority="921" operator="equal">
      <formula>$U$1</formula>
    </cfRule>
    <cfRule type="cellIs" dxfId="81" priority="922" operator="equal">
      <formula>$S$1</formula>
    </cfRule>
  </conditionalFormatting>
  <conditionalFormatting sqref="D55">
    <cfRule type="cellIs" dxfId="80" priority="919" operator="equal">
      <formula>$S$1</formula>
    </cfRule>
    <cfRule type="cellIs" dxfId="79" priority="920" operator="equal">
      <formula>$U$1</formula>
    </cfRule>
  </conditionalFormatting>
  <conditionalFormatting sqref="C89">
    <cfRule type="cellIs" dxfId="78" priority="917" operator="equal">
      <formula>$U$1</formula>
    </cfRule>
    <cfRule type="cellIs" dxfId="77" priority="918" operator="equal">
      <formula>$S$1</formula>
    </cfRule>
  </conditionalFormatting>
  <conditionalFormatting sqref="D89">
    <cfRule type="cellIs" dxfId="76" priority="915" operator="equal">
      <formula>$S$1</formula>
    </cfRule>
    <cfRule type="cellIs" dxfId="75" priority="916" operator="equal">
      <formula>$U$1</formula>
    </cfRule>
  </conditionalFormatting>
  <conditionalFormatting sqref="C136">
    <cfRule type="cellIs" dxfId="74" priority="913" operator="equal">
      <formula>$U$1</formula>
    </cfRule>
    <cfRule type="cellIs" dxfId="73" priority="914" operator="equal">
      <formula>$S$1</formula>
    </cfRule>
  </conditionalFormatting>
  <conditionalFormatting sqref="D136">
    <cfRule type="cellIs" dxfId="72" priority="911" operator="equal">
      <formula>$S$1</formula>
    </cfRule>
    <cfRule type="cellIs" dxfId="71" priority="912" operator="equal">
      <formula>$U$1</formula>
    </cfRule>
  </conditionalFormatting>
  <conditionalFormatting sqref="C1">
    <cfRule type="cellIs" dxfId="70" priority="91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X284" sqref="FX28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$A$283</v>
      </c>
      <c r="D111" s="1" t="str">
        <f>ADDRESS(C121-1,D121,1,1)</f>
        <v>$FX$283</v>
      </c>
      <c r="E111"/>
    </row>
    <row r="112" spans="1:5" x14ac:dyDescent="0.25">
      <c r="A112" s="30">
        <v>515.50191262726139</v>
      </c>
      <c r="C112" s="1" t="str">
        <f>ADDRESS(C121,1,1,1)</f>
        <v>$A$284</v>
      </c>
      <c r="D112" s="1" t="str">
        <f>ADDRESS(C121,D121-1,1,1)</f>
        <v>$FW$284</v>
      </c>
      <c r="E112"/>
    </row>
    <row r="113" spans="1:5" x14ac:dyDescent="0.25">
      <c r="A113" s="30">
        <v>490.95420250215363</v>
      </c>
      <c r="C113" s="1" t="str">
        <f>ADDRESS(C121+1,1,1,1)</f>
        <v>$A$285</v>
      </c>
      <c r="D113" s="1" t="str">
        <f>ADDRESS(C121-1,D121+1,1,1)</f>
        <v>$FY$283</v>
      </c>
    </row>
    <row r="114" spans="1:5" x14ac:dyDescent="0.25">
      <c r="A114" s="30">
        <v>467.57543095443202</v>
      </c>
      <c r="C114" s="1" t="str">
        <f>ADDRESS(C121,D121,1,1)</f>
        <v>$FX$284</v>
      </c>
      <c r="D114" s="1" t="str">
        <f>ADDRESS(C121+1,D121+1,1,1)</f>
        <v>$FY$285</v>
      </c>
    </row>
    <row r="115" spans="1:5" x14ac:dyDescent="0.25">
      <c r="A115" s="30">
        <v>445.30993424231622</v>
      </c>
      <c r="C115" s="1" t="str">
        <f>ADDRESS(C121+1,D121,1,1)</f>
        <v>$FX$285</v>
      </c>
    </row>
    <row r="116" spans="1:5" x14ac:dyDescent="0.25">
      <c r="A116" s="30">
        <v>424.10469927839637</v>
      </c>
      <c r="C116" s="1">
        <f>C117-1</f>
        <v>283</v>
      </c>
    </row>
    <row r="117" spans="1:5" x14ac:dyDescent="0.25">
      <c r="A117" s="30">
        <v>403.9092374079965</v>
      </c>
      <c r="C117" s="1">
        <f>C121</f>
        <v>284</v>
      </c>
      <c r="D117" s="1">
        <f>D121</f>
        <v>180</v>
      </c>
    </row>
    <row r="118" spans="1:5" x14ac:dyDescent="0.25">
      <c r="A118" s="30">
        <v>384.6754641980919</v>
      </c>
      <c r="C118" s="1">
        <f>C117+1</f>
        <v>285</v>
      </c>
      <c r="D118" s="1">
        <f>D117+1</f>
        <v>181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284</v>
      </c>
      <c r="D121" s="19">
        <v>180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R284</v>
      </c>
      <c r="D123" s="1" t="str">
        <f>"C"&amp;D121</f>
        <v>C180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0.11686133436193799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42" x14ac:dyDescent="0.25">
      <c r="A225" s="30">
        <v>2.0789281794113688</v>
      </c>
      <c r="E225"/>
    </row>
    <row r="226" spans="1:142" x14ac:dyDescent="0.25">
      <c r="A226" s="30">
        <v>1.9799315994393987</v>
      </c>
      <c r="E226"/>
    </row>
    <row r="227" spans="1:142" x14ac:dyDescent="0.25">
      <c r="A227" s="30">
        <v>1.8856491423232367</v>
      </c>
      <c r="E227"/>
    </row>
    <row r="228" spans="1:142" x14ac:dyDescent="0.25">
      <c r="A228" s="30">
        <v>1.7958563260221301</v>
      </c>
      <c r="C228" s="7"/>
      <c r="D228"/>
      <c r="E228"/>
    </row>
    <row r="229" spans="1:142" x14ac:dyDescent="0.25">
      <c r="A229" s="30">
        <v>1.7103393581163142</v>
      </c>
      <c r="E229"/>
    </row>
    <row r="230" spans="1:142" x14ac:dyDescent="0.25">
      <c r="A230" s="30">
        <v>1.628894626777442</v>
      </c>
      <c r="E230"/>
      <c r="EK230" s="27" t="s">
        <v>8</v>
      </c>
    </row>
    <row r="231" spans="1:142" x14ac:dyDescent="0.25">
      <c r="A231" s="30">
        <v>1.5513282159785162</v>
      </c>
      <c r="C231"/>
      <c r="D231"/>
      <c r="E231"/>
      <c r="EK231" s="27" t="s">
        <v>8</v>
      </c>
      <c r="EL231" s="27" t="s">
        <v>7</v>
      </c>
    </row>
    <row r="232" spans="1:142" x14ac:dyDescent="0.25">
      <c r="A232" s="30">
        <v>1.477455443789063</v>
      </c>
      <c r="E232"/>
      <c r="EK232" s="27" t="s">
        <v>8</v>
      </c>
      <c r="EL232" s="27" t="s">
        <v>7</v>
      </c>
    </row>
    <row r="233" spans="1:142" x14ac:dyDescent="0.25">
      <c r="A233" s="30">
        <v>1.4071004226562505</v>
      </c>
      <c r="E233"/>
      <c r="EK233" s="27" t="s">
        <v>8</v>
      </c>
      <c r="EL233" s="27" t="s">
        <v>7</v>
      </c>
    </row>
    <row r="234" spans="1:142" x14ac:dyDescent="0.25">
      <c r="A234" s="30">
        <v>1.3400956406250004</v>
      </c>
      <c r="E234"/>
      <c r="EK234" s="27" t="s">
        <v>8</v>
      </c>
      <c r="EL234" s="27" t="s">
        <v>7</v>
      </c>
    </row>
    <row r="235" spans="1:142" x14ac:dyDescent="0.25">
      <c r="A235" s="30">
        <v>1.2762815625000004</v>
      </c>
      <c r="C235"/>
      <c r="E235"/>
      <c r="EK235" s="27" t="s">
        <v>8</v>
      </c>
      <c r="EL235" s="27" t="s">
        <v>7</v>
      </c>
    </row>
    <row r="236" spans="1:142" x14ac:dyDescent="0.25">
      <c r="A236" s="30">
        <v>1.2155062500000002</v>
      </c>
      <c r="E236"/>
      <c r="EK236" s="27" t="s">
        <v>8</v>
      </c>
      <c r="EL236" s="27" t="s">
        <v>7</v>
      </c>
    </row>
    <row r="237" spans="1:14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EK237" s="27" t="s">
        <v>8</v>
      </c>
      <c r="EL237" s="27" t="s">
        <v>7</v>
      </c>
    </row>
    <row r="238" spans="1:142" x14ac:dyDescent="0.25">
      <c r="A238" s="30">
        <v>1.1025</v>
      </c>
      <c r="E238"/>
      <c r="EK238" s="27" t="s">
        <v>8</v>
      </c>
      <c r="EL238" s="27" t="s">
        <v>7</v>
      </c>
    </row>
    <row r="239" spans="1:142" x14ac:dyDescent="0.25">
      <c r="A239" s="30">
        <v>1.05</v>
      </c>
      <c r="E239"/>
      <c r="EK239" s="27" t="s">
        <v>8</v>
      </c>
      <c r="EL239" s="27" t="s">
        <v>7</v>
      </c>
    </row>
    <row r="240" spans="1:142" x14ac:dyDescent="0.25">
      <c r="A240" s="30">
        <v>1</v>
      </c>
      <c r="E240" s="29" t="s">
        <v>8</v>
      </c>
      <c r="EK240" s="27" t="s">
        <v>8</v>
      </c>
      <c r="EL240" s="27" t="s">
        <v>7</v>
      </c>
    </row>
    <row r="241" spans="1:171" x14ac:dyDescent="0.25">
      <c r="A241" s="30">
        <v>0.952380952380952</v>
      </c>
      <c r="B241"/>
      <c r="C241"/>
      <c r="D241"/>
      <c r="E241"/>
      <c r="F241" s="27" t="s">
        <v>7</v>
      </c>
      <c r="EK241" s="27" t="s">
        <v>8</v>
      </c>
      <c r="EL241" s="27" t="s">
        <v>7</v>
      </c>
    </row>
    <row r="242" spans="1:171" x14ac:dyDescent="0.25">
      <c r="A242" s="30">
        <v>0.90702947845804915</v>
      </c>
      <c r="B242"/>
      <c r="C242"/>
      <c r="D242"/>
      <c r="E242"/>
      <c r="F242" s="27" t="s">
        <v>7</v>
      </c>
      <c r="EK242" s="27" t="s">
        <v>8</v>
      </c>
      <c r="EL242" s="27" t="s">
        <v>7</v>
      </c>
    </row>
    <row r="243" spans="1:171" x14ac:dyDescent="0.25">
      <c r="A243" s="30">
        <v>0.86383759853147501</v>
      </c>
      <c r="B243"/>
      <c r="C243"/>
      <c r="D243"/>
      <c r="E243"/>
      <c r="F243" s="27" t="s">
        <v>7</v>
      </c>
      <c r="EK243" s="27" t="s">
        <v>8</v>
      </c>
      <c r="EL243" s="27" t="s">
        <v>7</v>
      </c>
    </row>
    <row r="244" spans="1:171" x14ac:dyDescent="0.25">
      <c r="A244" s="30">
        <v>0.82270247479188063</v>
      </c>
      <c r="B244"/>
      <c r="C244"/>
      <c r="D244"/>
      <c r="E244"/>
      <c r="F244" s="27" t="s">
        <v>7</v>
      </c>
      <c r="EK244" s="27" t="s">
        <v>8</v>
      </c>
      <c r="EL244" s="27" t="s">
        <v>7</v>
      </c>
    </row>
    <row r="245" spans="1:171" x14ac:dyDescent="0.25">
      <c r="A245" s="30">
        <v>0.78352616646845741</v>
      </c>
      <c r="B245"/>
      <c r="C245"/>
      <c r="D245"/>
      <c r="E245"/>
      <c r="F245" s="27" t="s">
        <v>7</v>
      </c>
      <c r="EK245" s="27" t="s">
        <v>8</v>
      </c>
      <c r="EL245" s="27" t="s">
        <v>7</v>
      </c>
    </row>
    <row r="246" spans="1:171" x14ac:dyDescent="0.25">
      <c r="A246" s="30">
        <v>0.74621539663662584</v>
      </c>
      <c r="B246"/>
      <c r="C246"/>
      <c r="D246"/>
      <c r="E246"/>
      <c r="F246" s="27" t="s">
        <v>7</v>
      </c>
      <c r="EK246" s="27" t="s">
        <v>8</v>
      </c>
      <c r="EL246" s="27" t="s">
        <v>7</v>
      </c>
    </row>
    <row r="247" spans="1:171" x14ac:dyDescent="0.25">
      <c r="A247" s="30">
        <v>0.71068133013011958</v>
      </c>
      <c r="B247"/>
      <c r="C247"/>
      <c r="D247"/>
      <c r="E247"/>
      <c r="F247" s="27" t="s">
        <v>7</v>
      </c>
      <c r="EK247" s="27" t="s">
        <v>8</v>
      </c>
      <c r="EL247" s="27" t="s">
        <v>7</v>
      </c>
      <c r="EM247" s="27" t="s">
        <v>8</v>
      </c>
    </row>
    <row r="248" spans="1:171" x14ac:dyDescent="0.25">
      <c r="A248" s="30">
        <v>0.676839362028685</v>
      </c>
      <c r="B248"/>
      <c r="C248"/>
      <c r="D248"/>
      <c r="E248"/>
      <c r="F248" s="27" t="s">
        <v>7</v>
      </c>
      <c r="EK248" s="27" t="s">
        <v>8</v>
      </c>
      <c r="EL248" s="27" t="s">
        <v>7</v>
      </c>
      <c r="EM248" s="27" t="s">
        <v>8</v>
      </c>
      <c r="EN248" s="27" t="s">
        <v>7</v>
      </c>
    </row>
    <row r="249" spans="1:171" x14ac:dyDescent="0.25">
      <c r="A249" s="30">
        <v>0.64460891621779492</v>
      </c>
      <c r="B249"/>
      <c r="C249"/>
      <c r="D249"/>
      <c r="E249"/>
      <c r="F249" s="27" t="s">
        <v>7</v>
      </c>
      <c r="EK249" s="27" t="s">
        <v>8</v>
      </c>
      <c r="EL249" s="27" t="s">
        <v>7</v>
      </c>
      <c r="EM249" s="27" t="s">
        <v>8</v>
      </c>
      <c r="EN249" s="27" t="s">
        <v>7</v>
      </c>
      <c r="EO249" s="27" t="s">
        <v>8</v>
      </c>
    </row>
    <row r="250" spans="1:171" x14ac:dyDescent="0.25">
      <c r="A250" s="30">
        <v>0.61391325354075688</v>
      </c>
      <c r="B250"/>
      <c r="C250"/>
      <c r="D250"/>
      <c r="E250"/>
      <c r="F250" s="27" t="s">
        <v>7</v>
      </c>
      <c r="EK250" s="27" t="s">
        <v>8</v>
      </c>
      <c r="EL250" s="27" t="s">
        <v>7</v>
      </c>
      <c r="EM250" s="27" t="s">
        <v>8</v>
      </c>
      <c r="EN250" s="27" t="s">
        <v>7</v>
      </c>
      <c r="EO250" s="27" t="s">
        <v>8</v>
      </c>
      <c r="EP250" s="27" t="s">
        <v>7</v>
      </c>
    </row>
    <row r="251" spans="1:171" x14ac:dyDescent="0.25">
      <c r="A251" s="30">
        <v>0.58467928908643485</v>
      </c>
      <c r="B251"/>
      <c r="C251"/>
      <c r="D251"/>
      <c r="E251"/>
      <c r="F251" s="27" t="s">
        <v>7</v>
      </c>
      <c r="EK251" s="27" t="s">
        <v>8</v>
      </c>
      <c r="EL251" s="27" t="s">
        <v>7</v>
      </c>
      <c r="EM251" s="27" t="s">
        <v>8</v>
      </c>
      <c r="EN251" s="27" t="s">
        <v>7</v>
      </c>
      <c r="EO251" s="27" t="s">
        <v>8</v>
      </c>
      <c r="EP251" s="27" t="s">
        <v>7</v>
      </c>
    </row>
    <row r="252" spans="1:171" x14ac:dyDescent="0.25">
      <c r="A252" s="30">
        <v>0.55683741817755672</v>
      </c>
      <c r="B252"/>
      <c r="C252"/>
      <c r="D252"/>
      <c r="E252"/>
      <c r="F252" s="27" t="s">
        <v>7</v>
      </c>
      <c r="EK252" s="27" t="s">
        <v>8</v>
      </c>
      <c r="EL252" s="27" t="s">
        <v>7</v>
      </c>
      <c r="EM252" s="27" t="s">
        <v>8</v>
      </c>
      <c r="EN252" s="27" t="s">
        <v>7</v>
      </c>
      <c r="EO252" s="27" t="s">
        <v>8</v>
      </c>
      <c r="EP252" s="27" t="s">
        <v>7</v>
      </c>
    </row>
    <row r="253" spans="1:171" x14ac:dyDescent="0.25">
      <c r="A253" s="30">
        <v>0.53032135064529184</v>
      </c>
      <c r="B253"/>
      <c r="C253"/>
      <c r="D253"/>
      <c r="E253"/>
      <c r="F253" s="27" t="s">
        <v>7</v>
      </c>
      <c r="EK253" s="27" t="s">
        <v>8</v>
      </c>
      <c r="EL253" s="27" t="s">
        <v>7</v>
      </c>
      <c r="EM253" s="27" t="s">
        <v>8</v>
      </c>
      <c r="EN253" s="27" t="s">
        <v>7</v>
      </c>
      <c r="EO253" s="27" t="s">
        <v>8</v>
      </c>
      <c r="EP253" s="27" t="s">
        <v>7</v>
      </c>
    </row>
    <row r="254" spans="1:171" x14ac:dyDescent="0.25">
      <c r="A254" s="30">
        <v>0.50506795299551588</v>
      </c>
      <c r="B254"/>
      <c r="C254"/>
      <c r="D254"/>
      <c r="E254"/>
      <c r="F254" s="27" t="s">
        <v>7</v>
      </c>
      <c r="EK254" s="27" t="s">
        <v>8</v>
      </c>
      <c r="EL254" s="27" t="s">
        <v>7</v>
      </c>
      <c r="EM254" s="27" t="s">
        <v>8</v>
      </c>
      <c r="EN254" s="27" t="s">
        <v>7</v>
      </c>
      <c r="EO254" s="27" t="s">
        <v>8</v>
      </c>
      <c r="EP254" s="27" t="s">
        <v>7</v>
      </c>
      <c r="EQ254" s="27" t="s">
        <v>8</v>
      </c>
      <c r="FM254" s="27" t="s">
        <v>8</v>
      </c>
    </row>
    <row r="255" spans="1:171" x14ac:dyDescent="0.25">
      <c r="A255" s="30">
        <v>0.48101709809096732</v>
      </c>
      <c r="E255"/>
      <c r="F255" s="27" t="s">
        <v>7</v>
      </c>
      <c r="EK255" s="27" t="s">
        <v>8</v>
      </c>
      <c r="EL255" s="27" t="s">
        <v>7</v>
      </c>
      <c r="EM255" s="27" t="s">
        <v>8</v>
      </c>
      <c r="EN255" s="27" t="s">
        <v>7</v>
      </c>
      <c r="EP255" s="27" t="s">
        <v>7</v>
      </c>
      <c r="EQ255" s="27" t="s">
        <v>8</v>
      </c>
      <c r="ER255" s="27" t="s">
        <v>7</v>
      </c>
      <c r="FG255" s="27" t="s">
        <v>8</v>
      </c>
      <c r="FM255" s="27" t="s">
        <v>8</v>
      </c>
      <c r="FN255" s="27" t="s">
        <v>7</v>
      </c>
    </row>
    <row r="256" spans="1:171" x14ac:dyDescent="0.25">
      <c r="A256" s="30">
        <v>0.45811152199139726</v>
      </c>
      <c r="E256"/>
      <c r="F256" s="27" t="s">
        <v>7</v>
      </c>
      <c r="EK256" s="27" t="s">
        <v>8</v>
      </c>
      <c r="EL256" s="27" t="s">
        <v>7</v>
      </c>
      <c r="EM256" s="27" t="s">
        <v>8</v>
      </c>
      <c r="EP256" s="27" t="s">
        <v>7</v>
      </c>
      <c r="EQ256" s="27" t="s">
        <v>8</v>
      </c>
      <c r="ER256" s="27" t="s">
        <v>7</v>
      </c>
      <c r="FG256" s="27" t="s">
        <v>8</v>
      </c>
      <c r="FH256" s="27" t="s">
        <v>7</v>
      </c>
      <c r="FM256" s="27" t="s">
        <v>8</v>
      </c>
      <c r="FN256" s="27" t="s">
        <v>7</v>
      </c>
      <c r="FO256" s="27" t="s">
        <v>8</v>
      </c>
    </row>
    <row r="257" spans="1:176" x14ac:dyDescent="0.25">
      <c r="A257" s="30">
        <v>0.43629668761085438</v>
      </c>
      <c r="B257"/>
      <c r="C257"/>
      <c r="D257"/>
      <c r="E257"/>
      <c r="F257" s="27" t="s">
        <v>7</v>
      </c>
      <c r="EK257" s="27" t="s">
        <v>8</v>
      </c>
      <c r="EL257" s="27" t="s">
        <v>7</v>
      </c>
      <c r="EM257" s="27" t="s">
        <v>8</v>
      </c>
      <c r="EP257" s="27" t="s">
        <v>7</v>
      </c>
      <c r="EQ257" s="27" t="s">
        <v>8</v>
      </c>
      <c r="ER257" s="27" t="s">
        <v>7</v>
      </c>
      <c r="ES257" s="27" t="s">
        <v>8</v>
      </c>
      <c r="FG257" s="27" t="s">
        <v>8</v>
      </c>
      <c r="FH257" s="27" t="s">
        <v>7</v>
      </c>
      <c r="FM257" s="27" t="s">
        <v>8</v>
      </c>
      <c r="FN257" s="27" t="s">
        <v>7</v>
      </c>
      <c r="FO257" s="27" t="s">
        <v>8</v>
      </c>
      <c r="FP257" s="27" t="s">
        <v>7</v>
      </c>
    </row>
    <row r="258" spans="1:176" x14ac:dyDescent="0.25">
      <c r="A258" s="30">
        <v>0.41552065486748019</v>
      </c>
      <c r="B258"/>
      <c r="C258"/>
      <c r="D258"/>
      <c r="E258"/>
      <c r="F258" s="27" t="s">
        <v>7</v>
      </c>
      <c r="EK258" s="27" t="s">
        <v>8</v>
      </c>
      <c r="EL258" s="27" t="s">
        <v>7</v>
      </c>
      <c r="EM258" s="27" t="s">
        <v>8</v>
      </c>
      <c r="EP258" s="27" t="s">
        <v>7</v>
      </c>
      <c r="ER258" s="27" t="s">
        <v>7</v>
      </c>
      <c r="ES258" s="27" t="s">
        <v>8</v>
      </c>
      <c r="ET258" s="27" t="s">
        <v>7</v>
      </c>
      <c r="FG258" s="27" t="s">
        <v>8</v>
      </c>
      <c r="FH258" s="27" t="s">
        <v>7</v>
      </c>
      <c r="FM258" s="27" t="s">
        <v>8</v>
      </c>
      <c r="FN258" s="27" t="s">
        <v>7</v>
      </c>
      <c r="FO258" s="27" t="s">
        <v>8</v>
      </c>
      <c r="FP258" s="27" t="s">
        <v>7</v>
      </c>
    </row>
    <row r="259" spans="1:176" x14ac:dyDescent="0.25">
      <c r="A259" s="30">
        <v>0.39573395701664765</v>
      </c>
      <c r="B259"/>
      <c r="C259"/>
      <c r="D259"/>
      <c r="E259"/>
      <c r="F259" s="27" t="s">
        <v>7</v>
      </c>
      <c r="EK259" s="27" t="s">
        <v>8</v>
      </c>
      <c r="EL259" s="27" t="s">
        <v>7</v>
      </c>
      <c r="EM259" s="27" t="s">
        <v>8</v>
      </c>
      <c r="ER259" s="27" t="s">
        <v>7</v>
      </c>
      <c r="ES259" s="27" t="s">
        <v>8</v>
      </c>
      <c r="ET259" s="27" t="s">
        <v>7</v>
      </c>
      <c r="EU259" s="27" t="s">
        <v>8</v>
      </c>
      <c r="EW259" s="27" t="s">
        <v>8</v>
      </c>
      <c r="FG259" s="27" t="s">
        <v>8</v>
      </c>
      <c r="FH259" s="27" t="s">
        <v>7</v>
      </c>
      <c r="FM259" s="27" t="s">
        <v>8</v>
      </c>
      <c r="FN259" s="27" t="s">
        <v>7</v>
      </c>
      <c r="FO259" s="27" t="s">
        <v>8</v>
      </c>
      <c r="FP259" s="27" t="s">
        <v>7</v>
      </c>
    </row>
    <row r="260" spans="1:176" x14ac:dyDescent="0.25">
      <c r="A260" s="30">
        <v>0.37688948287299762</v>
      </c>
      <c r="B260"/>
      <c r="C260"/>
      <c r="D260"/>
      <c r="E260"/>
      <c r="F260" s="27" t="s">
        <v>7</v>
      </c>
      <c r="EK260" s="27" t="s">
        <v>8</v>
      </c>
      <c r="EL260" s="27" t="s">
        <v>7</v>
      </c>
      <c r="ER260" s="27" t="s">
        <v>7</v>
      </c>
      <c r="ES260" s="27" t="s">
        <v>8</v>
      </c>
      <c r="ET260" s="27" t="s">
        <v>7</v>
      </c>
      <c r="EU260" s="27" t="s">
        <v>8</v>
      </c>
      <c r="EV260" s="27" t="s">
        <v>7</v>
      </c>
      <c r="EW260" s="27" t="s">
        <v>8</v>
      </c>
      <c r="EX260" s="27" t="s">
        <v>7</v>
      </c>
      <c r="FE260" s="27" t="s">
        <v>8</v>
      </c>
      <c r="FG260" s="27" t="s">
        <v>8</v>
      </c>
      <c r="FH260" s="27" t="s">
        <v>7</v>
      </c>
      <c r="FI260" s="27" t="s">
        <v>8</v>
      </c>
      <c r="FK260" s="27" t="s">
        <v>8</v>
      </c>
      <c r="FM260" s="27" t="s">
        <v>8</v>
      </c>
      <c r="FN260" s="27" t="s">
        <v>7</v>
      </c>
      <c r="FO260" s="27" t="s">
        <v>8</v>
      </c>
      <c r="FP260" s="27" t="s">
        <v>7</v>
      </c>
    </row>
    <row r="261" spans="1:176" x14ac:dyDescent="0.25">
      <c r="A261" s="30">
        <v>0.35894236464094997</v>
      </c>
      <c r="B261"/>
      <c r="C261"/>
      <c r="D261"/>
      <c r="E261"/>
      <c r="F261" s="27" t="s">
        <v>7</v>
      </c>
      <c r="EK261" s="27" t="s">
        <v>8</v>
      </c>
      <c r="ER261" s="27" t="s">
        <v>7</v>
      </c>
      <c r="ES261" s="27" t="s">
        <v>8</v>
      </c>
      <c r="ET261" s="27" t="s">
        <v>7</v>
      </c>
      <c r="EU261" s="27" t="s">
        <v>8</v>
      </c>
      <c r="EV261" s="27" t="s">
        <v>7</v>
      </c>
      <c r="EW261" s="27" t="s">
        <v>8</v>
      </c>
      <c r="EX261" s="27" t="s">
        <v>7</v>
      </c>
      <c r="EY261" s="27" t="s">
        <v>8</v>
      </c>
      <c r="FE261" s="27" t="s">
        <v>8</v>
      </c>
      <c r="FF261" s="27" t="s">
        <v>7</v>
      </c>
      <c r="FG261" s="27" t="s">
        <v>8</v>
      </c>
      <c r="FH261" s="27" t="s">
        <v>7</v>
      </c>
      <c r="FI261" s="27" t="s">
        <v>8</v>
      </c>
      <c r="FJ261" s="27" t="s">
        <v>7</v>
      </c>
      <c r="FK261" s="27" t="s">
        <v>8</v>
      </c>
      <c r="FL261" s="27" t="s">
        <v>7</v>
      </c>
      <c r="FM261" s="27" t="s">
        <v>8</v>
      </c>
      <c r="FN261" s="27" t="s">
        <v>7</v>
      </c>
      <c r="FO261" s="27" t="s">
        <v>8</v>
      </c>
      <c r="FP261" s="27" t="s">
        <v>7</v>
      </c>
    </row>
    <row r="262" spans="1:176" x14ac:dyDescent="0.25">
      <c r="A262" s="30">
        <v>0.34184987108661891</v>
      </c>
      <c r="B262"/>
      <c r="C262"/>
      <c r="D262"/>
      <c r="E262"/>
      <c r="F262" s="27" t="s">
        <v>7</v>
      </c>
      <c r="EK262" s="27" t="s">
        <v>8</v>
      </c>
      <c r="ER262" s="27" t="s">
        <v>7</v>
      </c>
      <c r="ES262" s="27" t="s">
        <v>8</v>
      </c>
      <c r="ET262" s="27" t="s">
        <v>7</v>
      </c>
      <c r="EU262" s="27" t="s">
        <v>8</v>
      </c>
      <c r="EV262" s="27" t="s">
        <v>7</v>
      </c>
      <c r="EW262" s="27" t="s">
        <v>8</v>
      </c>
      <c r="EX262" s="27" t="s">
        <v>7</v>
      </c>
      <c r="EY262" s="27" t="s">
        <v>8</v>
      </c>
      <c r="EZ262" s="27" t="s">
        <v>7</v>
      </c>
      <c r="FE262" s="27" t="s">
        <v>8</v>
      </c>
      <c r="FF262" s="27" t="s">
        <v>7</v>
      </c>
      <c r="FG262" s="27" t="s">
        <v>8</v>
      </c>
      <c r="FH262" s="27" t="s">
        <v>7</v>
      </c>
      <c r="FI262" s="27" t="s">
        <v>8</v>
      </c>
      <c r="FJ262" s="27" t="s">
        <v>7</v>
      </c>
      <c r="FK262" s="27" t="s">
        <v>8</v>
      </c>
      <c r="FL262" s="27" t="s">
        <v>7</v>
      </c>
      <c r="FM262" s="27" t="s">
        <v>8</v>
      </c>
      <c r="FN262" s="27" t="s">
        <v>7</v>
      </c>
      <c r="FO262" s="27" t="s">
        <v>8</v>
      </c>
      <c r="FP262" s="27" t="s">
        <v>7</v>
      </c>
    </row>
    <row r="263" spans="1:176" x14ac:dyDescent="0.25">
      <c r="A263" s="30">
        <v>0.32557130579677979</v>
      </c>
      <c r="B263"/>
      <c r="C263"/>
      <c r="D263"/>
      <c r="E263"/>
      <c r="F263" s="27" t="s">
        <v>7</v>
      </c>
      <c r="EK263" s="27" t="s">
        <v>8</v>
      </c>
      <c r="ER263" s="27" t="s">
        <v>7</v>
      </c>
      <c r="ES263" s="27" t="s">
        <v>8</v>
      </c>
      <c r="ET263" s="27" t="s">
        <v>7</v>
      </c>
      <c r="EU263" s="27" t="s">
        <v>8</v>
      </c>
      <c r="EV263" s="27" t="s">
        <v>7</v>
      </c>
      <c r="EW263" s="27" t="s">
        <v>8</v>
      </c>
      <c r="EX263" s="27" t="s">
        <v>7</v>
      </c>
      <c r="EY263" s="27" t="s">
        <v>8</v>
      </c>
      <c r="EZ263" s="27" t="s">
        <v>7</v>
      </c>
      <c r="FC263" s="27" t="s">
        <v>8</v>
      </c>
      <c r="FE263" s="27" t="s">
        <v>8</v>
      </c>
      <c r="FF263" s="27" t="s">
        <v>7</v>
      </c>
      <c r="FG263" s="27" t="s">
        <v>8</v>
      </c>
      <c r="FH263" s="27" t="s">
        <v>7</v>
      </c>
      <c r="FJ263" s="27" t="s">
        <v>7</v>
      </c>
      <c r="FL263" s="27" t="s">
        <v>7</v>
      </c>
      <c r="FN263" s="27" t="s">
        <v>7</v>
      </c>
      <c r="FO263" s="27" t="s">
        <v>8</v>
      </c>
      <c r="FP263" s="27" t="s">
        <v>7</v>
      </c>
    </row>
    <row r="264" spans="1:176" x14ac:dyDescent="0.25">
      <c r="A264" s="30">
        <v>0.3100679102826473</v>
      </c>
      <c r="B264"/>
      <c r="C264"/>
      <c r="D264"/>
      <c r="E264"/>
      <c r="F264" s="27" t="s">
        <v>7</v>
      </c>
      <c r="EK264" s="27" t="s">
        <v>8</v>
      </c>
      <c r="ER264" s="27" t="s">
        <v>7</v>
      </c>
      <c r="ES264" s="27" t="s">
        <v>8</v>
      </c>
      <c r="ET264" s="27" t="s">
        <v>7</v>
      </c>
      <c r="EV264" s="27" t="s">
        <v>7</v>
      </c>
      <c r="EW264" s="27" t="s">
        <v>8</v>
      </c>
      <c r="EX264" s="27" t="s">
        <v>7</v>
      </c>
      <c r="EY264" s="27" t="s">
        <v>8</v>
      </c>
      <c r="EZ264" s="27" t="s">
        <v>7</v>
      </c>
      <c r="FC264" s="27" t="s">
        <v>8</v>
      </c>
      <c r="FD264" s="27" t="s">
        <v>7</v>
      </c>
      <c r="FE264" s="27" t="s">
        <v>8</v>
      </c>
      <c r="FF264" s="27" t="s">
        <v>7</v>
      </c>
      <c r="FG264" s="27" t="s">
        <v>8</v>
      </c>
      <c r="FN264" s="27" t="s">
        <v>7</v>
      </c>
      <c r="FO264" s="27" t="s">
        <v>8</v>
      </c>
      <c r="FP264" s="27" t="s">
        <v>7</v>
      </c>
    </row>
    <row r="265" spans="1:176" x14ac:dyDescent="0.25">
      <c r="A265" s="30">
        <v>0.2953027716977592</v>
      </c>
      <c r="B265"/>
      <c r="C265"/>
      <c r="D265"/>
      <c r="E265"/>
      <c r="F265" s="27" t="s">
        <v>7</v>
      </c>
      <c r="EK265" s="27" t="s">
        <v>8</v>
      </c>
      <c r="ER265" s="27" t="s">
        <v>7</v>
      </c>
      <c r="ES265" s="27" t="s">
        <v>8</v>
      </c>
      <c r="EV265" s="27" t="s">
        <v>7</v>
      </c>
      <c r="EW265" s="27" t="s">
        <v>8</v>
      </c>
      <c r="EX265" s="27" t="s">
        <v>7</v>
      </c>
      <c r="EZ265" s="27" t="s">
        <v>7</v>
      </c>
      <c r="FC265" s="27" t="s">
        <v>8</v>
      </c>
      <c r="FD265" s="27" t="s">
        <v>7</v>
      </c>
      <c r="FE265" s="27" t="s">
        <v>8</v>
      </c>
      <c r="FF265" s="27" t="s">
        <v>7</v>
      </c>
      <c r="FG265" s="27" t="s">
        <v>8</v>
      </c>
      <c r="FN265" s="27" t="s">
        <v>7</v>
      </c>
      <c r="FO265" s="27" t="s">
        <v>8</v>
      </c>
      <c r="FP265" s="27" t="s">
        <v>7</v>
      </c>
      <c r="FQ265" s="27" t="s">
        <v>8</v>
      </c>
    </row>
    <row r="266" spans="1:176" x14ac:dyDescent="0.25">
      <c r="A266" s="30">
        <v>0.28124073495024676</v>
      </c>
      <c r="B266"/>
      <c r="C266"/>
      <c r="D266"/>
      <c r="E266"/>
      <c r="F266" s="27" t="s">
        <v>7</v>
      </c>
      <c r="EK266" s="27" t="s">
        <v>8</v>
      </c>
      <c r="ER266" s="27" t="s">
        <v>7</v>
      </c>
      <c r="ES266" s="27" t="s">
        <v>8</v>
      </c>
      <c r="EV266" s="27" t="s">
        <v>7</v>
      </c>
      <c r="EZ266" s="27" t="s">
        <v>7</v>
      </c>
      <c r="FA266" s="27" t="s">
        <v>8</v>
      </c>
      <c r="FC266" s="27" t="s">
        <v>8</v>
      </c>
      <c r="FD266" s="27" t="s">
        <v>7</v>
      </c>
      <c r="FE266" s="27" t="s">
        <v>8</v>
      </c>
      <c r="FF266" s="27" t="s">
        <v>7</v>
      </c>
      <c r="FG266" s="27" t="s">
        <v>8</v>
      </c>
      <c r="FN266" s="27" t="s">
        <v>7</v>
      </c>
      <c r="FO266" s="27" t="s">
        <v>8</v>
      </c>
      <c r="FP266" s="27" t="s">
        <v>7</v>
      </c>
      <c r="FQ266" s="27" t="s">
        <v>8</v>
      </c>
      <c r="FR266" s="27" t="s">
        <v>7</v>
      </c>
    </row>
    <row r="267" spans="1:176" x14ac:dyDescent="0.25">
      <c r="A267" s="30">
        <v>0.26784831900023492</v>
      </c>
      <c r="B267"/>
      <c r="C267"/>
      <c r="D267"/>
      <c r="E267"/>
      <c r="F267" s="27" t="s">
        <v>7</v>
      </c>
      <c r="EK267" s="27" t="s">
        <v>8</v>
      </c>
      <c r="ER267" s="27" t="s">
        <v>7</v>
      </c>
      <c r="ES267" s="27" t="s">
        <v>8</v>
      </c>
      <c r="EZ267" s="27" t="s">
        <v>7</v>
      </c>
      <c r="FA267" s="27" t="s">
        <v>8</v>
      </c>
      <c r="FB267" s="27" t="s">
        <v>7</v>
      </c>
      <c r="FC267" s="27" t="s">
        <v>8</v>
      </c>
      <c r="FD267" s="27" t="s">
        <v>7</v>
      </c>
      <c r="FE267" s="27" t="s">
        <v>8</v>
      </c>
      <c r="FF267" s="27" t="s">
        <v>7</v>
      </c>
      <c r="FG267" s="27" t="s">
        <v>8</v>
      </c>
      <c r="FN267" s="27" t="s">
        <v>7</v>
      </c>
      <c r="FO267" s="27" t="s">
        <v>8</v>
      </c>
      <c r="FP267" s="27" t="s">
        <v>7</v>
      </c>
      <c r="FQ267" s="27" t="s">
        <v>8</v>
      </c>
      <c r="FR267" s="27" t="s">
        <v>7</v>
      </c>
    </row>
    <row r="268" spans="1:176" x14ac:dyDescent="0.25">
      <c r="A268" s="30">
        <v>0.25509363714308075</v>
      </c>
      <c r="B268"/>
      <c r="C268"/>
      <c r="D268"/>
      <c r="E268"/>
      <c r="F268" s="27" t="s">
        <v>7</v>
      </c>
      <c r="EK268" s="27" t="s">
        <v>8</v>
      </c>
      <c r="ER268" s="27" t="s">
        <v>7</v>
      </c>
      <c r="ES268" s="27" t="s">
        <v>8</v>
      </c>
      <c r="EZ268" s="27" t="s">
        <v>7</v>
      </c>
      <c r="FA268" s="27" t="s">
        <v>8</v>
      </c>
      <c r="FB268" s="27" t="s">
        <v>7</v>
      </c>
      <c r="FC268" s="27" t="s">
        <v>8</v>
      </c>
      <c r="FD268" s="27" t="s">
        <v>7</v>
      </c>
      <c r="FE268" s="27" t="s">
        <v>8</v>
      </c>
      <c r="FF268" s="27" t="s">
        <v>7</v>
      </c>
      <c r="FN268" s="27" t="s">
        <v>7</v>
      </c>
      <c r="FO268" s="27" t="s">
        <v>8</v>
      </c>
      <c r="FP268" s="27" t="s">
        <v>7</v>
      </c>
      <c r="FR268" s="27" t="s">
        <v>7</v>
      </c>
      <c r="FS268" s="27" t="s">
        <v>8</v>
      </c>
    </row>
    <row r="269" spans="1:176" x14ac:dyDescent="0.25">
      <c r="A269" s="30">
        <v>0.24294632108864825</v>
      </c>
      <c r="B269"/>
      <c r="C269"/>
      <c r="D269"/>
      <c r="E269"/>
      <c r="F269" s="27" t="s">
        <v>7</v>
      </c>
      <c r="EK269" s="27" t="s">
        <v>8</v>
      </c>
      <c r="ER269" s="27" t="s">
        <v>7</v>
      </c>
      <c r="EZ269" s="27" t="s">
        <v>7</v>
      </c>
      <c r="FA269" s="27" t="s">
        <v>8</v>
      </c>
      <c r="FB269" s="27" t="s">
        <v>7</v>
      </c>
      <c r="FC269" s="27" t="s">
        <v>8</v>
      </c>
      <c r="FD269" s="27" t="s">
        <v>7</v>
      </c>
      <c r="FN269" s="27" t="s">
        <v>7</v>
      </c>
      <c r="FR269" s="27" t="s">
        <v>7</v>
      </c>
      <c r="FS269" s="27" t="s">
        <v>8</v>
      </c>
      <c r="FT269" s="27" t="s">
        <v>7</v>
      </c>
    </row>
    <row r="270" spans="1:176" x14ac:dyDescent="0.25">
      <c r="A270" s="30">
        <v>0.23137744865585538</v>
      </c>
      <c r="B270"/>
      <c r="C270"/>
      <c r="D270"/>
      <c r="E270"/>
      <c r="F270" s="27" t="s">
        <v>7</v>
      </c>
      <c r="DE270" s="27" t="s">
        <v>8</v>
      </c>
      <c r="EK270" s="27" t="s">
        <v>8</v>
      </c>
      <c r="EZ270" s="27" t="s">
        <v>7</v>
      </c>
      <c r="FB270" s="27" t="s">
        <v>7</v>
      </c>
      <c r="FR270" s="27" t="s">
        <v>7</v>
      </c>
      <c r="FS270" s="27" t="s">
        <v>8</v>
      </c>
      <c r="FT270" s="27" t="s">
        <v>7</v>
      </c>
    </row>
    <row r="271" spans="1:176" x14ac:dyDescent="0.25">
      <c r="A271" s="30">
        <v>0.22035947491033836</v>
      </c>
      <c r="B271"/>
      <c r="C271"/>
      <c r="D271"/>
      <c r="E271"/>
      <c r="F271" s="27" t="s">
        <v>7</v>
      </c>
      <c r="CU271" s="27" t="s">
        <v>8</v>
      </c>
      <c r="DE271" s="27" t="s">
        <v>8</v>
      </c>
      <c r="DF271" s="27" t="s">
        <v>7</v>
      </c>
      <c r="EK271" s="27" t="s">
        <v>8</v>
      </c>
      <c r="FR271" s="27" t="s">
        <v>7</v>
      </c>
      <c r="FS271" s="27" t="s">
        <v>8</v>
      </c>
      <c r="FT271" s="27" t="s">
        <v>7</v>
      </c>
    </row>
    <row r="272" spans="1:176" x14ac:dyDescent="0.25">
      <c r="A272" s="30">
        <v>0.20986616658127455</v>
      </c>
      <c r="B272"/>
      <c r="C272"/>
      <c r="D272"/>
      <c r="E272"/>
      <c r="F272" s="27" t="s">
        <v>7</v>
      </c>
      <c r="CU272" s="27" t="s">
        <v>8</v>
      </c>
      <c r="CV272" s="27" t="s">
        <v>7</v>
      </c>
      <c r="DE272" s="27" t="s">
        <v>8</v>
      </c>
      <c r="DF272" s="27" t="s">
        <v>7</v>
      </c>
      <c r="EK272" s="27" t="s">
        <v>8</v>
      </c>
      <c r="FR272" s="27" t="s">
        <v>7</v>
      </c>
      <c r="FT272" s="27" t="s">
        <v>7</v>
      </c>
    </row>
    <row r="273" spans="1:180" x14ac:dyDescent="0.25">
      <c r="A273" s="30">
        <v>0.19987253960121379</v>
      </c>
      <c r="B273"/>
      <c r="C273"/>
      <c r="D273"/>
      <c r="E273"/>
      <c r="F273" s="27" t="s">
        <v>7</v>
      </c>
      <c r="CU273" s="27" t="s">
        <v>8</v>
      </c>
      <c r="CV273" s="27" t="s">
        <v>7</v>
      </c>
      <c r="DE273" s="27" t="s">
        <v>8</v>
      </c>
      <c r="DF273" s="27" t="s">
        <v>7</v>
      </c>
      <c r="EK273" s="27" t="s">
        <v>8</v>
      </c>
      <c r="FT273" s="27" t="s">
        <v>7</v>
      </c>
    </row>
    <row r="274" spans="1:180" x14ac:dyDescent="0.25">
      <c r="A274" s="30">
        <v>0.19035479962020352</v>
      </c>
      <c r="B274"/>
      <c r="C274"/>
      <c r="D274"/>
      <c r="E274"/>
      <c r="F274" s="27" t="s">
        <v>7</v>
      </c>
      <c r="CO274" s="27" t="s">
        <v>8</v>
      </c>
      <c r="CU274" s="27" t="s">
        <v>8</v>
      </c>
      <c r="CV274" s="27" t="s">
        <v>7</v>
      </c>
      <c r="DE274" s="27" t="s">
        <v>8</v>
      </c>
      <c r="DF274" s="27" t="s">
        <v>7</v>
      </c>
      <c r="EK274" s="27" t="s">
        <v>8</v>
      </c>
      <c r="FT274" s="27" t="s">
        <v>7</v>
      </c>
    </row>
    <row r="275" spans="1:180" x14ac:dyDescent="0.25">
      <c r="A275" s="30">
        <v>0.18129028535257471</v>
      </c>
      <c r="B275"/>
      <c r="C275"/>
      <c r="D275"/>
      <c r="E275"/>
      <c r="F275" s="27" t="s">
        <v>7</v>
      </c>
      <c r="CO275" s="27" t="s">
        <v>8</v>
      </c>
      <c r="CP275" s="27" t="s">
        <v>7</v>
      </c>
      <c r="CQ275" s="27" t="s">
        <v>8</v>
      </c>
      <c r="CU275" s="27" t="s">
        <v>8</v>
      </c>
      <c r="CV275" s="27" t="s">
        <v>7</v>
      </c>
      <c r="DE275" s="27" t="s">
        <v>8</v>
      </c>
      <c r="DF275" s="27" t="s">
        <v>7</v>
      </c>
      <c r="EK275" s="27" t="s">
        <v>8</v>
      </c>
      <c r="FT275" s="27" t="s">
        <v>7</v>
      </c>
    </row>
    <row r="276" spans="1:180" x14ac:dyDescent="0.25">
      <c r="A276" s="30">
        <v>0.17265741462149967</v>
      </c>
      <c r="B276"/>
      <c r="C276"/>
      <c r="D276"/>
      <c r="E276"/>
      <c r="F276" s="27" t="s">
        <v>7</v>
      </c>
      <c r="CO276" s="27" t="s">
        <v>8</v>
      </c>
      <c r="CP276" s="27" t="s">
        <v>7</v>
      </c>
      <c r="CQ276" s="27" t="s">
        <v>8</v>
      </c>
      <c r="CR276" s="27" t="s">
        <v>7</v>
      </c>
      <c r="CS276" s="27" t="s">
        <v>8</v>
      </c>
      <c r="CU276" s="27" t="s">
        <v>8</v>
      </c>
      <c r="CV276" s="27" t="s">
        <v>7</v>
      </c>
      <c r="CW276" s="27" t="s">
        <v>8</v>
      </c>
      <c r="CY276" s="27" t="s">
        <v>8</v>
      </c>
      <c r="DE276" s="27" t="s">
        <v>8</v>
      </c>
      <c r="DF276" s="27" t="s">
        <v>7</v>
      </c>
      <c r="EK276" s="27" t="s">
        <v>8</v>
      </c>
      <c r="FT276" s="27" t="s">
        <v>7</v>
      </c>
    </row>
    <row r="277" spans="1:180" x14ac:dyDescent="0.25">
      <c r="A277" s="30">
        <v>0.16443563297285677</v>
      </c>
      <c r="B277"/>
      <c r="C277"/>
      <c r="D277"/>
      <c r="E277"/>
      <c r="F277" s="27" t="s">
        <v>7</v>
      </c>
      <c r="CO277" s="27" t="s">
        <v>8</v>
      </c>
      <c r="CP277" s="27" t="s">
        <v>7</v>
      </c>
      <c r="CQ277" s="27" t="s">
        <v>8</v>
      </c>
      <c r="CR277" s="27" t="s">
        <v>7</v>
      </c>
      <c r="CS277" s="27" t="s">
        <v>8</v>
      </c>
      <c r="CT277" s="27" t="s">
        <v>7</v>
      </c>
      <c r="CU277" s="27" t="s">
        <v>8</v>
      </c>
      <c r="CV277" s="27" t="s">
        <v>7</v>
      </c>
      <c r="CW277" s="27" t="s">
        <v>8</v>
      </c>
      <c r="CX277" s="27" t="s">
        <v>7</v>
      </c>
      <c r="CY277" s="27" t="s">
        <v>8</v>
      </c>
      <c r="CZ277" s="27" t="s">
        <v>7</v>
      </c>
      <c r="DE277" s="27" t="s">
        <v>8</v>
      </c>
      <c r="DF277" s="27" t="s">
        <v>7</v>
      </c>
      <c r="EK277" s="27" t="s">
        <v>8</v>
      </c>
      <c r="FT277" s="27" t="s">
        <v>7</v>
      </c>
    </row>
    <row r="278" spans="1:180" x14ac:dyDescent="0.25">
      <c r="A278" s="30">
        <v>0.15660536473605399</v>
      </c>
      <c r="B278"/>
      <c r="C278"/>
      <c r="D278"/>
      <c r="E278"/>
      <c r="F278" s="27" t="s">
        <v>7</v>
      </c>
      <c r="CM278" s="27" t="s">
        <v>8</v>
      </c>
      <c r="CO278" s="27" t="s">
        <v>8</v>
      </c>
      <c r="CP278" s="27" t="s">
        <v>7</v>
      </c>
      <c r="CQ278" s="27" t="s">
        <v>8</v>
      </c>
      <c r="CR278" s="27" t="s">
        <v>7</v>
      </c>
      <c r="CS278" s="27" t="s">
        <v>8</v>
      </c>
      <c r="CT278" s="27" t="s">
        <v>7</v>
      </c>
      <c r="CU278" s="27" t="s">
        <v>8</v>
      </c>
      <c r="CV278" s="27" t="s">
        <v>7</v>
      </c>
      <c r="CW278" s="27" t="s">
        <v>8</v>
      </c>
      <c r="CX278" s="27" t="s">
        <v>7</v>
      </c>
      <c r="CY278" s="27" t="s">
        <v>8</v>
      </c>
      <c r="CZ278" s="27" t="s">
        <v>7</v>
      </c>
      <c r="DE278" s="27" t="s">
        <v>8</v>
      </c>
      <c r="DF278" s="27" t="s">
        <v>7</v>
      </c>
      <c r="EK278" s="27" t="s">
        <v>8</v>
      </c>
      <c r="FT278" s="27" t="s">
        <v>7</v>
      </c>
    </row>
    <row r="279" spans="1:180" x14ac:dyDescent="0.25">
      <c r="A279" s="30">
        <v>0.14914796641528946</v>
      </c>
      <c r="B279"/>
      <c r="C279"/>
      <c r="D279"/>
      <c r="E279"/>
      <c r="F279" s="27" t="s">
        <v>7</v>
      </c>
      <c r="CK279" s="27" t="s">
        <v>8</v>
      </c>
      <c r="CM279" s="27" t="s">
        <v>8</v>
      </c>
      <c r="CN279" s="27" t="s">
        <v>7</v>
      </c>
      <c r="CO279" s="27" t="s">
        <v>8</v>
      </c>
      <c r="CP279" s="27" t="s">
        <v>7</v>
      </c>
      <c r="CQ279" s="27" t="s">
        <v>8</v>
      </c>
      <c r="CR279" s="27" t="s">
        <v>7</v>
      </c>
      <c r="CS279" s="27" t="s">
        <v>8</v>
      </c>
      <c r="CT279" s="27" t="s">
        <v>7</v>
      </c>
      <c r="CU279" s="27" t="s">
        <v>8</v>
      </c>
      <c r="CV279" s="27" t="s">
        <v>7</v>
      </c>
      <c r="CX279" s="27" t="s">
        <v>7</v>
      </c>
      <c r="CZ279" s="27" t="s">
        <v>7</v>
      </c>
      <c r="DE279" s="27" t="s">
        <v>8</v>
      </c>
      <c r="DF279" s="27" t="s">
        <v>7</v>
      </c>
      <c r="DG279" s="27" t="s">
        <v>8</v>
      </c>
      <c r="EK279" s="27" t="s">
        <v>8</v>
      </c>
      <c r="FT279" s="27" t="s">
        <v>7</v>
      </c>
    </row>
    <row r="280" spans="1:180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CK280" s="27" t="s">
        <v>8</v>
      </c>
      <c r="CL280" s="27" t="s">
        <v>7</v>
      </c>
      <c r="CM280" s="27" t="s">
        <v>8</v>
      </c>
      <c r="CN280" s="27" t="s">
        <v>7</v>
      </c>
      <c r="CO280" s="27" t="s">
        <v>8</v>
      </c>
      <c r="CP280" s="27" t="s">
        <v>7</v>
      </c>
      <c r="CR280" s="27" t="s">
        <v>7</v>
      </c>
      <c r="CT280" s="27" t="s">
        <v>7</v>
      </c>
      <c r="CU280" s="27" t="s">
        <v>8</v>
      </c>
      <c r="CZ280" s="27" t="s">
        <v>7</v>
      </c>
      <c r="DE280" s="27" t="s">
        <v>8</v>
      </c>
      <c r="DF280" s="27" t="s">
        <v>7</v>
      </c>
      <c r="DG280" s="27" t="s">
        <v>8</v>
      </c>
      <c r="DH280" s="27" t="s">
        <v>7</v>
      </c>
      <c r="EK280" s="27" t="s">
        <v>8</v>
      </c>
      <c r="FT280" s="27" t="s">
        <v>7</v>
      </c>
    </row>
    <row r="281" spans="1:180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CK281" s="27" t="s">
        <v>8</v>
      </c>
      <c r="CL281" s="27" t="s">
        <v>7</v>
      </c>
      <c r="CM281" s="27" t="s">
        <v>8</v>
      </c>
      <c r="CN281" s="27" t="s">
        <v>7</v>
      </c>
      <c r="CT281" s="27" t="s">
        <v>7</v>
      </c>
      <c r="CU281" s="27" t="s">
        <v>8</v>
      </c>
      <c r="CZ281" s="27" t="s">
        <v>7</v>
      </c>
      <c r="DA281" s="27" t="s">
        <v>8</v>
      </c>
      <c r="DE281" s="27" t="s">
        <v>8</v>
      </c>
      <c r="DF281" s="27" t="s">
        <v>7</v>
      </c>
      <c r="DG281" s="27" t="s">
        <v>8</v>
      </c>
      <c r="DH281" s="27" t="s">
        <v>7</v>
      </c>
      <c r="EK281" s="27" t="s">
        <v>8</v>
      </c>
      <c r="FT281" s="27" t="s">
        <v>7</v>
      </c>
      <c r="FW281" s="27" t="s">
        <v>8</v>
      </c>
    </row>
    <row r="282" spans="1:180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J282" s="27" t="s">
        <v>7</v>
      </c>
      <c r="CK282" s="27" t="s">
        <v>8</v>
      </c>
      <c r="CL282" s="27" t="s">
        <v>7</v>
      </c>
      <c r="CM282" s="27" t="s">
        <v>8</v>
      </c>
      <c r="CT282" s="27" t="s">
        <v>7</v>
      </c>
      <c r="CZ282" s="27" t="s">
        <v>7</v>
      </c>
      <c r="DA282" s="27" t="s">
        <v>8</v>
      </c>
      <c r="DB282" s="27" t="s">
        <v>7</v>
      </c>
      <c r="DC282" s="27" t="s">
        <v>8</v>
      </c>
      <c r="DE282" s="27" t="s">
        <v>8</v>
      </c>
      <c r="DF282" s="27" t="s">
        <v>7</v>
      </c>
      <c r="DG282" s="27" t="s">
        <v>8</v>
      </c>
      <c r="DH282" s="27" t="s">
        <v>7</v>
      </c>
      <c r="EK282" s="27" t="s">
        <v>8</v>
      </c>
      <c r="FT282" s="27" t="s">
        <v>7</v>
      </c>
      <c r="FU282" s="27" t="s">
        <v>8</v>
      </c>
      <c r="FW282" s="27" t="s">
        <v>8</v>
      </c>
      <c r="FX282" s="27" t="s">
        <v>7</v>
      </c>
    </row>
    <row r="283" spans="1:180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I283" s="27" t="s">
        <v>8</v>
      </c>
      <c r="J283" s="27" t="s">
        <v>7</v>
      </c>
      <c r="CI283" s="27" t="s">
        <v>8</v>
      </c>
      <c r="CK283" s="27" t="s">
        <v>8</v>
      </c>
      <c r="CL283" s="27" t="s">
        <v>7</v>
      </c>
      <c r="CZ283" s="27" t="s">
        <v>7</v>
      </c>
      <c r="DA283" s="27" t="s">
        <v>8</v>
      </c>
      <c r="DB283" s="27" t="s">
        <v>7</v>
      </c>
      <c r="DC283" s="27" t="s">
        <v>8</v>
      </c>
      <c r="DD283" s="27" t="s">
        <v>7</v>
      </c>
      <c r="DE283" s="27" t="s">
        <v>8</v>
      </c>
      <c r="DF283" s="27" t="s">
        <v>7</v>
      </c>
      <c r="DG283" s="27" t="s">
        <v>8</v>
      </c>
      <c r="DH283" s="27" t="s">
        <v>7</v>
      </c>
      <c r="EK283" s="27" t="s">
        <v>8</v>
      </c>
      <c r="FT283" s="27" t="s">
        <v>7</v>
      </c>
      <c r="FU283" s="27" t="s">
        <v>8</v>
      </c>
      <c r="FV283" s="27" t="s">
        <v>7</v>
      </c>
      <c r="FW283" s="27" t="s">
        <v>8</v>
      </c>
      <c r="FX283" s="27" t="s">
        <v>7</v>
      </c>
    </row>
    <row r="284" spans="1:180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I284" s="27" t="s">
        <v>8</v>
      </c>
      <c r="J284" s="27" t="s">
        <v>7</v>
      </c>
      <c r="CE284" s="27" t="s">
        <v>8</v>
      </c>
      <c r="CI284" s="27" t="s">
        <v>8</v>
      </c>
      <c r="CJ284" s="27" t="s">
        <v>7</v>
      </c>
      <c r="CK284" s="27" t="s">
        <v>8</v>
      </c>
      <c r="CZ284" s="27" t="s">
        <v>7</v>
      </c>
      <c r="DB284" s="27" t="s">
        <v>7</v>
      </c>
      <c r="DC284" s="27" t="s">
        <v>8</v>
      </c>
      <c r="DD284" s="27" t="s">
        <v>7</v>
      </c>
      <c r="DE284" s="27" t="s">
        <v>8</v>
      </c>
      <c r="DF284" s="27" t="s">
        <v>7</v>
      </c>
      <c r="DH284" s="27" t="s">
        <v>7</v>
      </c>
      <c r="EK284" s="27" t="s">
        <v>8</v>
      </c>
      <c r="FT284" s="27" t="s">
        <v>7</v>
      </c>
      <c r="FU284" s="27" t="s">
        <v>8</v>
      </c>
      <c r="FV284" s="27" t="s">
        <v>7</v>
      </c>
      <c r="FW284" s="27" t="s">
        <v>8</v>
      </c>
      <c r="FX284" s="27" t="s">
        <v>7</v>
      </c>
    </row>
    <row r="285" spans="1:180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H285" s="27" t="s">
        <v>7</v>
      </c>
      <c r="J285" s="27" t="s">
        <v>7</v>
      </c>
      <c r="BI285" s="27" t="s">
        <v>8</v>
      </c>
      <c r="CE285" s="27" t="s">
        <v>8</v>
      </c>
      <c r="CF285" s="27" t="s">
        <v>7</v>
      </c>
      <c r="CI285" s="27" t="s">
        <v>8</v>
      </c>
      <c r="CJ285" s="27" t="s">
        <v>7</v>
      </c>
      <c r="CK285" s="27" t="s">
        <v>8</v>
      </c>
      <c r="DB285" s="27" t="s">
        <v>7</v>
      </c>
      <c r="DC285" s="27" t="s">
        <v>8</v>
      </c>
      <c r="DD285" s="27" t="s">
        <v>7</v>
      </c>
      <c r="DE285" s="27" t="s">
        <v>8</v>
      </c>
      <c r="DH285" s="27" t="s">
        <v>7</v>
      </c>
      <c r="EK285" s="27" t="s">
        <v>8</v>
      </c>
      <c r="FT285" s="27" t="s">
        <v>7</v>
      </c>
      <c r="FV285" s="27" t="s">
        <v>7</v>
      </c>
      <c r="FW285" s="27" t="s">
        <v>8</v>
      </c>
    </row>
    <row r="286" spans="1:180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J286" s="27" t="s">
        <v>7</v>
      </c>
      <c r="BI286" s="27" t="s">
        <v>8</v>
      </c>
      <c r="BJ286" s="27" t="s">
        <v>7</v>
      </c>
      <c r="BQ286" s="27" t="s">
        <v>8</v>
      </c>
      <c r="CC286" s="27" t="s">
        <v>8</v>
      </c>
      <c r="CE286" s="27" t="s">
        <v>8</v>
      </c>
      <c r="CF286" s="27" t="s">
        <v>7</v>
      </c>
      <c r="CG286" s="27" t="s">
        <v>8</v>
      </c>
      <c r="CI286" s="27" t="s">
        <v>8</v>
      </c>
      <c r="CJ286" s="27" t="s">
        <v>7</v>
      </c>
      <c r="DB286" s="27" t="s">
        <v>7</v>
      </c>
      <c r="DC286" s="27" t="s">
        <v>8</v>
      </c>
      <c r="DD286" s="27" t="s">
        <v>7</v>
      </c>
      <c r="DE286" s="27" t="s">
        <v>8</v>
      </c>
      <c r="DH286" s="27" t="s">
        <v>7</v>
      </c>
      <c r="EK286" s="27" t="s">
        <v>8</v>
      </c>
      <c r="FV286" s="27" t="s">
        <v>7</v>
      </c>
    </row>
    <row r="287" spans="1:180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J287" s="27" t="s">
        <v>7</v>
      </c>
      <c r="BI287" s="27" t="s">
        <v>8</v>
      </c>
      <c r="BJ287" s="27" t="s">
        <v>7</v>
      </c>
      <c r="BQ287" s="27" t="s">
        <v>8</v>
      </c>
      <c r="BR287" s="27" t="s">
        <v>7</v>
      </c>
      <c r="CC287" s="27" t="s">
        <v>8</v>
      </c>
      <c r="CD287" s="27" t="s">
        <v>7</v>
      </c>
      <c r="CE287" s="27" t="s">
        <v>8</v>
      </c>
      <c r="CF287" s="27" t="s">
        <v>7</v>
      </c>
      <c r="CG287" s="27" t="s">
        <v>8</v>
      </c>
      <c r="CH287" s="27" t="s">
        <v>7</v>
      </c>
      <c r="CI287" s="27" t="s">
        <v>8</v>
      </c>
      <c r="DB287" s="27" t="s">
        <v>7</v>
      </c>
      <c r="DD287" s="27" t="s">
        <v>7</v>
      </c>
      <c r="DE287" s="27" t="s">
        <v>8</v>
      </c>
      <c r="DH287" s="27" t="s">
        <v>7</v>
      </c>
      <c r="EK287" s="27" t="s">
        <v>8</v>
      </c>
    </row>
    <row r="288" spans="1:180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J288" s="27" t="s">
        <v>7</v>
      </c>
      <c r="K288" s="27" t="s">
        <v>8</v>
      </c>
      <c r="BI288" s="27" t="s">
        <v>8</v>
      </c>
      <c r="BJ288" s="27" t="s">
        <v>7</v>
      </c>
      <c r="BK288" s="27" t="s">
        <v>8</v>
      </c>
      <c r="BQ288" s="27" t="s">
        <v>8</v>
      </c>
      <c r="BR288" s="27" t="s">
        <v>7</v>
      </c>
      <c r="CC288" s="27" t="s">
        <v>8</v>
      </c>
      <c r="CD288" s="27" t="s">
        <v>7</v>
      </c>
      <c r="CE288" s="27" t="s">
        <v>8</v>
      </c>
      <c r="CF288" s="27" t="s">
        <v>7</v>
      </c>
      <c r="CG288" s="27" t="s">
        <v>8</v>
      </c>
      <c r="CH288" s="27" t="s">
        <v>7</v>
      </c>
      <c r="CI288" s="27" t="s">
        <v>8</v>
      </c>
      <c r="DD288" s="27" t="s">
        <v>7</v>
      </c>
      <c r="DH288" s="27" t="s">
        <v>7</v>
      </c>
      <c r="EK288" s="27" t="s">
        <v>8</v>
      </c>
    </row>
    <row r="289" spans="1:141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J289" s="27" t="s">
        <v>7</v>
      </c>
      <c r="K289" s="27" t="s">
        <v>8</v>
      </c>
      <c r="L289" s="27" t="s">
        <v>7</v>
      </c>
      <c r="M289" s="27" t="s">
        <v>8</v>
      </c>
      <c r="BI289" s="27" t="s">
        <v>8</v>
      </c>
      <c r="BJ289" s="27" t="s">
        <v>7</v>
      </c>
      <c r="BK289" s="27" t="s">
        <v>8</v>
      </c>
      <c r="BL289" s="27" t="s">
        <v>7</v>
      </c>
      <c r="BQ289" s="27" t="s">
        <v>8</v>
      </c>
      <c r="BR289" s="27" t="s">
        <v>7</v>
      </c>
      <c r="BS289" s="27" t="s">
        <v>8</v>
      </c>
      <c r="CC289" s="27" t="s">
        <v>8</v>
      </c>
      <c r="CD289" s="27" t="s">
        <v>7</v>
      </c>
      <c r="CE289" s="27" t="s">
        <v>8</v>
      </c>
      <c r="CF289" s="27" t="s">
        <v>7</v>
      </c>
      <c r="CH289" s="27" t="s">
        <v>7</v>
      </c>
      <c r="DH289" s="27" t="s">
        <v>7</v>
      </c>
      <c r="DO289" s="27" t="s">
        <v>8</v>
      </c>
      <c r="EK289" s="27" t="s">
        <v>8</v>
      </c>
    </row>
    <row r="290" spans="1:141" x14ac:dyDescent="0.25">
      <c r="A290" s="30">
        <v>8.7203726972378923E-2</v>
      </c>
      <c r="B290"/>
      <c r="C290"/>
      <c r="D290"/>
      <c r="E290"/>
      <c r="F290" s="27" t="s">
        <v>7</v>
      </c>
      <c r="J290" s="27" t="s">
        <v>7</v>
      </c>
      <c r="K290" s="27" t="s">
        <v>8</v>
      </c>
      <c r="L290" s="27" t="s">
        <v>7</v>
      </c>
      <c r="M290" s="27" t="s">
        <v>8</v>
      </c>
      <c r="N290" s="27" t="s">
        <v>7</v>
      </c>
      <c r="BI290" s="27" t="s">
        <v>8</v>
      </c>
      <c r="BJ290" s="27" t="s">
        <v>7</v>
      </c>
      <c r="BK290" s="27" t="s">
        <v>8</v>
      </c>
      <c r="BL290" s="27" t="s">
        <v>7</v>
      </c>
      <c r="BQ290" s="27" t="s">
        <v>8</v>
      </c>
      <c r="BR290" s="27" t="s">
        <v>7</v>
      </c>
      <c r="BS290" s="27" t="s">
        <v>8</v>
      </c>
      <c r="BT290" s="27" t="s">
        <v>7</v>
      </c>
      <c r="BU290" s="27" t="s">
        <v>8</v>
      </c>
      <c r="CC290" s="27" t="s">
        <v>8</v>
      </c>
      <c r="CD290" s="27" t="s">
        <v>7</v>
      </c>
      <c r="CE290" s="27" t="s">
        <v>8</v>
      </c>
      <c r="DH290" s="27" t="s">
        <v>7</v>
      </c>
      <c r="DO290" s="27" t="s">
        <v>8</v>
      </c>
      <c r="DP290" s="27" t="s">
        <v>7</v>
      </c>
      <c r="EK290" s="27" t="s">
        <v>8</v>
      </c>
    </row>
    <row r="291" spans="1:141" x14ac:dyDescent="0.25">
      <c r="A291" s="30">
        <v>8.3051168545122747E-2</v>
      </c>
      <c r="B291"/>
      <c r="C291"/>
      <c r="D291"/>
      <c r="E291"/>
      <c r="J291" s="27" t="s">
        <v>7</v>
      </c>
      <c r="K291" s="27" t="s">
        <v>8</v>
      </c>
      <c r="L291" s="27" t="s">
        <v>7</v>
      </c>
      <c r="M291" s="27" t="s">
        <v>8</v>
      </c>
      <c r="N291" s="27" t="s">
        <v>7</v>
      </c>
      <c r="BI291" s="27" t="s">
        <v>8</v>
      </c>
      <c r="BJ291" s="27" t="s">
        <v>7</v>
      </c>
      <c r="BK291" s="27" t="s">
        <v>8</v>
      </c>
      <c r="BL291" s="27" t="s">
        <v>7</v>
      </c>
      <c r="BQ291" s="27" t="s">
        <v>8</v>
      </c>
      <c r="BR291" s="27" t="s">
        <v>7</v>
      </c>
      <c r="BS291" s="27" t="s">
        <v>8</v>
      </c>
      <c r="BT291" s="27" t="s">
        <v>7</v>
      </c>
      <c r="BU291" s="27" t="s">
        <v>8</v>
      </c>
      <c r="BV291" s="27" t="s">
        <v>7</v>
      </c>
      <c r="CC291" s="27" t="s">
        <v>8</v>
      </c>
      <c r="CD291" s="27" t="s">
        <v>7</v>
      </c>
      <c r="DH291" s="27" t="s">
        <v>7</v>
      </c>
      <c r="DO291" s="27" t="s">
        <v>8</v>
      </c>
      <c r="DP291" s="27" t="s">
        <v>7</v>
      </c>
      <c r="EK291" s="27" t="s">
        <v>8</v>
      </c>
    </row>
    <row r="292" spans="1:141" x14ac:dyDescent="0.25">
      <c r="A292" s="30">
        <v>7.9096350995354961E-2</v>
      </c>
      <c r="B292"/>
      <c r="C292"/>
      <c r="D292"/>
      <c r="E292"/>
      <c r="J292" s="27" t="s">
        <v>7</v>
      </c>
      <c r="K292" s="27" t="s">
        <v>8</v>
      </c>
      <c r="L292" s="27" t="s">
        <v>7</v>
      </c>
      <c r="N292" s="27" t="s">
        <v>7</v>
      </c>
      <c r="U292" s="27" t="s">
        <v>8</v>
      </c>
      <c r="BI292" s="27" t="s">
        <v>8</v>
      </c>
      <c r="BJ292" s="27" t="s">
        <v>7</v>
      </c>
      <c r="BK292" s="27" t="s">
        <v>8</v>
      </c>
      <c r="BL292" s="27" t="s">
        <v>7</v>
      </c>
      <c r="BM292" s="27" t="s">
        <v>8</v>
      </c>
      <c r="BQ292" s="27" t="s">
        <v>8</v>
      </c>
      <c r="BR292" s="27" t="s">
        <v>7</v>
      </c>
      <c r="BS292" s="27" t="s">
        <v>8</v>
      </c>
      <c r="BT292" s="27" t="s">
        <v>7</v>
      </c>
      <c r="BU292" s="27" t="s">
        <v>8</v>
      </c>
      <c r="BV292" s="27" t="s">
        <v>7</v>
      </c>
      <c r="CA292" s="27" t="s">
        <v>8</v>
      </c>
      <c r="CC292" s="27" t="s">
        <v>8</v>
      </c>
      <c r="DH292" s="27" t="s">
        <v>7</v>
      </c>
      <c r="DO292" s="27" t="s">
        <v>8</v>
      </c>
      <c r="DP292" s="27" t="s">
        <v>7</v>
      </c>
      <c r="EK292" s="27" t="s">
        <v>8</v>
      </c>
    </row>
    <row r="293" spans="1:141" x14ac:dyDescent="0.25">
      <c r="A293" s="30">
        <v>7.5329858090814217E-2</v>
      </c>
      <c r="B293"/>
      <c r="C293"/>
      <c r="D293"/>
      <c r="E293"/>
      <c r="J293" s="27" t="s">
        <v>7</v>
      </c>
      <c r="K293" s="27" t="s">
        <v>8</v>
      </c>
      <c r="N293" s="27" t="s">
        <v>7</v>
      </c>
      <c r="U293" s="27" t="s">
        <v>8</v>
      </c>
      <c r="V293" s="27" t="s">
        <v>7</v>
      </c>
      <c r="BI293" s="27" t="s">
        <v>8</v>
      </c>
      <c r="BJ293" s="27" t="s">
        <v>7</v>
      </c>
      <c r="BK293" s="27" t="s">
        <v>8</v>
      </c>
      <c r="BL293" s="27" t="s">
        <v>7</v>
      </c>
      <c r="BM293" s="27" t="s">
        <v>8</v>
      </c>
      <c r="BN293" s="27" t="s">
        <v>7</v>
      </c>
      <c r="BQ293" s="27" t="s">
        <v>8</v>
      </c>
      <c r="BR293" s="27" t="s">
        <v>7</v>
      </c>
      <c r="BS293" s="27" t="s">
        <v>8</v>
      </c>
      <c r="BT293" s="27" t="s">
        <v>7</v>
      </c>
      <c r="BV293" s="27" t="s">
        <v>7</v>
      </c>
      <c r="CA293" s="27" t="s">
        <v>8</v>
      </c>
      <c r="CB293" s="27" t="s">
        <v>7</v>
      </c>
      <c r="CC293" s="27" t="s">
        <v>8</v>
      </c>
      <c r="DH293" s="27" t="s">
        <v>7</v>
      </c>
      <c r="DK293" s="27" t="s">
        <v>8</v>
      </c>
      <c r="DO293" s="27" t="s">
        <v>8</v>
      </c>
      <c r="DP293" s="27" t="s">
        <v>7</v>
      </c>
      <c r="EK293" s="27" t="s">
        <v>8</v>
      </c>
    </row>
    <row r="294" spans="1:141" x14ac:dyDescent="0.25">
      <c r="A294" s="30">
        <v>7.1742721991251604E-2</v>
      </c>
      <c r="B294"/>
      <c r="C294"/>
      <c r="D294"/>
      <c r="E294"/>
      <c r="J294" s="27" t="s">
        <v>7</v>
      </c>
      <c r="K294" s="27" t="s">
        <v>8</v>
      </c>
      <c r="N294" s="27" t="s">
        <v>7</v>
      </c>
      <c r="O294" s="27" t="s">
        <v>8</v>
      </c>
      <c r="Q294" s="27" t="s">
        <v>8</v>
      </c>
      <c r="S294" s="27" t="s">
        <v>8</v>
      </c>
      <c r="U294" s="27" t="s">
        <v>8</v>
      </c>
      <c r="V294" s="27" t="s">
        <v>7</v>
      </c>
      <c r="W294" s="27" t="s">
        <v>8</v>
      </c>
      <c r="Y294" s="27" t="s">
        <v>8</v>
      </c>
      <c r="AW294" s="27" t="s">
        <v>8</v>
      </c>
      <c r="BI294" s="27" t="s">
        <v>8</v>
      </c>
      <c r="BJ294" s="27" t="s">
        <v>7</v>
      </c>
      <c r="BK294" s="27" t="s">
        <v>8</v>
      </c>
      <c r="BL294" s="27" t="s">
        <v>7</v>
      </c>
      <c r="BM294" s="27" t="s">
        <v>8</v>
      </c>
      <c r="BN294" s="27" t="s">
        <v>7</v>
      </c>
      <c r="BQ294" s="27" t="s">
        <v>8</v>
      </c>
      <c r="BR294" s="27" t="s">
        <v>7</v>
      </c>
      <c r="BS294" s="27" t="s">
        <v>8</v>
      </c>
      <c r="BV294" s="27" t="s">
        <v>7</v>
      </c>
      <c r="CA294" s="27" t="s">
        <v>8</v>
      </c>
      <c r="CB294" s="27" t="s">
        <v>7</v>
      </c>
      <c r="CC294" s="27" t="s">
        <v>8</v>
      </c>
      <c r="DH294" s="27" t="s">
        <v>7</v>
      </c>
      <c r="DK294" s="27" t="s">
        <v>8</v>
      </c>
      <c r="DL294" s="27" t="s">
        <v>7</v>
      </c>
      <c r="DO294" s="27" t="s">
        <v>8</v>
      </c>
      <c r="DP294" s="27" t="s">
        <v>7</v>
      </c>
      <c r="EE294" s="27" t="s">
        <v>8</v>
      </c>
      <c r="EG294" s="27" t="s">
        <v>8</v>
      </c>
      <c r="EI294" s="27" t="s">
        <v>8</v>
      </c>
      <c r="EK294" s="27" t="s">
        <v>8</v>
      </c>
    </row>
    <row r="295" spans="1:141" x14ac:dyDescent="0.25">
      <c r="A295" s="30">
        <v>6.8326401896430078E-2</v>
      </c>
      <c r="B295"/>
      <c r="C295"/>
      <c r="D295"/>
      <c r="E295"/>
      <c r="J295" s="27" t="s">
        <v>7</v>
      </c>
      <c r="K295" s="27" t="s">
        <v>8</v>
      </c>
      <c r="N295" s="27" t="s">
        <v>7</v>
      </c>
      <c r="O295" s="27" t="s">
        <v>8</v>
      </c>
      <c r="P295" s="27" t="s">
        <v>7</v>
      </c>
      <c r="Q295" s="27" t="s">
        <v>8</v>
      </c>
      <c r="R295" s="27" t="s">
        <v>7</v>
      </c>
      <c r="S295" s="27" t="s">
        <v>8</v>
      </c>
      <c r="T295" s="27" t="s">
        <v>7</v>
      </c>
      <c r="U295" s="27" t="s">
        <v>8</v>
      </c>
      <c r="V295" s="27" t="s">
        <v>7</v>
      </c>
      <c r="W295" s="27" t="s">
        <v>8</v>
      </c>
      <c r="X295" s="27" t="s">
        <v>7</v>
      </c>
      <c r="Y295" s="27" t="s">
        <v>8</v>
      </c>
      <c r="Z295" s="27" t="s">
        <v>7</v>
      </c>
      <c r="AW295" s="27" t="s">
        <v>8</v>
      </c>
      <c r="AX295" s="27" t="s">
        <v>7</v>
      </c>
      <c r="BI295" s="27" t="s">
        <v>8</v>
      </c>
      <c r="BJ295" s="27" t="s">
        <v>7</v>
      </c>
      <c r="BK295" s="27" t="s">
        <v>8</v>
      </c>
      <c r="BL295" s="27" t="s">
        <v>7</v>
      </c>
      <c r="BM295" s="27" t="s">
        <v>8</v>
      </c>
      <c r="BN295" s="27" t="s">
        <v>7</v>
      </c>
      <c r="BO295" s="27" t="s">
        <v>8</v>
      </c>
      <c r="BQ295" s="27" t="s">
        <v>8</v>
      </c>
      <c r="BR295" s="27" t="s">
        <v>7</v>
      </c>
      <c r="BV295" s="27" t="s">
        <v>7</v>
      </c>
      <c r="BY295" s="27" t="s">
        <v>8</v>
      </c>
      <c r="CA295" s="27" t="s">
        <v>8</v>
      </c>
      <c r="CB295" s="27" t="s">
        <v>7</v>
      </c>
      <c r="DH295" s="27" t="s">
        <v>7</v>
      </c>
      <c r="DK295" s="27" t="s">
        <v>8</v>
      </c>
      <c r="DL295" s="27" t="s">
        <v>7</v>
      </c>
      <c r="DO295" s="27" t="s">
        <v>8</v>
      </c>
      <c r="DP295" s="27" t="s">
        <v>7</v>
      </c>
      <c r="EE295" s="27" t="s">
        <v>8</v>
      </c>
      <c r="EF295" s="27" t="s">
        <v>7</v>
      </c>
      <c r="EG295" s="27" t="s">
        <v>8</v>
      </c>
      <c r="EH295" s="27" t="s">
        <v>7</v>
      </c>
      <c r="EI295" s="27" t="s">
        <v>8</v>
      </c>
      <c r="EJ295" s="27" t="s">
        <v>7</v>
      </c>
      <c r="EK295" s="27" t="s">
        <v>8</v>
      </c>
    </row>
    <row r="296" spans="1:141" x14ac:dyDescent="0.25">
      <c r="A296" s="30">
        <v>6.5072763710885759E-2</v>
      </c>
      <c r="B296"/>
      <c r="C296"/>
      <c r="D296"/>
      <c r="E296"/>
      <c r="J296" s="27" t="s">
        <v>7</v>
      </c>
      <c r="N296" s="27" t="s">
        <v>7</v>
      </c>
      <c r="O296" s="27" t="s">
        <v>8</v>
      </c>
      <c r="P296" s="27" t="s">
        <v>7</v>
      </c>
      <c r="Q296" s="27" t="s">
        <v>8</v>
      </c>
      <c r="R296" s="27" t="s">
        <v>7</v>
      </c>
      <c r="S296" s="27" t="s">
        <v>8</v>
      </c>
      <c r="T296" s="27" t="s">
        <v>7</v>
      </c>
      <c r="U296" s="27" t="s">
        <v>8</v>
      </c>
      <c r="V296" s="27" t="s">
        <v>7</v>
      </c>
      <c r="W296" s="27" t="s">
        <v>8</v>
      </c>
      <c r="X296" s="27" t="s">
        <v>7</v>
      </c>
      <c r="Y296" s="27" t="s">
        <v>8</v>
      </c>
      <c r="Z296" s="27" t="s">
        <v>7</v>
      </c>
      <c r="AW296" s="27" t="s">
        <v>8</v>
      </c>
      <c r="AX296" s="27" t="s">
        <v>7</v>
      </c>
      <c r="BA296" s="27" t="s">
        <v>8</v>
      </c>
      <c r="BI296" s="27" t="s">
        <v>8</v>
      </c>
      <c r="BJ296" s="27" t="s">
        <v>7</v>
      </c>
      <c r="BK296" s="27" t="s">
        <v>8</v>
      </c>
      <c r="BL296" s="27" t="s">
        <v>7</v>
      </c>
      <c r="BN296" s="27" t="s">
        <v>7</v>
      </c>
      <c r="BO296" s="27" t="s">
        <v>8</v>
      </c>
      <c r="BP296" s="27" t="s">
        <v>7</v>
      </c>
      <c r="BQ296" s="27" t="s">
        <v>8</v>
      </c>
      <c r="BV296" s="27" t="s">
        <v>7</v>
      </c>
      <c r="BY296" s="27" t="s">
        <v>8</v>
      </c>
      <c r="BZ296" s="27" t="s">
        <v>7</v>
      </c>
      <c r="CA296" s="27" t="s">
        <v>8</v>
      </c>
      <c r="DH296" s="27" t="s">
        <v>7</v>
      </c>
      <c r="DI296" s="27" t="s">
        <v>8</v>
      </c>
      <c r="DK296" s="27" t="s">
        <v>8</v>
      </c>
      <c r="DL296" s="27" t="s">
        <v>7</v>
      </c>
      <c r="DM296" s="27" t="s">
        <v>8</v>
      </c>
      <c r="DO296" s="27" t="s">
        <v>8</v>
      </c>
      <c r="DP296" s="27" t="s">
        <v>7</v>
      </c>
      <c r="EE296" s="27" t="s">
        <v>8</v>
      </c>
      <c r="EF296" s="27" t="s">
        <v>7</v>
      </c>
      <c r="EG296" s="27" t="s">
        <v>8</v>
      </c>
      <c r="EH296" s="27" t="s">
        <v>7</v>
      </c>
      <c r="EI296" s="27" t="s">
        <v>8</v>
      </c>
      <c r="EJ296" s="27" t="s">
        <v>7</v>
      </c>
      <c r="EK296" s="27" t="s">
        <v>8</v>
      </c>
    </row>
    <row r="297" spans="1:141" x14ac:dyDescent="0.25">
      <c r="A297" s="30">
        <v>6.197406067703403E-2</v>
      </c>
      <c r="B297"/>
      <c r="C297"/>
      <c r="D297"/>
      <c r="E297"/>
      <c r="N297" s="27" t="s">
        <v>7</v>
      </c>
      <c r="O297" s="27" t="s">
        <v>8</v>
      </c>
      <c r="P297" s="27" t="s">
        <v>7</v>
      </c>
      <c r="Q297" s="27" t="s">
        <v>8</v>
      </c>
      <c r="R297" s="27" t="s">
        <v>7</v>
      </c>
      <c r="S297" s="27" t="s">
        <v>8</v>
      </c>
      <c r="T297" s="27" t="s">
        <v>7</v>
      </c>
      <c r="U297" s="27" t="s">
        <v>8</v>
      </c>
      <c r="V297" s="27" t="s">
        <v>7</v>
      </c>
      <c r="W297" s="27" t="s">
        <v>8</v>
      </c>
      <c r="X297" s="27" t="s">
        <v>7</v>
      </c>
      <c r="Y297" s="27" t="s">
        <v>8</v>
      </c>
      <c r="Z297" s="27" t="s">
        <v>7</v>
      </c>
      <c r="AW297" s="27" t="s">
        <v>8</v>
      </c>
      <c r="AX297" s="27" t="s">
        <v>7</v>
      </c>
      <c r="BA297" s="27" t="s">
        <v>8</v>
      </c>
      <c r="BB297" s="27" t="s">
        <v>7</v>
      </c>
      <c r="BI297" s="27" t="s">
        <v>8</v>
      </c>
      <c r="BJ297" s="27" t="s">
        <v>7</v>
      </c>
      <c r="BK297" s="27" t="s">
        <v>8</v>
      </c>
      <c r="BN297" s="27" t="s">
        <v>7</v>
      </c>
      <c r="BO297" s="27" t="s">
        <v>8</v>
      </c>
      <c r="BP297" s="27" t="s">
        <v>7</v>
      </c>
      <c r="BQ297" s="27" t="s">
        <v>8</v>
      </c>
      <c r="BV297" s="27" t="s">
        <v>7</v>
      </c>
      <c r="BW297" s="27" t="s">
        <v>8</v>
      </c>
      <c r="BY297" s="27" t="s">
        <v>8</v>
      </c>
      <c r="BZ297" s="27" t="s">
        <v>7</v>
      </c>
      <c r="CA297" s="27" t="s">
        <v>8</v>
      </c>
      <c r="DH297" s="27" t="s">
        <v>7</v>
      </c>
      <c r="DI297" s="27" t="s">
        <v>8</v>
      </c>
      <c r="DJ297" s="27" t="s">
        <v>7</v>
      </c>
      <c r="DK297" s="27" t="s">
        <v>8</v>
      </c>
      <c r="DL297" s="27" t="s">
        <v>7</v>
      </c>
      <c r="DM297" s="27" t="s">
        <v>8</v>
      </c>
      <c r="DN297" s="27" t="s">
        <v>7</v>
      </c>
      <c r="DO297" s="27" t="s">
        <v>8</v>
      </c>
      <c r="DP297" s="27" t="s">
        <v>7</v>
      </c>
      <c r="EC297" s="27" t="s">
        <v>8</v>
      </c>
      <c r="EE297" s="27" t="s">
        <v>8</v>
      </c>
      <c r="EF297" s="27" t="s">
        <v>7</v>
      </c>
      <c r="EG297" s="27" t="s">
        <v>8</v>
      </c>
      <c r="EH297" s="27" t="s">
        <v>7</v>
      </c>
      <c r="EJ297" s="27" t="s">
        <v>7</v>
      </c>
    </row>
    <row r="298" spans="1:141" x14ac:dyDescent="0.25">
      <c r="A298" s="30">
        <v>5.9022914930508576E-2</v>
      </c>
      <c r="B298"/>
      <c r="C298"/>
      <c r="D298"/>
      <c r="E298"/>
      <c r="N298" s="27" t="s">
        <v>7</v>
      </c>
      <c r="P298" s="27" t="s">
        <v>7</v>
      </c>
      <c r="Q298" s="27" t="s">
        <v>8</v>
      </c>
      <c r="R298" s="27" t="s">
        <v>7</v>
      </c>
      <c r="S298" s="27" t="s">
        <v>8</v>
      </c>
      <c r="T298" s="27" t="s">
        <v>7</v>
      </c>
      <c r="U298" s="27" t="s">
        <v>8</v>
      </c>
      <c r="V298" s="27" t="s">
        <v>7</v>
      </c>
      <c r="W298" s="27" t="s">
        <v>8</v>
      </c>
      <c r="X298" s="27" t="s">
        <v>7</v>
      </c>
      <c r="Y298" s="27" t="s">
        <v>8</v>
      </c>
      <c r="Z298" s="27" t="s">
        <v>7</v>
      </c>
      <c r="AC298" s="27" t="s">
        <v>8</v>
      </c>
      <c r="AW298" s="27" t="s">
        <v>8</v>
      </c>
      <c r="AX298" s="27" t="s">
        <v>7</v>
      </c>
      <c r="BA298" s="27" t="s">
        <v>8</v>
      </c>
      <c r="BB298" s="27" t="s">
        <v>7</v>
      </c>
      <c r="BI298" s="27" t="s">
        <v>8</v>
      </c>
      <c r="BJ298" s="27" t="s">
        <v>7</v>
      </c>
      <c r="BK298" s="27" t="s">
        <v>8</v>
      </c>
      <c r="BN298" s="27" t="s">
        <v>7</v>
      </c>
      <c r="BP298" s="27" t="s">
        <v>7</v>
      </c>
      <c r="BV298" s="27" t="s">
        <v>7</v>
      </c>
      <c r="BW298" s="27" t="s">
        <v>8</v>
      </c>
      <c r="BX298" s="27" t="s">
        <v>7</v>
      </c>
      <c r="BY298" s="27" t="s">
        <v>8</v>
      </c>
      <c r="BZ298" s="27" t="s">
        <v>7</v>
      </c>
      <c r="CA298" s="27" t="s">
        <v>8</v>
      </c>
      <c r="DH298" s="27" t="s">
        <v>7</v>
      </c>
      <c r="DI298" s="27" t="s">
        <v>8</v>
      </c>
      <c r="DJ298" s="27" t="s">
        <v>7</v>
      </c>
      <c r="DK298" s="27" t="s">
        <v>8</v>
      </c>
      <c r="DL298" s="27" t="s">
        <v>7</v>
      </c>
      <c r="DM298" s="27" t="s">
        <v>8</v>
      </c>
      <c r="DN298" s="27" t="s">
        <v>7</v>
      </c>
      <c r="DO298" s="27" t="s">
        <v>8</v>
      </c>
      <c r="DP298" s="27" t="s">
        <v>7</v>
      </c>
      <c r="DQ298" s="27" t="s">
        <v>8</v>
      </c>
      <c r="EC298" s="27" t="s">
        <v>8</v>
      </c>
      <c r="ED298" s="27" t="s">
        <v>7</v>
      </c>
      <c r="EE298" s="27" t="s">
        <v>8</v>
      </c>
      <c r="EF298" s="27" t="s">
        <v>7</v>
      </c>
      <c r="EG298" s="27" t="s">
        <v>8</v>
      </c>
    </row>
    <row r="299" spans="1:141" x14ac:dyDescent="0.25">
      <c r="A299" s="30">
        <v>5.6212299933817669E-2</v>
      </c>
      <c r="B299"/>
      <c r="C299"/>
      <c r="D299"/>
      <c r="E299"/>
      <c r="P299" s="27" t="s">
        <v>7</v>
      </c>
      <c r="Q299" s="27" t="s">
        <v>8</v>
      </c>
      <c r="R299" s="27" t="s">
        <v>7</v>
      </c>
      <c r="T299" s="27" t="s">
        <v>7</v>
      </c>
      <c r="V299" s="27" t="s">
        <v>7</v>
      </c>
      <c r="W299" s="27" t="s">
        <v>8</v>
      </c>
      <c r="X299" s="27" t="s">
        <v>7</v>
      </c>
      <c r="Y299" s="27" t="s">
        <v>8</v>
      </c>
      <c r="Z299" s="27" t="s">
        <v>7</v>
      </c>
      <c r="AC299" s="27" t="s">
        <v>8</v>
      </c>
      <c r="AD299" s="27" t="s">
        <v>7</v>
      </c>
      <c r="AW299" s="27" t="s">
        <v>8</v>
      </c>
      <c r="AX299" s="27" t="s">
        <v>7</v>
      </c>
      <c r="BA299" s="27" t="s">
        <v>8</v>
      </c>
      <c r="BB299" s="27" t="s">
        <v>7</v>
      </c>
      <c r="BE299" s="27" t="s">
        <v>8</v>
      </c>
      <c r="BI299" s="27" t="s">
        <v>8</v>
      </c>
      <c r="BJ299" s="27" t="s">
        <v>7</v>
      </c>
      <c r="BK299" s="27" t="s">
        <v>8</v>
      </c>
      <c r="BV299" s="27" t="s">
        <v>7</v>
      </c>
      <c r="BW299" s="27" t="s">
        <v>8</v>
      </c>
      <c r="BX299" s="27" t="s">
        <v>7</v>
      </c>
      <c r="BY299" s="27" t="s">
        <v>8</v>
      </c>
      <c r="BZ299" s="27" t="s">
        <v>7</v>
      </c>
      <c r="CA299" s="27" t="s">
        <v>8</v>
      </c>
      <c r="DH299" s="27" t="s">
        <v>7</v>
      </c>
      <c r="DI299" s="27" t="s">
        <v>8</v>
      </c>
      <c r="DJ299" s="27" t="s">
        <v>7</v>
      </c>
      <c r="DK299" s="27" t="s">
        <v>8</v>
      </c>
      <c r="DL299" s="27" t="s">
        <v>7</v>
      </c>
      <c r="DM299" s="27" t="s">
        <v>8</v>
      </c>
      <c r="DN299" s="27" t="s">
        <v>7</v>
      </c>
      <c r="DO299" s="27" t="s">
        <v>8</v>
      </c>
      <c r="DP299" s="27" t="s">
        <v>7</v>
      </c>
      <c r="DQ299" s="27" t="s">
        <v>8</v>
      </c>
      <c r="DR299" s="27" t="s">
        <v>7</v>
      </c>
      <c r="DY299" s="27" t="s">
        <v>8</v>
      </c>
      <c r="EC299" s="27" t="s">
        <v>8</v>
      </c>
      <c r="ED299" s="27" t="s">
        <v>7</v>
      </c>
      <c r="EE299" s="27" t="s">
        <v>8</v>
      </c>
      <c r="EF299" s="27" t="s">
        <v>7</v>
      </c>
      <c r="EG299" s="27" t="s">
        <v>8</v>
      </c>
    </row>
    <row r="300" spans="1:141" x14ac:dyDescent="0.25">
      <c r="A300" s="30">
        <v>5.3535523746492994E-2</v>
      </c>
      <c r="B300"/>
      <c r="C300"/>
      <c r="D300"/>
      <c r="E300"/>
      <c r="P300" s="27" t="s">
        <v>7</v>
      </c>
      <c r="V300" s="27" t="s">
        <v>7</v>
      </c>
      <c r="X300" s="27" t="s">
        <v>7</v>
      </c>
      <c r="Y300" s="27" t="s">
        <v>8</v>
      </c>
      <c r="Z300" s="27" t="s">
        <v>7</v>
      </c>
      <c r="AA300" s="27" t="s">
        <v>8</v>
      </c>
      <c r="AC300" s="27" t="s">
        <v>8</v>
      </c>
      <c r="AD300" s="27" t="s">
        <v>7</v>
      </c>
      <c r="AE300" s="27" t="s">
        <v>8</v>
      </c>
      <c r="AW300" s="27" t="s">
        <v>8</v>
      </c>
      <c r="AX300" s="27" t="s">
        <v>7</v>
      </c>
      <c r="BA300" s="27" t="s">
        <v>8</v>
      </c>
      <c r="BB300" s="27" t="s">
        <v>7</v>
      </c>
      <c r="BE300" s="27" t="s">
        <v>8</v>
      </c>
      <c r="BF300" s="27" t="s">
        <v>7</v>
      </c>
      <c r="BI300" s="27" t="s">
        <v>8</v>
      </c>
      <c r="BJ300" s="27" t="s">
        <v>7</v>
      </c>
      <c r="BV300" s="27" t="s">
        <v>7</v>
      </c>
      <c r="BW300" s="27" t="s">
        <v>8</v>
      </c>
      <c r="BX300" s="27" t="s">
        <v>7</v>
      </c>
      <c r="BY300" s="27" t="s">
        <v>8</v>
      </c>
      <c r="BZ300" s="27" t="s">
        <v>7</v>
      </c>
      <c r="CA300" s="27" t="s">
        <v>8</v>
      </c>
      <c r="DH300" s="27" t="s">
        <v>7</v>
      </c>
      <c r="DI300" s="27" t="s">
        <v>8</v>
      </c>
      <c r="DJ300" s="27" t="s">
        <v>7</v>
      </c>
      <c r="DK300" s="27" t="s">
        <v>8</v>
      </c>
      <c r="DL300" s="27" t="s">
        <v>7</v>
      </c>
      <c r="DM300" s="27" t="s">
        <v>8</v>
      </c>
      <c r="DN300" s="27" t="s">
        <v>7</v>
      </c>
      <c r="DO300" s="27" t="s">
        <v>8</v>
      </c>
      <c r="DP300" s="27" t="s">
        <v>7</v>
      </c>
      <c r="DQ300" s="27" t="s">
        <v>8</v>
      </c>
      <c r="DR300" s="27" t="s">
        <v>7</v>
      </c>
      <c r="DY300" s="27" t="s">
        <v>8</v>
      </c>
      <c r="DZ300" s="27" t="s">
        <v>7</v>
      </c>
      <c r="EA300" s="27" t="s">
        <v>8</v>
      </c>
      <c r="EC300" s="27" t="s">
        <v>8</v>
      </c>
      <c r="ED300" s="27" t="s">
        <v>7</v>
      </c>
      <c r="EF300" s="27" t="s">
        <v>7</v>
      </c>
    </row>
    <row r="301" spans="1:141" x14ac:dyDescent="0.25">
      <c r="A301" s="30">
        <v>5.0986213091898068E-2</v>
      </c>
      <c r="B301"/>
      <c r="C301"/>
      <c r="D301"/>
      <c r="E301"/>
      <c r="X301" s="27" t="s">
        <v>7</v>
      </c>
      <c r="Z301" s="27" t="s">
        <v>7</v>
      </c>
      <c r="AA301" s="27" t="s">
        <v>8</v>
      </c>
      <c r="AB301" s="27" t="s">
        <v>7</v>
      </c>
      <c r="AC301" s="27" t="s">
        <v>8</v>
      </c>
      <c r="AD301" s="27" t="s">
        <v>7</v>
      </c>
      <c r="AE301" s="27" t="s">
        <v>8</v>
      </c>
      <c r="AF301" s="27" t="s">
        <v>7</v>
      </c>
      <c r="AO301" s="27" t="s">
        <v>8</v>
      </c>
      <c r="AW301" s="27" t="s">
        <v>8</v>
      </c>
      <c r="AX301" s="27" t="s">
        <v>7</v>
      </c>
      <c r="BA301" s="27" t="s">
        <v>8</v>
      </c>
      <c r="BB301" s="27" t="s">
        <v>7</v>
      </c>
      <c r="BE301" s="27" t="s">
        <v>8</v>
      </c>
      <c r="BF301" s="27" t="s">
        <v>7</v>
      </c>
      <c r="BI301" s="27" t="s">
        <v>8</v>
      </c>
      <c r="BV301" s="27" t="s">
        <v>7</v>
      </c>
      <c r="BW301" s="27" t="s">
        <v>8</v>
      </c>
      <c r="BX301" s="27" t="s">
        <v>7</v>
      </c>
      <c r="BY301" s="27" t="s">
        <v>8</v>
      </c>
      <c r="BZ301" s="27" t="s">
        <v>7</v>
      </c>
      <c r="DH301" s="27" t="s">
        <v>7</v>
      </c>
      <c r="DI301" s="27" t="s">
        <v>8</v>
      </c>
      <c r="DJ301" s="27" t="s">
        <v>7</v>
      </c>
      <c r="DK301" s="27" t="s">
        <v>8</v>
      </c>
      <c r="DL301" s="27" t="s">
        <v>7</v>
      </c>
      <c r="DM301" s="27" t="s">
        <v>8</v>
      </c>
      <c r="DN301" s="27" t="s">
        <v>7</v>
      </c>
      <c r="DO301" s="27" t="s">
        <v>8</v>
      </c>
      <c r="DP301" s="27" t="s">
        <v>7</v>
      </c>
      <c r="DQ301" s="27" t="s">
        <v>8</v>
      </c>
      <c r="DR301" s="27" t="s">
        <v>7</v>
      </c>
      <c r="DY301" s="27" t="s">
        <v>8</v>
      </c>
      <c r="DZ301" s="27" t="s">
        <v>7</v>
      </c>
      <c r="EA301" s="27" t="s">
        <v>8</v>
      </c>
      <c r="EB301" s="27" t="s">
        <v>7</v>
      </c>
      <c r="EC301" s="27" t="s">
        <v>8</v>
      </c>
    </row>
    <row r="302" spans="1:141" x14ac:dyDescent="0.25">
      <c r="A302" s="30">
        <v>4.8558298182760043E-2</v>
      </c>
      <c r="B302"/>
      <c r="C302"/>
      <c r="D302"/>
      <c r="E302"/>
      <c r="Z302" s="27" t="s">
        <v>7</v>
      </c>
      <c r="AA302" s="27" t="s">
        <v>8</v>
      </c>
      <c r="AB302" s="27" t="s">
        <v>7</v>
      </c>
      <c r="AC302" s="27" t="s">
        <v>8</v>
      </c>
      <c r="AD302" s="27" t="s">
        <v>7</v>
      </c>
      <c r="AE302" s="27" t="s">
        <v>8</v>
      </c>
      <c r="AF302" s="27" t="s">
        <v>7</v>
      </c>
      <c r="AO302" s="27" t="s">
        <v>8</v>
      </c>
      <c r="AP302" s="27" t="s">
        <v>7</v>
      </c>
      <c r="AW302" s="27" t="s">
        <v>8</v>
      </c>
      <c r="AX302" s="27" t="s">
        <v>7</v>
      </c>
      <c r="BA302" s="27" t="s">
        <v>8</v>
      </c>
      <c r="BB302" s="27" t="s">
        <v>7</v>
      </c>
      <c r="BE302" s="27" t="s">
        <v>8</v>
      </c>
      <c r="BF302" s="27" t="s">
        <v>7</v>
      </c>
      <c r="BI302" s="27" t="s">
        <v>8</v>
      </c>
      <c r="BV302" s="27" t="s">
        <v>7</v>
      </c>
      <c r="BX302" s="27" t="s">
        <v>7</v>
      </c>
      <c r="DH302" s="27" t="s">
        <v>7</v>
      </c>
      <c r="DI302" s="27" t="s">
        <v>8</v>
      </c>
      <c r="DJ302" s="27" t="s">
        <v>7</v>
      </c>
      <c r="DK302" s="27" t="s">
        <v>8</v>
      </c>
      <c r="DL302" s="27" t="s">
        <v>7</v>
      </c>
      <c r="DN302" s="27" t="s">
        <v>7</v>
      </c>
      <c r="DO302" s="27" t="s">
        <v>8</v>
      </c>
      <c r="DP302" s="27" t="s">
        <v>7</v>
      </c>
      <c r="DR302" s="27" t="s">
        <v>7</v>
      </c>
      <c r="DY302" s="27" t="s">
        <v>8</v>
      </c>
      <c r="DZ302" s="27" t="s">
        <v>7</v>
      </c>
      <c r="EA302" s="27" t="s">
        <v>8</v>
      </c>
      <c r="EB302" s="27" t="s">
        <v>7</v>
      </c>
      <c r="EC302" s="27" t="s">
        <v>8</v>
      </c>
    </row>
    <row r="303" spans="1:141" x14ac:dyDescent="0.25">
      <c r="A303" s="30">
        <v>4.6245998269295263E-2</v>
      </c>
      <c r="B303"/>
      <c r="C303"/>
      <c r="D303"/>
      <c r="E303"/>
      <c r="Z303" s="27" t="s">
        <v>7</v>
      </c>
      <c r="AA303" s="27" t="s">
        <v>8</v>
      </c>
      <c r="AB303" s="27" t="s">
        <v>7</v>
      </c>
      <c r="AC303" s="27" t="s">
        <v>8</v>
      </c>
      <c r="AD303" s="27" t="s">
        <v>7</v>
      </c>
      <c r="AE303" s="27" t="s">
        <v>8</v>
      </c>
      <c r="AF303" s="27" t="s">
        <v>7</v>
      </c>
      <c r="AO303" s="27" t="s">
        <v>8</v>
      </c>
      <c r="AP303" s="27" t="s">
        <v>7</v>
      </c>
      <c r="AQ303" s="27" t="s">
        <v>8</v>
      </c>
      <c r="AW303" s="27" t="s">
        <v>8</v>
      </c>
      <c r="AX303" s="27" t="s">
        <v>7</v>
      </c>
      <c r="BA303" s="27" t="s">
        <v>8</v>
      </c>
      <c r="BB303" s="27" t="s">
        <v>7</v>
      </c>
      <c r="BC303" s="27" t="s">
        <v>8</v>
      </c>
      <c r="BE303" s="27" t="s">
        <v>8</v>
      </c>
      <c r="BF303" s="27" t="s">
        <v>7</v>
      </c>
      <c r="BI303" s="27" t="s">
        <v>8</v>
      </c>
      <c r="DH303" s="27" t="s">
        <v>7</v>
      </c>
      <c r="DI303" s="27" t="s">
        <v>8</v>
      </c>
      <c r="DJ303" s="27" t="s">
        <v>7</v>
      </c>
      <c r="DK303" s="27" t="s">
        <v>8</v>
      </c>
      <c r="DN303" s="27" t="s">
        <v>7</v>
      </c>
      <c r="DO303" s="27" t="s">
        <v>8</v>
      </c>
      <c r="DR303" s="27" t="s">
        <v>7</v>
      </c>
      <c r="DY303" s="27" t="s">
        <v>8</v>
      </c>
      <c r="DZ303" s="27" t="s">
        <v>7</v>
      </c>
      <c r="EA303" s="27" t="s">
        <v>8</v>
      </c>
      <c r="EB303" s="27" t="s">
        <v>7</v>
      </c>
      <c r="EC303" s="27" t="s">
        <v>8</v>
      </c>
    </row>
    <row r="304" spans="1:141" x14ac:dyDescent="0.25">
      <c r="A304" s="30">
        <v>4.4043807875519279E-2</v>
      </c>
      <c r="B304"/>
      <c r="C304"/>
      <c r="D304"/>
      <c r="E304"/>
      <c r="Z304" s="27" t="s">
        <v>7</v>
      </c>
      <c r="AA304" s="27" t="s">
        <v>8</v>
      </c>
      <c r="AB304" s="27" t="s">
        <v>7</v>
      </c>
      <c r="AC304" s="27" t="s">
        <v>8</v>
      </c>
      <c r="AD304" s="27" t="s">
        <v>7</v>
      </c>
      <c r="AE304" s="27" t="s">
        <v>8</v>
      </c>
      <c r="AF304" s="27" t="s">
        <v>7</v>
      </c>
      <c r="AO304" s="27" t="s">
        <v>8</v>
      </c>
      <c r="AP304" s="27" t="s">
        <v>7</v>
      </c>
      <c r="AQ304" s="27" t="s">
        <v>8</v>
      </c>
      <c r="AR304" s="27" t="s">
        <v>7</v>
      </c>
      <c r="AW304" s="27" t="s">
        <v>8</v>
      </c>
      <c r="AX304" s="27" t="s">
        <v>7</v>
      </c>
      <c r="BA304" s="27" t="s">
        <v>8</v>
      </c>
      <c r="BB304" s="27" t="s">
        <v>7</v>
      </c>
      <c r="BC304" s="27" t="s">
        <v>8</v>
      </c>
      <c r="BD304" s="27" t="s">
        <v>7</v>
      </c>
      <c r="BE304" s="27" t="s">
        <v>8</v>
      </c>
      <c r="BF304" s="27" t="s">
        <v>7</v>
      </c>
      <c r="BG304" s="27" t="s">
        <v>8</v>
      </c>
      <c r="BI304" s="27" t="s">
        <v>8</v>
      </c>
      <c r="DH304" s="27" t="s">
        <v>7</v>
      </c>
      <c r="DI304" s="27" t="s">
        <v>8</v>
      </c>
      <c r="DJ304" s="27" t="s">
        <v>7</v>
      </c>
      <c r="DK304" s="27" t="s">
        <v>8</v>
      </c>
      <c r="DN304" s="27" t="s">
        <v>7</v>
      </c>
      <c r="DR304" s="27" t="s">
        <v>7</v>
      </c>
      <c r="DY304" s="27" t="s">
        <v>8</v>
      </c>
      <c r="DZ304" s="27" t="s">
        <v>7</v>
      </c>
      <c r="EA304" s="27" t="s">
        <v>8</v>
      </c>
      <c r="EB304" s="27" t="s">
        <v>7</v>
      </c>
      <c r="EC304" s="27" t="s">
        <v>8</v>
      </c>
    </row>
    <row r="305" spans="1:133" x14ac:dyDescent="0.25">
      <c r="A305" s="30">
        <v>4.1946483690970725E-2</v>
      </c>
      <c r="B305"/>
      <c r="C305"/>
      <c r="D305"/>
      <c r="E305"/>
      <c r="Z305" s="27" t="s">
        <v>7</v>
      </c>
      <c r="AA305" s="27" t="s">
        <v>8</v>
      </c>
      <c r="AB305" s="27" t="s">
        <v>7</v>
      </c>
      <c r="AC305" s="27" t="s">
        <v>8</v>
      </c>
      <c r="AD305" s="27" t="s">
        <v>7</v>
      </c>
      <c r="AE305" s="27" t="s">
        <v>8</v>
      </c>
      <c r="AF305" s="27" t="s">
        <v>7</v>
      </c>
      <c r="AM305" s="27" t="s">
        <v>8</v>
      </c>
      <c r="AO305" s="27" t="s">
        <v>8</v>
      </c>
      <c r="AP305" s="27" t="s">
        <v>7</v>
      </c>
      <c r="AQ305" s="27" t="s">
        <v>8</v>
      </c>
      <c r="AR305" s="27" t="s">
        <v>7</v>
      </c>
      <c r="AW305" s="27" t="s">
        <v>8</v>
      </c>
      <c r="AX305" s="27" t="s">
        <v>7</v>
      </c>
      <c r="BA305" s="27" t="s">
        <v>8</v>
      </c>
      <c r="BB305" s="27" t="s">
        <v>7</v>
      </c>
      <c r="BC305" s="27" t="s">
        <v>8</v>
      </c>
      <c r="BD305" s="27" t="s">
        <v>7</v>
      </c>
      <c r="BE305" s="27" t="s">
        <v>8</v>
      </c>
      <c r="BF305" s="27" t="s">
        <v>7</v>
      </c>
      <c r="BG305" s="27" t="s">
        <v>8</v>
      </c>
      <c r="BH305" s="27" t="s">
        <v>7</v>
      </c>
      <c r="BI305" s="27" t="s">
        <v>8</v>
      </c>
      <c r="DH305" s="27" t="s">
        <v>7</v>
      </c>
      <c r="DJ305" s="27" t="s">
        <v>7</v>
      </c>
      <c r="DK305" s="27" t="s">
        <v>8</v>
      </c>
      <c r="DR305" s="27" t="s">
        <v>7</v>
      </c>
      <c r="DU305" s="27" t="s">
        <v>8</v>
      </c>
      <c r="DW305" s="27" t="s">
        <v>8</v>
      </c>
      <c r="DY305" s="27" t="s">
        <v>8</v>
      </c>
      <c r="DZ305" s="27" t="s">
        <v>7</v>
      </c>
      <c r="EA305" s="27" t="s">
        <v>8</v>
      </c>
      <c r="EB305" s="27" t="s">
        <v>7</v>
      </c>
      <c r="EC305" s="27" t="s">
        <v>8</v>
      </c>
    </row>
    <row r="306" spans="1:133" x14ac:dyDescent="0.25">
      <c r="A306" s="30">
        <v>3.9949032086638768E-2</v>
      </c>
      <c r="B306"/>
      <c r="C306"/>
      <c r="D306"/>
      <c r="E306"/>
      <c r="Z306" s="27" t="s">
        <v>7</v>
      </c>
      <c r="AB306" s="27" t="s">
        <v>7</v>
      </c>
      <c r="AD306" s="27" t="s">
        <v>7</v>
      </c>
      <c r="AF306" s="27" t="s">
        <v>7</v>
      </c>
      <c r="AG306" s="27" t="s">
        <v>8</v>
      </c>
      <c r="AI306" s="27" t="s">
        <v>8</v>
      </c>
      <c r="AK306" s="27" t="s">
        <v>8</v>
      </c>
      <c r="AM306" s="27" t="s">
        <v>8</v>
      </c>
      <c r="AN306" s="27" t="s">
        <v>7</v>
      </c>
      <c r="AO306" s="27" t="s">
        <v>8</v>
      </c>
      <c r="AP306" s="27" t="s">
        <v>7</v>
      </c>
      <c r="AQ306" s="27" t="s">
        <v>8</v>
      </c>
      <c r="AR306" s="27" t="s">
        <v>7</v>
      </c>
      <c r="AS306" s="27" t="s">
        <v>8</v>
      </c>
      <c r="AW306" s="27" t="s">
        <v>8</v>
      </c>
      <c r="AX306" s="27" t="s">
        <v>7</v>
      </c>
      <c r="AY306" s="27" t="s">
        <v>8</v>
      </c>
      <c r="BA306" s="27" t="s">
        <v>8</v>
      </c>
      <c r="BB306" s="27" t="s">
        <v>7</v>
      </c>
      <c r="BC306" s="27" t="s">
        <v>8</v>
      </c>
      <c r="BD306" s="27" t="s">
        <v>7</v>
      </c>
      <c r="BE306" s="27" t="s">
        <v>8</v>
      </c>
      <c r="BF306" s="27" t="s">
        <v>7</v>
      </c>
      <c r="BG306" s="27" t="s">
        <v>8</v>
      </c>
      <c r="BH306" s="27" t="s">
        <v>7</v>
      </c>
      <c r="BI306" s="27" t="s">
        <v>8</v>
      </c>
      <c r="DJ306" s="27" t="s">
        <v>7</v>
      </c>
      <c r="DK306" s="27" t="s">
        <v>8</v>
      </c>
      <c r="DR306" s="27" t="s">
        <v>7</v>
      </c>
      <c r="DU306" s="27" t="s">
        <v>8</v>
      </c>
      <c r="DV306" s="27" t="s">
        <v>7</v>
      </c>
      <c r="DW306" s="27" t="s">
        <v>8</v>
      </c>
      <c r="DX306" s="27" t="s">
        <v>7</v>
      </c>
      <c r="DY306" s="27" t="s">
        <v>8</v>
      </c>
      <c r="DZ306" s="27" t="s">
        <v>7</v>
      </c>
      <c r="EA306" s="27" t="s">
        <v>8</v>
      </c>
      <c r="EB306" s="27" t="s">
        <v>7</v>
      </c>
    </row>
    <row r="307" spans="1:133" x14ac:dyDescent="0.25">
      <c r="A307" s="30">
        <v>3.8046697225370241E-2</v>
      </c>
      <c r="B307"/>
      <c r="C307"/>
      <c r="D307"/>
      <c r="E307"/>
      <c r="AF307" s="27" t="s">
        <v>7</v>
      </c>
      <c r="AG307" s="27" t="s">
        <v>8</v>
      </c>
      <c r="AH307" s="27" t="s">
        <v>7</v>
      </c>
      <c r="AI307" s="27" t="s">
        <v>8</v>
      </c>
      <c r="AJ307" s="27" t="s">
        <v>7</v>
      </c>
      <c r="AK307" s="27" t="s">
        <v>8</v>
      </c>
      <c r="AL307" s="27" t="s">
        <v>7</v>
      </c>
      <c r="AM307" s="27" t="s">
        <v>8</v>
      </c>
      <c r="AN307" s="27" t="s">
        <v>7</v>
      </c>
      <c r="AO307" s="27" t="s">
        <v>8</v>
      </c>
      <c r="AP307" s="27" t="s">
        <v>7</v>
      </c>
      <c r="AQ307" s="27" t="s">
        <v>8</v>
      </c>
      <c r="AR307" s="27" t="s">
        <v>7</v>
      </c>
      <c r="AS307" s="27" t="s">
        <v>8</v>
      </c>
      <c r="AT307" s="27" t="s">
        <v>7</v>
      </c>
      <c r="AU307" s="27" t="s">
        <v>8</v>
      </c>
      <c r="AW307" s="27" t="s">
        <v>8</v>
      </c>
      <c r="AX307" s="27" t="s">
        <v>7</v>
      </c>
      <c r="AY307" s="27" t="s">
        <v>8</v>
      </c>
      <c r="AZ307" s="27" t="s">
        <v>7</v>
      </c>
      <c r="BA307" s="27" t="s">
        <v>8</v>
      </c>
      <c r="BB307" s="27" t="s">
        <v>7</v>
      </c>
      <c r="BC307" s="27" t="s">
        <v>8</v>
      </c>
      <c r="BD307" s="27" t="s">
        <v>7</v>
      </c>
      <c r="BE307" s="27" t="s">
        <v>8</v>
      </c>
      <c r="BF307" s="27" t="s">
        <v>7</v>
      </c>
      <c r="BG307" s="27" t="s">
        <v>8</v>
      </c>
      <c r="BH307" s="27" t="s">
        <v>7</v>
      </c>
      <c r="BI307" s="27" t="s">
        <v>8</v>
      </c>
      <c r="DJ307" s="27" t="s">
        <v>7</v>
      </c>
      <c r="DK307" s="27" t="s">
        <v>8</v>
      </c>
      <c r="DR307" s="27" t="s">
        <v>7</v>
      </c>
      <c r="DS307" s="27" t="s">
        <v>8</v>
      </c>
      <c r="DU307" s="27" t="s">
        <v>8</v>
      </c>
      <c r="DV307" s="27" t="s">
        <v>7</v>
      </c>
      <c r="DW307" s="27" t="s">
        <v>8</v>
      </c>
      <c r="DX307" s="27" t="s">
        <v>7</v>
      </c>
      <c r="DY307" s="27" t="s">
        <v>8</v>
      </c>
      <c r="DZ307" s="27" t="s">
        <v>7</v>
      </c>
    </row>
    <row r="308" spans="1:133" x14ac:dyDescent="0.25">
      <c r="A308" s="30">
        <v>3.6234949738447833E-2</v>
      </c>
      <c r="B308"/>
      <c r="C308"/>
      <c r="D308"/>
      <c r="E308"/>
      <c r="AF308" s="27" t="s">
        <v>7</v>
      </c>
      <c r="AG308" s="27" t="s">
        <v>8</v>
      </c>
      <c r="AH308" s="27" t="s">
        <v>7</v>
      </c>
      <c r="AI308" s="27" t="s">
        <v>8</v>
      </c>
      <c r="AJ308" s="27" t="s">
        <v>7</v>
      </c>
      <c r="AK308" s="27" t="s">
        <v>8</v>
      </c>
      <c r="AL308" s="27" t="s">
        <v>7</v>
      </c>
      <c r="AM308" s="27" t="s">
        <v>8</v>
      </c>
      <c r="AN308" s="27" t="s">
        <v>7</v>
      </c>
      <c r="AO308" s="27" t="s">
        <v>8</v>
      </c>
      <c r="AP308" s="27" t="s">
        <v>7</v>
      </c>
      <c r="AQ308" s="27" t="s">
        <v>8</v>
      </c>
      <c r="AR308" s="27" t="s">
        <v>7</v>
      </c>
      <c r="AS308" s="27" t="s">
        <v>8</v>
      </c>
      <c r="AT308" s="27" t="s">
        <v>7</v>
      </c>
      <c r="AU308" s="27" t="s">
        <v>8</v>
      </c>
      <c r="AV308" s="27" t="s">
        <v>7</v>
      </c>
      <c r="AW308" s="27" t="s">
        <v>8</v>
      </c>
      <c r="AX308" s="27" t="s">
        <v>7</v>
      </c>
      <c r="AY308" s="27" t="s">
        <v>8</v>
      </c>
      <c r="AZ308" s="27" t="s">
        <v>7</v>
      </c>
      <c r="BA308" s="27" t="s">
        <v>8</v>
      </c>
      <c r="BB308" s="27" t="s">
        <v>7</v>
      </c>
      <c r="BC308" s="27" t="s">
        <v>8</v>
      </c>
      <c r="BD308" s="27" t="s">
        <v>7</v>
      </c>
      <c r="BE308" s="27" t="s">
        <v>8</v>
      </c>
      <c r="BF308" s="27" t="s">
        <v>7</v>
      </c>
      <c r="BH308" s="27" t="s">
        <v>7</v>
      </c>
      <c r="DJ308" s="27" t="s">
        <v>7</v>
      </c>
      <c r="DK308" s="27" t="s">
        <v>8</v>
      </c>
      <c r="DR308" s="27" t="s">
        <v>7</v>
      </c>
      <c r="DS308" s="27" t="s">
        <v>8</v>
      </c>
      <c r="DT308" s="27" t="s">
        <v>7</v>
      </c>
      <c r="DU308" s="27" t="s">
        <v>8</v>
      </c>
      <c r="DV308" s="27" t="s">
        <v>7</v>
      </c>
      <c r="DX308" s="27" t="s">
        <v>7</v>
      </c>
      <c r="DY308" s="27" t="s">
        <v>8</v>
      </c>
    </row>
    <row r="309" spans="1:133" x14ac:dyDescent="0.25">
      <c r="A309" s="30">
        <v>3.4509475941378875E-2</v>
      </c>
      <c r="B309"/>
      <c r="C309"/>
      <c r="D309"/>
      <c r="E309"/>
      <c r="AF309" s="27" t="s">
        <v>7</v>
      </c>
      <c r="AG309" s="27" t="s">
        <v>8</v>
      </c>
      <c r="AH309" s="27" t="s">
        <v>7</v>
      </c>
      <c r="AI309" s="27" t="s">
        <v>8</v>
      </c>
      <c r="AJ309" s="27" t="s">
        <v>7</v>
      </c>
      <c r="AK309" s="27" t="s">
        <v>8</v>
      </c>
      <c r="AL309" s="27" t="s">
        <v>7</v>
      </c>
      <c r="AM309" s="27" t="s">
        <v>8</v>
      </c>
      <c r="AN309" s="27" t="s">
        <v>7</v>
      </c>
      <c r="AO309" s="27" t="s">
        <v>8</v>
      </c>
      <c r="AP309" s="27" t="s">
        <v>7</v>
      </c>
      <c r="AR309" s="27" t="s">
        <v>7</v>
      </c>
      <c r="AS309" s="27" t="s">
        <v>8</v>
      </c>
      <c r="AT309" s="27" t="s">
        <v>7</v>
      </c>
      <c r="AU309" s="27" t="s">
        <v>8</v>
      </c>
      <c r="AV309" s="27" t="s">
        <v>7</v>
      </c>
      <c r="AW309" s="27" t="s">
        <v>8</v>
      </c>
      <c r="AX309" s="27" t="s">
        <v>7</v>
      </c>
      <c r="AY309" s="27" t="s">
        <v>8</v>
      </c>
      <c r="AZ309" s="27" t="s">
        <v>7</v>
      </c>
      <c r="BA309" s="27" t="s">
        <v>8</v>
      </c>
      <c r="BB309" s="27" t="s">
        <v>7</v>
      </c>
      <c r="BC309" s="27" t="s">
        <v>8</v>
      </c>
      <c r="BD309" s="27" t="s">
        <v>7</v>
      </c>
      <c r="BE309" s="27" t="s">
        <v>8</v>
      </c>
      <c r="DJ309" s="27" t="s">
        <v>7</v>
      </c>
      <c r="DR309" s="27" t="s">
        <v>7</v>
      </c>
      <c r="DS309" s="27" t="s">
        <v>8</v>
      </c>
      <c r="DT309" s="27" t="s">
        <v>7</v>
      </c>
      <c r="DU309" s="27" t="s">
        <v>8</v>
      </c>
      <c r="DX309" s="27" t="s">
        <v>7</v>
      </c>
      <c r="DY309" s="27" t="s">
        <v>8</v>
      </c>
    </row>
    <row r="310" spans="1:133" x14ac:dyDescent="0.25">
      <c r="A310" s="30">
        <v>3.286616756321796E-2</v>
      </c>
      <c r="B310"/>
      <c r="C310"/>
      <c r="D310"/>
      <c r="E310"/>
      <c r="AF310" s="27" t="s">
        <v>7</v>
      </c>
      <c r="AH310" s="27" t="s">
        <v>7</v>
      </c>
      <c r="AJ310" s="27" t="s">
        <v>7</v>
      </c>
      <c r="AL310" s="27" t="s">
        <v>7</v>
      </c>
      <c r="AM310" s="27" t="s">
        <v>8</v>
      </c>
      <c r="AN310" s="27" t="s">
        <v>7</v>
      </c>
      <c r="AO310" s="27" t="s">
        <v>8</v>
      </c>
      <c r="AR310" s="27" t="s">
        <v>7</v>
      </c>
      <c r="AT310" s="27" t="s">
        <v>7</v>
      </c>
      <c r="AU310" s="27" t="s">
        <v>8</v>
      </c>
      <c r="AV310" s="27" t="s">
        <v>7</v>
      </c>
      <c r="AW310" s="27" t="s">
        <v>8</v>
      </c>
      <c r="AX310" s="27" t="s">
        <v>7</v>
      </c>
      <c r="AY310" s="27" t="s">
        <v>8</v>
      </c>
      <c r="AZ310" s="27" t="s">
        <v>7</v>
      </c>
      <c r="BA310" s="27" t="s">
        <v>8</v>
      </c>
      <c r="BB310" s="27" t="s">
        <v>7</v>
      </c>
      <c r="BC310" s="27" t="s">
        <v>8</v>
      </c>
      <c r="BD310" s="27" t="s">
        <v>7</v>
      </c>
      <c r="BE310" s="27" t="s">
        <v>8</v>
      </c>
      <c r="DR310" s="27" t="s">
        <v>7</v>
      </c>
      <c r="DS310" s="27" t="s">
        <v>8</v>
      </c>
      <c r="DT310" s="27" t="s">
        <v>7</v>
      </c>
      <c r="DU310" s="27" t="s">
        <v>8</v>
      </c>
      <c r="DX310" s="27" t="s">
        <v>7</v>
      </c>
      <c r="DY310" s="27" t="s">
        <v>8</v>
      </c>
    </row>
    <row r="311" spans="1:133" x14ac:dyDescent="0.25">
      <c r="A311" s="30">
        <v>3.1301111964969472E-2</v>
      </c>
      <c r="B311"/>
      <c r="C311"/>
      <c r="D311"/>
      <c r="E311"/>
      <c r="AL311" s="27" t="s">
        <v>7</v>
      </c>
      <c r="AM311" s="27" t="s">
        <v>8</v>
      </c>
      <c r="AN311" s="27" t="s">
        <v>7</v>
      </c>
      <c r="AT311" s="27" t="s">
        <v>7</v>
      </c>
      <c r="AV311" s="27" t="s">
        <v>7</v>
      </c>
      <c r="AW311" s="27" t="s">
        <v>8</v>
      </c>
      <c r="AX311" s="27" t="s">
        <v>7</v>
      </c>
      <c r="AY311" s="27" t="s">
        <v>8</v>
      </c>
      <c r="AZ311" s="27" t="s">
        <v>7</v>
      </c>
      <c r="BA311" s="27" t="s">
        <v>8</v>
      </c>
      <c r="BB311" s="27" t="s">
        <v>7</v>
      </c>
      <c r="BC311" s="27" t="s">
        <v>8</v>
      </c>
      <c r="BD311" s="27" t="s">
        <v>7</v>
      </c>
      <c r="DR311" s="27" t="s">
        <v>7</v>
      </c>
      <c r="DS311" s="27" t="s">
        <v>8</v>
      </c>
      <c r="DT311" s="27" t="s">
        <v>7</v>
      </c>
      <c r="DU311" s="27" t="s">
        <v>8</v>
      </c>
      <c r="DX311" s="18" t="s">
        <v>7</v>
      </c>
      <c r="DY311" s="27" t="s">
        <v>8</v>
      </c>
    </row>
    <row r="312" spans="1:133" x14ac:dyDescent="0.25">
      <c r="A312" s="30">
        <v>2.9810582823780438E-2</v>
      </c>
      <c r="B312"/>
      <c r="C312"/>
      <c r="D312"/>
      <c r="E312"/>
      <c r="AL312" s="27" t="s">
        <v>7</v>
      </c>
      <c r="AM312" s="27" t="s">
        <v>8</v>
      </c>
      <c r="AV312" s="27" t="s">
        <v>7</v>
      </c>
      <c r="AX312" s="27" t="s">
        <v>7</v>
      </c>
      <c r="AY312" s="27" t="s">
        <v>8</v>
      </c>
      <c r="AZ312" s="27" t="s">
        <v>7</v>
      </c>
      <c r="BA312" s="27" t="s">
        <v>8</v>
      </c>
      <c r="BB312" s="27" t="s">
        <v>7</v>
      </c>
      <c r="BC312" s="27" t="s">
        <v>8</v>
      </c>
      <c r="DR312" s="27" t="s">
        <v>7</v>
      </c>
      <c r="DS312" s="27" t="s">
        <v>8</v>
      </c>
      <c r="DT312" s="27" t="s">
        <v>7</v>
      </c>
      <c r="DU312" s="27" t="s">
        <v>8</v>
      </c>
      <c r="DX312" s="27" t="s">
        <v>7</v>
      </c>
      <c r="DY312" s="27" t="s">
        <v>8</v>
      </c>
    </row>
    <row r="313" spans="1:133" x14ac:dyDescent="0.25">
      <c r="A313" s="30">
        <v>2.8391031260743264E-2</v>
      </c>
      <c r="B313"/>
      <c r="C313"/>
      <c r="D313"/>
      <c r="E313"/>
      <c r="AL313" s="27" t="s">
        <v>7</v>
      </c>
      <c r="AM313" s="27" t="s">
        <v>8</v>
      </c>
      <c r="AX313" s="27" t="s">
        <v>7</v>
      </c>
      <c r="AZ313" s="27" t="s">
        <v>7</v>
      </c>
      <c r="BA313" s="27" t="s">
        <v>8</v>
      </c>
      <c r="BB313" s="27" t="s">
        <v>7</v>
      </c>
      <c r="DR313" s="27" t="s">
        <v>7</v>
      </c>
      <c r="DT313" s="27" t="s">
        <v>7</v>
      </c>
      <c r="DX313" s="27" t="s">
        <v>7</v>
      </c>
    </row>
    <row r="314" spans="1:133" x14ac:dyDescent="0.25">
      <c r="A314" s="30">
        <v>2.7039077391184052E-2</v>
      </c>
      <c r="B314"/>
      <c r="C314"/>
      <c r="D314"/>
      <c r="E314"/>
      <c r="AL314" s="27" t="s">
        <v>7</v>
      </c>
      <c r="AZ314" s="27" t="s">
        <v>7</v>
      </c>
    </row>
    <row r="315" spans="1:133" x14ac:dyDescent="0.25">
      <c r="A315" s="30">
        <v>2.5751502277318133E-2</v>
      </c>
      <c r="B315"/>
      <c r="C315"/>
      <c r="D315"/>
      <c r="E315"/>
    </row>
    <row r="316" spans="1:133" x14ac:dyDescent="0.25">
      <c r="A316" s="30">
        <v>2.4525240264112496E-2</v>
      </c>
      <c r="B316"/>
      <c r="C316"/>
      <c r="D316"/>
      <c r="E316"/>
    </row>
    <row r="317" spans="1:133" x14ac:dyDescent="0.25">
      <c r="A317" s="30">
        <v>2.3357371680107129E-2</v>
      </c>
      <c r="B317"/>
      <c r="C317"/>
      <c r="D317"/>
      <c r="E317"/>
    </row>
    <row r="318" spans="1:133" x14ac:dyDescent="0.25">
      <c r="A318" s="30">
        <v>2.2245115885816305E-2</v>
      </c>
      <c r="B318"/>
      <c r="C318"/>
      <c r="D318"/>
      <c r="E318"/>
    </row>
    <row r="319" spans="1:133" x14ac:dyDescent="0.25">
      <c r="A319" s="30">
        <v>2.1185824653158377E-2</v>
      </c>
      <c r="B319"/>
      <c r="C319"/>
      <c r="D319"/>
      <c r="E319"/>
    </row>
    <row r="320" spans="1:133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44" operator="equal">
      <formula>$U$1</formula>
    </cfRule>
    <cfRule type="cellIs" dxfId="67" priority="945" operator="equal">
      <formula>$S$1</formula>
    </cfRule>
  </conditionalFormatting>
  <conditionalFormatting sqref="D136">
    <cfRule type="cellIs" dxfId="66" priority="942" operator="equal">
      <formula>$S$1</formula>
    </cfRule>
    <cfRule type="cellIs" dxfId="65" priority="943" operator="equal">
      <formula>$U$1</formula>
    </cfRule>
  </conditionalFormatting>
  <conditionalFormatting sqref="C162">
    <cfRule type="cellIs" dxfId="64" priority="940" operator="equal">
      <formula>$U$1</formula>
    </cfRule>
    <cfRule type="cellIs" dxfId="63" priority="941" operator="equal">
      <formula>$S$1</formula>
    </cfRule>
  </conditionalFormatting>
  <conditionalFormatting sqref="D162">
    <cfRule type="cellIs" dxfId="62" priority="938" operator="equal">
      <formula>$S$1</formula>
    </cfRule>
    <cfRule type="cellIs" dxfId="61" priority="939" operator="equal">
      <formula>$U$1</formula>
    </cfRule>
  </conditionalFormatting>
  <conditionalFormatting sqref="C187">
    <cfRule type="cellIs" dxfId="60" priority="936" operator="equal">
      <formula>$U$1</formula>
    </cfRule>
    <cfRule type="cellIs" dxfId="59" priority="937" operator="equal">
      <formula>$S$1</formula>
    </cfRule>
  </conditionalFormatting>
  <conditionalFormatting sqref="D187">
    <cfRule type="cellIs" dxfId="58" priority="934" operator="equal">
      <formula>$S$1</formula>
    </cfRule>
    <cfRule type="cellIs" dxfId="57" priority="935" operator="equal">
      <formula>$U$1</formula>
    </cfRule>
  </conditionalFormatting>
  <conditionalFormatting sqref="C212">
    <cfRule type="cellIs" dxfId="56" priority="932" operator="equal">
      <formula>$U$1</formula>
    </cfRule>
    <cfRule type="cellIs" dxfId="55" priority="933" operator="equal">
      <formula>$S$1</formula>
    </cfRule>
  </conditionalFormatting>
  <conditionalFormatting sqref="D212">
    <cfRule type="cellIs" dxfId="54" priority="930" operator="equal">
      <formula>$S$1</formula>
    </cfRule>
    <cfRule type="cellIs" dxfId="53" priority="931" operator="equal">
      <formula>$U$1</formula>
    </cfRule>
  </conditionalFormatting>
  <conditionalFormatting sqref="C237">
    <cfRule type="cellIs" dxfId="52" priority="928" operator="equal">
      <formula>$U$1</formula>
    </cfRule>
    <cfRule type="cellIs" dxfId="51" priority="929" operator="equal">
      <formula>$S$1</formula>
    </cfRule>
  </conditionalFormatting>
  <conditionalFormatting sqref="D237">
    <cfRule type="cellIs" dxfId="50" priority="926" operator="equal">
      <formula>$S$1</formula>
    </cfRule>
    <cfRule type="cellIs" dxfId="49" priority="927" operator="equal">
      <formula>$U$1</formula>
    </cfRule>
  </conditionalFormatting>
  <conditionalFormatting sqref="C106">
    <cfRule type="cellIs" dxfId="48" priority="924" operator="equal">
      <formula>$U$1</formula>
    </cfRule>
    <cfRule type="cellIs" dxfId="47" priority="925" operator="equal">
      <formula>$S$1</formula>
    </cfRule>
  </conditionalFormatting>
  <conditionalFormatting sqref="D106">
    <cfRule type="cellIs" dxfId="46" priority="922" operator="equal">
      <formula>$S$1</formula>
    </cfRule>
    <cfRule type="cellIs" dxfId="45" priority="923" operator="equal">
      <formula>$U$1</formula>
    </cfRule>
  </conditionalFormatting>
  <conditionalFormatting sqref="C81">
    <cfRule type="cellIs" dxfId="44" priority="920" operator="equal">
      <formula>$U$1</formula>
    </cfRule>
    <cfRule type="cellIs" dxfId="43" priority="921" operator="equal">
      <formula>$S$1</formula>
    </cfRule>
  </conditionalFormatting>
  <conditionalFormatting sqref="D81">
    <cfRule type="cellIs" dxfId="42" priority="918" operator="equal">
      <formula>$S$1</formula>
    </cfRule>
    <cfRule type="cellIs" dxfId="41" priority="919" operator="equal">
      <formula>$U$1</formula>
    </cfRule>
  </conditionalFormatting>
  <conditionalFormatting sqref="C56">
    <cfRule type="cellIs" dxfId="40" priority="916" operator="equal">
      <formula>$U$1</formula>
    </cfRule>
    <cfRule type="cellIs" dxfId="39" priority="917" operator="equal">
      <formula>$S$1</formula>
    </cfRule>
  </conditionalFormatting>
  <conditionalFormatting sqref="D56">
    <cfRule type="cellIs" dxfId="38" priority="914" operator="equal">
      <formula>$S$1</formula>
    </cfRule>
    <cfRule type="cellIs" dxfId="37" priority="915" operator="equal">
      <formula>$U$1</formula>
    </cfRule>
  </conditionalFormatting>
  <conditionalFormatting sqref="C31">
    <cfRule type="cellIs" dxfId="36" priority="912" operator="equal">
      <formula>$U$1</formula>
    </cfRule>
    <cfRule type="cellIs" dxfId="35" priority="913" operator="equal">
      <formula>$S$1</formula>
    </cfRule>
  </conditionalFormatting>
  <conditionalFormatting sqref="D31">
    <cfRule type="cellIs" dxfId="34" priority="910" operator="equal">
      <formula>$S$1</formula>
    </cfRule>
    <cfRule type="cellIs" dxfId="33" priority="91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V144" sqref="BV14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$A$143</v>
      </c>
      <c r="D111" s="1" t="str">
        <f>ADDRESS(C121-1,D121,1,1)</f>
        <v>$BV$143</v>
      </c>
      <c r="E111"/>
    </row>
    <row r="112" spans="1:5" x14ac:dyDescent="0.25">
      <c r="A112" s="30">
        <v>2.3579476910000019</v>
      </c>
      <c r="C112" s="1" t="str">
        <f>ADDRESS(C121,1,1,1)</f>
        <v>$A$144</v>
      </c>
      <c r="D112" s="1" t="str">
        <f>ADDRESS(C121,D121-1,1,1)</f>
        <v>$BU$144</v>
      </c>
      <c r="E112"/>
    </row>
    <row r="113" spans="1:71" x14ac:dyDescent="0.25">
      <c r="A113" s="30">
        <v>2.1435888100000016</v>
      </c>
      <c r="C113" s="1" t="str">
        <f>ADDRESS(C121+1,1,1,1)</f>
        <v>$A$145</v>
      </c>
      <c r="D113" s="1" t="str">
        <f>ADDRESS(C121-1,D121+1,1,1)</f>
        <v>$BW$143</v>
      </c>
    </row>
    <row r="114" spans="1:71" x14ac:dyDescent="0.25">
      <c r="A114" s="30">
        <v>1.9487171000000014</v>
      </c>
      <c r="C114" s="1" t="str">
        <f>ADDRESS(C121,D121,1,1)</f>
        <v>$BV$144</v>
      </c>
      <c r="D114" s="1" t="str">
        <f>ADDRESS(C121+1,D121+1,1,1)</f>
        <v>$BW$145</v>
      </c>
    </row>
    <row r="115" spans="1:71" x14ac:dyDescent="0.25">
      <c r="A115" s="30">
        <v>1.7715610000000011</v>
      </c>
      <c r="C115" s="1" t="str">
        <f>ADDRESS(C121+1,D121,1,1)</f>
        <v>$BV$145</v>
      </c>
    </row>
    <row r="116" spans="1:71" x14ac:dyDescent="0.25">
      <c r="A116" s="30">
        <v>1.6105100000000008</v>
      </c>
      <c r="C116" s="1">
        <f>C117-1</f>
        <v>143</v>
      </c>
      <c r="BE116" s="27" t="s">
        <v>8</v>
      </c>
    </row>
    <row r="117" spans="1:71" x14ac:dyDescent="0.25">
      <c r="A117" s="30">
        <v>1.4641000000000006</v>
      </c>
      <c r="C117" s="1">
        <f>C121</f>
        <v>144</v>
      </c>
      <c r="D117" s="1">
        <f>D121</f>
        <v>74</v>
      </c>
      <c r="BE117" s="27" t="s">
        <v>8</v>
      </c>
      <c r="BF117" s="27" t="s">
        <v>7</v>
      </c>
    </row>
    <row r="118" spans="1:71" x14ac:dyDescent="0.25">
      <c r="A118" s="30">
        <v>1.3310000000000004</v>
      </c>
      <c r="C118" s="1">
        <f>C117+1</f>
        <v>145</v>
      </c>
      <c r="D118" s="1">
        <f>D117+1</f>
        <v>75</v>
      </c>
      <c r="BE118" s="27" t="s">
        <v>8</v>
      </c>
      <c r="BF118" s="27" t="s">
        <v>7</v>
      </c>
    </row>
    <row r="119" spans="1:71" x14ac:dyDescent="0.25">
      <c r="A119" s="30">
        <v>1.2100000000000002</v>
      </c>
      <c r="BE119" s="27" t="s">
        <v>8</v>
      </c>
      <c r="BF119" s="27" t="s">
        <v>7</v>
      </c>
    </row>
    <row r="120" spans="1:71" x14ac:dyDescent="0.25">
      <c r="A120" s="30">
        <v>1.1000000000000001</v>
      </c>
      <c r="C120" s="1" t="s">
        <v>9</v>
      </c>
      <c r="BE120" s="27" t="s">
        <v>8</v>
      </c>
      <c r="BF120" s="27" t="s">
        <v>7</v>
      </c>
    </row>
    <row r="121" spans="1:71" x14ac:dyDescent="0.25">
      <c r="A121" s="30">
        <v>1</v>
      </c>
      <c r="C121" s="18">
        <v>144</v>
      </c>
      <c r="D121" s="19">
        <v>74</v>
      </c>
      <c r="E121" s="18" t="s">
        <v>8</v>
      </c>
      <c r="BE121" s="27" t="s">
        <v>8</v>
      </c>
      <c r="BF121" s="27" t="s">
        <v>7</v>
      </c>
    </row>
    <row r="122" spans="1:71" x14ac:dyDescent="0.25">
      <c r="A122" s="30">
        <v>0.90909090909090895</v>
      </c>
      <c r="C122" s="1" t="str">
        <f>INDEX(1:1048576,C117,D117)</f>
        <v>O</v>
      </c>
      <c r="F122" s="27" t="s">
        <v>7</v>
      </c>
      <c r="BE122" s="27" t="s">
        <v>8</v>
      </c>
      <c r="BF122" s="27" t="s">
        <v>7</v>
      </c>
    </row>
    <row r="123" spans="1:71" x14ac:dyDescent="0.25">
      <c r="A123" s="30">
        <v>0.82644628099173523</v>
      </c>
      <c r="C123" s="1" t="str">
        <f>"R"&amp;C121</f>
        <v>R144</v>
      </c>
      <c r="D123" s="1" t="str">
        <f>"C"&amp;D121</f>
        <v>C74</v>
      </c>
      <c r="F123" s="27" t="s">
        <v>7</v>
      </c>
      <c r="BE123" s="27" t="s">
        <v>8</v>
      </c>
      <c r="BF123" s="27" t="s">
        <v>7</v>
      </c>
    </row>
    <row r="124" spans="1:71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BE124" s="27" t="s">
        <v>8</v>
      </c>
      <c r="BF124" s="27" t="s">
        <v>7</v>
      </c>
    </row>
    <row r="125" spans="1:71" x14ac:dyDescent="0.25">
      <c r="A125" s="30">
        <v>0.68301345536507019</v>
      </c>
      <c r="F125" s="27" t="s">
        <v>7</v>
      </c>
      <c r="BE125" s="27" t="s">
        <v>8</v>
      </c>
      <c r="BF125" s="27" t="s">
        <v>7</v>
      </c>
      <c r="BG125" s="27" t="s">
        <v>8</v>
      </c>
    </row>
    <row r="126" spans="1:71" x14ac:dyDescent="0.25">
      <c r="A126" s="30">
        <v>0.6209213230591546</v>
      </c>
      <c r="C126" s="1" t="s">
        <v>10</v>
      </c>
      <c r="F126" s="27" t="s">
        <v>7</v>
      </c>
      <c r="BE126" s="27" t="s">
        <v>8</v>
      </c>
      <c r="BF126" s="27" t="s">
        <v>7</v>
      </c>
      <c r="BG126" s="27" t="s">
        <v>8</v>
      </c>
      <c r="BH126" s="27" t="s">
        <v>7</v>
      </c>
      <c r="BI126" s="27" t="s">
        <v>8</v>
      </c>
    </row>
    <row r="127" spans="1:71" x14ac:dyDescent="0.25">
      <c r="A127" s="30">
        <v>0.56447393005377677</v>
      </c>
      <c r="C127" s="30">
        <v>0.11167815779424731</v>
      </c>
      <c r="D127"/>
      <c r="F127" s="27" t="s">
        <v>7</v>
      </c>
      <c r="BE127" s="27" t="s">
        <v>8</v>
      </c>
      <c r="BF127" s="27" t="s">
        <v>7</v>
      </c>
      <c r="BG127" s="27" t="s">
        <v>8</v>
      </c>
      <c r="BH127" s="27" t="s">
        <v>7</v>
      </c>
      <c r="BI127" s="27" t="s">
        <v>8</v>
      </c>
      <c r="BJ127" s="27" t="s">
        <v>7</v>
      </c>
    </row>
    <row r="128" spans="1:71" x14ac:dyDescent="0.25">
      <c r="A128" s="30">
        <v>0.51315811823070612</v>
      </c>
      <c r="F128" s="27" t="s">
        <v>7</v>
      </c>
      <c r="BE128" s="27" t="s">
        <v>8</v>
      </c>
      <c r="BF128" s="27" t="s">
        <v>7</v>
      </c>
      <c r="BG128" s="27" t="s">
        <v>8</v>
      </c>
      <c r="BH128" s="27" t="s">
        <v>7</v>
      </c>
      <c r="BI128" s="27" t="s">
        <v>8</v>
      </c>
      <c r="BJ128" s="27" t="s">
        <v>7</v>
      </c>
      <c r="BS128" s="27" t="s">
        <v>8</v>
      </c>
    </row>
    <row r="129" spans="1:7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BE129" s="27" t="s">
        <v>8</v>
      </c>
      <c r="BF129" s="27" t="s">
        <v>7</v>
      </c>
      <c r="BG129" s="27" t="s">
        <v>8</v>
      </c>
      <c r="BH129" s="27" t="s">
        <v>7</v>
      </c>
      <c r="BJ129" s="27" t="s">
        <v>7</v>
      </c>
      <c r="BQ129" s="27" t="s">
        <v>8</v>
      </c>
      <c r="BS129" s="27" t="s">
        <v>8</v>
      </c>
      <c r="BT129" s="27" t="s">
        <v>7</v>
      </c>
      <c r="BU129" s="27" t="s">
        <v>8</v>
      </c>
    </row>
    <row r="130" spans="1:74" x14ac:dyDescent="0.25">
      <c r="A130" s="30">
        <v>0.42409761837248428</v>
      </c>
      <c r="C130" s="6"/>
      <c r="D130" s="6"/>
      <c r="E130"/>
      <c r="F130" s="27" t="s">
        <v>7</v>
      </c>
      <c r="BE130" s="27" t="s">
        <v>8</v>
      </c>
      <c r="BF130" s="27" t="s">
        <v>7</v>
      </c>
      <c r="BG130" s="27" t="s">
        <v>8</v>
      </c>
      <c r="BJ130" s="27" t="s">
        <v>7</v>
      </c>
      <c r="BK130" s="27" t="s">
        <v>8</v>
      </c>
      <c r="BQ130" s="27" t="s">
        <v>8</v>
      </c>
      <c r="BR130" s="27" t="s">
        <v>7</v>
      </c>
      <c r="BS130" s="27" t="s">
        <v>8</v>
      </c>
      <c r="BT130" s="27" t="s">
        <v>7</v>
      </c>
      <c r="BU130" s="27" t="s">
        <v>8</v>
      </c>
      <c r="BV130" s="27" t="s">
        <v>7</v>
      </c>
    </row>
    <row r="131" spans="1:74" x14ac:dyDescent="0.25">
      <c r="A131" s="30">
        <v>0.38554328942953109</v>
      </c>
      <c r="E131"/>
      <c r="F131" s="27" t="s">
        <v>7</v>
      </c>
      <c r="BE131" s="27" t="s">
        <v>8</v>
      </c>
      <c r="BF131" s="27" t="s">
        <v>7</v>
      </c>
      <c r="BJ131" s="27" t="s">
        <v>7</v>
      </c>
      <c r="BK131" s="27" t="s">
        <v>8</v>
      </c>
      <c r="BL131" s="27" t="s">
        <v>7</v>
      </c>
      <c r="BM131" s="27" t="s">
        <v>8</v>
      </c>
      <c r="BO131" s="27" t="s">
        <v>8</v>
      </c>
      <c r="BQ131" s="27" t="s">
        <v>8</v>
      </c>
      <c r="BR131" s="27" t="s">
        <v>7</v>
      </c>
      <c r="BS131" s="27" t="s">
        <v>8</v>
      </c>
      <c r="BT131" s="27" t="s">
        <v>7</v>
      </c>
      <c r="BU131" s="27" t="s">
        <v>8</v>
      </c>
      <c r="BV131" s="27" t="s">
        <v>7</v>
      </c>
    </row>
    <row r="132" spans="1:74" x14ac:dyDescent="0.25">
      <c r="A132" s="30">
        <v>0.35049389948139187</v>
      </c>
      <c r="C132" s="1" t="s">
        <v>13</v>
      </c>
      <c r="E132"/>
      <c r="F132" s="27" t="s">
        <v>7</v>
      </c>
      <c r="BE132" s="27" t="s">
        <v>8</v>
      </c>
      <c r="BJ132" s="27" t="s">
        <v>7</v>
      </c>
      <c r="BK132" s="27" t="s">
        <v>8</v>
      </c>
      <c r="BL132" s="27" t="s">
        <v>7</v>
      </c>
      <c r="BM132" s="27" t="s">
        <v>8</v>
      </c>
      <c r="BN132" s="27" t="s">
        <v>7</v>
      </c>
      <c r="BO132" s="27" t="s">
        <v>8</v>
      </c>
      <c r="BP132" s="27" t="s">
        <v>7</v>
      </c>
      <c r="BQ132" s="27" t="s">
        <v>8</v>
      </c>
      <c r="BR132" s="27" t="s">
        <v>7</v>
      </c>
      <c r="BS132" s="27" t="s">
        <v>8</v>
      </c>
      <c r="BT132" s="27" t="s">
        <v>7</v>
      </c>
      <c r="BU132" s="27" t="s">
        <v>8</v>
      </c>
      <c r="BV132" s="27" t="s">
        <v>7</v>
      </c>
    </row>
    <row r="133" spans="1:74" x14ac:dyDescent="0.25">
      <c r="A133" s="30">
        <v>0.31863081771035617</v>
      </c>
      <c r="C133" s="1" t="str">
        <f>C122</f>
        <v>O</v>
      </c>
      <c r="E133"/>
      <c r="F133" s="27" t="s">
        <v>7</v>
      </c>
      <c r="BE133" s="27" t="s">
        <v>8</v>
      </c>
      <c r="BJ133" s="27" t="s">
        <v>7</v>
      </c>
      <c r="BK133" s="27" t="s">
        <v>8</v>
      </c>
      <c r="BL133" s="27" t="s">
        <v>7</v>
      </c>
      <c r="BM133" s="27" t="s">
        <v>8</v>
      </c>
      <c r="BN133" s="27" t="s">
        <v>7</v>
      </c>
      <c r="BO133" s="27" t="s">
        <v>8</v>
      </c>
      <c r="BP133" s="27" t="s">
        <v>7</v>
      </c>
      <c r="BQ133" s="27" t="s">
        <v>8</v>
      </c>
      <c r="BR133" s="27" t="s">
        <v>7</v>
      </c>
      <c r="BT133" s="27" t="s">
        <v>7</v>
      </c>
      <c r="BU133" s="27" t="s">
        <v>8</v>
      </c>
      <c r="BV133" s="27" t="s">
        <v>7</v>
      </c>
    </row>
    <row r="134" spans="1:74" x14ac:dyDescent="0.25">
      <c r="A134" s="30">
        <v>0.28966437973668741</v>
      </c>
      <c r="C134"/>
      <c r="D134"/>
      <c r="E134"/>
      <c r="F134" s="27" t="s">
        <v>7</v>
      </c>
      <c r="BE134" s="27" t="s">
        <v>8</v>
      </c>
      <c r="BJ134" s="27" t="s">
        <v>7</v>
      </c>
      <c r="BK134" s="27" t="s">
        <v>8</v>
      </c>
      <c r="BL134" s="27" t="s">
        <v>7</v>
      </c>
      <c r="BN134" s="27" t="s">
        <v>7</v>
      </c>
      <c r="BO134" s="27" t="s">
        <v>8</v>
      </c>
      <c r="BP134" s="27" t="s">
        <v>7</v>
      </c>
      <c r="BQ134" s="27" t="s">
        <v>8</v>
      </c>
      <c r="BT134" s="27" t="s">
        <v>7</v>
      </c>
      <c r="BU134" s="27" t="s">
        <v>8</v>
      </c>
      <c r="BV134" s="27" t="s">
        <v>7</v>
      </c>
    </row>
    <row r="135" spans="1:74" x14ac:dyDescent="0.25">
      <c r="A135" s="30">
        <v>0.2633312543060794</v>
      </c>
      <c r="C135" s="1" t="s">
        <v>14</v>
      </c>
      <c r="E135"/>
      <c r="F135" s="27" t="s">
        <v>7</v>
      </c>
      <c r="BE135" s="27" t="s">
        <v>8</v>
      </c>
      <c r="BJ135" s="27" t="s">
        <v>7</v>
      </c>
      <c r="BK135" s="27" t="s">
        <v>8</v>
      </c>
      <c r="BN135" s="27" t="s">
        <v>7</v>
      </c>
      <c r="BO135" s="27" t="s">
        <v>8</v>
      </c>
      <c r="BP135" s="27" t="s">
        <v>7</v>
      </c>
      <c r="BT135" s="27" t="s">
        <v>7</v>
      </c>
      <c r="BV135" s="27" t="s">
        <v>7</v>
      </c>
    </row>
    <row r="136" spans="1:7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S136" s="27" t="s">
        <v>8</v>
      </c>
      <c r="BE136" s="27" t="s">
        <v>8</v>
      </c>
      <c r="BJ136" s="27" t="s">
        <v>7</v>
      </c>
      <c r="BN136" s="27" t="s">
        <v>7</v>
      </c>
      <c r="BV136" s="27" t="s">
        <v>7</v>
      </c>
    </row>
    <row r="137" spans="1:74" x14ac:dyDescent="0.25">
      <c r="A137" s="30">
        <v>0.2176291357901482</v>
      </c>
      <c r="E137"/>
      <c r="F137" s="27" t="s">
        <v>7</v>
      </c>
      <c r="AQ137" s="27" t="s">
        <v>8</v>
      </c>
      <c r="AS137" s="27" t="s">
        <v>8</v>
      </c>
      <c r="AT137" s="27" t="s">
        <v>7</v>
      </c>
      <c r="BE137" s="27" t="s">
        <v>8</v>
      </c>
      <c r="BV137" s="27" t="s">
        <v>7</v>
      </c>
    </row>
    <row r="138" spans="1:7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O138" s="27" t="s">
        <v>8</v>
      </c>
      <c r="AQ138" s="27" t="s">
        <v>8</v>
      </c>
      <c r="AR138" s="27" t="s">
        <v>7</v>
      </c>
      <c r="AS138" s="27" t="s">
        <v>8</v>
      </c>
      <c r="AT138" s="27" t="s">
        <v>7</v>
      </c>
      <c r="BE138" s="27" t="s">
        <v>8</v>
      </c>
      <c r="BV138" s="27" t="s">
        <v>7</v>
      </c>
    </row>
    <row r="139" spans="1:74" x14ac:dyDescent="0.25">
      <c r="A139" s="30">
        <v>0.17985878990921333</v>
      </c>
      <c r="E139"/>
      <c r="F139" s="27" t="s">
        <v>7</v>
      </c>
      <c r="AO139" s="27" t="s">
        <v>8</v>
      </c>
      <c r="AP139" s="27" t="s">
        <v>7</v>
      </c>
      <c r="AQ139" s="27" t="s">
        <v>8</v>
      </c>
      <c r="AR139" s="27" t="s">
        <v>7</v>
      </c>
      <c r="AS139" s="27" t="s">
        <v>8</v>
      </c>
      <c r="AT139" s="27" t="s">
        <v>7</v>
      </c>
      <c r="BE139" s="27" t="s">
        <v>8</v>
      </c>
      <c r="BV139" s="27" t="s">
        <v>7</v>
      </c>
    </row>
    <row r="140" spans="1:74" x14ac:dyDescent="0.25">
      <c r="A140" s="30">
        <v>0.16350799082655756</v>
      </c>
      <c r="C140" s="1">
        <v>0</v>
      </c>
      <c r="E140"/>
      <c r="F140" s="27" t="s">
        <v>7</v>
      </c>
      <c r="AO140" s="27" t="s">
        <v>8</v>
      </c>
      <c r="AP140" s="27" t="s">
        <v>7</v>
      </c>
      <c r="AQ140" s="27" t="s">
        <v>8</v>
      </c>
      <c r="AR140" s="27" t="s">
        <v>7</v>
      </c>
      <c r="AS140" s="27" t="s">
        <v>8</v>
      </c>
      <c r="AT140" s="27" t="s">
        <v>7</v>
      </c>
      <c r="BE140" s="27" t="s">
        <v>8</v>
      </c>
      <c r="BV140" s="27" t="s">
        <v>7</v>
      </c>
    </row>
    <row r="141" spans="1:74" x14ac:dyDescent="0.25">
      <c r="A141" s="30">
        <v>0.14864362802414322</v>
      </c>
      <c r="C141" s="1">
        <v>1</v>
      </c>
      <c r="E141"/>
      <c r="F141" s="27" t="s">
        <v>7</v>
      </c>
      <c r="AO141" s="27" t="s">
        <v>8</v>
      </c>
      <c r="AP141" s="27" t="s">
        <v>7</v>
      </c>
      <c r="AQ141" s="27" t="s">
        <v>8</v>
      </c>
      <c r="AR141" s="27" t="s">
        <v>7</v>
      </c>
      <c r="AS141" s="27" t="s">
        <v>8</v>
      </c>
      <c r="AT141" s="27" t="s">
        <v>7</v>
      </c>
      <c r="BE141" s="27" t="s">
        <v>8</v>
      </c>
      <c r="BV141" s="27" t="s">
        <v>7</v>
      </c>
    </row>
    <row r="142" spans="1:74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AO142" s="27" t="s">
        <v>8</v>
      </c>
      <c r="AP142" s="27" t="s">
        <v>7</v>
      </c>
      <c r="AR142" s="27" t="s">
        <v>7</v>
      </c>
      <c r="AS142" s="27" t="s">
        <v>8</v>
      </c>
      <c r="AT142" s="27" t="s">
        <v>7</v>
      </c>
      <c r="BE142" s="27" t="s">
        <v>8</v>
      </c>
      <c r="BV142" s="27" t="s">
        <v>7</v>
      </c>
    </row>
    <row r="143" spans="1:74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AO143" s="27" t="s">
        <v>8</v>
      </c>
      <c r="AR143" s="27" t="s">
        <v>7</v>
      </c>
      <c r="AS143" s="27" t="s">
        <v>8</v>
      </c>
      <c r="AT143" s="27" t="s">
        <v>7</v>
      </c>
      <c r="BE143" s="27" t="s">
        <v>8</v>
      </c>
      <c r="BV143" s="27" t="s">
        <v>7</v>
      </c>
    </row>
    <row r="144" spans="1:74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AG144" s="27" t="s">
        <v>8</v>
      </c>
      <c r="AO144" s="27" t="s">
        <v>8</v>
      </c>
      <c r="AR144" s="27" t="s">
        <v>7</v>
      </c>
      <c r="AS144" s="27" t="s">
        <v>8</v>
      </c>
      <c r="AT144" s="27" t="s">
        <v>7</v>
      </c>
      <c r="BE144" s="27" t="s">
        <v>8</v>
      </c>
      <c r="BV144" s="27" t="s">
        <v>7</v>
      </c>
    </row>
    <row r="145" spans="1:57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AG145" s="27" t="s">
        <v>8</v>
      </c>
      <c r="AH145" s="27" t="s">
        <v>7</v>
      </c>
      <c r="AK145" s="27" t="s">
        <v>8</v>
      </c>
      <c r="AO145" s="27" t="s">
        <v>8</v>
      </c>
      <c r="AR145" s="27" t="s">
        <v>7</v>
      </c>
      <c r="AT145" s="27" t="s">
        <v>7</v>
      </c>
      <c r="BE145" s="27" t="s">
        <v>8</v>
      </c>
    </row>
    <row r="146" spans="1:57" x14ac:dyDescent="0.25">
      <c r="A146" s="30">
        <v>9.2295998177063854E-2</v>
      </c>
      <c r="B146"/>
      <c r="C146"/>
      <c r="D146"/>
      <c r="E146"/>
      <c r="F146" s="27" t="s">
        <v>7</v>
      </c>
      <c r="H146" s="27" t="s">
        <v>7</v>
      </c>
      <c r="I146" s="27" t="s">
        <v>8</v>
      </c>
      <c r="AG146" s="27" t="s">
        <v>8</v>
      </c>
      <c r="AH146" s="27" t="s">
        <v>7</v>
      </c>
      <c r="AI146" s="27" t="s">
        <v>8</v>
      </c>
      <c r="AK146" s="27" t="s">
        <v>8</v>
      </c>
      <c r="AL146" s="27" t="s">
        <v>7</v>
      </c>
      <c r="AM146" s="27" t="s">
        <v>8</v>
      </c>
      <c r="AO146" s="27" t="s">
        <v>8</v>
      </c>
      <c r="AT146" s="27" t="s">
        <v>7</v>
      </c>
      <c r="AY146" s="27" t="s">
        <v>8</v>
      </c>
      <c r="BE146" s="27" t="s">
        <v>8</v>
      </c>
    </row>
    <row r="147" spans="1:57" x14ac:dyDescent="0.25">
      <c r="A147" s="30">
        <v>8.3905452888239848E-2</v>
      </c>
      <c r="B147"/>
      <c r="C147"/>
      <c r="D147"/>
      <c r="E147"/>
      <c r="H147" s="27" t="s">
        <v>7</v>
      </c>
      <c r="I147" s="27" t="s">
        <v>8</v>
      </c>
      <c r="J147" s="27" t="s">
        <v>7</v>
      </c>
      <c r="AG147" s="27" t="s">
        <v>8</v>
      </c>
      <c r="AH147" s="27" t="s">
        <v>7</v>
      </c>
      <c r="AI147" s="27" t="s">
        <v>8</v>
      </c>
      <c r="AJ147" s="27" t="s">
        <v>7</v>
      </c>
      <c r="AK147" s="27" t="s">
        <v>8</v>
      </c>
      <c r="AL147" s="27" t="s">
        <v>7</v>
      </c>
      <c r="AM147" s="27" t="s">
        <v>8</v>
      </c>
      <c r="AN147" s="27" t="s">
        <v>7</v>
      </c>
      <c r="AO147" s="27" t="s">
        <v>8</v>
      </c>
      <c r="AT147" s="27" t="s">
        <v>7</v>
      </c>
      <c r="AY147" s="27" t="s">
        <v>8</v>
      </c>
      <c r="AZ147" s="27" t="s">
        <v>7</v>
      </c>
      <c r="BE147" s="27" t="s">
        <v>8</v>
      </c>
    </row>
    <row r="148" spans="1:57" x14ac:dyDescent="0.25">
      <c r="A148" s="30">
        <v>7.6277684443854396E-2</v>
      </c>
      <c r="B148"/>
      <c r="C148"/>
      <c r="D148"/>
      <c r="E148"/>
      <c r="H148" s="27" t="s">
        <v>7</v>
      </c>
      <c r="I148" s="27" t="s">
        <v>8</v>
      </c>
      <c r="J148" s="27" t="s">
        <v>7</v>
      </c>
      <c r="K148" s="27" t="s">
        <v>8</v>
      </c>
      <c r="AG148" s="27" t="s">
        <v>8</v>
      </c>
      <c r="AH148" s="27" t="s">
        <v>7</v>
      </c>
      <c r="AI148" s="27" t="s">
        <v>8</v>
      </c>
      <c r="AJ148" s="27" t="s">
        <v>7</v>
      </c>
      <c r="AK148" s="27" t="s">
        <v>8</v>
      </c>
      <c r="AL148" s="27" t="s">
        <v>7</v>
      </c>
      <c r="AM148" s="27" t="s">
        <v>8</v>
      </c>
      <c r="AN148" s="27" t="s">
        <v>7</v>
      </c>
      <c r="AO148" s="27" t="s">
        <v>8</v>
      </c>
      <c r="AT148" s="27" t="s">
        <v>7</v>
      </c>
      <c r="AY148" s="27" t="s">
        <v>8</v>
      </c>
      <c r="AZ148" s="27" t="s">
        <v>7</v>
      </c>
      <c r="BE148" s="27" t="s">
        <v>8</v>
      </c>
    </row>
    <row r="149" spans="1:57" x14ac:dyDescent="0.25">
      <c r="A149" s="30">
        <v>6.9343349494413078E-2</v>
      </c>
      <c r="B149"/>
      <c r="C149"/>
      <c r="D149"/>
      <c r="E149"/>
      <c r="H149" s="27" t="s">
        <v>7</v>
      </c>
      <c r="J149" s="27" t="s">
        <v>7</v>
      </c>
      <c r="K149" s="27" t="s">
        <v>8</v>
      </c>
      <c r="L149" s="27" t="s">
        <v>7</v>
      </c>
      <c r="M149" s="27" t="s">
        <v>8</v>
      </c>
      <c r="O149" s="27" t="s">
        <v>8</v>
      </c>
      <c r="W149" s="27" t="s">
        <v>8</v>
      </c>
      <c r="AG149" s="27" t="s">
        <v>8</v>
      </c>
      <c r="AH149" s="27" t="s">
        <v>7</v>
      </c>
      <c r="AI149" s="27" t="s">
        <v>8</v>
      </c>
      <c r="AJ149" s="27" t="s">
        <v>7</v>
      </c>
      <c r="AK149" s="27" t="s">
        <v>8</v>
      </c>
      <c r="AL149" s="27" t="s">
        <v>7</v>
      </c>
      <c r="AN149" s="27" t="s">
        <v>7</v>
      </c>
      <c r="AO149" s="27" t="s">
        <v>8</v>
      </c>
      <c r="AT149" s="27" t="s">
        <v>7</v>
      </c>
      <c r="AW149" s="27" t="s">
        <v>8</v>
      </c>
      <c r="AY149" s="27" t="s">
        <v>8</v>
      </c>
      <c r="AZ149" s="27" t="s">
        <v>7</v>
      </c>
      <c r="BE149" s="27" t="s">
        <v>8</v>
      </c>
    </row>
    <row r="150" spans="1:57" x14ac:dyDescent="0.25">
      <c r="A150" s="30">
        <v>6.3039408631284613E-2</v>
      </c>
      <c r="B150"/>
      <c r="C150"/>
      <c r="D150"/>
      <c r="E150"/>
      <c r="J150" s="27" t="s">
        <v>7</v>
      </c>
      <c r="K150" s="27" t="s">
        <v>8</v>
      </c>
      <c r="L150" s="27" t="s">
        <v>7</v>
      </c>
      <c r="M150" s="27" t="s">
        <v>8</v>
      </c>
      <c r="N150" s="27" t="s">
        <v>7</v>
      </c>
      <c r="O150" s="27" t="s">
        <v>8</v>
      </c>
      <c r="P150" s="27" t="s">
        <v>7</v>
      </c>
      <c r="W150" s="27" t="s">
        <v>8</v>
      </c>
      <c r="X150" s="27" t="s">
        <v>7</v>
      </c>
      <c r="AA150" s="27" t="s">
        <v>8</v>
      </c>
      <c r="AG150" s="27" t="s">
        <v>8</v>
      </c>
      <c r="AH150" s="27" t="s">
        <v>7</v>
      </c>
      <c r="AI150" s="27" t="s">
        <v>8</v>
      </c>
      <c r="AJ150" s="27" t="s">
        <v>7</v>
      </c>
      <c r="AK150" s="27" t="s">
        <v>8</v>
      </c>
      <c r="AN150" s="27" t="s">
        <v>7</v>
      </c>
      <c r="AO150" s="27" t="s">
        <v>8</v>
      </c>
      <c r="AT150" s="27" t="s">
        <v>7</v>
      </c>
      <c r="AU150" s="27" t="s">
        <v>8</v>
      </c>
      <c r="AW150" s="27" t="s">
        <v>8</v>
      </c>
      <c r="AX150" s="27" t="s">
        <v>7</v>
      </c>
      <c r="AY150" s="27" t="s">
        <v>8</v>
      </c>
      <c r="AZ150" s="27" t="s">
        <v>7</v>
      </c>
      <c r="BE150" s="27" t="s">
        <v>8</v>
      </c>
    </row>
    <row r="151" spans="1:57" x14ac:dyDescent="0.25">
      <c r="A151" s="30">
        <v>5.7308553301167818E-2</v>
      </c>
      <c r="B151"/>
      <c r="C151"/>
      <c r="D151"/>
      <c r="E151"/>
      <c r="J151" s="27" t="s">
        <v>7</v>
      </c>
      <c r="L151" s="27" t="s">
        <v>7</v>
      </c>
      <c r="M151" s="27" t="s">
        <v>8</v>
      </c>
      <c r="N151" s="27" t="s">
        <v>7</v>
      </c>
      <c r="O151" s="27" t="s">
        <v>8</v>
      </c>
      <c r="P151" s="27" t="s">
        <v>7</v>
      </c>
      <c r="Q151" s="27" t="s">
        <v>8</v>
      </c>
      <c r="W151" s="27" t="s">
        <v>8</v>
      </c>
      <c r="X151" s="27" t="s">
        <v>7</v>
      </c>
      <c r="AA151" s="27" t="s">
        <v>8</v>
      </c>
      <c r="AB151" s="27" t="s">
        <v>7</v>
      </c>
      <c r="AE151" s="27" t="s">
        <v>8</v>
      </c>
      <c r="AG151" s="27" t="s">
        <v>8</v>
      </c>
      <c r="AH151" s="27" t="s">
        <v>7</v>
      </c>
      <c r="AI151" s="27" t="s">
        <v>8</v>
      </c>
      <c r="AJ151" s="27" t="s">
        <v>7</v>
      </c>
      <c r="AN151" s="27" t="s">
        <v>7</v>
      </c>
      <c r="AO151" s="27" t="s">
        <v>8</v>
      </c>
      <c r="AT151" s="27" t="s">
        <v>7</v>
      </c>
      <c r="AU151" s="27" t="s">
        <v>8</v>
      </c>
      <c r="AV151" s="27" t="s">
        <v>7</v>
      </c>
      <c r="AW151" s="27" t="s">
        <v>8</v>
      </c>
      <c r="AX151" s="27" t="s">
        <v>7</v>
      </c>
      <c r="AY151" s="27" t="s">
        <v>8</v>
      </c>
      <c r="AZ151" s="27" t="s">
        <v>7</v>
      </c>
      <c r="BE151" s="27" t="s">
        <v>8</v>
      </c>
    </row>
    <row r="152" spans="1:57" x14ac:dyDescent="0.25">
      <c r="A152" s="30">
        <v>5.2098684819243464E-2</v>
      </c>
      <c r="B152"/>
      <c r="C152"/>
      <c r="D152"/>
      <c r="E152"/>
      <c r="L152" s="27" t="s">
        <v>7</v>
      </c>
      <c r="N152" s="27" t="s">
        <v>7</v>
      </c>
      <c r="P152" s="27" t="s">
        <v>7</v>
      </c>
      <c r="Q152" s="27" t="s">
        <v>8</v>
      </c>
      <c r="R152" s="27" t="s">
        <v>7</v>
      </c>
      <c r="W152" s="27" t="s">
        <v>8</v>
      </c>
      <c r="X152" s="27" t="s">
        <v>7</v>
      </c>
      <c r="AA152" s="27" t="s">
        <v>8</v>
      </c>
      <c r="AB152" s="27" t="s">
        <v>7</v>
      </c>
      <c r="AE152" s="27" t="s">
        <v>8</v>
      </c>
      <c r="AF152" s="27" t="s">
        <v>7</v>
      </c>
      <c r="AG152" s="27" t="s">
        <v>8</v>
      </c>
      <c r="AH152" s="27" t="s">
        <v>7</v>
      </c>
      <c r="AN152" s="27" t="s">
        <v>7</v>
      </c>
      <c r="AT152" s="27" t="s">
        <v>7</v>
      </c>
      <c r="AU152" s="27" t="s">
        <v>8</v>
      </c>
      <c r="AV152" s="27" t="s">
        <v>7</v>
      </c>
      <c r="AW152" s="27" t="s">
        <v>8</v>
      </c>
      <c r="AX152" s="27" t="s">
        <v>7</v>
      </c>
      <c r="AY152" s="27" t="s">
        <v>8</v>
      </c>
      <c r="AZ152" s="27" t="s">
        <v>7</v>
      </c>
      <c r="BC152" s="27" t="s">
        <v>8</v>
      </c>
      <c r="BE152" s="27" t="s">
        <v>8</v>
      </c>
    </row>
    <row r="153" spans="1:57" x14ac:dyDescent="0.25">
      <c r="A153" s="30">
        <v>4.7362440744766775E-2</v>
      </c>
      <c r="B153"/>
      <c r="C153"/>
      <c r="D153"/>
      <c r="E153"/>
      <c r="P153" s="27" t="s">
        <v>7</v>
      </c>
      <c r="Q153" s="27" t="s">
        <v>8</v>
      </c>
      <c r="R153" s="27" t="s">
        <v>7</v>
      </c>
      <c r="S153" s="27" t="s">
        <v>8</v>
      </c>
      <c r="U153" s="27" t="s">
        <v>8</v>
      </c>
      <c r="W153" s="27" t="s">
        <v>8</v>
      </c>
      <c r="X153" s="27" t="s">
        <v>7</v>
      </c>
      <c r="AA153" s="27" t="s">
        <v>8</v>
      </c>
      <c r="AB153" s="27" t="s">
        <v>7</v>
      </c>
      <c r="AE153" s="27" t="s">
        <v>8</v>
      </c>
      <c r="AF153" s="27" t="s">
        <v>7</v>
      </c>
      <c r="AG153" s="27" t="s">
        <v>8</v>
      </c>
      <c r="AT153" s="27" t="s">
        <v>7</v>
      </c>
      <c r="AU153" s="27" t="s">
        <v>8</v>
      </c>
      <c r="AV153" s="27" t="s">
        <v>7</v>
      </c>
      <c r="AW153" s="27" t="s">
        <v>8</v>
      </c>
      <c r="AX153" s="27" t="s">
        <v>7</v>
      </c>
      <c r="AY153" s="27" t="s">
        <v>8</v>
      </c>
      <c r="AZ153" s="27" t="s">
        <v>7</v>
      </c>
      <c r="BC153" s="27" t="s">
        <v>8</v>
      </c>
      <c r="BD153" s="27" t="s">
        <v>7</v>
      </c>
      <c r="BE153" s="27" t="s">
        <v>8</v>
      </c>
    </row>
    <row r="154" spans="1:57" x14ac:dyDescent="0.25">
      <c r="A154" s="30">
        <v>4.3056764313424332E-2</v>
      </c>
      <c r="B154"/>
      <c r="C154"/>
      <c r="D154"/>
      <c r="E154"/>
      <c r="P154" s="27" t="s">
        <v>7</v>
      </c>
      <c r="R154" s="27" t="s">
        <v>7</v>
      </c>
      <c r="S154" s="27" t="s">
        <v>8</v>
      </c>
      <c r="T154" s="27" t="s">
        <v>7</v>
      </c>
      <c r="U154" s="27" t="s">
        <v>8</v>
      </c>
      <c r="V154" s="27" t="s">
        <v>7</v>
      </c>
      <c r="W154" s="27" t="s">
        <v>8</v>
      </c>
      <c r="X154" s="27" t="s">
        <v>7</v>
      </c>
      <c r="AA154" s="27" t="s">
        <v>8</v>
      </c>
      <c r="AB154" s="27" t="s">
        <v>7</v>
      </c>
      <c r="AC154" s="27" t="s">
        <v>8</v>
      </c>
      <c r="AE154" s="27" t="s">
        <v>8</v>
      </c>
      <c r="AF154" s="27" t="s">
        <v>7</v>
      </c>
      <c r="AG154" s="27" t="s">
        <v>8</v>
      </c>
      <c r="AT154" s="27" t="s">
        <v>7</v>
      </c>
      <c r="AV154" s="27" t="s">
        <v>7</v>
      </c>
      <c r="AW154" s="27" t="s">
        <v>8</v>
      </c>
      <c r="AX154" s="27" t="s">
        <v>7</v>
      </c>
      <c r="AZ154" s="27" t="s">
        <v>7</v>
      </c>
      <c r="BA154" s="27" t="s">
        <v>8</v>
      </c>
      <c r="BC154" s="27" t="s">
        <v>8</v>
      </c>
      <c r="BD154" s="27" t="s">
        <v>7</v>
      </c>
      <c r="BE154" s="27" t="s">
        <v>8</v>
      </c>
    </row>
    <row r="155" spans="1:57" x14ac:dyDescent="0.25">
      <c r="A155" s="30">
        <v>3.9142513012203929E-2</v>
      </c>
      <c r="B155"/>
      <c r="C155"/>
      <c r="D155"/>
      <c r="E155"/>
      <c r="R155" s="27" t="s">
        <v>7</v>
      </c>
      <c r="S155" s="27" t="s">
        <v>8</v>
      </c>
      <c r="T155" s="27" t="s">
        <v>7</v>
      </c>
      <c r="U155" s="27" t="s">
        <v>8</v>
      </c>
      <c r="V155" s="27" t="s">
        <v>7</v>
      </c>
      <c r="W155" s="27" t="s">
        <v>8</v>
      </c>
      <c r="X155" s="27" t="s">
        <v>7</v>
      </c>
      <c r="Y155" s="27" t="s">
        <v>8</v>
      </c>
      <c r="AA155" s="27" t="s">
        <v>8</v>
      </c>
      <c r="AB155" s="27" t="s">
        <v>7</v>
      </c>
      <c r="AC155" s="27" t="s">
        <v>8</v>
      </c>
      <c r="AD155" s="27" t="s">
        <v>7</v>
      </c>
      <c r="AE155" s="27" t="s">
        <v>8</v>
      </c>
      <c r="AF155" s="27" t="s">
        <v>7</v>
      </c>
      <c r="AG155" s="27" t="s">
        <v>8</v>
      </c>
      <c r="AV155" s="27" t="s">
        <v>7</v>
      </c>
      <c r="AW155" s="27" t="s">
        <v>8</v>
      </c>
      <c r="AZ155" s="27" t="s">
        <v>7</v>
      </c>
      <c r="BA155" s="27" t="s">
        <v>8</v>
      </c>
      <c r="BB155" s="27" t="s">
        <v>7</v>
      </c>
      <c r="BC155" s="27" t="s">
        <v>8</v>
      </c>
      <c r="BD155" s="27" t="s">
        <v>7</v>
      </c>
    </row>
    <row r="156" spans="1:57" x14ac:dyDescent="0.25">
      <c r="A156" s="30">
        <v>3.55841027383672E-2</v>
      </c>
      <c r="B156"/>
      <c r="C156"/>
      <c r="D156"/>
      <c r="E156"/>
      <c r="R156" s="27" t="s">
        <v>7</v>
      </c>
      <c r="S156" s="27" t="s">
        <v>8</v>
      </c>
      <c r="T156" s="27" t="s">
        <v>7</v>
      </c>
      <c r="V156" s="27" t="s">
        <v>7</v>
      </c>
      <c r="W156" s="27" t="s">
        <v>8</v>
      </c>
      <c r="X156" s="27" t="s">
        <v>7</v>
      </c>
      <c r="Y156" s="27" t="s">
        <v>8</v>
      </c>
      <c r="Z156" s="27" t="s">
        <v>7</v>
      </c>
      <c r="AA156" s="27" t="s">
        <v>8</v>
      </c>
      <c r="AB156" s="27" t="s">
        <v>7</v>
      </c>
      <c r="AC156" s="27" t="s">
        <v>8</v>
      </c>
      <c r="AD156" s="27" t="s">
        <v>7</v>
      </c>
      <c r="AE156" s="27" t="s">
        <v>8</v>
      </c>
      <c r="AF156" s="27" t="s">
        <v>7</v>
      </c>
      <c r="AV156" s="27" t="s">
        <v>7</v>
      </c>
      <c r="AZ156" s="27" t="s">
        <v>7</v>
      </c>
      <c r="BA156" s="27" t="s">
        <v>8</v>
      </c>
      <c r="BB156" s="27" t="s">
        <v>7</v>
      </c>
      <c r="BC156" s="27" t="s">
        <v>8</v>
      </c>
    </row>
    <row r="157" spans="1:57" x14ac:dyDescent="0.25">
      <c r="A157" s="30">
        <v>3.2349184307606541E-2</v>
      </c>
      <c r="B157"/>
      <c r="C157"/>
      <c r="D157"/>
      <c r="E157"/>
      <c r="R157" s="27" t="s">
        <v>7</v>
      </c>
      <c r="S157" s="27" t="s">
        <v>8</v>
      </c>
      <c r="V157" s="27" t="s">
        <v>7</v>
      </c>
      <c r="W157" s="27" t="s">
        <v>8</v>
      </c>
      <c r="X157" s="27" t="s">
        <v>7</v>
      </c>
      <c r="Y157" s="27" t="s">
        <v>8</v>
      </c>
      <c r="Z157" s="27" t="s">
        <v>7</v>
      </c>
      <c r="AA157" s="27" t="s">
        <v>8</v>
      </c>
      <c r="AB157" s="27" t="s">
        <v>7</v>
      </c>
      <c r="AC157" s="27" t="s">
        <v>8</v>
      </c>
      <c r="AD157" s="27" t="s">
        <v>7</v>
      </c>
      <c r="AZ157" s="27" t="s">
        <v>7</v>
      </c>
      <c r="BA157" s="27" t="s">
        <v>8</v>
      </c>
      <c r="BB157" s="18" t="s">
        <v>7</v>
      </c>
      <c r="BC157" s="27" t="s">
        <v>8</v>
      </c>
    </row>
    <row r="158" spans="1:57" x14ac:dyDescent="0.25">
      <c r="A158" s="30">
        <v>2.9408349370551395E-2</v>
      </c>
      <c r="B158"/>
      <c r="C158"/>
      <c r="D158"/>
      <c r="E158"/>
      <c r="R158" s="27" t="s">
        <v>7</v>
      </c>
      <c r="V158" s="27" t="s">
        <v>7</v>
      </c>
      <c r="X158" s="27" t="s">
        <v>7</v>
      </c>
      <c r="Z158" s="27" t="s">
        <v>7</v>
      </c>
      <c r="AA158" s="27" t="s">
        <v>8</v>
      </c>
      <c r="AB158" s="27" t="s">
        <v>7</v>
      </c>
      <c r="AZ158" s="27" t="s">
        <v>7</v>
      </c>
      <c r="BB158" s="27" t="s">
        <v>7</v>
      </c>
    </row>
    <row r="159" spans="1:57" x14ac:dyDescent="0.25">
      <c r="A159" s="30">
        <v>2.6734863064137627E-2</v>
      </c>
      <c r="B159"/>
      <c r="C159"/>
      <c r="D159"/>
      <c r="E159"/>
      <c r="Z159" s="27" t="s">
        <v>7</v>
      </c>
    </row>
    <row r="160" spans="1:57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28" operator="equal">
      <formula>$U$1</formula>
    </cfRule>
    <cfRule type="cellIs" dxfId="30" priority="929" operator="equal">
      <formula>$S$1</formula>
    </cfRule>
  </conditionalFormatting>
  <conditionalFormatting sqref="D136">
    <cfRule type="cellIs" dxfId="29" priority="926" operator="equal">
      <formula>$S$1</formula>
    </cfRule>
    <cfRule type="cellIs" dxfId="28" priority="927" operator="equal">
      <formula>$U$1</formula>
    </cfRule>
  </conditionalFormatting>
  <conditionalFormatting sqref="C102">
    <cfRule type="cellIs" dxfId="27" priority="924" operator="equal">
      <formula>$U$1</formula>
    </cfRule>
    <cfRule type="cellIs" dxfId="26" priority="925" operator="equal">
      <formula>$S$1</formula>
    </cfRule>
  </conditionalFormatting>
  <conditionalFormatting sqref="D102">
    <cfRule type="cellIs" dxfId="25" priority="922" operator="equal">
      <formula>$S$1</formula>
    </cfRule>
    <cfRule type="cellIs" dxfId="24" priority="923" operator="equal">
      <formula>$U$1</formula>
    </cfRule>
  </conditionalFormatting>
  <conditionalFormatting sqref="C77">
    <cfRule type="cellIs" dxfId="23" priority="920" operator="equal">
      <formula>$U$1</formula>
    </cfRule>
    <cfRule type="cellIs" dxfId="22" priority="921" operator="equal">
      <formula>$S$1</formula>
    </cfRule>
  </conditionalFormatting>
  <conditionalFormatting sqref="D77">
    <cfRule type="cellIs" dxfId="21" priority="918" operator="equal">
      <formula>$S$1</formula>
    </cfRule>
    <cfRule type="cellIs" dxfId="20" priority="919" operator="equal">
      <formula>$U$1</formula>
    </cfRule>
  </conditionalFormatting>
  <conditionalFormatting sqref="C52">
    <cfRule type="cellIs" dxfId="19" priority="916" operator="equal">
      <formula>$U$1</formula>
    </cfRule>
    <cfRule type="cellIs" dxfId="18" priority="917" operator="equal">
      <formula>$S$1</formula>
    </cfRule>
  </conditionalFormatting>
  <conditionalFormatting sqref="D52">
    <cfRule type="cellIs" dxfId="17" priority="914" operator="equal">
      <formula>$S$1</formula>
    </cfRule>
    <cfRule type="cellIs" dxfId="16" priority="915" operator="equal">
      <formula>$U$1</formula>
    </cfRule>
  </conditionalFormatting>
  <conditionalFormatting sqref="C26">
    <cfRule type="cellIs" dxfId="15" priority="912" operator="equal">
      <formula>$U$1</formula>
    </cfRule>
    <cfRule type="cellIs" dxfId="14" priority="913" operator="equal">
      <formula>$S$1</formula>
    </cfRule>
  </conditionalFormatting>
  <conditionalFormatting sqref="D26">
    <cfRule type="cellIs" dxfId="13" priority="910" operator="equal">
      <formula>$S$1</formula>
    </cfRule>
    <cfRule type="cellIs" dxfId="12" priority="91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2022-01-28T01:17:39Z</dcterms:modified>
</cp:coreProperties>
</file>