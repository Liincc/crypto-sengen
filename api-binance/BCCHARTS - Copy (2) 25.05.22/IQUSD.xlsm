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3145CDA-D2E0-4558-A8D4-0A4FA30FD04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6" i="5"/>
  <c r="C116" i="4"/>
  <c r="C118" i="4"/>
  <c r="R765" i="1"/>
  <c r="S766" i="1"/>
  <c r="T766" i="1" s="1"/>
  <c r="C122" i="3"/>
  <c r="C133" i="3" s="1"/>
  <c r="C136" i="3" s="1"/>
  <c r="C116" i="3"/>
  <c r="D136" i="4" l="1"/>
  <c r="C138" i="4" s="1"/>
  <c r="C136" i="5"/>
  <c r="C138" i="5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S761" i="1" l="1"/>
  <c r="T761" i="1" s="1"/>
  <c r="R760" i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S725" i="1" l="1"/>
  <c r="T725" i="1" s="1"/>
  <c r="R724" i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S713" i="1" l="1"/>
  <c r="T713" i="1" s="1"/>
  <c r="R712" i="1"/>
  <c r="R711" i="1" l="1"/>
  <c r="S712" i="1"/>
  <c r="T712" i="1" s="1"/>
  <c r="R710" i="1" l="1"/>
  <c r="S711" i="1"/>
  <c r="T711" i="1" s="1"/>
  <c r="S710" i="1" l="1"/>
  <c r="T710" i="1" s="1"/>
  <c r="R709" i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S638" i="1" l="1"/>
  <c r="T638" i="1" s="1"/>
  <c r="R637" i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<sst xmlns="http://schemas.openxmlformats.org/spreadsheetml/2006/main" count="7738" uniqueCount="34">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</sst>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8.5900000000000004E-3</c:v>
                </c:pt>
                <c:pt idx="1">
                  <c:v>8.5900000000000004E-3</c:v>
                </c:pt>
                <c:pt idx="2">
                  <c:v>8.3199999999999993E-3</c:v>
                </c:pt>
                <c:pt idx="3">
                  <c:v>8.2900000000000005E-3</c:v>
                </c:pt>
                <c:pt idx="4">
                  <c:v>8.5900000000000004E-3</c:v>
                </c:pt>
                <c:pt idx="5">
                  <c:v>8.3099999999999997E-3</c:v>
                </c:pt>
                <c:pt idx="6">
                  <c:v>8.7100000000000007E-3</c:v>
                </c:pt>
                <c:pt idx="7">
                  <c:v>9.8099999999999993E-3</c:v>
                </c:pt>
                <c:pt idx="8">
                  <c:v>1.001E-2</c:v>
                </c:pt>
                <c:pt idx="9">
                  <c:v>1.031E-2</c:v>
                </c:pt>
                <c:pt idx="10">
                  <c:v>1.0619999999999999E-2</c:v>
                </c:pt>
                <c:pt idx="11">
                  <c:v>1.1050000000000001E-2</c:v>
                </c:pt>
                <c:pt idx="12">
                  <c:v>1.091E-2</c:v>
                </c:pt>
                <c:pt idx="13">
                  <c:v>1.085E-2</c:v>
                </c:pt>
                <c:pt idx="14">
                  <c:v>1.069E-2</c:v>
                </c:pt>
                <c:pt idx="15">
                  <c:v>1.09E-2</c:v>
                </c:pt>
                <c:pt idx="16">
                  <c:v>1.051E-2</c:v>
                </c:pt>
                <c:pt idx="17">
                  <c:v>1.034E-2</c:v>
                </c:pt>
                <c:pt idx="18">
                  <c:v>1.0959999999999999E-2</c:v>
                </c:pt>
                <c:pt idx="19">
                  <c:v>1.076E-2</c:v>
                </c:pt>
                <c:pt idx="20">
                  <c:v>1.106E-2</c:v>
                </c:pt>
                <c:pt idx="21">
                  <c:v>1.1509999999999999E-2</c:v>
                </c:pt>
                <c:pt idx="22">
                  <c:v>1.155E-2</c:v>
                </c:pt>
                <c:pt idx="23">
                  <c:v>1.2670000000000001E-2</c:v>
                </c:pt>
                <c:pt idx="24">
                  <c:v>1.324E-2</c:v>
                </c:pt>
                <c:pt idx="25">
                  <c:v>1.295E-2</c:v>
                </c:pt>
                <c:pt idx="26">
                  <c:v>1.218E-2</c:v>
                </c:pt>
                <c:pt idx="27">
                  <c:v>1.1860000000000001E-2</c:v>
                </c:pt>
                <c:pt idx="28">
                  <c:v>1.209E-2</c:v>
                </c:pt>
                <c:pt idx="29">
                  <c:v>1.1599999999999999E-2</c:v>
                </c:pt>
                <c:pt idx="30">
                  <c:v>1.21E-2</c:v>
                </c:pt>
                <c:pt idx="31">
                  <c:v>1.311E-2</c:v>
                </c:pt>
                <c:pt idx="32">
                  <c:v>1.307E-2</c:v>
                </c:pt>
                <c:pt idx="33">
                  <c:v>1.32E-2</c:v>
                </c:pt>
                <c:pt idx="34">
                  <c:v>1.3010000000000001E-2</c:v>
                </c:pt>
                <c:pt idx="35">
                  <c:v>1.291E-2</c:v>
                </c:pt>
                <c:pt idx="36">
                  <c:v>1.2279999999999999E-2</c:v>
                </c:pt>
                <c:pt idx="37">
                  <c:v>1.222E-2</c:v>
                </c:pt>
                <c:pt idx="38">
                  <c:v>1.17E-2</c:v>
                </c:pt>
                <c:pt idx="39">
                  <c:v>1.209E-2</c:v>
                </c:pt>
                <c:pt idx="40">
                  <c:v>1.213E-2</c:v>
                </c:pt>
                <c:pt idx="41">
                  <c:v>1.18E-2</c:v>
                </c:pt>
                <c:pt idx="42">
                  <c:v>1.187E-2</c:v>
                </c:pt>
                <c:pt idx="43">
                  <c:v>1.206E-2</c:v>
                </c:pt>
                <c:pt idx="44">
                  <c:v>1.17E-2</c:v>
                </c:pt>
                <c:pt idx="45">
                  <c:v>1.132E-2</c:v>
                </c:pt>
                <c:pt idx="46">
                  <c:v>1.265E-2</c:v>
                </c:pt>
                <c:pt idx="47">
                  <c:v>1.223E-2</c:v>
                </c:pt>
                <c:pt idx="48">
                  <c:v>1.214E-2</c:v>
                </c:pt>
                <c:pt idx="49">
                  <c:v>1.2829999999999999E-2</c:v>
                </c:pt>
                <c:pt idx="50">
                  <c:v>1.4149999999999999E-2</c:v>
                </c:pt>
                <c:pt idx="51">
                  <c:v>1.401E-2</c:v>
                </c:pt>
                <c:pt idx="52">
                  <c:v>1.387E-2</c:v>
                </c:pt>
                <c:pt idx="53">
                  <c:v>1.3480000000000001E-2</c:v>
                </c:pt>
                <c:pt idx="54">
                  <c:v>1.499E-2</c:v>
                </c:pt>
                <c:pt idx="55">
                  <c:v>1.7909999999999999E-2</c:v>
                </c:pt>
                <c:pt idx="56">
                  <c:v>1.9400000000000001E-2</c:v>
                </c:pt>
                <c:pt idx="57">
                  <c:v>1.8460000000000001E-2</c:v>
                </c:pt>
                <c:pt idx="58">
                  <c:v>1.8200000000000001E-2</c:v>
                </c:pt>
                <c:pt idx="59">
                  <c:v>1.856E-2</c:v>
                </c:pt>
                <c:pt idx="60">
                  <c:v>1.8259999999999998E-2</c:v>
                </c:pt>
                <c:pt idx="61">
                  <c:v>1.6930000000000001E-2</c:v>
                </c:pt>
                <c:pt idx="62">
                  <c:v>1.6719999999999999E-2</c:v>
                </c:pt>
                <c:pt idx="63">
                  <c:v>1.8519999999999998E-2</c:v>
                </c:pt>
                <c:pt idx="64">
                  <c:v>1.7149999999999999E-2</c:v>
                </c:pt>
                <c:pt idx="65">
                  <c:v>1.6889999999999999E-2</c:v>
                </c:pt>
                <c:pt idx="66">
                  <c:v>1.6670000000000001E-2</c:v>
                </c:pt>
                <c:pt idx="67">
                  <c:v>1.7520000000000001E-2</c:v>
                </c:pt>
                <c:pt idx="68">
                  <c:v>1.7569999999999999E-2</c:v>
                </c:pt>
                <c:pt idx="69">
                  <c:v>1.678E-2</c:v>
                </c:pt>
                <c:pt idx="70">
                  <c:v>1.6E-2</c:v>
                </c:pt>
                <c:pt idx="71">
                  <c:v>1.8110000000000001E-2</c:v>
                </c:pt>
                <c:pt idx="72">
                  <c:v>1.8169999999999999E-2</c:v>
                </c:pt>
                <c:pt idx="73">
                  <c:v>1.7389999999999999E-2</c:v>
                </c:pt>
                <c:pt idx="74">
                  <c:v>1.746E-2</c:v>
                </c:pt>
                <c:pt idx="75">
                  <c:v>1.7160000000000002E-2</c:v>
                </c:pt>
                <c:pt idx="76">
                  <c:v>1.6930000000000001E-2</c:v>
                </c:pt>
                <c:pt idx="77">
                  <c:v>1.703E-2</c:v>
                </c:pt>
                <c:pt idx="78">
                  <c:v>1.703E-2</c:v>
                </c:pt>
                <c:pt idx="79">
                  <c:v>1.8190000000000001E-2</c:v>
                </c:pt>
                <c:pt idx="80">
                  <c:v>1.8419999999999999E-2</c:v>
                </c:pt>
                <c:pt idx="81">
                  <c:v>1.891E-2</c:v>
                </c:pt>
                <c:pt idx="82">
                  <c:v>1.9189999999999999E-2</c:v>
                </c:pt>
                <c:pt idx="83">
                  <c:v>1.8550000000000001E-2</c:v>
                </c:pt>
                <c:pt idx="84">
                  <c:v>1.8509999999999999E-2</c:v>
                </c:pt>
                <c:pt idx="85">
                  <c:v>1.8759999999999999E-2</c:v>
                </c:pt>
                <c:pt idx="86">
                  <c:v>1.883E-2</c:v>
                </c:pt>
                <c:pt idx="87">
                  <c:v>1.8380000000000001E-2</c:v>
                </c:pt>
                <c:pt idx="88">
                  <c:v>1.7999999999999999E-2</c:v>
                </c:pt>
                <c:pt idx="89">
                  <c:v>1.652E-2</c:v>
                </c:pt>
                <c:pt idx="90">
                  <c:v>1.7330000000000002E-2</c:v>
                </c:pt>
                <c:pt idx="91">
                  <c:v>1.7309999999999999E-2</c:v>
                </c:pt>
                <c:pt idx="92">
                  <c:v>1.6129999999999999E-2</c:v>
                </c:pt>
                <c:pt idx="93">
                  <c:v>1.84E-2</c:v>
                </c:pt>
                <c:pt idx="94">
                  <c:v>1.8710000000000001E-2</c:v>
                </c:pt>
                <c:pt idx="95">
                  <c:v>1.8380000000000001E-2</c:v>
                </c:pt>
                <c:pt idx="96">
                  <c:v>1.8720000000000001E-2</c:v>
                </c:pt>
                <c:pt idx="97">
                  <c:v>1.8839999999999999E-2</c:v>
                </c:pt>
                <c:pt idx="98">
                  <c:v>1.8249999999999999E-2</c:v>
                </c:pt>
                <c:pt idx="99">
                  <c:v>1.9099999999999999E-2</c:v>
                </c:pt>
                <c:pt idx="100">
                  <c:v>1.8859999999999998E-2</c:v>
                </c:pt>
                <c:pt idx="101">
                  <c:v>1.8329999999999999E-2</c:v>
                </c:pt>
                <c:pt idx="102">
                  <c:v>1.9029999999999998E-2</c:v>
                </c:pt>
                <c:pt idx="103">
                  <c:v>1.975E-2</c:v>
                </c:pt>
                <c:pt idx="104">
                  <c:v>1.9990000000000001E-2</c:v>
                </c:pt>
                <c:pt idx="105">
                  <c:v>2.2280000000000001E-2</c:v>
                </c:pt>
                <c:pt idx="106">
                  <c:v>2.0719999999999999E-2</c:v>
                </c:pt>
                <c:pt idx="107">
                  <c:v>1.9029999999999998E-2</c:v>
                </c:pt>
                <c:pt idx="108">
                  <c:v>2.0549999999999999E-2</c:v>
                </c:pt>
                <c:pt idx="109">
                  <c:v>1.7899999999999999E-2</c:v>
                </c:pt>
                <c:pt idx="110">
                  <c:v>1.9640000000000001E-2</c:v>
                </c:pt>
                <c:pt idx="111">
                  <c:v>1.821E-2</c:v>
                </c:pt>
                <c:pt idx="112">
                  <c:v>1.6119999999999999E-2</c:v>
                </c:pt>
                <c:pt idx="113">
                  <c:v>1.5699999999999999E-2</c:v>
                </c:pt>
                <c:pt idx="114">
                  <c:v>1.5010000000000001E-2</c:v>
                </c:pt>
                <c:pt idx="115">
                  <c:v>1.362E-2</c:v>
                </c:pt>
                <c:pt idx="116">
                  <c:v>1.3979999999999999E-2</c:v>
                </c:pt>
                <c:pt idx="117">
                  <c:v>1.4019999999999999E-2</c:v>
                </c:pt>
                <c:pt idx="118">
                  <c:v>1.4160000000000001E-2</c:v>
                </c:pt>
                <c:pt idx="119">
                  <c:v>1.268E-2</c:v>
                </c:pt>
                <c:pt idx="120">
                  <c:v>1.171E-2</c:v>
                </c:pt>
                <c:pt idx="121">
                  <c:v>1.163E-2</c:v>
                </c:pt>
                <c:pt idx="122">
                  <c:v>1.244E-2</c:v>
                </c:pt>
                <c:pt idx="123">
                  <c:v>1.289E-2</c:v>
                </c:pt>
                <c:pt idx="124">
                  <c:v>1.324E-2</c:v>
                </c:pt>
                <c:pt idx="125">
                  <c:v>1.312E-2</c:v>
                </c:pt>
                <c:pt idx="126">
                  <c:v>1.396E-2</c:v>
                </c:pt>
                <c:pt idx="127">
                  <c:v>1.3780000000000001E-2</c:v>
                </c:pt>
                <c:pt idx="128">
                  <c:v>1.2239999999999999E-2</c:v>
                </c:pt>
                <c:pt idx="129">
                  <c:v>1.435E-2</c:v>
                </c:pt>
                <c:pt idx="130">
                  <c:v>1.602E-2</c:v>
                </c:pt>
                <c:pt idx="131">
                  <c:v>1.6129999999999999E-2</c:v>
                </c:pt>
                <c:pt idx="132">
                  <c:v>1.6119999999999999E-2</c:v>
                </c:pt>
                <c:pt idx="133">
                  <c:v>1.6559999999999998E-2</c:v>
                </c:pt>
                <c:pt idx="134">
                  <c:v>1.6979999999999999E-2</c:v>
                </c:pt>
                <c:pt idx="135">
                  <c:v>1.6760000000000001E-2</c:v>
                </c:pt>
                <c:pt idx="136">
                  <c:v>1.6910000000000001E-2</c:v>
                </c:pt>
                <c:pt idx="137">
                  <c:v>1.6250000000000001E-2</c:v>
                </c:pt>
                <c:pt idx="138">
                  <c:v>1.602E-2</c:v>
                </c:pt>
                <c:pt idx="139">
                  <c:v>1.592E-2</c:v>
                </c:pt>
                <c:pt idx="140">
                  <c:v>1.7489999999999999E-2</c:v>
                </c:pt>
                <c:pt idx="141">
                  <c:v>1.686E-2</c:v>
                </c:pt>
                <c:pt idx="142">
                  <c:v>1.5990000000000001E-2</c:v>
                </c:pt>
                <c:pt idx="143">
                  <c:v>0.02</c:v>
                </c:pt>
                <c:pt idx="144">
                  <c:v>1.9910000000000001E-2</c:v>
                </c:pt>
                <c:pt idx="145">
                  <c:v>1.9619999999999999E-2</c:v>
                </c:pt>
                <c:pt idx="146">
                  <c:v>1.8200000000000001E-2</c:v>
                </c:pt>
                <c:pt idx="147">
                  <c:v>1.7260000000000001E-2</c:v>
                </c:pt>
                <c:pt idx="148">
                  <c:v>1.7129999999999999E-2</c:v>
                </c:pt>
                <c:pt idx="149">
                  <c:v>1.6E-2</c:v>
                </c:pt>
                <c:pt idx="150">
                  <c:v>1.566E-2</c:v>
                </c:pt>
                <c:pt idx="151">
                  <c:v>1.634E-2</c:v>
                </c:pt>
                <c:pt idx="152">
                  <c:v>1.6930000000000001E-2</c:v>
                </c:pt>
                <c:pt idx="153">
                  <c:v>1.6330000000000001E-2</c:v>
                </c:pt>
                <c:pt idx="154">
                  <c:v>1.4970000000000001E-2</c:v>
                </c:pt>
                <c:pt idx="155">
                  <c:v>1.5592999999999999E-2</c:v>
                </c:pt>
                <c:pt idx="156">
                  <c:v>1.555E-2</c:v>
                </c:pt>
                <c:pt idx="157">
                  <c:v>1.5688000000000001E-2</c:v>
                </c:pt>
                <c:pt idx="158">
                  <c:v>1.4600999999999999E-2</c:v>
                </c:pt>
                <c:pt idx="159">
                  <c:v>1.4527E-2</c:v>
                </c:pt>
                <c:pt idx="160">
                  <c:v>1.4524E-2</c:v>
                </c:pt>
                <c:pt idx="161">
                  <c:v>1.4241999999999999E-2</c:v>
                </c:pt>
                <c:pt idx="162">
                  <c:v>1.37E-2</c:v>
                </c:pt>
                <c:pt idx="163">
                  <c:v>1.3998999999999999E-2</c:v>
                </c:pt>
                <c:pt idx="164">
                  <c:v>1.5178000000000001E-2</c:v>
                </c:pt>
                <c:pt idx="165">
                  <c:v>1.5617000000000001E-2</c:v>
                </c:pt>
                <c:pt idx="166">
                  <c:v>1.5102000000000001E-2</c:v>
                </c:pt>
                <c:pt idx="167">
                  <c:v>1.5129999999999999E-2</c:v>
                </c:pt>
                <c:pt idx="168">
                  <c:v>1.4241E-2</c:v>
                </c:pt>
                <c:pt idx="169">
                  <c:v>1.4851E-2</c:v>
                </c:pt>
                <c:pt idx="170">
                  <c:v>1.4566000000000001E-2</c:v>
                </c:pt>
                <c:pt idx="171">
                  <c:v>1.4590000000000001E-2</c:v>
                </c:pt>
                <c:pt idx="172">
                  <c:v>1.4041E-2</c:v>
                </c:pt>
                <c:pt idx="173">
                  <c:v>1.4902E-2</c:v>
                </c:pt>
                <c:pt idx="174">
                  <c:v>1.4397999999999999E-2</c:v>
                </c:pt>
                <c:pt idx="175">
                  <c:v>1.4407E-2</c:v>
                </c:pt>
                <c:pt idx="176">
                  <c:v>1.3368E-2</c:v>
                </c:pt>
                <c:pt idx="177">
                  <c:v>1.2555999999999999E-2</c:v>
                </c:pt>
                <c:pt idx="178">
                  <c:v>1.3027E-2</c:v>
                </c:pt>
                <c:pt idx="179">
                  <c:v>1.3289E-2</c:v>
                </c:pt>
                <c:pt idx="180">
                  <c:v>1.4055E-2</c:v>
                </c:pt>
                <c:pt idx="181">
                  <c:v>1.3181999999999999E-2</c:v>
                </c:pt>
                <c:pt idx="182">
                  <c:v>1.2529E-2</c:v>
                </c:pt>
                <c:pt idx="183">
                  <c:v>1.1442000000000001E-2</c:v>
                </c:pt>
                <c:pt idx="184">
                  <c:v>1.1546000000000001E-2</c:v>
                </c:pt>
                <c:pt idx="185">
                  <c:v>1.1417E-2</c:v>
                </c:pt>
                <c:pt idx="186">
                  <c:v>1.0861000000000001E-2</c:v>
                </c:pt>
                <c:pt idx="187">
                  <c:v>1.0514000000000001E-2</c:v>
                </c:pt>
                <c:pt idx="188">
                  <c:v>1.0576E-2</c:v>
                </c:pt>
                <c:pt idx="189">
                  <c:v>1.0312E-2</c:v>
                </c:pt>
                <c:pt idx="190">
                  <c:v>1.0073E-2</c:v>
                </c:pt>
                <c:pt idx="191">
                  <c:v>9.4009999999999996E-3</c:v>
                </c:pt>
                <c:pt idx="192">
                  <c:v>1.0376E-2</c:v>
                </c:pt>
                <c:pt idx="193">
                  <c:v>1.0477E-2</c:v>
                </c:pt>
                <c:pt idx="194">
                  <c:v>1.0558E-2</c:v>
                </c:pt>
                <c:pt idx="195">
                  <c:v>1.0399E-2</c:v>
                </c:pt>
                <c:pt idx="196">
                  <c:v>1.0893E-2</c:v>
                </c:pt>
                <c:pt idx="197">
                  <c:v>1.153E-2</c:v>
                </c:pt>
                <c:pt idx="198">
                  <c:v>1.2185E-2</c:v>
                </c:pt>
                <c:pt idx="199">
                  <c:v>1.2211E-2</c:v>
                </c:pt>
                <c:pt idx="200">
                  <c:v>1.2302E-2</c:v>
                </c:pt>
                <c:pt idx="201">
                  <c:v>1.1788E-2</c:v>
                </c:pt>
                <c:pt idx="202">
                  <c:v>1.1745999999999999E-2</c:v>
                </c:pt>
                <c:pt idx="203">
                  <c:v>1.1886000000000001E-2</c:v>
                </c:pt>
                <c:pt idx="204">
                  <c:v>1.3535E-2</c:v>
                </c:pt>
                <c:pt idx="205">
                  <c:v>1.1984E-2</c:v>
                </c:pt>
                <c:pt idx="206">
                  <c:v>1.1006E-2</c:v>
                </c:pt>
                <c:pt idx="207">
                  <c:v>1.1192000000000001E-2</c:v>
                </c:pt>
                <c:pt idx="208">
                  <c:v>1.1069000000000001E-2</c:v>
                </c:pt>
                <c:pt idx="209">
                  <c:v>1.1384E-2</c:v>
                </c:pt>
                <c:pt idx="210">
                  <c:v>1.0924E-2</c:v>
                </c:pt>
                <c:pt idx="211">
                  <c:v>1.1920999999999999E-2</c:v>
                </c:pt>
                <c:pt idx="212">
                  <c:v>9.3380000000000008E-3</c:v>
                </c:pt>
                <c:pt idx="213">
                  <c:v>9.1380000000000003E-3</c:v>
                </c:pt>
                <c:pt idx="214">
                  <c:v>9.2669999999999992E-3</c:v>
                </c:pt>
                <c:pt idx="215">
                  <c:v>9.2300000000000004E-3</c:v>
                </c:pt>
                <c:pt idx="216">
                  <c:v>1.0119E-2</c:v>
                </c:pt>
                <c:pt idx="217">
                  <c:v>8.1390000000000004E-3</c:v>
                </c:pt>
                <c:pt idx="218">
                  <c:v>7.3759999999999997E-3</c:v>
                </c:pt>
                <c:pt idx="219">
                  <c:v>6.9639999999999997E-3</c:v>
                </c:pt>
                <c:pt idx="220">
                  <c:v>7.9019999999999993E-3</c:v>
                </c:pt>
                <c:pt idx="221">
                  <c:v>1.1048000000000001E-2</c:v>
                </c:pt>
                <c:pt idx="222">
                  <c:v>1.1363E-2</c:v>
                </c:pt>
                <c:pt idx="223">
                  <c:v>1.142E-2</c:v>
                </c:pt>
                <c:pt idx="224">
                  <c:v>1.2255E-2</c:v>
                </c:pt>
                <c:pt idx="225">
                  <c:v>1.2266000000000001E-2</c:v>
                </c:pt>
                <c:pt idx="226">
                  <c:v>1.3259999999999999E-2</c:v>
                </c:pt>
                <c:pt idx="227">
                  <c:v>1.2973E-2</c:v>
                </c:pt>
                <c:pt idx="228">
                  <c:v>1.2987E-2</c:v>
                </c:pt>
                <c:pt idx="229">
                  <c:v>1.1498E-2</c:v>
                </c:pt>
                <c:pt idx="230">
                  <c:v>1.2857E-2</c:v>
                </c:pt>
                <c:pt idx="231">
                  <c:v>1.5011E-2</c:v>
                </c:pt>
                <c:pt idx="232">
                  <c:v>1.3802999999999999E-2</c:v>
                </c:pt>
                <c:pt idx="233">
                  <c:v>1.3669000000000001E-2</c:v>
                </c:pt>
                <c:pt idx="234">
                  <c:v>1.4685E-2</c:v>
                </c:pt>
                <c:pt idx="235">
                  <c:v>1.8293E-2</c:v>
                </c:pt>
                <c:pt idx="236">
                  <c:v>1.7762E-2</c:v>
                </c:pt>
                <c:pt idx="237">
                  <c:v>1.5838999999999999E-2</c:v>
                </c:pt>
                <c:pt idx="238">
                  <c:v>1.2529999999999999E-2</c:v>
                </c:pt>
                <c:pt idx="239">
                  <c:v>1.2578000000000001E-2</c:v>
                </c:pt>
                <c:pt idx="240">
                  <c:v>1.1667E-2</c:v>
                </c:pt>
                <c:pt idx="241">
                  <c:v>1.1887999999999999E-2</c:v>
                </c:pt>
                <c:pt idx="242">
                  <c:v>1.1441E-2</c:v>
                </c:pt>
                <c:pt idx="243">
                  <c:v>1.1469999999999999E-2</c:v>
                </c:pt>
                <c:pt idx="244">
                  <c:v>1.2089000000000001E-2</c:v>
                </c:pt>
                <c:pt idx="245">
                  <c:v>1.3124E-2</c:v>
                </c:pt>
                <c:pt idx="246">
                  <c:v>1.3519E-2</c:v>
                </c:pt>
                <c:pt idx="247">
                  <c:v>1.2429000000000001E-2</c:v>
                </c:pt>
                <c:pt idx="248">
                  <c:v>1.291E-2</c:v>
                </c:pt>
                <c:pt idx="249">
                  <c:v>1.2402E-2</c:v>
                </c:pt>
                <c:pt idx="250">
                  <c:v>1.6173E-2</c:v>
                </c:pt>
                <c:pt idx="251">
                  <c:v>1.4416E-2</c:v>
                </c:pt>
                <c:pt idx="252">
                  <c:v>1.3100000000000001E-2</c:v>
                </c:pt>
                <c:pt idx="253">
                  <c:v>1.1209999999999999E-2</c:v>
                </c:pt>
                <c:pt idx="254">
                  <c:v>1.7378000000000001E-2</c:v>
                </c:pt>
                <c:pt idx="255">
                  <c:v>1.7094999999999999E-2</c:v>
                </c:pt>
                <c:pt idx="256">
                  <c:v>1.9503E-2</c:v>
                </c:pt>
                <c:pt idx="257">
                  <c:v>1.7474E-2</c:v>
                </c:pt>
                <c:pt idx="258">
                  <c:v>1.9562E-2</c:v>
                </c:pt>
                <c:pt idx="259">
                  <c:v>1.6594999999999999E-2</c:v>
                </c:pt>
                <c:pt idx="260">
                  <c:v>1.6393999999999999E-2</c:v>
                </c:pt>
                <c:pt idx="261">
                  <c:v>1.993E-2</c:v>
                </c:pt>
                <c:pt idx="262">
                  <c:v>1.7788000000000002E-2</c:v>
                </c:pt>
                <c:pt idx="263">
                  <c:v>2.0049000000000001E-2</c:v>
                </c:pt>
                <c:pt idx="264">
                  <c:v>2.0434999999999998E-2</c:v>
                </c:pt>
                <c:pt idx="265">
                  <c:v>2.0750000000000001E-2</c:v>
                </c:pt>
                <c:pt idx="266">
                  <c:v>2.0493000000000001E-2</c:v>
                </c:pt>
                <c:pt idx="267">
                  <c:v>2.1977E-2</c:v>
                </c:pt>
                <c:pt idx="268">
                  <c:v>2.0764999999999999E-2</c:v>
                </c:pt>
                <c:pt idx="269">
                  <c:v>2.4355000000000002E-2</c:v>
                </c:pt>
                <c:pt idx="270">
                  <c:v>2.3362999999999998E-2</c:v>
                </c:pt>
                <c:pt idx="271">
                  <c:v>2.2738999999999999E-2</c:v>
                </c:pt>
                <c:pt idx="272">
                  <c:v>2.2894000000000001E-2</c:v>
                </c:pt>
                <c:pt idx="273">
                  <c:v>2.1915E-2</c:v>
                </c:pt>
                <c:pt idx="274">
                  <c:v>2.206E-2</c:v>
                </c:pt>
                <c:pt idx="275">
                  <c:v>2.3251000000000001E-2</c:v>
                </c:pt>
                <c:pt idx="276">
                  <c:v>2.1238E-2</c:v>
                </c:pt>
                <c:pt idx="277">
                  <c:v>1.7833000000000002E-2</c:v>
                </c:pt>
                <c:pt idx="278">
                  <c:v>1.7766000000000001E-2</c:v>
                </c:pt>
                <c:pt idx="279">
                  <c:v>1.8608E-2</c:v>
                </c:pt>
                <c:pt idx="280">
                  <c:v>2.0195000000000001E-2</c:v>
                </c:pt>
                <c:pt idx="281">
                  <c:v>2.3650999999999998E-2</c:v>
                </c:pt>
                <c:pt idx="282">
                  <c:v>2.4951999999999998E-2</c:v>
                </c:pt>
                <c:pt idx="283">
                  <c:v>2.5699E-2</c:v>
                </c:pt>
                <c:pt idx="284">
                  <c:v>2.9384E-2</c:v>
                </c:pt>
                <c:pt idx="285">
                  <c:v>3.9695000000000001E-2</c:v>
                </c:pt>
                <c:pt idx="286">
                  <c:v>2.2286E-2</c:v>
                </c:pt>
                <c:pt idx="287">
                  <c:v>2.4466000000000002E-2</c:v>
                </c:pt>
                <c:pt idx="288">
                  <c:v>2.2275E-2</c:v>
                </c:pt>
                <c:pt idx="289">
                  <c:v>2.4594999999999999E-2</c:v>
                </c:pt>
                <c:pt idx="290">
                  <c:v>2.4247999999999999E-2</c:v>
                </c:pt>
                <c:pt idx="291">
                  <c:v>2.5361999999999999E-2</c:v>
                </c:pt>
                <c:pt idx="292">
                  <c:v>2.5822000000000001E-2</c:v>
                </c:pt>
                <c:pt idx="293">
                  <c:v>2.7275000000000001E-2</c:v>
                </c:pt>
                <c:pt idx="294">
                  <c:v>2.6103000000000001E-2</c:v>
                </c:pt>
                <c:pt idx="295">
                  <c:v>2.1957000000000001E-2</c:v>
                </c:pt>
                <c:pt idx="296">
                  <c:v>2.6356000000000001E-2</c:v>
                </c:pt>
                <c:pt idx="297">
                  <c:v>2.9531999999999999E-2</c:v>
                </c:pt>
                <c:pt idx="298">
                  <c:v>3.3771000000000002E-2</c:v>
                </c:pt>
                <c:pt idx="299">
                  <c:v>3.1244000000000001E-2</c:v>
                </c:pt>
                <c:pt idx="300">
                  <c:v>3.5123000000000001E-2</c:v>
                </c:pt>
                <c:pt idx="301">
                  <c:v>3.0522000000000001E-2</c:v>
                </c:pt>
                <c:pt idx="302">
                  <c:v>2.8853E-2</c:v>
                </c:pt>
                <c:pt idx="303">
                  <c:v>2.8944000000000001E-2</c:v>
                </c:pt>
                <c:pt idx="304">
                  <c:v>2.7067000000000001E-2</c:v>
                </c:pt>
                <c:pt idx="305">
                  <c:v>2.5680000000000001E-2</c:v>
                </c:pt>
                <c:pt idx="306">
                  <c:v>2.5238E-2</c:v>
                </c:pt>
                <c:pt idx="307">
                  <c:v>2.4996000000000001E-2</c:v>
                </c:pt>
                <c:pt idx="308">
                  <c:v>2.3049E-2</c:v>
                </c:pt>
                <c:pt idx="309">
                  <c:v>2.2565000000000002E-2</c:v>
                </c:pt>
                <c:pt idx="310">
                  <c:v>2.5493999999999999E-2</c:v>
                </c:pt>
                <c:pt idx="311">
                  <c:v>2.8261999999999999E-2</c:v>
                </c:pt>
                <c:pt idx="312">
                  <c:v>3.3202000000000002E-2</c:v>
                </c:pt>
                <c:pt idx="313">
                  <c:v>2.8743999999999999E-2</c:v>
                </c:pt>
                <c:pt idx="314">
                  <c:v>2.8996999999999998E-2</c:v>
                </c:pt>
                <c:pt idx="315">
                  <c:v>2.4986999999999999E-2</c:v>
                </c:pt>
                <c:pt idx="316">
                  <c:v>2.1898999999999998E-2</c:v>
                </c:pt>
                <c:pt idx="317">
                  <c:v>2.2773999999999999E-2</c:v>
                </c:pt>
                <c:pt idx="318">
                  <c:v>1.4829999999999999E-2</c:v>
                </c:pt>
                <c:pt idx="319">
                  <c:v>1.4064999999999999E-2</c:v>
                </c:pt>
                <c:pt idx="320">
                  <c:v>1.3273E-2</c:v>
                </c:pt>
                <c:pt idx="321">
                  <c:v>9.502E-3</c:v>
                </c:pt>
                <c:pt idx="322">
                  <c:v>9.4870000000000006E-3</c:v>
                </c:pt>
                <c:pt idx="323">
                  <c:v>9.5300000000000003E-3</c:v>
                </c:pt>
                <c:pt idx="324">
                  <c:v>9.1529999999999997E-3</c:v>
                </c:pt>
                <c:pt idx="325">
                  <c:v>8.8129999999999997E-3</c:v>
                </c:pt>
                <c:pt idx="326">
                  <c:v>8.744E-3</c:v>
                </c:pt>
                <c:pt idx="327">
                  <c:v>8.6E-3</c:v>
                </c:pt>
                <c:pt idx="328">
                  <c:v>8.6540000000000002E-3</c:v>
                </c:pt>
                <c:pt idx="329">
                  <c:v>8.5800000000000008E-3</c:v>
                </c:pt>
                <c:pt idx="330">
                  <c:v>7.7029999999999998E-3</c:v>
                </c:pt>
                <c:pt idx="331">
                  <c:v>7.1830000000000001E-3</c:v>
                </c:pt>
                <c:pt idx="332">
                  <c:v>7.1390000000000004E-3</c:v>
                </c:pt>
                <c:pt idx="333">
                  <c:v>6.705E-3</c:v>
                </c:pt>
                <c:pt idx="334">
                  <c:v>7.3629999999999998E-3</c:v>
                </c:pt>
                <c:pt idx="335">
                  <c:v>7.1609999999999998E-3</c:v>
                </c:pt>
                <c:pt idx="336">
                  <c:v>6.7660000000000003E-3</c:v>
                </c:pt>
                <c:pt idx="337">
                  <c:v>6.8339999999999998E-3</c:v>
                </c:pt>
                <c:pt idx="338">
                  <c:v>6.6090000000000003E-3</c:v>
                </c:pt>
                <c:pt idx="339">
                  <c:v>8.9219999999999994E-3</c:v>
                </c:pt>
                <c:pt idx="340">
                  <c:v>9.8019999999999999E-3</c:v>
                </c:pt>
                <c:pt idx="341">
                  <c:v>9.0810000000000005E-3</c:v>
                </c:pt>
                <c:pt idx="342">
                  <c:v>9.7020000000000006E-3</c:v>
                </c:pt>
                <c:pt idx="343">
                  <c:v>8.3870000000000004E-3</c:v>
                </c:pt>
                <c:pt idx="344">
                  <c:v>7.554E-3</c:v>
                </c:pt>
                <c:pt idx="345">
                  <c:v>6.123E-3</c:v>
                </c:pt>
                <c:pt idx="346">
                  <c:v>6.3200000000000001E-3</c:v>
                </c:pt>
                <c:pt idx="347">
                  <c:v>6.7920000000000003E-3</c:v>
                </c:pt>
                <c:pt idx="348">
                  <c:v>7.2290000000000002E-3</c:v>
                </c:pt>
                <c:pt idx="349">
                  <c:v>7.012E-3</c:v>
                </c:pt>
                <c:pt idx="350">
                  <c:v>6.4660000000000004E-3</c:v>
                </c:pt>
                <c:pt idx="351">
                  <c:v>6.097E-3</c:v>
                </c:pt>
                <c:pt idx="352">
                  <c:v>6.2940000000000001E-3</c:v>
                </c:pt>
                <c:pt idx="353">
                  <c:v>5.8339999999999998E-3</c:v>
                </c:pt>
                <c:pt idx="354">
                  <c:v>5.6259999999999999E-3</c:v>
                </c:pt>
                <c:pt idx="355">
                  <c:v>5.9309999999999996E-3</c:v>
                </c:pt>
                <c:pt idx="356">
                  <c:v>6.4770000000000001E-3</c:v>
                </c:pt>
                <c:pt idx="357">
                  <c:v>6.698E-3</c:v>
                </c:pt>
                <c:pt idx="358">
                  <c:v>5.1289999999999999E-3</c:v>
                </c:pt>
                <c:pt idx="359">
                  <c:v>4.3499999999999997E-3</c:v>
                </c:pt>
                <c:pt idx="360">
                  <c:v>3.9410000000000001E-3</c:v>
                </c:pt>
                <c:pt idx="361">
                  <c:v>4.0619999999999996E-3</c:v>
                </c:pt>
                <c:pt idx="362">
                  <c:v>4.333E-3</c:v>
                </c:pt>
                <c:pt idx="363">
                  <c:v>4.071E-3</c:v>
                </c:pt>
                <c:pt idx="364">
                  <c:v>4.0489999999999996E-3</c:v>
                </c:pt>
                <c:pt idx="365">
                  <c:v>3.5490000000000001E-3</c:v>
                </c:pt>
                <c:pt idx="366">
                  <c:v>3.8969999999999999E-3</c:v>
                </c:pt>
                <c:pt idx="367">
                  <c:v>3.9490000000000003E-3</c:v>
                </c:pt>
                <c:pt idx="368">
                  <c:v>4.0080000000000003E-3</c:v>
                </c:pt>
                <c:pt idx="369">
                  <c:v>3.9969999999999997E-3</c:v>
                </c:pt>
                <c:pt idx="370">
                  <c:v>3.9100000000000003E-3</c:v>
                </c:pt>
                <c:pt idx="371">
                  <c:v>3.7330000000000002E-3</c:v>
                </c:pt>
                <c:pt idx="372">
                  <c:v>4.4609999999999997E-3</c:v>
                </c:pt>
                <c:pt idx="373">
                  <c:v>4.5180000000000003E-3</c:v>
                </c:pt>
                <c:pt idx="374">
                  <c:v>3.9420000000000002E-3</c:v>
                </c:pt>
                <c:pt idx="375">
                  <c:v>3.8340000000000002E-3</c:v>
                </c:pt>
                <c:pt idx="376">
                  <c:v>3.7200000000000002E-3</c:v>
                </c:pt>
                <c:pt idx="377">
                  <c:v>3.5860000000000002E-3</c:v>
                </c:pt>
                <c:pt idx="378">
                  <c:v>3.7829999999999999E-3</c:v>
                </c:pt>
                <c:pt idx="379">
                  <c:v>3.5430000000000001E-3</c:v>
                </c:pt>
                <c:pt idx="380">
                  <c:v>3.4009999999999999E-3</c:v>
                </c:pt>
                <c:pt idx="381">
                  <c:v>3.2160000000000001E-3</c:v>
                </c:pt>
                <c:pt idx="382">
                  <c:v>3.7330000000000002E-3</c:v>
                </c:pt>
                <c:pt idx="383">
                  <c:v>3.9750000000000002E-3</c:v>
                </c:pt>
                <c:pt idx="384">
                  <c:v>3.748E-3</c:v>
                </c:pt>
                <c:pt idx="385">
                  <c:v>4.0049999999999999E-3</c:v>
                </c:pt>
                <c:pt idx="386">
                  <c:v>4.1879999999999999E-3</c:v>
                </c:pt>
                <c:pt idx="387">
                  <c:v>4.3E-3</c:v>
                </c:pt>
                <c:pt idx="388">
                  <c:v>4.1159999999999999E-3</c:v>
                </c:pt>
                <c:pt idx="389">
                  <c:v>4.6480000000000002E-3</c:v>
                </c:pt>
                <c:pt idx="390">
                  <c:v>5.4130000000000003E-3</c:v>
                </c:pt>
                <c:pt idx="391">
                  <c:v>6.4310000000000001E-3</c:v>
                </c:pt>
                <c:pt idx="392">
                  <c:v>2.9220000000000001E-3</c:v>
                </c:pt>
                <c:pt idx="393">
                  <c:v>3.016E-3</c:v>
                </c:pt>
                <c:pt idx="394">
                  <c:v>2.5600000000000002E-3</c:v>
                </c:pt>
                <c:pt idx="395">
                  <c:v>2.653E-3</c:v>
                </c:pt>
                <c:pt idx="396">
                  <c:v>2.699E-3</c:v>
                </c:pt>
                <c:pt idx="397">
                  <c:v>2.5829999999999998E-3</c:v>
                </c:pt>
                <c:pt idx="398">
                  <c:v>2.444E-3</c:v>
                </c:pt>
                <c:pt idx="399">
                  <c:v>2.4120000000000001E-3</c:v>
                </c:pt>
                <c:pt idx="400">
                  <c:v>2.2550000000000001E-3</c:v>
                </c:pt>
                <c:pt idx="401">
                  <c:v>2.5600000000000002E-3</c:v>
                </c:pt>
                <c:pt idx="402">
                  <c:v>2.5669999999999998E-3</c:v>
                </c:pt>
                <c:pt idx="403">
                  <c:v>2.7560000000000002E-3</c:v>
                </c:pt>
                <c:pt idx="404">
                  <c:v>2.8630000000000001E-3</c:v>
                </c:pt>
                <c:pt idx="405">
                  <c:v>2.5950000000000001E-3</c:v>
                </c:pt>
                <c:pt idx="406">
                  <c:v>2.4520000000000002E-3</c:v>
                </c:pt>
                <c:pt idx="407">
                  <c:v>2.467E-3</c:v>
                </c:pt>
                <c:pt idx="408">
                  <c:v>2.4450000000000001E-3</c:v>
                </c:pt>
                <c:pt idx="409">
                  <c:v>2.4369999999999999E-3</c:v>
                </c:pt>
                <c:pt idx="410">
                  <c:v>2.447E-3</c:v>
                </c:pt>
                <c:pt idx="411">
                  <c:v>2.4299999999999999E-3</c:v>
                </c:pt>
                <c:pt idx="412">
                  <c:v>2.3400000000000001E-3</c:v>
                </c:pt>
                <c:pt idx="413">
                  <c:v>2.4399999999999999E-3</c:v>
                </c:pt>
                <c:pt idx="414">
                  <c:v>2.4919999999999999E-3</c:v>
                </c:pt>
                <c:pt idx="415">
                  <c:v>2.5600000000000002E-3</c:v>
                </c:pt>
                <c:pt idx="416">
                  <c:v>2.7169999999999998E-3</c:v>
                </c:pt>
                <c:pt idx="417">
                  <c:v>2.6319999999999998E-3</c:v>
                </c:pt>
                <c:pt idx="418">
                  <c:v>2.7100000000000002E-3</c:v>
                </c:pt>
                <c:pt idx="419">
                  <c:v>2.5690000000000001E-3</c:v>
                </c:pt>
                <c:pt idx="420">
                  <c:v>2.7759999999999998E-3</c:v>
                </c:pt>
                <c:pt idx="421">
                  <c:v>2.6489999999999999E-3</c:v>
                </c:pt>
                <c:pt idx="422">
                  <c:v>2.4989999999999999E-3</c:v>
                </c:pt>
                <c:pt idx="423">
                  <c:v>2.3709999999999998E-3</c:v>
                </c:pt>
                <c:pt idx="424">
                  <c:v>2.294E-3</c:v>
                </c:pt>
                <c:pt idx="425">
                  <c:v>2.3059999999999999E-3</c:v>
                </c:pt>
                <c:pt idx="426">
                  <c:v>2.2239999999999998E-3</c:v>
                </c:pt>
                <c:pt idx="427">
                  <c:v>2.245E-3</c:v>
                </c:pt>
                <c:pt idx="428">
                  <c:v>2.562E-3</c:v>
                </c:pt>
                <c:pt idx="429">
                  <c:v>2.532E-3</c:v>
                </c:pt>
                <c:pt idx="430">
                  <c:v>2.4380000000000001E-3</c:v>
                </c:pt>
                <c:pt idx="431">
                  <c:v>2.3809999999999999E-3</c:v>
                </c:pt>
                <c:pt idx="432">
                  <c:v>2.4190000000000001E-3</c:v>
                </c:pt>
                <c:pt idx="433">
                  <c:v>2.297E-3</c:v>
                </c:pt>
                <c:pt idx="434">
                  <c:v>2.2469999999999999E-3</c:v>
                </c:pt>
                <c:pt idx="435">
                  <c:v>2.2899999999999999E-3</c:v>
                </c:pt>
                <c:pt idx="436">
                  <c:v>2.4789999999999999E-3</c:v>
                </c:pt>
                <c:pt idx="437">
                  <c:v>2.3670000000000002E-3</c:v>
                </c:pt>
                <c:pt idx="438">
                  <c:v>2.3869999999999998E-3</c:v>
                </c:pt>
                <c:pt idx="439">
                  <c:v>2.4480000000000001E-3</c:v>
                </c:pt>
                <c:pt idx="440">
                  <c:v>2.552E-3</c:v>
                </c:pt>
                <c:pt idx="441">
                  <c:v>2.565E-3</c:v>
                </c:pt>
                <c:pt idx="442">
                  <c:v>2.428E-3</c:v>
                </c:pt>
                <c:pt idx="443">
                  <c:v>2.4120000000000001E-3</c:v>
                </c:pt>
                <c:pt idx="444">
                  <c:v>2.3939999999999999E-3</c:v>
                </c:pt>
                <c:pt idx="445">
                  <c:v>2.2390000000000001E-3</c:v>
                </c:pt>
                <c:pt idx="446">
                  <c:v>2.1779999999999998E-3</c:v>
                </c:pt>
                <c:pt idx="447">
                  <c:v>2.1589999999999999E-3</c:v>
                </c:pt>
                <c:pt idx="448">
                  <c:v>2.036E-3</c:v>
                </c:pt>
                <c:pt idx="449">
                  <c:v>1.9810000000000001E-3</c:v>
                </c:pt>
                <c:pt idx="450">
                  <c:v>1.9880000000000002E-3</c:v>
                </c:pt>
                <c:pt idx="451">
                  <c:v>2.0100000000000001E-3</c:v>
                </c:pt>
                <c:pt idx="452">
                  <c:v>2.1359999999999999E-3</c:v>
                </c:pt>
                <c:pt idx="453">
                  <c:v>2.1210000000000001E-3</c:v>
                </c:pt>
                <c:pt idx="454">
                  <c:v>2.1310000000000001E-3</c:v>
                </c:pt>
                <c:pt idx="455">
                  <c:v>2.264E-3</c:v>
                </c:pt>
                <c:pt idx="456">
                  <c:v>2.444E-3</c:v>
                </c:pt>
                <c:pt idx="457">
                  <c:v>2.9979999999999998E-3</c:v>
                </c:pt>
                <c:pt idx="458">
                  <c:v>2.2799999999999999E-3</c:v>
                </c:pt>
                <c:pt idx="459">
                  <c:v>2.3080000000000002E-3</c:v>
                </c:pt>
                <c:pt idx="460">
                  <c:v>2.4099999999999998E-3</c:v>
                </c:pt>
                <c:pt idx="461">
                  <c:v>2.3310000000000002E-3</c:v>
                </c:pt>
                <c:pt idx="462">
                  <c:v>2.271E-3</c:v>
                </c:pt>
                <c:pt idx="463">
                  <c:v>2.2369999999999998E-3</c:v>
                </c:pt>
                <c:pt idx="464">
                  <c:v>2.235E-3</c:v>
                </c:pt>
                <c:pt idx="465">
                  <c:v>2.248E-3</c:v>
                </c:pt>
                <c:pt idx="466">
                  <c:v>2.2799999999999999E-3</c:v>
                </c:pt>
                <c:pt idx="467">
                  <c:v>2.2560000000000002E-3</c:v>
                </c:pt>
                <c:pt idx="468">
                  <c:v>2.2560000000000002E-3</c:v>
                </c:pt>
                <c:pt idx="469">
                  <c:v>2.392E-3</c:v>
                </c:pt>
                <c:pt idx="470">
                  <c:v>2.4420000000000002E-3</c:v>
                </c:pt>
                <c:pt idx="471">
                  <c:v>2.3549999999999999E-3</c:v>
                </c:pt>
                <c:pt idx="472">
                  <c:v>2.5560000000000001E-3</c:v>
                </c:pt>
                <c:pt idx="473">
                  <c:v>2.2490000000000001E-3</c:v>
                </c:pt>
                <c:pt idx="474">
                  <c:v>2.3379999999999998E-3</c:v>
                </c:pt>
                <c:pt idx="475">
                  <c:v>2.434E-3</c:v>
                </c:pt>
                <c:pt idx="476">
                  <c:v>2.2750000000000001E-3</c:v>
                </c:pt>
                <c:pt idx="477">
                  <c:v>2.1020000000000001E-3</c:v>
                </c:pt>
                <c:pt idx="478">
                  <c:v>2.0790000000000001E-3</c:v>
                </c:pt>
                <c:pt idx="479">
                  <c:v>2.0739999999999999E-3</c:v>
                </c:pt>
                <c:pt idx="480">
                  <c:v>1.9650000000000002E-3</c:v>
                </c:pt>
                <c:pt idx="481">
                  <c:v>1.97E-3</c:v>
                </c:pt>
                <c:pt idx="482">
                  <c:v>1.9289999999999999E-3</c:v>
                </c:pt>
                <c:pt idx="483">
                  <c:v>1.9689999999999998E-3</c:v>
                </c:pt>
                <c:pt idx="484">
                  <c:v>1.9759999999999999E-3</c:v>
                </c:pt>
                <c:pt idx="485">
                  <c:v>2.0430000000000001E-3</c:v>
                </c:pt>
                <c:pt idx="486">
                  <c:v>1.9910000000000001E-3</c:v>
                </c:pt>
                <c:pt idx="487">
                  <c:v>1.9880000000000002E-3</c:v>
                </c:pt>
                <c:pt idx="488">
                  <c:v>1.9750000000000002E-3</c:v>
                </c:pt>
                <c:pt idx="489">
                  <c:v>1.9810000000000001E-3</c:v>
                </c:pt>
                <c:pt idx="490">
                  <c:v>2.0219999999999999E-3</c:v>
                </c:pt>
                <c:pt idx="491">
                  <c:v>1.9220000000000001E-3</c:v>
                </c:pt>
                <c:pt idx="492">
                  <c:v>1.902E-3</c:v>
                </c:pt>
                <c:pt idx="493">
                  <c:v>1.789E-3</c:v>
                </c:pt>
                <c:pt idx="494">
                  <c:v>2.0279999999999999E-3</c:v>
                </c:pt>
                <c:pt idx="495">
                  <c:v>2.0939999999999999E-3</c:v>
                </c:pt>
                <c:pt idx="496">
                  <c:v>2.098E-3</c:v>
                </c:pt>
                <c:pt idx="497">
                  <c:v>2.068E-3</c:v>
                </c:pt>
                <c:pt idx="498">
                  <c:v>2.0639999999999999E-3</c:v>
                </c:pt>
                <c:pt idx="499">
                  <c:v>2.085E-3</c:v>
                </c:pt>
                <c:pt idx="500">
                  <c:v>2.163E-3</c:v>
                </c:pt>
                <c:pt idx="501">
                  <c:v>2.147E-3</c:v>
                </c:pt>
                <c:pt idx="502">
                  <c:v>2.137E-3</c:v>
                </c:pt>
                <c:pt idx="503">
                  <c:v>2.0899999999999998E-3</c:v>
                </c:pt>
                <c:pt idx="504">
                  <c:v>2.0730000000000002E-3</c:v>
                </c:pt>
                <c:pt idx="505">
                  <c:v>1.9759999999999999E-3</c:v>
                </c:pt>
                <c:pt idx="506">
                  <c:v>1.936E-3</c:v>
                </c:pt>
                <c:pt idx="507">
                  <c:v>1.8400000000000001E-3</c:v>
                </c:pt>
                <c:pt idx="508">
                  <c:v>1.8979999999999999E-3</c:v>
                </c:pt>
                <c:pt idx="509">
                  <c:v>1.8159999999999999E-3</c:v>
                </c:pt>
                <c:pt idx="510">
                  <c:v>2.0579999999999999E-3</c:v>
                </c:pt>
                <c:pt idx="511">
                  <c:v>2.2070000000000002E-3</c:v>
                </c:pt>
                <c:pt idx="512">
                  <c:v>2.147E-3</c:v>
                </c:pt>
                <c:pt idx="513">
                  <c:v>2.2260000000000001E-3</c:v>
                </c:pt>
                <c:pt idx="514">
                  <c:v>2.1810000000000002E-3</c:v>
                </c:pt>
                <c:pt idx="515">
                  <c:v>2.215E-3</c:v>
                </c:pt>
                <c:pt idx="516">
                  <c:v>2.196E-3</c:v>
                </c:pt>
                <c:pt idx="517">
                  <c:v>2.1440000000000001E-3</c:v>
                </c:pt>
                <c:pt idx="518">
                  <c:v>2.1180000000000001E-3</c:v>
                </c:pt>
                <c:pt idx="519">
                  <c:v>2.209E-3</c:v>
                </c:pt>
                <c:pt idx="520">
                  <c:v>2.1419999999999998E-3</c:v>
                </c:pt>
                <c:pt idx="521">
                  <c:v>2.3259999999999999E-3</c:v>
                </c:pt>
                <c:pt idx="522">
                  <c:v>2.186E-3</c:v>
                </c:pt>
                <c:pt idx="523">
                  <c:v>2.2169999999999998E-3</c:v>
                </c:pt>
                <c:pt idx="524">
                  <c:v>2.088E-3</c:v>
                </c:pt>
                <c:pt idx="525">
                  <c:v>2.1919999999999999E-3</c:v>
                </c:pt>
                <c:pt idx="526">
                  <c:v>2.1280000000000001E-3</c:v>
                </c:pt>
                <c:pt idx="527">
                  <c:v>2.2439999999999999E-3</c:v>
                </c:pt>
                <c:pt idx="528">
                  <c:v>2.3059999999999999E-3</c:v>
                </c:pt>
                <c:pt idx="529">
                  <c:v>2.3280000000000002E-3</c:v>
                </c:pt>
                <c:pt idx="530">
                  <c:v>2.3E-3</c:v>
                </c:pt>
                <c:pt idx="531">
                  <c:v>2.3270000000000001E-3</c:v>
                </c:pt>
                <c:pt idx="532">
                  <c:v>2.313E-3</c:v>
                </c:pt>
                <c:pt idx="533">
                  <c:v>2.2790000000000002E-3</c:v>
                </c:pt>
                <c:pt idx="534">
                  <c:v>2.2239999999999998E-3</c:v>
                </c:pt>
                <c:pt idx="535">
                  <c:v>2.3999999999999998E-3</c:v>
                </c:pt>
                <c:pt idx="536">
                  <c:v>2.1619999999999999E-3</c:v>
                </c:pt>
                <c:pt idx="537">
                  <c:v>2.0730000000000002E-3</c:v>
                </c:pt>
                <c:pt idx="538">
                  <c:v>1.944E-3</c:v>
                </c:pt>
                <c:pt idx="539">
                  <c:v>1.9729999999999999E-3</c:v>
                </c:pt>
                <c:pt idx="540">
                  <c:v>1.957E-3</c:v>
                </c:pt>
                <c:pt idx="541">
                  <c:v>1.964E-3</c:v>
                </c:pt>
                <c:pt idx="542">
                  <c:v>1.977E-3</c:v>
                </c:pt>
                <c:pt idx="543">
                  <c:v>1.964E-3</c:v>
                </c:pt>
                <c:pt idx="544">
                  <c:v>2.1259999999999999E-3</c:v>
                </c:pt>
                <c:pt idx="545">
                  <c:v>2.0460000000000001E-3</c:v>
                </c:pt>
                <c:pt idx="546">
                  <c:v>2.1150000000000001E-3</c:v>
                </c:pt>
                <c:pt idx="547">
                  <c:v>2.049E-3</c:v>
                </c:pt>
                <c:pt idx="548">
                  <c:v>1.9430000000000001E-3</c:v>
                </c:pt>
                <c:pt idx="549">
                  <c:v>1.864E-3</c:v>
                </c:pt>
                <c:pt idx="550">
                  <c:v>1.9780000000000002E-3</c:v>
                </c:pt>
                <c:pt idx="551">
                  <c:v>2.0769999999999999E-3</c:v>
                </c:pt>
                <c:pt idx="552">
                  <c:v>2.0609999999999999E-3</c:v>
                </c:pt>
                <c:pt idx="553">
                  <c:v>2.052E-3</c:v>
                </c:pt>
                <c:pt idx="554">
                  <c:v>2.1250000000000002E-3</c:v>
                </c:pt>
                <c:pt idx="555">
                  <c:v>2.0890000000000001E-3</c:v>
                </c:pt>
                <c:pt idx="556">
                  <c:v>2.2060000000000001E-3</c:v>
                </c:pt>
                <c:pt idx="557">
                  <c:v>2.5430000000000001E-3</c:v>
                </c:pt>
                <c:pt idx="558">
                  <c:v>1.866E-3</c:v>
                </c:pt>
                <c:pt idx="559">
                  <c:v>1.769E-3</c:v>
                </c:pt>
                <c:pt idx="560">
                  <c:v>1.7600000000000001E-3</c:v>
                </c:pt>
                <c:pt idx="561">
                  <c:v>1.815E-3</c:v>
                </c:pt>
                <c:pt idx="562">
                  <c:v>1.7099999999999999E-3</c:v>
                </c:pt>
                <c:pt idx="563">
                  <c:v>1.748E-3</c:v>
                </c:pt>
                <c:pt idx="564">
                  <c:v>1.7780000000000001E-3</c:v>
                </c:pt>
                <c:pt idx="565">
                  <c:v>1.8159999999999999E-3</c:v>
                </c:pt>
                <c:pt idx="566">
                  <c:v>1.7589999999999999E-3</c:v>
                </c:pt>
                <c:pt idx="567">
                  <c:v>1.6969999999999999E-3</c:v>
                </c:pt>
                <c:pt idx="568">
                  <c:v>1.719E-3</c:v>
                </c:pt>
                <c:pt idx="569">
                  <c:v>1.732E-3</c:v>
                </c:pt>
                <c:pt idx="570">
                  <c:v>1.7279999999999999E-3</c:v>
                </c:pt>
                <c:pt idx="571">
                  <c:v>1.689E-3</c:v>
                </c:pt>
                <c:pt idx="572">
                  <c:v>1.7420000000000001E-3</c:v>
                </c:pt>
                <c:pt idx="573">
                  <c:v>1.6670000000000001E-3</c:v>
                </c:pt>
                <c:pt idx="574">
                  <c:v>1.668E-3</c:v>
                </c:pt>
                <c:pt idx="575">
                  <c:v>1.704E-3</c:v>
                </c:pt>
                <c:pt idx="576">
                  <c:v>1.717E-3</c:v>
                </c:pt>
                <c:pt idx="577">
                  <c:v>1.7359999999999999E-3</c:v>
                </c:pt>
                <c:pt idx="578">
                  <c:v>1.6850000000000001E-3</c:v>
                </c:pt>
                <c:pt idx="579">
                  <c:v>1.6750000000000001E-3</c:v>
                </c:pt>
                <c:pt idx="580">
                  <c:v>1.7290000000000001E-3</c:v>
                </c:pt>
                <c:pt idx="581">
                  <c:v>1.7769999999999999E-3</c:v>
                </c:pt>
                <c:pt idx="582">
                  <c:v>1.817E-3</c:v>
                </c:pt>
                <c:pt idx="583">
                  <c:v>1.8710000000000001E-3</c:v>
                </c:pt>
                <c:pt idx="584">
                  <c:v>1.97E-3</c:v>
                </c:pt>
                <c:pt idx="585">
                  <c:v>1.951E-3</c:v>
                </c:pt>
                <c:pt idx="586">
                  <c:v>1.977E-3</c:v>
                </c:pt>
                <c:pt idx="587">
                  <c:v>2.0200000000000001E-3</c:v>
                </c:pt>
                <c:pt idx="588">
                  <c:v>2.1350000000000002E-3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A-4AE3-B65A-AFA99DE7529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-88.491985792931331</c:v>
                </c:pt>
                <c:pt idx="1">
                  <c:v>-88.487015734597989</c:v>
                </c:pt>
                <c:pt idx="2">
                  <c:v>-88.374710731901359</c:v>
                </c:pt>
                <c:pt idx="3">
                  <c:v>-88.532356152336149</c:v>
                </c:pt>
                <c:pt idx="4">
                  <c:v>-88.706800184478979</c:v>
                </c:pt>
                <c:pt idx="5">
                  <c:v>-88.491877650268464</c:v>
                </c:pt>
                <c:pt idx="6">
                  <c:v>-88.315918320740906</c:v>
                </c:pt>
                <c:pt idx="7">
                  <c:v>-88.040256493588601</c:v>
                </c:pt>
                <c:pt idx="8">
                  <c:v>-87.760790362819364</c:v>
                </c:pt>
                <c:pt idx="9">
                  <c:v>-87.709375286915758</c:v>
                </c:pt>
                <c:pt idx="10">
                  <c:v>-87.706853171995121</c:v>
                </c:pt>
                <c:pt idx="11">
                  <c:v>-87.643902250148969</c:v>
                </c:pt>
                <c:pt idx="12">
                  <c:v>-87.66927938603132</c:v>
                </c:pt>
                <c:pt idx="13">
                  <c:v>-87.648404644031316</c:v>
                </c:pt>
                <c:pt idx="14">
                  <c:v>-87.732844939485858</c:v>
                </c:pt>
                <c:pt idx="15">
                  <c:v>-87.588277989681927</c:v>
                </c:pt>
                <c:pt idx="16">
                  <c:v>-87.530052057351114</c:v>
                </c:pt>
                <c:pt idx="17">
                  <c:v>-87.656940399286597</c:v>
                </c:pt>
                <c:pt idx="18">
                  <c:v>-87.631137563722689</c:v>
                </c:pt>
                <c:pt idx="19">
                  <c:v>-87.607651246075633</c:v>
                </c:pt>
                <c:pt idx="20">
                  <c:v>-87.447560729408977</c:v>
                </c:pt>
                <c:pt idx="21">
                  <c:v>-87.289619062742304</c:v>
                </c:pt>
                <c:pt idx="22">
                  <c:v>-87.112940465095249</c:v>
                </c:pt>
                <c:pt idx="23">
                  <c:v>-86.934486927862551</c:v>
                </c:pt>
                <c:pt idx="24">
                  <c:v>-86.817469035135261</c:v>
                </c:pt>
                <c:pt idx="25">
                  <c:v>-86.777423417297442</c:v>
                </c:pt>
                <c:pt idx="26">
                  <c:v>-86.852732452365927</c:v>
                </c:pt>
                <c:pt idx="27">
                  <c:v>-86.925959960786983</c:v>
                </c:pt>
                <c:pt idx="28">
                  <c:v>-86.870882788655862</c:v>
                </c:pt>
                <c:pt idx="29">
                  <c:v>-86.939226548179661</c:v>
                </c:pt>
                <c:pt idx="30">
                  <c:v>-86.817142909718143</c:v>
                </c:pt>
                <c:pt idx="31">
                  <c:v>-86.354462849309954</c:v>
                </c:pt>
                <c:pt idx="32">
                  <c:v>-86.26810266539691</c:v>
                </c:pt>
                <c:pt idx="33">
                  <c:v>-86.27370944667895</c:v>
                </c:pt>
                <c:pt idx="34">
                  <c:v>-86.396945557219496</c:v>
                </c:pt>
                <c:pt idx="35">
                  <c:v>-86.326755190870301</c:v>
                </c:pt>
                <c:pt idx="36">
                  <c:v>-86.624492315870299</c:v>
                </c:pt>
                <c:pt idx="37">
                  <c:v>-86.581520140156016</c:v>
                </c:pt>
                <c:pt idx="38">
                  <c:v>-86.810833671460358</c:v>
                </c:pt>
                <c:pt idx="39">
                  <c:v>-86.798522793992007</c:v>
                </c:pt>
                <c:pt idx="40">
                  <c:v>-86.655490573061769</c:v>
                </c:pt>
                <c:pt idx="41">
                  <c:v>-86.766623622210716</c:v>
                </c:pt>
                <c:pt idx="42">
                  <c:v>-86.766623622210716</c:v>
                </c:pt>
                <c:pt idx="43">
                  <c:v>-86.571182420141753</c:v>
                </c:pt>
                <c:pt idx="44">
                  <c:v>-86.903784195512131</c:v>
                </c:pt>
                <c:pt idx="45">
                  <c:v>-86.646158287537446</c:v>
                </c:pt>
                <c:pt idx="46">
                  <c:v>-86.386543942912439</c:v>
                </c:pt>
                <c:pt idx="47">
                  <c:v>-86.343769349579105</c:v>
                </c:pt>
                <c:pt idx="48">
                  <c:v>-86.370437213518514</c:v>
                </c:pt>
                <c:pt idx="49">
                  <c:v>-86.056033746150092</c:v>
                </c:pt>
                <c:pt idx="50">
                  <c:v>-85.564660719291453</c:v>
                </c:pt>
                <c:pt idx="51">
                  <c:v>-85.868426948703217</c:v>
                </c:pt>
                <c:pt idx="52">
                  <c:v>-85.671139680131787</c:v>
                </c:pt>
                <c:pt idx="53">
                  <c:v>-86.330363507012521</c:v>
                </c:pt>
                <c:pt idx="54">
                  <c:v>-85.994641049140185</c:v>
                </c:pt>
                <c:pt idx="55">
                  <c:v>-85.909744069261095</c:v>
                </c:pt>
                <c:pt idx="56">
                  <c:v>-85.227989987921802</c:v>
                </c:pt>
                <c:pt idx="57">
                  <c:v>-84.405872506037753</c:v>
                </c:pt>
                <c:pt idx="58">
                  <c:v>-84.385436422037742</c:v>
                </c:pt>
                <c:pt idx="59">
                  <c:v>-84.074359977037744</c:v>
                </c:pt>
                <c:pt idx="60">
                  <c:v>-84.439360078530285</c:v>
                </c:pt>
                <c:pt idx="61">
                  <c:v>-85.236134342828919</c:v>
                </c:pt>
                <c:pt idx="62">
                  <c:v>-85.222767251347435</c:v>
                </c:pt>
                <c:pt idx="63">
                  <c:v>-84.362890251019081</c:v>
                </c:pt>
                <c:pt idx="64">
                  <c:v>-84.99319511280126</c:v>
                </c:pt>
                <c:pt idx="65">
                  <c:v>-85.036472587086976</c:v>
                </c:pt>
                <c:pt idx="66">
                  <c:v>-85.104729646484557</c:v>
                </c:pt>
                <c:pt idx="67">
                  <c:v>-84.78789668537344</c:v>
                </c:pt>
                <c:pt idx="68">
                  <c:v>-84.91601277224845</c:v>
                </c:pt>
                <c:pt idx="69">
                  <c:v>-85.469819045709983</c:v>
                </c:pt>
                <c:pt idx="70">
                  <c:v>-86.195265574876657</c:v>
                </c:pt>
                <c:pt idx="71">
                  <c:v>-84.746058453642078</c:v>
                </c:pt>
                <c:pt idx="72">
                  <c:v>-84.633592094112672</c:v>
                </c:pt>
                <c:pt idx="73">
                  <c:v>-85.869101926530249</c:v>
                </c:pt>
                <c:pt idx="74">
                  <c:v>-85.949150583713347</c:v>
                </c:pt>
                <c:pt idx="75">
                  <c:v>-86.170353054963343</c:v>
                </c:pt>
                <c:pt idx="76">
                  <c:v>-86.292356325665097</c:v>
                </c:pt>
                <c:pt idx="77">
                  <c:v>-86.37910236856365</c:v>
                </c:pt>
                <c:pt idx="78">
                  <c:v>-86.203349877938663</c:v>
                </c:pt>
                <c:pt idx="79">
                  <c:v>-85.716254257328899</c:v>
                </c:pt>
                <c:pt idx="80">
                  <c:v>-85.580453943728912</c:v>
                </c:pt>
                <c:pt idx="81">
                  <c:v>-85.506704550102526</c:v>
                </c:pt>
                <c:pt idx="82">
                  <c:v>-85.730601319134792</c:v>
                </c:pt>
                <c:pt idx="83">
                  <c:v>-86.599320773258498</c:v>
                </c:pt>
                <c:pt idx="84">
                  <c:v>-86.82296902972908</c:v>
                </c:pt>
                <c:pt idx="85">
                  <c:v>-86.89064004918113</c:v>
                </c:pt>
                <c:pt idx="86">
                  <c:v>-87.010697743796527</c:v>
                </c:pt>
                <c:pt idx="87">
                  <c:v>-87.450443800433703</c:v>
                </c:pt>
                <c:pt idx="88">
                  <c:v>-87.984547732523254</c:v>
                </c:pt>
                <c:pt idx="89">
                  <c:v>-88.535103533688286</c:v>
                </c:pt>
                <c:pt idx="90">
                  <c:v>-88.341677174408304</c:v>
                </c:pt>
                <c:pt idx="91">
                  <c:v>-88.717383963980964</c:v>
                </c:pt>
                <c:pt idx="92">
                  <c:v>-89.513594741662118</c:v>
                </c:pt>
                <c:pt idx="93">
                  <c:v>-88.788713442370096</c:v>
                </c:pt>
                <c:pt idx="94">
                  <c:v>-88.289820108481209</c:v>
                </c:pt>
                <c:pt idx="95">
                  <c:v>-88.693570699785553</c:v>
                </c:pt>
                <c:pt idx="96">
                  <c:v>-88.803558634954101</c:v>
                </c:pt>
                <c:pt idx="97">
                  <c:v>-89.076691570392683</c:v>
                </c:pt>
                <c:pt idx="98">
                  <c:v>-89.31712786825527</c:v>
                </c:pt>
                <c:pt idx="99">
                  <c:v>-88.865653948255272</c:v>
                </c:pt>
                <c:pt idx="100">
                  <c:v>-89.572175674409124</c:v>
                </c:pt>
                <c:pt idx="101">
                  <c:v>-90.565746997742451</c:v>
                </c:pt>
                <c:pt idx="102">
                  <c:v>-90.407258388975322</c:v>
                </c:pt>
                <c:pt idx="103">
                  <c:v>-90.036668157989411</c:v>
                </c:pt>
                <c:pt idx="104">
                  <c:v>-89.678902655755891</c:v>
                </c:pt>
                <c:pt idx="105">
                  <c:v>-88.784982722800677</c:v>
                </c:pt>
                <c:pt idx="106">
                  <c:v>-88.074394070322796</c:v>
                </c:pt>
                <c:pt idx="107">
                  <c:v>-90.314380770322799</c:v>
                </c:pt>
                <c:pt idx="108">
                  <c:v>-90.0290978301054</c:v>
                </c:pt>
                <c:pt idx="109">
                  <c:v>-86.722924531807507</c:v>
                </c:pt>
                <c:pt idx="110">
                  <c:v>-85.376386680676276</c:v>
                </c:pt>
                <c:pt idx="111">
                  <c:v>-82.567724298287075</c:v>
                </c:pt>
                <c:pt idx="112">
                  <c:v>-55.206444982296809</c:v>
                </c:pt>
                <c:pt idx="113">
                  <c:v>-56.559426923221181</c:v>
                </c:pt>
                <c:pt idx="114">
                  <c:v>-54.744966058679339</c:v>
                </c:pt>
                <c:pt idx="115">
                  <c:v>-51.739076019679352</c:v>
                </c:pt>
                <c:pt idx="116">
                  <c:v>-51.555773550114125</c:v>
                </c:pt>
                <c:pt idx="117">
                  <c:v>-51.869620634859885</c:v>
                </c:pt>
                <c:pt idx="118">
                  <c:v>-51.528158107801062</c:v>
                </c:pt>
                <c:pt idx="119">
                  <c:v>-47.107953567545479</c:v>
                </c:pt>
                <c:pt idx="120">
                  <c:v>-42.269584490017934</c:v>
                </c:pt>
                <c:pt idx="121">
                  <c:v>-42.211107716017942</c:v>
                </c:pt>
                <c:pt idx="122">
                  <c:v>-41.953880167887093</c:v>
                </c:pt>
                <c:pt idx="123">
                  <c:v>-41.485486791142911</c:v>
                </c:pt>
                <c:pt idx="124">
                  <c:v>-41.627557575503815</c:v>
                </c:pt>
                <c:pt idx="125">
                  <c:v>-41.82836032460829</c:v>
                </c:pt>
                <c:pt idx="126">
                  <c:v>-41.554397104608299</c:v>
                </c:pt>
                <c:pt idx="127">
                  <c:v>-41.517628186400202</c:v>
                </c:pt>
                <c:pt idx="128">
                  <c:v>-41.919668920853638</c:v>
                </c:pt>
                <c:pt idx="129">
                  <c:v>-41.522276196990823</c:v>
                </c:pt>
                <c:pt idx="130">
                  <c:v>-41.236944967890295</c:v>
                </c:pt>
                <c:pt idx="131">
                  <c:v>-40.988120179001406</c:v>
                </c:pt>
                <c:pt idx="132">
                  <c:v>-40.928304555198586</c:v>
                </c:pt>
                <c:pt idx="133">
                  <c:v>-40.666364908665258</c:v>
                </c:pt>
                <c:pt idx="134">
                  <c:v>-40.573215904776362</c:v>
                </c:pt>
                <c:pt idx="135">
                  <c:v>-40.993687801328086</c:v>
                </c:pt>
                <c:pt idx="136">
                  <c:v>-41.754059148174939</c:v>
                </c:pt>
                <c:pt idx="137">
                  <c:v>-41.147066817664495</c:v>
                </c:pt>
                <c:pt idx="138">
                  <c:v>-41.374257994905868</c:v>
                </c:pt>
                <c:pt idx="139">
                  <c:v>-41.524728442317638</c:v>
                </c:pt>
                <c:pt idx="140">
                  <c:v>-41.069202285795903</c:v>
                </c:pt>
                <c:pt idx="141">
                  <c:v>-42.304262174336046</c:v>
                </c:pt>
                <c:pt idx="142">
                  <c:v>-42.881978808747121</c:v>
                </c:pt>
                <c:pt idx="143">
                  <c:v>-41.940922551011276</c:v>
                </c:pt>
                <c:pt idx="144">
                  <c:v>-41.795801317748122</c:v>
                </c:pt>
                <c:pt idx="145">
                  <c:v>-39.531595153469048</c:v>
                </c:pt>
                <c:pt idx="146">
                  <c:v>-39.606021404980979</c:v>
                </c:pt>
                <c:pt idx="147">
                  <c:v>-40.320248086143771</c:v>
                </c:pt>
                <c:pt idx="148">
                  <c:v>-38.897755208951338</c:v>
                </c:pt>
                <c:pt idx="149">
                  <c:v>-39.542372416785732</c:v>
                </c:pt>
                <c:pt idx="150">
                  <c:v>-39.841746597671808</c:v>
                </c:pt>
                <c:pt idx="151">
                  <c:v>-39.454966569210271</c:v>
                </c:pt>
                <c:pt idx="152">
                  <c:v>-39.345292579924553</c:v>
                </c:pt>
                <c:pt idx="153">
                  <c:v>-39.220513246815756</c:v>
                </c:pt>
                <c:pt idx="154">
                  <c:v>-38.46489103512436</c:v>
                </c:pt>
                <c:pt idx="155">
                  <c:v>-38.428377239278909</c:v>
                </c:pt>
                <c:pt idx="156">
                  <c:v>-39.748468016060521</c:v>
                </c:pt>
                <c:pt idx="157">
                  <c:v>-28.434330624425129</c:v>
                </c:pt>
                <c:pt idx="158">
                  <c:v>-28.970575778264081</c:v>
                </c:pt>
                <c:pt idx="159">
                  <c:v>-28.95258522813813</c:v>
                </c:pt>
                <c:pt idx="160">
                  <c:v>-28.749421261192023</c:v>
                </c:pt>
                <c:pt idx="161">
                  <c:v>-28.95104588785869</c:v>
                </c:pt>
                <c:pt idx="162">
                  <c:v>-29.335681242788269</c:v>
                </c:pt>
                <c:pt idx="163">
                  <c:v>-29.307352772497442</c:v>
                </c:pt>
                <c:pt idx="164">
                  <c:v>-28.514501006847215</c:v>
                </c:pt>
                <c:pt idx="165">
                  <c:v>-27.949622947618192</c:v>
                </c:pt>
                <c:pt idx="166">
                  <c:v>-25.574316459269635</c:v>
                </c:pt>
                <c:pt idx="167">
                  <c:v>-25.944186132064669</c:v>
                </c:pt>
                <c:pt idx="168">
                  <c:v>-26.265853550242571</c:v>
                </c:pt>
                <c:pt idx="169">
                  <c:v>-25.927106274572115</c:v>
                </c:pt>
                <c:pt idx="170">
                  <c:v>-25.873066551557041</c:v>
                </c:pt>
                <c:pt idx="171">
                  <c:v>-26.296245314666884</c:v>
                </c:pt>
                <c:pt idx="172">
                  <c:v>-26.967143347973849</c:v>
                </c:pt>
                <c:pt idx="173">
                  <c:v>-26.350285087846565</c:v>
                </c:pt>
                <c:pt idx="174">
                  <c:v>-26.60001971149121</c:v>
                </c:pt>
                <c:pt idx="175">
                  <c:v>-26.921806711491211</c:v>
                </c:pt>
                <c:pt idx="176">
                  <c:v>-28.05712343054438</c:v>
                </c:pt>
                <c:pt idx="177">
                  <c:v>-28.518027293890995</c:v>
                </c:pt>
                <c:pt idx="178">
                  <c:v>-28.349061533315652</c:v>
                </c:pt>
                <c:pt idx="179">
                  <c:v>-28.612931868455437</c:v>
                </c:pt>
                <c:pt idx="180">
                  <c:v>-27.954692811956566</c:v>
                </c:pt>
                <c:pt idx="181">
                  <c:v>-28.651415134740397</c:v>
                </c:pt>
                <c:pt idx="182">
                  <c:v>-29.235833031116471</c:v>
                </c:pt>
                <c:pt idx="183">
                  <c:v>-30.229655828600748</c:v>
                </c:pt>
                <c:pt idx="184">
                  <c:v>-30.242645755875955</c:v>
                </c:pt>
                <c:pt idx="185">
                  <c:v>-30.466495574147782</c:v>
                </c:pt>
                <c:pt idx="186">
                  <c:v>-30.416919841750655</c:v>
                </c:pt>
                <c:pt idx="187">
                  <c:v>-31.357437331750653</c:v>
                </c:pt>
                <c:pt idx="188">
                  <c:v>-31.368719236451511</c:v>
                </c:pt>
                <c:pt idx="189">
                  <c:v>-32.034124360876291</c:v>
                </c:pt>
                <c:pt idx="190">
                  <c:v>-32.536379740170403</c:v>
                </c:pt>
                <c:pt idx="191">
                  <c:v>-33.14315431307363</c:v>
                </c:pt>
                <c:pt idx="192">
                  <c:v>-32.805773517000603</c:v>
                </c:pt>
                <c:pt idx="193">
                  <c:v>-32.819812884098567</c:v>
                </c:pt>
                <c:pt idx="194">
                  <c:v>-32.574321378212687</c:v>
                </c:pt>
                <c:pt idx="195">
                  <c:v>-33.172793713762921</c:v>
                </c:pt>
                <c:pt idx="196">
                  <c:v>-32.584059049646257</c:v>
                </c:pt>
                <c:pt idx="197">
                  <c:v>-32.113141622698976</c:v>
                </c:pt>
                <c:pt idx="198">
                  <c:v>-31.997221692841347</c:v>
                </c:pt>
                <c:pt idx="199">
                  <c:v>-31.911492449964882</c:v>
                </c:pt>
                <c:pt idx="200">
                  <c:v>-31.813908932859906</c:v>
                </c:pt>
                <c:pt idx="201">
                  <c:v>-32.474433105408927</c:v>
                </c:pt>
                <c:pt idx="202">
                  <c:v>-31.523872344959756</c:v>
                </c:pt>
                <c:pt idx="203">
                  <c:v>-32.323912799029884</c:v>
                </c:pt>
                <c:pt idx="204">
                  <c:v>-30.535302411052562</c:v>
                </c:pt>
                <c:pt idx="205">
                  <c:v>-32.484877080454858</c:v>
                </c:pt>
                <c:pt idx="206">
                  <c:v>-33.563192533717505</c:v>
                </c:pt>
                <c:pt idx="207">
                  <c:v>-33.319885761689534</c:v>
                </c:pt>
                <c:pt idx="208">
                  <c:v>-33.082698013118105</c:v>
                </c:pt>
                <c:pt idx="209">
                  <c:v>-32.114175678606827</c:v>
                </c:pt>
                <c:pt idx="210">
                  <c:v>-32.81454364254963</c:v>
                </c:pt>
                <c:pt idx="211">
                  <c:v>-25.817600385479999</c:v>
                </c:pt>
                <c:pt idx="212">
                  <c:v>-31.54996551968047</c:v>
                </c:pt>
                <c:pt idx="213">
                  <c:v>-30.520621933642737</c:v>
                </c:pt>
                <c:pt idx="214">
                  <c:v>-28.96086743481921</c:v>
                </c:pt>
                <c:pt idx="215">
                  <c:v>-29.311838120309407</c:v>
                </c:pt>
                <c:pt idx="216">
                  <c:v>-29.126749774745498</c:v>
                </c:pt>
                <c:pt idx="217">
                  <c:v>-30.236621870245887</c:v>
                </c:pt>
                <c:pt idx="218">
                  <c:v>-31.538880769180054</c:v>
                </c:pt>
                <c:pt idx="219">
                  <c:v>-32.001163883786234</c:v>
                </c:pt>
                <c:pt idx="220">
                  <c:v>-32.03346666380105</c:v>
                </c:pt>
                <c:pt idx="221">
                  <c:v>-29.489415728193876</c:v>
                </c:pt>
                <c:pt idx="222">
                  <c:v>-30.052798133367972</c:v>
                </c:pt>
                <c:pt idx="223">
                  <c:v>-29.458399984716806</c:v>
                </c:pt>
                <c:pt idx="224">
                  <c:v>-28.993107771604222</c:v>
                </c:pt>
                <c:pt idx="225">
                  <c:v>-28.663910764620983</c:v>
                </c:pt>
                <c:pt idx="226">
                  <c:v>-27.306122894682336</c:v>
                </c:pt>
                <c:pt idx="227">
                  <c:v>-26.180537005309201</c:v>
                </c:pt>
                <c:pt idx="228">
                  <c:v>-28.971014675957857</c:v>
                </c:pt>
                <c:pt idx="229">
                  <c:v>-31.793848597489049</c:v>
                </c:pt>
                <c:pt idx="230">
                  <c:v>-29.70517197367549</c:v>
                </c:pt>
                <c:pt idx="231">
                  <c:v>-25.752001422830951</c:v>
                </c:pt>
                <c:pt idx="232">
                  <c:v>-21.143804735122437</c:v>
                </c:pt>
                <c:pt idx="233">
                  <c:v>-23.601317687589521</c:v>
                </c:pt>
                <c:pt idx="234">
                  <c:v>-22.73576931244645</c:v>
                </c:pt>
                <c:pt idx="235">
                  <c:v>-16.30464703481487</c:v>
                </c:pt>
                <c:pt idx="236">
                  <c:v>-10.363063704129232</c:v>
                </c:pt>
                <c:pt idx="237">
                  <c:v>-5.2087050185159303</c:v>
                </c:pt>
                <c:pt idx="238">
                  <c:v>5.323165096921457</c:v>
                </c:pt>
                <c:pt idx="239">
                  <c:v>4.6341331821637493</c:v>
                </c:pt>
                <c:pt idx="240">
                  <c:v>3.6857635881137134</c:v>
                </c:pt>
                <c:pt idx="241">
                  <c:v>3.6333307164790978</c:v>
                </c:pt>
                <c:pt idx="242">
                  <c:v>3.193674922471001</c:v>
                </c:pt>
                <c:pt idx="243">
                  <c:v>2.5136324398158632</c:v>
                </c:pt>
                <c:pt idx="244">
                  <c:v>3.080901108602816</c:v>
                </c:pt>
                <c:pt idx="245">
                  <c:v>3.0548188722790832</c:v>
                </c:pt>
                <c:pt idx="246">
                  <c:v>2.7778350939652658</c:v>
                </c:pt>
                <c:pt idx="247">
                  <c:v>1.3505491968822489</c:v>
                </c:pt>
                <c:pt idx="248">
                  <c:v>1.1487999253457672</c:v>
                </c:pt>
                <c:pt idx="249">
                  <c:v>7.2693147906743139E-2</c:v>
                </c:pt>
                <c:pt idx="250">
                  <c:v>0.34769263906444609</c:v>
                </c:pt>
                <c:pt idx="251">
                  <c:v>-1.3872908597229427</c:v>
                </c:pt>
                <c:pt idx="252">
                  <c:v>-2.0524335953178796</c:v>
                </c:pt>
                <c:pt idx="253">
                  <c:v>-2.8089600448978103</c:v>
                </c:pt>
                <c:pt idx="254">
                  <c:v>-1.8681775830601555</c:v>
                </c:pt>
                <c:pt idx="255">
                  <c:v>-1.1219809199946444</c:v>
                </c:pt>
                <c:pt idx="256">
                  <c:v>-0.36962094087544234</c:v>
                </c:pt>
                <c:pt idx="257">
                  <c:v>-1.7553489318813806</c:v>
                </c:pt>
                <c:pt idx="258">
                  <c:v>-0.4907154843916296</c:v>
                </c:pt>
                <c:pt idx="259">
                  <c:v>-1.0217779374466383</c:v>
                </c:pt>
                <c:pt idx="260">
                  <c:v>-1.1558691029081756</c:v>
                </c:pt>
                <c:pt idx="261">
                  <c:v>7.9771781768881084E-2</c:v>
                </c:pt>
                <c:pt idx="262">
                  <c:v>-0.32474145278987099</c:v>
                </c:pt>
                <c:pt idx="263">
                  <c:v>0.47090919000653991</c:v>
                </c:pt>
                <c:pt idx="264">
                  <c:v>0.13801267357700794</c:v>
                </c:pt>
                <c:pt idx="265">
                  <c:v>0.52599245442207931</c:v>
                </c:pt>
                <c:pt idx="266">
                  <c:v>0.50182758201446365</c:v>
                </c:pt>
                <c:pt idx="267">
                  <c:v>1.1569080899405406</c:v>
                </c:pt>
                <c:pt idx="268">
                  <c:v>-0.16736871672083853</c:v>
                </c:pt>
                <c:pt idx="269">
                  <c:v>1.2432715385845443</c:v>
                </c:pt>
                <c:pt idx="270">
                  <c:v>3.0355149524227389</c:v>
                </c:pt>
                <c:pt idx="271">
                  <c:v>2.7578681915657164</c:v>
                </c:pt>
                <c:pt idx="272">
                  <c:v>2.307457250589132</c:v>
                </c:pt>
                <c:pt idx="273">
                  <c:v>0.9657289018402303</c:v>
                </c:pt>
                <c:pt idx="274">
                  <c:v>0.57728686546754904</c:v>
                </c:pt>
                <c:pt idx="275">
                  <c:v>0.32772049496375721</c:v>
                </c:pt>
                <c:pt idx="276">
                  <c:v>-0.9705332392549938</c:v>
                </c:pt>
                <c:pt idx="277">
                  <c:v>-2.1933809892549938</c:v>
                </c:pt>
                <c:pt idx="278">
                  <c:v>-2.1914189690706625</c:v>
                </c:pt>
                <c:pt idx="279">
                  <c:v>-1.7317514381447878</c:v>
                </c:pt>
                <c:pt idx="280">
                  <c:v>-2.4016047731286414</c:v>
                </c:pt>
                <c:pt idx="281">
                  <c:v>-1.0354422840933133</c:v>
                </c:pt>
                <c:pt idx="282">
                  <c:v>-9.0265683629823928E-2</c:v>
                </c:pt>
                <c:pt idx="283">
                  <c:v>-0.33260267707313806</c:v>
                </c:pt>
                <c:pt idx="284">
                  <c:v>0.82676953689470734</c:v>
                </c:pt>
                <c:pt idx="285">
                  <c:v>2.2345481724048821</c:v>
                </c:pt>
                <c:pt idx="286">
                  <c:v>-2.574968099309308</c:v>
                </c:pt>
                <c:pt idx="287">
                  <c:v>-1.9910404146939229</c:v>
                </c:pt>
                <c:pt idx="288">
                  <c:v>-2.5091519213507887</c:v>
                </c:pt>
                <c:pt idx="289">
                  <c:v>-2.1528814659104918</c:v>
                </c:pt>
                <c:pt idx="290">
                  <c:v>-2.6107256565680244</c:v>
                </c:pt>
                <c:pt idx="291">
                  <c:v>-2.2561744568255349</c:v>
                </c:pt>
                <c:pt idx="292">
                  <c:v>-2.7789453568899889</c:v>
                </c:pt>
                <c:pt idx="293">
                  <c:v>-2.1724043095200298</c:v>
                </c:pt>
                <c:pt idx="294">
                  <c:v>-2.5002266254174668</c:v>
                </c:pt>
                <c:pt idx="295">
                  <c:v>-2.6748649468010721</c:v>
                </c:pt>
                <c:pt idx="296">
                  <c:v>-2.3575060715722955</c:v>
                </c:pt>
                <c:pt idx="297">
                  <c:v>-1.9553756820743364</c:v>
                </c:pt>
                <c:pt idx="298">
                  <c:v>-0.82079644029459031</c:v>
                </c:pt>
                <c:pt idx="299">
                  <c:v>-1.2958453309239304</c:v>
                </c:pt>
                <c:pt idx="300">
                  <c:v>-0.58606515600944964</c:v>
                </c:pt>
                <c:pt idx="301">
                  <c:v>-0.84475898272314942</c:v>
                </c:pt>
                <c:pt idx="302">
                  <c:v>-1.4620578680885248</c:v>
                </c:pt>
                <c:pt idx="303">
                  <c:v>-1.9243042657259359</c:v>
                </c:pt>
                <c:pt idx="304">
                  <c:v>-2.3514940601507166</c:v>
                </c:pt>
                <c:pt idx="305">
                  <c:v>-3.1157845070891157</c:v>
                </c:pt>
                <c:pt idx="306">
                  <c:v>-3.9729646757611801</c:v>
                </c:pt>
                <c:pt idx="307">
                  <c:v>-4.061985219353681</c:v>
                </c:pt>
                <c:pt idx="308">
                  <c:v>-4.8726296101095876</c:v>
                </c:pt>
                <c:pt idx="309">
                  <c:v>-5.0286659225045751</c:v>
                </c:pt>
                <c:pt idx="310">
                  <c:v>-3.9844090004037214</c:v>
                </c:pt>
                <c:pt idx="311">
                  <c:v>-4.0554539796974343</c:v>
                </c:pt>
                <c:pt idx="312">
                  <c:v>-2.7648497168438486</c:v>
                </c:pt>
                <c:pt idx="313">
                  <c:v>-4.359804355822761</c:v>
                </c:pt>
                <c:pt idx="314">
                  <c:v>-2.3556062648751643</c:v>
                </c:pt>
                <c:pt idx="315">
                  <c:v>-2.1646633111242006</c:v>
                </c:pt>
                <c:pt idx="316">
                  <c:v>-4.0929176611242006</c:v>
                </c:pt>
                <c:pt idx="317">
                  <c:v>-5.3007676457077046</c:v>
                </c:pt>
                <c:pt idx="318">
                  <c:v>-8.8752354910590938</c:v>
                </c:pt>
                <c:pt idx="319">
                  <c:v>-9.8308860550801178</c:v>
                </c:pt>
                <c:pt idx="320">
                  <c:v>-8.1794734309640784</c:v>
                </c:pt>
                <c:pt idx="321">
                  <c:v>-5.0979843061979224</c:v>
                </c:pt>
                <c:pt idx="322">
                  <c:v>-5.4262670120673109</c:v>
                </c:pt>
                <c:pt idx="323">
                  <c:v>-5.976707107431551</c:v>
                </c:pt>
                <c:pt idx="324">
                  <c:v>-6.5015462445805792</c:v>
                </c:pt>
                <c:pt idx="325">
                  <c:v>-8.0872171298111404</c:v>
                </c:pt>
                <c:pt idx="326">
                  <c:v>-8.9083741368456231</c:v>
                </c:pt>
                <c:pt idx="327">
                  <c:v>-9.7278544608013959</c:v>
                </c:pt>
                <c:pt idx="328">
                  <c:v>-9.9601235578120697</c:v>
                </c:pt>
                <c:pt idx="329">
                  <c:v>-10.713738370249882</c:v>
                </c:pt>
                <c:pt idx="330">
                  <c:v>-10.657666233412494</c:v>
                </c:pt>
                <c:pt idx="331">
                  <c:v>-10.309811565720667</c:v>
                </c:pt>
                <c:pt idx="332">
                  <c:v>-10.478814981541102</c:v>
                </c:pt>
                <c:pt idx="333">
                  <c:v>-10.497279646131268</c:v>
                </c:pt>
                <c:pt idx="334">
                  <c:v>-10.136011096326389</c:v>
                </c:pt>
                <c:pt idx="335">
                  <c:v>-10.411695083203464</c:v>
                </c:pt>
                <c:pt idx="336">
                  <c:v>-10.098153749842334</c:v>
                </c:pt>
                <c:pt idx="337">
                  <c:v>-9.1898857129516891</c:v>
                </c:pt>
                <c:pt idx="338">
                  <c:v>-9.6784577215966294</c:v>
                </c:pt>
                <c:pt idx="339">
                  <c:v>-9.0775901126363046</c:v>
                </c:pt>
                <c:pt idx="340">
                  <c:v>-9.3031942512148564</c:v>
                </c:pt>
                <c:pt idx="341">
                  <c:v>-9.7617211740376142</c:v>
                </c:pt>
                <c:pt idx="342">
                  <c:v>-8.588671011108854</c:v>
                </c:pt>
                <c:pt idx="343">
                  <c:v>-9.0938650734821209</c:v>
                </c:pt>
                <c:pt idx="344">
                  <c:v>-10.276492918515485</c:v>
                </c:pt>
                <c:pt idx="345">
                  <c:v>-7.9378359012635764</c:v>
                </c:pt>
                <c:pt idx="346">
                  <c:v>-7.387529987848942</c:v>
                </c:pt>
                <c:pt idx="347">
                  <c:v>-7.701099152259717</c:v>
                </c:pt>
                <c:pt idx="348">
                  <c:v>-7.2919798878508999</c:v>
                </c:pt>
                <c:pt idx="349">
                  <c:v>-8.4413121823144195</c:v>
                </c:pt>
                <c:pt idx="350">
                  <c:v>-9.4544618401905254</c:v>
                </c:pt>
                <c:pt idx="351">
                  <c:v>-10.206809322096602</c:v>
                </c:pt>
                <c:pt idx="352">
                  <c:v>-10.200835952684837</c:v>
                </c:pt>
                <c:pt idx="353">
                  <c:v>-10.458172101057782</c:v>
                </c:pt>
                <c:pt idx="354">
                  <c:v>-10.99090176845257</c:v>
                </c:pt>
                <c:pt idx="355">
                  <c:v>-11.077319936431769</c:v>
                </c:pt>
                <c:pt idx="356">
                  <c:v>-10.663140176472474</c:v>
                </c:pt>
                <c:pt idx="357">
                  <c:v>-10.557688801729148</c:v>
                </c:pt>
                <c:pt idx="358">
                  <c:v>-10.37611471745436</c:v>
                </c:pt>
                <c:pt idx="359">
                  <c:v>-9.5439297487276065</c:v>
                </c:pt>
                <c:pt idx="360">
                  <c:v>-10.290290903986723</c:v>
                </c:pt>
                <c:pt idx="361">
                  <c:v>-10.265914636381089</c:v>
                </c:pt>
                <c:pt idx="362">
                  <c:v>-9.9341144786549265</c:v>
                </c:pt>
                <c:pt idx="363">
                  <c:v>-9.7624363725989483</c:v>
                </c:pt>
                <c:pt idx="364">
                  <c:v>-9.5888897182464294</c:v>
                </c:pt>
                <c:pt idx="365">
                  <c:v>-9.7106319926864693</c:v>
                </c:pt>
                <c:pt idx="366">
                  <c:v>-9.3158790380198031</c:v>
                </c:pt>
                <c:pt idx="367">
                  <c:v>-9.8713962917235065</c:v>
                </c:pt>
                <c:pt idx="368">
                  <c:v>-9.5463131526758893</c:v>
                </c:pt>
                <c:pt idx="369">
                  <c:v>-9.5725983027502402</c:v>
                </c:pt>
                <c:pt idx="370">
                  <c:v>-9.6561337156391289</c:v>
                </c:pt>
                <c:pt idx="371">
                  <c:v>-10.349577941715827</c:v>
                </c:pt>
                <c:pt idx="372">
                  <c:v>-9.4792949877716044</c:v>
                </c:pt>
                <c:pt idx="373">
                  <c:v>-10.299979403210198</c:v>
                </c:pt>
                <c:pt idx="374">
                  <c:v>-10.173240717333909</c:v>
                </c:pt>
                <c:pt idx="375">
                  <c:v>-10.751572942597068</c:v>
                </c:pt>
                <c:pt idx="376">
                  <c:v>-10.474827585943448</c:v>
                </c:pt>
                <c:pt idx="377">
                  <c:v>-10.809527546859197</c:v>
                </c:pt>
                <c:pt idx="378">
                  <c:v>-10.916997355300754</c:v>
                </c:pt>
                <c:pt idx="379">
                  <c:v>-11.250437716569571</c:v>
                </c:pt>
                <c:pt idx="380">
                  <c:v>-11.831164892314252</c:v>
                </c:pt>
                <c:pt idx="381">
                  <c:v>-12.281290507771315</c:v>
                </c:pt>
                <c:pt idx="382">
                  <c:v>-12.195180878582127</c:v>
                </c:pt>
                <c:pt idx="383">
                  <c:v>-11.948383546302594</c:v>
                </c:pt>
                <c:pt idx="384">
                  <c:v>-11.864485554548525</c:v>
                </c:pt>
                <c:pt idx="385">
                  <c:v>-11.453910570839041</c:v>
                </c:pt>
                <c:pt idx="386">
                  <c:v>-11.121467078934279</c:v>
                </c:pt>
                <c:pt idx="387">
                  <c:v>-11.531511876648562</c:v>
                </c:pt>
                <c:pt idx="388">
                  <c:v>-12.474106736648562</c:v>
                </c:pt>
                <c:pt idx="389">
                  <c:v>-12.373550325953698</c:v>
                </c:pt>
                <c:pt idx="390">
                  <c:v>-11.654331080090573</c:v>
                </c:pt>
                <c:pt idx="391">
                  <c:v>-9.672707660222029</c:v>
                </c:pt>
                <c:pt idx="392">
                  <c:v>-11.079301969544066</c:v>
                </c:pt>
                <c:pt idx="393">
                  <c:v>-11.304471821296332</c:v>
                </c:pt>
                <c:pt idx="394">
                  <c:v>-9.3859264685055344</c:v>
                </c:pt>
                <c:pt idx="395">
                  <c:v>-9.3453004848421699</c:v>
                </c:pt>
                <c:pt idx="396">
                  <c:v>-9.2062271161242215</c:v>
                </c:pt>
                <c:pt idx="397">
                  <c:v>-9.5501085205743479</c:v>
                </c:pt>
                <c:pt idx="398">
                  <c:v>-10.218435138391605</c:v>
                </c:pt>
                <c:pt idx="399">
                  <c:v>-10.1799104117729</c:v>
                </c:pt>
                <c:pt idx="400">
                  <c:v>-10.943888567888843</c:v>
                </c:pt>
                <c:pt idx="401">
                  <c:v>-10.200756179771961</c:v>
                </c:pt>
                <c:pt idx="402">
                  <c:v>-10.403543873472403</c:v>
                </c:pt>
                <c:pt idx="403">
                  <c:v>-10.139679720708584</c:v>
                </c:pt>
                <c:pt idx="404">
                  <c:v>-10.012783493506513</c:v>
                </c:pt>
                <c:pt idx="405">
                  <c:v>-10.832804955044976</c:v>
                </c:pt>
                <c:pt idx="406">
                  <c:v>-10.844486629688848</c:v>
                </c:pt>
                <c:pt idx="407">
                  <c:v>-10.326575750529187</c:v>
                </c:pt>
                <c:pt idx="408">
                  <c:v>-9.801798000736083</c:v>
                </c:pt>
                <c:pt idx="409">
                  <c:v>-10.098063770946613</c:v>
                </c:pt>
                <c:pt idx="410">
                  <c:v>-10.556969487542359</c:v>
                </c:pt>
                <c:pt idx="411">
                  <c:v>-10.505338362193523</c:v>
                </c:pt>
                <c:pt idx="412">
                  <c:v>-10.860744793718947</c:v>
                </c:pt>
                <c:pt idx="413">
                  <c:v>-10.763556507836594</c:v>
                </c:pt>
                <c:pt idx="414">
                  <c:v>-10.739189565876798</c:v>
                </c:pt>
                <c:pt idx="415">
                  <c:v>-10.77730087162004</c:v>
                </c:pt>
                <c:pt idx="416">
                  <c:v>-10.092579567491599</c:v>
                </c:pt>
                <c:pt idx="417">
                  <c:v>-10.197590056137431</c:v>
                </c:pt>
                <c:pt idx="418">
                  <c:v>-10.068641247948452</c:v>
                </c:pt>
                <c:pt idx="419">
                  <c:v>-10.146421704531367</c:v>
                </c:pt>
                <c:pt idx="420">
                  <c:v>-9.5275441301313677</c:v>
                </c:pt>
                <c:pt idx="421">
                  <c:v>-9.2181575199103722</c:v>
                </c:pt>
                <c:pt idx="422">
                  <c:v>-9.2200226841156034</c:v>
                </c:pt>
                <c:pt idx="423">
                  <c:v>-8.7191666441156048</c:v>
                </c:pt>
                <c:pt idx="424">
                  <c:v>-9.1314828163378241</c:v>
                </c:pt>
                <c:pt idx="425">
                  <c:v>-9.0255485561016044</c:v>
                </c:pt>
                <c:pt idx="426">
                  <c:v>-9.4797512669212729</c:v>
                </c:pt>
                <c:pt idx="427">
                  <c:v>-9.4057680382792963</c:v>
                </c:pt>
                <c:pt idx="428">
                  <c:v>-9.0655581962299898</c:v>
                </c:pt>
                <c:pt idx="429">
                  <c:v>-9.1197333593998007</c:v>
                </c:pt>
                <c:pt idx="430">
                  <c:v>-9.8501499067331331</c:v>
                </c:pt>
                <c:pt idx="431">
                  <c:v>-9.9495750282749835</c:v>
                </c:pt>
                <c:pt idx="432">
                  <c:v>-10.157230658100765</c:v>
                </c:pt>
                <c:pt idx="433">
                  <c:v>-11.110521001299148</c:v>
                </c:pt>
                <c:pt idx="434">
                  <c:v>-11.611421737525562</c:v>
                </c:pt>
                <c:pt idx="435">
                  <c:v>-11.390211759258897</c:v>
                </c:pt>
                <c:pt idx="436">
                  <c:v>-10.689521179708336</c:v>
                </c:pt>
                <c:pt idx="437">
                  <c:v>-11.044144543641391</c:v>
                </c:pt>
                <c:pt idx="438">
                  <c:v>-11.25041343494574</c:v>
                </c:pt>
                <c:pt idx="439">
                  <c:v>-10.880948993450414</c:v>
                </c:pt>
                <c:pt idx="440">
                  <c:v>-10.70713382820651</c:v>
                </c:pt>
                <c:pt idx="441">
                  <c:v>-11.166523378592776</c:v>
                </c:pt>
                <c:pt idx="442">
                  <c:v>-11.235639318332188</c:v>
                </c:pt>
                <c:pt idx="443">
                  <c:v>-11.284310697678595</c:v>
                </c:pt>
                <c:pt idx="444">
                  <c:v>-11.436469886171057</c:v>
                </c:pt>
                <c:pt idx="445">
                  <c:v>-12.054378762930831</c:v>
                </c:pt>
                <c:pt idx="446">
                  <c:v>-11.435036509963567</c:v>
                </c:pt>
                <c:pt idx="447">
                  <c:v>-11.510732232175956</c:v>
                </c:pt>
                <c:pt idx="448">
                  <c:v>-11.861466377990933</c:v>
                </c:pt>
                <c:pt idx="449">
                  <c:v>-12.362402456604796</c:v>
                </c:pt>
                <c:pt idx="450">
                  <c:v>-12.612513650979796</c:v>
                </c:pt>
                <c:pt idx="451">
                  <c:v>-12.729743319927165</c:v>
                </c:pt>
                <c:pt idx="452">
                  <c:v>-12.165710793467539</c:v>
                </c:pt>
                <c:pt idx="453">
                  <c:v>-12.961064503467538</c:v>
                </c:pt>
                <c:pt idx="454">
                  <c:v>-12.690159182499798</c:v>
                </c:pt>
                <c:pt idx="455">
                  <c:v>-12.507983558897104</c:v>
                </c:pt>
                <c:pt idx="456">
                  <c:v>-12.111599903014751</c:v>
                </c:pt>
                <c:pt idx="457">
                  <c:v>-11.773434335695653</c:v>
                </c:pt>
                <c:pt idx="458">
                  <c:v>-9.9746251086398576</c:v>
                </c:pt>
                <c:pt idx="459">
                  <c:v>-9.7574489286398567</c:v>
                </c:pt>
                <c:pt idx="460">
                  <c:v>-9.258370382486012</c:v>
                </c:pt>
                <c:pt idx="461">
                  <c:v>-8.6535687969680399</c:v>
                </c:pt>
                <c:pt idx="462">
                  <c:v>-8.9025500591555442</c:v>
                </c:pt>
                <c:pt idx="463">
                  <c:v>-8.6300124472324669</c:v>
                </c:pt>
                <c:pt idx="464">
                  <c:v>-8.1225449755423238</c:v>
                </c:pt>
                <c:pt idx="465">
                  <c:v>-7.4296624010390113</c:v>
                </c:pt>
                <c:pt idx="466">
                  <c:v>-7.4482137388651015</c:v>
                </c:pt>
                <c:pt idx="467">
                  <c:v>-6.9337818089350325</c:v>
                </c:pt>
                <c:pt idx="468">
                  <c:v>-6.8164639610280569</c:v>
                </c:pt>
                <c:pt idx="469">
                  <c:v>-6.3200018135900402</c:v>
                </c:pt>
                <c:pt idx="470">
                  <c:v>-6.7572647453547479</c:v>
                </c:pt>
                <c:pt idx="471">
                  <c:v>-6.6763231053206189</c:v>
                </c:pt>
                <c:pt idx="472">
                  <c:v>-5.8829612924067112</c:v>
                </c:pt>
                <c:pt idx="473">
                  <c:v>-5.7930748082759749</c:v>
                </c:pt>
                <c:pt idx="474">
                  <c:v>-5.3760502498144387</c:v>
                </c:pt>
                <c:pt idx="475">
                  <c:v>-4.4483389586794084</c:v>
                </c:pt>
                <c:pt idx="476">
                  <c:v>-5.0756687668784615</c:v>
                </c:pt>
                <c:pt idx="477">
                  <c:v>-5.4315626267366168</c:v>
                </c:pt>
                <c:pt idx="478">
                  <c:v>-5.5587904517366207</c:v>
                </c:pt>
                <c:pt idx="479">
                  <c:v>-5.7056859123520063</c:v>
                </c:pt>
                <c:pt idx="480">
                  <c:v>-5.1764094463893899</c:v>
                </c:pt>
                <c:pt idx="481">
                  <c:v>-5.2359808595322503</c:v>
                </c:pt>
                <c:pt idx="482">
                  <c:v>-5.6865407295322505</c:v>
                </c:pt>
                <c:pt idx="483">
                  <c:v>-5.6573598282664248</c:v>
                </c:pt>
                <c:pt idx="484">
                  <c:v>-5.6573598282664213</c:v>
                </c:pt>
                <c:pt idx="485">
                  <c:v>-5.5132345597479011</c:v>
                </c:pt>
                <c:pt idx="486">
                  <c:v>-6.2482170797479011</c:v>
                </c:pt>
                <c:pt idx="487">
                  <c:v>-6.0912214493907584</c:v>
                </c:pt>
                <c:pt idx="488">
                  <c:v>-6.3318722525614941</c:v>
                </c:pt>
                <c:pt idx="489">
                  <c:v>-6.0314298704763889</c:v>
                </c:pt>
                <c:pt idx="490">
                  <c:v>-6.0541055308974441</c:v>
                </c:pt>
                <c:pt idx="491">
                  <c:v>-6.1313192331265443</c:v>
                </c:pt>
                <c:pt idx="492">
                  <c:v>-6.0718405220154343</c:v>
                </c:pt>
                <c:pt idx="493">
                  <c:v>-6.4644111644315423</c:v>
                </c:pt>
                <c:pt idx="494">
                  <c:v>-5.7070797136762552</c:v>
                </c:pt>
                <c:pt idx="495">
                  <c:v>-5.6115171334362541</c:v>
                </c:pt>
                <c:pt idx="496">
                  <c:v>-5.6162369684362536</c:v>
                </c:pt>
                <c:pt idx="497">
                  <c:v>-5.703350000436255</c:v>
                </c:pt>
                <c:pt idx="498">
                  <c:v>-5.7666281784690403</c:v>
                </c:pt>
                <c:pt idx="499">
                  <c:v>-6.4126517174589379</c:v>
                </c:pt>
                <c:pt idx="500">
                  <c:v>-5.7511017910050377</c:v>
                </c:pt>
                <c:pt idx="501">
                  <c:v>-5.9141659221161484</c:v>
                </c:pt>
                <c:pt idx="502">
                  <c:v>-5.5729013315161495</c:v>
                </c:pt>
                <c:pt idx="503">
                  <c:v>-5.8063310729594475</c:v>
                </c:pt>
                <c:pt idx="504">
                  <c:v>-6.1134249075273477</c:v>
                </c:pt>
                <c:pt idx="505">
                  <c:v>-6.781074727527348</c:v>
                </c:pt>
                <c:pt idx="506">
                  <c:v>-6.8915349330488187</c:v>
                </c:pt>
                <c:pt idx="507">
                  <c:v>-6.9728434340972054</c:v>
                </c:pt>
                <c:pt idx="508">
                  <c:v>-7.2949912830187751</c:v>
                </c:pt>
                <c:pt idx="509">
                  <c:v>-7.6868114515581007</c:v>
                </c:pt>
                <c:pt idx="510">
                  <c:v>-7.1168246070072021</c:v>
                </c:pt>
                <c:pt idx="511">
                  <c:v>-6.9632936921706001</c:v>
                </c:pt>
                <c:pt idx="512">
                  <c:v>-7.1278537490788159</c:v>
                </c:pt>
                <c:pt idx="513">
                  <c:v>-6.7276085080135255</c:v>
                </c:pt>
                <c:pt idx="514">
                  <c:v>-6.6512794292135249</c:v>
                </c:pt>
                <c:pt idx="515">
                  <c:v>-6.5517432077849556</c:v>
                </c:pt>
                <c:pt idx="516">
                  <c:v>-6.6498843645810712</c:v>
                </c:pt>
                <c:pt idx="517">
                  <c:v>-6.7578684974382162</c:v>
                </c:pt>
                <c:pt idx="518">
                  <c:v>-6.8291005399199678</c:v>
                </c:pt>
                <c:pt idx="519">
                  <c:v>-6.4102802618147052</c:v>
                </c:pt>
                <c:pt idx="520">
                  <c:v>-7.1088942688333399</c:v>
                </c:pt>
                <c:pt idx="521">
                  <c:v>-6.8864747071210113</c:v>
                </c:pt>
                <c:pt idx="522">
                  <c:v>-7.5847904369990609</c:v>
                </c:pt>
                <c:pt idx="523">
                  <c:v>-7.3850125175185433</c:v>
                </c:pt>
                <c:pt idx="524">
                  <c:v>-8.0476096161392299</c:v>
                </c:pt>
                <c:pt idx="525">
                  <c:v>-7.4237298928058975</c:v>
                </c:pt>
                <c:pt idx="526">
                  <c:v>-7.6595812602884124</c:v>
                </c:pt>
                <c:pt idx="527">
                  <c:v>-7.4528837082226866</c:v>
                </c:pt>
                <c:pt idx="528">
                  <c:v>-7.439431723111575</c:v>
                </c:pt>
                <c:pt idx="529">
                  <c:v>-7.4091972007814766</c:v>
                </c:pt>
                <c:pt idx="530">
                  <c:v>-8.345659686884046</c:v>
                </c:pt>
                <c:pt idx="531">
                  <c:v>-7.9940891128425928</c:v>
                </c:pt>
                <c:pt idx="532">
                  <c:v>-8.2618107936118257</c:v>
                </c:pt>
                <c:pt idx="533">
                  <c:v>-8.5346562783642987</c:v>
                </c:pt>
                <c:pt idx="534">
                  <c:v>-8.9578666866675487</c:v>
                </c:pt>
                <c:pt idx="535">
                  <c:v>-8.3635198248493658</c:v>
                </c:pt>
                <c:pt idx="536">
                  <c:v>-9.0889851287510037</c:v>
                </c:pt>
                <c:pt idx="537">
                  <c:v>-9.6067099691081452</c:v>
                </c:pt>
                <c:pt idx="538">
                  <c:v>-10.033248224108148</c:v>
                </c:pt>
                <c:pt idx="539">
                  <c:v>-10.271464099847279</c:v>
                </c:pt>
                <c:pt idx="540">
                  <c:v>-10.807051144847273</c:v>
                </c:pt>
                <c:pt idx="541">
                  <c:v>-11.312895544847272</c:v>
                </c:pt>
                <c:pt idx="542">
                  <c:v>-11.497551435584116</c:v>
                </c:pt>
                <c:pt idx="543">
                  <c:v>-11.703808800801509</c:v>
                </c:pt>
                <c:pt idx="544">
                  <c:v>-11.570515923601508</c:v>
                </c:pt>
                <c:pt idx="545">
                  <c:v>-11.292712518635989</c:v>
                </c:pt>
                <c:pt idx="546">
                  <c:v>-11.132463953418601</c:v>
                </c:pt>
                <c:pt idx="547">
                  <c:v>-10.541324704550679</c:v>
                </c:pt>
                <c:pt idx="548">
                  <c:v>-10.639069174066806</c:v>
                </c:pt>
                <c:pt idx="549">
                  <c:v>-10.096581643423951</c:v>
                </c:pt>
                <c:pt idx="550">
                  <c:v>-9.3859326155698728</c:v>
                </c:pt>
                <c:pt idx="551">
                  <c:v>-8.9232531393061407</c:v>
                </c:pt>
                <c:pt idx="552">
                  <c:v>-8.2412536798324432</c:v>
                </c:pt>
                <c:pt idx="553">
                  <c:v>-7.8558259912798105</c:v>
                </c:pt>
                <c:pt idx="554">
                  <c:v>-7.2830428357392734</c:v>
                </c:pt>
                <c:pt idx="555">
                  <c:v>-7.6540289534315828</c:v>
                </c:pt>
                <c:pt idx="556">
                  <c:v>-7.5218060562497664</c:v>
                </c:pt>
                <c:pt idx="557">
                  <c:v>-5.9840697637697655</c:v>
                </c:pt>
                <c:pt idx="558">
                  <c:v>-7.6495895780681238</c:v>
                </c:pt>
                <c:pt idx="559">
                  <c:v>-8.0552282119600171</c:v>
                </c:pt>
                <c:pt idx="560">
                  <c:v>-8.2936733654483881</c:v>
                </c:pt>
                <c:pt idx="561">
                  <c:v>-8.4857373938763363</c:v>
                </c:pt>
                <c:pt idx="562">
                  <c:v>-8.9495463338763344</c:v>
                </c:pt>
                <c:pt idx="563">
                  <c:v>-8.8023416031770321</c:v>
                </c:pt>
                <c:pt idx="564">
                  <c:v>-8.5080469792354272</c:v>
                </c:pt>
                <c:pt idx="565">
                  <c:v>-9.032614839429602</c:v>
                </c:pt>
                <c:pt idx="566">
                  <c:v>-8.5445514763046013</c:v>
                </c:pt>
                <c:pt idx="567">
                  <c:v>-9.2569189844354423</c:v>
                </c:pt>
                <c:pt idx="568">
                  <c:v>-8.7616419647606438</c:v>
                </c:pt>
                <c:pt idx="569">
                  <c:v>-8.4779831637436978</c:v>
                </c:pt>
                <c:pt idx="570">
                  <c:v>-8.4360415274646279</c:v>
                </c:pt>
                <c:pt idx="571">
                  <c:v>-8.6817202765046275</c:v>
                </c:pt>
                <c:pt idx="572">
                  <c:v>-8.3245974160601843</c:v>
                </c:pt>
                <c:pt idx="573">
                  <c:v>-8.5948202955632897</c:v>
                </c:pt>
                <c:pt idx="574">
                  <c:v>-9.2103183323102797</c:v>
                </c:pt>
                <c:pt idx="575">
                  <c:v>-9.0954849471250903</c:v>
                </c:pt>
                <c:pt idx="576">
                  <c:v>-9.3177958533545997</c:v>
                </c:pt>
                <c:pt idx="577">
                  <c:v>-8.2635886844356783</c:v>
                </c:pt>
                <c:pt idx="578">
                  <c:v>-7.0004014117564317</c:v>
                </c:pt>
                <c:pt idx="579">
                  <c:v>-7.4611714084231</c:v>
                </c:pt>
                <c:pt idx="580">
                  <c:v>-6.6667845584231005</c:v>
                </c:pt>
                <c:pt idx="581">
                  <c:v>-6.9054169865626376</c:v>
                </c:pt>
                <c:pt idx="582">
                  <c:v>-7.162961446730705</c:v>
                </c:pt>
                <c:pt idx="583">
                  <c:v>-7.0620873592307047</c:v>
                </c:pt>
                <c:pt idx="584">
                  <c:v>-4.9427201302451955</c:v>
                </c:pt>
                <c:pt idx="585">
                  <c:v>-4.9352789671478501</c:v>
                </c:pt>
                <c:pt idx="586">
                  <c:v>-4.8291733573917526</c:v>
                </c:pt>
                <c:pt idx="587">
                  <c:v>-4.5003810540737792</c:v>
                </c:pt>
                <c:pt idx="588">
                  <c:v>-1.510234900740451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A-4AE3-B65A-AFA99DE75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704720"/>
        <c:axId val="186705968"/>
      </c:lineChart>
      <c:dateAx>
        <c:axId val="186704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05968"/>
        <c:crosses val="autoZero"/>
        <c:auto val="1"/>
        <c:lblOffset val="100"/>
        <c:baseTimeUnit val="days"/>
      </c:dateAx>
      <c:valAx>
        <c:axId val="18670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0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93AA2D-22C8-4C95-9860-482AE91BB233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1D7D31-9C02-47C6-8491-638560B30A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4.0614999999999998E-2</v>
      </c>
      <c r="D2" s="4">
        <f>MIN(D3:D1912)</f>
        <v>1.444E-3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8.5800000000000008E-3</v>
      </c>
      <c r="C5">
        <v>8.7799999999999996E-3</v>
      </c>
      <c r="D5">
        <v>8.5400000000000007E-3</v>
      </c>
      <c r="E5">
        <v>8.5900000000000004E-3</v>
      </c>
      <c r="F5">
        <v>852010</v>
      </c>
      <c r="G5">
        <v>8.5900000000000004E-3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-0.58333333333333393</v>
      </c>
      <c r="Q5">
        <f t="shared" ref="Q5" si="1">F5*P5</f>
        <v>-497005.83333333384</v>
      </c>
      <c r="R5">
        <f t="shared" ref="R5" si="2">R6+Q5</f>
        <v>-8849198579.2931328</v>
      </c>
      <c r="S5">
        <f t="shared" ref="S5" si="3">R5/100000</f>
        <v>-88491.985792931329</v>
      </c>
      <c r="T5">
        <f t="shared" ref="T5" si="4">S5/1000</f>
        <v>-88.491985792931331</v>
      </c>
    </row>
    <row r="6" spans="1:20" x14ac:dyDescent="0.25">
      <c r="A6" s="5">
        <v>44587</v>
      </c>
      <c r="B6">
        <v>8.3099999999999997E-3</v>
      </c>
      <c r="C6">
        <v>9.1900000000000003E-3</v>
      </c>
      <c r="D6">
        <v>8.3000000000000001E-3</v>
      </c>
      <c r="E6">
        <v>8.5900000000000004E-3</v>
      </c>
      <c r="F6">
        <v>32242404</v>
      </c>
      <c r="G6">
        <v>8.5900000000000004E-3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-0.34831460674157244</v>
      </c>
      <c r="Q6">
        <f t="shared" ref="Q6" si="6">F6*P6</f>
        <v>-11230500.269662902</v>
      </c>
      <c r="R6">
        <f t="shared" ref="R6" si="7">R7+Q6</f>
        <v>-8848701573.4597988</v>
      </c>
      <c r="S6">
        <f t="shared" ref="S6" si="8">R6/100000</f>
        <v>-88487.015734597982</v>
      </c>
      <c r="T6">
        <f t="shared" ref="T6" si="9">S6/1000</f>
        <v>-88.487015734597989</v>
      </c>
    </row>
    <row r="7" spans="1:20" x14ac:dyDescent="0.25">
      <c r="A7" s="5">
        <v>44586</v>
      </c>
      <c r="B7">
        <v>8.2799999999999992E-3</v>
      </c>
      <c r="C7">
        <v>8.3599999999999994E-3</v>
      </c>
      <c r="D7">
        <v>7.9000000000000008E-3</v>
      </c>
      <c r="E7">
        <v>8.3199999999999993E-3</v>
      </c>
      <c r="F7">
        <v>19083393</v>
      </c>
      <c r="G7">
        <v>8.3199999999999993E-3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0.82608695652173814</v>
      </c>
      <c r="Q7">
        <f t="shared" ref="Q7" si="11">F7*P7</f>
        <v>15764542.043478241</v>
      </c>
      <c r="R7">
        <f t="shared" ref="R7" si="12">R8+Q7</f>
        <v>-8837471073.190136</v>
      </c>
      <c r="S7">
        <f t="shared" ref="S7" si="13">R7/100000</f>
        <v>-88374.710731901359</v>
      </c>
      <c r="T7">
        <f t="shared" ref="T7" si="14">S7/1000</f>
        <v>-88.374710731901359</v>
      </c>
    </row>
    <row r="8" spans="1:20" x14ac:dyDescent="0.25">
      <c r="A8" s="5">
        <v>44585</v>
      </c>
      <c r="B8">
        <v>8.5299999999999994E-3</v>
      </c>
      <c r="C8">
        <v>8.5500000000000003E-3</v>
      </c>
      <c r="D8">
        <v>7.43E-3</v>
      </c>
      <c r="E8">
        <v>8.2900000000000005E-3</v>
      </c>
      <c r="F8">
        <v>32562886</v>
      </c>
      <c r="G8">
        <v>8.2900000000000005E-3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0.53571428571428614</v>
      </c>
      <c r="Q8">
        <f t="shared" ref="Q8" si="16">F8*P8</f>
        <v>17444403.214285728</v>
      </c>
      <c r="R8">
        <f t="shared" ref="R8" si="17">R9+Q8</f>
        <v>-8853235615.233614</v>
      </c>
      <c r="S8">
        <f t="shared" ref="S8" si="18">R8/100000</f>
        <v>-88532.356152336142</v>
      </c>
      <c r="T8">
        <f t="shared" ref="T8" si="19">S8/1000</f>
        <v>-88.532356152336149</v>
      </c>
    </row>
    <row r="9" spans="1:20" x14ac:dyDescent="0.25">
      <c r="A9" s="5">
        <v>44584</v>
      </c>
      <c r="B9">
        <v>8.3000000000000001E-3</v>
      </c>
      <c r="C9">
        <v>9.7400000000000004E-3</v>
      </c>
      <c r="D9">
        <v>8.2199999999999999E-3</v>
      </c>
      <c r="E9">
        <v>8.5900000000000004E-3</v>
      </c>
      <c r="F9">
        <v>41882340</v>
      </c>
      <c r="G9">
        <v>8.5900000000000004E-3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-0.51315789473684159</v>
      </c>
      <c r="Q9">
        <f t="shared" ref="Q9" si="21">F9*P9</f>
        <v>-21492253.421052609</v>
      </c>
      <c r="R9">
        <f t="shared" ref="R9" si="22">R10+Q9</f>
        <v>-8870680018.4478989</v>
      </c>
      <c r="S9">
        <f t="shared" ref="S9" si="23">R9/100000</f>
        <v>-88706.800184478983</v>
      </c>
      <c r="T9">
        <f t="shared" ref="T9" si="24">S9/1000</f>
        <v>-88.706800184478979</v>
      </c>
    </row>
    <row r="10" spans="1:20" x14ac:dyDescent="0.25">
      <c r="A10" s="5">
        <v>44583</v>
      </c>
      <c r="B10">
        <v>8.7100000000000007E-3</v>
      </c>
      <c r="C10">
        <v>9.8499999999999994E-3</v>
      </c>
      <c r="D10">
        <v>7.3099999999999997E-3</v>
      </c>
      <c r="E10">
        <v>8.3099999999999997E-3</v>
      </c>
      <c r="F10">
        <v>82766055</v>
      </c>
      <c r="G10">
        <v>8.3099999999999997E-3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-0.21259842519685029</v>
      </c>
      <c r="Q10">
        <f t="shared" ref="Q10" si="26">F10*P10</f>
        <v>-17595932.952755898</v>
      </c>
      <c r="R10">
        <f t="shared" ref="R10" si="27">R11+Q10</f>
        <v>-8849187765.0268459</v>
      </c>
      <c r="S10">
        <f t="shared" ref="S10" si="28">R10/100000</f>
        <v>-88491.877650268463</v>
      </c>
      <c r="T10">
        <f t="shared" ref="T10" si="29">S10/1000</f>
        <v>-88.491877650268464</v>
      </c>
    </row>
    <row r="11" spans="1:20" x14ac:dyDescent="0.25">
      <c r="A11" s="5">
        <v>44582</v>
      </c>
      <c r="B11">
        <v>9.7699999999999992E-3</v>
      </c>
      <c r="C11">
        <v>9.9399999999999992E-3</v>
      </c>
      <c r="D11">
        <v>8.43E-3</v>
      </c>
      <c r="E11">
        <v>8.7100000000000007E-3</v>
      </c>
      <c r="F11">
        <v>43815722</v>
      </c>
      <c r="G11">
        <v>8.7100000000000007E-3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-0.629139072847681</v>
      </c>
      <c r="Q11">
        <f t="shared" ref="Q11" si="31">F11*P11</f>
        <v>-27566182.715231739</v>
      </c>
      <c r="R11">
        <f t="shared" ref="R11" si="32">R12+Q11</f>
        <v>-8831591832.074091</v>
      </c>
      <c r="S11">
        <f t="shared" ref="S11" si="33">R11/100000</f>
        <v>-88315.918320740908</v>
      </c>
      <c r="T11">
        <f t="shared" ref="T11" si="34">S11/1000</f>
        <v>-88.315918320740906</v>
      </c>
    </row>
    <row r="12" spans="1:20" x14ac:dyDescent="0.25">
      <c r="A12" s="5">
        <v>44581</v>
      </c>
      <c r="B12">
        <v>0.01</v>
      </c>
      <c r="C12">
        <v>1.0500000000000001E-2</v>
      </c>
      <c r="D12">
        <v>9.7199999999999995E-3</v>
      </c>
      <c r="E12">
        <v>9.8099999999999993E-3</v>
      </c>
      <c r="F12">
        <v>36330597</v>
      </c>
      <c r="G12">
        <v>9.8099999999999993E-3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-0.76923076923077005</v>
      </c>
      <c r="Q12">
        <f t="shared" ref="Q12" si="36">F12*P12</f>
        <v>-27946613.076923106</v>
      </c>
      <c r="R12">
        <f t="shared" ref="R12" si="37">R13+Q12</f>
        <v>-8804025649.35886</v>
      </c>
      <c r="S12">
        <f t="shared" ref="S12" si="38">R12/100000</f>
        <v>-88040.256493588604</v>
      </c>
      <c r="T12">
        <f t="shared" ref="T12" si="39">S12/1000</f>
        <v>-88.040256493588601</v>
      </c>
    </row>
    <row r="13" spans="1:20" x14ac:dyDescent="0.25">
      <c r="A13" s="5">
        <v>44580</v>
      </c>
      <c r="B13">
        <v>1.0330000000000001E-2</v>
      </c>
      <c r="C13">
        <v>1.052E-2</v>
      </c>
      <c r="D13">
        <v>9.6900000000000007E-3</v>
      </c>
      <c r="E13">
        <v>1.001E-2</v>
      </c>
      <c r="F13">
        <v>22460270</v>
      </c>
      <c r="G13">
        <v>1.001E-2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-0.22891566265060376</v>
      </c>
      <c r="Q13">
        <f t="shared" ref="Q13" si="41">F13*P13</f>
        <v>-5141507.5903614759</v>
      </c>
      <c r="R13">
        <f t="shared" ref="R13" si="42">R14+Q13</f>
        <v>-8776079036.2819366</v>
      </c>
      <c r="S13">
        <f t="shared" ref="S13" si="43">R13/100000</f>
        <v>-87760.79036281936</v>
      </c>
      <c r="T13">
        <f t="shared" ref="T13" si="44">S13/1000</f>
        <v>-87.760790362819364</v>
      </c>
    </row>
    <row r="14" spans="1:20" x14ac:dyDescent="0.25">
      <c r="A14" s="5">
        <v>44579</v>
      </c>
      <c r="B14">
        <v>1.06E-2</v>
      </c>
      <c r="C14">
        <v>1.0630000000000001E-2</v>
      </c>
      <c r="D14">
        <v>0.01</v>
      </c>
      <c r="E14">
        <v>1.031E-2</v>
      </c>
      <c r="F14">
        <v>15889324</v>
      </c>
      <c r="G14">
        <v>1.031E-2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-1.5873015873017971E-2</v>
      </c>
      <c r="Q14">
        <f t="shared" ref="Q14" si="46">F14*P14</f>
        <v>-252211.49206352539</v>
      </c>
      <c r="R14">
        <f t="shared" ref="R14" si="47">R15+Q14</f>
        <v>-8770937528.691576</v>
      </c>
      <c r="S14">
        <f t="shared" ref="S14" si="48">R14/100000</f>
        <v>-87709.375286915762</v>
      </c>
      <c r="T14">
        <f t="shared" ref="T14" si="49">S14/1000</f>
        <v>-87.709375286915758</v>
      </c>
    </row>
    <row r="15" spans="1:20" x14ac:dyDescent="0.25">
      <c r="A15" s="5">
        <v>44578</v>
      </c>
      <c r="B15">
        <v>1.111E-2</v>
      </c>
      <c r="C15">
        <v>1.111E-2</v>
      </c>
      <c r="D15">
        <v>1.0460000000000001E-2</v>
      </c>
      <c r="E15">
        <v>1.0619999999999999E-2</v>
      </c>
      <c r="F15">
        <v>12399424</v>
      </c>
      <c r="G15">
        <v>1.0619999999999999E-2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-0.50769230769231144</v>
      </c>
      <c r="Q15">
        <f t="shared" ref="Q15" si="51">F15*P15</f>
        <v>-6295092.1846154314</v>
      </c>
      <c r="R15">
        <f t="shared" ref="R15" si="52">R16+Q15</f>
        <v>-8770685317.1995125</v>
      </c>
      <c r="S15">
        <f t="shared" ref="S15" si="53">R15/100000</f>
        <v>-87706.853171995128</v>
      </c>
      <c r="T15">
        <f t="shared" ref="T15" si="54">S15/1000</f>
        <v>-87.706853171995121</v>
      </c>
    </row>
    <row r="16" spans="1:20" x14ac:dyDescent="0.25">
      <c r="A16" s="5">
        <v>44577</v>
      </c>
      <c r="B16">
        <v>1.093E-2</v>
      </c>
      <c r="C16">
        <v>1.119E-2</v>
      </c>
      <c r="D16">
        <v>1.085E-2</v>
      </c>
      <c r="E16">
        <v>1.1050000000000001E-2</v>
      </c>
      <c r="F16">
        <v>14380377</v>
      </c>
      <c r="G16">
        <v>1.1050000000000001E-2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0.17647058823529713</v>
      </c>
      <c r="Q16">
        <f t="shared" ref="Q16" si="56">F16*P16</f>
        <v>2537713.5882353373</v>
      </c>
      <c r="R16">
        <f t="shared" ref="R16" si="57">R17+Q16</f>
        <v>-8764390225.0148964</v>
      </c>
      <c r="S16">
        <f t="shared" ref="S16" si="58">R16/100000</f>
        <v>-87643.902250148967</v>
      </c>
      <c r="T16">
        <f t="shared" ref="T16" si="59">S16/1000</f>
        <v>-87.643902250148969</v>
      </c>
    </row>
    <row r="17" spans="1:20" x14ac:dyDescent="0.25">
      <c r="A17" s="5">
        <v>44576</v>
      </c>
      <c r="B17">
        <v>1.0869999999999999E-2</v>
      </c>
      <c r="C17">
        <v>1.1270000000000001E-2</v>
      </c>
      <c r="D17">
        <v>1.0670000000000001E-2</v>
      </c>
      <c r="E17">
        <v>1.091E-2</v>
      </c>
      <c r="F17">
        <v>10437371</v>
      </c>
      <c r="G17">
        <v>1.091E-2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-0.20000000000000348</v>
      </c>
      <c r="Q17">
        <f t="shared" ref="Q17" si="61">F17*P17</f>
        <v>-2087474.2000000363</v>
      </c>
      <c r="R17">
        <f t="shared" ref="R17" si="62">R18+Q17</f>
        <v>-8766927938.6031322</v>
      </c>
      <c r="S17">
        <f t="shared" ref="S17" si="63">R17/100000</f>
        <v>-87669.279386031325</v>
      </c>
      <c r="T17">
        <f t="shared" ref="T17" si="64">S17/1000</f>
        <v>-87.66927938603132</v>
      </c>
    </row>
    <row r="18" spans="1:20" x14ac:dyDescent="0.25">
      <c r="A18" s="5">
        <v>44575</v>
      </c>
      <c r="B18">
        <v>1.0670000000000001E-2</v>
      </c>
      <c r="C18">
        <v>1.0999999999999999E-2</v>
      </c>
      <c r="D18">
        <v>1.0449999999999999E-2</v>
      </c>
      <c r="E18">
        <v>1.085E-2</v>
      </c>
      <c r="F18">
        <v>18576865</v>
      </c>
      <c r="G18">
        <v>1.085E-2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0.45454545454545797</v>
      </c>
      <c r="Q18">
        <f t="shared" ref="Q18" si="66">F18*P18</f>
        <v>8444029.5454546083</v>
      </c>
      <c r="R18">
        <f t="shared" ref="R18" si="67">R19+Q18</f>
        <v>-8764840464.4031315</v>
      </c>
      <c r="S18">
        <f t="shared" ref="S18" si="68">R18/100000</f>
        <v>-87648.40464403131</v>
      </c>
      <c r="T18">
        <f t="shared" ref="T18" si="69">S18/1000</f>
        <v>-87.648404644031316</v>
      </c>
    </row>
    <row r="19" spans="1:20" x14ac:dyDescent="0.25">
      <c r="A19" s="5">
        <v>44574</v>
      </c>
      <c r="B19">
        <v>1.085E-2</v>
      </c>
      <c r="C19">
        <v>1.1180000000000001E-2</v>
      </c>
      <c r="D19">
        <v>1.0670000000000001E-2</v>
      </c>
      <c r="E19">
        <v>1.069E-2</v>
      </c>
      <c r="F19">
        <v>15687052</v>
      </c>
      <c r="G19">
        <v>1.069E-2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-0.92156862745098356</v>
      </c>
      <c r="Q19">
        <f t="shared" ref="Q19" si="71">F19*P19</f>
        <v>-14456694.980392206</v>
      </c>
      <c r="R19">
        <f t="shared" ref="R19" si="72">R20+Q19</f>
        <v>-8773284493.9485855</v>
      </c>
      <c r="S19">
        <f t="shared" ref="S19" si="73">R19/100000</f>
        <v>-87732.844939485862</v>
      </c>
      <c r="T19">
        <f t="shared" ref="T19" si="74">S19/1000</f>
        <v>-87.732844939485858</v>
      </c>
    </row>
    <row r="20" spans="1:20" x14ac:dyDescent="0.25">
      <c r="A20" s="5">
        <v>44573</v>
      </c>
      <c r="B20">
        <v>1.057E-2</v>
      </c>
      <c r="C20">
        <v>1.1690000000000001E-2</v>
      </c>
      <c r="D20">
        <v>1.0359999999999999E-2</v>
      </c>
      <c r="E20">
        <v>1.09E-2</v>
      </c>
      <c r="F20">
        <v>30976196</v>
      </c>
      <c r="G20">
        <v>1.09E-2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-0.18796992481203006</v>
      </c>
      <c r="Q20">
        <f t="shared" ref="Q20" si="76">F20*P20</f>
        <v>-5822593.2330827061</v>
      </c>
      <c r="R20">
        <f t="shared" ref="R20" si="77">R21+Q20</f>
        <v>-8758827798.9681931</v>
      </c>
      <c r="S20">
        <f t="shared" ref="S20" si="78">R20/100000</f>
        <v>-87588.277989681927</v>
      </c>
      <c r="T20">
        <f t="shared" ref="T20" si="79">S20/1000</f>
        <v>-87.588277989681927</v>
      </c>
    </row>
    <row r="21" spans="1:20" x14ac:dyDescent="0.25">
      <c r="A21" s="5">
        <v>44572</v>
      </c>
      <c r="B21">
        <v>1.0359999999999999E-2</v>
      </c>
      <c r="C21">
        <v>1.0619999999999999E-2</v>
      </c>
      <c r="D21">
        <v>0.01</v>
      </c>
      <c r="E21">
        <v>1.051E-2</v>
      </c>
      <c r="F21">
        <v>19667693</v>
      </c>
      <c r="G21">
        <v>1.051E-2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0.6451612903225834</v>
      </c>
      <c r="Q21">
        <f t="shared" ref="Q21" si="81">F21*P21</f>
        <v>12688834.193548441</v>
      </c>
      <c r="R21">
        <f t="shared" ref="R21" si="82">R22+Q21</f>
        <v>-8753005205.7351112</v>
      </c>
      <c r="S21">
        <f t="shared" ref="S21" si="83">R21/100000</f>
        <v>-87530.052057351117</v>
      </c>
      <c r="T21">
        <f t="shared" ref="T21" si="84">S21/1000</f>
        <v>-87.530052057351114</v>
      </c>
    </row>
    <row r="22" spans="1:20" x14ac:dyDescent="0.25">
      <c r="A22" s="5">
        <v>44571</v>
      </c>
      <c r="B22">
        <v>1.0999999999999999E-2</v>
      </c>
      <c r="C22">
        <v>1.1050000000000001E-2</v>
      </c>
      <c r="D22">
        <v>9.7199999999999995E-3</v>
      </c>
      <c r="E22">
        <v>1.034E-2</v>
      </c>
      <c r="F22">
        <v>38130857</v>
      </c>
      <c r="G22">
        <v>1.034E-2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-6.7669172932330615E-2</v>
      </c>
      <c r="Q22">
        <f t="shared" ref="Q22" si="86">F22*P22</f>
        <v>-2580283.5563909695</v>
      </c>
      <c r="R22">
        <f t="shared" ref="R22" si="87">R23+Q22</f>
        <v>-8765694039.9286594</v>
      </c>
      <c r="S22">
        <f t="shared" ref="S22" si="88">R22/100000</f>
        <v>-87656.940399286599</v>
      </c>
      <c r="T22">
        <f t="shared" ref="T22" si="89">S22/1000</f>
        <v>-87.656940399286597</v>
      </c>
    </row>
    <row r="23" spans="1:20" x14ac:dyDescent="0.25">
      <c r="A23" s="5">
        <v>44570</v>
      </c>
      <c r="B23">
        <v>1.0800000000000001E-2</v>
      </c>
      <c r="C23">
        <v>1.1339999999999999E-2</v>
      </c>
      <c r="D23">
        <v>1.0659999999999999E-2</v>
      </c>
      <c r="E23">
        <v>1.0959999999999999E-2</v>
      </c>
      <c r="F23">
        <v>19963370</v>
      </c>
      <c r="G23">
        <v>1.0959999999999999E-2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-0.11764705882352972</v>
      </c>
      <c r="Q23">
        <f t="shared" ref="Q23" si="91">F23*P23</f>
        <v>-2348631.7647058885</v>
      </c>
      <c r="R23">
        <f t="shared" ref="R23" si="92">R24+Q23</f>
        <v>-8763113756.3722687</v>
      </c>
      <c r="S23">
        <f t="shared" ref="S23" si="93">R23/100000</f>
        <v>-87631.137563722688</v>
      </c>
      <c r="T23">
        <f t="shared" ref="T23" si="94">S23/1000</f>
        <v>-87.631137563722689</v>
      </c>
    </row>
    <row r="24" spans="1:20" x14ac:dyDescent="0.25">
      <c r="A24" s="5">
        <v>44569</v>
      </c>
      <c r="B24">
        <v>1.108E-2</v>
      </c>
      <c r="C24">
        <v>1.2120000000000001E-2</v>
      </c>
      <c r="D24">
        <v>1.0500000000000001E-2</v>
      </c>
      <c r="E24">
        <v>1.076E-2</v>
      </c>
      <c r="F24">
        <v>23576967</v>
      </c>
      <c r="G24">
        <v>1.076E-2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-0.67901234567901259</v>
      </c>
      <c r="Q24">
        <f t="shared" ref="Q24" si="96">F24*P24</f>
        <v>-16009051.666666672</v>
      </c>
      <c r="R24">
        <f t="shared" ref="R24" si="97">R25+Q24</f>
        <v>-8760765124.607563</v>
      </c>
      <c r="S24">
        <f t="shared" ref="S24" si="98">R24/100000</f>
        <v>-87607.651246075635</v>
      </c>
      <c r="T24">
        <f t="shared" ref="T24" si="99">S24/1000</f>
        <v>-87.607651246075633</v>
      </c>
    </row>
    <row r="25" spans="1:20" x14ac:dyDescent="0.25">
      <c r="A25" s="5">
        <v>44568</v>
      </c>
      <c r="B25">
        <v>1.1560000000000001E-2</v>
      </c>
      <c r="C25">
        <v>1.2189999999999999E-2</v>
      </c>
      <c r="D25">
        <v>1.081E-2</v>
      </c>
      <c r="E25">
        <v>1.106E-2</v>
      </c>
      <c r="F25">
        <v>24768125</v>
      </c>
      <c r="G25">
        <v>1.106E-2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-0.63768115942028936</v>
      </c>
      <c r="Q25">
        <f t="shared" ref="Q25" si="101">F25*P25</f>
        <v>-15794166.666666655</v>
      </c>
      <c r="R25">
        <f t="shared" ref="R25" si="102">R26+Q25</f>
        <v>-8744756072.940897</v>
      </c>
      <c r="S25">
        <f t="shared" ref="S25" si="103">R25/100000</f>
        <v>-87447.560729408971</v>
      </c>
      <c r="T25">
        <f t="shared" ref="T25" si="104">S25/1000</f>
        <v>-87.447560729408977</v>
      </c>
    </row>
    <row r="26" spans="1:20" x14ac:dyDescent="0.25">
      <c r="A26" s="5">
        <v>44567</v>
      </c>
      <c r="B26">
        <v>1.155E-2</v>
      </c>
      <c r="C26">
        <v>1.242E-2</v>
      </c>
      <c r="D26">
        <v>1.123E-2</v>
      </c>
      <c r="E26">
        <v>1.1509999999999999E-2</v>
      </c>
      <c r="F26">
        <v>33372624</v>
      </c>
      <c r="G26">
        <v>1.1509999999999999E-2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-0.52941176470588402</v>
      </c>
      <c r="Q26">
        <f t="shared" ref="Q26" si="106">F26*P26</f>
        <v>-17667859.764705937</v>
      </c>
      <c r="R26">
        <f t="shared" ref="R26" si="107">R27+Q26</f>
        <v>-8728961906.274231</v>
      </c>
      <c r="S26">
        <f t="shared" ref="S26" si="108">R26/100000</f>
        <v>-87289.619062742306</v>
      </c>
      <c r="T26">
        <f t="shared" ref="T26" si="109">S26/1000</f>
        <v>-87.289619062742304</v>
      </c>
    </row>
    <row r="27" spans="1:20" x14ac:dyDescent="0.25">
      <c r="A27" s="5">
        <v>44566</v>
      </c>
      <c r="B27">
        <v>1.2670000000000001E-2</v>
      </c>
      <c r="C27">
        <v>1.291E-2</v>
      </c>
      <c r="D27">
        <v>1.132E-2</v>
      </c>
      <c r="E27">
        <v>1.155E-2</v>
      </c>
      <c r="F27">
        <v>25109834</v>
      </c>
      <c r="G27">
        <v>1.155E-2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-0.7106918238993718</v>
      </c>
      <c r="Q27">
        <f t="shared" ref="Q27" si="111">F27*P27</f>
        <v>-17845353.723270457</v>
      </c>
      <c r="R27">
        <f t="shared" ref="R27" si="112">R28+Q27</f>
        <v>-8711294046.5095253</v>
      </c>
      <c r="S27">
        <f t="shared" ref="S27" si="113">R27/100000</f>
        <v>-87112.940465095249</v>
      </c>
      <c r="T27">
        <f t="shared" ref="T27" si="114">S27/1000</f>
        <v>-87.112940465095249</v>
      </c>
    </row>
    <row r="28" spans="1:20" x14ac:dyDescent="0.25">
      <c r="A28" s="5">
        <v>44565</v>
      </c>
      <c r="B28">
        <v>1.3259999999999999E-2</v>
      </c>
      <c r="C28">
        <v>1.328E-2</v>
      </c>
      <c r="D28">
        <v>1.24E-2</v>
      </c>
      <c r="E28">
        <v>1.2670000000000001E-2</v>
      </c>
      <c r="F28">
        <v>30286984</v>
      </c>
      <c r="G28">
        <v>1.2670000000000001E-2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-0.38636363636363419</v>
      </c>
      <c r="Q28">
        <f t="shared" ref="Q28" si="116">F28*P28</f>
        <v>-11701789.272727206</v>
      </c>
      <c r="R28">
        <f t="shared" ref="R28" si="117">R29+Q28</f>
        <v>-8693448692.7862549</v>
      </c>
      <c r="S28">
        <f t="shared" ref="S28" si="118">R28/100000</f>
        <v>-86934.486927862556</v>
      </c>
      <c r="T28">
        <f t="shared" ref="T28" si="119">S28/1000</f>
        <v>-86.934486927862551</v>
      </c>
    </row>
    <row r="29" spans="1:20" x14ac:dyDescent="0.25">
      <c r="A29" s="5">
        <v>44564</v>
      </c>
      <c r="B29">
        <v>1.29E-2</v>
      </c>
      <c r="C29">
        <v>1.363E-2</v>
      </c>
      <c r="D29">
        <v>1.289E-2</v>
      </c>
      <c r="E29">
        <v>1.324E-2</v>
      </c>
      <c r="F29">
        <v>74084393</v>
      </c>
      <c r="G29">
        <v>1.324E-2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-5.4054054054054244E-2</v>
      </c>
      <c r="Q29">
        <f t="shared" ref="Q29" si="121">F29*P29</f>
        <v>-4004561.7837837981</v>
      </c>
      <c r="R29">
        <f t="shared" ref="R29" si="122">R30+Q29</f>
        <v>-8681746903.5135269</v>
      </c>
      <c r="S29">
        <f t="shared" ref="S29" si="123">R29/100000</f>
        <v>-86817.469035135262</v>
      </c>
      <c r="T29">
        <f t="shared" ref="T29" si="124">S29/1000</f>
        <v>-86.817469035135261</v>
      </c>
    </row>
    <row r="30" spans="1:20" x14ac:dyDescent="0.25">
      <c r="A30" s="5">
        <v>44563</v>
      </c>
      <c r="B30">
        <v>1.218E-2</v>
      </c>
      <c r="C30">
        <v>1.349E-2</v>
      </c>
      <c r="D30">
        <v>1.2030000000000001E-2</v>
      </c>
      <c r="E30">
        <v>1.295E-2</v>
      </c>
      <c r="F30">
        <v>28934524</v>
      </c>
      <c r="G30">
        <v>1.295E-2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0.26027397260273871</v>
      </c>
      <c r="Q30">
        <f t="shared" ref="Q30" si="126">F30*P30</f>
        <v>7530903.5068492861</v>
      </c>
      <c r="R30">
        <f t="shared" ref="R30" si="127">R31+Q30</f>
        <v>-8677742341.729744</v>
      </c>
      <c r="S30">
        <f t="shared" ref="S30" si="128">R30/100000</f>
        <v>-86777.423417297439</v>
      </c>
      <c r="T30">
        <f t="shared" ref="T30" si="129">S30/1000</f>
        <v>-86.777423417297442</v>
      </c>
    </row>
    <row r="31" spans="1:20" x14ac:dyDescent="0.25">
      <c r="A31" s="5">
        <v>44562</v>
      </c>
      <c r="B31">
        <v>1.1849999999999999E-2</v>
      </c>
      <c r="C31">
        <v>1.223E-2</v>
      </c>
      <c r="D31">
        <v>1.1849999999999999E-2</v>
      </c>
      <c r="E31">
        <v>1.218E-2</v>
      </c>
      <c r="F31">
        <v>9938019</v>
      </c>
      <c r="G31">
        <v>1.218E-2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0.73684210526315963</v>
      </c>
      <c r="Q31">
        <f t="shared" ref="Q31" si="131">F31*P31</f>
        <v>7322750.8421052806</v>
      </c>
      <c r="R31">
        <f t="shared" ref="R31" si="132">R32+Q31</f>
        <v>-8685273245.2365932</v>
      </c>
      <c r="S31">
        <f t="shared" ref="S31" si="133">R31/100000</f>
        <v>-86852.732452365934</v>
      </c>
      <c r="T31">
        <f t="shared" ref="T31" si="134">S31/1000</f>
        <v>-86.852732452365927</v>
      </c>
    </row>
    <row r="32" spans="1:20" x14ac:dyDescent="0.25">
      <c r="A32" s="5">
        <v>44561</v>
      </c>
      <c r="B32">
        <v>1.205E-2</v>
      </c>
      <c r="C32">
        <v>1.2290000000000001E-2</v>
      </c>
      <c r="D32">
        <v>1.1679999999999999E-2</v>
      </c>
      <c r="E32">
        <v>1.1860000000000001E-2</v>
      </c>
      <c r="F32">
        <v>13438830</v>
      </c>
      <c r="G32">
        <v>1.1860000000000001E-2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-0.40983606557376723</v>
      </c>
      <c r="Q32">
        <f t="shared" ref="Q32" si="136">F32*P32</f>
        <v>-5507717.2131147105</v>
      </c>
      <c r="R32">
        <f t="shared" ref="R32" si="137">R33+Q32</f>
        <v>-8692595996.0786991</v>
      </c>
      <c r="S32">
        <f t="shared" ref="S32" si="138">R32/100000</f>
        <v>-86925.95996078699</v>
      </c>
      <c r="T32">
        <f t="shared" ref="T32" si="139">S32/1000</f>
        <v>-86.925959960786983</v>
      </c>
    </row>
    <row r="33" spans="1:20" x14ac:dyDescent="0.25">
      <c r="A33" s="5">
        <v>44560</v>
      </c>
      <c r="B33">
        <v>1.1639999999999999E-2</v>
      </c>
      <c r="C33">
        <v>1.24E-2</v>
      </c>
      <c r="D33">
        <v>1.1560000000000001E-2</v>
      </c>
      <c r="E33">
        <v>1.209E-2</v>
      </c>
      <c r="F33">
        <v>26094890</v>
      </c>
      <c r="G33">
        <v>1.209E-2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0.26190476190476197</v>
      </c>
      <c r="Q33">
        <f t="shared" ref="Q33" si="141">F33*P33</f>
        <v>6834375.9523809543</v>
      </c>
      <c r="R33">
        <f t="shared" ref="R33" si="142">R34+Q33</f>
        <v>-8687088278.8655853</v>
      </c>
      <c r="S33">
        <f t="shared" ref="S33" si="143">R33/100000</f>
        <v>-86870.882788655857</v>
      </c>
      <c r="T33">
        <f t="shared" ref="T33" si="144">S33/1000</f>
        <v>-86.870882788655862</v>
      </c>
    </row>
    <row r="34" spans="1:20" x14ac:dyDescent="0.25">
      <c r="A34" s="5">
        <v>44559</v>
      </c>
      <c r="B34">
        <v>1.2120000000000001E-2</v>
      </c>
      <c r="C34">
        <v>1.2359999999999999E-2</v>
      </c>
      <c r="D34">
        <v>1.132E-2</v>
      </c>
      <c r="E34">
        <v>1.1599999999999999E-2</v>
      </c>
      <c r="F34">
        <v>26451455</v>
      </c>
      <c r="G34">
        <v>1.1599999999999999E-2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-0.46153846153846306</v>
      </c>
      <c r="Q34">
        <f t="shared" ref="Q34" si="146">F34*P34</f>
        <v>-12208363.846153887</v>
      </c>
      <c r="R34">
        <f t="shared" ref="R34" si="147">R35+Q34</f>
        <v>-8693922654.8179665</v>
      </c>
      <c r="S34">
        <f t="shared" ref="S34" si="148">R34/100000</f>
        <v>-86939.226548179664</v>
      </c>
      <c r="T34">
        <f t="shared" ref="T34" si="149">S34/1000</f>
        <v>-86.939226548179661</v>
      </c>
    </row>
    <row r="35" spans="1:20" x14ac:dyDescent="0.25">
      <c r="A35" s="5">
        <v>44558</v>
      </c>
      <c r="B35">
        <v>1.3100000000000001E-2</v>
      </c>
      <c r="C35">
        <v>1.4999999999999999E-2</v>
      </c>
      <c r="D35">
        <v>1.206E-2</v>
      </c>
      <c r="E35">
        <v>1.21E-2</v>
      </c>
      <c r="F35">
        <v>47562216</v>
      </c>
      <c r="G35">
        <v>1.21E-2</v>
      </c>
      <c r="L35" t="s">
        <v>8</v>
      </c>
      <c r="M35" t="s">
        <v>8</v>
      </c>
      <c r="N35" t="s">
        <v>7</v>
      </c>
      <c r="P35">
        <f t="shared" ref="P35" si="150">IF(C35=D35,0,((E35-D35)-(C35-E35))/(C35-D35))</f>
        <v>-0.97278911564625847</v>
      </c>
      <c r="Q35">
        <f t="shared" ref="Q35" si="151">F35*P35</f>
        <v>-46268006.040816322</v>
      </c>
      <c r="R35">
        <f t="shared" ref="R35" si="152">R36+Q35</f>
        <v>-8681714290.9718132</v>
      </c>
      <c r="S35">
        <f t="shared" ref="S35" si="153">R35/100000</f>
        <v>-86817.142909718139</v>
      </c>
      <c r="T35">
        <f t="shared" ref="T35" si="154">S35/1000</f>
        <v>-86.817142909718143</v>
      </c>
    </row>
    <row r="36" spans="1:20" x14ac:dyDescent="0.25">
      <c r="A36" s="5">
        <v>44557</v>
      </c>
      <c r="B36">
        <v>1.308E-2</v>
      </c>
      <c r="C36">
        <v>1.3559999999999999E-2</v>
      </c>
      <c r="D36">
        <v>1.2869999999999999E-2</v>
      </c>
      <c r="E36">
        <v>1.311E-2</v>
      </c>
      <c r="F36">
        <v>28375489</v>
      </c>
      <c r="G36">
        <v>1.311E-2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-0.30434782608695432</v>
      </c>
      <c r="Q36">
        <f t="shared" ref="Q36" si="156">F36*P36</f>
        <v>-8636018.3913042862</v>
      </c>
      <c r="R36">
        <f t="shared" ref="R36" si="157">R37+Q36</f>
        <v>-8635446284.9309959</v>
      </c>
      <c r="S36">
        <f t="shared" ref="S36" si="158">R36/100000</f>
        <v>-86354.462849309959</v>
      </c>
      <c r="T36">
        <f t="shared" ref="T36" si="159">S36/1000</f>
        <v>-86.354462849309954</v>
      </c>
    </row>
    <row r="37" spans="1:20" x14ac:dyDescent="0.25">
      <c r="A37" s="5">
        <v>44556</v>
      </c>
      <c r="B37">
        <v>1.32E-2</v>
      </c>
      <c r="C37">
        <v>1.345E-2</v>
      </c>
      <c r="D37">
        <v>1.2670000000000001E-2</v>
      </c>
      <c r="E37">
        <v>1.307E-2</v>
      </c>
      <c r="F37">
        <v>21866447</v>
      </c>
      <c r="G37">
        <v>1.307E-2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2.5641025641024613E-2</v>
      </c>
      <c r="Q37">
        <f t="shared" ref="Q37" si="161">F37*P37</f>
        <v>560678.12820510578</v>
      </c>
      <c r="R37">
        <f t="shared" ref="R37" si="162">R38+Q37</f>
        <v>-8626810266.5396919</v>
      </c>
      <c r="S37">
        <f t="shared" ref="S37" si="163">R37/100000</f>
        <v>-86268.102665396917</v>
      </c>
      <c r="T37">
        <f t="shared" ref="T37" si="164">S37/1000</f>
        <v>-86.26810266539691</v>
      </c>
    </row>
    <row r="38" spans="1:20" x14ac:dyDescent="0.25">
      <c r="A38" s="5">
        <v>44555</v>
      </c>
      <c r="B38">
        <v>1.3010000000000001E-2</v>
      </c>
      <c r="C38">
        <v>1.329E-2</v>
      </c>
      <c r="D38">
        <v>1.2919999999999999E-2</v>
      </c>
      <c r="E38">
        <v>1.32E-2</v>
      </c>
      <c r="F38">
        <v>23998611</v>
      </c>
      <c r="G38">
        <v>1.32E-2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0.51351351351351526</v>
      </c>
      <c r="Q38">
        <f t="shared" ref="Q38" si="166">F38*P38</f>
        <v>12323611.054054096</v>
      </c>
      <c r="R38">
        <f t="shared" ref="R38" si="167">R39+Q38</f>
        <v>-8627370944.6678963</v>
      </c>
      <c r="S38">
        <f t="shared" ref="S38" si="168">R38/100000</f>
        <v>-86273.709446678957</v>
      </c>
      <c r="T38">
        <f t="shared" ref="T38" si="169">S38/1000</f>
        <v>-86.27370944667895</v>
      </c>
    </row>
    <row r="39" spans="1:20" x14ac:dyDescent="0.25">
      <c r="A39" s="5">
        <v>44554</v>
      </c>
      <c r="B39">
        <v>1.29E-2</v>
      </c>
      <c r="C39">
        <v>1.341E-2</v>
      </c>
      <c r="D39">
        <v>1.278E-2</v>
      </c>
      <c r="E39">
        <v>1.3010000000000001E-2</v>
      </c>
      <c r="F39">
        <v>26011724</v>
      </c>
      <c r="G39">
        <v>1.3010000000000001E-2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-0.26984126984126694</v>
      </c>
      <c r="Q39">
        <f t="shared" ref="Q39" si="171">F39*P39</f>
        <v>-7019036.6349205598</v>
      </c>
      <c r="R39">
        <f t="shared" ref="R39" si="172">R40+Q39</f>
        <v>-8639694555.7219505</v>
      </c>
      <c r="S39">
        <f t="shared" ref="S39" si="173">R39/100000</f>
        <v>-86396.9455572195</v>
      </c>
      <c r="T39">
        <f t="shared" ref="T39" si="174">S39/1000</f>
        <v>-86.396945557219496</v>
      </c>
    </row>
    <row r="40" spans="1:20" x14ac:dyDescent="0.25">
      <c r="A40" s="5">
        <v>44553</v>
      </c>
      <c r="B40">
        <v>1.227E-2</v>
      </c>
      <c r="C40">
        <v>1.2970000000000001E-2</v>
      </c>
      <c r="D40">
        <v>1.201E-2</v>
      </c>
      <c r="E40">
        <v>1.291E-2</v>
      </c>
      <c r="F40">
        <v>34027100</v>
      </c>
      <c r="G40">
        <v>1.291E-2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0.874999999999998</v>
      </c>
      <c r="Q40">
        <f t="shared" ref="Q40" si="176">F40*P40</f>
        <v>29773712.499999933</v>
      </c>
      <c r="R40">
        <f t="shared" ref="R40" si="177">R41+Q40</f>
        <v>-8632675519.0870304</v>
      </c>
      <c r="S40">
        <f t="shared" ref="S40" si="178">R40/100000</f>
        <v>-86326.755190870303</v>
      </c>
      <c r="T40">
        <f t="shared" ref="T40" si="179">S40/1000</f>
        <v>-86.326755190870301</v>
      </c>
    </row>
    <row r="41" spans="1:20" x14ac:dyDescent="0.25">
      <c r="A41" s="5">
        <v>44552</v>
      </c>
      <c r="B41">
        <v>1.221E-2</v>
      </c>
      <c r="C41">
        <v>1.26E-2</v>
      </c>
      <c r="D41">
        <v>1.204E-2</v>
      </c>
      <c r="E41">
        <v>1.2279999999999999E-2</v>
      </c>
      <c r="F41">
        <v>30080523</v>
      </c>
      <c r="G41">
        <v>1.2279999999999999E-2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-0.1428571428571464</v>
      </c>
      <c r="Q41">
        <f t="shared" ref="Q41" si="181">F41*P41</f>
        <v>-4297217.571428678</v>
      </c>
      <c r="R41">
        <f t="shared" ref="R41" si="182">R42+Q41</f>
        <v>-8662449231.5870304</v>
      </c>
      <c r="S41">
        <f t="shared" ref="S41" si="183">R41/100000</f>
        <v>-86624.492315870302</v>
      </c>
      <c r="T41">
        <f t="shared" ref="T41" si="184">S41/1000</f>
        <v>-86.624492315870299</v>
      </c>
    </row>
    <row r="42" spans="1:20" x14ac:dyDescent="0.25">
      <c r="A42" s="5">
        <v>44551</v>
      </c>
      <c r="B42">
        <v>1.1639999999999999E-2</v>
      </c>
      <c r="C42">
        <v>1.2330000000000001E-2</v>
      </c>
      <c r="D42">
        <v>1.1639999999999999E-2</v>
      </c>
      <c r="E42">
        <v>1.222E-2</v>
      </c>
      <c r="F42">
        <v>33665178</v>
      </c>
      <c r="G42">
        <v>1.222E-2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0.68115942028985366</v>
      </c>
      <c r="Q42">
        <f t="shared" ref="Q42" si="186">F42*P42</f>
        <v>22931353.130434737</v>
      </c>
      <c r="R42">
        <f t="shared" ref="R42" si="187">R43+Q42</f>
        <v>-8658152014.0156021</v>
      </c>
      <c r="S42">
        <f t="shared" ref="S42" si="188">R42/100000</f>
        <v>-86581.520140156019</v>
      </c>
      <c r="T42">
        <f t="shared" ref="T42" si="189">S42/1000</f>
        <v>-86.581520140156016</v>
      </c>
    </row>
    <row r="43" spans="1:20" x14ac:dyDescent="0.25">
      <c r="A43" s="5">
        <v>44550</v>
      </c>
      <c r="B43">
        <v>1.209E-2</v>
      </c>
      <c r="C43">
        <v>1.2109999999999999E-2</v>
      </c>
      <c r="D43">
        <v>1.132E-2</v>
      </c>
      <c r="E43">
        <v>1.17E-2</v>
      </c>
      <c r="F43">
        <v>32418644</v>
      </c>
      <c r="G43">
        <v>1.17E-2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-3.79746835443023E-2</v>
      </c>
      <c r="Q43">
        <f t="shared" ref="Q43" si="191">F43*P43</f>
        <v>-1231087.7468353945</v>
      </c>
      <c r="R43">
        <f t="shared" ref="R43" si="192">R44+Q43</f>
        <v>-8681083367.1460361</v>
      </c>
      <c r="S43">
        <f t="shared" ref="S43" si="193">R43/100000</f>
        <v>-86810.833671460365</v>
      </c>
      <c r="T43">
        <f t="shared" ref="T43" si="194">S43/1000</f>
        <v>-86.810833671460358</v>
      </c>
    </row>
    <row r="44" spans="1:20" x14ac:dyDescent="0.25">
      <c r="A44" s="5">
        <v>44549</v>
      </c>
      <c r="B44">
        <v>1.213E-2</v>
      </c>
      <c r="C44">
        <v>1.2409999999999999E-2</v>
      </c>
      <c r="D44">
        <v>1.1979999999999999E-2</v>
      </c>
      <c r="E44">
        <v>1.209E-2</v>
      </c>
      <c r="F44">
        <v>29287550</v>
      </c>
      <c r="G44">
        <v>1.209E-2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-0.48837209302325224</v>
      </c>
      <c r="Q44">
        <f t="shared" ref="Q44" si="196">F44*P44</f>
        <v>-14303222.093023151</v>
      </c>
      <c r="R44">
        <f t="shared" ref="R44" si="197">R45+Q44</f>
        <v>-8679852279.3992004</v>
      </c>
      <c r="S44">
        <f t="shared" ref="S44" si="198">R44/100000</f>
        <v>-86798.522793992001</v>
      </c>
      <c r="T44">
        <f t="shared" ref="T44" si="199">S44/1000</f>
        <v>-86.798522793992007</v>
      </c>
    </row>
    <row r="45" spans="1:20" x14ac:dyDescent="0.25">
      <c r="A45" s="5">
        <v>44548</v>
      </c>
      <c r="B45">
        <v>1.183E-2</v>
      </c>
      <c r="C45">
        <v>1.225E-2</v>
      </c>
      <c r="D45">
        <v>1.1780000000000001E-2</v>
      </c>
      <c r="E45">
        <v>1.213E-2</v>
      </c>
      <c r="F45">
        <v>22709797</v>
      </c>
      <c r="G45">
        <v>1.213E-2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0.48936170212765817</v>
      </c>
      <c r="Q45">
        <f t="shared" ref="Q45" si="201">F45*P45</f>
        <v>11113304.914893584</v>
      </c>
      <c r="R45">
        <f t="shared" ref="R45" si="202">R46+Q45</f>
        <v>-8665549057.3061771</v>
      </c>
      <c r="S45">
        <f t="shared" ref="S45" si="203">R45/100000</f>
        <v>-86655.490573061776</v>
      </c>
      <c r="T45">
        <f t="shared" ref="T45" si="204">S45/1000</f>
        <v>-86.655490573061769</v>
      </c>
    </row>
    <row r="46" spans="1:20" x14ac:dyDescent="0.25">
      <c r="A46" s="5">
        <v>44547</v>
      </c>
      <c r="B46">
        <v>1.183E-2</v>
      </c>
      <c r="C46">
        <v>1.2109999999999999E-2</v>
      </c>
      <c r="D46">
        <v>1.149E-2</v>
      </c>
      <c r="E46">
        <v>1.18E-2</v>
      </c>
      <c r="F46">
        <v>28175293</v>
      </c>
      <c r="G46">
        <v>1.18E-2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</v>
      </c>
      <c r="Q46">
        <f t="shared" ref="Q46" si="206">F46*P46</f>
        <v>0</v>
      </c>
      <c r="R46">
        <f t="shared" ref="R46" si="207">R47+Q46</f>
        <v>-8676662362.2210712</v>
      </c>
      <c r="S46">
        <f t="shared" ref="S46" si="208">R46/100000</f>
        <v>-86766.623622210711</v>
      </c>
      <c r="T46">
        <f t="shared" ref="T46" si="209">S46/1000</f>
        <v>-86.766623622210716</v>
      </c>
    </row>
    <row r="47" spans="1:20" x14ac:dyDescent="0.25">
      <c r="A47" s="5">
        <v>44546</v>
      </c>
      <c r="B47">
        <v>1.2070000000000001E-2</v>
      </c>
      <c r="C47">
        <v>1.23E-2</v>
      </c>
      <c r="D47">
        <v>1.172E-2</v>
      </c>
      <c r="E47">
        <v>1.187E-2</v>
      </c>
      <c r="F47">
        <v>40484249</v>
      </c>
      <c r="G47">
        <v>1.187E-2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-0.48275862068965292</v>
      </c>
      <c r="Q47">
        <f t="shared" ref="Q47" si="211">F47*P47</f>
        <v>-19544120.206896462</v>
      </c>
      <c r="R47">
        <f t="shared" ref="R47" si="212">R48+Q47</f>
        <v>-8676662362.2210712</v>
      </c>
      <c r="S47">
        <f t="shared" ref="S47" si="213">R47/100000</f>
        <v>-86766.623622210711</v>
      </c>
      <c r="T47">
        <f t="shared" ref="T47" si="214">S47/1000</f>
        <v>-86.766623622210716</v>
      </c>
    </row>
    <row r="48" spans="1:20" x14ac:dyDescent="0.25">
      <c r="A48" s="5">
        <v>44545</v>
      </c>
      <c r="B48">
        <v>1.17E-2</v>
      </c>
      <c r="C48">
        <v>1.213E-2</v>
      </c>
      <c r="D48">
        <v>1.1050000000000001E-2</v>
      </c>
      <c r="E48">
        <v>1.206E-2</v>
      </c>
      <c r="F48">
        <v>38213821</v>
      </c>
      <c r="G48">
        <v>1.206E-2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0.87037037037036913</v>
      </c>
      <c r="Q48">
        <f t="shared" ref="Q48" si="216">F48*P48</f>
        <v>33260177.537036989</v>
      </c>
      <c r="R48">
        <f t="shared" ref="R48" si="217">R49+Q48</f>
        <v>-8657118242.0141754</v>
      </c>
      <c r="S48">
        <f t="shared" ref="S48" si="218">R48/100000</f>
        <v>-86571.182420141748</v>
      </c>
      <c r="T48">
        <f t="shared" ref="T48" si="219">S48/1000</f>
        <v>-86.571182420141753</v>
      </c>
    </row>
    <row r="49" spans="1:20" x14ac:dyDescent="0.25">
      <c r="A49" s="5">
        <v>44544</v>
      </c>
      <c r="B49">
        <v>1.1310000000000001E-2</v>
      </c>
      <c r="C49">
        <v>1.282E-2</v>
      </c>
      <c r="D49">
        <v>1.124E-2</v>
      </c>
      <c r="E49">
        <v>1.17E-2</v>
      </c>
      <c r="F49">
        <v>61674081</v>
      </c>
      <c r="G49">
        <v>1.17E-2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-0.41772151898734128</v>
      </c>
      <c r="Q49">
        <f t="shared" ref="Q49" si="221">F49*P49</f>
        <v>-25762590.797468323</v>
      </c>
      <c r="R49">
        <f t="shared" ref="R49" si="222">R50+Q49</f>
        <v>-8690378419.5512123</v>
      </c>
      <c r="S49">
        <f t="shared" ref="S49" si="223">R49/100000</f>
        <v>-86903.784195512126</v>
      </c>
      <c r="T49">
        <f t="shared" ref="T49" si="224">S49/1000</f>
        <v>-86.903784195512131</v>
      </c>
    </row>
    <row r="50" spans="1:20" x14ac:dyDescent="0.25">
      <c r="A50" s="5">
        <v>44543</v>
      </c>
      <c r="B50">
        <v>1.265E-2</v>
      </c>
      <c r="C50">
        <v>1.269E-2</v>
      </c>
      <c r="D50">
        <v>1.1089999999999999E-2</v>
      </c>
      <c r="E50">
        <v>1.132E-2</v>
      </c>
      <c r="F50">
        <v>36437101</v>
      </c>
      <c r="G50">
        <v>1.132E-2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-0.7124999999999988</v>
      </c>
      <c r="Q50">
        <f t="shared" ref="Q50" si="226">F50*P50</f>
        <v>-25961434.462499958</v>
      </c>
      <c r="R50">
        <f t="shared" ref="R50" si="227">R51+Q50</f>
        <v>-8664615828.7537441</v>
      </c>
      <c r="S50">
        <f t="shared" ref="S50" si="228">R50/100000</f>
        <v>-86646.158287537444</v>
      </c>
      <c r="T50">
        <f t="shared" ref="T50" si="229">S50/1000</f>
        <v>-86.646158287537446</v>
      </c>
    </row>
    <row r="51" spans="1:20" x14ac:dyDescent="0.25">
      <c r="A51" s="5">
        <v>44542</v>
      </c>
      <c r="B51">
        <v>1.2659999999999999E-2</v>
      </c>
      <c r="C51">
        <v>1.3089999999999999E-2</v>
      </c>
      <c r="D51">
        <v>1.234E-2</v>
      </c>
      <c r="E51">
        <v>1.265E-2</v>
      </c>
      <c r="F51">
        <v>24677650</v>
      </c>
      <c r="G51">
        <v>1.265E-2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-0.17333333333333345</v>
      </c>
      <c r="Q51">
        <f t="shared" ref="Q51" si="231">F51*P51</f>
        <v>-4277459.3333333358</v>
      </c>
      <c r="R51">
        <f t="shared" ref="R51" si="232">R52+Q51</f>
        <v>-8638654394.2912445</v>
      </c>
      <c r="S51">
        <f t="shared" ref="S51" si="233">R51/100000</f>
        <v>-86386.543942912438</v>
      </c>
      <c r="T51">
        <f t="shared" ref="T51" si="234">S51/1000</f>
        <v>-86.386543942912439</v>
      </c>
    </row>
    <row r="52" spans="1:20" x14ac:dyDescent="0.25">
      <c r="A52" s="5">
        <v>44541</v>
      </c>
      <c r="B52">
        <v>1.209E-2</v>
      </c>
      <c r="C52">
        <v>1.225E-2</v>
      </c>
      <c r="D52">
        <v>1.192E-2</v>
      </c>
      <c r="E52">
        <v>1.223E-2</v>
      </c>
      <c r="F52">
        <v>3034619</v>
      </c>
      <c r="G52">
        <v>1.223E-2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0.87878787878787334</v>
      </c>
      <c r="Q52">
        <f t="shared" ref="Q52" si="236">F52*P52</f>
        <v>2666786.3939393773</v>
      </c>
      <c r="R52">
        <f t="shared" ref="R52" si="237">R53+Q52</f>
        <v>-8634376934.9579105</v>
      </c>
      <c r="S52">
        <f t="shared" ref="S52" si="238">R52/100000</f>
        <v>-86343.769349579103</v>
      </c>
      <c r="T52">
        <f t="shared" ref="T52" si="239">S52/1000</f>
        <v>-86.343769349579105</v>
      </c>
    </row>
    <row r="53" spans="1:20" x14ac:dyDescent="0.25">
      <c r="A53" s="5">
        <v>44540</v>
      </c>
      <c r="B53">
        <v>1.281E-2</v>
      </c>
      <c r="C53">
        <v>1.323E-2</v>
      </c>
      <c r="D53">
        <v>1.209E-2</v>
      </c>
      <c r="E53">
        <v>1.214E-2</v>
      </c>
      <c r="F53">
        <v>34463457</v>
      </c>
      <c r="G53">
        <v>1.214E-2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-0.91228070175438658</v>
      </c>
      <c r="Q53">
        <f t="shared" ref="Q53" si="241">F53*P53</f>
        <v>-31440346.736842126</v>
      </c>
      <c r="R53">
        <f t="shared" ref="R53" si="242">R54+Q53</f>
        <v>-8637043721.3518505</v>
      </c>
      <c r="S53">
        <f t="shared" ref="S53" si="243">R53/100000</f>
        <v>-86370.437213518511</v>
      </c>
      <c r="T53">
        <f t="shared" ref="T53" si="244">S53/1000</f>
        <v>-86.370437213518514</v>
      </c>
    </row>
    <row r="54" spans="1:20" x14ac:dyDescent="0.25">
      <c r="A54" s="5">
        <v>44539</v>
      </c>
      <c r="B54">
        <v>1.4109999999999999E-2</v>
      </c>
      <c r="C54">
        <v>1.4670000000000001E-2</v>
      </c>
      <c r="D54">
        <v>1.2760000000000001E-2</v>
      </c>
      <c r="E54">
        <v>1.2829999999999999E-2</v>
      </c>
      <c r="F54">
        <v>53023869</v>
      </c>
      <c r="G54">
        <v>1.2829999999999999E-2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-0.92670157068062942</v>
      </c>
      <c r="Q54">
        <f t="shared" ref="Q54" si="246">F54*P54</f>
        <v>-49137302.685863934</v>
      </c>
      <c r="R54">
        <f t="shared" ref="R54" si="247">R55+Q54</f>
        <v>-8605603374.6150093</v>
      </c>
      <c r="S54">
        <f t="shared" ref="S54" si="248">R54/100000</f>
        <v>-86056.033746150089</v>
      </c>
      <c r="T54">
        <f t="shared" ref="T54" si="249">S54/1000</f>
        <v>-86.056033746150092</v>
      </c>
    </row>
    <row r="55" spans="1:20" x14ac:dyDescent="0.25">
      <c r="A55" s="5">
        <v>44538</v>
      </c>
      <c r="B55">
        <v>1.3979999999999999E-2</v>
      </c>
      <c r="C55">
        <v>1.436E-2</v>
      </c>
      <c r="D55">
        <v>1.3169999999999999E-2</v>
      </c>
      <c r="E55">
        <v>1.4149999999999999E-2</v>
      </c>
      <c r="F55">
        <v>46945690</v>
      </c>
      <c r="G55">
        <v>1.4149999999999999E-2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0.64705882352941158</v>
      </c>
      <c r="Q55">
        <f t="shared" ref="Q55" si="251">F55*P55</f>
        <v>30376622.941176463</v>
      </c>
      <c r="R55">
        <f t="shared" ref="R55" si="252">R56+Q55</f>
        <v>-8556466071.9291449</v>
      </c>
      <c r="S55">
        <f t="shared" ref="S55" si="253">R55/100000</f>
        <v>-85564.660719291453</v>
      </c>
      <c r="T55">
        <f t="shared" ref="T55" si="254">S55/1000</f>
        <v>-85.564660719291453</v>
      </c>
    </row>
    <row r="56" spans="1:20" x14ac:dyDescent="0.25">
      <c r="A56" s="5">
        <v>44537</v>
      </c>
      <c r="B56">
        <v>1.3860000000000001E-2</v>
      </c>
      <c r="C56">
        <v>1.5100000000000001E-2</v>
      </c>
      <c r="D56">
        <v>1.3559999999999999E-2</v>
      </c>
      <c r="E56">
        <v>1.401E-2</v>
      </c>
      <c r="F56">
        <v>47472249</v>
      </c>
      <c r="G56">
        <v>1.401E-2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-0.41558441558441517</v>
      </c>
      <c r="Q56">
        <f t="shared" ref="Q56" si="256">F56*P56</f>
        <v>-19728726.857142836</v>
      </c>
      <c r="R56">
        <f t="shared" ref="R56" si="257">R57+Q56</f>
        <v>-8586842694.8703213</v>
      </c>
      <c r="S56">
        <f t="shared" ref="S56" si="258">R56/100000</f>
        <v>-85868.426948703214</v>
      </c>
      <c r="T56">
        <f t="shared" ref="T56" si="259">S56/1000</f>
        <v>-85.868426948703217</v>
      </c>
    </row>
    <row r="57" spans="1:20" x14ac:dyDescent="0.25">
      <c r="A57" s="5">
        <v>44536</v>
      </c>
      <c r="B57">
        <v>1.341E-2</v>
      </c>
      <c r="C57">
        <v>1.3990000000000001E-2</v>
      </c>
      <c r="D57">
        <v>1.1809999999999999E-2</v>
      </c>
      <c r="E57">
        <v>1.387E-2</v>
      </c>
      <c r="F57">
        <v>74077729</v>
      </c>
      <c r="G57">
        <v>1.387E-2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0.88990825688073372</v>
      </c>
      <c r="Q57">
        <f t="shared" ref="Q57" si="261">F57*P57</f>
        <v>65922382.688073374</v>
      </c>
      <c r="R57">
        <f t="shared" ref="R57" si="262">R58+Q57</f>
        <v>-8567113968.0131788</v>
      </c>
      <c r="S57">
        <f t="shared" ref="S57" si="263">R57/100000</f>
        <v>-85671.13968013179</v>
      </c>
      <c r="T57">
        <f t="shared" ref="T57" si="264">S57/1000</f>
        <v>-85.671139680131787</v>
      </c>
    </row>
    <row r="58" spans="1:20" x14ac:dyDescent="0.25">
      <c r="A58" s="5">
        <v>44535</v>
      </c>
      <c r="B58">
        <v>1.499E-2</v>
      </c>
      <c r="C58">
        <v>1.533E-2</v>
      </c>
      <c r="D58">
        <v>1.298E-2</v>
      </c>
      <c r="E58">
        <v>1.3480000000000001E-2</v>
      </c>
      <c r="F58">
        <v>58440576</v>
      </c>
      <c r="G58">
        <v>1.3480000000000001E-2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-0.57446808510638259</v>
      </c>
      <c r="Q58">
        <f t="shared" ref="Q58" si="266">F58*P58</f>
        <v>-33572245.787234023</v>
      </c>
      <c r="R58">
        <f t="shared" ref="R58" si="267">R59+Q58</f>
        <v>-8633036350.701252</v>
      </c>
      <c r="S58">
        <f t="shared" ref="S58" si="268">R58/100000</f>
        <v>-86330.363507012516</v>
      </c>
      <c r="T58">
        <f t="shared" ref="T58" si="269">S58/1000</f>
        <v>-86.330363507012521</v>
      </c>
    </row>
    <row r="59" spans="1:20" x14ac:dyDescent="0.25">
      <c r="A59" s="5">
        <v>44534</v>
      </c>
      <c r="B59">
        <v>1.7909999999999999E-2</v>
      </c>
      <c r="C59">
        <v>1.806E-2</v>
      </c>
      <c r="D59">
        <v>1.227E-2</v>
      </c>
      <c r="E59">
        <v>1.499E-2</v>
      </c>
      <c r="F59">
        <v>140443861</v>
      </c>
      <c r="G59">
        <v>1.499E-2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-6.0449050086355718E-2</v>
      </c>
      <c r="Q59">
        <f t="shared" ref="Q59" si="271">F59*P59</f>
        <v>-8489697.9879101813</v>
      </c>
      <c r="R59">
        <f t="shared" ref="R59" si="272">R60+Q59</f>
        <v>-8599464104.9140186</v>
      </c>
      <c r="S59">
        <f t="shared" ref="S59" si="273">R59/100000</f>
        <v>-85994.641049140191</v>
      </c>
      <c r="T59">
        <f t="shared" ref="T59" si="274">S59/1000</f>
        <v>-85.994641049140185</v>
      </c>
    </row>
    <row r="60" spans="1:20" x14ac:dyDescent="0.25">
      <c r="A60" s="5">
        <v>44533</v>
      </c>
      <c r="B60">
        <v>1.942E-2</v>
      </c>
      <c r="C60">
        <v>1.984E-2</v>
      </c>
      <c r="D60">
        <v>1.7600000000000001E-2</v>
      </c>
      <c r="E60">
        <v>1.7909999999999999E-2</v>
      </c>
      <c r="F60">
        <v>94267231</v>
      </c>
      <c r="G60">
        <v>1.7909999999999999E-2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-0.72321428571428759</v>
      </c>
      <c r="Q60">
        <f t="shared" ref="Q60" si="276">F60*P60</f>
        <v>-68175408.133928746</v>
      </c>
      <c r="R60">
        <f t="shared" ref="R60" si="277">R61+Q60</f>
        <v>-8590974406.9261093</v>
      </c>
      <c r="S60">
        <f t="shared" ref="S60" si="278">R60/100000</f>
        <v>-85909.744069261098</v>
      </c>
      <c r="T60">
        <f t="shared" ref="T60" si="279">S60/1000</f>
        <v>-85.909744069261095</v>
      </c>
    </row>
    <row r="61" spans="1:20" x14ac:dyDescent="0.25">
      <c r="A61" s="5">
        <v>44532</v>
      </c>
      <c r="B61">
        <v>1.8450000000000001E-2</v>
      </c>
      <c r="C61">
        <v>2.1749999999999999E-2</v>
      </c>
      <c r="D61">
        <v>1.83E-2</v>
      </c>
      <c r="E61">
        <v>1.9400000000000001E-2</v>
      </c>
      <c r="F61">
        <v>226904425</v>
      </c>
      <c r="G61">
        <v>1.9400000000000001E-2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-0.36231884057970964</v>
      </c>
      <c r="Q61">
        <f t="shared" ref="Q61" si="281">F61*P61</f>
        <v>-82211748.188405678</v>
      </c>
      <c r="R61">
        <f t="shared" ref="R61" si="282">R62+Q61</f>
        <v>-8522798998.7921801</v>
      </c>
      <c r="S61">
        <f t="shared" ref="S61" si="283">R61/100000</f>
        <v>-85227.989987921799</v>
      </c>
      <c r="T61">
        <f t="shared" ref="T61" si="284">S61/1000</f>
        <v>-85.227989987921802</v>
      </c>
    </row>
    <row r="62" spans="1:20" x14ac:dyDescent="0.25">
      <c r="A62" s="5">
        <v>44531</v>
      </c>
      <c r="B62">
        <v>1.8180000000000002E-2</v>
      </c>
      <c r="C62">
        <v>1.8929999999999999E-2</v>
      </c>
      <c r="D62">
        <v>1.8030000000000001E-2</v>
      </c>
      <c r="E62">
        <v>1.8460000000000001E-2</v>
      </c>
      <c r="F62">
        <v>45981189</v>
      </c>
      <c r="G62">
        <v>1.8460000000000001E-2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-4.4444444444442732E-2</v>
      </c>
      <c r="Q62">
        <f t="shared" ref="Q62" si="286">F62*P62</f>
        <v>-2043608.3999999212</v>
      </c>
      <c r="R62">
        <f t="shared" ref="R62" si="287">R63+Q62</f>
        <v>-8440587250.6037741</v>
      </c>
      <c r="S62">
        <f t="shared" ref="S62" si="288">R62/100000</f>
        <v>-84405.872506037747</v>
      </c>
      <c r="T62">
        <f t="shared" ref="T62" si="289">S62/1000</f>
        <v>-84.405872506037753</v>
      </c>
    </row>
    <row r="63" spans="1:20" x14ac:dyDescent="0.25">
      <c r="A63" s="5">
        <v>44530</v>
      </c>
      <c r="B63">
        <v>1.8519999999999998E-2</v>
      </c>
      <c r="C63">
        <v>1.9369999999999998E-2</v>
      </c>
      <c r="D63">
        <v>1.7809999999999999E-2</v>
      </c>
      <c r="E63">
        <v>1.8200000000000001E-2</v>
      </c>
      <c r="F63">
        <v>62215289</v>
      </c>
      <c r="G63">
        <v>1.8200000000000001E-2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-0.49999999999999778</v>
      </c>
      <c r="Q63">
        <f t="shared" ref="Q63" si="291">F63*P63</f>
        <v>-31107644.499999862</v>
      </c>
      <c r="R63">
        <f t="shared" ref="R63" si="292">R64+Q63</f>
        <v>-8438543642.2037745</v>
      </c>
      <c r="S63">
        <f t="shared" ref="S63" si="293">R63/100000</f>
        <v>-84385.436422037747</v>
      </c>
      <c r="T63">
        <f t="shared" ref="T63" si="294">S63/1000</f>
        <v>-84.385436422037742</v>
      </c>
    </row>
    <row r="64" spans="1:20" x14ac:dyDescent="0.25">
      <c r="A64" s="5">
        <v>44529</v>
      </c>
      <c r="B64">
        <v>1.822E-2</v>
      </c>
      <c r="C64">
        <v>1.8880000000000001E-2</v>
      </c>
      <c r="D64">
        <v>1.754E-2</v>
      </c>
      <c r="E64">
        <v>1.856E-2</v>
      </c>
      <c r="F64">
        <v>69871448</v>
      </c>
      <c r="G64">
        <v>1.856E-2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0.5223880597014916</v>
      </c>
      <c r="Q64">
        <f t="shared" ref="Q64" si="296">F64*P64</f>
        <v>36500010.149253666</v>
      </c>
      <c r="R64">
        <f t="shared" ref="R64" si="297">R65+Q64</f>
        <v>-8407435997.7037745</v>
      </c>
      <c r="S64">
        <f t="shared" ref="S64" si="298">R64/100000</f>
        <v>-84074.359977037748</v>
      </c>
      <c r="T64">
        <f t="shared" ref="T64" si="299">S64/1000</f>
        <v>-84.074359977037744</v>
      </c>
    </row>
    <row r="65" spans="1:20" x14ac:dyDescent="0.25">
      <c r="A65" s="5">
        <v>44528</v>
      </c>
      <c r="B65">
        <v>1.6899999999999998E-2</v>
      </c>
      <c r="C65">
        <v>1.8970000000000001E-2</v>
      </c>
      <c r="D65">
        <v>1.6760000000000001E-2</v>
      </c>
      <c r="E65">
        <v>1.8259999999999998E-2</v>
      </c>
      <c r="F65">
        <v>222895079</v>
      </c>
      <c r="G65">
        <v>1.8259999999999998E-2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0.35746606334841424</v>
      </c>
      <c r="Q65">
        <f t="shared" ref="Q65" si="301">F65*P65</f>
        <v>79677426.429863796</v>
      </c>
      <c r="R65">
        <f t="shared" ref="R65" si="302">R66+Q65</f>
        <v>-8443936007.8530283</v>
      </c>
      <c r="S65">
        <f t="shared" ref="S65" si="303">R65/100000</f>
        <v>-84439.360078530284</v>
      </c>
      <c r="T65">
        <f t="shared" ref="T65" si="304">S65/1000</f>
        <v>-84.439360078530285</v>
      </c>
    </row>
    <row r="66" spans="1:20" x14ac:dyDescent="0.25">
      <c r="A66" s="5">
        <v>44527</v>
      </c>
      <c r="B66">
        <v>1.6709999999999999E-2</v>
      </c>
      <c r="C66">
        <v>1.7350000000000001E-2</v>
      </c>
      <c r="D66">
        <v>1.6539999999999999E-2</v>
      </c>
      <c r="E66">
        <v>1.6930000000000001E-2</v>
      </c>
      <c r="F66">
        <v>36091147</v>
      </c>
      <c r="G66">
        <v>1.6930000000000001E-2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-3.7037037037035453E-2</v>
      </c>
      <c r="Q66">
        <f t="shared" ref="Q66" si="306">F66*P66</f>
        <v>-1336709.148148091</v>
      </c>
      <c r="R66">
        <f t="shared" ref="R66" si="307">R67+Q66</f>
        <v>-8523613434.2828922</v>
      </c>
      <c r="S66">
        <f t="shared" ref="S66" si="308">R66/100000</f>
        <v>-85236.134342828926</v>
      </c>
      <c r="T66">
        <f t="shared" ref="T66" si="309">S66/1000</f>
        <v>-85.236134342828919</v>
      </c>
    </row>
    <row r="67" spans="1:20" x14ac:dyDescent="0.25">
      <c r="A67" s="5">
        <v>44526</v>
      </c>
      <c r="B67">
        <v>1.8460000000000001E-2</v>
      </c>
      <c r="C67">
        <v>1.9599999999999999E-2</v>
      </c>
      <c r="D67">
        <v>1.6250000000000001E-2</v>
      </c>
      <c r="E67">
        <v>1.6719999999999999E-2</v>
      </c>
      <c r="F67">
        <v>119526471</v>
      </c>
      <c r="G67">
        <v>1.6719999999999999E-2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-0.71940298507462785</v>
      </c>
      <c r="Q67">
        <f t="shared" ref="Q67" si="311">F67*P67</f>
        <v>-85987700.032835945</v>
      </c>
      <c r="R67">
        <f t="shared" ref="R67" si="312">R68+Q67</f>
        <v>-8522276725.1347437</v>
      </c>
      <c r="S67">
        <f t="shared" ref="S67" si="313">R67/100000</f>
        <v>-85222.767251347439</v>
      </c>
      <c r="T67">
        <f t="shared" ref="T67" si="314">S67/1000</f>
        <v>-85.222767251347435</v>
      </c>
    </row>
    <row r="68" spans="1:20" x14ac:dyDescent="0.25">
      <c r="A68" s="5">
        <v>44525</v>
      </c>
      <c r="B68">
        <v>1.7600000000000001E-2</v>
      </c>
      <c r="C68">
        <v>1.916E-2</v>
      </c>
      <c r="D68">
        <v>1.7139999999999999E-2</v>
      </c>
      <c r="E68">
        <v>1.8519999999999998E-2</v>
      </c>
      <c r="F68">
        <v>172056192</v>
      </c>
      <c r="G68">
        <v>1.8519999999999998E-2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0.366336633663365</v>
      </c>
      <c r="Q68">
        <f t="shared" ref="Q68" si="316">F68*P68</f>
        <v>63030486.17821759</v>
      </c>
      <c r="R68">
        <f t="shared" ref="R68" si="317">R69+Q68</f>
        <v>-8436289025.1019077</v>
      </c>
      <c r="S68">
        <f t="shared" ref="S68" si="318">R68/100000</f>
        <v>-84362.890251019082</v>
      </c>
      <c r="T68">
        <f t="shared" ref="T68" si="319">S68/1000</f>
        <v>-84.362890251019081</v>
      </c>
    </row>
    <row r="69" spans="1:20" x14ac:dyDescent="0.25">
      <c r="A69" s="5">
        <v>44524</v>
      </c>
      <c r="B69">
        <v>1.687E-2</v>
      </c>
      <c r="C69">
        <v>1.7479999999999999E-2</v>
      </c>
      <c r="D69">
        <v>1.6709999999999999E-2</v>
      </c>
      <c r="E69">
        <v>1.7149999999999999E-2</v>
      </c>
      <c r="F69">
        <v>30294232</v>
      </c>
      <c r="G69">
        <v>1.7149999999999999E-2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0.14285714285714157</v>
      </c>
      <c r="Q69">
        <f t="shared" ref="Q69" si="321">F69*P69</f>
        <v>4327747.42857139</v>
      </c>
      <c r="R69">
        <f t="shared" ref="R69" si="322">R70+Q69</f>
        <v>-8499319511.2801256</v>
      </c>
      <c r="S69">
        <f t="shared" ref="S69" si="323">R69/100000</f>
        <v>-84993.195112801259</v>
      </c>
      <c r="T69">
        <f t="shared" ref="T69" si="324">S69/1000</f>
        <v>-84.99319511280126</v>
      </c>
    </row>
    <row r="70" spans="1:20" x14ac:dyDescent="0.25">
      <c r="A70" s="5">
        <v>44523</v>
      </c>
      <c r="B70">
        <v>1.6639999999999999E-2</v>
      </c>
      <c r="C70">
        <v>1.7260000000000001E-2</v>
      </c>
      <c r="D70">
        <v>1.643E-2</v>
      </c>
      <c r="E70">
        <v>1.6889999999999999E-2</v>
      </c>
      <c r="F70">
        <v>62948177</v>
      </c>
      <c r="G70">
        <v>1.6889999999999999E-2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0.1084337349397545</v>
      </c>
      <c r="Q70">
        <f t="shared" ref="Q70" si="326">F70*P70</f>
        <v>6825705.9397587506</v>
      </c>
      <c r="R70">
        <f t="shared" ref="R70" si="327">R71+Q70</f>
        <v>-8503647258.7086973</v>
      </c>
      <c r="S70">
        <f t="shared" ref="S70" si="328">R70/100000</f>
        <v>-85036.472587086973</v>
      </c>
      <c r="T70">
        <f t="shared" ref="T70" si="329">S70/1000</f>
        <v>-85.036472587086976</v>
      </c>
    </row>
    <row r="71" spans="1:20" x14ac:dyDescent="0.25">
      <c r="A71" s="5">
        <v>44522</v>
      </c>
      <c r="B71">
        <v>1.7500000000000002E-2</v>
      </c>
      <c r="C71">
        <v>1.7649999999999999E-2</v>
      </c>
      <c r="D71">
        <v>1.6389999999999998E-2</v>
      </c>
      <c r="E71">
        <v>1.6670000000000001E-2</v>
      </c>
      <c r="F71">
        <v>57029933</v>
      </c>
      <c r="G71">
        <v>1.6670000000000001E-2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-0.55555555555555192</v>
      </c>
      <c r="Q71">
        <f t="shared" ref="Q71" si="331">F71*P71</f>
        <v>-31683296.111110903</v>
      </c>
      <c r="R71">
        <f t="shared" ref="R71" si="332">R72+Q71</f>
        <v>-8510472964.6484556</v>
      </c>
      <c r="S71">
        <f t="shared" ref="S71" si="333">R71/100000</f>
        <v>-85104.729646484557</v>
      </c>
      <c r="T71">
        <f t="shared" ref="T71" si="334">S71/1000</f>
        <v>-85.104729646484557</v>
      </c>
    </row>
    <row r="72" spans="1:20" x14ac:dyDescent="0.25">
      <c r="A72" s="5">
        <v>44521</v>
      </c>
      <c r="B72">
        <v>1.755E-2</v>
      </c>
      <c r="C72">
        <v>1.7770000000000001E-2</v>
      </c>
      <c r="D72">
        <v>1.7129999999999999E-2</v>
      </c>
      <c r="E72">
        <v>1.7520000000000001E-2</v>
      </c>
      <c r="F72">
        <v>58567354</v>
      </c>
      <c r="G72">
        <v>1.7520000000000001E-2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0.21875000000000136</v>
      </c>
      <c r="Q72">
        <f t="shared" ref="Q72" si="336">F72*P72</f>
        <v>12811608.68750008</v>
      </c>
      <c r="R72">
        <f t="shared" ref="R72" si="337">R73+Q72</f>
        <v>-8478789668.5373449</v>
      </c>
      <c r="S72">
        <f t="shared" ref="S72" si="338">R72/100000</f>
        <v>-84787.896685373446</v>
      </c>
      <c r="T72">
        <f t="shared" ref="T72" si="339">S72/1000</f>
        <v>-84.78789668537344</v>
      </c>
    </row>
    <row r="73" spans="1:20" x14ac:dyDescent="0.25">
      <c r="A73" s="5">
        <v>44520</v>
      </c>
      <c r="B73">
        <v>1.6760000000000001E-2</v>
      </c>
      <c r="C73">
        <v>1.7670000000000002E-2</v>
      </c>
      <c r="D73">
        <v>1.6629999999999999E-2</v>
      </c>
      <c r="E73">
        <v>1.7569999999999999E-2</v>
      </c>
      <c r="F73">
        <v>68566491</v>
      </c>
      <c r="G73">
        <v>1.7569999999999999E-2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0.80769230769230271</v>
      </c>
      <c r="Q73">
        <f t="shared" ref="Q73" si="341">F73*P73</f>
        <v>55380627.346153505</v>
      </c>
      <c r="R73">
        <f t="shared" ref="R73" si="342">R74+Q73</f>
        <v>-8491601277.2248449</v>
      </c>
      <c r="S73">
        <f t="shared" ref="S73" si="343">R73/100000</f>
        <v>-84916.012772248447</v>
      </c>
      <c r="T73">
        <f t="shared" ref="T73" si="344">S73/1000</f>
        <v>-84.91601277224845</v>
      </c>
    </row>
    <row r="74" spans="1:20" x14ac:dyDescent="0.25">
      <c r="A74" s="5">
        <v>44519</v>
      </c>
      <c r="B74">
        <v>1.6029999999999999E-2</v>
      </c>
      <c r="C74">
        <v>1.6969999999999999E-2</v>
      </c>
      <c r="D74">
        <v>1.529E-2</v>
      </c>
      <c r="E74">
        <v>1.678E-2</v>
      </c>
      <c r="F74">
        <v>93750013</v>
      </c>
      <c r="G74">
        <v>1.678E-2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0.77380952380952461</v>
      </c>
      <c r="Q74">
        <f t="shared" ref="Q74" si="346">F74*P74</f>
        <v>72544652.916666746</v>
      </c>
      <c r="R74">
        <f t="shared" ref="R74" si="347">R75+Q74</f>
        <v>-8546981904.5709982</v>
      </c>
      <c r="S74">
        <f t="shared" ref="S74" si="348">R74/100000</f>
        <v>-85469.819045709984</v>
      </c>
      <c r="T74">
        <f t="shared" ref="T74" si="349">S74/1000</f>
        <v>-85.469819045709983</v>
      </c>
    </row>
    <row r="75" spans="1:20" x14ac:dyDescent="0.25">
      <c r="A75" s="5">
        <v>44518</v>
      </c>
      <c r="B75">
        <v>1.8100000000000002E-2</v>
      </c>
      <c r="C75">
        <v>1.908E-2</v>
      </c>
      <c r="D75">
        <v>1.584E-2</v>
      </c>
      <c r="E75">
        <v>1.6E-2</v>
      </c>
      <c r="F75">
        <v>160802434</v>
      </c>
      <c r="G75">
        <v>1.6E-2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-0.90123456790123435</v>
      </c>
      <c r="Q75">
        <f t="shared" ref="Q75" si="351">F75*P75</f>
        <v>-144920712.12345675</v>
      </c>
      <c r="R75">
        <f t="shared" ref="R75" si="352">R76+Q75</f>
        <v>-8619526557.4876652</v>
      </c>
      <c r="S75">
        <f t="shared" ref="S75" si="353">R75/100000</f>
        <v>-86195.265574876656</v>
      </c>
      <c r="T75">
        <f t="shared" ref="T75" si="354">S75/1000</f>
        <v>-86.195265574876657</v>
      </c>
    </row>
    <row r="76" spans="1:20" x14ac:dyDescent="0.25">
      <c r="A76" s="5">
        <v>44517</v>
      </c>
      <c r="B76">
        <v>1.8180000000000002E-2</v>
      </c>
      <c r="C76">
        <v>1.9E-2</v>
      </c>
      <c r="D76">
        <v>1.7299999999999999E-2</v>
      </c>
      <c r="E76">
        <v>1.8110000000000001E-2</v>
      </c>
      <c r="F76">
        <v>238991014</v>
      </c>
      <c r="G76">
        <v>1.8110000000000001E-2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-4.7058823529409842E-2</v>
      </c>
      <c r="Q76">
        <f t="shared" ref="Q76" si="356">F76*P76</f>
        <v>-11246635.952940717</v>
      </c>
      <c r="R76">
        <f t="shared" ref="R76" si="357">R77+Q76</f>
        <v>-8474605845.3642082</v>
      </c>
      <c r="S76">
        <f t="shared" ref="S76" si="358">R76/100000</f>
        <v>-84746.058453642079</v>
      </c>
      <c r="T76">
        <f t="shared" ref="T76" si="359">S76/1000</f>
        <v>-84.746058453642078</v>
      </c>
    </row>
    <row r="77" spans="1:20" x14ac:dyDescent="0.25">
      <c r="A77" s="5">
        <v>44516</v>
      </c>
      <c r="B77">
        <v>1.7399999999999999E-2</v>
      </c>
      <c r="C77">
        <v>1.916E-2</v>
      </c>
      <c r="D77">
        <v>1.643E-2</v>
      </c>
      <c r="E77">
        <v>1.8169999999999999E-2</v>
      </c>
      <c r="F77">
        <v>449725579</v>
      </c>
      <c r="G77">
        <v>1.8169999999999999E-2</v>
      </c>
      <c r="L77" t="s">
        <v>8</v>
      </c>
      <c r="M77" t="s">
        <v>7</v>
      </c>
      <c r="N77" t="s">
        <v>7</v>
      </c>
      <c r="P77">
        <f t="shared" ref="P77" si="360">IF(C77=D77,0,((E77-D77)-(C77-E77))/(C77-D77))</f>
        <v>0.27472527472527369</v>
      </c>
      <c r="Q77">
        <f t="shared" ref="Q77" si="361">F77*P77</f>
        <v>123550983.24175778</v>
      </c>
      <c r="R77">
        <f t="shared" ref="R77" si="362">R78+Q77</f>
        <v>-8463359209.4112673</v>
      </c>
      <c r="S77">
        <f t="shared" ref="S77" si="363">R77/100000</f>
        <v>-84633.592094112668</v>
      </c>
      <c r="T77">
        <f t="shared" ref="T77" si="364">S77/1000</f>
        <v>-84.633592094112672</v>
      </c>
    </row>
    <row r="78" spans="1:20" x14ac:dyDescent="0.25">
      <c r="A78" s="5">
        <v>44515</v>
      </c>
      <c r="B78">
        <v>1.7420000000000001E-2</v>
      </c>
      <c r="C78">
        <v>1.7680000000000001E-2</v>
      </c>
      <c r="D78">
        <v>1.6969999999999999E-2</v>
      </c>
      <c r="E78">
        <v>1.7389999999999999E-2</v>
      </c>
      <c r="F78">
        <v>43718882</v>
      </c>
      <c r="G78">
        <v>1.7389999999999999E-2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0.18309859154929262</v>
      </c>
      <c r="Q78">
        <f t="shared" ref="Q78" si="366">F78*P78</f>
        <v>8004865.718309721</v>
      </c>
      <c r="R78">
        <f t="shared" ref="R78" si="367">R79+Q78</f>
        <v>-8586910192.6530247</v>
      </c>
      <c r="S78">
        <f t="shared" ref="S78" si="368">R78/100000</f>
        <v>-85869.101926530246</v>
      </c>
      <c r="T78">
        <f t="shared" ref="T78" si="369">S78/1000</f>
        <v>-85.869101926530249</v>
      </c>
    </row>
    <row r="79" spans="1:20" x14ac:dyDescent="0.25">
      <c r="A79" s="5">
        <v>44514</v>
      </c>
      <c r="B79">
        <v>1.7149999999999999E-2</v>
      </c>
      <c r="C79">
        <v>1.755E-2</v>
      </c>
      <c r="D79">
        <v>1.6910000000000001E-2</v>
      </c>
      <c r="E79">
        <v>1.746E-2</v>
      </c>
      <c r="F79">
        <v>30775996</v>
      </c>
      <c r="G79">
        <v>1.746E-2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0.71874999999999978</v>
      </c>
      <c r="Q79">
        <f t="shared" ref="Q79" si="371">F79*P79</f>
        <v>22120247.124999993</v>
      </c>
      <c r="R79">
        <f t="shared" ref="R79" si="372">R80+Q79</f>
        <v>-8594915058.3713341</v>
      </c>
      <c r="S79">
        <f t="shared" ref="S79" si="373">R79/100000</f>
        <v>-85949.150583713345</v>
      </c>
      <c r="T79">
        <f t="shared" ref="T79" si="374">S79/1000</f>
        <v>-85.949150583713347</v>
      </c>
    </row>
    <row r="80" spans="1:20" x14ac:dyDescent="0.25">
      <c r="A80" s="5">
        <v>44513</v>
      </c>
      <c r="B80">
        <v>1.6920000000000001E-2</v>
      </c>
      <c r="C80">
        <v>1.736E-2</v>
      </c>
      <c r="D80">
        <v>1.6789999999999999E-2</v>
      </c>
      <c r="E80">
        <v>1.7160000000000002E-2</v>
      </c>
      <c r="F80">
        <v>40906979</v>
      </c>
      <c r="G80">
        <v>1.7160000000000002E-2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0.29824561403509325</v>
      </c>
      <c r="Q80">
        <f t="shared" ref="Q80" si="376">F80*P80</f>
        <v>12200327.070175664</v>
      </c>
      <c r="R80">
        <f t="shared" ref="R80" si="377">R81+Q80</f>
        <v>-8617035305.4963341</v>
      </c>
      <c r="S80">
        <f t="shared" ref="S80" si="378">R80/100000</f>
        <v>-86170.353054963343</v>
      </c>
      <c r="T80">
        <f t="shared" ref="T80" si="379">S80/1000</f>
        <v>-86.170353054963343</v>
      </c>
    </row>
    <row r="81" spans="1:20" x14ac:dyDescent="0.25">
      <c r="A81" s="5">
        <v>44512</v>
      </c>
      <c r="B81">
        <v>1.7010000000000001E-2</v>
      </c>
      <c r="C81">
        <v>1.719E-2</v>
      </c>
      <c r="D81">
        <v>1.6500000000000001E-2</v>
      </c>
      <c r="E81">
        <v>1.6930000000000001E-2</v>
      </c>
      <c r="F81">
        <v>35208688</v>
      </c>
      <c r="G81">
        <v>1.6930000000000001E-2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0.24637681159420305</v>
      </c>
      <c r="Q81">
        <f t="shared" ref="Q81" si="381">F81*P81</f>
        <v>8674604.2898550779</v>
      </c>
      <c r="R81">
        <f t="shared" ref="R81" si="382">R82+Q81</f>
        <v>-8629235632.5665092</v>
      </c>
      <c r="S81">
        <f t="shared" ref="S81" si="383">R81/100000</f>
        <v>-86292.356325665096</v>
      </c>
      <c r="T81">
        <f t="shared" ref="T81" si="384">S81/1000</f>
        <v>-86.292356325665097</v>
      </c>
    </row>
    <row r="82" spans="1:20" x14ac:dyDescent="0.25">
      <c r="A82" s="5">
        <v>44511</v>
      </c>
      <c r="B82">
        <v>1.703E-2</v>
      </c>
      <c r="C82">
        <v>1.787E-2</v>
      </c>
      <c r="D82">
        <v>1.6590000000000001E-2</v>
      </c>
      <c r="E82">
        <v>1.703E-2</v>
      </c>
      <c r="F82">
        <v>56240797</v>
      </c>
      <c r="G82">
        <v>1.703E-2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-0.31250000000000083</v>
      </c>
      <c r="Q82">
        <f t="shared" ref="Q82" si="386">F82*P82</f>
        <v>-17575249.062500048</v>
      </c>
      <c r="R82">
        <f t="shared" ref="R82" si="387">R83+Q82</f>
        <v>-8637910236.8563652</v>
      </c>
      <c r="S82">
        <f t="shared" ref="S82" si="388">R82/100000</f>
        <v>-86379.102368563646</v>
      </c>
      <c r="T82">
        <f t="shared" ref="T82" si="389">S82/1000</f>
        <v>-86.37910236856365</v>
      </c>
    </row>
    <row r="83" spans="1:20" x14ac:dyDescent="0.25">
      <c r="A83" s="5">
        <v>44510</v>
      </c>
      <c r="B83">
        <v>1.8190000000000001E-2</v>
      </c>
      <c r="C83">
        <v>1.8339999999999999E-2</v>
      </c>
      <c r="D83">
        <v>1.67E-2</v>
      </c>
      <c r="E83">
        <v>1.703E-2</v>
      </c>
      <c r="F83">
        <v>81513961</v>
      </c>
      <c r="G83">
        <v>1.703E-2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-0.5975609756097553</v>
      </c>
      <c r="Q83">
        <f t="shared" ref="Q83" si="391">F83*P83</f>
        <v>-48709562.060975544</v>
      </c>
      <c r="R83">
        <f t="shared" ref="R83" si="392">R84+Q83</f>
        <v>-8620334987.7938652</v>
      </c>
      <c r="S83">
        <f t="shared" ref="S83" si="393">R83/100000</f>
        <v>-86203.349877938657</v>
      </c>
      <c r="T83">
        <f t="shared" ref="T83" si="394">S83/1000</f>
        <v>-86.203349877938663</v>
      </c>
    </row>
    <row r="84" spans="1:20" x14ac:dyDescent="0.25">
      <c r="A84" s="5">
        <v>44509</v>
      </c>
      <c r="B84">
        <v>1.8419999999999999E-2</v>
      </c>
      <c r="C84">
        <v>1.8669999999999999E-2</v>
      </c>
      <c r="D84">
        <v>1.7919999999999998E-2</v>
      </c>
      <c r="E84">
        <v>1.8190000000000001E-2</v>
      </c>
      <c r="F84">
        <v>48500112</v>
      </c>
      <c r="G84">
        <v>1.8190000000000001E-2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-0.27999999999999298</v>
      </c>
      <c r="Q84">
        <f t="shared" ref="Q84" si="396">F84*P84</f>
        <v>-13580031.359999659</v>
      </c>
      <c r="R84">
        <f t="shared" ref="R84" si="397">R85+Q84</f>
        <v>-8571625425.7328901</v>
      </c>
      <c r="S84">
        <f t="shared" ref="S84" si="398">R84/100000</f>
        <v>-85716.254257328896</v>
      </c>
      <c r="T84">
        <f t="shared" ref="T84" si="399">S84/1000</f>
        <v>-85.716254257328899</v>
      </c>
    </row>
    <row r="85" spans="1:20" x14ac:dyDescent="0.25">
      <c r="A85" s="5">
        <v>44508</v>
      </c>
      <c r="B85">
        <v>1.891E-2</v>
      </c>
      <c r="C85">
        <v>1.8929999999999999E-2</v>
      </c>
      <c r="D85">
        <v>1.8020000000000001E-2</v>
      </c>
      <c r="E85">
        <v>1.8419999999999999E-2</v>
      </c>
      <c r="F85">
        <v>61010862</v>
      </c>
      <c r="G85">
        <v>1.8419999999999999E-2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-0.12087912087912389</v>
      </c>
      <c r="Q85">
        <f t="shared" ref="Q85" si="401">F85*P85</f>
        <v>-7374939.3626375468</v>
      </c>
      <c r="R85">
        <f t="shared" ref="R85" si="402">R86+Q85</f>
        <v>-8558045394.3728905</v>
      </c>
      <c r="S85">
        <f t="shared" ref="S85" si="403">R85/100000</f>
        <v>-85580.453943728906</v>
      </c>
      <c r="T85">
        <f t="shared" ref="T85" si="404">S85/1000</f>
        <v>-85.580453943728912</v>
      </c>
    </row>
    <row r="86" spans="1:20" x14ac:dyDescent="0.25">
      <c r="A86" s="5">
        <v>44507</v>
      </c>
      <c r="B86">
        <v>1.9140000000000001E-2</v>
      </c>
      <c r="C86">
        <v>1.9140000000000001E-2</v>
      </c>
      <c r="D86">
        <v>1.8519999999999998E-2</v>
      </c>
      <c r="E86">
        <v>1.891E-2</v>
      </c>
      <c r="F86">
        <v>86759998</v>
      </c>
      <c r="G86">
        <v>1.891E-2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0.25806451612903192</v>
      </c>
      <c r="Q86">
        <f t="shared" ref="Q86" si="406">F86*P86</f>
        <v>22389676.903225776</v>
      </c>
      <c r="R86">
        <f t="shared" ref="R86" si="407">R87+Q86</f>
        <v>-8550670455.010253</v>
      </c>
      <c r="S86">
        <f t="shared" ref="S86" si="408">R86/100000</f>
        <v>-85506.704550102528</v>
      </c>
      <c r="T86">
        <f t="shared" ref="T86" si="409">S86/1000</f>
        <v>-85.506704550102526</v>
      </c>
    </row>
    <row r="87" spans="1:20" x14ac:dyDescent="0.25">
      <c r="A87" s="5">
        <v>44506</v>
      </c>
      <c r="B87">
        <v>1.8550000000000001E-2</v>
      </c>
      <c r="C87">
        <v>1.9310000000000001E-2</v>
      </c>
      <c r="D87">
        <v>1.8339999999999999E-2</v>
      </c>
      <c r="E87">
        <v>1.9189999999999999E-2</v>
      </c>
      <c r="F87">
        <v>115432585</v>
      </c>
      <c r="G87">
        <v>1.9189999999999999E-2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0.75257731958762519</v>
      </c>
      <c r="Q87">
        <f t="shared" ref="Q87" si="411">F87*P87</f>
        <v>86871945.412370712</v>
      </c>
      <c r="R87">
        <f t="shared" ref="R87" si="412">R88+Q87</f>
        <v>-8573060131.9134789</v>
      </c>
      <c r="S87">
        <f t="shared" ref="S87" si="413">R87/100000</f>
        <v>-85730.601319134788</v>
      </c>
      <c r="T87">
        <f t="shared" ref="T87" si="414">S87/1000</f>
        <v>-85.730601319134792</v>
      </c>
    </row>
    <row r="88" spans="1:20" x14ac:dyDescent="0.25">
      <c r="A88" s="5">
        <v>44505</v>
      </c>
      <c r="B88">
        <v>1.8509999999999999E-2</v>
      </c>
      <c r="C88">
        <v>1.8769999999999998E-2</v>
      </c>
      <c r="D88">
        <v>1.8089999999999998E-2</v>
      </c>
      <c r="E88">
        <v>1.8550000000000001E-2</v>
      </c>
      <c r="F88">
        <v>63367006</v>
      </c>
      <c r="G88">
        <v>1.8550000000000001E-2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0.35294117647059425</v>
      </c>
      <c r="Q88">
        <f t="shared" ref="Q88" si="416">F88*P88</f>
        <v>22364825.647059206</v>
      </c>
      <c r="R88">
        <f t="shared" ref="R88" si="417">R89+Q88</f>
        <v>-8659932077.3258495</v>
      </c>
      <c r="S88">
        <f t="shared" ref="S88" si="418">R88/100000</f>
        <v>-86599.3207732585</v>
      </c>
      <c r="T88">
        <f t="shared" ref="T88" si="419">S88/1000</f>
        <v>-86.599320773258498</v>
      </c>
    </row>
    <row r="89" spans="1:20" x14ac:dyDescent="0.25">
      <c r="A89" s="5">
        <v>44504</v>
      </c>
      <c r="B89">
        <v>1.8759999999999999E-2</v>
      </c>
      <c r="C89">
        <v>1.8839999999999999E-2</v>
      </c>
      <c r="D89">
        <v>1.8110000000000001E-2</v>
      </c>
      <c r="E89">
        <v>1.8509999999999999E-2</v>
      </c>
      <c r="F89">
        <v>70571206</v>
      </c>
      <c r="G89">
        <v>1.8509999999999999E-2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9.5890410958900468E-2</v>
      </c>
      <c r="Q89">
        <f t="shared" ref="Q89" si="421">F89*P89</f>
        <v>6767101.9452052228</v>
      </c>
      <c r="R89">
        <f t="shared" ref="R89" si="422">R90+Q89</f>
        <v>-8682296902.972908</v>
      </c>
      <c r="S89">
        <f t="shared" ref="S89" si="423">R89/100000</f>
        <v>-86822.96902972908</v>
      </c>
      <c r="T89">
        <f t="shared" ref="T89" si="424">S89/1000</f>
        <v>-86.82296902972908</v>
      </c>
    </row>
    <row r="90" spans="1:20" x14ac:dyDescent="0.25">
      <c r="A90" s="5">
        <v>44503</v>
      </c>
      <c r="B90">
        <v>1.8839999999999999E-2</v>
      </c>
      <c r="C90">
        <v>1.9400000000000001E-2</v>
      </c>
      <c r="D90">
        <v>1.7840000000000002E-2</v>
      </c>
      <c r="E90">
        <v>1.8759999999999999E-2</v>
      </c>
      <c r="F90">
        <v>66889287</v>
      </c>
      <c r="G90">
        <v>1.8759999999999999E-2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0.17948717948717674</v>
      </c>
      <c r="Q90">
        <f t="shared" ref="Q90" si="426">F90*P90</f>
        <v>12005769.461538278</v>
      </c>
      <c r="R90">
        <f t="shared" ref="R90" si="427">R91+Q90</f>
        <v>-8689064004.9181137</v>
      </c>
      <c r="S90">
        <f t="shared" ref="S90" si="428">R90/100000</f>
        <v>-86890.640049181136</v>
      </c>
      <c r="T90">
        <f t="shared" ref="T90" si="429">S90/1000</f>
        <v>-86.89064004918113</v>
      </c>
    </row>
    <row r="91" spans="1:20" x14ac:dyDescent="0.25">
      <c r="A91" s="5">
        <v>44502</v>
      </c>
      <c r="B91">
        <v>1.8370000000000001E-2</v>
      </c>
      <c r="C91">
        <v>1.9029999999999998E-2</v>
      </c>
      <c r="D91">
        <v>1.7899999999999999E-2</v>
      </c>
      <c r="E91">
        <v>1.883E-2</v>
      </c>
      <c r="F91">
        <v>68070280</v>
      </c>
      <c r="G91">
        <v>1.883E-2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0.64601769911504614</v>
      </c>
      <c r="Q91">
        <f t="shared" ref="Q91" si="431">F91*P91</f>
        <v>43974605.663716942</v>
      </c>
      <c r="R91">
        <f t="shared" ref="R91" si="432">R92+Q91</f>
        <v>-8701069774.379652</v>
      </c>
      <c r="S91">
        <f t="shared" ref="S91" si="433">R91/100000</f>
        <v>-87010.697743796525</v>
      </c>
      <c r="T91">
        <f t="shared" ref="T91" si="434">S91/1000</f>
        <v>-87.010697743796527</v>
      </c>
    </row>
    <row r="92" spans="1:20" x14ac:dyDescent="0.25">
      <c r="A92" s="5">
        <v>44501</v>
      </c>
      <c r="B92">
        <v>1.7999999999999999E-2</v>
      </c>
      <c r="C92">
        <v>1.8599999999999998E-2</v>
      </c>
      <c r="D92">
        <v>1.7260000000000001E-2</v>
      </c>
      <c r="E92">
        <v>1.8380000000000001E-2</v>
      </c>
      <c r="F92">
        <v>79522141</v>
      </c>
      <c r="G92">
        <v>1.8380000000000001E-2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0.6716417910447785</v>
      </c>
      <c r="Q92">
        <f t="shared" ref="Q92" si="436">F92*P92</f>
        <v>53410393.208955415</v>
      </c>
      <c r="R92">
        <f t="shared" ref="R92" si="437">R93+Q92</f>
        <v>-8745044380.0433693</v>
      </c>
      <c r="S92">
        <f t="shared" ref="S92" si="438">R92/100000</f>
        <v>-87450.443800433699</v>
      </c>
      <c r="T92">
        <f t="shared" ref="T92" si="439">S92/1000</f>
        <v>-87.450443800433703</v>
      </c>
    </row>
    <row r="93" spans="1:20" x14ac:dyDescent="0.25">
      <c r="A93" s="5">
        <v>44500</v>
      </c>
      <c r="B93">
        <v>1.651E-2</v>
      </c>
      <c r="C93">
        <v>1.84E-2</v>
      </c>
      <c r="D93">
        <v>1.634E-2</v>
      </c>
      <c r="E93">
        <v>1.7999999999999999E-2</v>
      </c>
      <c r="F93">
        <v>90011504</v>
      </c>
      <c r="G93">
        <v>1.7999999999999999E-2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0.61165048543689204</v>
      </c>
      <c r="Q93">
        <f t="shared" ref="Q93" si="441">F93*P93</f>
        <v>55055580.116504751</v>
      </c>
      <c r="R93">
        <f t="shared" ref="R93" si="442">R94+Q93</f>
        <v>-8798454773.2523251</v>
      </c>
      <c r="S93">
        <f t="shared" ref="S93" si="443">R93/100000</f>
        <v>-87984.54773252325</v>
      </c>
      <c r="T93">
        <f t="shared" ref="T93" si="444">S93/1000</f>
        <v>-87.984547732523254</v>
      </c>
    </row>
    <row r="94" spans="1:20" x14ac:dyDescent="0.25">
      <c r="A94" s="5">
        <v>44499</v>
      </c>
      <c r="B94">
        <v>1.7330000000000002E-2</v>
      </c>
      <c r="C94">
        <v>1.7350000000000001E-2</v>
      </c>
      <c r="D94">
        <v>1.61E-2</v>
      </c>
      <c r="E94">
        <v>1.652E-2</v>
      </c>
      <c r="F94">
        <v>58971451</v>
      </c>
      <c r="G94">
        <v>1.652E-2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-0.32800000000000024</v>
      </c>
      <c r="Q94">
        <f t="shared" ref="Q94" si="446">F94*P94</f>
        <v>-19342635.928000014</v>
      </c>
      <c r="R94">
        <f t="shared" ref="R94" si="447">R95+Q94</f>
        <v>-8853510353.3688297</v>
      </c>
      <c r="S94">
        <f t="shared" ref="S94" si="448">R94/100000</f>
        <v>-88535.103533688292</v>
      </c>
      <c r="T94">
        <f t="shared" ref="T94" si="449">S94/1000</f>
        <v>-88.535103533688286</v>
      </c>
    </row>
    <row r="95" spans="1:20" x14ac:dyDescent="0.25">
      <c r="A95" s="5">
        <v>44498</v>
      </c>
      <c r="B95">
        <v>1.7299999999999999E-2</v>
      </c>
      <c r="C95">
        <v>1.7649999999999999E-2</v>
      </c>
      <c r="D95">
        <v>1.6480000000000002E-2</v>
      </c>
      <c r="E95">
        <v>1.7330000000000002E-2</v>
      </c>
      <c r="F95">
        <v>82939046</v>
      </c>
      <c r="G95">
        <v>1.7330000000000002E-2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0.45299145299145627</v>
      </c>
      <c r="Q95">
        <f t="shared" ref="Q95" si="451">F95*P95</f>
        <v>37570678.957265228</v>
      </c>
      <c r="R95">
        <f t="shared" ref="R95" si="452">R96+Q95</f>
        <v>-8834167717.4408302</v>
      </c>
      <c r="S95">
        <f t="shared" ref="S95" si="453">R95/100000</f>
        <v>-88341.677174408309</v>
      </c>
      <c r="T95">
        <f t="shared" ref="T95" si="454">S95/1000</f>
        <v>-88.341677174408304</v>
      </c>
    </row>
    <row r="96" spans="1:20" x14ac:dyDescent="0.25">
      <c r="A96" s="5">
        <v>44497</v>
      </c>
      <c r="B96">
        <v>1.6140000000000002E-2</v>
      </c>
      <c r="C96">
        <v>1.763E-2</v>
      </c>
      <c r="D96">
        <v>1.5559999999999999E-2</v>
      </c>
      <c r="E96">
        <v>1.7309999999999999E-2</v>
      </c>
      <c r="F96">
        <v>115255686</v>
      </c>
      <c r="G96">
        <v>1.7309999999999999E-2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0.69082125603864664</v>
      </c>
      <c r="Q96">
        <f t="shared" ref="Q96" si="456">F96*P96</f>
        <v>79621077.768115863</v>
      </c>
      <c r="R96">
        <f t="shared" ref="R96" si="457">R97+Q96</f>
        <v>-8871738396.3980961</v>
      </c>
      <c r="S96">
        <f t="shared" ref="S96" si="458">R96/100000</f>
        <v>-88717.383963980959</v>
      </c>
      <c r="T96">
        <f t="shared" ref="T96" si="459">S96/1000</f>
        <v>-88.717383963980964</v>
      </c>
    </row>
    <row r="97" spans="1:20" x14ac:dyDescent="0.25">
      <c r="A97" s="5">
        <v>44496</v>
      </c>
      <c r="B97">
        <v>1.84E-2</v>
      </c>
      <c r="C97">
        <v>1.8710000000000001E-2</v>
      </c>
      <c r="D97">
        <v>1.532E-2</v>
      </c>
      <c r="E97">
        <v>1.6129999999999999E-2</v>
      </c>
      <c r="F97">
        <v>138833198</v>
      </c>
      <c r="G97">
        <v>1.6129999999999999E-2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-0.52212389380531088</v>
      </c>
      <c r="Q97">
        <f t="shared" ref="Q97" si="461">F97*P97</f>
        <v>-72488129.929203704</v>
      </c>
      <c r="R97">
        <f t="shared" ref="R97" si="462">R98+Q97</f>
        <v>-8951359474.1662121</v>
      </c>
      <c r="S97">
        <f t="shared" ref="S97" si="463">R97/100000</f>
        <v>-89513.59474166212</v>
      </c>
      <c r="T97">
        <f t="shared" ref="T97" si="464">S97/1000</f>
        <v>-89.513594741662118</v>
      </c>
    </row>
    <row r="98" spans="1:20" x14ac:dyDescent="0.25">
      <c r="A98" s="5">
        <v>44495</v>
      </c>
      <c r="B98">
        <v>1.873E-2</v>
      </c>
      <c r="C98">
        <v>1.8950000000000002E-2</v>
      </c>
      <c r="D98">
        <v>1.823E-2</v>
      </c>
      <c r="E98">
        <v>1.84E-2</v>
      </c>
      <c r="F98">
        <v>94527158</v>
      </c>
      <c r="G98">
        <v>1.84E-2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-0.52777777777777901</v>
      </c>
      <c r="Q98">
        <f t="shared" ref="Q98" si="466">F98*P98</f>
        <v>-49889333.388889007</v>
      </c>
      <c r="R98">
        <f t="shared" ref="R98" si="467">R99+Q98</f>
        <v>-8878871344.237009</v>
      </c>
      <c r="S98">
        <f t="shared" ref="S98" si="468">R98/100000</f>
        <v>-88788.713442370092</v>
      </c>
      <c r="T98">
        <f t="shared" ref="T98" si="469">S98/1000</f>
        <v>-88.788713442370096</v>
      </c>
    </row>
    <row r="99" spans="1:20" x14ac:dyDescent="0.25">
      <c r="A99" s="5">
        <v>44494</v>
      </c>
      <c r="B99">
        <v>1.8329999999999999E-2</v>
      </c>
      <c r="C99">
        <v>1.883E-2</v>
      </c>
      <c r="D99">
        <v>1.814E-2</v>
      </c>
      <c r="E99">
        <v>1.8710000000000001E-2</v>
      </c>
      <c r="F99">
        <v>61908424</v>
      </c>
      <c r="G99">
        <v>1.8710000000000001E-2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0.65217391304348216</v>
      </c>
      <c r="Q99">
        <f t="shared" ref="Q99" si="471">F99*P99</f>
        <v>40375059.130435027</v>
      </c>
      <c r="R99">
        <f t="shared" ref="R99" si="472">R100+Q99</f>
        <v>-8828982010.8481197</v>
      </c>
      <c r="S99">
        <f t="shared" ref="S99" si="473">R99/100000</f>
        <v>-88289.820108481203</v>
      </c>
      <c r="T99">
        <f t="shared" ref="T99" si="474">S99/1000</f>
        <v>-88.289820108481209</v>
      </c>
    </row>
    <row r="100" spans="1:20" x14ac:dyDescent="0.25">
      <c r="A100" s="5">
        <v>44493</v>
      </c>
      <c r="B100">
        <v>1.8710000000000001E-2</v>
      </c>
      <c r="C100">
        <v>1.874E-2</v>
      </c>
      <c r="D100">
        <v>1.7850000000000001E-2</v>
      </c>
      <c r="E100">
        <v>1.8380000000000001E-2</v>
      </c>
      <c r="F100">
        <v>57581919</v>
      </c>
      <c r="G100">
        <v>1.8380000000000001E-2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0.19101123595505654</v>
      </c>
      <c r="Q100">
        <f t="shared" ref="Q100" si="476">F100*P100</f>
        <v>10998793.516853953</v>
      </c>
      <c r="R100">
        <f t="shared" ref="R100" si="477">R101+Q100</f>
        <v>-8869357069.9785557</v>
      </c>
      <c r="S100">
        <f t="shared" ref="S100" si="478">R100/100000</f>
        <v>-88693.57069978556</v>
      </c>
      <c r="T100">
        <f t="shared" ref="T100" si="479">S100/1000</f>
        <v>-88.693570699785553</v>
      </c>
    </row>
    <row r="101" spans="1:20" x14ac:dyDescent="0.25">
      <c r="A101" s="5">
        <v>44492</v>
      </c>
      <c r="B101">
        <v>1.8759999999999999E-2</v>
      </c>
      <c r="C101">
        <v>1.882E-2</v>
      </c>
      <c r="D101">
        <v>1.8249999999999999E-2</v>
      </c>
      <c r="E101">
        <v>1.8720000000000001E-2</v>
      </c>
      <c r="F101">
        <v>42077236</v>
      </c>
      <c r="G101">
        <v>1.8720000000000001E-2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0.64912280701754665</v>
      </c>
      <c r="Q101">
        <f t="shared" ref="Q101" si="481">F101*P101</f>
        <v>27313293.543859765</v>
      </c>
      <c r="R101">
        <f t="shared" ref="R101" si="482">R102+Q101</f>
        <v>-8880355863.495409</v>
      </c>
      <c r="S101">
        <f t="shared" ref="S101" si="483">R101/100000</f>
        <v>-88803.558634954097</v>
      </c>
      <c r="T101">
        <f t="shared" ref="T101" si="484">S101/1000</f>
        <v>-88.803558634954101</v>
      </c>
    </row>
    <row r="102" spans="1:20" x14ac:dyDescent="0.25">
      <c r="A102" s="5">
        <v>44491</v>
      </c>
      <c r="B102">
        <v>1.821E-2</v>
      </c>
      <c r="C102">
        <v>1.9310000000000001E-2</v>
      </c>
      <c r="D102">
        <v>1.7999999999999999E-2</v>
      </c>
      <c r="E102">
        <v>1.8839999999999999E-2</v>
      </c>
      <c r="F102">
        <v>85127446</v>
      </c>
      <c r="G102">
        <v>1.8839999999999999E-2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0.28244274809160169</v>
      </c>
      <c r="Q102">
        <f t="shared" ref="Q102" si="486">F102*P102</f>
        <v>24043629.786259428</v>
      </c>
      <c r="R102">
        <f t="shared" ref="R102" si="487">R103+Q102</f>
        <v>-8907669157.0392685</v>
      </c>
      <c r="S102">
        <f t="shared" ref="S102" si="488">R102/100000</f>
        <v>-89076.691570392679</v>
      </c>
      <c r="T102">
        <f t="shared" ref="T102" si="489">S102/1000</f>
        <v>-89.076691570392683</v>
      </c>
    </row>
    <row r="103" spans="1:20" x14ac:dyDescent="0.25">
      <c r="A103" s="5">
        <v>44490</v>
      </c>
      <c r="B103">
        <v>1.908E-2</v>
      </c>
      <c r="C103">
        <v>1.9120000000000002E-2</v>
      </c>
      <c r="D103">
        <v>1.796E-2</v>
      </c>
      <c r="E103">
        <v>1.8249999999999999E-2</v>
      </c>
      <c r="F103">
        <v>90294784</v>
      </c>
      <c r="G103">
        <v>1.8249999999999999E-2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-0.500000000000003</v>
      </c>
      <c r="Q103">
        <f t="shared" ref="Q103" si="491">F103*P103</f>
        <v>-45147392.000000268</v>
      </c>
      <c r="R103">
        <f t="shared" ref="R103" si="492">R104+Q103</f>
        <v>-8931712786.8255272</v>
      </c>
      <c r="S103">
        <f t="shared" ref="S103" si="493">R103/100000</f>
        <v>-89317.127868255266</v>
      </c>
      <c r="T103">
        <f t="shared" ref="T103" si="494">S103/1000</f>
        <v>-89.31712786825527</v>
      </c>
    </row>
    <row r="104" spans="1:20" x14ac:dyDescent="0.25">
      <c r="A104" s="5">
        <v>44489</v>
      </c>
      <c r="B104">
        <v>1.8859999999999998E-2</v>
      </c>
      <c r="C104">
        <v>1.9179999999999999E-2</v>
      </c>
      <c r="D104">
        <v>1.8010000000000002E-2</v>
      </c>
      <c r="E104">
        <v>1.9099999999999999E-2</v>
      </c>
      <c r="F104">
        <v>81844596</v>
      </c>
      <c r="G104">
        <v>1.9099999999999999E-2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0.86324786324786262</v>
      </c>
      <c r="Q104">
        <f t="shared" ref="Q104" si="496">F104*P104</f>
        <v>70652172.615384564</v>
      </c>
      <c r="R104">
        <f t="shared" ref="R104" si="497">R105+Q104</f>
        <v>-8886565394.8255272</v>
      </c>
      <c r="S104">
        <f t="shared" ref="S104" si="498">R104/100000</f>
        <v>-88865.653948255276</v>
      </c>
      <c r="T104">
        <f t="shared" ref="T104" si="499">S104/1000</f>
        <v>-88.865653948255272</v>
      </c>
    </row>
    <row r="105" spans="1:20" x14ac:dyDescent="0.25">
      <c r="A105" s="5">
        <v>44488</v>
      </c>
      <c r="B105">
        <v>1.8329999999999999E-2</v>
      </c>
      <c r="C105">
        <v>1.8870000000000001E-2</v>
      </c>
      <c r="D105">
        <v>1.788E-2</v>
      </c>
      <c r="E105">
        <v>1.8859999999999998E-2</v>
      </c>
      <c r="F105">
        <v>101405733</v>
      </c>
      <c r="G105">
        <v>1.8859999999999998E-2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0.97979797979797367</v>
      </c>
      <c r="Q105">
        <f t="shared" ref="Q105" si="501">F105*P105</f>
        <v>99357132.333332717</v>
      </c>
      <c r="R105">
        <f t="shared" ref="R105" si="502">R106+Q105</f>
        <v>-8957217567.4409122</v>
      </c>
      <c r="S105">
        <f t="shared" ref="S105" si="503">R105/100000</f>
        <v>-89572.175674409125</v>
      </c>
      <c r="T105">
        <f t="shared" ref="T105" si="504">S105/1000</f>
        <v>-89.572175674409124</v>
      </c>
    </row>
    <row r="106" spans="1:20" x14ac:dyDescent="0.25">
      <c r="A106" s="5">
        <v>44487</v>
      </c>
      <c r="B106">
        <v>1.9040000000000001E-2</v>
      </c>
      <c r="C106">
        <v>1.917E-2</v>
      </c>
      <c r="D106">
        <v>1.771E-2</v>
      </c>
      <c r="E106">
        <v>1.8329999999999999E-2</v>
      </c>
      <c r="F106">
        <v>105178804</v>
      </c>
      <c r="G106">
        <v>1.8329999999999999E-2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-0.15068493150685036</v>
      </c>
      <c r="Q106">
        <f t="shared" ref="Q106" si="506">F106*P106</f>
        <v>-15848860.87671244</v>
      </c>
      <c r="R106">
        <f t="shared" ref="R106" si="507">R107+Q106</f>
        <v>-9056574699.7742443</v>
      </c>
      <c r="S106">
        <f t="shared" ref="S106" si="508">R106/100000</f>
        <v>-90565.746997742448</v>
      </c>
      <c r="T106">
        <f t="shared" ref="T106" si="509">S106/1000</f>
        <v>-90.565746997742451</v>
      </c>
    </row>
    <row r="107" spans="1:20" x14ac:dyDescent="0.25">
      <c r="A107" s="5">
        <v>44486</v>
      </c>
      <c r="B107">
        <v>1.9800000000000002E-2</v>
      </c>
      <c r="C107">
        <v>0.02</v>
      </c>
      <c r="D107">
        <v>1.8579999999999999E-2</v>
      </c>
      <c r="E107">
        <v>1.9029999999999998E-2</v>
      </c>
      <c r="F107">
        <v>101199640</v>
      </c>
      <c r="G107">
        <v>1.9029999999999998E-2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-0.36619718309859345</v>
      </c>
      <c r="Q107">
        <f t="shared" ref="Q107" si="511">F107*P107</f>
        <v>-37059023.098591745</v>
      </c>
      <c r="R107">
        <f t="shared" ref="R107" si="512">R108+Q107</f>
        <v>-9040725838.8975315</v>
      </c>
      <c r="S107">
        <f t="shared" ref="S107" si="513">R107/100000</f>
        <v>-90407.258388975315</v>
      </c>
      <c r="T107">
        <f t="shared" ref="T107" si="514">S107/1000</f>
        <v>-90.407258388975322</v>
      </c>
    </row>
    <row r="108" spans="1:20" x14ac:dyDescent="0.25">
      <c r="A108" s="5">
        <v>44485</v>
      </c>
      <c r="B108">
        <v>2.0029999999999999E-2</v>
      </c>
      <c r="C108">
        <v>2.0990000000000002E-2</v>
      </c>
      <c r="D108">
        <v>1.9019999999999999E-2</v>
      </c>
      <c r="E108">
        <v>1.975E-2</v>
      </c>
      <c r="F108">
        <v>138195694</v>
      </c>
      <c r="G108">
        <v>1.975E-2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-0.25888324873096408</v>
      </c>
      <c r="Q108">
        <f t="shared" ref="Q108" si="516">F108*P108</f>
        <v>-35776550.223350197</v>
      </c>
      <c r="R108">
        <f t="shared" ref="R108" si="517">R109+Q108</f>
        <v>-9003666815.7989407</v>
      </c>
      <c r="S108">
        <f t="shared" ref="S108" si="518">R108/100000</f>
        <v>-90036.668157989407</v>
      </c>
      <c r="T108">
        <f t="shared" ref="T108" si="519">S108/1000</f>
        <v>-90.036668157989411</v>
      </c>
    </row>
    <row r="109" spans="1:20" x14ac:dyDescent="0.25">
      <c r="A109" s="5">
        <v>44484</v>
      </c>
      <c r="B109">
        <v>2.2280000000000001E-2</v>
      </c>
      <c r="C109">
        <v>2.2280000000000001E-2</v>
      </c>
      <c r="D109">
        <v>1.8929999999999999E-2</v>
      </c>
      <c r="E109">
        <v>1.9990000000000001E-2</v>
      </c>
      <c r="F109">
        <v>243465998</v>
      </c>
      <c r="G109">
        <v>1.9990000000000001E-2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-0.36716417910447691</v>
      </c>
      <c r="Q109">
        <f t="shared" ref="Q109" si="521">F109*P109</f>
        <v>-89391993.295522213</v>
      </c>
      <c r="R109">
        <f t="shared" ref="R109" si="522">R110+Q109</f>
        <v>-8967890265.5755901</v>
      </c>
      <c r="S109">
        <f t="shared" ref="S109" si="523">R109/100000</f>
        <v>-89678.902655755897</v>
      </c>
      <c r="T109">
        <f t="shared" ref="T109" si="524">S109/1000</f>
        <v>-89.678902655755891</v>
      </c>
    </row>
    <row r="110" spans="1:20" x14ac:dyDescent="0.25">
      <c r="A110" s="5">
        <v>44483</v>
      </c>
      <c r="B110">
        <v>2.07E-2</v>
      </c>
      <c r="C110">
        <v>2.4799999999999999E-2</v>
      </c>
      <c r="D110">
        <v>2.0279999999999999E-2</v>
      </c>
      <c r="E110">
        <v>2.2280000000000001E-2</v>
      </c>
      <c r="F110">
        <v>617665521</v>
      </c>
      <c r="G110">
        <v>2.2280000000000001E-2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-0.11504424778760977</v>
      </c>
      <c r="Q110">
        <f t="shared" ref="Q110" si="526">F110*P110</f>
        <v>-71058865.247787088</v>
      </c>
      <c r="R110">
        <f t="shared" ref="R110" si="527">R111+Q110</f>
        <v>-8878498272.2800674</v>
      </c>
      <c r="S110">
        <f t="shared" ref="S110" si="528">R110/100000</f>
        <v>-88784.982722800676</v>
      </c>
      <c r="T110">
        <f t="shared" ref="T110" si="529">S110/1000</f>
        <v>-88.784982722800677</v>
      </c>
    </row>
    <row r="111" spans="1:20" x14ac:dyDescent="0.25">
      <c r="A111" s="5">
        <v>44482</v>
      </c>
      <c r="B111">
        <v>1.9040000000000001E-2</v>
      </c>
      <c r="C111">
        <v>2.0809999999999999E-2</v>
      </c>
      <c r="D111">
        <v>1.8509999999999999E-2</v>
      </c>
      <c r="E111">
        <v>2.0719999999999999E-2</v>
      </c>
      <c r="F111">
        <v>243017425</v>
      </c>
      <c r="G111">
        <v>2.0719999999999999E-2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0.92173913043478273</v>
      </c>
      <c r="Q111">
        <f t="shared" ref="Q111" si="531">F111*P111</f>
        <v>223998670.00000003</v>
      </c>
      <c r="R111">
        <f t="shared" ref="R111" si="532">R112+Q111</f>
        <v>-8807439407.03228</v>
      </c>
      <c r="S111">
        <f t="shared" ref="S111" si="533">R111/100000</f>
        <v>-88074.3940703228</v>
      </c>
      <c r="T111">
        <f t="shared" ref="T111" si="534">S111/1000</f>
        <v>-88.074394070322796</v>
      </c>
    </row>
    <row r="112" spans="1:20" x14ac:dyDescent="0.25">
      <c r="A112" s="5">
        <v>44481</v>
      </c>
      <c r="B112">
        <v>2.0549999999999999E-2</v>
      </c>
      <c r="C112">
        <v>2.0559999999999998E-2</v>
      </c>
      <c r="D112">
        <v>1.78E-2</v>
      </c>
      <c r="E112">
        <v>1.9029999999999998E-2</v>
      </c>
      <c r="F112">
        <v>262460305</v>
      </c>
      <c r="G112">
        <v>1.9029999999999998E-2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-0.10869565217391369</v>
      </c>
      <c r="Q112">
        <f t="shared" ref="Q112" si="536">F112*P112</f>
        <v>-28528294.0217393</v>
      </c>
      <c r="R112">
        <f t="shared" ref="R112" si="537">R113+Q112</f>
        <v>-9031438077.03228</v>
      </c>
      <c r="S112">
        <f t="shared" ref="S112" si="538">R112/100000</f>
        <v>-90314.380770322794</v>
      </c>
      <c r="T112">
        <f t="shared" ref="T112" si="539">S112/1000</f>
        <v>-90.314380770322799</v>
      </c>
    </row>
    <row r="113" spans="1:20" x14ac:dyDescent="0.25">
      <c r="A113" s="5">
        <v>44480</v>
      </c>
      <c r="B113">
        <v>1.7899999999999999E-2</v>
      </c>
      <c r="C113">
        <v>2.4899999999999999E-2</v>
      </c>
      <c r="D113">
        <v>1.7850000000000001E-2</v>
      </c>
      <c r="E113">
        <v>2.0549999999999999E-2</v>
      </c>
      <c r="F113">
        <v>1412637682</v>
      </c>
      <c r="G113">
        <v>2.0549999999999999E-2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-0.23404255319148976</v>
      </c>
      <c r="Q113">
        <f t="shared" ref="Q113" si="541">F113*P113</f>
        <v>-330617329.82978779</v>
      </c>
      <c r="R113">
        <f t="shared" ref="R113" si="542">R114+Q113</f>
        <v>-9002909783.01054</v>
      </c>
      <c r="S113">
        <f t="shared" ref="S113" si="543">R113/100000</f>
        <v>-90029.097830105398</v>
      </c>
      <c r="T113">
        <f t="shared" ref="T113" si="544">S113/1000</f>
        <v>-90.0290978301054</v>
      </c>
    </row>
    <row r="114" spans="1:20" x14ac:dyDescent="0.25">
      <c r="A114" s="5">
        <v>44479</v>
      </c>
      <c r="B114">
        <v>1.9650000000000001E-2</v>
      </c>
      <c r="C114">
        <v>1.9689999999999999E-2</v>
      </c>
      <c r="D114">
        <v>1.7479999999999999E-2</v>
      </c>
      <c r="E114">
        <v>1.7899999999999999E-2</v>
      </c>
      <c r="F114">
        <v>217215230</v>
      </c>
      <c r="G114">
        <v>1.7899999999999999E-2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-0.61990950226244323</v>
      </c>
      <c r="Q114">
        <f t="shared" ref="Q114" si="546">F114*P114</f>
        <v>-134653785.11312214</v>
      </c>
      <c r="R114">
        <f t="shared" ref="R114" si="547">R115+Q114</f>
        <v>-8672292453.1807518</v>
      </c>
      <c r="S114">
        <f t="shared" ref="S114" si="548">R114/100000</f>
        <v>-86722.924531807512</v>
      </c>
      <c r="T114">
        <f t="shared" ref="T114" si="549">S114/1000</f>
        <v>-86.722924531807507</v>
      </c>
    </row>
    <row r="115" spans="1:20" x14ac:dyDescent="0.25">
      <c r="A115" s="5">
        <v>44478</v>
      </c>
      <c r="B115">
        <v>1.822E-2</v>
      </c>
      <c r="C115">
        <v>2.29E-2</v>
      </c>
      <c r="D115">
        <v>1.771E-2</v>
      </c>
      <c r="E115">
        <v>1.9640000000000001E-2</v>
      </c>
      <c r="F115">
        <v>1096011862</v>
      </c>
      <c r="G115">
        <v>1.9640000000000001E-2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-0.25626204238920958</v>
      </c>
      <c r="Q115">
        <f t="shared" ref="Q115" si="551">F115*P115</f>
        <v>-280866238.23892051</v>
      </c>
      <c r="R115">
        <f t="shared" ref="R115" si="552">R116+Q115</f>
        <v>-8537638668.0676289</v>
      </c>
      <c r="S115">
        <f t="shared" ref="S115" si="553">R115/100000</f>
        <v>-85376.386680676282</v>
      </c>
      <c r="T115">
        <f t="shared" ref="T115" si="554">S115/1000</f>
        <v>-85.376386680676276</v>
      </c>
    </row>
    <row r="116" spans="1:20" x14ac:dyDescent="0.25">
      <c r="A116" s="5">
        <v>44477</v>
      </c>
      <c r="B116">
        <v>1.6080000000000001E-2</v>
      </c>
      <c r="C116">
        <v>3.2300000000000002E-2</v>
      </c>
      <c r="D116">
        <v>1.584E-2</v>
      </c>
      <c r="E116">
        <v>1.821E-2</v>
      </c>
      <c r="F116">
        <v>3842718921</v>
      </c>
      <c r="G116">
        <v>1.821E-2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-0.71202916160388818</v>
      </c>
      <c r="Q116">
        <f t="shared" ref="Q116" si="556">F116*P116</f>
        <v>-2736127931.5990276</v>
      </c>
      <c r="R116">
        <f t="shared" ref="R116" si="557">R117+Q116</f>
        <v>-8256772429.8287086</v>
      </c>
      <c r="S116">
        <f t="shared" ref="S116" si="558">R116/100000</f>
        <v>-82567.724298287081</v>
      </c>
      <c r="T116">
        <f t="shared" ref="T116" si="559">S116/1000</f>
        <v>-82.567724298287075</v>
      </c>
    </row>
    <row r="117" spans="1:20" x14ac:dyDescent="0.25">
      <c r="A117" s="5">
        <v>44476</v>
      </c>
      <c r="B117">
        <v>1.5699999999999999E-2</v>
      </c>
      <c r="C117">
        <v>1.6150000000000001E-2</v>
      </c>
      <c r="D117">
        <v>1.4959999999999999E-2</v>
      </c>
      <c r="E117">
        <v>1.6119999999999999E-2</v>
      </c>
      <c r="F117">
        <v>142482169</v>
      </c>
      <c r="G117">
        <v>1.6119999999999999E-2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0.9495798319327694</v>
      </c>
      <c r="Q117">
        <f t="shared" ref="Q117" si="561">F117*P117</f>
        <v>135298194.09243643</v>
      </c>
      <c r="R117">
        <f t="shared" ref="R117" si="562">R118+Q117</f>
        <v>-5520644498.229681</v>
      </c>
      <c r="S117">
        <f t="shared" ref="S117" si="563">R117/100000</f>
        <v>-55206.444982296809</v>
      </c>
      <c r="T117">
        <f t="shared" ref="T117" si="564">S117/1000</f>
        <v>-55.206444982296809</v>
      </c>
    </row>
    <row r="118" spans="1:20" x14ac:dyDescent="0.25">
      <c r="A118" s="5">
        <v>44475</v>
      </c>
      <c r="B118">
        <v>1.502E-2</v>
      </c>
      <c r="C118">
        <v>1.738E-2</v>
      </c>
      <c r="D118">
        <v>1.487E-2</v>
      </c>
      <c r="E118">
        <v>1.5699999999999999E-2</v>
      </c>
      <c r="F118">
        <v>535799620</v>
      </c>
      <c r="G118">
        <v>1.5699999999999999E-2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-0.33864541832669393</v>
      </c>
      <c r="Q118">
        <f t="shared" ref="Q118" si="566">F118*P118</f>
        <v>-181446086.45418364</v>
      </c>
      <c r="R118">
        <f t="shared" ref="R118" si="567">R119+Q118</f>
        <v>-5655942692.3221178</v>
      </c>
      <c r="S118">
        <f t="shared" ref="S118" si="568">R118/100000</f>
        <v>-56559.426923221181</v>
      </c>
      <c r="T118">
        <f t="shared" ref="T118" si="569">S118/1000</f>
        <v>-56.559426923221181</v>
      </c>
    </row>
    <row r="119" spans="1:20" x14ac:dyDescent="0.25">
      <c r="A119" s="5">
        <v>44474</v>
      </c>
      <c r="B119">
        <v>1.3690000000000001E-2</v>
      </c>
      <c r="C119">
        <v>1.7999999999999999E-2</v>
      </c>
      <c r="D119">
        <v>1.3599999999999999E-2</v>
      </c>
      <c r="E119">
        <v>1.5010000000000001E-2</v>
      </c>
      <c r="F119">
        <v>837083302</v>
      </c>
      <c r="G119">
        <v>1.5010000000000001E-2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-0.35909090909090829</v>
      </c>
      <c r="Q119">
        <f t="shared" ref="Q119" si="571">F119*P119</f>
        <v>-300589003.89999932</v>
      </c>
      <c r="R119">
        <f t="shared" ref="R119" si="572">R120+Q119</f>
        <v>-5474496605.8679342</v>
      </c>
      <c r="S119">
        <f t="shared" ref="S119" si="573">R119/100000</f>
        <v>-54744.96605867934</v>
      </c>
      <c r="T119">
        <f t="shared" ref="T119" si="574">S119/1000</f>
        <v>-54.744966058679339</v>
      </c>
    </row>
    <row r="120" spans="1:20" x14ac:dyDescent="0.25">
      <c r="A120" s="5">
        <v>44473</v>
      </c>
      <c r="B120">
        <v>1.401E-2</v>
      </c>
      <c r="C120">
        <v>1.404E-2</v>
      </c>
      <c r="D120">
        <v>1.3350000000000001E-2</v>
      </c>
      <c r="E120">
        <v>1.362E-2</v>
      </c>
      <c r="F120">
        <v>84319136</v>
      </c>
      <c r="G120">
        <v>1.362E-2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-0.21739130434782739</v>
      </c>
      <c r="Q120">
        <f t="shared" ref="Q120" si="576">F120*P120</f>
        <v>-18330246.95652185</v>
      </c>
      <c r="R120">
        <f t="shared" ref="R120" si="577">R121+Q120</f>
        <v>-5173907601.9679346</v>
      </c>
      <c r="S120">
        <f t="shared" ref="S120" si="578">R120/100000</f>
        <v>-51739.076019679349</v>
      </c>
      <c r="T120">
        <f t="shared" ref="T120" si="579">S120/1000</f>
        <v>-51.739076019679352</v>
      </c>
    </row>
    <row r="121" spans="1:20" x14ac:dyDescent="0.25">
      <c r="A121" s="5">
        <v>44472</v>
      </c>
      <c r="B121">
        <v>1.4030000000000001E-2</v>
      </c>
      <c r="C121">
        <v>1.4149999999999999E-2</v>
      </c>
      <c r="D121">
        <v>1.3559999999999999E-2</v>
      </c>
      <c r="E121">
        <v>1.3979999999999999E-2</v>
      </c>
      <c r="F121">
        <v>74067912</v>
      </c>
      <c r="G121">
        <v>1.3979999999999999E-2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0.42372881355932224</v>
      </c>
      <c r="Q121">
        <f t="shared" ref="Q121" si="581">F121*P121</f>
        <v>31384708.474576287</v>
      </c>
      <c r="R121">
        <f t="shared" ref="R121" si="582">R122+Q121</f>
        <v>-5155577355.0114126</v>
      </c>
      <c r="S121">
        <f t="shared" ref="S121" si="583">R121/100000</f>
        <v>-51555.773550114129</v>
      </c>
      <c r="T121">
        <f t="shared" ref="T121" si="584">S121/1000</f>
        <v>-51.555773550114125</v>
      </c>
    </row>
    <row r="122" spans="1:20" x14ac:dyDescent="0.25">
      <c r="A122" s="5">
        <v>44471</v>
      </c>
      <c r="B122">
        <v>1.4160000000000001E-2</v>
      </c>
      <c r="C122">
        <v>1.452E-2</v>
      </c>
      <c r="D122">
        <v>1.367E-2</v>
      </c>
      <c r="E122">
        <v>1.4019999999999999E-2</v>
      </c>
      <c r="F122">
        <v>193495432</v>
      </c>
      <c r="G122">
        <v>1.4019999999999999E-2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-0.17647058823529507</v>
      </c>
      <c r="Q122">
        <f t="shared" ref="Q122" si="586">F122*P122</f>
        <v>-34146252.705882534</v>
      </c>
      <c r="R122">
        <f t="shared" ref="R122" si="587">R123+Q122</f>
        <v>-5186962063.4859886</v>
      </c>
      <c r="S122">
        <f t="shared" ref="S122" si="588">R122/100000</f>
        <v>-51869.620634859886</v>
      </c>
      <c r="T122">
        <f t="shared" ref="T122" si="589">S122/1000</f>
        <v>-51.869620634859885</v>
      </c>
    </row>
    <row r="123" spans="1:20" x14ac:dyDescent="0.25">
      <c r="A123" s="5">
        <v>44470</v>
      </c>
      <c r="B123">
        <v>1.268E-2</v>
      </c>
      <c r="C123">
        <v>1.8700000000000001E-2</v>
      </c>
      <c r="D123">
        <v>1.244E-2</v>
      </c>
      <c r="E123">
        <v>1.4160000000000001E-2</v>
      </c>
      <c r="F123">
        <v>981222710</v>
      </c>
      <c r="G123">
        <v>1.4160000000000001E-2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-0.45047923322683686</v>
      </c>
      <c r="Q123">
        <f t="shared" ref="Q123" si="591">F123*P123</f>
        <v>-442020454.02555889</v>
      </c>
      <c r="R123">
        <f t="shared" ref="R123" si="592">R124+Q123</f>
        <v>-5152815810.7801065</v>
      </c>
      <c r="S123">
        <f t="shared" ref="S123" si="593">R123/100000</f>
        <v>-51528.158107801064</v>
      </c>
      <c r="T123">
        <f t="shared" ref="T123" si="594">S123/1000</f>
        <v>-51.528158107801062</v>
      </c>
    </row>
    <row r="124" spans="1:20" x14ac:dyDescent="0.25">
      <c r="A124" s="5">
        <v>44469</v>
      </c>
      <c r="B124">
        <v>1.167E-2</v>
      </c>
      <c r="C124">
        <v>1.968E-2</v>
      </c>
      <c r="D124">
        <v>1.1509999999999999E-2</v>
      </c>
      <c r="E124">
        <v>1.268E-2</v>
      </c>
      <c r="F124">
        <v>678035598</v>
      </c>
      <c r="G124">
        <v>1.268E-2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-0.71358629130966933</v>
      </c>
      <c r="Q124">
        <f t="shared" ref="Q124" si="596">F124*P124</f>
        <v>-483836907.75275385</v>
      </c>
      <c r="R124">
        <f t="shared" ref="R124" si="597">R125+Q124</f>
        <v>-4710795356.7545481</v>
      </c>
      <c r="S124">
        <f t="shared" ref="S124" si="598">R124/100000</f>
        <v>-47107.953567545483</v>
      </c>
      <c r="T124">
        <f t="shared" ref="T124" si="599">S124/1000</f>
        <v>-47.107953567545479</v>
      </c>
    </row>
    <row r="125" spans="1:20" x14ac:dyDescent="0.25">
      <c r="A125" s="5">
        <v>44468</v>
      </c>
      <c r="B125">
        <v>1.1610000000000001E-2</v>
      </c>
      <c r="C125">
        <v>1.234E-2</v>
      </c>
      <c r="D125">
        <v>1.129E-2</v>
      </c>
      <c r="E125">
        <v>1.171E-2</v>
      </c>
      <c r="F125">
        <v>29238387</v>
      </c>
      <c r="G125">
        <v>1.171E-2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</v>
      </c>
      <c r="Q125">
        <f t="shared" ref="Q125" si="601">F125*P125</f>
        <v>-5847677.4000000004</v>
      </c>
      <c r="R125">
        <f t="shared" ref="R125" si="602">R126+Q125</f>
        <v>-4226958449.0017939</v>
      </c>
      <c r="S125">
        <f t="shared" ref="S125" si="603">R125/100000</f>
        <v>-42269.584490017936</v>
      </c>
      <c r="T125">
        <f t="shared" ref="T125" si="604">S125/1000</f>
        <v>-42.269584490017934</v>
      </c>
    </row>
    <row r="126" spans="1:20" x14ac:dyDescent="0.25">
      <c r="A126" s="5">
        <v>44467</v>
      </c>
      <c r="B126">
        <v>1.244E-2</v>
      </c>
      <c r="C126">
        <v>1.259E-2</v>
      </c>
      <c r="D126">
        <v>1.1520000000000001E-2</v>
      </c>
      <c r="E126">
        <v>1.163E-2</v>
      </c>
      <c r="F126">
        <v>32380409</v>
      </c>
      <c r="G126">
        <v>1.163E-2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-0.79439252336448785</v>
      </c>
      <c r="Q126">
        <f t="shared" ref="Q126" si="606">F126*P126</f>
        <v>-25722754.813084174</v>
      </c>
      <c r="R126">
        <f t="shared" ref="R126" si="607">R127+Q126</f>
        <v>-4221110771.6017938</v>
      </c>
      <c r="S126">
        <f t="shared" ref="S126" si="608">R126/100000</f>
        <v>-42211.107716017941</v>
      </c>
      <c r="T126">
        <f t="shared" ref="T126" si="609">S126/1000</f>
        <v>-42.211107716017942</v>
      </c>
    </row>
    <row r="127" spans="1:20" x14ac:dyDescent="0.25">
      <c r="A127" s="5">
        <v>44466</v>
      </c>
      <c r="B127">
        <v>1.291E-2</v>
      </c>
      <c r="C127">
        <v>1.329E-2</v>
      </c>
      <c r="D127">
        <v>1.243E-2</v>
      </c>
      <c r="E127">
        <v>1.244E-2</v>
      </c>
      <c r="F127">
        <v>47954560</v>
      </c>
      <c r="G127">
        <v>1.244E-2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-0.97674418604651259</v>
      </c>
      <c r="Q127">
        <f t="shared" ref="Q127" si="611">F127*P127</f>
        <v>-46839337.674418651</v>
      </c>
      <c r="R127">
        <f t="shared" ref="R127" si="612">R128+Q127</f>
        <v>-4195388016.7887096</v>
      </c>
      <c r="S127">
        <f t="shared" ref="S127" si="613">R127/100000</f>
        <v>-41953.880167887095</v>
      </c>
      <c r="T127">
        <f t="shared" ref="T127" si="614">S127/1000</f>
        <v>-41.953880167887093</v>
      </c>
    </row>
    <row r="128" spans="1:20" x14ac:dyDescent="0.25">
      <c r="A128" s="5">
        <v>44465</v>
      </c>
      <c r="B128">
        <v>1.324E-2</v>
      </c>
      <c r="C128">
        <v>1.3339999999999999E-2</v>
      </c>
      <c r="D128">
        <v>1.201E-2</v>
      </c>
      <c r="E128">
        <v>1.289E-2</v>
      </c>
      <c r="F128">
        <v>43942824</v>
      </c>
      <c r="G128">
        <v>1.289E-2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0.32330827067669299</v>
      </c>
      <c r="Q128">
        <f t="shared" ref="Q128" si="616">F128*P128</f>
        <v>14207078.436090281</v>
      </c>
      <c r="R128">
        <f t="shared" ref="R128" si="617">R129+Q128</f>
        <v>-4148548679.1142912</v>
      </c>
      <c r="S128">
        <f t="shared" ref="S128" si="618">R128/100000</f>
        <v>-41485.48679114291</v>
      </c>
      <c r="T128">
        <f t="shared" ref="T128" si="619">S128/1000</f>
        <v>-41.485486791142911</v>
      </c>
    </row>
    <row r="129" spans="1:20" x14ac:dyDescent="0.25">
      <c r="A129" s="5">
        <v>44464</v>
      </c>
      <c r="B129">
        <v>1.316E-2</v>
      </c>
      <c r="C129">
        <v>1.332E-2</v>
      </c>
      <c r="D129">
        <v>1.265E-2</v>
      </c>
      <c r="E129">
        <v>1.324E-2</v>
      </c>
      <c r="F129">
        <v>26379969</v>
      </c>
      <c r="G129">
        <v>1.324E-2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0.7611940298507458</v>
      </c>
      <c r="Q129">
        <f t="shared" ref="Q129" si="621">F129*P129</f>
        <v>20080274.91044775</v>
      </c>
      <c r="R129">
        <f t="shared" ref="R129" si="622">R130+Q129</f>
        <v>-4162755757.5503817</v>
      </c>
      <c r="S129">
        <f t="shared" ref="S129" si="623">R129/100000</f>
        <v>-41627.557575503815</v>
      </c>
      <c r="T129">
        <f t="shared" ref="T129" si="624">S129/1000</f>
        <v>-41.627557575503815</v>
      </c>
    </row>
    <row r="130" spans="1:20" x14ac:dyDescent="0.25">
      <c r="A130" s="5">
        <v>44463</v>
      </c>
      <c r="B130">
        <v>1.396E-2</v>
      </c>
      <c r="C130">
        <v>1.55E-2</v>
      </c>
      <c r="D130">
        <v>1.21E-2</v>
      </c>
      <c r="E130">
        <v>1.312E-2</v>
      </c>
      <c r="F130">
        <v>68490805</v>
      </c>
      <c r="G130">
        <v>1.312E-2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-0.4</v>
      </c>
      <c r="Q130">
        <f t="shared" ref="Q130" si="626">F130*P130</f>
        <v>-27396322</v>
      </c>
      <c r="R130">
        <f t="shared" ref="R130" si="627">R131+Q130</f>
        <v>-4182836032.4608293</v>
      </c>
      <c r="S130">
        <f t="shared" ref="S130" si="628">R130/100000</f>
        <v>-41828.360324608293</v>
      </c>
      <c r="T130">
        <f t="shared" ref="T130" si="629">S130/1000</f>
        <v>-41.82836032460829</v>
      </c>
    </row>
    <row r="131" spans="1:20" x14ac:dyDescent="0.25">
      <c r="A131" s="5">
        <v>44462</v>
      </c>
      <c r="B131">
        <v>1.3690000000000001E-2</v>
      </c>
      <c r="C131">
        <v>1.49E-2</v>
      </c>
      <c r="D131">
        <v>1.3169999999999999E-2</v>
      </c>
      <c r="E131">
        <v>1.396E-2</v>
      </c>
      <c r="F131">
        <v>42406819</v>
      </c>
      <c r="G131">
        <v>1.396E-2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-8.6705202312138172E-2</v>
      </c>
      <c r="Q131">
        <f t="shared" ref="Q131" si="631">F131*P131</f>
        <v>-3676891.8208092251</v>
      </c>
      <c r="R131">
        <f t="shared" ref="R131" si="632">R132+Q131</f>
        <v>-4155439710.4608293</v>
      </c>
      <c r="S131">
        <f t="shared" ref="S131" si="633">R131/100000</f>
        <v>-41554.397104608295</v>
      </c>
      <c r="T131">
        <f t="shared" ref="T131" si="634">S131/1000</f>
        <v>-41.554397104608299</v>
      </c>
    </row>
    <row r="132" spans="1:20" x14ac:dyDescent="0.25">
      <c r="A132" s="5">
        <v>44461</v>
      </c>
      <c r="B132">
        <v>1.2239999999999999E-2</v>
      </c>
      <c r="C132">
        <v>1.4030000000000001E-2</v>
      </c>
      <c r="D132">
        <v>1.1560000000000001E-2</v>
      </c>
      <c r="E132">
        <v>1.3780000000000001E-2</v>
      </c>
      <c r="F132">
        <v>50408153</v>
      </c>
      <c r="G132">
        <v>1.3780000000000001E-2</v>
      </c>
      <c r="L132" t="s">
        <v>7</v>
      </c>
      <c r="M132" t="s">
        <v>8</v>
      </c>
      <c r="N132" t="s">
        <v>7</v>
      </c>
      <c r="P132">
        <f t="shared" ref="P132" si="635">IF(C132=D132,0,((E132-D132)-(C132-E132))/(C132-D132))</f>
        <v>0.79757085020242902</v>
      </c>
      <c r="Q132">
        <f t="shared" ref="Q132" si="636">F132*P132</f>
        <v>40204073.44534412</v>
      </c>
      <c r="R132">
        <f t="shared" ref="R132" si="637">R133+Q132</f>
        <v>-4151762818.6400199</v>
      </c>
      <c r="S132">
        <f t="shared" ref="S132" si="638">R132/100000</f>
        <v>-41517.628186400201</v>
      </c>
      <c r="T132">
        <f t="shared" ref="T132" si="639">S132/1000</f>
        <v>-41.517628186400202</v>
      </c>
    </row>
    <row r="133" spans="1:20" x14ac:dyDescent="0.25">
      <c r="A133" s="5">
        <v>44460</v>
      </c>
      <c r="B133">
        <v>1.3350000000000001E-2</v>
      </c>
      <c r="C133">
        <v>1.452E-2</v>
      </c>
      <c r="D133">
        <v>1.175E-2</v>
      </c>
      <c r="E133">
        <v>1.2239999999999999E-2</v>
      </c>
      <c r="F133">
        <v>61495969</v>
      </c>
      <c r="G133">
        <v>1.2239999999999999E-2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-0.64620938628158908</v>
      </c>
      <c r="Q133">
        <f t="shared" ref="Q133" si="641">F133*P133</f>
        <v>-39739272.386281624</v>
      </c>
      <c r="R133">
        <f t="shared" ref="R133" si="642">R134+Q133</f>
        <v>-4191966892.0853639</v>
      </c>
      <c r="S133">
        <f t="shared" ref="S133" si="643">R133/100000</f>
        <v>-41919.668920853641</v>
      </c>
      <c r="T133">
        <f t="shared" ref="T133" si="644">S133/1000</f>
        <v>-41.919668920853638</v>
      </c>
    </row>
    <row r="134" spans="1:20" x14ac:dyDescent="0.25">
      <c r="A134" s="5">
        <v>44459</v>
      </c>
      <c r="B134">
        <v>1.601E-2</v>
      </c>
      <c r="C134">
        <v>1.601E-2</v>
      </c>
      <c r="D134">
        <v>1.4120000000000001E-2</v>
      </c>
      <c r="E134">
        <v>1.435E-2</v>
      </c>
      <c r="F134">
        <v>37711610</v>
      </c>
      <c r="G134">
        <v>1.435E-2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-0.75661375661375729</v>
      </c>
      <c r="Q134">
        <f t="shared" ref="Q134" si="646">F134*P134</f>
        <v>-28533122.910052937</v>
      </c>
      <c r="R134">
        <f t="shared" ref="R134" si="647">R135+Q134</f>
        <v>-4152227619.6990824</v>
      </c>
      <c r="S134">
        <f t="shared" ref="S134" si="648">R134/100000</f>
        <v>-41522.276196990824</v>
      </c>
      <c r="T134">
        <f t="shared" ref="T134" si="649">S134/1000</f>
        <v>-41.522276196990823</v>
      </c>
    </row>
    <row r="135" spans="1:20" x14ac:dyDescent="0.25">
      <c r="A135" s="5">
        <v>44458</v>
      </c>
      <c r="B135">
        <v>1.6119999999999999E-2</v>
      </c>
      <c r="C135">
        <v>1.6580000000000001E-2</v>
      </c>
      <c r="D135">
        <v>1.5859999999999999E-2</v>
      </c>
      <c r="E135">
        <v>1.602E-2</v>
      </c>
      <c r="F135">
        <v>44788462</v>
      </c>
      <c r="G135">
        <v>1.602E-2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-0.55555555555555558</v>
      </c>
      <c r="Q135">
        <f t="shared" ref="Q135" si="651">F135*P135</f>
        <v>-24882478.888888892</v>
      </c>
      <c r="R135">
        <f t="shared" ref="R135" si="652">R136+Q135</f>
        <v>-4123694496.7890296</v>
      </c>
      <c r="S135">
        <f t="shared" ref="S135" si="653">R135/100000</f>
        <v>-41236.944967890297</v>
      </c>
      <c r="T135">
        <f t="shared" ref="T135" si="654">S135/1000</f>
        <v>-41.236944967890295</v>
      </c>
    </row>
    <row r="136" spans="1:20" x14ac:dyDescent="0.25">
      <c r="A136" s="5">
        <v>44457</v>
      </c>
      <c r="B136">
        <v>1.61E-2</v>
      </c>
      <c r="C136">
        <v>1.653E-2</v>
      </c>
      <c r="D136">
        <v>1.5820000000000001E-2</v>
      </c>
      <c r="E136">
        <v>1.6129999999999999E-2</v>
      </c>
      <c r="F136">
        <v>47187881</v>
      </c>
      <c r="G136">
        <v>1.6129999999999999E-2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-0.12676056338028652</v>
      </c>
      <c r="Q136">
        <f t="shared" ref="Q136" si="656">F136*P136</f>
        <v>-5981562.3802819178</v>
      </c>
      <c r="R136">
        <f t="shared" ref="R136" si="657">R137+Q136</f>
        <v>-4098812017.9001408</v>
      </c>
      <c r="S136">
        <f t="shared" ref="S136" si="658">R136/100000</f>
        <v>-40988.120179001409</v>
      </c>
      <c r="T136">
        <f t="shared" ref="T136" si="659">S136/1000</f>
        <v>-40.988120179001406</v>
      </c>
    </row>
    <row r="137" spans="1:20" x14ac:dyDescent="0.25">
      <c r="A137" s="5">
        <v>44456</v>
      </c>
      <c r="B137">
        <v>1.6570000000000001E-2</v>
      </c>
      <c r="C137">
        <v>1.67E-2</v>
      </c>
      <c r="D137">
        <v>1.5949999999999999E-2</v>
      </c>
      <c r="E137">
        <v>1.6119999999999999E-2</v>
      </c>
      <c r="F137">
        <v>47915789</v>
      </c>
      <c r="G137">
        <v>1.6119999999999999E-2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-0.54666666666666708</v>
      </c>
      <c r="Q137">
        <f t="shared" ref="Q137" si="661">F137*P137</f>
        <v>-26193964.653333355</v>
      </c>
      <c r="R137">
        <f t="shared" ref="R137" si="662">R138+Q137</f>
        <v>-4092830455.5198588</v>
      </c>
      <c r="S137">
        <f t="shared" ref="S137" si="663">R137/100000</f>
        <v>-40928.304555198585</v>
      </c>
      <c r="T137">
        <f t="shared" ref="T137" si="664">S137/1000</f>
        <v>-40.928304555198586</v>
      </c>
    </row>
    <row r="138" spans="1:20" x14ac:dyDescent="0.25">
      <c r="A138" s="5">
        <v>44455</v>
      </c>
      <c r="B138">
        <v>1.6979999999999999E-2</v>
      </c>
      <c r="C138">
        <v>1.6990000000000002E-2</v>
      </c>
      <c r="D138">
        <v>1.627E-2</v>
      </c>
      <c r="E138">
        <v>1.6559999999999998E-2</v>
      </c>
      <c r="F138">
        <v>47905202</v>
      </c>
      <c r="G138">
        <v>1.6559999999999998E-2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-0.19444444444445047</v>
      </c>
      <c r="Q138">
        <f t="shared" ref="Q138" si="666">F138*P138</f>
        <v>-9314900.3888891768</v>
      </c>
      <c r="R138">
        <f t="shared" ref="R138" si="667">R139+Q138</f>
        <v>-4066636490.8665257</v>
      </c>
      <c r="S138">
        <f t="shared" ref="S138" si="668">R138/100000</f>
        <v>-40666.364908665259</v>
      </c>
      <c r="T138">
        <f t="shared" ref="T138" si="669">S138/1000</f>
        <v>-40.666364908665258</v>
      </c>
    </row>
    <row r="139" spans="1:20" x14ac:dyDescent="0.25">
      <c r="A139" s="5">
        <v>44454</v>
      </c>
      <c r="B139">
        <v>1.6750000000000001E-2</v>
      </c>
      <c r="C139">
        <v>1.704E-2</v>
      </c>
      <c r="D139">
        <v>1.617E-2</v>
      </c>
      <c r="E139">
        <v>1.6979999999999999E-2</v>
      </c>
      <c r="F139">
        <v>48774740</v>
      </c>
      <c r="G139">
        <v>1.6979999999999999E-2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0.86206896551723888</v>
      </c>
      <c r="Q139">
        <f t="shared" ref="Q139" si="671">F139*P139</f>
        <v>42047189.655172288</v>
      </c>
      <c r="R139">
        <f t="shared" ref="R139" si="672">R140+Q139</f>
        <v>-4057321590.4776363</v>
      </c>
      <c r="S139">
        <f t="shared" ref="S139" si="673">R139/100000</f>
        <v>-40573.215904776363</v>
      </c>
      <c r="T139">
        <f t="shared" ref="T139" si="674">S139/1000</f>
        <v>-40.573215904776362</v>
      </c>
    </row>
    <row r="140" spans="1:20" x14ac:dyDescent="0.25">
      <c r="A140" s="5">
        <v>44453</v>
      </c>
      <c r="B140">
        <v>1.6910000000000001E-2</v>
      </c>
      <c r="C140">
        <v>1.6990000000000002E-2</v>
      </c>
      <c r="D140">
        <v>1.5879999999999998E-2</v>
      </c>
      <c r="E140">
        <v>1.6760000000000001E-2</v>
      </c>
      <c r="F140">
        <v>129848030</v>
      </c>
      <c r="G140">
        <v>1.6760000000000001E-2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0.58558558558558493</v>
      </c>
      <c r="Q140">
        <f t="shared" ref="Q140" si="676">F140*P140</f>
        <v>76037134.684684604</v>
      </c>
      <c r="R140">
        <f t="shared" ref="R140" si="677">R141+Q140</f>
        <v>-4099368780.1328087</v>
      </c>
      <c r="S140">
        <f t="shared" ref="S140" si="678">R140/100000</f>
        <v>-40993.687801328088</v>
      </c>
      <c r="T140">
        <f t="shared" ref="T140" si="679">S140/1000</f>
        <v>-40.993687801328086</v>
      </c>
    </row>
    <row r="141" spans="1:20" x14ac:dyDescent="0.25">
      <c r="A141" s="5">
        <v>44452</v>
      </c>
      <c r="B141">
        <v>1.6289999999999999E-2</v>
      </c>
      <c r="C141">
        <v>1.9699999999999999E-2</v>
      </c>
      <c r="D141">
        <v>1.5389999999999999E-2</v>
      </c>
      <c r="E141">
        <v>1.6910000000000001E-2</v>
      </c>
      <c r="F141">
        <v>205995035</v>
      </c>
      <c r="G141">
        <v>1.6910000000000001E-2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-0.29466357308584573</v>
      </c>
      <c r="Q141">
        <f t="shared" ref="Q141" si="681">F141*P141</f>
        <v>-60699233.051043853</v>
      </c>
      <c r="R141">
        <f t="shared" ref="R141" si="682">R142+Q141</f>
        <v>-4175405914.8174934</v>
      </c>
      <c r="S141">
        <f t="shared" ref="S141" si="683">R141/100000</f>
        <v>-41754.059148174936</v>
      </c>
      <c r="T141">
        <f t="shared" ref="T141" si="684">S141/1000</f>
        <v>-41.754059148174939</v>
      </c>
    </row>
    <row r="142" spans="1:20" x14ac:dyDescent="0.25">
      <c r="A142" s="5">
        <v>44451</v>
      </c>
      <c r="B142">
        <v>1.602E-2</v>
      </c>
      <c r="C142">
        <v>1.643E-2</v>
      </c>
      <c r="D142">
        <v>1.5559999999999999E-2</v>
      </c>
      <c r="E142">
        <v>1.6250000000000001E-2</v>
      </c>
      <c r="F142">
        <v>38756142</v>
      </c>
      <c r="G142">
        <v>1.6250000000000001E-2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0.58620689655172553</v>
      </c>
      <c r="Q142">
        <f t="shared" ref="Q142" si="686">F142*P142</f>
        <v>22719117.724137984</v>
      </c>
      <c r="R142">
        <f t="shared" ref="R142" si="687">R143+Q142</f>
        <v>-4114706681.7664495</v>
      </c>
      <c r="S142">
        <f t="shared" ref="S142" si="688">R142/100000</f>
        <v>-41147.066817664498</v>
      </c>
      <c r="T142">
        <f t="shared" ref="T142" si="689">S142/1000</f>
        <v>-41.147066817664495</v>
      </c>
    </row>
    <row r="143" spans="1:20" x14ac:dyDescent="0.25">
      <c r="A143" s="5">
        <v>44450</v>
      </c>
      <c r="B143">
        <v>1.592E-2</v>
      </c>
      <c r="C143">
        <v>1.6299999999999999E-2</v>
      </c>
      <c r="D143">
        <v>1.545E-2</v>
      </c>
      <c r="E143">
        <v>1.602E-2</v>
      </c>
      <c r="F143">
        <v>44103407</v>
      </c>
      <c r="G143">
        <v>1.602E-2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0.34117647058823636</v>
      </c>
      <c r="Q143">
        <f t="shared" ref="Q143" si="691">F143*P143</f>
        <v>15047044.741176518</v>
      </c>
      <c r="R143">
        <f t="shared" ref="R143" si="692">R144+Q143</f>
        <v>-4137425799.4905872</v>
      </c>
      <c r="S143">
        <f t="shared" ref="S143" si="693">R143/100000</f>
        <v>-41374.257994905871</v>
      </c>
      <c r="T143">
        <f t="shared" ref="T143" si="694">S143/1000</f>
        <v>-41.374257994905868</v>
      </c>
    </row>
    <row r="144" spans="1:20" x14ac:dyDescent="0.25">
      <c r="A144" s="5">
        <v>44449</v>
      </c>
      <c r="B144">
        <v>1.7409999999999998E-2</v>
      </c>
      <c r="C144">
        <v>1.7440000000000001E-2</v>
      </c>
      <c r="D144">
        <v>1.5599999999999999E-2</v>
      </c>
      <c r="E144">
        <v>1.592E-2</v>
      </c>
      <c r="F144">
        <v>69847344</v>
      </c>
      <c r="G144">
        <v>1.592E-2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-0.6521739130434776</v>
      </c>
      <c r="Q144">
        <f t="shared" ref="Q144" si="696">F144*P144</f>
        <v>-45552615.652173869</v>
      </c>
      <c r="R144">
        <f t="shared" ref="R144" si="697">R145+Q144</f>
        <v>-4152472844.2317638</v>
      </c>
      <c r="S144">
        <f t="shared" ref="S144" si="698">R144/100000</f>
        <v>-41524.728442317639</v>
      </c>
      <c r="T144">
        <f t="shared" ref="T144" si="699">S144/1000</f>
        <v>-41.524728442317638</v>
      </c>
    </row>
    <row r="145" spans="1:20" x14ac:dyDescent="0.25">
      <c r="A145" s="5">
        <v>44448</v>
      </c>
      <c r="B145">
        <v>1.6820000000000002E-2</v>
      </c>
      <c r="C145">
        <v>1.7579999999999998E-2</v>
      </c>
      <c r="D145">
        <v>1.6209999999999999E-2</v>
      </c>
      <c r="E145">
        <v>1.7489999999999999E-2</v>
      </c>
      <c r="F145">
        <v>142187567</v>
      </c>
      <c r="G145">
        <v>1.7489999999999999E-2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0.86861313868613166</v>
      </c>
      <c r="Q145">
        <f t="shared" ref="Q145" si="701">F145*P145</f>
        <v>123505988.85401464</v>
      </c>
      <c r="R145">
        <f t="shared" ref="R145" si="702">R146+Q145</f>
        <v>-4106920228.5795898</v>
      </c>
      <c r="S145">
        <f t="shared" ref="S145" si="703">R145/100000</f>
        <v>-41069.202285795902</v>
      </c>
      <c r="T145">
        <f t="shared" ref="T145" si="704">S145/1000</f>
        <v>-41.069202285795903</v>
      </c>
    </row>
    <row r="146" spans="1:20" x14ac:dyDescent="0.25">
      <c r="A146" s="5">
        <v>44447</v>
      </c>
      <c r="B146">
        <v>1.6029999999999999E-2</v>
      </c>
      <c r="C146">
        <v>1.8700000000000001E-2</v>
      </c>
      <c r="D146">
        <v>1.4370000000000001E-2</v>
      </c>
      <c r="E146">
        <v>1.686E-2</v>
      </c>
      <c r="F146">
        <v>384848158</v>
      </c>
      <c r="G146">
        <v>1.686E-2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0.15011547344110801</v>
      </c>
      <c r="Q146">
        <f t="shared" ref="Q146" si="706">F146*P146</f>
        <v>57771663.441108339</v>
      </c>
      <c r="R146">
        <f t="shared" ref="R146" si="707">R147+Q146</f>
        <v>-4230426217.4336042</v>
      </c>
      <c r="S146">
        <f t="shared" ref="S146" si="708">R146/100000</f>
        <v>-42304.262174336043</v>
      </c>
      <c r="T146">
        <f t="shared" ref="T146" si="709">S146/1000</f>
        <v>-42.304262174336046</v>
      </c>
    </row>
    <row r="147" spans="1:20" x14ac:dyDescent="0.25">
      <c r="A147" s="5">
        <v>44446</v>
      </c>
      <c r="B147">
        <v>0.02</v>
      </c>
      <c r="C147">
        <v>2.0750000000000001E-2</v>
      </c>
      <c r="D147">
        <v>1.439E-2</v>
      </c>
      <c r="E147">
        <v>1.5990000000000001E-2</v>
      </c>
      <c r="F147">
        <v>189402462</v>
      </c>
      <c r="G147">
        <v>1.5990000000000001E-2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-0.49685534591194952</v>
      </c>
      <c r="Q147">
        <f t="shared" ref="Q147" si="711">F147*P147</f>
        <v>-94105625.773584872</v>
      </c>
      <c r="R147">
        <f t="shared" ref="R147" si="712">R148+Q147</f>
        <v>-4288197880.8747125</v>
      </c>
      <c r="S147">
        <f t="shared" ref="S147" si="713">R147/100000</f>
        <v>-42881.978808747124</v>
      </c>
      <c r="T147">
        <f t="shared" ref="T147" si="714">S147/1000</f>
        <v>-42.881978808747121</v>
      </c>
    </row>
    <row r="148" spans="1:20" x14ac:dyDescent="0.25">
      <c r="A148" s="5">
        <v>44445</v>
      </c>
      <c r="B148">
        <v>1.992E-2</v>
      </c>
      <c r="C148">
        <v>2.1559999999999999E-2</v>
      </c>
      <c r="D148">
        <v>1.8710000000000001E-2</v>
      </c>
      <c r="E148">
        <v>0.02</v>
      </c>
      <c r="F148">
        <v>153183524</v>
      </c>
      <c r="G148">
        <v>0.02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-9.4736842105263008E-2</v>
      </c>
      <c r="Q148">
        <f t="shared" ref="Q148" si="716">F148*P148</f>
        <v>-14512123.326315766</v>
      </c>
      <c r="R148">
        <f t="shared" ref="R148" si="717">R149+Q148</f>
        <v>-4194092255.1011276</v>
      </c>
      <c r="S148">
        <f t="shared" ref="S148" si="718">R148/100000</f>
        <v>-41940.922551011274</v>
      </c>
      <c r="T148">
        <f t="shared" ref="T148" si="719">S148/1000</f>
        <v>-41.940922551011276</v>
      </c>
    </row>
    <row r="149" spans="1:20" x14ac:dyDescent="0.25">
      <c r="A149" s="5">
        <v>44444</v>
      </c>
      <c r="B149">
        <v>1.9650000000000001E-2</v>
      </c>
      <c r="C149">
        <v>2.3199999999999998E-2</v>
      </c>
      <c r="D149">
        <v>1.89E-2</v>
      </c>
      <c r="E149">
        <v>1.9910000000000001E-2</v>
      </c>
      <c r="F149">
        <v>427021338</v>
      </c>
      <c r="G149">
        <v>1.9910000000000001E-2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-0.53023255813953452</v>
      </c>
      <c r="Q149">
        <f t="shared" ref="Q149" si="721">F149*P149</f>
        <v>-226420616.42790681</v>
      </c>
      <c r="R149">
        <f t="shared" ref="R149" si="722">R150+Q149</f>
        <v>-4179580131.7748117</v>
      </c>
      <c r="S149">
        <f t="shared" ref="S149" si="723">R149/100000</f>
        <v>-41795.801317748119</v>
      </c>
      <c r="T149">
        <f t="shared" ref="T149" si="724">S149/1000</f>
        <v>-41.795801317748122</v>
      </c>
    </row>
    <row r="150" spans="1:20" x14ac:dyDescent="0.25">
      <c r="A150" s="5">
        <v>44443</v>
      </c>
      <c r="B150">
        <v>1.822E-2</v>
      </c>
      <c r="C150">
        <v>2.147E-2</v>
      </c>
      <c r="D150">
        <v>1.77E-2</v>
      </c>
      <c r="E150">
        <v>1.9619999999999999E-2</v>
      </c>
      <c r="F150">
        <v>400838526</v>
      </c>
      <c r="G150">
        <v>1.9619999999999999E-2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1.8567639257293676E-2</v>
      </c>
      <c r="Q150">
        <f t="shared" ref="Q150" si="726">F150*P150</f>
        <v>7442625.1511933319</v>
      </c>
      <c r="R150">
        <f t="shared" ref="R150" si="727">R151+Q150</f>
        <v>-3953159515.3469048</v>
      </c>
      <c r="S150">
        <f t="shared" ref="S150" si="728">R150/100000</f>
        <v>-39531.595153469047</v>
      </c>
      <c r="T150">
        <f t="shared" ref="T150" si="729">S150/1000</f>
        <v>-39.531595153469048</v>
      </c>
    </row>
    <row r="151" spans="1:20" x14ac:dyDescent="0.25">
      <c r="A151" s="5">
        <v>44442</v>
      </c>
      <c r="B151">
        <v>1.7260000000000001E-2</v>
      </c>
      <c r="C151">
        <v>1.8530000000000001E-2</v>
      </c>
      <c r="D151">
        <v>1.6809999999999999E-2</v>
      </c>
      <c r="E151">
        <v>1.8200000000000001E-2</v>
      </c>
      <c r="F151">
        <v>115893386</v>
      </c>
      <c r="G151">
        <v>1.8200000000000001E-2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0.61627906976744196</v>
      </c>
      <c r="Q151">
        <f t="shared" ref="Q151" si="731">F151*P151</f>
        <v>71422668.116279081</v>
      </c>
      <c r="R151">
        <f t="shared" ref="R151" si="732">R152+Q151</f>
        <v>-3960602140.4980979</v>
      </c>
      <c r="S151">
        <f t="shared" ref="S151" si="733">R151/100000</f>
        <v>-39606.02140498098</v>
      </c>
      <c r="T151">
        <f t="shared" ref="T151" si="734">S151/1000</f>
        <v>-39.606021404980979</v>
      </c>
    </row>
    <row r="152" spans="1:20" x14ac:dyDescent="0.25">
      <c r="A152" s="5">
        <v>44441</v>
      </c>
      <c r="B152">
        <v>1.7149999999999999E-2</v>
      </c>
      <c r="C152">
        <v>0.02</v>
      </c>
      <c r="D152">
        <v>1.6830000000000001E-2</v>
      </c>
      <c r="E152">
        <v>1.7260000000000001E-2</v>
      </c>
      <c r="F152">
        <v>195207897</v>
      </c>
      <c r="G152">
        <v>1.7260000000000001E-2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-0.72870662460567825</v>
      </c>
      <c r="Q152">
        <f t="shared" ref="Q152" si="736">F152*P152</f>
        <v>-142249287.7192429</v>
      </c>
      <c r="R152">
        <f t="shared" ref="R152" si="737">R153+Q152</f>
        <v>-4032024808.614377</v>
      </c>
      <c r="S152">
        <f t="shared" ref="S152" si="738">R152/100000</f>
        <v>-40320.248086143773</v>
      </c>
      <c r="T152">
        <f t="shared" ref="T152" si="739">S152/1000</f>
        <v>-40.320248086143771</v>
      </c>
    </row>
    <row r="153" spans="1:20" x14ac:dyDescent="0.25">
      <c r="A153" s="5">
        <v>44440</v>
      </c>
      <c r="B153">
        <v>1.5939999999999999E-2</v>
      </c>
      <c r="C153">
        <v>1.7250000000000001E-2</v>
      </c>
      <c r="D153">
        <v>1.5679999999999999E-2</v>
      </c>
      <c r="E153">
        <v>1.7129999999999999E-2</v>
      </c>
      <c r="F153">
        <v>76093911</v>
      </c>
      <c r="G153">
        <v>1.7129999999999999E-2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0.84713375796178103</v>
      </c>
      <c r="Q153">
        <f t="shared" ref="Q153" si="741">F153*P153</f>
        <v>64461720.783439308</v>
      </c>
      <c r="R153">
        <f t="shared" ref="R153" si="742">R154+Q153</f>
        <v>-3889775520.895134</v>
      </c>
      <c r="S153">
        <f t="shared" ref="S153" si="743">R153/100000</f>
        <v>-38897.755208951341</v>
      </c>
      <c r="T153">
        <f t="shared" ref="T153" si="744">S153/1000</f>
        <v>-38.897755208951338</v>
      </c>
    </row>
    <row r="154" spans="1:20" x14ac:dyDescent="0.25">
      <c r="A154" s="5">
        <v>44439</v>
      </c>
      <c r="B154">
        <v>1.5650000000000001E-2</v>
      </c>
      <c r="C154">
        <v>1.618E-2</v>
      </c>
      <c r="D154">
        <v>1.5389999999999999E-2</v>
      </c>
      <c r="E154">
        <v>1.6E-2</v>
      </c>
      <c r="F154">
        <v>55001303</v>
      </c>
      <c r="G154">
        <v>1.6E-2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0.54430379746835589</v>
      </c>
      <c r="Q154">
        <f t="shared" ref="Q154" si="746">F154*P154</f>
        <v>29937418.088607676</v>
      </c>
      <c r="R154">
        <f t="shared" ref="R154" si="747">R155+Q154</f>
        <v>-3954237241.6785731</v>
      </c>
      <c r="S154">
        <f t="shared" ref="S154" si="748">R154/100000</f>
        <v>-39542.372416785729</v>
      </c>
      <c r="T154">
        <f t="shared" ref="T154" si="749">S154/1000</f>
        <v>-39.542372416785732</v>
      </c>
    </row>
    <row r="155" spans="1:20" x14ac:dyDescent="0.25">
      <c r="A155" s="5">
        <v>44438</v>
      </c>
      <c r="B155">
        <v>1.635E-2</v>
      </c>
      <c r="C155">
        <v>1.6379999999999999E-2</v>
      </c>
      <c r="D155">
        <v>1.5599999999999999E-2</v>
      </c>
      <c r="E155">
        <v>1.566E-2</v>
      </c>
      <c r="F155">
        <v>45710367</v>
      </c>
      <c r="G155">
        <v>1.566E-2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-0.84615384615384337</v>
      </c>
      <c r="Q155">
        <f t="shared" ref="Q155" si="751">F155*P155</f>
        <v>-38678002.846153721</v>
      </c>
      <c r="R155">
        <f t="shared" ref="R155" si="752">R156+Q155</f>
        <v>-3984174659.7671809</v>
      </c>
      <c r="S155">
        <f t="shared" ref="S155" si="753">R155/100000</f>
        <v>-39841.746597671809</v>
      </c>
      <c r="T155">
        <f t="shared" ref="T155" si="754">S155/1000</f>
        <v>-39.841746597671808</v>
      </c>
    </row>
    <row r="156" spans="1:20" x14ac:dyDescent="0.25">
      <c r="A156" s="5">
        <v>44437</v>
      </c>
      <c r="B156">
        <v>1.6930000000000001E-2</v>
      </c>
      <c r="C156">
        <v>1.7000000000000001E-2</v>
      </c>
      <c r="D156">
        <v>1.5879999999999998E-2</v>
      </c>
      <c r="E156">
        <v>1.634E-2</v>
      </c>
      <c r="F156">
        <v>61417434</v>
      </c>
      <c r="G156">
        <v>1.634E-2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-0.17857142857142702</v>
      </c>
      <c r="Q156">
        <f t="shared" ref="Q156" si="756">F156*P156</f>
        <v>-10967398.928571334</v>
      </c>
      <c r="R156">
        <f t="shared" ref="R156" si="757">R157+Q156</f>
        <v>-3945496656.9210272</v>
      </c>
      <c r="S156">
        <f t="shared" ref="S156" si="758">R156/100000</f>
        <v>-39454.966569210272</v>
      </c>
      <c r="T156">
        <f t="shared" ref="T156" si="759">S156/1000</f>
        <v>-39.454966569210271</v>
      </c>
    </row>
    <row r="157" spans="1:20" x14ac:dyDescent="0.25">
      <c r="A157" s="5">
        <v>44436</v>
      </c>
      <c r="B157">
        <v>1.636E-2</v>
      </c>
      <c r="C157">
        <v>1.7999999999999999E-2</v>
      </c>
      <c r="D157">
        <v>1.6070000000000001E-2</v>
      </c>
      <c r="E157">
        <v>1.6930000000000001E-2</v>
      </c>
      <c r="F157">
        <v>114678149</v>
      </c>
      <c r="G157">
        <v>1.6930000000000001E-2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-0.1088082901554397</v>
      </c>
      <c r="Q157">
        <f t="shared" ref="Q157" si="761">F157*P157</f>
        <v>-12477933.310880747</v>
      </c>
      <c r="R157">
        <f t="shared" ref="R157" si="762">R158+Q157</f>
        <v>-3934529257.992456</v>
      </c>
      <c r="S157">
        <f t="shared" ref="S157" si="763">R157/100000</f>
        <v>-39345.292579924557</v>
      </c>
      <c r="T157">
        <f t="shared" ref="T157" si="764">S157/1000</f>
        <v>-39.345292579924553</v>
      </c>
    </row>
    <row r="158" spans="1:20" x14ac:dyDescent="0.25">
      <c r="A158" s="5">
        <v>44435</v>
      </c>
      <c r="B158">
        <v>1.502E-2</v>
      </c>
      <c r="C158">
        <v>1.83E-2</v>
      </c>
      <c r="D158">
        <v>1.4930000000000001E-2</v>
      </c>
      <c r="E158">
        <v>1.6330000000000001E-2</v>
      </c>
      <c r="F158">
        <v>446745062</v>
      </c>
      <c r="G158">
        <v>1.6330000000000001E-2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-0.16913946587537074</v>
      </c>
      <c r="Q158">
        <f t="shared" ref="Q158" si="766">F158*P158</f>
        <v>-75562221.169139385</v>
      </c>
      <c r="R158">
        <f t="shared" ref="R158" si="767">R159+Q158</f>
        <v>-3922051324.6815753</v>
      </c>
      <c r="S158">
        <f t="shared" ref="S158" si="768">R158/100000</f>
        <v>-39220.513246815754</v>
      </c>
      <c r="T158">
        <f t="shared" ref="T158" si="769">S158/1000</f>
        <v>-39.220513246815756</v>
      </c>
    </row>
    <row r="159" spans="1:20" x14ac:dyDescent="0.25">
      <c r="A159" s="5">
        <v>44434</v>
      </c>
      <c r="B159">
        <v>1.5613999999999999E-2</v>
      </c>
      <c r="C159">
        <v>1.5657000000000001E-2</v>
      </c>
      <c r="D159">
        <v>1.435E-2</v>
      </c>
      <c r="E159">
        <v>1.4970000000000001E-2</v>
      </c>
      <c r="F159">
        <v>71229151</v>
      </c>
      <c r="G159">
        <v>1.4970000000000001E-2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-5.1262433052792128E-2</v>
      </c>
      <c r="Q159">
        <f t="shared" ref="Q159" si="771">F159*P159</f>
        <v>-3651379.5845447215</v>
      </c>
      <c r="R159">
        <f t="shared" ref="R159" si="772">R160+Q159</f>
        <v>-3846489103.5124359</v>
      </c>
      <c r="S159">
        <f t="shared" ref="S159" si="773">R159/100000</f>
        <v>-38464.891035124361</v>
      </c>
      <c r="T159">
        <f t="shared" ref="T159" si="774">S159/1000</f>
        <v>-38.46489103512436</v>
      </c>
    </row>
    <row r="160" spans="1:20" x14ac:dyDescent="0.25">
      <c r="A160" s="5">
        <v>44433</v>
      </c>
      <c r="B160">
        <v>1.5511E-2</v>
      </c>
      <c r="C160">
        <v>1.5834000000000001E-2</v>
      </c>
      <c r="D160">
        <v>1.4267999999999999E-2</v>
      </c>
      <c r="E160">
        <v>1.5592999999999999E-2</v>
      </c>
      <c r="F160">
        <v>190706841</v>
      </c>
      <c r="G160">
        <v>1.5592999999999999E-2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0.69220945083013863</v>
      </c>
      <c r="Q160">
        <f t="shared" ref="Q160" si="776">F160*P160</f>
        <v>132009077.67816056</v>
      </c>
      <c r="R160">
        <f t="shared" ref="R160" si="777">R161+Q160</f>
        <v>-3842837723.9278913</v>
      </c>
      <c r="S160">
        <f t="shared" ref="S160" si="778">R160/100000</f>
        <v>-38428.377239278911</v>
      </c>
      <c r="T160">
        <f t="shared" ref="T160" si="779">S160/1000</f>
        <v>-38.428377239278909</v>
      </c>
    </row>
    <row r="161" spans="1:20" x14ac:dyDescent="0.25">
      <c r="A161" s="5">
        <v>44432</v>
      </c>
      <c r="B161">
        <v>1.5657000000000001E-2</v>
      </c>
      <c r="C161">
        <v>0.02</v>
      </c>
      <c r="D161">
        <v>1.5524E-2</v>
      </c>
      <c r="E161">
        <v>1.555E-2</v>
      </c>
      <c r="F161">
        <v>1144712454</v>
      </c>
      <c r="G161">
        <v>1.555E-2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-0.9883824843610366</v>
      </c>
      <c r="Q161">
        <f t="shared" ref="Q161" si="781">F161*P161</f>
        <v>-1131413739.1635389</v>
      </c>
      <c r="R161">
        <f t="shared" ref="R161" si="782">R162+Q161</f>
        <v>-3974846801.6060519</v>
      </c>
      <c r="S161">
        <f t="shared" ref="S161" si="783">R161/100000</f>
        <v>-39748.46801606052</v>
      </c>
      <c r="T161">
        <f t="shared" ref="T161" si="784">S161/1000</f>
        <v>-39.748468016060521</v>
      </c>
    </row>
    <row r="162" spans="1:20" x14ac:dyDescent="0.25">
      <c r="A162" s="5">
        <v>44431</v>
      </c>
      <c r="B162">
        <v>1.4494E-2</v>
      </c>
      <c r="C162">
        <v>1.6251000000000002E-2</v>
      </c>
      <c r="D162">
        <v>1.4115000000000001E-2</v>
      </c>
      <c r="E162">
        <v>1.5688000000000001E-2</v>
      </c>
      <c r="F162">
        <v>113407886</v>
      </c>
      <c r="G162">
        <v>1.5688000000000001E-2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0.47284644194756481</v>
      </c>
      <c r="Q162">
        <f t="shared" ref="Q162" si="786">F162*P162</f>
        <v>53624515.383895047</v>
      </c>
      <c r="R162">
        <f t="shared" ref="R162" si="787">R163+Q162</f>
        <v>-2843433062.442513</v>
      </c>
      <c r="S162">
        <f t="shared" ref="S162" si="788">R162/100000</f>
        <v>-28434.330624425129</v>
      </c>
      <c r="T162">
        <f t="shared" ref="T162" si="789">S162/1000</f>
        <v>-28.434330624425129</v>
      </c>
    </row>
    <row r="163" spans="1:20" x14ac:dyDescent="0.25">
      <c r="A163" s="5">
        <v>44430</v>
      </c>
      <c r="B163">
        <v>1.4527E-2</v>
      </c>
      <c r="C163">
        <v>1.4817E-2</v>
      </c>
      <c r="D163">
        <v>1.4420000000000001E-2</v>
      </c>
      <c r="E163">
        <v>1.4600999999999999E-2</v>
      </c>
      <c r="F163">
        <v>20406424</v>
      </c>
      <c r="G163">
        <v>1.4600999999999999E-2</v>
      </c>
      <c r="L163" t="s">
        <v>8</v>
      </c>
      <c r="M163" t="s">
        <v>7</v>
      </c>
      <c r="N163" t="s">
        <v>7</v>
      </c>
      <c r="P163">
        <f t="shared" ref="P163" si="790">IF(C163=D163,0,((E163-D163)-(C163-E163))/(C163-D163))</f>
        <v>-8.8161209068015264E-2</v>
      </c>
      <c r="Q163">
        <f t="shared" ref="Q163" si="791">F163*P163</f>
        <v>-1799055.0125945644</v>
      </c>
      <c r="R163">
        <f t="shared" ref="R163" si="792">R164+Q163</f>
        <v>-2897057577.8264079</v>
      </c>
      <c r="S163">
        <f t="shared" ref="S163" si="793">R163/100000</f>
        <v>-28970.575778264079</v>
      </c>
      <c r="T163">
        <f t="shared" ref="T163" si="794">S163/1000</f>
        <v>-28.970575778264081</v>
      </c>
    </row>
    <row r="164" spans="1:20" x14ac:dyDescent="0.25">
      <c r="A164" s="5">
        <v>44429</v>
      </c>
      <c r="B164">
        <v>1.4494999999999999E-2</v>
      </c>
      <c r="C164">
        <v>1.4857E-2</v>
      </c>
      <c r="D164">
        <v>1.4356000000000001E-2</v>
      </c>
      <c r="E164">
        <v>1.4527E-2</v>
      </c>
      <c r="F164">
        <v>64015816</v>
      </c>
      <c r="G164">
        <v>1.4527E-2</v>
      </c>
      <c r="L164" t="s">
        <v>8</v>
      </c>
      <c r="M164" t="s">
        <v>7</v>
      </c>
      <c r="N164" t="s">
        <v>7</v>
      </c>
      <c r="P164">
        <f t="shared" ref="P164" si="795">IF(C164=D164,0,((E164-D164)-(C164-E164))/(C164-D164))</f>
        <v>-0.31736526946108035</v>
      </c>
      <c r="Q164">
        <f t="shared" ref="Q164" si="796">F164*P164</f>
        <v>-20316396.694610938</v>
      </c>
      <c r="R164">
        <f t="shared" ref="R164" si="797">R165+Q164</f>
        <v>-2895258522.8138132</v>
      </c>
      <c r="S164">
        <f t="shared" ref="S164" si="798">R164/100000</f>
        <v>-28952.58522813813</v>
      </c>
      <c r="T164">
        <f t="shared" ref="T164" si="799">S164/1000</f>
        <v>-28.95258522813813</v>
      </c>
    </row>
    <row r="165" spans="1:20" x14ac:dyDescent="0.25">
      <c r="A165" s="5">
        <v>44428</v>
      </c>
      <c r="B165">
        <v>1.4239999999999999E-2</v>
      </c>
      <c r="C165">
        <v>1.4737999999999999E-2</v>
      </c>
      <c r="D165">
        <v>1.4078E-2</v>
      </c>
      <c r="E165">
        <v>1.4524E-2</v>
      </c>
      <c r="F165">
        <v>57358730</v>
      </c>
      <c r="G165">
        <v>1.4524E-2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0.35151515151515395</v>
      </c>
      <c r="Q165">
        <f t="shared" ref="Q165" si="801">F165*P165</f>
        <v>20162462.666666806</v>
      </c>
      <c r="R165">
        <f t="shared" ref="R165" si="802">R166+Q165</f>
        <v>-2874942126.1192021</v>
      </c>
      <c r="S165">
        <f t="shared" ref="S165" si="803">R165/100000</f>
        <v>-28749.421261192023</v>
      </c>
      <c r="T165">
        <f t="shared" ref="T165" si="804">S165/1000</f>
        <v>-28.749421261192023</v>
      </c>
    </row>
    <row r="166" spans="1:20" x14ac:dyDescent="0.25">
      <c r="A166" s="5">
        <v>44427</v>
      </c>
      <c r="B166">
        <v>1.3688000000000001E-2</v>
      </c>
      <c r="C166">
        <v>1.4374E-2</v>
      </c>
      <c r="D166">
        <v>1.338E-2</v>
      </c>
      <c r="E166">
        <v>1.4241999999999999E-2</v>
      </c>
      <c r="F166">
        <v>52373636</v>
      </c>
      <c r="G166">
        <v>1.4241999999999999E-2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0.73440643863179045</v>
      </c>
      <c r="Q166">
        <f t="shared" ref="Q166" si="806">F166*P166</f>
        <v>38463535.492957734</v>
      </c>
      <c r="R166">
        <f t="shared" ref="R166" si="807">R167+Q166</f>
        <v>-2895104588.7858691</v>
      </c>
      <c r="S166">
        <f t="shared" ref="S166" si="808">R166/100000</f>
        <v>-28951.045887858691</v>
      </c>
      <c r="T166">
        <f t="shared" ref="T166" si="809">S166/1000</f>
        <v>-28.95104588785869</v>
      </c>
    </row>
    <row r="167" spans="1:20" x14ac:dyDescent="0.25">
      <c r="A167" s="5">
        <v>44426</v>
      </c>
      <c r="B167">
        <v>1.4045E-2</v>
      </c>
      <c r="C167">
        <v>1.4168999999999999E-2</v>
      </c>
      <c r="D167">
        <v>1.3275E-2</v>
      </c>
      <c r="E167">
        <v>1.37E-2</v>
      </c>
      <c r="F167">
        <v>57558301</v>
      </c>
      <c r="G167">
        <v>1.37E-2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-4.9217002237135293E-2</v>
      </c>
      <c r="Q167">
        <f t="shared" ref="Q167" si="811">F167*P167</f>
        <v>-2832847.0290827067</v>
      </c>
      <c r="R167">
        <f t="shared" ref="R167" si="812">R168+Q167</f>
        <v>-2933568124.2788267</v>
      </c>
      <c r="S167">
        <f t="shared" ref="S167" si="813">R167/100000</f>
        <v>-29335.681242788269</v>
      </c>
      <c r="T167">
        <f t="shared" ref="T167" si="814">S167/1000</f>
        <v>-29.335681242788269</v>
      </c>
    </row>
    <row r="168" spans="1:20" x14ac:dyDescent="0.25">
      <c r="A168" s="5">
        <v>44425</v>
      </c>
      <c r="B168">
        <v>1.5155999999999999E-2</v>
      </c>
      <c r="C168">
        <v>1.5334E-2</v>
      </c>
      <c r="D168">
        <v>1.3996E-2</v>
      </c>
      <c r="E168">
        <v>1.3998999999999999E-2</v>
      </c>
      <c r="F168">
        <v>79642317</v>
      </c>
      <c r="G168">
        <v>1.3998999999999999E-2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-0.99551569506726523</v>
      </c>
      <c r="Q168">
        <f t="shared" ref="Q168" si="816">F168*P168</f>
        <v>-79285176.565022469</v>
      </c>
      <c r="R168">
        <f t="shared" ref="R168" si="817">R169+Q168</f>
        <v>-2930735277.2497439</v>
      </c>
      <c r="S168">
        <f t="shared" ref="S168" si="818">R168/100000</f>
        <v>-29307.352772497441</v>
      </c>
      <c r="T168">
        <f t="shared" ref="T168" si="819">S168/1000</f>
        <v>-29.307352772497442</v>
      </c>
    </row>
    <row r="169" spans="1:20" x14ac:dyDescent="0.25">
      <c r="A169" s="5">
        <v>44424</v>
      </c>
      <c r="B169">
        <v>1.5585E-2</v>
      </c>
      <c r="C169">
        <v>1.6048E-2</v>
      </c>
      <c r="D169">
        <v>1.4725E-2</v>
      </c>
      <c r="E169">
        <v>1.5178000000000001E-2</v>
      </c>
      <c r="F169">
        <v>179216708</v>
      </c>
      <c r="G169">
        <v>1.5178000000000001E-2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-0.31519274376417167</v>
      </c>
      <c r="Q169">
        <f t="shared" ref="Q169" si="821">F169*P169</f>
        <v>-56487805.922902375</v>
      </c>
      <c r="R169">
        <f t="shared" ref="R169" si="822">R170+Q169</f>
        <v>-2851450100.6847215</v>
      </c>
      <c r="S169">
        <f t="shared" ref="S169" si="823">R169/100000</f>
        <v>-28514.501006847215</v>
      </c>
      <c r="T169">
        <f t="shared" ref="T169" si="824">S169/1000</f>
        <v>-28.514501006847215</v>
      </c>
    </row>
    <row r="170" spans="1:20" x14ac:dyDescent="0.25">
      <c r="A170" s="5">
        <v>44423</v>
      </c>
      <c r="B170">
        <v>1.5091E-2</v>
      </c>
      <c r="C170">
        <v>1.8727000000000001E-2</v>
      </c>
      <c r="D170">
        <v>1.4676E-2</v>
      </c>
      <c r="E170">
        <v>1.5617000000000001E-2</v>
      </c>
      <c r="F170">
        <v>443631470</v>
      </c>
      <c r="G170">
        <v>1.5617000000000001E-2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-0.53542335225870119</v>
      </c>
      <c r="Q170">
        <f t="shared" ref="Q170" si="826">F170*P170</f>
        <v>-237530648.83485544</v>
      </c>
      <c r="R170">
        <f t="shared" ref="R170" si="827">R171+Q170</f>
        <v>-2794962294.7618189</v>
      </c>
      <c r="S170">
        <f t="shared" ref="S170" si="828">R170/100000</f>
        <v>-27949.622947618191</v>
      </c>
      <c r="T170">
        <f t="shared" ref="T170" si="829">S170/1000</f>
        <v>-27.949622947618192</v>
      </c>
    </row>
    <row r="171" spans="1:20" x14ac:dyDescent="0.25">
      <c r="A171" s="5">
        <v>44422</v>
      </c>
      <c r="B171">
        <v>1.5129999999999999E-2</v>
      </c>
      <c r="C171">
        <v>1.5299E-2</v>
      </c>
      <c r="D171">
        <v>1.4494E-2</v>
      </c>
      <c r="E171">
        <v>1.5102000000000001E-2</v>
      </c>
      <c r="F171">
        <v>72444060</v>
      </c>
      <c r="G171">
        <v>1.5102000000000001E-2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0.51055900621118211</v>
      </c>
      <c r="Q171">
        <f t="shared" ref="Q171" si="831">F171*P171</f>
        <v>36986967.279503249</v>
      </c>
      <c r="R171">
        <f t="shared" ref="R171" si="832">R172+Q171</f>
        <v>-2557431645.9269633</v>
      </c>
      <c r="S171">
        <f t="shared" ref="S171" si="833">R171/100000</f>
        <v>-25574.316459269634</v>
      </c>
      <c r="T171">
        <f t="shared" ref="T171" si="834">S171/1000</f>
        <v>-25.574316459269635</v>
      </c>
    </row>
    <row r="172" spans="1:20" x14ac:dyDescent="0.25">
      <c r="A172" s="5">
        <v>44421</v>
      </c>
      <c r="B172">
        <v>1.4252000000000001E-2</v>
      </c>
      <c r="C172">
        <v>1.55E-2</v>
      </c>
      <c r="D172">
        <v>1.4106E-2</v>
      </c>
      <c r="E172">
        <v>1.5129999999999999E-2</v>
      </c>
      <c r="F172">
        <v>68563361</v>
      </c>
      <c r="G172">
        <v>1.5129999999999999E-2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0.46915351506456143</v>
      </c>
      <c r="Q172">
        <f t="shared" ref="Q172" si="836">F172*P172</f>
        <v>32166741.817790464</v>
      </c>
      <c r="R172">
        <f t="shared" ref="R172" si="837">R173+Q172</f>
        <v>-2594418613.2064667</v>
      </c>
      <c r="S172">
        <f t="shared" ref="S172" si="838">R172/100000</f>
        <v>-25944.186132064668</v>
      </c>
      <c r="T172">
        <f t="shared" ref="T172" si="839">S172/1000</f>
        <v>-25.944186132064669</v>
      </c>
    </row>
    <row r="173" spans="1:20" x14ac:dyDescent="0.25">
      <c r="A173" s="5">
        <v>44420</v>
      </c>
      <c r="B173">
        <v>1.4846E-2</v>
      </c>
      <c r="C173">
        <v>1.55E-2</v>
      </c>
      <c r="D173">
        <v>1.374E-2</v>
      </c>
      <c r="E173">
        <v>1.4241E-2</v>
      </c>
      <c r="F173">
        <v>78653721</v>
      </c>
      <c r="G173">
        <v>1.4241E-2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-0.43068181818181833</v>
      </c>
      <c r="Q173">
        <f t="shared" ref="Q173" si="841">F173*P173</f>
        <v>-33874727.567045465</v>
      </c>
      <c r="R173">
        <f t="shared" ref="R173" si="842">R174+Q173</f>
        <v>-2626585355.0242572</v>
      </c>
      <c r="S173">
        <f t="shared" ref="S173" si="843">R173/100000</f>
        <v>-26265.853550242573</v>
      </c>
      <c r="T173">
        <f t="shared" ref="T173" si="844">S173/1000</f>
        <v>-26.265853550242571</v>
      </c>
    </row>
    <row r="174" spans="1:20" x14ac:dyDescent="0.25">
      <c r="A174" s="5">
        <v>44419</v>
      </c>
      <c r="B174">
        <v>1.456E-2</v>
      </c>
      <c r="C174">
        <v>1.5370999999999999E-2</v>
      </c>
      <c r="D174">
        <v>1.4376E-2</v>
      </c>
      <c r="E174">
        <v>1.4851E-2</v>
      </c>
      <c r="F174">
        <v>119487832</v>
      </c>
      <c r="G174">
        <v>1.4851E-2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-4.5226130653266264E-2</v>
      </c>
      <c r="Q174">
        <f t="shared" ref="Q174" si="846">F174*P174</f>
        <v>-5403972.3015075298</v>
      </c>
      <c r="R174">
        <f t="shared" ref="R174" si="847">R175+Q174</f>
        <v>-2592710627.4572115</v>
      </c>
      <c r="S174">
        <f t="shared" ref="S174" si="848">R174/100000</f>
        <v>-25927.106274572114</v>
      </c>
      <c r="T174">
        <f t="shared" ref="T174" si="849">S174/1000</f>
        <v>-25.927106274572115</v>
      </c>
    </row>
    <row r="175" spans="1:20" x14ac:dyDescent="0.25">
      <c r="A175" s="5">
        <v>44418</v>
      </c>
      <c r="B175">
        <v>1.4589E-2</v>
      </c>
      <c r="C175">
        <v>1.4678E-2</v>
      </c>
      <c r="D175">
        <v>1.3977E-2</v>
      </c>
      <c r="E175">
        <v>1.4566000000000001E-2</v>
      </c>
      <c r="F175">
        <v>62190422</v>
      </c>
      <c r="G175">
        <v>1.4566000000000001E-2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0.68045649072753434</v>
      </c>
      <c r="Q175">
        <f t="shared" ref="Q175" si="851">F175*P175</f>
        <v>42317876.310984448</v>
      </c>
      <c r="R175">
        <f t="shared" ref="R175" si="852">R176+Q175</f>
        <v>-2587306655.155704</v>
      </c>
      <c r="S175">
        <f t="shared" ref="S175" si="853">R175/100000</f>
        <v>-25873.06655155704</v>
      </c>
      <c r="T175">
        <f t="shared" ref="T175" si="854">S175/1000</f>
        <v>-25.873066551557041</v>
      </c>
    </row>
    <row r="176" spans="1:20" x14ac:dyDescent="0.25">
      <c r="A176" s="5">
        <v>44417</v>
      </c>
      <c r="B176">
        <v>1.41E-2</v>
      </c>
      <c r="C176">
        <v>1.4683E-2</v>
      </c>
      <c r="D176">
        <v>1.3419E-2</v>
      </c>
      <c r="E176">
        <v>1.4590000000000001E-2</v>
      </c>
      <c r="F176">
        <v>78665595</v>
      </c>
      <c r="G176">
        <v>1.4590000000000001E-2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0.85284810126582378</v>
      </c>
      <c r="Q176">
        <f t="shared" ref="Q176" si="856">F176*P176</f>
        <v>67089803.330696277</v>
      </c>
      <c r="R176">
        <f t="shared" ref="R176" si="857">R177+Q176</f>
        <v>-2629624531.4666886</v>
      </c>
      <c r="S176">
        <f t="shared" ref="S176" si="858">R176/100000</f>
        <v>-26296.245314666885</v>
      </c>
      <c r="T176">
        <f t="shared" ref="T176" si="859">S176/1000</f>
        <v>-26.296245314666884</v>
      </c>
    </row>
    <row r="177" spans="1:20" x14ac:dyDescent="0.25">
      <c r="A177" s="5">
        <v>44416</v>
      </c>
      <c r="B177">
        <v>1.489E-2</v>
      </c>
      <c r="C177">
        <v>1.5685000000000001E-2</v>
      </c>
      <c r="D177">
        <v>1.3878E-2</v>
      </c>
      <c r="E177">
        <v>1.4041E-2</v>
      </c>
      <c r="F177">
        <v>75264205</v>
      </c>
      <c r="G177">
        <v>1.4041E-2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-0.81959048146098523</v>
      </c>
      <c r="Q177">
        <f t="shared" ref="Q177" si="861">F177*P177</f>
        <v>-61685826.012728289</v>
      </c>
      <c r="R177">
        <f t="shared" ref="R177" si="862">R178+Q177</f>
        <v>-2696714334.7973847</v>
      </c>
      <c r="S177">
        <f t="shared" ref="S177" si="863">R177/100000</f>
        <v>-26967.143347973848</v>
      </c>
      <c r="T177">
        <f t="shared" ref="T177" si="864">S177/1000</f>
        <v>-26.967143347973849</v>
      </c>
    </row>
    <row r="178" spans="1:20" x14ac:dyDescent="0.25">
      <c r="A178" s="5">
        <v>44415</v>
      </c>
      <c r="B178">
        <v>1.4397999999999999E-2</v>
      </c>
      <c r="C178">
        <v>1.5183E-2</v>
      </c>
      <c r="D178">
        <v>1.4305E-2</v>
      </c>
      <c r="E178">
        <v>1.4902E-2</v>
      </c>
      <c r="F178">
        <v>69388291</v>
      </c>
      <c r="G178">
        <v>1.4902E-2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0.35990888382687952</v>
      </c>
      <c r="Q178">
        <f t="shared" ref="Q178" si="866">F178*P178</f>
        <v>24973462.364464711</v>
      </c>
      <c r="R178">
        <f t="shared" ref="R178" si="867">R179+Q178</f>
        <v>-2635028508.7846565</v>
      </c>
      <c r="S178">
        <f t="shared" ref="S178" si="868">R178/100000</f>
        <v>-26350.285087846565</v>
      </c>
      <c r="T178">
        <f t="shared" ref="T178" si="869">S178/1000</f>
        <v>-26.350285087846565</v>
      </c>
    </row>
    <row r="179" spans="1:20" x14ac:dyDescent="0.25">
      <c r="A179" s="5">
        <v>44414</v>
      </c>
      <c r="B179">
        <v>1.4395E-2</v>
      </c>
      <c r="C179">
        <v>1.472E-2</v>
      </c>
      <c r="D179">
        <v>1.3708E-2</v>
      </c>
      <c r="E179">
        <v>1.4397999999999999E-2</v>
      </c>
      <c r="F179">
        <v>88491425</v>
      </c>
      <c r="G179">
        <v>1.4397999999999999E-2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0.36363636363636193</v>
      </c>
      <c r="Q179">
        <f t="shared" ref="Q179" si="871">F179*P179</f>
        <v>32178699.999999847</v>
      </c>
      <c r="R179">
        <f t="shared" ref="R179" si="872">R180+Q179</f>
        <v>-2660001971.1491213</v>
      </c>
      <c r="S179">
        <f t="shared" ref="S179" si="873">R179/100000</f>
        <v>-26600.019711491212</v>
      </c>
      <c r="T179">
        <f t="shared" ref="T179" si="874">S179/1000</f>
        <v>-26.60001971149121</v>
      </c>
    </row>
    <row r="180" spans="1:20" x14ac:dyDescent="0.25">
      <c r="A180" s="5">
        <v>44413</v>
      </c>
      <c r="B180">
        <v>1.3356E-2</v>
      </c>
      <c r="C180">
        <v>1.448E-2</v>
      </c>
      <c r="D180">
        <v>1.3107000000000001E-2</v>
      </c>
      <c r="E180">
        <v>1.4407E-2</v>
      </c>
      <c r="F180">
        <v>127040738</v>
      </c>
      <c r="G180">
        <v>1.4407E-2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0.8936635105608155</v>
      </c>
      <c r="Q180">
        <f t="shared" ref="Q180" si="876">F180*P180</f>
        <v>113531671.9053168</v>
      </c>
      <c r="R180">
        <f t="shared" ref="R180" si="877">R181+Q180</f>
        <v>-2692180671.1491213</v>
      </c>
      <c r="S180">
        <f t="shared" ref="S180" si="878">R180/100000</f>
        <v>-26921.806711491212</v>
      </c>
      <c r="T180">
        <f t="shared" ref="T180" si="879">S180/1000</f>
        <v>-26.921806711491211</v>
      </c>
    </row>
    <row r="181" spans="1:20" x14ac:dyDescent="0.25">
      <c r="A181" s="5">
        <v>44412</v>
      </c>
      <c r="B181">
        <v>1.2557E-2</v>
      </c>
      <c r="C181">
        <v>1.341E-2</v>
      </c>
      <c r="D181">
        <v>1.2406E-2</v>
      </c>
      <c r="E181">
        <v>1.3368E-2</v>
      </c>
      <c r="F181">
        <v>50298639</v>
      </c>
      <c r="G181">
        <v>1.3368E-2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0.91633466135458086</v>
      </c>
      <c r="Q181">
        <f t="shared" ref="Q181" si="881">F181*P181</f>
        <v>46090386.334661312</v>
      </c>
      <c r="R181">
        <f t="shared" ref="R181" si="882">R182+Q181</f>
        <v>-2805712343.0544381</v>
      </c>
      <c r="S181">
        <f t="shared" ref="S181" si="883">R181/100000</f>
        <v>-28057.12343054438</v>
      </c>
      <c r="T181">
        <f t="shared" ref="T181" si="884">S181/1000</f>
        <v>-28.05712343054438</v>
      </c>
    </row>
    <row r="182" spans="1:20" x14ac:dyDescent="0.25">
      <c r="A182" s="5">
        <v>44411</v>
      </c>
      <c r="B182">
        <v>1.3067E-2</v>
      </c>
      <c r="C182">
        <v>1.3091999999999999E-2</v>
      </c>
      <c r="D182">
        <v>1.2362E-2</v>
      </c>
      <c r="E182">
        <v>1.2555999999999999E-2</v>
      </c>
      <c r="F182">
        <v>36065791</v>
      </c>
      <c r="G182">
        <v>1.2555999999999999E-2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-0.46849315068493208</v>
      </c>
      <c r="Q182">
        <f t="shared" ref="Q182" si="886">F182*P182</f>
        <v>-16896576.057534266</v>
      </c>
      <c r="R182">
        <f t="shared" ref="R182" si="887">R183+Q182</f>
        <v>-2851802729.3890996</v>
      </c>
      <c r="S182">
        <f t="shared" ref="S182" si="888">R182/100000</f>
        <v>-28518.027293890995</v>
      </c>
      <c r="T182">
        <f t="shared" ref="T182" si="889">S182/1000</f>
        <v>-28.518027293890995</v>
      </c>
    </row>
    <row r="183" spans="1:20" x14ac:dyDescent="0.25">
      <c r="A183" s="5">
        <v>44410</v>
      </c>
      <c r="B183">
        <v>1.3285999999999999E-2</v>
      </c>
      <c r="C183">
        <v>1.3285999999999999E-2</v>
      </c>
      <c r="D183">
        <v>1.2356000000000001E-2</v>
      </c>
      <c r="E183">
        <v>1.3027E-2</v>
      </c>
      <c r="F183">
        <v>59562964</v>
      </c>
      <c r="G183">
        <v>1.3027E-2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0.44301075268817369</v>
      </c>
      <c r="Q183">
        <f t="shared" ref="Q183" si="891">F183*P183</f>
        <v>26387033.513978593</v>
      </c>
      <c r="R183">
        <f t="shared" ref="R183" si="892">R184+Q183</f>
        <v>-2834906153.3315654</v>
      </c>
      <c r="S183">
        <f t="shared" ref="S183" si="893">R183/100000</f>
        <v>-28349.061533315653</v>
      </c>
      <c r="T183">
        <f t="shared" ref="T183" si="894">S183/1000</f>
        <v>-28.349061533315652</v>
      </c>
    </row>
    <row r="184" spans="1:20" x14ac:dyDescent="0.25">
      <c r="A184" s="5">
        <v>44409</v>
      </c>
      <c r="B184">
        <v>1.4E-2</v>
      </c>
      <c r="C184">
        <v>1.4387E-2</v>
      </c>
      <c r="D184">
        <v>1.3056E-2</v>
      </c>
      <c r="E184">
        <v>1.3289E-2</v>
      </c>
      <c r="F184">
        <v>101285108</v>
      </c>
      <c r="G184">
        <v>1.3289E-2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-0.64988730277986406</v>
      </c>
      <c r="Q184">
        <f t="shared" ref="Q184" si="896">F184*P184</f>
        <v>-65823905.649887234</v>
      </c>
      <c r="R184">
        <f t="shared" ref="R184" si="897">R185+Q184</f>
        <v>-2861293186.8455439</v>
      </c>
      <c r="S184">
        <f t="shared" ref="S184" si="898">R184/100000</f>
        <v>-28612.931868455438</v>
      </c>
      <c r="T184">
        <f t="shared" ref="T184" si="899">S184/1000</f>
        <v>-28.612931868455437</v>
      </c>
    </row>
    <row r="185" spans="1:20" x14ac:dyDescent="0.25">
      <c r="A185" s="5">
        <v>44408</v>
      </c>
      <c r="B185">
        <v>1.3193E-2</v>
      </c>
      <c r="C185">
        <v>1.4142999999999999E-2</v>
      </c>
      <c r="D185">
        <v>1.2857E-2</v>
      </c>
      <c r="E185">
        <v>1.4055E-2</v>
      </c>
      <c r="F185">
        <v>80719361</v>
      </c>
      <c r="G185">
        <v>1.4055E-2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0.86314152410575484</v>
      </c>
      <c r="Q185">
        <f t="shared" ref="Q185" si="901">F185*P185</f>
        <v>69672232.278382629</v>
      </c>
      <c r="R185">
        <f t="shared" ref="R185" si="902">R186+Q185</f>
        <v>-2795469281.1956568</v>
      </c>
      <c r="S185">
        <f t="shared" ref="S185" si="903">R185/100000</f>
        <v>-27954.692811956567</v>
      </c>
      <c r="T185">
        <f t="shared" ref="T185" si="904">S185/1000</f>
        <v>-27.954692811956566</v>
      </c>
    </row>
    <row r="186" spans="1:20" x14ac:dyDescent="0.25">
      <c r="A186" s="5">
        <v>44407</v>
      </c>
      <c r="B186">
        <v>1.2529E-2</v>
      </c>
      <c r="C186">
        <v>1.38E-2</v>
      </c>
      <c r="D186">
        <v>1.1827000000000001E-2</v>
      </c>
      <c r="E186">
        <v>1.3181999999999999E-2</v>
      </c>
      <c r="F186">
        <v>156452715</v>
      </c>
      <c r="G186">
        <v>1.3181999999999999E-2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0.3735428281804351</v>
      </c>
      <c r="Q186">
        <f t="shared" ref="Q186" si="906">F186*P186</f>
        <v>58441789.637607582</v>
      </c>
      <c r="R186">
        <f t="shared" ref="R186" si="907">R187+Q186</f>
        <v>-2865141513.4740396</v>
      </c>
      <c r="S186">
        <f t="shared" ref="S186" si="908">R186/100000</f>
        <v>-28651.415134740397</v>
      </c>
      <c r="T186">
        <f t="shared" ref="T186" si="909">S186/1000</f>
        <v>-28.651415134740397</v>
      </c>
    </row>
    <row r="187" spans="1:20" x14ac:dyDescent="0.25">
      <c r="A187" s="5">
        <v>44406</v>
      </c>
      <c r="B187">
        <v>1.1453E-2</v>
      </c>
      <c r="C187">
        <v>1.2725E-2</v>
      </c>
      <c r="D187">
        <v>1.1453E-2</v>
      </c>
      <c r="E187">
        <v>1.2529E-2</v>
      </c>
      <c r="F187">
        <v>143652568</v>
      </c>
      <c r="G187">
        <v>1.2529E-2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0.69182389937106936</v>
      </c>
      <c r="Q187">
        <f t="shared" ref="Q187" si="911">F187*P187</f>
        <v>99382279.748427704</v>
      </c>
      <c r="R187">
        <f t="shared" ref="R187" si="912">R188+Q187</f>
        <v>-2923583303.1116471</v>
      </c>
      <c r="S187">
        <f t="shared" ref="S187" si="913">R187/100000</f>
        <v>-29235.833031116472</v>
      </c>
      <c r="T187">
        <f t="shared" ref="T187" si="914">S187/1000</f>
        <v>-29.235833031116471</v>
      </c>
    </row>
    <row r="188" spans="1:20" x14ac:dyDescent="0.25">
      <c r="A188" s="5">
        <v>44405</v>
      </c>
      <c r="B188">
        <v>1.1558000000000001E-2</v>
      </c>
      <c r="C188">
        <v>1.162E-2</v>
      </c>
      <c r="D188">
        <v>1.1253000000000001E-2</v>
      </c>
      <c r="E188">
        <v>1.1442000000000001E-2</v>
      </c>
      <c r="F188">
        <v>43339121</v>
      </c>
      <c r="G188">
        <v>1.1442000000000001E-2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2.9972752043598404E-2</v>
      </c>
      <c r="Q188">
        <f t="shared" ref="Q188" si="916">F188*P188</f>
        <v>1298992.7275205085</v>
      </c>
      <c r="R188">
        <f t="shared" ref="R188" si="917">R189+Q188</f>
        <v>-3022965582.860075</v>
      </c>
      <c r="S188">
        <f t="shared" ref="S188" si="918">R188/100000</f>
        <v>-30229.655828600749</v>
      </c>
      <c r="T188">
        <f t="shared" ref="T188" si="919">S188/1000</f>
        <v>-30.229655828600748</v>
      </c>
    </row>
    <row r="189" spans="1:20" x14ac:dyDescent="0.25">
      <c r="A189" s="5">
        <v>44404</v>
      </c>
      <c r="B189">
        <v>1.1417E-2</v>
      </c>
      <c r="C189">
        <v>1.1998999999999999E-2</v>
      </c>
      <c r="D189">
        <v>1.0888E-2</v>
      </c>
      <c r="E189">
        <v>1.1546000000000001E-2</v>
      </c>
      <c r="F189">
        <v>121315682</v>
      </c>
      <c r="G189">
        <v>1.1546000000000001E-2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0.1845184518451865</v>
      </c>
      <c r="Q189">
        <f t="shared" ref="Q189" si="921">F189*P189</f>
        <v>22384981.82718296</v>
      </c>
      <c r="R189">
        <f t="shared" ref="R189" si="922">R190+Q189</f>
        <v>-3024264575.5875955</v>
      </c>
      <c r="S189">
        <f t="shared" ref="S189" si="923">R189/100000</f>
        <v>-30242.645755875954</v>
      </c>
      <c r="T189">
        <f t="shared" ref="T189" si="924">S189/1000</f>
        <v>-30.242645755875955</v>
      </c>
    </row>
    <row r="190" spans="1:20" x14ac:dyDescent="0.25">
      <c r="A190" s="5">
        <v>44403</v>
      </c>
      <c r="B190">
        <v>1.0861000000000001E-2</v>
      </c>
      <c r="C190">
        <v>1.2200000000000001E-2</v>
      </c>
      <c r="D190">
        <v>1.0669E-2</v>
      </c>
      <c r="E190">
        <v>1.1417E-2</v>
      </c>
      <c r="F190">
        <v>216858418</v>
      </c>
      <c r="G190">
        <v>1.1417E-2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-2.2860875244938135E-2</v>
      </c>
      <c r="Q190">
        <f t="shared" ref="Q190" si="926">F190*P190</f>
        <v>-4957573.2397126462</v>
      </c>
      <c r="R190">
        <f t="shared" ref="R190" si="927">R191+Q190</f>
        <v>-3046649557.4147782</v>
      </c>
      <c r="S190">
        <f t="shared" ref="S190" si="928">R190/100000</f>
        <v>-30466.495574147782</v>
      </c>
      <c r="T190">
        <f t="shared" ref="T190" si="929">S190/1000</f>
        <v>-30.466495574147782</v>
      </c>
    </row>
    <row r="191" spans="1:20" x14ac:dyDescent="0.25">
      <c r="A191" s="5">
        <v>44402</v>
      </c>
      <c r="B191">
        <v>1.0514000000000001E-2</v>
      </c>
      <c r="C191">
        <v>1.0861000000000001E-2</v>
      </c>
      <c r="D191">
        <v>1.0361E-2</v>
      </c>
      <c r="E191">
        <v>1.0861000000000001E-2</v>
      </c>
      <c r="F191">
        <v>94051749</v>
      </c>
      <c r="G191">
        <v>1.0861000000000001E-2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1</v>
      </c>
      <c r="Q191">
        <f t="shared" ref="Q191" si="931">F191*P191</f>
        <v>94051749</v>
      </c>
      <c r="R191">
        <f t="shared" ref="R191" si="932">R192+Q191</f>
        <v>-3041691984.1750655</v>
      </c>
      <c r="S191">
        <f t="shared" ref="S191" si="933">R191/100000</f>
        <v>-30416.919841750656</v>
      </c>
      <c r="T191">
        <f t="shared" ref="T191:T197" si="934">S191/1000</f>
        <v>-30.416919841750655</v>
      </c>
    </row>
    <row r="192" spans="1:20" x14ac:dyDescent="0.25">
      <c r="A192" s="5">
        <v>44401</v>
      </c>
      <c r="B192">
        <v>1.056E-2</v>
      </c>
      <c r="C192">
        <v>1.0687E-2</v>
      </c>
      <c r="D192">
        <v>1.0336E-2</v>
      </c>
      <c r="E192">
        <v>1.0514000000000001E-2</v>
      </c>
      <c r="F192">
        <v>79198971</v>
      </c>
      <c r="G192">
        <v>1.0514000000000001E-2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1.4245014245018582E-2</v>
      </c>
      <c r="Q192">
        <f t="shared" ref="Q192" si="936">F192*P192</f>
        <v>1128190.4700858137</v>
      </c>
      <c r="R192">
        <f t="shared" ref="R192" si="937">R193+Q192</f>
        <v>-3135743733.1750655</v>
      </c>
      <c r="S192">
        <f t="shared" ref="S192" si="938">R192/100000</f>
        <v>-31357.437331750654</v>
      </c>
      <c r="T192">
        <f t="shared" si="934"/>
        <v>-31.357437331750653</v>
      </c>
    </row>
    <row r="193" spans="1:20" x14ac:dyDescent="0.25">
      <c r="A193" s="5">
        <v>44400</v>
      </c>
      <c r="B193">
        <v>1.0303E-2</v>
      </c>
      <c r="C193">
        <v>1.0597000000000001E-2</v>
      </c>
      <c r="D193">
        <v>1.0031999999999999E-2</v>
      </c>
      <c r="E193">
        <v>1.0576E-2</v>
      </c>
      <c r="F193">
        <v>71884110</v>
      </c>
      <c r="G193">
        <v>1.0576E-2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0.92566371681415882</v>
      </c>
      <c r="Q193">
        <f t="shared" ref="Q193" si="940">F193*P193</f>
        <v>66540512.442477845</v>
      </c>
      <c r="R193">
        <f t="shared" ref="R193" si="941">R194+Q193</f>
        <v>-3136871923.6451511</v>
      </c>
      <c r="S193">
        <f t="shared" ref="S193" si="942">R193/100000</f>
        <v>-31368.71923645151</v>
      </c>
      <c r="T193">
        <f t="shared" si="934"/>
        <v>-31.368719236451511</v>
      </c>
    </row>
    <row r="194" spans="1:20" x14ac:dyDescent="0.25">
      <c r="A194" s="5">
        <v>44399</v>
      </c>
      <c r="B194">
        <v>1.0062E-2</v>
      </c>
      <c r="C194">
        <v>1.0319999999999999E-2</v>
      </c>
      <c r="D194">
        <v>9.8099999999999993E-3</v>
      </c>
      <c r="E194">
        <v>1.0312E-2</v>
      </c>
      <c r="F194">
        <v>51852276</v>
      </c>
      <c r="G194">
        <v>1.0312E-2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0.96862745098039482</v>
      </c>
      <c r="Q194">
        <f t="shared" ref="Q194" si="944">F194*P194</f>
        <v>50225537.929411903</v>
      </c>
      <c r="R194">
        <f t="shared" ref="R194" si="945">R195+Q194</f>
        <v>-3203412436.0876288</v>
      </c>
      <c r="S194">
        <f t="shared" ref="S194" si="946">R194/100000</f>
        <v>-32034.124360876289</v>
      </c>
      <c r="T194">
        <f t="shared" si="934"/>
        <v>-32.034124360876291</v>
      </c>
    </row>
    <row r="195" spans="1:20" x14ac:dyDescent="0.25">
      <c r="A195" s="5">
        <v>44398</v>
      </c>
      <c r="B195">
        <v>9.4330000000000004E-3</v>
      </c>
      <c r="C195">
        <v>1.0199E-2</v>
      </c>
      <c r="D195">
        <v>9.0830000000000008E-3</v>
      </c>
      <c r="E195">
        <v>1.0073E-2</v>
      </c>
      <c r="F195">
        <v>78375049</v>
      </c>
      <c r="G195">
        <v>1.0073E-2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0.77419354838709764</v>
      </c>
      <c r="Q195">
        <f t="shared" ref="Q195" si="948">F195*P195</f>
        <v>60677457.290322646</v>
      </c>
      <c r="R195">
        <f t="shared" ref="R195" si="949">R196+Q195</f>
        <v>-3253637974.0170407</v>
      </c>
      <c r="S195">
        <f t="shared" ref="S195" si="950">R195/100000</f>
        <v>-32536.379740170407</v>
      </c>
      <c r="T195">
        <f t="shared" si="934"/>
        <v>-32.536379740170403</v>
      </c>
    </row>
    <row r="196" spans="1:20" x14ac:dyDescent="0.25">
      <c r="A196" s="5">
        <v>44397</v>
      </c>
      <c r="B196">
        <v>1.0355E-2</v>
      </c>
      <c r="C196">
        <v>1.0436000000000001E-2</v>
      </c>
      <c r="D196">
        <v>8.8749999999999992E-3</v>
      </c>
      <c r="E196">
        <v>9.4009999999999996E-3</v>
      </c>
      <c r="F196">
        <v>103467863</v>
      </c>
      <c r="G196">
        <v>9.4009999999999996E-3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-0.3260730301089047</v>
      </c>
      <c r="Q196">
        <f t="shared" ref="Q196" si="952">F196*P196</f>
        <v>-33738079.607303023</v>
      </c>
      <c r="R196">
        <f t="shared" ref="R196" si="953">R197+Q196</f>
        <v>-3314315431.3073635</v>
      </c>
      <c r="S196">
        <f t="shared" ref="S196" si="954">R196/100000</f>
        <v>-33143.154313073632</v>
      </c>
      <c r="T196">
        <f t="shared" si="934"/>
        <v>-33.14315431307363</v>
      </c>
    </row>
    <row r="197" spans="1:20" x14ac:dyDescent="0.25">
      <c r="A197" s="5">
        <v>44396</v>
      </c>
      <c r="B197">
        <v>1.0482E-2</v>
      </c>
      <c r="C197">
        <v>1.0907E-2</v>
      </c>
      <c r="D197">
        <v>9.8250000000000004E-3</v>
      </c>
      <c r="E197">
        <v>1.0376E-2</v>
      </c>
      <c r="F197">
        <v>75952976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1.8484288354897589E-2</v>
      </c>
      <c r="Q197">
        <f t="shared" ref="Q197" si="956">F197*P197</f>
        <v>1403936.7097966161</v>
      </c>
      <c r="R197">
        <f t="shared" ref="R197" si="957">R198+Q197</f>
        <v>-3280577351.7000604</v>
      </c>
      <c r="S197">
        <f t="shared" ref="S197" si="958">R197/100000</f>
        <v>-32805.773517000605</v>
      </c>
      <c r="T197">
        <f t="shared" si="934"/>
        <v>-32.805773517000603</v>
      </c>
    </row>
    <row r="198" spans="1:20" x14ac:dyDescent="0.25">
      <c r="A198" s="5">
        <v>44395</v>
      </c>
      <c r="B198">
        <v>1.0558E-2</v>
      </c>
      <c r="C198">
        <v>1.0940999999999999E-2</v>
      </c>
      <c r="D198">
        <v>1.0274999999999999E-2</v>
      </c>
      <c r="E198">
        <v>1.0477E-2</v>
      </c>
      <c r="F198">
        <v>62403566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-0.39339339339339097</v>
      </c>
      <c r="Q198">
        <f t="shared" ref="Q198:Q261" si="960">F198*P198</f>
        <v>-24549150.588588439</v>
      </c>
      <c r="R198">
        <f t="shared" ref="R198:R261" si="961">R199+Q198</f>
        <v>-3281981288.4098568</v>
      </c>
      <c r="S198">
        <f t="shared" ref="S198:S261" si="962">R198/100000</f>
        <v>-32819.812884098566</v>
      </c>
      <c r="T198">
        <f t="shared" ref="T198:T261" si="963">S198/1000</f>
        <v>-32.819812884098567</v>
      </c>
    </row>
    <row r="199" spans="1:20" x14ac:dyDescent="0.25">
      <c r="A199" s="5">
        <v>44394</v>
      </c>
      <c r="B199">
        <v>1.0399E-2</v>
      </c>
      <c r="C199">
        <v>1.0638E-2</v>
      </c>
      <c r="D199">
        <v>1.022E-2</v>
      </c>
      <c r="E199">
        <v>1.0558E-2</v>
      </c>
      <c r="F199">
        <v>96961797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0.61722488038277412</v>
      </c>
      <c r="Q199">
        <f t="shared" si="960"/>
        <v>59847233.555023827</v>
      </c>
      <c r="R199">
        <f t="shared" si="961"/>
        <v>-3257432137.8212686</v>
      </c>
      <c r="S199">
        <f t="shared" si="962"/>
        <v>-32574.321378212684</v>
      </c>
      <c r="T199">
        <f t="shared" si="963"/>
        <v>-32.574321378212687</v>
      </c>
    </row>
    <row r="200" spans="1:20" x14ac:dyDescent="0.25">
      <c r="A200" s="5">
        <v>44393</v>
      </c>
      <c r="B200">
        <v>1.09E-2</v>
      </c>
      <c r="C200">
        <v>1.1299999999999999E-2</v>
      </c>
      <c r="D200">
        <v>1.01E-2</v>
      </c>
      <c r="E200">
        <v>1.0399E-2</v>
      </c>
      <c r="F200">
        <v>117355747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-0.50166666666666548</v>
      </c>
      <c r="Q200">
        <f t="shared" si="960"/>
        <v>-58873466.411666527</v>
      </c>
      <c r="R200">
        <f t="shared" si="961"/>
        <v>-3317279371.3762922</v>
      </c>
      <c r="S200">
        <f t="shared" si="962"/>
        <v>-33172.79371376292</v>
      </c>
      <c r="T200">
        <f t="shared" si="963"/>
        <v>-33.172793713762921</v>
      </c>
    </row>
    <row r="201" spans="1:20" x14ac:dyDescent="0.25">
      <c r="A201" s="5">
        <v>44392</v>
      </c>
      <c r="B201">
        <v>1.153E-2</v>
      </c>
      <c r="C201">
        <v>1.1728000000000001E-2</v>
      </c>
      <c r="D201">
        <v>1.0456999999999999E-2</v>
      </c>
      <c r="E201">
        <v>1.0893E-2</v>
      </c>
      <c r="F201">
        <v>150009035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-0.31392604248623102</v>
      </c>
      <c r="Q201">
        <f t="shared" si="960"/>
        <v>-47091742.694728516</v>
      </c>
      <c r="R201">
        <f t="shared" si="961"/>
        <v>-3258405904.9646258</v>
      </c>
      <c r="S201">
        <f t="shared" si="962"/>
        <v>-32584.059049646257</v>
      </c>
      <c r="T201">
        <f t="shared" si="963"/>
        <v>-32.584059049646257</v>
      </c>
    </row>
    <row r="202" spans="1:20" x14ac:dyDescent="0.25">
      <c r="A202" s="5">
        <v>44391</v>
      </c>
      <c r="B202">
        <v>1.2185E-2</v>
      </c>
      <c r="C202">
        <v>1.2312999999999999E-2</v>
      </c>
      <c r="D202">
        <v>1.0838E-2</v>
      </c>
      <c r="E202">
        <v>1.153E-2</v>
      </c>
      <c r="F202">
        <v>187892194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-6.1694915254236704E-2</v>
      </c>
      <c r="Q202">
        <f t="shared" si="960"/>
        <v>-11591992.985762602</v>
      </c>
      <c r="R202">
        <f t="shared" si="961"/>
        <v>-3211314162.2698975</v>
      </c>
      <c r="S202">
        <f t="shared" si="962"/>
        <v>-32113.141622698975</v>
      </c>
      <c r="T202">
        <f t="shared" si="963"/>
        <v>-32.113141622698976</v>
      </c>
    </row>
    <row r="203" spans="1:20" x14ac:dyDescent="0.25">
      <c r="A203" s="5">
        <v>44390</v>
      </c>
      <c r="B203">
        <v>1.2205000000000001E-2</v>
      </c>
      <c r="C203">
        <v>1.2774000000000001E-2</v>
      </c>
      <c r="D203">
        <v>1.1665E-2</v>
      </c>
      <c r="E203">
        <v>1.2185E-2</v>
      </c>
      <c r="F203">
        <v>137788015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-6.2218214607755916E-2</v>
      </c>
      <c r="Q203">
        <f t="shared" si="960"/>
        <v>-8572924.2876466904</v>
      </c>
      <c r="R203">
        <f t="shared" si="961"/>
        <v>-3199722169.2841349</v>
      </c>
      <c r="S203">
        <f t="shared" si="962"/>
        <v>-31997.221692841347</v>
      </c>
      <c r="T203">
        <f t="shared" si="963"/>
        <v>-31.997221692841347</v>
      </c>
    </row>
    <row r="204" spans="1:20" x14ac:dyDescent="0.25">
      <c r="A204" s="5">
        <v>44389</v>
      </c>
      <c r="B204">
        <v>1.2302E-2</v>
      </c>
      <c r="C204">
        <v>1.2699999999999999E-2</v>
      </c>
      <c r="D204">
        <v>1.1795E-2</v>
      </c>
      <c r="E204">
        <v>1.2211E-2</v>
      </c>
      <c r="F204">
        <v>120976826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-8.0662983425414572E-2</v>
      </c>
      <c r="Q204">
        <f t="shared" si="960"/>
        <v>-9758351.710497262</v>
      </c>
      <c r="R204">
        <f t="shared" si="961"/>
        <v>-3191149244.9964881</v>
      </c>
      <c r="S204">
        <f t="shared" si="962"/>
        <v>-31911.492449964881</v>
      </c>
      <c r="T204">
        <f t="shared" si="963"/>
        <v>-31.911492449964882</v>
      </c>
    </row>
    <row r="205" spans="1:20" x14ac:dyDescent="0.25">
      <c r="A205" s="5">
        <v>44388</v>
      </c>
      <c r="B205">
        <v>1.1788E-2</v>
      </c>
      <c r="C205">
        <v>1.2432E-2</v>
      </c>
      <c r="D205">
        <v>1.1769E-2</v>
      </c>
      <c r="E205">
        <v>1.2302E-2</v>
      </c>
      <c r="F205">
        <v>108666880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0.60784313725490247</v>
      </c>
      <c r="Q205">
        <f t="shared" si="960"/>
        <v>66052417.254902013</v>
      </c>
      <c r="R205">
        <f t="shared" si="961"/>
        <v>-3181390893.2859907</v>
      </c>
      <c r="S205">
        <f t="shared" si="962"/>
        <v>-31813.908932859908</v>
      </c>
      <c r="T205">
        <f t="shared" si="963"/>
        <v>-31.813908932859906</v>
      </c>
    </row>
    <row r="206" spans="1:20" x14ac:dyDescent="0.25">
      <c r="A206" s="5">
        <v>44387</v>
      </c>
      <c r="B206">
        <v>1.1771E-2</v>
      </c>
      <c r="C206">
        <v>1.2758E-2</v>
      </c>
      <c r="D206">
        <v>1.1488999999999999E-2</v>
      </c>
      <c r="E206">
        <v>1.1788E-2</v>
      </c>
      <c r="F206">
        <v>179770731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-0.52876280535854936</v>
      </c>
      <c r="Q206">
        <f t="shared" si="960"/>
        <v>-95056076.044917136</v>
      </c>
      <c r="R206">
        <f t="shared" si="961"/>
        <v>-3247443310.5408926</v>
      </c>
      <c r="S206">
        <f t="shared" si="962"/>
        <v>-32474.433105408927</v>
      </c>
      <c r="T206">
        <f t="shared" si="963"/>
        <v>-32.474433105408927</v>
      </c>
    </row>
    <row r="207" spans="1:20" x14ac:dyDescent="0.25">
      <c r="A207" s="5">
        <v>44386</v>
      </c>
      <c r="B207">
        <v>1.1849E-2</v>
      </c>
      <c r="C207">
        <v>1.1950000000000001E-2</v>
      </c>
      <c r="D207">
        <v>1.1009E-2</v>
      </c>
      <c r="E207">
        <v>1.1745999999999999E-2</v>
      </c>
      <c r="F207">
        <v>141245416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0.56641870350690571</v>
      </c>
      <c r="Q207">
        <f t="shared" si="960"/>
        <v>80004045.40701355</v>
      </c>
      <c r="R207">
        <f t="shared" si="961"/>
        <v>-3152387234.4959755</v>
      </c>
      <c r="S207">
        <f t="shared" si="962"/>
        <v>-31523.872344959756</v>
      </c>
      <c r="T207">
        <f t="shared" si="963"/>
        <v>-31.523872344959756</v>
      </c>
    </row>
    <row r="208" spans="1:20" x14ac:dyDescent="0.25">
      <c r="A208" s="5">
        <v>44385</v>
      </c>
      <c r="B208">
        <v>1.3509999999999999E-2</v>
      </c>
      <c r="C208">
        <v>1.4123E-2</v>
      </c>
      <c r="D208">
        <v>1.1299999999999999E-2</v>
      </c>
      <c r="E208">
        <v>1.1886000000000001E-2</v>
      </c>
      <c r="F208">
        <v>305829626</v>
      </c>
      <c r="G208">
        <v>0</v>
      </c>
      <c r="L208" t="s">
        <v>8</v>
      </c>
      <c r="M208" t="s">
        <v>7</v>
      </c>
      <c r="N208" t="s">
        <v>8</v>
      </c>
      <c r="P208">
        <f t="shared" si="959"/>
        <v>-0.58483882394615572</v>
      </c>
      <c r="Q208">
        <f t="shared" si="960"/>
        <v>-178861038.79773265</v>
      </c>
      <c r="R208">
        <f t="shared" si="961"/>
        <v>-3232391279.9029889</v>
      </c>
      <c r="S208">
        <f t="shared" si="962"/>
        <v>-32323.912799029888</v>
      </c>
      <c r="T208">
        <f t="shared" si="963"/>
        <v>-32.323912799029884</v>
      </c>
    </row>
    <row r="209" spans="1:20" x14ac:dyDescent="0.25">
      <c r="A209" s="5">
        <v>44384</v>
      </c>
      <c r="B209">
        <v>1.1983000000000001E-2</v>
      </c>
      <c r="C209">
        <v>1.38E-2</v>
      </c>
      <c r="D209">
        <v>1.1625E-2</v>
      </c>
      <c r="E209">
        <v>1.3535E-2</v>
      </c>
      <c r="F209">
        <v>257770511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0.75632183908046013</v>
      </c>
      <c r="Q209">
        <f t="shared" si="960"/>
        <v>194957466.94022998</v>
      </c>
      <c r="R209">
        <f t="shared" si="961"/>
        <v>-3053530241.1052561</v>
      </c>
      <c r="S209">
        <f t="shared" si="962"/>
        <v>-30535.302411052562</v>
      </c>
      <c r="T209">
        <f t="shared" si="963"/>
        <v>-30.535302411052562</v>
      </c>
    </row>
    <row r="210" spans="1:20" x14ac:dyDescent="0.25">
      <c r="A210" s="5">
        <v>44383</v>
      </c>
      <c r="B210">
        <v>1.1004E-2</v>
      </c>
      <c r="C210">
        <v>1.2192E-2</v>
      </c>
      <c r="D210">
        <v>1.0966E-2</v>
      </c>
      <c r="E210">
        <v>1.1984E-2</v>
      </c>
      <c r="F210">
        <v>163211697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0.66068515497553038</v>
      </c>
      <c r="Q210">
        <f t="shared" si="960"/>
        <v>107831545.32626431</v>
      </c>
      <c r="R210">
        <f t="shared" si="961"/>
        <v>-3248487708.045486</v>
      </c>
      <c r="S210">
        <f t="shared" si="962"/>
        <v>-32484.877080454859</v>
      </c>
      <c r="T210">
        <f t="shared" si="963"/>
        <v>-32.484877080454858</v>
      </c>
    </row>
    <row r="211" spans="1:20" x14ac:dyDescent="0.25">
      <c r="A211" s="5">
        <v>44382</v>
      </c>
      <c r="B211">
        <v>1.1186E-2</v>
      </c>
      <c r="C211">
        <v>1.1349E-2</v>
      </c>
      <c r="D211">
        <v>1.0777E-2</v>
      </c>
      <c r="E211">
        <v>1.1006E-2</v>
      </c>
      <c r="F211">
        <v>122080240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-0.1993006993006986</v>
      </c>
      <c r="Q211">
        <f t="shared" si="960"/>
        <v>-24330677.202797119</v>
      </c>
      <c r="R211">
        <f t="shared" si="961"/>
        <v>-3356319253.3717504</v>
      </c>
      <c r="S211">
        <f t="shared" si="962"/>
        <v>-33563.192533717505</v>
      </c>
      <c r="T211">
        <f t="shared" si="963"/>
        <v>-33.563192533717505</v>
      </c>
    </row>
    <row r="212" spans="1:20" x14ac:dyDescent="0.25">
      <c r="A212" s="5">
        <v>44381</v>
      </c>
      <c r="B212">
        <v>1.1086E-2</v>
      </c>
      <c r="C212">
        <v>1.1648E-2</v>
      </c>
      <c r="D212">
        <v>1.085E-2</v>
      </c>
      <c r="E212">
        <v>1.1192000000000001E-2</v>
      </c>
      <c r="F212">
        <v>166031424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-0.14285714285714224</v>
      </c>
      <c r="Q212">
        <f t="shared" si="960"/>
        <v>-23718774.857142754</v>
      </c>
      <c r="R212">
        <f t="shared" si="961"/>
        <v>-3331988576.1689534</v>
      </c>
      <c r="S212">
        <f t="shared" si="962"/>
        <v>-33319.885761689533</v>
      </c>
      <c r="T212">
        <f t="shared" si="963"/>
        <v>-33.319885761689534</v>
      </c>
    </row>
    <row r="213" spans="1:20" x14ac:dyDescent="0.25">
      <c r="A213" s="5">
        <v>44380</v>
      </c>
      <c r="B213">
        <v>1.1372999999999999E-2</v>
      </c>
      <c r="C213">
        <v>1.1781E-2</v>
      </c>
      <c r="D213">
        <v>1.085E-2</v>
      </c>
      <c r="E213">
        <v>1.1069000000000001E-2</v>
      </c>
      <c r="F213">
        <v>182899451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-0.52953813104188929</v>
      </c>
      <c r="Q213">
        <f t="shared" si="960"/>
        <v>-96852233.451127604</v>
      </c>
      <c r="R213">
        <f t="shared" si="961"/>
        <v>-3308269801.3118105</v>
      </c>
      <c r="S213">
        <f t="shared" si="962"/>
        <v>-33082.698013118104</v>
      </c>
      <c r="T213">
        <f t="shared" si="963"/>
        <v>-33.082698013118105</v>
      </c>
    </row>
    <row r="214" spans="1:20" x14ac:dyDescent="0.25">
      <c r="A214" s="5">
        <v>44379</v>
      </c>
      <c r="B214">
        <v>1.0904E-2</v>
      </c>
      <c r="C214">
        <v>1.17E-2</v>
      </c>
      <c r="D214">
        <v>1.0721E-2</v>
      </c>
      <c r="E214">
        <v>1.1384E-2</v>
      </c>
      <c r="F214">
        <v>197596610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0.3544433094994891</v>
      </c>
      <c r="Q214">
        <f t="shared" si="960"/>
        <v>70036796.394279838</v>
      </c>
      <c r="R214">
        <f t="shared" si="961"/>
        <v>-3211417567.860683</v>
      </c>
      <c r="S214">
        <f t="shared" si="962"/>
        <v>-32114.175678606829</v>
      </c>
      <c r="T214">
        <f t="shared" si="963"/>
        <v>-32.114175678606827</v>
      </c>
    </row>
    <row r="215" spans="1:20" x14ac:dyDescent="0.25">
      <c r="A215" s="5">
        <v>44378</v>
      </c>
      <c r="B215">
        <v>1.1893000000000001E-2</v>
      </c>
      <c r="C215">
        <v>1.2789E-2</v>
      </c>
      <c r="D215">
        <v>1.0721E-2</v>
      </c>
      <c r="E215">
        <v>1.0924E-2</v>
      </c>
      <c r="F215">
        <v>870618451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-0.80367504835589942</v>
      </c>
      <c r="Q215">
        <f t="shared" si="960"/>
        <v>-699694325.7069633</v>
      </c>
      <c r="R215">
        <f t="shared" si="961"/>
        <v>-3281454364.2549629</v>
      </c>
      <c r="S215">
        <f t="shared" si="962"/>
        <v>-32814.54364254963</v>
      </c>
      <c r="T215">
        <f t="shared" si="963"/>
        <v>-32.81454364254963</v>
      </c>
    </row>
    <row r="216" spans="1:20" x14ac:dyDescent="0.25">
      <c r="A216" s="5">
        <v>44377</v>
      </c>
      <c r="B216">
        <v>9.3449999999999991E-3</v>
      </c>
      <c r="C216">
        <v>1.2801E-2</v>
      </c>
      <c r="D216">
        <v>8.6110000000000006E-3</v>
      </c>
      <c r="E216">
        <v>1.1920999999999999E-2</v>
      </c>
      <c r="F216">
        <v>988420161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0.57995226730310223</v>
      </c>
      <c r="Q216">
        <f t="shared" si="960"/>
        <v>573236513.4200474</v>
      </c>
      <c r="R216">
        <f t="shared" si="961"/>
        <v>-2581760038.5479999</v>
      </c>
      <c r="S216">
        <f t="shared" si="962"/>
        <v>-25817.60038548</v>
      </c>
      <c r="T216">
        <f t="shared" si="963"/>
        <v>-25.817600385479999</v>
      </c>
    </row>
    <row r="217" spans="1:20" x14ac:dyDescent="0.25">
      <c r="A217" s="5">
        <v>44376</v>
      </c>
      <c r="B217">
        <v>9.1380000000000003E-3</v>
      </c>
      <c r="C217">
        <v>9.9179999999999997E-3</v>
      </c>
      <c r="D217">
        <v>9.0699999999999999E-3</v>
      </c>
      <c r="E217">
        <v>9.3380000000000008E-3</v>
      </c>
      <c r="F217">
        <v>279770308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-0.36792452830188455</v>
      </c>
      <c r="Q217">
        <f t="shared" si="960"/>
        <v>-102934358.60377295</v>
      </c>
      <c r="R217">
        <f t="shared" si="961"/>
        <v>-3154996551.9680471</v>
      </c>
      <c r="S217">
        <f t="shared" si="962"/>
        <v>-31549.965519680471</v>
      </c>
      <c r="T217">
        <f t="shared" si="963"/>
        <v>-31.54996551968047</v>
      </c>
    </row>
    <row r="218" spans="1:20" x14ac:dyDescent="0.25">
      <c r="A218" s="5">
        <v>44375</v>
      </c>
      <c r="B218">
        <v>9.2809999999999993E-3</v>
      </c>
      <c r="C218">
        <v>9.8320000000000005E-3</v>
      </c>
      <c r="D218">
        <v>9.0159999999999997E-3</v>
      </c>
      <c r="E218">
        <v>9.1380000000000003E-3</v>
      </c>
      <c r="F218">
        <v>222510432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-0.70098039215686159</v>
      </c>
      <c r="Q218">
        <f t="shared" si="960"/>
        <v>-155975449.88235268</v>
      </c>
      <c r="R218">
        <f t="shared" si="961"/>
        <v>-3052062193.364274</v>
      </c>
      <c r="S218">
        <f t="shared" si="962"/>
        <v>-30520.621933642738</v>
      </c>
      <c r="T218">
        <f t="shared" si="963"/>
        <v>-30.520621933642737</v>
      </c>
    </row>
    <row r="219" spans="1:20" x14ac:dyDescent="0.25">
      <c r="A219" s="5">
        <v>44374</v>
      </c>
      <c r="B219">
        <v>9.2300000000000004E-3</v>
      </c>
      <c r="C219">
        <v>9.6539999999999994E-3</v>
      </c>
      <c r="D219">
        <v>8.7360000000000007E-3</v>
      </c>
      <c r="E219">
        <v>9.2669999999999992E-3</v>
      </c>
      <c r="F219">
        <v>223743812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0.15686274509803758</v>
      </c>
      <c r="Q219">
        <f t="shared" si="960"/>
        <v>35097068.54901924</v>
      </c>
      <c r="R219">
        <f t="shared" si="961"/>
        <v>-2896086743.4819212</v>
      </c>
      <c r="S219">
        <f t="shared" si="962"/>
        <v>-28960.867434819211</v>
      </c>
      <c r="T219">
        <f t="shared" si="963"/>
        <v>-28.96086743481921</v>
      </c>
    </row>
    <row r="220" spans="1:20" x14ac:dyDescent="0.25">
      <c r="A220" s="5">
        <v>44373</v>
      </c>
      <c r="B220">
        <v>1.0119E-2</v>
      </c>
      <c r="C220">
        <v>1.0330000000000001E-2</v>
      </c>
      <c r="D220">
        <v>8.2019999999999992E-3</v>
      </c>
      <c r="E220">
        <v>9.2300000000000004E-3</v>
      </c>
      <c r="F220">
        <v>547038888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-3.3834586466164988E-2</v>
      </c>
      <c r="Q220">
        <f t="shared" si="960"/>
        <v>-18508834.556390744</v>
      </c>
      <c r="R220">
        <f t="shared" si="961"/>
        <v>-2931183812.0309405</v>
      </c>
      <c r="S220">
        <f t="shared" si="962"/>
        <v>-29311.838120309407</v>
      </c>
      <c r="T220">
        <f t="shared" si="963"/>
        <v>-29.311838120309407</v>
      </c>
    </row>
    <row r="221" spans="1:20" x14ac:dyDescent="0.25">
      <c r="A221" s="5">
        <v>44372</v>
      </c>
      <c r="B221">
        <v>8.1390000000000004E-3</v>
      </c>
      <c r="C221">
        <v>1.1886000000000001E-2</v>
      </c>
      <c r="D221">
        <v>8.1390000000000004E-3</v>
      </c>
      <c r="E221">
        <v>1.0119E-2</v>
      </c>
      <c r="F221">
        <v>1952436968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5.6845476381104321E-2</v>
      </c>
      <c r="Q221">
        <f t="shared" si="960"/>
        <v>110987209.55003893</v>
      </c>
      <c r="R221">
        <f t="shared" si="961"/>
        <v>-2912674977.4745498</v>
      </c>
      <c r="S221">
        <f t="shared" si="962"/>
        <v>-29126.749774745498</v>
      </c>
      <c r="T221">
        <f t="shared" si="963"/>
        <v>-29.126749774745498</v>
      </c>
    </row>
    <row r="222" spans="1:20" x14ac:dyDescent="0.25">
      <c r="A222" s="5">
        <v>44371</v>
      </c>
      <c r="B222">
        <v>7.3810000000000004E-3</v>
      </c>
      <c r="C222">
        <v>8.404E-3</v>
      </c>
      <c r="D222">
        <v>7.1279999999999998E-3</v>
      </c>
      <c r="E222">
        <v>8.1390000000000004E-3</v>
      </c>
      <c r="F222">
        <v>222745624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0.58463949843260254</v>
      </c>
      <c r="Q222">
        <f t="shared" si="960"/>
        <v>130225889.89341708</v>
      </c>
      <c r="R222">
        <f t="shared" si="961"/>
        <v>-3023662187.0245886</v>
      </c>
      <c r="S222">
        <f t="shared" si="962"/>
        <v>-30236.621870245886</v>
      </c>
      <c r="T222">
        <f t="shared" si="963"/>
        <v>-30.236621870245887</v>
      </c>
    </row>
    <row r="223" spans="1:20" x14ac:dyDescent="0.25">
      <c r="A223" s="5">
        <v>44370</v>
      </c>
      <c r="B223">
        <v>7.0000000000000001E-3</v>
      </c>
      <c r="C223">
        <v>7.705E-3</v>
      </c>
      <c r="D223">
        <v>6.7019999999999996E-3</v>
      </c>
      <c r="E223">
        <v>7.3759999999999997E-3</v>
      </c>
      <c r="F223">
        <v>134397091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0.34396809571286108</v>
      </c>
      <c r="Q223">
        <f t="shared" si="960"/>
        <v>46228311.460618101</v>
      </c>
      <c r="R223">
        <f t="shared" si="961"/>
        <v>-3153888076.9180055</v>
      </c>
      <c r="S223">
        <f t="shared" si="962"/>
        <v>-31538.880769180054</v>
      </c>
      <c r="T223">
        <f t="shared" si="963"/>
        <v>-31.538880769180054</v>
      </c>
    </row>
    <row r="224" spans="1:20" x14ac:dyDescent="0.25">
      <c r="A224" s="5">
        <v>44369</v>
      </c>
      <c r="B224">
        <v>7.8829999999999994E-3</v>
      </c>
      <c r="C224">
        <v>8.3000000000000001E-3</v>
      </c>
      <c r="D224">
        <v>5.5999999999999999E-3</v>
      </c>
      <c r="E224">
        <v>6.9639999999999997E-3</v>
      </c>
      <c r="F224">
        <v>311491093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1.0370370370370139E-2</v>
      </c>
      <c r="Q224">
        <f t="shared" si="960"/>
        <v>3230278.0014814097</v>
      </c>
      <c r="R224">
        <f t="shared" si="961"/>
        <v>-3200116388.3786235</v>
      </c>
      <c r="S224">
        <f t="shared" si="962"/>
        <v>-32001.163883786234</v>
      </c>
      <c r="T224">
        <f t="shared" si="963"/>
        <v>-32.001163883786234</v>
      </c>
    </row>
    <row r="225" spans="1:20" x14ac:dyDescent="0.25">
      <c r="A225" s="5">
        <v>44368</v>
      </c>
      <c r="B225">
        <v>1.1053E-2</v>
      </c>
      <c r="C225">
        <v>1.1129999999999999E-2</v>
      </c>
      <c r="D225">
        <v>7.7289999999999998E-3</v>
      </c>
      <c r="E225">
        <v>7.9019999999999993E-3</v>
      </c>
      <c r="F225">
        <v>283218240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-0.89826521611290822</v>
      </c>
      <c r="Q225">
        <f t="shared" si="960"/>
        <v>-254405093.56071749</v>
      </c>
      <c r="R225">
        <f t="shared" si="961"/>
        <v>-3203346666.380105</v>
      </c>
      <c r="S225">
        <f t="shared" si="962"/>
        <v>-32033.466663801049</v>
      </c>
      <c r="T225">
        <f t="shared" si="963"/>
        <v>-32.03346666380105</v>
      </c>
    </row>
    <row r="226" spans="1:20" x14ac:dyDescent="0.25">
      <c r="A226" s="5">
        <v>44367</v>
      </c>
      <c r="B226">
        <v>1.1396999999999999E-2</v>
      </c>
      <c r="C226">
        <v>1.1632E-2</v>
      </c>
      <c r="D226">
        <v>9.9950000000000004E-3</v>
      </c>
      <c r="E226">
        <v>1.1048000000000001E-2</v>
      </c>
      <c r="F226">
        <v>196643283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0.28649969456322588</v>
      </c>
      <c r="Q226">
        <f t="shared" si="960"/>
        <v>56338240.517409988</v>
      </c>
      <c r="R226">
        <f t="shared" si="961"/>
        <v>-2948941572.8193874</v>
      </c>
      <c r="S226">
        <f t="shared" si="962"/>
        <v>-29489.415728193875</v>
      </c>
      <c r="T226">
        <f t="shared" si="963"/>
        <v>-29.489415728193876</v>
      </c>
    </row>
    <row r="227" spans="1:20" x14ac:dyDescent="0.25">
      <c r="A227" s="5">
        <v>44366</v>
      </c>
      <c r="B227">
        <v>1.142E-2</v>
      </c>
      <c r="C227">
        <v>1.1835E-2</v>
      </c>
      <c r="D227">
        <v>1.119E-2</v>
      </c>
      <c r="E227">
        <v>1.1363E-2</v>
      </c>
      <c r="F227">
        <v>128223012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-0.46356589147286942</v>
      </c>
      <c r="Q227">
        <f t="shared" si="960"/>
        <v>-59439814.865116432</v>
      </c>
      <c r="R227">
        <f t="shared" si="961"/>
        <v>-3005279813.3367972</v>
      </c>
      <c r="S227">
        <f t="shared" si="962"/>
        <v>-30052.798133367971</v>
      </c>
      <c r="T227">
        <f t="shared" si="963"/>
        <v>-30.052798133367972</v>
      </c>
    </row>
    <row r="228" spans="1:20" x14ac:dyDescent="0.25">
      <c r="A228" s="5">
        <v>44365</v>
      </c>
      <c r="B228">
        <v>1.2267E-2</v>
      </c>
      <c r="C228">
        <v>1.2385E-2</v>
      </c>
      <c r="D228">
        <v>1.0874999999999999E-2</v>
      </c>
      <c r="E228">
        <v>1.142E-2</v>
      </c>
      <c r="F228">
        <v>167283629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-0.27814569536423839</v>
      </c>
      <c r="Q228">
        <f t="shared" si="960"/>
        <v>-46529221.311258271</v>
      </c>
      <c r="R228">
        <f t="shared" si="961"/>
        <v>-2945839998.4716806</v>
      </c>
      <c r="S228">
        <f t="shared" si="962"/>
        <v>-29458.399984716805</v>
      </c>
      <c r="T228">
        <f t="shared" si="963"/>
        <v>-29.458399984716806</v>
      </c>
    </row>
    <row r="229" spans="1:20" x14ac:dyDescent="0.25">
      <c r="A229" s="5">
        <v>44364</v>
      </c>
      <c r="B229">
        <v>1.2215E-2</v>
      </c>
      <c r="C229">
        <v>1.2899000000000001E-2</v>
      </c>
      <c r="D229">
        <v>1.1825E-2</v>
      </c>
      <c r="E229">
        <v>1.2255E-2</v>
      </c>
      <c r="F229">
        <v>165213825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-0.19925512104283108</v>
      </c>
      <c r="Q229">
        <f t="shared" si="960"/>
        <v>-32919700.69832411</v>
      </c>
      <c r="R229">
        <f t="shared" si="961"/>
        <v>-2899310777.1604223</v>
      </c>
      <c r="S229">
        <f t="shared" si="962"/>
        <v>-28993.107771604224</v>
      </c>
      <c r="T229">
        <f t="shared" si="963"/>
        <v>-28.993107771604222</v>
      </c>
    </row>
    <row r="230" spans="1:20" x14ac:dyDescent="0.25">
      <c r="A230" s="5">
        <v>44363</v>
      </c>
      <c r="B230">
        <v>1.3269E-2</v>
      </c>
      <c r="C230">
        <v>1.3517E-2</v>
      </c>
      <c r="D230">
        <v>1.205E-2</v>
      </c>
      <c r="E230">
        <v>1.2266000000000001E-2</v>
      </c>
      <c r="F230">
        <v>192451672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-0.70552147239263674</v>
      </c>
      <c r="Q230">
        <f t="shared" si="960"/>
        <v>-135778786.99386477</v>
      </c>
      <c r="R230">
        <f t="shared" si="961"/>
        <v>-2866391076.4620981</v>
      </c>
      <c r="S230">
        <f t="shared" si="962"/>
        <v>-28663.910764620981</v>
      </c>
      <c r="T230">
        <f t="shared" si="963"/>
        <v>-28.663910764620983</v>
      </c>
    </row>
    <row r="231" spans="1:20" x14ac:dyDescent="0.25">
      <c r="A231" s="5">
        <v>44362</v>
      </c>
      <c r="B231">
        <v>1.2971E-2</v>
      </c>
      <c r="C231">
        <v>1.4567999999999999E-2</v>
      </c>
      <c r="D231">
        <v>1.2558E-2</v>
      </c>
      <c r="E231">
        <v>1.3259999999999999E-2</v>
      </c>
      <c r="F231">
        <v>373337894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-0.30149253731343323</v>
      </c>
      <c r="Q231">
        <f t="shared" si="960"/>
        <v>-112558588.93731359</v>
      </c>
      <c r="R231">
        <f t="shared" si="961"/>
        <v>-2730612289.4682336</v>
      </c>
      <c r="S231">
        <f t="shared" si="962"/>
        <v>-27306.122894682336</v>
      </c>
      <c r="T231">
        <f t="shared" si="963"/>
        <v>-27.306122894682336</v>
      </c>
    </row>
    <row r="232" spans="1:20" x14ac:dyDescent="0.25">
      <c r="A232" s="5">
        <v>44361</v>
      </c>
      <c r="B232">
        <v>1.2985E-2</v>
      </c>
      <c r="C232">
        <v>1.3091999999999999E-2</v>
      </c>
      <c r="D232">
        <v>1.2352E-2</v>
      </c>
      <c r="E232">
        <v>1.2973E-2</v>
      </c>
      <c r="F232">
        <v>411345314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0.67837837837838</v>
      </c>
      <c r="Q232">
        <f t="shared" si="960"/>
        <v>279047767.06486553</v>
      </c>
      <c r="R232">
        <f t="shared" si="961"/>
        <v>-2618053700.53092</v>
      </c>
      <c r="S232">
        <f t="shared" si="962"/>
        <v>-26180.537005309201</v>
      </c>
      <c r="T232">
        <f t="shared" si="963"/>
        <v>-26.180537005309201</v>
      </c>
    </row>
    <row r="233" spans="1:20" x14ac:dyDescent="0.25">
      <c r="A233" s="5">
        <v>44360</v>
      </c>
      <c r="B233">
        <v>1.1498E-2</v>
      </c>
      <c r="C233">
        <v>1.3613999999999999E-2</v>
      </c>
      <c r="D233">
        <v>1.1498E-2</v>
      </c>
      <c r="E233">
        <v>1.2987E-2</v>
      </c>
      <c r="F233">
        <v>692936958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0.4073724007561445</v>
      </c>
      <c r="Q233">
        <f t="shared" si="960"/>
        <v>282283392.15311968</v>
      </c>
      <c r="R233">
        <f t="shared" si="961"/>
        <v>-2897101467.5957856</v>
      </c>
      <c r="S233">
        <f t="shared" si="962"/>
        <v>-28971.014675957857</v>
      </c>
      <c r="T233">
        <f t="shared" si="963"/>
        <v>-28.971014675957857</v>
      </c>
    </row>
    <row r="234" spans="1:20" x14ac:dyDescent="0.25">
      <c r="A234" s="5">
        <v>44359</v>
      </c>
      <c r="B234">
        <v>1.2857E-2</v>
      </c>
      <c r="C234">
        <v>1.367E-2</v>
      </c>
      <c r="D234">
        <v>1.0838E-2</v>
      </c>
      <c r="E234">
        <v>1.1498E-2</v>
      </c>
      <c r="F234">
        <v>391212447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-0.53389830508474634</v>
      </c>
      <c r="Q234">
        <f t="shared" si="960"/>
        <v>-208867662.38135615</v>
      </c>
      <c r="R234">
        <f t="shared" si="961"/>
        <v>-3179384859.7489052</v>
      </c>
      <c r="S234">
        <f t="shared" si="962"/>
        <v>-31793.84859748905</v>
      </c>
      <c r="T234">
        <f t="shared" si="963"/>
        <v>-31.793848597489049</v>
      </c>
    </row>
    <row r="235" spans="1:20" x14ac:dyDescent="0.25">
      <c r="A235" s="5">
        <v>44358</v>
      </c>
      <c r="B235">
        <v>1.4955E-2</v>
      </c>
      <c r="C235">
        <v>1.555E-2</v>
      </c>
      <c r="D235">
        <v>1.2649000000000001E-2</v>
      </c>
      <c r="E235">
        <v>1.2857E-2</v>
      </c>
      <c r="F235">
        <v>461494880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-0.85660117200965191</v>
      </c>
      <c r="Q235">
        <f t="shared" si="960"/>
        <v>-395317055.08445364</v>
      </c>
      <c r="R235">
        <f t="shared" si="961"/>
        <v>-2970517197.3675489</v>
      </c>
      <c r="S235">
        <f t="shared" si="962"/>
        <v>-29705.171973675489</v>
      </c>
      <c r="T235">
        <f t="shared" si="963"/>
        <v>-29.70517197367549</v>
      </c>
    </row>
    <row r="236" spans="1:20" x14ac:dyDescent="0.25">
      <c r="A236" s="5">
        <v>44357</v>
      </c>
      <c r="B236">
        <v>1.3802999999999999E-2</v>
      </c>
      <c r="C236">
        <v>1.7999999999999999E-2</v>
      </c>
      <c r="D236">
        <v>1.354E-2</v>
      </c>
      <c r="E236">
        <v>1.5011E-2</v>
      </c>
      <c r="F236">
        <v>1353923401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-0.34035874439461861</v>
      </c>
      <c r="Q236">
        <f t="shared" si="960"/>
        <v>-460819668.77085173</v>
      </c>
      <c r="R236">
        <f t="shared" si="961"/>
        <v>-2575200142.2830954</v>
      </c>
      <c r="S236">
        <f t="shared" si="962"/>
        <v>-25752.001422830952</v>
      </c>
      <c r="T236">
        <f t="shared" si="963"/>
        <v>-25.752001422830951</v>
      </c>
    </row>
    <row r="237" spans="1:20" x14ac:dyDescent="0.25">
      <c r="A237" s="5">
        <v>44356</v>
      </c>
      <c r="B237">
        <v>1.3689E-2</v>
      </c>
      <c r="C237">
        <v>1.4085E-2</v>
      </c>
      <c r="D237">
        <v>1.2338E-2</v>
      </c>
      <c r="E237">
        <v>1.3802999999999999E-2</v>
      </c>
      <c r="F237">
        <v>362914212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0.67716084716657021</v>
      </c>
      <c r="Q237">
        <f t="shared" si="960"/>
        <v>245751295.24670827</v>
      </c>
      <c r="R237">
        <f t="shared" si="961"/>
        <v>-2114380473.5122437</v>
      </c>
      <c r="S237">
        <f t="shared" si="962"/>
        <v>-21143.804735122438</v>
      </c>
      <c r="T237">
        <f t="shared" si="963"/>
        <v>-21.143804735122437</v>
      </c>
    </row>
    <row r="238" spans="1:20" x14ac:dyDescent="0.25">
      <c r="A238" s="5">
        <v>44355</v>
      </c>
      <c r="B238">
        <v>1.4654E-2</v>
      </c>
      <c r="C238">
        <v>1.5949999999999999E-2</v>
      </c>
      <c r="D238">
        <v>1.2001E-2</v>
      </c>
      <c r="E238">
        <v>1.3669000000000001E-2</v>
      </c>
      <c r="F238">
        <v>557593888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-0.15522917194226318</v>
      </c>
      <c r="Q238">
        <f t="shared" si="960"/>
        <v>-86554837.514307037</v>
      </c>
      <c r="R238">
        <f t="shared" si="961"/>
        <v>-2360131768.7589521</v>
      </c>
      <c r="S238">
        <f t="shared" si="962"/>
        <v>-23601.317687589522</v>
      </c>
      <c r="T238">
        <f t="shared" si="963"/>
        <v>-23.601317687589521</v>
      </c>
    </row>
    <row r="239" spans="1:20" x14ac:dyDescent="0.25">
      <c r="A239" s="5">
        <v>44354</v>
      </c>
      <c r="B239">
        <v>1.8291000000000002E-2</v>
      </c>
      <c r="C239">
        <v>1.83E-2</v>
      </c>
      <c r="D239">
        <v>1.4500000000000001E-2</v>
      </c>
      <c r="E239">
        <v>1.4685E-2</v>
      </c>
      <c r="F239">
        <v>712485850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-0.90263157894736867</v>
      </c>
      <c r="Q239">
        <f t="shared" si="960"/>
        <v>-643112227.76315808</v>
      </c>
      <c r="R239">
        <f t="shared" si="961"/>
        <v>-2273576931.2446451</v>
      </c>
      <c r="S239">
        <f t="shared" si="962"/>
        <v>-22735.769312446449</v>
      </c>
      <c r="T239">
        <f t="shared" si="963"/>
        <v>-22.73576931244645</v>
      </c>
    </row>
    <row r="240" spans="1:20" x14ac:dyDescent="0.25">
      <c r="A240" s="5">
        <v>44353</v>
      </c>
      <c r="B240">
        <v>1.7753999999999999E-2</v>
      </c>
      <c r="C240">
        <v>2.2950000000000002E-2</v>
      </c>
      <c r="D240">
        <v>1.592E-2</v>
      </c>
      <c r="E240">
        <v>1.8293E-2</v>
      </c>
      <c r="F240">
        <v>1828779808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-0.3248933143669987</v>
      </c>
      <c r="Q240">
        <f t="shared" si="960"/>
        <v>-594158333.06856346</v>
      </c>
      <c r="R240">
        <f t="shared" si="961"/>
        <v>-1630464703.4814868</v>
      </c>
      <c r="S240">
        <f t="shared" si="962"/>
        <v>-16304.647034814869</v>
      </c>
      <c r="T240">
        <f t="shared" si="963"/>
        <v>-16.30464703481487</v>
      </c>
    </row>
    <row r="241" spans="1:20" x14ac:dyDescent="0.25">
      <c r="A241" s="5">
        <v>44352</v>
      </c>
      <c r="B241">
        <v>1.5838999999999999E-2</v>
      </c>
      <c r="C241">
        <v>2.2872E-2</v>
      </c>
      <c r="D241">
        <v>1.4213999999999999E-2</v>
      </c>
      <c r="E241">
        <v>1.7762E-2</v>
      </c>
      <c r="F241">
        <v>2857006242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-0.18041118041118029</v>
      </c>
      <c r="Q241">
        <f t="shared" si="960"/>
        <v>-515435868.5613302</v>
      </c>
      <c r="R241">
        <f t="shared" si="961"/>
        <v>-1036306370.4129232</v>
      </c>
      <c r="S241">
        <f t="shared" si="962"/>
        <v>-10363.063704129232</v>
      </c>
      <c r="T241">
        <f t="shared" si="963"/>
        <v>-10.363063704129232</v>
      </c>
    </row>
    <row r="242" spans="1:20" x14ac:dyDescent="0.25">
      <c r="A242" s="5">
        <v>44351</v>
      </c>
      <c r="B242">
        <v>1.2574999999999999E-2</v>
      </c>
      <c r="C242">
        <v>3.3894000000000001E-2</v>
      </c>
      <c r="D242">
        <v>1.2174000000000001E-2</v>
      </c>
      <c r="E242">
        <v>1.5838999999999999E-2</v>
      </c>
      <c r="F242">
        <v>1589661007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-0.66252302025782706</v>
      </c>
      <c r="Q242">
        <f t="shared" si="960"/>
        <v>-1053187011.5437387</v>
      </c>
      <c r="R242">
        <f t="shared" si="961"/>
        <v>-520870501.85159302</v>
      </c>
      <c r="S242">
        <f t="shared" si="962"/>
        <v>-5208.7050185159305</v>
      </c>
      <c r="T242">
        <f t="shared" si="963"/>
        <v>-5.2087050185159303</v>
      </c>
    </row>
    <row r="243" spans="1:20" x14ac:dyDescent="0.25">
      <c r="A243" s="5">
        <v>44350</v>
      </c>
      <c r="B243">
        <v>1.2581E-2</v>
      </c>
      <c r="C243">
        <v>1.2742E-2</v>
      </c>
      <c r="D243">
        <v>1.1834000000000001E-2</v>
      </c>
      <c r="E243">
        <v>1.2529999999999999E-2</v>
      </c>
      <c r="F243">
        <v>129264665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0.53303964757709121</v>
      </c>
      <c r="Q243">
        <f t="shared" si="960"/>
        <v>68903191.475770757</v>
      </c>
      <c r="R243">
        <f t="shared" si="961"/>
        <v>532316509.69214571</v>
      </c>
      <c r="S243">
        <f t="shared" si="962"/>
        <v>5323.165096921457</v>
      </c>
      <c r="T243">
        <f t="shared" si="963"/>
        <v>5.323165096921457</v>
      </c>
    </row>
    <row r="244" spans="1:20" x14ac:dyDescent="0.25">
      <c r="A244" s="5">
        <v>44349</v>
      </c>
      <c r="B244">
        <v>1.1669000000000001E-2</v>
      </c>
      <c r="C244">
        <v>1.2749999999999999E-2</v>
      </c>
      <c r="D244">
        <v>1.1271E-2</v>
      </c>
      <c r="E244">
        <v>1.2578000000000001E-2</v>
      </c>
      <c r="F244">
        <v>123580496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0.76741041244084029</v>
      </c>
      <c r="Q244">
        <f t="shared" si="960"/>
        <v>94836959.405003607</v>
      </c>
      <c r="R244">
        <f t="shared" si="961"/>
        <v>463413318.21637493</v>
      </c>
      <c r="S244">
        <f t="shared" si="962"/>
        <v>4634.1331821637496</v>
      </c>
      <c r="T244">
        <f t="shared" si="963"/>
        <v>4.6341331821637493</v>
      </c>
    </row>
    <row r="245" spans="1:20" x14ac:dyDescent="0.25">
      <c r="A245" s="5">
        <v>44348</v>
      </c>
      <c r="B245">
        <v>1.1901E-2</v>
      </c>
      <c r="C245">
        <v>1.2063000000000001E-2</v>
      </c>
      <c r="D245">
        <v>1.1231E-2</v>
      </c>
      <c r="E245">
        <v>1.1667E-2</v>
      </c>
      <c r="F245">
        <v>109060373</v>
      </c>
      <c r="G245">
        <v>0</v>
      </c>
      <c r="L245" t="s">
        <v>7</v>
      </c>
      <c r="M245" t="s">
        <v>7</v>
      </c>
      <c r="N245" t="s">
        <v>7</v>
      </c>
      <c r="P245">
        <f t="shared" si="959"/>
        <v>4.8076923076923135E-2</v>
      </c>
      <c r="Q245">
        <f t="shared" si="960"/>
        <v>5243287.1634615446</v>
      </c>
      <c r="R245">
        <f t="shared" si="961"/>
        <v>368576358.81137133</v>
      </c>
      <c r="S245">
        <f t="shared" si="962"/>
        <v>3685.7635881137135</v>
      </c>
      <c r="T245">
        <f t="shared" si="963"/>
        <v>3.6857635881137134</v>
      </c>
    </row>
    <row r="246" spans="1:20" x14ac:dyDescent="0.25">
      <c r="A246" s="5">
        <v>44347</v>
      </c>
      <c r="B246">
        <v>1.1466E-2</v>
      </c>
      <c r="C246">
        <v>1.2341E-2</v>
      </c>
      <c r="D246">
        <v>1.0859000000000001E-2</v>
      </c>
      <c r="E246">
        <v>1.1887999999999999E-2</v>
      </c>
      <c r="F246">
        <v>113119772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0.3886639676113352</v>
      </c>
      <c r="Q246">
        <f t="shared" si="960"/>
        <v>43965579.400809623</v>
      </c>
      <c r="R246">
        <f t="shared" si="961"/>
        <v>363333071.64790976</v>
      </c>
      <c r="S246">
        <f t="shared" si="962"/>
        <v>3633.3307164790976</v>
      </c>
      <c r="T246">
        <f t="shared" si="963"/>
        <v>3.6333307164790978</v>
      </c>
    </row>
    <row r="247" spans="1:20" x14ac:dyDescent="0.25">
      <c r="A247" s="5">
        <v>44346</v>
      </c>
      <c r="B247">
        <v>1.1480000000000001E-2</v>
      </c>
      <c r="C247">
        <v>1.1599999999999999E-2</v>
      </c>
      <c r="D247">
        <v>1.0617E-2</v>
      </c>
      <c r="E247">
        <v>1.1441E-2</v>
      </c>
      <c r="F247">
        <v>100523573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0.67650050864699995</v>
      </c>
      <c r="Q247">
        <f t="shared" si="960"/>
        <v>68004248.265513837</v>
      </c>
      <c r="R247">
        <f t="shared" si="961"/>
        <v>319367492.24710011</v>
      </c>
      <c r="S247">
        <f t="shared" si="962"/>
        <v>3193.6749224710011</v>
      </c>
      <c r="T247">
        <f t="shared" si="963"/>
        <v>3.193674922471001</v>
      </c>
    </row>
    <row r="248" spans="1:20" x14ac:dyDescent="0.25">
      <c r="A248" s="5">
        <v>44345</v>
      </c>
      <c r="B248">
        <v>1.2175999999999999E-2</v>
      </c>
      <c r="C248">
        <v>1.29E-2</v>
      </c>
      <c r="D248">
        <v>1.0938E-2</v>
      </c>
      <c r="E248">
        <v>1.1469999999999999E-2</v>
      </c>
      <c r="F248">
        <v>123939992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-0.45769622833843077</v>
      </c>
      <c r="Q248">
        <f t="shared" si="960"/>
        <v>-56726866.878695279</v>
      </c>
      <c r="R248">
        <f t="shared" si="961"/>
        <v>251363243.98158631</v>
      </c>
      <c r="S248">
        <f t="shared" si="962"/>
        <v>2513.6324398158631</v>
      </c>
      <c r="T248">
        <f t="shared" si="963"/>
        <v>2.5136324398158632</v>
      </c>
    </row>
    <row r="249" spans="1:20" x14ac:dyDescent="0.25">
      <c r="A249" s="5">
        <v>44344</v>
      </c>
      <c r="B249">
        <v>1.3124E-2</v>
      </c>
      <c r="C249">
        <v>1.3162999999999999E-2</v>
      </c>
      <c r="D249">
        <v>1.0976E-2</v>
      </c>
      <c r="E249">
        <v>1.2089000000000001E-2</v>
      </c>
      <c r="F249">
        <v>146261156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1.7832647462278271E-2</v>
      </c>
      <c r="Q249">
        <f t="shared" si="960"/>
        <v>2608223.6323732864</v>
      </c>
      <c r="R249">
        <f t="shared" si="961"/>
        <v>308090110.86028159</v>
      </c>
      <c r="S249">
        <f t="shared" si="962"/>
        <v>3080.9011086028158</v>
      </c>
      <c r="T249">
        <f t="shared" si="963"/>
        <v>3.080901108602816</v>
      </c>
    </row>
    <row r="250" spans="1:20" x14ac:dyDescent="0.25">
      <c r="A250" s="5">
        <v>44343</v>
      </c>
      <c r="B250">
        <v>1.3483999999999999E-2</v>
      </c>
      <c r="C250">
        <v>1.3636000000000001E-2</v>
      </c>
      <c r="D250">
        <v>1.2355E-2</v>
      </c>
      <c r="E250">
        <v>1.3124E-2</v>
      </c>
      <c r="F250">
        <v>138060786</v>
      </c>
      <c r="G250">
        <v>0</v>
      </c>
      <c r="L250" t="s">
        <v>7</v>
      </c>
      <c r="M250" t="s">
        <v>8</v>
      </c>
      <c r="N250" t="s">
        <v>7</v>
      </c>
      <c r="P250">
        <f t="shared" si="959"/>
        <v>0.20062451209992202</v>
      </c>
      <c r="Q250">
        <f t="shared" si="960"/>
        <v>27698377.831381746</v>
      </c>
      <c r="R250">
        <f t="shared" si="961"/>
        <v>305481887.22790831</v>
      </c>
      <c r="S250">
        <f t="shared" si="962"/>
        <v>3054.8188722790833</v>
      </c>
      <c r="T250">
        <f t="shared" si="963"/>
        <v>3.0548188722790832</v>
      </c>
    </row>
    <row r="251" spans="1:20" x14ac:dyDescent="0.25">
      <c r="A251" s="5">
        <v>44342</v>
      </c>
      <c r="B251">
        <v>1.2427000000000001E-2</v>
      </c>
      <c r="C251">
        <v>1.3620999999999999E-2</v>
      </c>
      <c r="D251">
        <v>1.2307999999999999E-2</v>
      </c>
      <c r="E251">
        <v>1.3519E-2</v>
      </c>
      <c r="F251">
        <v>168983443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0.84463061690784513</v>
      </c>
      <c r="Q251">
        <f t="shared" si="960"/>
        <v>142728589.70830169</v>
      </c>
      <c r="R251">
        <f t="shared" si="961"/>
        <v>277783509.39652658</v>
      </c>
      <c r="S251">
        <f t="shared" si="962"/>
        <v>2777.835093965266</v>
      </c>
      <c r="T251">
        <f t="shared" si="963"/>
        <v>2.7778350939652658</v>
      </c>
    </row>
    <row r="252" spans="1:20" x14ac:dyDescent="0.25">
      <c r="A252" s="5">
        <v>44341</v>
      </c>
      <c r="B252">
        <v>1.291E-2</v>
      </c>
      <c r="C252">
        <v>1.3384999999999999E-2</v>
      </c>
      <c r="D252">
        <v>1.1055000000000001E-2</v>
      </c>
      <c r="E252">
        <v>1.2429000000000001E-2</v>
      </c>
      <c r="F252">
        <v>112458326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0.17939914163090212</v>
      </c>
      <c r="Q252">
        <f t="shared" si="960"/>
        <v>20174927.153648164</v>
      </c>
      <c r="R252">
        <f t="shared" si="961"/>
        <v>135054919.68822488</v>
      </c>
      <c r="S252">
        <f t="shared" si="962"/>
        <v>1350.5491968822489</v>
      </c>
      <c r="T252">
        <f t="shared" si="963"/>
        <v>1.3505491968822489</v>
      </c>
    </row>
    <row r="253" spans="1:20" x14ac:dyDescent="0.25">
      <c r="A253" s="5">
        <v>44340</v>
      </c>
      <c r="B253">
        <v>1.2433E-2</v>
      </c>
      <c r="C253">
        <v>1.35E-2</v>
      </c>
      <c r="D253">
        <v>1.022E-2</v>
      </c>
      <c r="E253">
        <v>1.291E-2</v>
      </c>
      <c r="F253">
        <v>168077630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0.64024390243902418</v>
      </c>
      <c r="Q253">
        <f t="shared" si="960"/>
        <v>107610677.7439024</v>
      </c>
      <c r="R253">
        <f t="shared" si="961"/>
        <v>114879992.53457671</v>
      </c>
      <c r="S253">
        <f t="shared" si="962"/>
        <v>1148.7999253457672</v>
      </c>
      <c r="T253">
        <f t="shared" si="963"/>
        <v>1.1487999253457672</v>
      </c>
    </row>
    <row r="254" spans="1:20" x14ac:dyDescent="0.25">
      <c r="A254" s="5">
        <v>44339</v>
      </c>
      <c r="B254">
        <v>1.6174000000000001E-2</v>
      </c>
      <c r="C254">
        <v>1.6271000000000001E-2</v>
      </c>
      <c r="D254">
        <v>9.6889999999999997E-3</v>
      </c>
      <c r="E254">
        <v>1.2402E-2</v>
      </c>
      <c r="F254">
        <v>156578430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-0.17563050744454581</v>
      </c>
      <c r="Q254">
        <f t="shared" si="960"/>
        <v>-27499949.115770295</v>
      </c>
      <c r="R254">
        <f t="shared" si="961"/>
        <v>7269314.7906743139</v>
      </c>
      <c r="S254">
        <f t="shared" si="962"/>
        <v>72.693147906743135</v>
      </c>
      <c r="T254">
        <f t="shared" si="963"/>
        <v>7.2693147906743139E-2</v>
      </c>
    </row>
    <row r="255" spans="1:20" x14ac:dyDescent="0.25">
      <c r="A255" s="5">
        <v>44338</v>
      </c>
      <c r="B255">
        <v>1.4437999999999999E-2</v>
      </c>
      <c r="C255">
        <v>1.7287E-2</v>
      </c>
      <c r="D255">
        <v>1.2338999999999999E-2</v>
      </c>
      <c r="E255">
        <v>1.6173E-2</v>
      </c>
      <c r="F255">
        <v>315613910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0.549717057396928</v>
      </c>
      <c r="Q255">
        <f t="shared" si="960"/>
        <v>173498349.87873888</v>
      </c>
      <c r="R255">
        <f t="shared" si="961"/>
        <v>34769263.906444609</v>
      </c>
      <c r="S255">
        <f t="shared" si="962"/>
        <v>347.6926390644461</v>
      </c>
      <c r="T255">
        <f t="shared" si="963"/>
        <v>0.34769263906444609</v>
      </c>
    </row>
    <row r="256" spans="1:20" x14ac:dyDescent="0.25">
      <c r="A256" s="5">
        <v>44337</v>
      </c>
      <c r="B256">
        <v>1.3109000000000001E-2</v>
      </c>
      <c r="C256">
        <v>1.5951E-2</v>
      </c>
      <c r="D256">
        <v>1.2001E-2</v>
      </c>
      <c r="E256">
        <v>1.4416E-2</v>
      </c>
      <c r="F256">
        <v>298558387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0.22278481012658241</v>
      </c>
      <c r="Q256">
        <f t="shared" si="960"/>
        <v>66514273.559493713</v>
      </c>
      <c r="R256">
        <f t="shared" si="961"/>
        <v>-138729085.97229427</v>
      </c>
      <c r="S256">
        <f t="shared" si="962"/>
        <v>-1387.2908597229427</v>
      </c>
      <c r="T256">
        <f t="shared" si="963"/>
        <v>-1.3872908597229427</v>
      </c>
    </row>
    <row r="257" spans="1:20" x14ac:dyDescent="0.25">
      <c r="A257" s="5">
        <v>44336</v>
      </c>
      <c r="B257">
        <v>1.116E-2</v>
      </c>
      <c r="C257">
        <v>1.3148E-2</v>
      </c>
      <c r="D257">
        <v>9.7199999999999995E-3</v>
      </c>
      <c r="E257">
        <v>1.3100000000000001E-2</v>
      </c>
      <c r="F257">
        <v>77832313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0.97199533255542625</v>
      </c>
      <c r="Q257">
        <f t="shared" si="960"/>
        <v>75652644.957993031</v>
      </c>
      <c r="R257">
        <f t="shared" si="961"/>
        <v>-205243359.53178799</v>
      </c>
      <c r="S257">
        <f t="shared" si="962"/>
        <v>-2052.4335953178797</v>
      </c>
      <c r="T257">
        <f t="shared" si="963"/>
        <v>-2.0524335953178796</v>
      </c>
    </row>
    <row r="258" spans="1:20" x14ac:dyDescent="0.25">
      <c r="A258" s="5">
        <v>44335</v>
      </c>
      <c r="B258">
        <v>1.7389999999999999E-2</v>
      </c>
      <c r="C258">
        <v>1.787E-2</v>
      </c>
      <c r="D258">
        <v>8.9999999999999993E-3</v>
      </c>
      <c r="E258">
        <v>1.1209999999999999E-2</v>
      </c>
      <c r="F258">
        <v>187522257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-0.50169109357384445</v>
      </c>
      <c r="Q258">
        <f t="shared" si="960"/>
        <v>-94078246.183765501</v>
      </c>
      <c r="R258">
        <f t="shared" si="961"/>
        <v>-280896004.48978102</v>
      </c>
      <c r="S258">
        <f t="shared" si="962"/>
        <v>-2808.9600448978103</v>
      </c>
      <c r="T258">
        <f t="shared" si="963"/>
        <v>-2.8089600448978103</v>
      </c>
    </row>
    <row r="259" spans="1:20" x14ac:dyDescent="0.25">
      <c r="A259" s="5">
        <v>44334</v>
      </c>
      <c r="B259">
        <v>1.7094999999999999E-2</v>
      </c>
      <c r="C259">
        <v>1.9040000000000001E-2</v>
      </c>
      <c r="D259">
        <v>1.6612999999999999E-2</v>
      </c>
      <c r="E259">
        <v>1.7378000000000001E-2</v>
      </c>
      <c r="F259">
        <v>201897358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-0.36959208899876295</v>
      </c>
      <c r="Q259">
        <f t="shared" si="960"/>
        <v>-74619666.306551099</v>
      </c>
      <c r="R259">
        <f t="shared" si="961"/>
        <v>-186817758.30601555</v>
      </c>
      <c r="S259">
        <f t="shared" si="962"/>
        <v>-1868.1775830601555</v>
      </c>
      <c r="T259">
        <f t="shared" si="963"/>
        <v>-1.8681775830601555</v>
      </c>
    </row>
    <row r="260" spans="1:20" x14ac:dyDescent="0.25">
      <c r="A260" s="5">
        <v>44333</v>
      </c>
      <c r="B260">
        <v>1.9394000000000002E-2</v>
      </c>
      <c r="C260">
        <v>1.9512000000000002E-2</v>
      </c>
      <c r="D260">
        <v>1.6105999999999999E-2</v>
      </c>
      <c r="E260">
        <v>1.7094999999999999E-2</v>
      </c>
      <c r="F260">
        <v>179449446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-0.41926012918379363</v>
      </c>
      <c r="Q260">
        <f t="shared" si="960"/>
        <v>-75235997.911920205</v>
      </c>
      <c r="R260">
        <f t="shared" si="961"/>
        <v>-112198091.99946444</v>
      </c>
      <c r="S260">
        <f t="shared" si="962"/>
        <v>-1121.9809199946444</v>
      </c>
      <c r="T260">
        <f t="shared" si="963"/>
        <v>-1.1219809199946444</v>
      </c>
    </row>
    <row r="261" spans="1:20" x14ac:dyDescent="0.25">
      <c r="A261" s="5">
        <v>44332</v>
      </c>
      <c r="B261">
        <v>1.7468000000000001E-2</v>
      </c>
      <c r="C261">
        <v>1.9734000000000002E-2</v>
      </c>
      <c r="D261">
        <v>1.7208999999999999E-2</v>
      </c>
      <c r="E261">
        <v>1.9503E-2</v>
      </c>
      <c r="F261">
        <v>169605583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0.81702970297029565</v>
      </c>
      <c r="Q261">
        <f t="shared" si="960"/>
        <v>138572799.10059384</v>
      </c>
      <c r="R261">
        <f t="shared" si="961"/>
        <v>-36962094.087544233</v>
      </c>
      <c r="S261">
        <f t="shared" si="962"/>
        <v>-369.62094087544233</v>
      </c>
      <c r="T261">
        <f t="shared" si="963"/>
        <v>-0.36962094087544234</v>
      </c>
    </row>
    <row r="262" spans="1:20" x14ac:dyDescent="0.25">
      <c r="A262" s="5">
        <v>44331</v>
      </c>
      <c r="B262">
        <v>1.9601E-2</v>
      </c>
      <c r="C262">
        <v>1.9601E-2</v>
      </c>
      <c r="D262">
        <v>1.7406000000000001E-2</v>
      </c>
      <c r="E262">
        <v>1.7474E-2</v>
      </c>
      <c r="F262">
        <v>134816436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-0.93804100227790554</v>
      </c>
      <c r="Q262">
        <f t="shared" ref="Q262:Q325" si="965">F262*P262</f>
        <v>-126463344.74897511</v>
      </c>
      <c r="R262">
        <f t="shared" ref="R262:R325" si="966">R263+Q262</f>
        <v>-175534893.18813807</v>
      </c>
      <c r="S262">
        <f t="shared" ref="S262:S325" si="967">R262/100000</f>
        <v>-1755.3489318813806</v>
      </c>
      <c r="T262">
        <f t="shared" ref="T262:T325" si="968">S262/1000</f>
        <v>-1.7553489318813806</v>
      </c>
    </row>
    <row r="263" spans="1:20" x14ac:dyDescent="0.25">
      <c r="A263" s="5">
        <v>44330</v>
      </c>
      <c r="B263">
        <v>1.6559000000000001E-2</v>
      </c>
      <c r="C263">
        <v>2.1999999999999999E-2</v>
      </c>
      <c r="D263">
        <v>1.6419E-2</v>
      </c>
      <c r="E263">
        <v>1.9562E-2</v>
      </c>
      <c r="F263">
        <v>420405610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0.12632144776921714</v>
      </c>
      <c r="Q263">
        <f t="shared" si="965"/>
        <v>53106245.305500872</v>
      </c>
      <c r="R263">
        <f t="shared" si="966"/>
        <v>-49071548.439162962</v>
      </c>
      <c r="S263">
        <f t="shared" si="967"/>
        <v>-490.71548439162962</v>
      </c>
      <c r="T263">
        <f t="shared" si="968"/>
        <v>-0.4907154843916296</v>
      </c>
    </row>
    <row r="264" spans="1:20" x14ac:dyDescent="0.25">
      <c r="A264" s="5">
        <v>44329</v>
      </c>
      <c r="B264">
        <v>1.6468E-2</v>
      </c>
      <c r="C264">
        <v>1.7512E-2</v>
      </c>
      <c r="D264">
        <v>1.5432E-2</v>
      </c>
      <c r="E264">
        <v>1.6594999999999999E-2</v>
      </c>
      <c r="F264">
        <v>113377896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0.11826923076922977</v>
      </c>
      <c r="Q264">
        <f t="shared" si="965"/>
        <v>13409116.546153732</v>
      </c>
      <c r="R264">
        <f t="shared" si="966"/>
        <v>-102177793.74466383</v>
      </c>
      <c r="S264">
        <f t="shared" si="967"/>
        <v>-1021.7779374466384</v>
      </c>
      <c r="T264">
        <f t="shared" si="968"/>
        <v>-1.0217779374466383</v>
      </c>
    </row>
    <row r="265" spans="1:20" x14ac:dyDescent="0.25">
      <c r="A265" s="5">
        <v>44328</v>
      </c>
      <c r="B265">
        <v>1.9924999999999998E-2</v>
      </c>
      <c r="C265">
        <v>2.1148E-2</v>
      </c>
      <c r="D265">
        <v>1.6271000000000001E-2</v>
      </c>
      <c r="E265">
        <v>1.6393999999999999E-2</v>
      </c>
      <c r="F265">
        <v>130127847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-0.94955915521837275</v>
      </c>
      <c r="Q265">
        <f t="shared" si="965"/>
        <v>-123564088.46770567</v>
      </c>
      <c r="R265">
        <f t="shared" si="966"/>
        <v>-115586910.29081756</v>
      </c>
      <c r="S265">
        <f t="shared" si="967"/>
        <v>-1155.8691029081756</v>
      </c>
      <c r="T265">
        <f t="shared" si="968"/>
        <v>-1.1558691029081756</v>
      </c>
    </row>
    <row r="266" spans="1:20" x14ac:dyDescent="0.25">
      <c r="A266" s="5">
        <v>44327</v>
      </c>
      <c r="B266">
        <v>1.7795999999999999E-2</v>
      </c>
      <c r="C266">
        <v>2.1496999999999999E-2</v>
      </c>
      <c r="D266">
        <v>1.7395000000000001E-2</v>
      </c>
      <c r="E266">
        <v>1.993E-2</v>
      </c>
      <c r="F266">
        <v>171416662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0.2359824475865433</v>
      </c>
      <c r="Q266">
        <f t="shared" si="965"/>
        <v>40451323.45587521</v>
      </c>
      <c r="R266">
        <f t="shared" si="966"/>
        <v>7977178.1768881083</v>
      </c>
      <c r="S266">
        <f t="shared" si="967"/>
        <v>79.771781768881084</v>
      </c>
      <c r="T266">
        <f t="shared" si="968"/>
        <v>7.9771781768881084E-2</v>
      </c>
    </row>
    <row r="267" spans="1:20" x14ac:dyDescent="0.25">
      <c r="A267" s="5">
        <v>44326</v>
      </c>
      <c r="B267">
        <v>2.0029000000000002E-2</v>
      </c>
      <c r="C267">
        <v>2.0192999999999999E-2</v>
      </c>
      <c r="D267">
        <v>1.7181999999999999E-2</v>
      </c>
      <c r="E267">
        <v>1.7788000000000002E-2</v>
      </c>
      <c r="F267">
        <v>133168654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-0.59747592162072238</v>
      </c>
      <c r="Q267">
        <f t="shared" si="965"/>
        <v>-79565064.279641092</v>
      </c>
      <c r="R267">
        <f t="shared" si="966"/>
        <v>-32474145.278987102</v>
      </c>
      <c r="S267">
        <f t="shared" si="967"/>
        <v>-324.741452789871</v>
      </c>
      <c r="T267">
        <f t="shared" si="968"/>
        <v>-0.32474145278987099</v>
      </c>
    </row>
    <row r="268" spans="1:20" x14ac:dyDescent="0.25">
      <c r="A268" s="5">
        <v>44325</v>
      </c>
      <c r="B268">
        <v>2.0433E-2</v>
      </c>
      <c r="C268">
        <v>2.0856E-2</v>
      </c>
      <c r="D268">
        <v>1.8620999999999999E-2</v>
      </c>
      <c r="E268">
        <v>2.0049000000000001E-2</v>
      </c>
      <c r="F268">
        <v>119810582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0.27785234899329003</v>
      </c>
      <c r="Q268">
        <f t="shared" si="965"/>
        <v>33289651.642953195</v>
      </c>
      <c r="R268">
        <f t="shared" si="966"/>
        <v>47090919.00065399</v>
      </c>
      <c r="S268">
        <f t="shared" si="967"/>
        <v>470.90919000653992</v>
      </c>
      <c r="T268">
        <f t="shared" si="968"/>
        <v>0.47090919000653991</v>
      </c>
    </row>
    <row r="269" spans="1:20" x14ac:dyDescent="0.25">
      <c r="A269" s="5">
        <v>44324</v>
      </c>
      <c r="B269">
        <v>2.0742E-2</v>
      </c>
      <c r="C269">
        <v>2.1821E-2</v>
      </c>
      <c r="D269">
        <v>2.0116999999999999E-2</v>
      </c>
      <c r="E269">
        <v>2.0434999999999998E-2</v>
      </c>
      <c r="F269">
        <v>61902392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-0.62676056338028319</v>
      </c>
      <c r="Q269">
        <f t="shared" si="965"/>
        <v>-38797978.084507138</v>
      </c>
      <c r="R269">
        <f t="shared" si="966"/>
        <v>13801267.357700795</v>
      </c>
      <c r="S269">
        <f t="shared" si="967"/>
        <v>138.01267357700794</v>
      </c>
      <c r="T269">
        <f t="shared" si="968"/>
        <v>0.13801267357700794</v>
      </c>
    </row>
    <row r="270" spans="1:20" x14ac:dyDescent="0.25">
      <c r="A270" s="5">
        <v>44323</v>
      </c>
      <c r="B270">
        <v>2.0490999999999999E-2</v>
      </c>
      <c r="C270">
        <v>2.2499999999999999E-2</v>
      </c>
      <c r="D270">
        <v>1.8928E-2</v>
      </c>
      <c r="E270">
        <v>2.0750000000000001E-2</v>
      </c>
      <c r="F270">
        <v>119884617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2.0156774916014177E-2</v>
      </c>
      <c r="Q270">
        <f t="shared" si="965"/>
        <v>2416487.2407615669</v>
      </c>
      <c r="R270">
        <f t="shared" si="966"/>
        <v>52599245.442207932</v>
      </c>
      <c r="S270">
        <f t="shared" si="967"/>
        <v>525.99245442207928</v>
      </c>
      <c r="T270">
        <f t="shared" si="968"/>
        <v>0.52599245442207931</v>
      </c>
    </row>
    <row r="271" spans="1:20" x14ac:dyDescent="0.25">
      <c r="A271" s="5">
        <v>44322</v>
      </c>
      <c r="B271">
        <v>2.1964000000000001E-2</v>
      </c>
      <c r="C271">
        <v>2.1978999999999999E-2</v>
      </c>
      <c r="D271">
        <v>2.0031E-2</v>
      </c>
      <c r="E271">
        <v>2.0493000000000001E-2</v>
      </c>
      <c r="F271">
        <v>124618831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-0.52566735112936247</v>
      </c>
      <c r="Q271">
        <f t="shared" si="965"/>
        <v>-65508050.79260768</v>
      </c>
      <c r="R271">
        <f t="shared" si="966"/>
        <v>50182758.201446369</v>
      </c>
      <c r="S271">
        <f t="shared" si="967"/>
        <v>501.8275820144637</v>
      </c>
      <c r="T271">
        <f t="shared" si="968"/>
        <v>0.50182758201446365</v>
      </c>
    </row>
    <row r="272" spans="1:20" x14ac:dyDescent="0.25">
      <c r="A272" s="5">
        <v>44321</v>
      </c>
      <c r="B272">
        <v>2.0735E-2</v>
      </c>
      <c r="C272">
        <v>2.2158000000000001E-2</v>
      </c>
      <c r="D272">
        <v>1.9636000000000001E-2</v>
      </c>
      <c r="E272">
        <v>2.1977E-2</v>
      </c>
      <c r="F272">
        <v>154621579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0.85646312450436113</v>
      </c>
      <c r="Q272">
        <f t="shared" si="965"/>
        <v>132427680.6661379</v>
      </c>
      <c r="R272">
        <f t="shared" si="966"/>
        <v>115690808.99405405</v>
      </c>
      <c r="S272">
        <f t="shared" si="967"/>
        <v>1156.9080899405405</v>
      </c>
      <c r="T272">
        <f t="shared" si="968"/>
        <v>1.1569080899405406</v>
      </c>
    </row>
    <row r="273" spans="1:20" x14ac:dyDescent="0.25">
      <c r="A273" s="5">
        <v>44320</v>
      </c>
      <c r="B273">
        <v>2.4372000000000001E-2</v>
      </c>
      <c r="C273">
        <v>2.4372000000000001E-2</v>
      </c>
      <c r="D273">
        <v>2.0507999999999998E-2</v>
      </c>
      <c r="E273">
        <v>2.0764999999999999E-2</v>
      </c>
      <c r="F273">
        <v>162707879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-0.86697722567287783</v>
      </c>
      <c r="Q273">
        <f t="shared" si="965"/>
        <v>-141064025.53053829</v>
      </c>
      <c r="R273">
        <f t="shared" si="966"/>
        <v>-16736871.672083855</v>
      </c>
      <c r="S273">
        <f t="shared" si="967"/>
        <v>-167.36871672083853</v>
      </c>
      <c r="T273">
        <f t="shared" si="968"/>
        <v>-0.16736871672083853</v>
      </c>
    </row>
    <row r="274" spans="1:20" x14ac:dyDescent="0.25">
      <c r="A274" s="5">
        <v>44319</v>
      </c>
      <c r="B274">
        <v>2.3401999999999999E-2</v>
      </c>
      <c r="C274">
        <v>2.8816000000000001E-2</v>
      </c>
      <c r="D274">
        <v>2.3401999999999999E-2</v>
      </c>
      <c r="E274">
        <v>2.4355000000000002E-2</v>
      </c>
      <c r="F274">
        <v>276602219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-0.64794975988178716</v>
      </c>
      <c r="Q274">
        <f t="shared" si="965"/>
        <v>-179224341.38381949</v>
      </c>
      <c r="R274">
        <f t="shared" si="966"/>
        <v>124327153.85845444</v>
      </c>
      <c r="S274">
        <f t="shared" si="967"/>
        <v>1243.2715385845443</v>
      </c>
      <c r="T274">
        <f t="shared" si="968"/>
        <v>1.2432715385845443</v>
      </c>
    </row>
    <row r="275" spans="1:20" x14ac:dyDescent="0.25">
      <c r="A275" s="5">
        <v>44318</v>
      </c>
      <c r="B275">
        <v>2.2738999999999999E-2</v>
      </c>
      <c r="C275">
        <v>2.4399000000000001E-2</v>
      </c>
      <c r="D275">
        <v>2.1971999999999998E-2</v>
      </c>
      <c r="E275">
        <v>2.3362999999999998E-2</v>
      </c>
      <c r="F275">
        <v>189816532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0.14627111660486089</v>
      </c>
      <c r="Q275">
        <f t="shared" si="965"/>
        <v>27764676.085702308</v>
      </c>
      <c r="R275">
        <f t="shared" si="966"/>
        <v>303551495.24227393</v>
      </c>
      <c r="S275">
        <f t="shared" si="967"/>
        <v>3035.514952422739</v>
      </c>
      <c r="T275">
        <f t="shared" si="968"/>
        <v>3.0355149524227389</v>
      </c>
    </row>
    <row r="276" spans="1:20" x14ac:dyDescent="0.25">
      <c r="A276" s="5">
        <v>44317</v>
      </c>
      <c r="B276">
        <v>2.2891999999999999E-2</v>
      </c>
      <c r="C276">
        <v>2.3373999999999999E-2</v>
      </c>
      <c r="D276">
        <v>2.1623E-2</v>
      </c>
      <c r="E276">
        <v>2.2738999999999999E-2</v>
      </c>
      <c r="F276">
        <v>163964565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0.27470017133066765</v>
      </c>
      <c r="Q276">
        <f t="shared" si="965"/>
        <v>45041094.097658396</v>
      </c>
      <c r="R276">
        <f t="shared" si="966"/>
        <v>275786819.15657163</v>
      </c>
      <c r="S276">
        <f t="shared" si="967"/>
        <v>2757.8681915657162</v>
      </c>
      <c r="T276">
        <f t="shared" si="968"/>
        <v>2.7578681915657164</v>
      </c>
    </row>
    <row r="277" spans="1:20" x14ac:dyDescent="0.25">
      <c r="A277" s="5">
        <v>44316</v>
      </c>
      <c r="B277">
        <v>2.1898999999999998E-2</v>
      </c>
      <c r="C277">
        <v>2.3269999999999999E-2</v>
      </c>
      <c r="D277">
        <v>2.1000000000000001E-2</v>
      </c>
      <c r="E277">
        <v>2.2894000000000001E-2</v>
      </c>
      <c r="F277">
        <v>200640537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0.66872246696035398</v>
      </c>
      <c r="Q277">
        <f t="shared" si="965"/>
        <v>134172834.87489018</v>
      </c>
      <c r="R277">
        <f t="shared" si="966"/>
        <v>230745725.0589132</v>
      </c>
      <c r="S277">
        <f t="shared" si="967"/>
        <v>2307.4572505891319</v>
      </c>
      <c r="T277">
        <f t="shared" si="968"/>
        <v>2.307457250589132</v>
      </c>
    </row>
    <row r="278" spans="1:20" x14ac:dyDescent="0.25">
      <c r="A278" s="5">
        <v>44315</v>
      </c>
      <c r="B278">
        <v>2.2110000000000001E-2</v>
      </c>
      <c r="C278">
        <v>2.3199999999999998E-2</v>
      </c>
      <c r="D278">
        <v>2.0184000000000001E-2</v>
      </c>
      <c r="E278">
        <v>2.1915E-2</v>
      </c>
      <c r="F278">
        <v>262677395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0.1478779840848814</v>
      </c>
      <c r="Q278">
        <f t="shared" si="965"/>
        <v>38844203.637268104</v>
      </c>
      <c r="R278">
        <f t="shared" si="966"/>
        <v>96572890.184023023</v>
      </c>
      <c r="S278">
        <f t="shared" si="967"/>
        <v>965.72890184023026</v>
      </c>
      <c r="T278">
        <f t="shared" si="968"/>
        <v>0.9657289018402303</v>
      </c>
    </row>
    <row r="279" spans="1:20" x14ac:dyDescent="0.25">
      <c r="A279" s="5">
        <v>44314</v>
      </c>
      <c r="B279">
        <v>2.3251999999999998E-2</v>
      </c>
      <c r="C279">
        <v>2.3574999999999999E-2</v>
      </c>
      <c r="D279">
        <v>1.9883000000000001E-2</v>
      </c>
      <c r="E279">
        <v>2.206E-2</v>
      </c>
      <c r="F279">
        <v>139184145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0.17930660888407363</v>
      </c>
      <c r="Q279">
        <f t="shared" si="965"/>
        <v>24956637.050379191</v>
      </c>
      <c r="R279">
        <f t="shared" si="966"/>
        <v>57728686.546754912</v>
      </c>
      <c r="S279">
        <f t="shared" si="967"/>
        <v>577.28686546754909</v>
      </c>
      <c r="T279">
        <f t="shared" si="968"/>
        <v>0.57728686546754904</v>
      </c>
    </row>
    <row r="280" spans="1:20" x14ac:dyDescent="0.25">
      <c r="A280" s="5">
        <v>44313</v>
      </c>
      <c r="B280">
        <v>2.1219999999999999E-2</v>
      </c>
      <c r="C280">
        <v>2.3264E-2</v>
      </c>
      <c r="D280">
        <v>2.0959999999999999E-2</v>
      </c>
      <c r="E280">
        <v>2.3251000000000001E-2</v>
      </c>
      <c r="F280">
        <v>131307138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0.98871527777777857</v>
      </c>
      <c r="Q280">
        <f t="shared" si="965"/>
        <v>129825373.4218751</v>
      </c>
      <c r="R280">
        <f t="shared" si="966"/>
        <v>32772049.496375725</v>
      </c>
      <c r="S280">
        <f t="shared" si="967"/>
        <v>327.72049496375723</v>
      </c>
      <c r="T280">
        <f t="shared" si="968"/>
        <v>0.32772049496375721</v>
      </c>
    </row>
    <row r="281" spans="1:20" x14ac:dyDescent="0.25">
      <c r="A281" s="5">
        <v>44312</v>
      </c>
      <c r="B281">
        <v>1.7833000000000002E-2</v>
      </c>
      <c r="C281">
        <v>2.1238E-2</v>
      </c>
      <c r="D281">
        <v>1.7558000000000001E-2</v>
      </c>
      <c r="E281">
        <v>2.1238E-2</v>
      </c>
      <c r="F281">
        <v>122284775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1</v>
      </c>
      <c r="Q281">
        <f t="shared" si="965"/>
        <v>122284775</v>
      </c>
      <c r="R281">
        <f t="shared" si="966"/>
        <v>-97053323.92549938</v>
      </c>
      <c r="S281">
        <f t="shared" si="967"/>
        <v>-970.53323925499376</v>
      </c>
      <c r="T281">
        <f t="shared" si="968"/>
        <v>-0.9705332392549938</v>
      </c>
    </row>
    <row r="282" spans="1:20" x14ac:dyDescent="0.25">
      <c r="A282" s="5">
        <v>44311</v>
      </c>
      <c r="B282">
        <v>1.7762E-2</v>
      </c>
      <c r="C282">
        <v>1.9359000000000001E-2</v>
      </c>
      <c r="D282">
        <v>1.6320999999999999E-2</v>
      </c>
      <c r="E282">
        <v>1.7833000000000002E-2</v>
      </c>
      <c r="F282">
        <v>42575838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-4.608294930874471E-3</v>
      </c>
      <c r="Q282">
        <f t="shared" si="965"/>
        <v>-196202.01843313267</v>
      </c>
      <c r="R282">
        <f t="shared" si="966"/>
        <v>-219338098.92549938</v>
      </c>
      <c r="S282">
        <f t="shared" si="967"/>
        <v>-2193.3809892549939</v>
      </c>
      <c r="T282">
        <f t="shared" si="968"/>
        <v>-2.1933809892549938</v>
      </c>
    </row>
    <row r="283" spans="1:20" x14ac:dyDescent="0.25">
      <c r="A283" s="5">
        <v>44310</v>
      </c>
      <c r="B283">
        <v>1.8627999999999999E-2</v>
      </c>
      <c r="C283">
        <v>2.0614E-2</v>
      </c>
      <c r="D283">
        <v>1.6985E-2</v>
      </c>
      <c r="E283">
        <v>1.7766000000000001E-2</v>
      </c>
      <c r="F283">
        <v>80703119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-0.56957839625241091</v>
      </c>
      <c r="Q283">
        <f t="shared" si="965"/>
        <v>-45966753.092587471</v>
      </c>
      <c r="R283">
        <f t="shared" si="966"/>
        <v>-219141896.90706626</v>
      </c>
      <c r="S283">
        <f t="shared" si="967"/>
        <v>-2191.4189690706626</v>
      </c>
      <c r="T283">
        <f t="shared" si="968"/>
        <v>-2.1914189690706625</v>
      </c>
    </row>
    <row r="284" spans="1:20" x14ac:dyDescent="0.25">
      <c r="A284" s="5">
        <v>44309</v>
      </c>
      <c r="B284">
        <v>2.0053999999999999E-2</v>
      </c>
      <c r="C284">
        <v>2.0253E-2</v>
      </c>
      <c r="D284">
        <v>1.375E-2</v>
      </c>
      <c r="E284">
        <v>1.8608E-2</v>
      </c>
      <c r="F284">
        <v>135575980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0.49407965554359506</v>
      </c>
      <c r="Q284">
        <f t="shared" si="965"/>
        <v>66985333.498385333</v>
      </c>
      <c r="R284">
        <f t="shared" si="966"/>
        <v>-173175143.81447878</v>
      </c>
      <c r="S284">
        <f t="shared" si="967"/>
        <v>-1731.7514381447879</v>
      </c>
      <c r="T284">
        <f t="shared" si="968"/>
        <v>-1.7317514381447878</v>
      </c>
    </row>
    <row r="285" spans="1:20" x14ac:dyDescent="0.25">
      <c r="A285" s="5">
        <v>44308</v>
      </c>
      <c r="B285">
        <v>2.3642E-2</v>
      </c>
      <c r="C285">
        <v>2.4E-2</v>
      </c>
      <c r="D285">
        <v>2.0008999999999999E-2</v>
      </c>
      <c r="E285">
        <v>2.0195000000000001E-2</v>
      </c>
      <c r="F285">
        <v>150659146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-0.90679027812578195</v>
      </c>
      <c r="Q285">
        <f t="shared" si="965"/>
        <v>-136616248.9035328</v>
      </c>
      <c r="R285">
        <f t="shared" si="966"/>
        <v>-240160477.31286412</v>
      </c>
      <c r="S285">
        <f t="shared" si="967"/>
        <v>-2401.6047731286412</v>
      </c>
      <c r="T285">
        <f t="shared" si="968"/>
        <v>-2.4016047731286414</v>
      </c>
    </row>
    <row r="286" spans="1:20" x14ac:dyDescent="0.25">
      <c r="A286" s="5">
        <v>44307</v>
      </c>
      <c r="B286">
        <v>2.4951999999999998E-2</v>
      </c>
      <c r="C286">
        <v>2.6193999999999999E-2</v>
      </c>
      <c r="D286">
        <v>2.3195E-2</v>
      </c>
      <c r="E286">
        <v>2.3650999999999998E-2</v>
      </c>
      <c r="F286">
        <v>135821017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-0.69589863287762699</v>
      </c>
      <c r="Q286">
        <f t="shared" si="965"/>
        <v>-94517660.046348929</v>
      </c>
      <c r="R286">
        <f t="shared" si="966"/>
        <v>-103544228.40933132</v>
      </c>
      <c r="S286">
        <f t="shared" si="967"/>
        <v>-1035.4422840933132</v>
      </c>
      <c r="T286">
        <f t="shared" si="968"/>
        <v>-1.0354422840933133</v>
      </c>
    </row>
    <row r="287" spans="1:20" x14ac:dyDescent="0.25">
      <c r="A287" s="5">
        <v>44306</v>
      </c>
      <c r="B287">
        <v>2.5860000000000001E-2</v>
      </c>
      <c r="C287">
        <v>2.6145999999999999E-2</v>
      </c>
      <c r="D287">
        <v>2.2114999999999999E-2</v>
      </c>
      <c r="E287">
        <v>2.4951999999999998E-2</v>
      </c>
      <c r="F287">
        <v>59455899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0.4075911684445544</v>
      </c>
      <c r="Q287">
        <f t="shared" si="965"/>
        <v>24233699.344331414</v>
      </c>
      <c r="R287">
        <f t="shared" si="966"/>
        <v>-9026568.3629823923</v>
      </c>
      <c r="S287">
        <f t="shared" si="967"/>
        <v>-90.265683629823926</v>
      </c>
      <c r="T287">
        <f t="shared" si="968"/>
        <v>-9.0265683629823928E-2</v>
      </c>
    </row>
    <row r="288" spans="1:20" x14ac:dyDescent="0.25">
      <c r="A288" s="5">
        <v>44305</v>
      </c>
      <c r="B288">
        <v>2.9384E-2</v>
      </c>
      <c r="C288">
        <v>2.9794999999999999E-2</v>
      </c>
      <c r="D288">
        <v>2.513E-2</v>
      </c>
      <c r="E288">
        <v>2.5699E-2</v>
      </c>
      <c r="F288">
        <v>153344808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-0.75605573419078231</v>
      </c>
      <c r="Q288">
        <f t="shared" si="965"/>
        <v>-115937221.39678454</v>
      </c>
      <c r="R288">
        <f t="shared" si="966"/>
        <v>-33260267.707313806</v>
      </c>
      <c r="S288">
        <f t="shared" si="967"/>
        <v>-332.60267707313807</v>
      </c>
      <c r="T288">
        <f t="shared" si="968"/>
        <v>-0.33260267707313806</v>
      </c>
    </row>
    <row r="289" spans="1:20" x14ac:dyDescent="0.25">
      <c r="A289" s="5">
        <v>44304</v>
      </c>
      <c r="B289">
        <v>3.9999E-2</v>
      </c>
      <c r="C289">
        <v>0.04</v>
      </c>
      <c r="D289">
        <v>2.5798999999999999E-2</v>
      </c>
      <c r="E289">
        <v>2.9384E-2</v>
      </c>
      <c r="F289">
        <v>284338848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-0.49510597845222154</v>
      </c>
      <c r="Q289">
        <f t="shared" si="965"/>
        <v>-140777863.55101749</v>
      </c>
      <c r="R289">
        <f t="shared" si="966"/>
        <v>82676953.689470738</v>
      </c>
      <c r="S289">
        <f t="shared" si="967"/>
        <v>826.76953689470736</v>
      </c>
      <c r="T289">
        <f t="shared" si="968"/>
        <v>0.82676953689470734</v>
      </c>
    </row>
    <row r="290" spans="1:20" x14ac:dyDescent="0.25">
      <c r="A290" s="5">
        <v>44303</v>
      </c>
      <c r="B290">
        <v>2.2298999999999999E-2</v>
      </c>
      <c r="C290">
        <v>0.04</v>
      </c>
      <c r="D290">
        <v>2.2044000000000001E-2</v>
      </c>
      <c r="E290">
        <v>3.9695000000000001E-2</v>
      </c>
      <c r="F290">
        <v>497865065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0.96602806861216306</v>
      </c>
      <c r="Q290">
        <f t="shared" si="965"/>
        <v>480951627.17141902</v>
      </c>
      <c r="R290">
        <f t="shared" si="966"/>
        <v>223454817.24048823</v>
      </c>
      <c r="S290">
        <f t="shared" si="967"/>
        <v>2234.5481724048823</v>
      </c>
      <c r="T290">
        <f t="shared" si="968"/>
        <v>2.2345481724048821</v>
      </c>
    </row>
    <row r="291" spans="1:20" x14ac:dyDescent="0.25">
      <c r="A291" s="5">
        <v>44302</v>
      </c>
      <c r="B291">
        <v>2.4465000000000001E-2</v>
      </c>
      <c r="C291">
        <v>2.453E-2</v>
      </c>
      <c r="D291">
        <v>2.1527000000000001E-2</v>
      </c>
      <c r="E291">
        <v>2.2286E-2</v>
      </c>
      <c r="F291">
        <v>118083154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-0.4945054945054948</v>
      </c>
      <c r="Q291">
        <f t="shared" si="965"/>
        <v>-58392768.461538494</v>
      </c>
      <c r="R291">
        <f t="shared" si="966"/>
        <v>-257496809.93093079</v>
      </c>
      <c r="S291">
        <f t="shared" si="967"/>
        <v>-2574.9680993093079</v>
      </c>
      <c r="T291">
        <f t="shared" si="968"/>
        <v>-2.574968099309308</v>
      </c>
    </row>
    <row r="292" spans="1:20" x14ac:dyDescent="0.25">
      <c r="A292" s="5">
        <v>44301</v>
      </c>
      <c r="B292">
        <v>2.2245999999999998E-2</v>
      </c>
      <c r="C292">
        <v>2.5486000000000002E-2</v>
      </c>
      <c r="D292">
        <v>2.2085E-2</v>
      </c>
      <c r="E292">
        <v>2.4466000000000002E-2</v>
      </c>
      <c r="F292">
        <v>129470774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0.4001764187003824</v>
      </c>
      <c r="Q292">
        <f t="shared" si="965"/>
        <v>51811150.665686585</v>
      </c>
      <c r="R292">
        <f t="shared" si="966"/>
        <v>-199104041.4693923</v>
      </c>
      <c r="S292">
        <f t="shared" si="967"/>
        <v>-1991.0404146939229</v>
      </c>
      <c r="T292">
        <f t="shared" si="968"/>
        <v>-1.9910404146939229</v>
      </c>
    </row>
    <row r="293" spans="1:20" x14ac:dyDescent="0.25">
      <c r="A293" s="5">
        <v>44300</v>
      </c>
      <c r="B293">
        <v>2.4594999999999999E-2</v>
      </c>
      <c r="C293">
        <v>2.4598999999999999E-2</v>
      </c>
      <c r="D293">
        <v>2.1090000000000001E-2</v>
      </c>
      <c r="E293">
        <v>2.2275E-2</v>
      </c>
      <c r="F293">
        <v>109758826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-0.3245939013964097</v>
      </c>
      <c r="Q293">
        <f t="shared" si="965"/>
        <v>-35627045.54402969</v>
      </c>
      <c r="R293">
        <f t="shared" si="966"/>
        <v>-250915192.13507888</v>
      </c>
      <c r="S293">
        <f t="shared" si="967"/>
        <v>-2509.1519213507886</v>
      </c>
      <c r="T293">
        <f t="shared" si="968"/>
        <v>-2.5091519213507887</v>
      </c>
    </row>
    <row r="294" spans="1:20" x14ac:dyDescent="0.25">
      <c r="A294" s="5">
        <v>44299</v>
      </c>
      <c r="B294">
        <v>2.4223000000000001E-2</v>
      </c>
      <c r="C294">
        <v>2.5319000000000001E-2</v>
      </c>
      <c r="D294">
        <v>2.2764E-2</v>
      </c>
      <c r="E294">
        <v>2.4594999999999999E-2</v>
      </c>
      <c r="F294">
        <v>105672259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0.43326810176125091</v>
      </c>
      <c r="Q294">
        <f t="shared" si="965"/>
        <v>45784419.065753266</v>
      </c>
      <c r="R294">
        <f t="shared" si="966"/>
        <v>-215288146.59104919</v>
      </c>
      <c r="S294">
        <f t="shared" si="967"/>
        <v>-2152.8814659104919</v>
      </c>
      <c r="T294">
        <f t="shared" si="968"/>
        <v>-2.1528814659104918</v>
      </c>
    </row>
    <row r="295" spans="1:20" x14ac:dyDescent="0.25">
      <c r="A295" s="5">
        <v>44298</v>
      </c>
      <c r="B295">
        <v>2.5335E-2</v>
      </c>
      <c r="C295">
        <v>2.5669999999999998E-2</v>
      </c>
      <c r="D295">
        <v>2.3573E-2</v>
      </c>
      <c r="E295">
        <v>2.4247999999999999E-2</v>
      </c>
      <c r="F295">
        <v>99530638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-0.35622317596566611</v>
      </c>
      <c r="Q295">
        <f t="shared" si="965"/>
        <v>-35455119.974249013</v>
      </c>
      <c r="R295">
        <f t="shared" si="966"/>
        <v>-261072565.65680248</v>
      </c>
      <c r="S295">
        <f t="shared" si="967"/>
        <v>-2610.7256565680245</v>
      </c>
      <c r="T295">
        <f t="shared" si="968"/>
        <v>-2.6107256565680244</v>
      </c>
    </row>
    <row r="296" spans="1:20" x14ac:dyDescent="0.25">
      <c r="A296" s="5">
        <v>44297</v>
      </c>
      <c r="B296">
        <v>2.5871000000000002E-2</v>
      </c>
      <c r="C296">
        <v>2.6431E-2</v>
      </c>
      <c r="D296">
        <v>2.2242000000000001E-2</v>
      </c>
      <c r="E296">
        <v>2.5361999999999999E-2</v>
      </c>
      <c r="F296">
        <v>106771687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0.48961566006206686</v>
      </c>
      <c r="Q296">
        <f t="shared" si="965"/>
        <v>52277090.0064454</v>
      </c>
      <c r="R296">
        <f t="shared" si="966"/>
        <v>-225617445.68255347</v>
      </c>
      <c r="S296">
        <f t="shared" si="967"/>
        <v>-2256.1744568255349</v>
      </c>
      <c r="T296">
        <f t="shared" si="968"/>
        <v>-2.2561744568255349</v>
      </c>
    </row>
    <row r="297" spans="1:20" x14ac:dyDescent="0.25">
      <c r="A297" s="5">
        <v>44296</v>
      </c>
      <c r="B297">
        <v>2.7212E-2</v>
      </c>
      <c r="C297">
        <v>2.8452000000000002E-2</v>
      </c>
      <c r="D297">
        <v>2.503E-2</v>
      </c>
      <c r="E297">
        <v>2.5822000000000001E-2</v>
      </c>
      <c r="F297">
        <v>112926195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-0.53711279953243674</v>
      </c>
      <c r="Q297">
        <f t="shared" si="965"/>
        <v>-60654104.736995861</v>
      </c>
      <c r="R297">
        <f t="shared" si="966"/>
        <v>-277894535.68899888</v>
      </c>
      <c r="S297">
        <f t="shared" si="967"/>
        <v>-2778.9453568899889</v>
      </c>
      <c r="T297">
        <f t="shared" si="968"/>
        <v>-2.7789453568899889</v>
      </c>
    </row>
    <row r="298" spans="1:20" x14ac:dyDescent="0.25">
      <c r="A298" s="5">
        <v>44295</v>
      </c>
      <c r="B298">
        <v>2.6113999999999998E-2</v>
      </c>
      <c r="C298">
        <v>2.8421999999999999E-2</v>
      </c>
      <c r="D298">
        <v>2.538E-2</v>
      </c>
      <c r="E298">
        <v>2.7275000000000001E-2</v>
      </c>
      <c r="F298">
        <v>133320252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0.24589086127547741</v>
      </c>
      <c r="Q298">
        <f t="shared" si="965"/>
        <v>32782231.589743689</v>
      </c>
      <c r="R298">
        <f t="shared" si="966"/>
        <v>-217240430.952003</v>
      </c>
      <c r="S298">
        <f t="shared" si="967"/>
        <v>-2172.40430952003</v>
      </c>
      <c r="T298">
        <f t="shared" si="968"/>
        <v>-2.1724043095200298</v>
      </c>
    </row>
    <row r="299" spans="1:20" x14ac:dyDescent="0.25">
      <c r="A299" s="5">
        <v>44294</v>
      </c>
      <c r="B299">
        <v>2.1957000000000001E-2</v>
      </c>
      <c r="C299">
        <v>0.03</v>
      </c>
      <c r="D299">
        <v>2.1326999999999999E-2</v>
      </c>
      <c r="E299">
        <v>2.6103000000000001E-2</v>
      </c>
      <c r="F299">
        <v>172313784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0.10134901418194452</v>
      </c>
      <c r="Q299">
        <f t="shared" si="965"/>
        <v>17463832.138360523</v>
      </c>
      <c r="R299">
        <f t="shared" si="966"/>
        <v>-250022662.54174671</v>
      </c>
      <c r="S299">
        <f t="shared" si="967"/>
        <v>-2500.2266254174669</v>
      </c>
      <c r="T299">
        <f t="shared" si="968"/>
        <v>-2.5002266254174668</v>
      </c>
    </row>
    <row r="300" spans="1:20" x14ac:dyDescent="0.25">
      <c r="A300" s="5">
        <v>44293</v>
      </c>
      <c r="B300">
        <v>2.6346000000000001E-2</v>
      </c>
      <c r="C300">
        <v>2.6520999999999999E-2</v>
      </c>
      <c r="D300">
        <v>1.9418000000000001E-2</v>
      </c>
      <c r="E300">
        <v>2.1957000000000001E-2</v>
      </c>
      <c r="F300">
        <v>111318523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-0.2850908067013937</v>
      </c>
      <c r="Q300">
        <f t="shared" si="965"/>
        <v>-31735887.522877648</v>
      </c>
      <c r="R300">
        <f t="shared" si="966"/>
        <v>-267486494.68010724</v>
      </c>
      <c r="S300">
        <f t="shared" si="967"/>
        <v>-2674.8649468010722</v>
      </c>
      <c r="T300">
        <f t="shared" si="968"/>
        <v>-2.6748649468010721</v>
      </c>
    </row>
    <row r="301" spans="1:20" x14ac:dyDescent="0.25">
      <c r="A301" s="5">
        <v>44292</v>
      </c>
      <c r="B301">
        <v>2.9531999999999999E-2</v>
      </c>
      <c r="C301">
        <v>3.0121999999999999E-2</v>
      </c>
      <c r="D301">
        <v>2.4485E-2</v>
      </c>
      <c r="E301">
        <v>2.6356000000000001E-2</v>
      </c>
      <c r="F301">
        <v>119620528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-0.33617172254745387</v>
      </c>
      <c r="Q301">
        <f t="shared" si="965"/>
        <v>-40213038.949795939</v>
      </c>
      <c r="R301">
        <f t="shared" si="966"/>
        <v>-235750607.15722957</v>
      </c>
      <c r="S301">
        <f t="shared" si="967"/>
        <v>-2357.5060715722957</v>
      </c>
      <c r="T301">
        <f t="shared" si="968"/>
        <v>-2.3575060715722955</v>
      </c>
    </row>
    <row r="302" spans="1:20" x14ac:dyDescent="0.25">
      <c r="A302" s="5">
        <v>44291</v>
      </c>
      <c r="B302">
        <v>3.3789E-2</v>
      </c>
      <c r="C302">
        <v>3.5999999999999997E-2</v>
      </c>
      <c r="D302">
        <v>2.8999E-2</v>
      </c>
      <c r="E302">
        <v>2.9531999999999999E-2</v>
      </c>
      <c r="F302">
        <v>133836382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-0.84773603770889905</v>
      </c>
      <c r="Q302">
        <f t="shared" si="965"/>
        <v>-113457924.17797461</v>
      </c>
      <c r="R302">
        <f t="shared" si="966"/>
        <v>-195537568.20743364</v>
      </c>
      <c r="S302">
        <f t="shared" si="967"/>
        <v>-1955.3756820743365</v>
      </c>
      <c r="T302">
        <f t="shared" si="968"/>
        <v>-1.9553756820743364</v>
      </c>
    </row>
    <row r="303" spans="1:20" x14ac:dyDescent="0.25">
      <c r="A303" s="5">
        <v>44290</v>
      </c>
      <c r="B303">
        <v>3.1392999999999997E-2</v>
      </c>
      <c r="C303">
        <v>3.4876999999999998E-2</v>
      </c>
      <c r="D303">
        <v>3.0554999999999999E-2</v>
      </c>
      <c r="E303">
        <v>3.3771000000000002E-2</v>
      </c>
      <c r="F303">
        <v>97306223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0.48819990745025638</v>
      </c>
      <c r="Q303">
        <f t="shared" si="965"/>
        <v>47504889.062934011</v>
      </c>
      <c r="R303">
        <f t="shared" si="966"/>
        <v>-82079644.029459029</v>
      </c>
      <c r="S303">
        <f t="shared" si="967"/>
        <v>-820.7964402945903</v>
      </c>
      <c r="T303">
        <f t="shared" si="968"/>
        <v>-0.82079644029459031</v>
      </c>
    </row>
    <row r="304" spans="1:20" x14ac:dyDescent="0.25">
      <c r="A304" s="5">
        <v>44289</v>
      </c>
      <c r="B304">
        <v>3.5200000000000002E-2</v>
      </c>
      <c r="C304">
        <v>3.6999999999999998E-2</v>
      </c>
      <c r="D304">
        <v>2.9984E-2</v>
      </c>
      <c r="E304">
        <v>3.1244000000000001E-2</v>
      </c>
      <c r="F304">
        <v>110761070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-0.64082098061573511</v>
      </c>
      <c r="Q304">
        <f t="shared" si="965"/>
        <v>-70978017.491448075</v>
      </c>
      <c r="R304">
        <f t="shared" si="966"/>
        <v>-129584533.09239304</v>
      </c>
      <c r="S304">
        <f t="shared" si="967"/>
        <v>-1295.8453309239303</v>
      </c>
      <c r="T304">
        <f t="shared" si="968"/>
        <v>-1.2958453309239304</v>
      </c>
    </row>
    <row r="305" spans="1:20" x14ac:dyDescent="0.25">
      <c r="A305" s="5">
        <v>44288</v>
      </c>
      <c r="B305">
        <v>3.0523000000000002E-2</v>
      </c>
      <c r="C305">
        <v>3.7999999999999999E-2</v>
      </c>
      <c r="D305">
        <v>3.0204000000000002E-2</v>
      </c>
      <c r="E305">
        <v>3.5123000000000001E-2</v>
      </c>
      <c r="F305">
        <v>98764793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0.26192919445869711</v>
      </c>
      <c r="Q305">
        <f t="shared" si="965"/>
        <v>25869382.671369966</v>
      </c>
      <c r="R305">
        <f t="shared" si="966"/>
        <v>-58606515.600944966</v>
      </c>
      <c r="S305">
        <f t="shared" si="967"/>
        <v>-586.06515600944965</v>
      </c>
      <c r="T305">
        <f t="shared" si="968"/>
        <v>-0.58606515600944964</v>
      </c>
    </row>
    <row r="306" spans="1:20" x14ac:dyDescent="0.25">
      <c r="A306" s="5">
        <v>44287</v>
      </c>
      <c r="B306">
        <v>2.8854999999999999E-2</v>
      </c>
      <c r="C306">
        <v>3.15E-2</v>
      </c>
      <c r="D306">
        <v>2.7421999999999998E-2</v>
      </c>
      <c r="E306">
        <v>3.0522000000000001E-2</v>
      </c>
      <c r="F306">
        <v>118630766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0.52035311427170217</v>
      </c>
      <c r="Q306">
        <f t="shared" si="965"/>
        <v>61729888.536537558</v>
      </c>
      <c r="R306">
        <f t="shared" si="966"/>
        <v>-84475898.272314936</v>
      </c>
      <c r="S306">
        <f t="shared" si="967"/>
        <v>-844.75898272314942</v>
      </c>
      <c r="T306">
        <f t="shared" si="968"/>
        <v>-0.84475898272314942</v>
      </c>
    </row>
    <row r="307" spans="1:20" x14ac:dyDescent="0.25">
      <c r="A307" s="5">
        <v>44286</v>
      </c>
      <c r="B307">
        <v>2.8944999999999999E-2</v>
      </c>
      <c r="C307">
        <v>2.9884999999999998E-2</v>
      </c>
      <c r="D307">
        <v>2.6409999999999999E-2</v>
      </c>
      <c r="E307">
        <v>2.8853E-2</v>
      </c>
      <c r="F307">
        <v>113841689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0.40604316546762675</v>
      </c>
      <c r="Q307">
        <f t="shared" si="965"/>
        <v>46224639.763741106</v>
      </c>
      <c r="R307">
        <f t="shared" si="966"/>
        <v>-146205786.80885249</v>
      </c>
      <c r="S307">
        <f t="shared" si="967"/>
        <v>-1462.0578680885249</v>
      </c>
      <c r="T307">
        <f t="shared" si="968"/>
        <v>-1.4620578680885248</v>
      </c>
    </row>
    <row r="308" spans="1:20" x14ac:dyDescent="0.25">
      <c r="A308" s="5">
        <v>44285</v>
      </c>
      <c r="B308">
        <v>2.7071999999999999E-2</v>
      </c>
      <c r="C308">
        <v>2.9777999999999999E-2</v>
      </c>
      <c r="D308">
        <v>2.7066E-2</v>
      </c>
      <c r="E308">
        <v>2.8944000000000001E-2</v>
      </c>
      <c r="F308">
        <v>110971142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0.3849557522123907</v>
      </c>
      <c r="Q308">
        <f t="shared" si="965"/>
        <v>42718979.442478023</v>
      </c>
      <c r="R308">
        <f t="shared" si="966"/>
        <v>-192430426.5725936</v>
      </c>
      <c r="S308">
        <f t="shared" si="967"/>
        <v>-1924.3042657259359</v>
      </c>
      <c r="T308">
        <f t="shared" si="968"/>
        <v>-1.9243042657259359</v>
      </c>
    </row>
    <row r="309" spans="1:20" x14ac:dyDescent="0.25">
      <c r="A309" s="5">
        <v>44284</v>
      </c>
      <c r="B309">
        <v>2.5684999999999999E-2</v>
      </c>
      <c r="C309">
        <v>2.75E-2</v>
      </c>
      <c r="D309">
        <v>2.4788999999999999E-2</v>
      </c>
      <c r="E309">
        <v>2.7067000000000001E-2</v>
      </c>
      <c r="F309">
        <v>112303057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0.68056067871634152</v>
      </c>
      <c r="Q309">
        <f t="shared" si="965"/>
        <v>76429044.693839982</v>
      </c>
      <c r="R309">
        <f t="shared" si="966"/>
        <v>-235149406.01507163</v>
      </c>
      <c r="S309">
        <f t="shared" si="967"/>
        <v>-2351.4940601507165</v>
      </c>
      <c r="T309">
        <f t="shared" si="968"/>
        <v>-2.3514940601507166</v>
      </c>
    </row>
    <row r="310" spans="1:20" x14ac:dyDescent="0.25">
      <c r="A310" s="5">
        <v>44283</v>
      </c>
      <c r="B310">
        <v>2.5232000000000001E-2</v>
      </c>
      <c r="C310">
        <v>2.6006999999999999E-2</v>
      </c>
      <c r="D310">
        <v>2.3906E-2</v>
      </c>
      <c r="E310">
        <v>2.5680000000000001E-2</v>
      </c>
      <c r="F310">
        <v>124459954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0.68871965730604701</v>
      </c>
      <c r="Q310">
        <f t="shared" si="965"/>
        <v>85718016.86720638</v>
      </c>
      <c r="R310">
        <f t="shared" si="966"/>
        <v>-311578450.7089116</v>
      </c>
      <c r="S310">
        <f t="shared" si="967"/>
        <v>-3115.7845070891158</v>
      </c>
      <c r="T310">
        <f t="shared" si="968"/>
        <v>-3.1157845070891157</v>
      </c>
    </row>
    <row r="311" spans="1:20" x14ac:dyDescent="0.25">
      <c r="A311" s="5">
        <v>44282</v>
      </c>
      <c r="B311">
        <v>2.4996999999999998E-2</v>
      </c>
      <c r="C311">
        <v>2.6922999999999999E-2</v>
      </c>
      <c r="D311">
        <v>2.3296000000000001E-2</v>
      </c>
      <c r="E311">
        <v>2.5238E-2</v>
      </c>
      <c r="F311">
        <v>125633273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7.0857457954232261E-2</v>
      </c>
      <c r="Q311">
        <f t="shared" si="965"/>
        <v>8902054.3592500836</v>
      </c>
      <c r="R311">
        <f t="shared" si="966"/>
        <v>-397296467.57611799</v>
      </c>
      <c r="S311">
        <f t="shared" si="967"/>
        <v>-3972.9646757611799</v>
      </c>
      <c r="T311">
        <f t="shared" si="968"/>
        <v>-3.9729646757611801</v>
      </c>
    </row>
    <row r="312" spans="1:20" x14ac:dyDescent="0.25">
      <c r="A312" s="5">
        <v>44281</v>
      </c>
      <c r="B312">
        <v>2.3030999999999999E-2</v>
      </c>
      <c r="C312">
        <v>2.5319999999999999E-2</v>
      </c>
      <c r="D312">
        <v>2.2780000000000002E-2</v>
      </c>
      <c r="E312">
        <v>2.4996000000000001E-2</v>
      </c>
      <c r="F312">
        <v>108828581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0.74488188976378089</v>
      </c>
      <c r="Q312">
        <f t="shared" si="965"/>
        <v>81064439.0755907</v>
      </c>
      <c r="R312">
        <f t="shared" si="966"/>
        <v>-406198521.93536806</v>
      </c>
      <c r="S312">
        <f t="shared" si="967"/>
        <v>-4061.9852193536808</v>
      </c>
      <c r="T312">
        <f t="shared" si="968"/>
        <v>-4.061985219353681</v>
      </c>
    </row>
    <row r="313" spans="1:20" x14ac:dyDescent="0.25">
      <c r="A313" s="5">
        <v>44280</v>
      </c>
      <c r="B313">
        <v>2.2565000000000002E-2</v>
      </c>
      <c r="C313">
        <v>2.4759E-2</v>
      </c>
      <c r="D313">
        <v>2.0449999999999999E-2</v>
      </c>
      <c r="E313">
        <v>2.3049E-2</v>
      </c>
      <c r="F313">
        <v>75631099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0.20631236945927148</v>
      </c>
      <c r="Q313">
        <f t="shared" si="965"/>
        <v>15603631.239498738</v>
      </c>
      <c r="R313">
        <f t="shared" si="966"/>
        <v>-487262961.01095879</v>
      </c>
      <c r="S313">
        <f t="shared" si="967"/>
        <v>-4872.6296101095877</v>
      </c>
      <c r="T313">
        <f t="shared" si="968"/>
        <v>-4.8726296101095876</v>
      </c>
    </row>
    <row r="314" spans="1:20" x14ac:dyDescent="0.25">
      <c r="A314" s="5">
        <v>44279</v>
      </c>
      <c r="B314">
        <v>2.5496999999999999E-2</v>
      </c>
      <c r="C314">
        <v>2.7491999999999999E-2</v>
      </c>
      <c r="D314">
        <v>2.1760999999999999E-2</v>
      </c>
      <c r="E314">
        <v>2.2565000000000002E-2</v>
      </c>
      <c r="F314">
        <v>145152472</v>
      </c>
      <c r="G314">
        <v>0</v>
      </c>
      <c r="L314" t="s">
        <v>7</v>
      </c>
      <c r="M314" t="s">
        <v>8</v>
      </c>
      <c r="N314" t="s">
        <v>7</v>
      </c>
      <c r="P314">
        <f t="shared" si="964"/>
        <v>-0.71942069446867818</v>
      </c>
      <c r="Q314">
        <f t="shared" si="965"/>
        <v>-104425692.21008536</v>
      </c>
      <c r="R314">
        <f t="shared" si="966"/>
        <v>-502866592.25045753</v>
      </c>
      <c r="S314">
        <f t="shared" si="967"/>
        <v>-5028.6659225045751</v>
      </c>
      <c r="T314">
        <f t="shared" si="968"/>
        <v>-5.0286659225045751</v>
      </c>
    </row>
    <row r="315" spans="1:20" x14ac:dyDescent="0.25">
      <c r="A315" s="5">
        <v>44278</v>
      </c>
      <c r="B315">
        <v>2.8316999999999998E-2</v>
      </c>
      <c r="C315">
        <v>2.8864999999999998E-2</v>
      </c>
      <c r="D315">
        <v>2.1898999999999998E-2</v>
      </c>
      <c r="E315">
        <v>2.5493999999999999E-2</v>
      </c>
      <c r="F315">
        <v>220937199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3.2156187194947165E-2</v>
      </c>
      <c r="Q315">
        <f t="shared" si="965"/>
        <v>7104497.9293712936</v>
      </c>
      <c r="R315">
        <f t="shared" si="966"/>
        <v>-398440900.04037213</v>
      </c>
      <c r="S315">
        <f t="shared" si="967"/>
        <v>-3984.4090004037212</v>
      </c>
      <c r="T315">
        <f t="shared" si="968"/>
        <v>-3.9844090004037214</v>
      </c>
    </row>
    <row r="316" spans="1:20" x14ac:dyDescent="0.25">
      <c r="A316" s="5">
        <v>44277</v>
      </c>
      <c r="B316">
        <v>3.3202000000000002E-2</v>
      </c>
      <c r="C316">
        <v>3.9875000000000001E-2</v>
      </c>
      <c r="D316">
        <v>2.7827000000000001E-2</v>
      </c>
      <c r="E316">
        <v>2.8261999999999999E-2</v>
      </c>
      <c r="F316">
        <v>139105387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-0.92778884462151434</v>
      </c>
      <c r="Q316">
        <f t="shared" si="965"/>
        <v>-129060426.28535862</v>
      </c>
      <c r="R316">
        <f t="shared" si="966"/>
        <v>-405545397.96974343</v>
      </c>
      <c r="S316">
        <f t="shared" si="967"/>
        <v>-4055.4539796974341</v>
      </c>
      <c r="T316">
        <f t="shared" si="968"/>
        <v>-4.0554539796974343</v>
      </c>
    </row>
    <row r="317" spans="1:20" x14ac:dyDescent="0.25">
      <c r="A317" s="5">
        <v>44276</v>
      </c>
      <c r="B317">
        <v>2.8735E-2</v>
      </c>
      <c r="C317">
        <v>3.3500000000000002E-2</v>
      </c>
      <c r="D317">
        <v>2.6291999999999999E-2</v>
      </c>
      <c r="E317">
        <v>3.3202000000000002E-2</v>
      </c>
      <c r="F317">
        <v>173872248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0.91731409544950071</v>
      </c>
      <c r="Q317">
        <f t="shared" si="965"/>
        <v>159495463.89789125</v>
      </c>
      <c r="R317">
        <f t="shared" si="966"/>
        <v>-276484971.68438482</v>
      </c>
      <c r="S317">
        <f t="shared" si="967"/>
        <v>-2764.8497168438485</v>
      </c>
      <c r="T317">
        <f t="shared" si="968"/>
        <v>-2.7648497168438486</v>
      </c>
    </row>
    <row r="318" spans="1:20" x14ac:dyDescent="0.25">
      <c r="A318" s="5">
        <v>44275</v>
      </c>
      <c r="B318">
        <v>2.9024999999999999E-2</v>
      </c>
      <c r="C318">
        <v>4.0614999999999998E-2</v>
      </c>
      <c r="D318">
        <v>2.7677E-2</v>
      </c>
      <c r="E318">
        <v>2.8743999999999999E-2</v>
      </c>
      <c r="F318">
        <v>240006617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-0.83505951460813133</v>
      </c>
      <c r="Q318">
        <f t="shared" si="965"/>
        <v>-200419809.09475967</v>
      </c>
      <c r="R318">
        <f t="shared" si="966"/>
        <v>-435980435.58227611</v>
      </c>
      <c r="S318">
        <f t="shared" si="967"/>
        <v>-4359.804355822761</v>
      </c>
      <c r="T318">
        <f t="shared" si="968"/>
        <v>-4.359804355822761</v>
      </c>
    </row>
    <row r="319" spans="1:20" x14ac:dyDescent="0.25">
      <c r="A319" s="5">
        <v>44274</v>
      </c>
      <c r="B319">
        <v>2.4865999999999999E-2</v>
      </c>
      <c r="C319">
        <v>3.39E-2</v>
      </c>
      <c r="D319">
        <v>2.4809000000000001E-2</v>
      </c>
      <c r="E319">
        <v>2.8996999999999998E-2</v>
      </c>
      <c r="F319">
        <v>242777957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-7.8649213507865356E-2</v>
      </c>
      <c r="Q319">
        <f t="shared" si="965"/>
        <v>-19094295.375096355</v>
      </c>
      <c r="R319">
        <f t="shared" si="966"/>
        <v>-235560626.48751643</v>
      </c>
      <c r="S319">
        <f t="shared" si="967"/>
        <v>-2355.6062648751645</v>
      </c>
      <c r="T319">
        <f t="shared" si="968"/>
        <v>-2.3556062648751643</v>
      </c>
    </row>
    <row r="320" spans="1:20" x14ac:dyDescent="0.25">
      <c r="A320" s="5">
        <v>44273</v>
      </c>
      <c r="B320">
        <v>2.1878000000000002E-2</v>
      </c>
      <c r="C320">
        <v>2.4986999999999999E-2</v>
      </c>
      <c r="D320">
        <v>1.9807000000000002E-2</v>
      </c>
      <c r="E320">
        <v>2.4986999999999999E-2</v>
      </c>
      <c r="F320">
        <v>192825435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1</v>
      </c>
      <c r="Q320">
        <f t="shared" si="965"/>
        <v>192825435</v>
      </c>
      <c r="R320">
        <f t="shared" si="966"/>
        <v>-216466331.11242008</v>
      </c>
      <c r="S320">
        <f t="shared" si="967"/>
        <v>-2164.6633111242008</v>
      </c>
      <c r="T320">
        <f t="shared" si="968"/>
        <v>-2.1646633111242006</v>
      </c>
    </row>
    <row r="321" spans="1:20" x14ac:dyDescent="0.25">
      <c r="A321" s="5">
        <v>44272</v>
      </c>
      <c r="B321">
        <v>2.2800999999999998E-2</v>
      </c>
      <c r="C321">
        <v>2.376E-2</v>
      </c>
      <c r="D321">
        <v>1.6497000000000001E-2</v>
      </c>
      <c r="E321">
        <v>2.1898999999999998E-2</v>
      </c>
      <c r="F321">
        <v>247743983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0.48753958419385879</v>
      </c>
      <c r="Q321">
        <f t="shared" si="965"/>
        <v>120784998.45835042</v>
      </c>
      <c r="R321">
        <f t="shared" si="966"/>
        <v>-409291766.11242008</v>
      </c>
      <c r="S321">
        <f t="shared" si="967"/>
        <v>-4092.917661124201</v>
      </c>
      <c r="T321">
        <f t="shared" si="968"/>
        <v>-4.0929176611242006</v>
      </c>
    </row>
    <row r="322" spans="1:20" x14ac:dyDescent="0.25">
      <c r="A322" s="5">
        <v>44271</v>
      </c>
      <c r="B322">
        <v>1.4825E-2</v>
      </c>
      <c r="C322">
        <v>2.5000000000000001E-2</v>
      </c>
      <c r="D322">
        <v>1.4071999999999999E-2</v>
      </c>
      <c r="E322">
        <v>2.2773999999999999E-2</v>
      </c>
      <c r="F322">
        <v>603177650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0.59260614934114164</v>
      </c>
      <c r="Q322">
        <f t="shared" si="965"/>
        <v>357446784.53513885</v>
      </c>
      <c r="R322">
        <f t="shared" si="966"/>
        <v>-530076764.5707705</v>
      </c>
      <c r="S322">
        <f t="shared" si="967"/>
        <v>-5300.767645707705</v>
      </c>
      <c r="T322">
        <f t="shared" si="968"/>
        <v>-5.3007676457077046</v>
      </c>
    </row>
    <row r="323" spans="1:20" x14ac:dyDescent="0.25">
      <c r="A323" s="5">
        <v>44270</v>
      </c>
      <c r="B323">
        <v>1.4034E-2</v>
      </c>
      <c r="C323">
        <v>1.555E-2</v>
      </c>
      <c r="D323">
        <v>1.2506E-2</v>
      </c>
      <c r="E323">
        <v>1.4829999999999999E-2</v>
      </c>
      <c r="F323">
        <v>181359122</v>
      </c>
      <c r="G323">
        <v>0</v>
      </c>
      <c r="L323" t="s">
        <v>7</v>
      </c>
      <c r="M323" t="s">
        <v>8</v>
      </c>
      <c r="N323" t="s">
        <v>7</v>
      </c>
      <c r="P323">
        <f t="shared" si="964"/>
        <v>0.52693823915900118</v>
      </c>
      <c r="Q323">
        <f t="shared" si="965"/>
        <v>95565056.40210247</v>
      </c>
      <c r="R323">
        <f t="shared" si="966"/>
        <v>-887523549.10590935</v>
      </c>
      <c r="S323">
        <f t="shared" si="967"/>
        <v>-8875.235491059093</v>
      </c>
      <c r="T323">
        <f t="shared" si="968"/>
        <v>-8.8752354910590938</v>
      </c>
    </row>
    <row r="324" spans="1:20" x14ac:dyDescent="0.25">
      <c r="A324" s="5">
        <v>44269</v>
      </c>
      <c r="B324">
        <v>1.3273E-2</v>
      </c>
      <c r="C324">
        <v>1.7899999999999999E-2</v>
      </c>
      <c r="D324">
        <v>1.2781000000000001E-2</v>
      </c>
      <c r="E324">
        <v>1.4064999999999999E-2</v>
      </c>
      <c r="F324">
        <v>331383035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-0.49833951943739047</v>
      </c>
      <c r="Q324">
        <f t="shared" si="965"/>
        <v>-165141262.41160396</v>
      </c>
      <c r="R324">
        <f t="shared" si="966"/>
        <v>-983088605.50801182</v>
      </c>
      <c r="S324">
        <f t="shared" si="967"/>
        <v>-9830.8860550801182</v>
      </c>
      <c r="T324">
        <f t="shared" si="968"/>
        <v>-9.8308860550801178</v>
      </c>
    </row>
    <row r="325" spans="1:20" x14ac:dyDescent="0.25">
      <c r="A325" s="5">
        <v>44268</v>
      </c>
      <c r="B325">
        <v>9.5289999999999993E-3</v>
      </c>
      <c r="C325">
        <v>2.1999999999999999E-2</v>
      </c>
      <c r="D325">
        <v>9.2350000000000002E-3</v>
      </c>
      <c r="E325">
        <v>1.3273E-2</v>
      </c>
      <c r="F325">
        <v>838882676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-0.36733254994124553</v>
      </c>
      <c r="Q325">
        <f t="shared" si="965"/>
        <v>-308148912.47661567</v>
      </c>
      <c r="R325">
        <f t="shared" si="966"/>
        <v>-817947343.09640789</v>
      </c>
      <c r="S325">
        <f t="shared" si="967"/>
        <v>-8179.4734309640789</v>
      </c>
      <c r="T325">
        <f t="shared" si="968"/>
        <v>-8.1794734309640784</v>
      </c>
    </row>
    <row r="326" spans="1:20" x14ac:dyDescent="0.25">
      <c r="A326" s="5">
        <v>44267</v>
      </c>
      <c r="B326">
        <v>9.4820000000000008E-3</v>
      </c>
      <c r="C326">
        <v>9.953E-3</v>
      </c>
      <c r="D326">
        <v>8.7279999999999996E-3</v>
      </c>
      <c r="E326">
        <v>9.502E-3</v>
      </c>
      <c r="F326">
        <v>124503503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0.26367346938775532</v>
      </c>
      <c r="Q326">
        <f t="shared" ref="Q326:Q389" si="970">F326*P326</f>
        <v>32828270.586938802</v>
      </c>
      <c r="R326">
        <f t="shared" ref="R326:R389" si="971">R327+Q326</f>
        <v>-509798430.61979228</v>
      </c>
      <c r="S326">
        <f t="shared" ref="S326:S389" si="972">R326/100000</f>
        <v>-5097.9843061979227</v>
      </c>
      <c r="T326">
        <f t="shared" ref="T326:T389" si="973">S326/1000</f>
        <v>-5.0979843061979224</v>
      </c>
    </row>
    <row r="327" spans="1:20" x14ac:dyDescent="0.25">
      <c r="A327" s="5">
        <v>44266</v>
      </c>
      <c r="B327">
        <v>9.5289999999999993E-3</v>
      </c>
      <c r="C327">
        <v>9.6699999999999998E-3</v>
      </c>
      <c r="D327">
        <v>8.7639999999999992E-3</v>
      </c>
      <c r="E327">
        <v>9.4870000000000006E-3</v>
      </c>
      <c r="F327">
        <v>92351616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0.59602649006622732</v>
      </c>
      <c r="Q327">
        <f t="shared" si="970"/>
        <v>55044009.536424041</v>
      </c>
      <c r="R327">
        <f t="shared" si="971"/>
        <v>-542626701.20673108</v>
      </c>
      <c r="S327">
        <f t="shared" si="972"/>
        <v>-5426.267012067311</v>
      </c>
      <c r="T327">
        <f t="shared" si="973"/>
        <v>-5.4262670120673109</v>
      </c>
    </row>
    <row r="328" spans="1:20" x14ac:dyDescent="0.25">
      <c r="A328" s="5">
        <v>44265</v>
      </c>
      <c r="B328">
        <v>9.1520000000000004E-3</v>
      </c>
      <c r="C328">
        <v>9.9150000000000002E-3</v>
      </c>
      <c r="D328">
        <v>8.5260000000000006E-3</v>
      </c>
      <c r="E328">
        <v>9.5300000000000003E-3</v>
      </c>
      <c r="F328">
        <v>117770850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0.44564434845212381</v>
      </c>
      <c r="Q328">
        <f t="shared" si="970"/>
        <v>52483913.714902803</v>
      </c>
      <c r="R328">
        <f t="shared" si="971"/>
        <v>-597670710.74315512</v>
      </c>
      <c r="S328">
        <f t="shared" si="972"/>
        <v>-5976.7071074315509</v>
      </c>
      <c r="T328">
        <f t="shared" si="973"/>
        <v>-5.976707107431551</v>
      </c>
    </row>
    <row r="329" spans="1:20" x14ac:dyDescent="0.25">
      <c r="A329" s="5">
        <v>44264</v>
      </c>
      <c r="B329">
        <v>8.8159999999999992E-3</v>
      </c>
      <c r="C329">
        <v>9.1610000000000007E-3</v>
      </c>
      <c r="D329">
        <v>8.4019999999999997E-3</v>
      </c>
      <c r="E329">
        <v>9.1529999999999997E-3</v>
      </c>
      <c r="F329">
        <v>161981723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0.97891963109354141</v>
      </c>
      <c r="Q329">
        <f t="shared" si="970"/>
        <v>158567088.52305621</v>
      </c>
      <c r="R329">
        <f t="shared" si="971"/>
        <v>-650154624.45805788</v>
      </c>
      <c r="S329">
        <f t="shared" si="972"/>
        <v>-6501.5462445805788</v>
      </c>
      <c r="T329">
        <f t="shared" si="973"/>
        <v>-6.5015462445805792</v>
      </c>
    </row>
    <row r="330" spans="1:20" x14ac:dyDescent="0.25">
      <c r="A330" s="5">
        <v>44263</v>
      </c>
      <c r="B330">
        <v>8.7460000000000003E-3</v>
      </c>
      <c r="C330">
        <v>8.8699999999999994E-3</v>
      </c>
      <c r="D330">
        <v>8.0000000000000002E-3</v>
      </c>
      <c r="E330">
        <v>8.8129999999999997E-3</v>
      </c>
      <c r="F330">
        <v>94498227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0.86896551724137971</v>
      </c>
      <c r="Q330">
        <f t="shared" si="970"/>
        <v>82115700.70344831</v>
      </c>
      <c r="R330">
        <f t="shared" si="971"/>
        <v>-808721712.98111403</v>
      </c>
      <c r="S330">
        <f t="shared" si="972"/>
        <v>-8087.2171298111407</v>
      </c>
      <c r="T330">
        <f t="shared" si="973"/>
        <v>-8.0872171298111404</v>
      </c>
    </row>
    <row r="331" spans="1:20" x14ac:dyDescent="0.25">
      <c r="A331" s="5">
        <v>44262</v>
      </c>
      <c r="B331">
        <v>8.6090000000000003E-3</v>
      </c>
      <c r="C331">
        <v>8.7650000000000002E-3</v>
      </c>
      <c r="D331">
        <v>8.3580000000000008E-3</v>
      </c>
      <c r="E331">
        <v>8.744E-3</v>
      </c>
      <c r="F331">
        <v>91377669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0.89680589680589573</v>
      </c>
      <c r="Q331">
        <f t="shared" si="970"/>
        <v>81948032.395577297</v>
      </c>
      <c r="R331">
        <f t="shared" si="971"/>
        <v>-890837413.68456233</v>
      </c>
      <c r="S331">
        <f t="shared" si="972"/>
        <v>-8908.3741368456231</v>
      </c>
      <c r="T331">
        <f t="shared" si="973"/>
        <v>-8.9083741368456231</v>
      </c>
    </row>
    <row r="332" spans="1:20" x14ac:dyDescent="0.25">
      <c r="A332" s="5">
        <v>44261</v>
      </c>
      <c r="B332">
        <v>8.6630000000000006E-3</v>
      </c>
      <c r="C332">
        <v>8.9060000000000007E-3</v>
      </c>
      <c r="D332">
        <v>8.0630000000000007E-3</v>
      </c>
      <c r="E332">
        <v>8.6E-3</v>
      </c>
      <c r="F332">
        <v>84763138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0.27402135231316554</v>
      </c>
      <c r="Q332">
        <f t="shared" si="970"/>
        <v>23226909.70106747</v>
      </c>
      <c r="R332">
        <f t="shared" si="971"/>
        <v>-972785446.08013964</v>
      </c>
      <c r="S332">
        <f t="shared" si="972"/>
        <v>-9727.8544608013963</v>
      </c>
      <c r="T332">
        <f t="shared" si="973"/>
        <v>-9.7278544608013959</v>
      </c>
    </row>
    <row r="333" spans="1:20" x14ac:dyDescent="0.25">
      <c r="A333" s="5">
        <v>44260</v>
      </c>
      <c r="B333">
        <v>8.6199999999999992E-3</v>
      </c>
      <c r="C333">
        <v>8.7910000000000002E-3</v>
      </c>
      <c r="D333">
        <v>7.7860000000000004E-3</v>
      </c>
      <c r="E333">
        <v>8.6540000000000002E-3</v>
      </c>
      <c r="F333">
        <v>103609150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0.72736318407960199</v>
      </c>
      <c r="Q333">
        <f t="shared" si="970"/>
        <v>75361481.24378109</v>
      </c>
      <c r="R333">
        <f t="shared" si="971"/>
        <v>-996012355.78120708</v>
      </c>
      <c r="S333">
        <f t="shared" si="972"/>
        <v>-9960.1235578120704</v>
      </c>
      <c r="T333">
        <f t="shared" si="973"/>
        <v>-9.9601235578120697</v>
      </c>
    </row>
    <row r="334" spans="1:20" x14ac:dyDescent="0.25">
      <c r="A334" s="5">
        <v>44259</v>
      </c>
      <c r="B334">
        <v>7.6949999999999996E-3</v>
      </c>
      <c r="C334">
        <v>1.0184E-2</v>
      </c>
      <c r="D334">
        <v>7.0600000000000003E-3</v>
      </c>
      <c r="E334">
        <v>8.5800000000000008E-3</v>
      </c>
      <c r="F334">
        <v>208534947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-2.6888604353392766E-2</v>
      </c>
      <c r="Q334">
        <f t="shared" si="970"/>
        <v>-5607213.6837387299</v>
      </c>
      <c r="R334">
        <f t="shared" si="971"/>
        <v>-1071373837.0249882</v>
      </c>
      <c r="S334">
        <f t="shared" si="972"/>
        <v>-10713.738370249881</v>
      </c>
      <c r="T334">
        <f t="shared" si="973"/>
        <v>-10.713738370249882</v>
      </c>
    </row>
    <row r="335" spans="1:20" x14ac:dyDescent="0.25">
      <c r="A335" s="5">
        <v>44258</v>
      </c>
      <c r="B335">
        <v>7.1929999999999997E-3</v>
      </c>
      <c r="C335">
        <v>8.744E-3</v>
      </c>
      <c r="D335">
        <v>7.1409999999999998E-3</v>
      </c>
      <c r="E335">
        <v>7.7029999999999998E-3</v>
      </c>
      <c r="F335">
        <v>116411489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-0.29881472239550855</v>
      </c>
      <c r="Q335">
        <f t="shared" si="970"/>
        <v>-34785466.769182794</v>
      </c>
      <c r="R335">
        <f t="shared" si="971"/>
        <v>-1065766623.3412495</v>
      </c>
      <c r="S335">
        <f t="shared" si="972"/>
        <v>-10657.666233412494</v>
      </c>
      <c r="T335">
        <f t="shared" si="973"/>
        <v>-10.657666233412494</v>
      </c>
    </row>
    <row r="336" spans="1:20" x14ac:dyDescent="0.25">
      <c r="A336" s="5">
        <v>44257</v>
      </c>
      <c r="B336">
        <v>7.1339999999999997E-3</v>
      </c>
      <c r="C336">
        <v>7.4469999999999996E-3</v>
      </c>
      <c r="D336">
        <v>6.8009999999999998E-3</v>
      </c>
      <c r="E336">
        <v>7.1830000000000001E-3</v>
      </c>
      <c r="F336">
        <v>92522209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0.18266253869969185</v>
      </c>
      <c r="Q336">
        <f t="shared" si="970"/>
        <v>16900341.582043476</v>
      </c>
      <c r="R336">
        <f t="shared" si="971"/>
        <v>-1030981156.5720667</v>
      </c>
      <c r="S336">
        <f t="shared" si="972"/>
        <v>-10309.811565720667</v>
      </c>
      <c r="T336">
        <f t="shared" si="973"/>
        <v>-10.309811565720667</v>
      </c>
    </row>
    <row r="337" spans="1:20" x14ac:dyDescent="0.25">
      <c r="A337" s="5">
        <v>44256</v>
      </c>
      <c r="B337">
        <v>6.7060000000000002E-3</v>
      </c>
      <c r="C337">
        <v>7.5599999999999999E-3</v>
      </c>
      <c r="D337">
        <v>6.7060000000000002E-3</v>
      </c>
      <c r="E337">
        <v>7.1390000000000004E-3</v>
      </c>
      <c r="F337">
        <v>131406863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1.4051522248244413E-2</v>
      </c>
      <c r="Q337">
        <f t="shared" si="970"/>
        <v>1846466.4590165056</v>
      </c>
      <c r="R337">
        <f t="shared" si="971"/>
        <v>-1047881498.1541102</v>
      </c>
      <c r="S337">
        <f t="shared" si="972"/>
        <v>-10478.814981541102</v>
      </c>
      <c r="T337">
        <f t="shared" si="973"/>
        <v>-10.478814981541102</v>
      </c>
    </row>
    <row r="338" spans="1:20" x14ac:dyDescent="0.25">
      <c r="A338" s="5">
        <v>44255</v>
      </c>
      <c r="B338">
        <v>7.3629999999999998E-3</v>
      </c>
      <c r="C338">
        <v>7.4000000000000003E-3</v>
      </c>
      <c r="D338">
        <v>6.3749999999999996E-3</v>
      </c>
      <c r="E338">
        <v>6.705E-3</v>
      </c>
      <c r="F338">
        <v>101452127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-0.35609756097560935</v>
      </c>
      <c r="Q338">
        <f t="shared" si="970"/>
        <v>-36126854.980487764</v>
      </c>
      <c r="R338">
        <f t="shared" si="971"/>
        <v>-1049727964.6131268</v>
      </c>
      <c r="S338">
        <f t="shared" si="972"/>
        <v>-10497.279646131268</v>
      </c>
      <c r="T338">
        <f t="shared" si="973"/>
        <v>-10.497279646131268</v>
      </c>
    </row>
    <row r="339" spans="1:20" x14ac:dyDescent="0.25">
      <c r="A339" s="5">
        <v>44254</v>
      </c>
      <c r="B339">
        <v>7.1609999999999998E-3</v>
      </c>
      <c r="C339">
        <v>7.5950000000000002E-3</v>
      </c>
      <c r="D339">
        <v>6.9930000000000001E-3</v>
      </c>
      <c r="E339">
        <v>7.3629999999999998E-3</v>
      </c>
      <c r="F339">
        <v>120262145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0.22923588039866979</v>
      </c>
      <c r="Q339">
        <f t="shared" si="970"/>
        <v>27568398.687707484</v>
      </c>
      <c r="R339">
        <f t="shared" si="971"/>
        <v>-1013601109.6326389</v>
      </c>
      <c r="S339">
        <f t="shared" si="972"/>
        <v>-10136.011096326389</v>
      </c>
      <c r="T339">
        <f t="shared" si="973"/>
        <v>-10.136011096326389</v>
      </c>
    </row>
    <row r="340" spans="1:20" x14ac:dyDescent="0.25">
      <c r="A340" s="5">
        <v>44253</v>
      </c>
      <c r="B340">
        <v>6.7759999999999999E-3</v>
      </c>
      <c r="C340">
        <v>8.1010000000000006E-3</v>
      </c>
      <c r="D340">
        <v>6.5420000000000001E-3</v>
      </c>
      <c r="E340">
        <v>7.1609999999999998E-3</v>
      </c>
      <c r="F340">
        <v>152277551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-0.20590121872995565</v>
      </c>
      <c r="Q340">
        <f t="shared" si="970"/>
        <v>-31354133.336112976</v>
      </c>
      <c r="R340">
        <f t="shared" si="971"/>
        <v>-1041169508.3203464</v>
      </c>
      <c r="S340">
        <f t="shared" si="972"/>
        <v>-10411.695083203464</v>
      </c>
      <c r="T340">
        <f t="shared" si="973"/>
        <v>-10.411695083203464</v>
      </c>
    </row>
    <row r="341" spans="1:20" x14ac:dyDescent="0.25">
      <c r="A341" s="5">
        <v>44252</v>
      </c>
      <c r="B341">
        <v>6.8329999999999997E-3</v>
      </c>
      <c r="C341">
        <v>8.0789999999999994E-3</v>
      </c>
      <c r="D341">
        <v>6.561E-3</v>
      </c>
      <c r="E341">
        <v>6.7660000000000003E-3</v>
      </c>
      <c r="F341">
        <v>124436000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-0.72990777338603374</v>
      </c>
      <c r="Q341">
        <f t="shared" si="970"/>
        <v>-90826803.689064488</v>
      </c>
      <c r="R341">
        <f t="shared" si="971"/>
        <v>-1009815374.9842334</v>
      </c>
      <c r="S341">
        <f t="shared" si="972"/>
        <v>-10098.153749842333</v>
      </c>
      <c r="T341">
        <f t="shared" si="973"/>
        <v>-10.098153749842334</v>
      </c>
    </row>
    <row r="342" spans="1:20" x14ac:dyDescent="0.25">
      <c r="A342" s="5">
        <v>44251</v>
      </c>
      <c r="B342">
        <v>6.5820000000000002E-3</v>
      </c>
      <c r="C342">
        <v>7.1999999999999998E-3</v>
      </c>
      <c r="D342">
        <v>6.0340000000000003E-3</v>
      </c>
      <c r="E342">
        <v>6.8339999999999998E-3</v>
      </c>
      <c r="F342">
        <v>131261512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0.37221269296740966</v>
      </c>
      <c r="Q342">
        <f t="shared" si="970"/>
        <v>48857200.864493959</v>
      </c>
      <c r="R342">
        <f t="shared" si="971"/>
        <v>-918988571.29516888</v>
      </c>
      <c r="S342">
        <f t="shared" si="972"/>
        <v>-9189.8857129516891</v>
      </c>
      <c r="T342">
        <f t="shared" si="973"/>
        <v>-9.1898857129516891</v>
      </c>
    </row>
    <row r="343" spans="1:20" x14ac:dyDescent="0.25">
      <c r="A343" s="5">
        <v>44250</v>
      </c>
      <c r="B343">
        <v>8.9219999999999994E-3</v>
      </c>
      <c r="C343">
        <v>8.9449999999999998E-3</v>
      </c>
      <c r="D343">
        <v>5.4920000000000004E-3</v>
      </c>
      <c r="E343">
        <v>6.6090000000000003E-3</v>
      </c>
      <c r="F343">
        <v>170204746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-0.35302635389516357</v>
      </c>
      <c r="Q343">
        <f t="shared" si="970"/>
        <v>-60086760.896032423</v>
      </c>
      <c r="R343">
        <f t="shared" si="971"/>
        <v>-967845772.15966284</v>
      </c>
      <c r="S343">
        <f t="shared" si="972"/>
        <v>-9678.4577215966292</v>
      </c>
      <c r="T343">
        <f t="shared" si="973"/>
        <v>-9.6784577215966294</v>
      </c>
    </row>
    <row r="344" spans="1:20" x14ac:dyDescent="0.25">
      <c r="A344" s="5">
        <v>44249</v>
      </c>
      <c r="B344">
        <v>9.8040000000000002E-3</v>
      </c>
      <c r="C344">
        <v>1.0114E-2</v>
      </c>
      <c r="D344">
        <v>7.3070000000000001E-3</v>
      </c>
      <c r="E344">
        <v>8.9219999999999994E-3</v>
      </c>
      <c r="F344">
        <v>149709413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0.15069469184182363</v>
      </c>
      <c r="Q344">
        <f t="shared" si="970"/>
        <v>22560413.857855305</v>
      </c>
      <c r="R344">
        <f t="shared" si="971"/>
        <v>-907759011.26363039</v>
      </c>
      <c r="S344">
        <f t="shared" si="972"/>
        <v>-9077.5901126363042</v>
      </c>
      <c r="T344">
        <f t="shared" si="973"/>
        <v>-9.0775901126363046</v>
      </c>
    </row>
    <row r="345" spans="1:20" x14ac:dyDescent="0.25">
      <c r="A345" s="5">
        <v>44248</v>
      </c>
      <c r="B345">
        <v>9.0830000000000008E-3</v>
      </c>
      <c r="C345">
        <v>1.0271000000000001E-2</v>
      </c>
      <c r="D345">
        <v>8.8999999999999999E-3</v>
      </c>
      <c r="E345">
        <v>9.8019999999999999E-3</v>
      </c>
      <c r="F345">
        <v>145182543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0.31582786287381409</v>
      </c>
      <c r="Q345">
        <f t="shared" si="970"/>
        <v>45852692.282275617</v>
      </c>
      <c r="R345">
        <f t="shared" si="971"/>
        <v>-930319425.12148571</v>
      </c>
      <c r="S345">
        <f t="shared" si="972"/>
        <v>-9303.1942512148562</v>
      </c>
      <c r="T345">
        <f t="shared" si="973"/>
        <v>-9.3031942512148564</v>
      </c>
    </row>
    <row r="346" spans="1:20" x14ac:dyDescent="0.25">
      <c r="A346" s="5">
        <v>44247</v>
      </c>
      <c r="B346">
        <v>9.7120000000000001E-3</v>
      </c>
      <c r="C346">
        <v>1.0037000000000001E-2</v>
      </c>
      <c r="D346">
        <v>8.8999999999999999E-3</v>
      </c>
      <c r="E346">
        <v>9.0810000000000005E-3</v>
      </c>
      <c r="F346">
        <v>172097811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-0.6816182937554961</v>
      </c>
      <c r="Q346">
        <f t="shared" si="970"/>
        <v>-117305016.29287584</v>
      </c>
      <c r="R346">
        <f t="shared" si="971"/>
        <v>-976172117.40376139</v>
      </c>
      <c r="S346">
        <f t="shared" si="972"/>
        <v>-9761.7211740376133</v>
      </c>
      <c r="T346">
        <f t="shared" si="973"/>
        <v>-9.7617211740376142</v>
      </c>
    </row>
    <row r="347" spans="1:20" x14ac:dyDescent="0.25">
      <c r="A347" s="5">
        <v>44246</v>
      </c>
      <c r="B347">
        <v>8.3829999999999998E-3</v>
      </c>
      <c r="C347">
        <v>1.0999999999999999E-2</v>
      </c>
      <c r="D347">
        <v>7.9030000000000003E-3</v>
      </c>
      <c r="E347">
        <v>9.7020000000000006E-3</v>
      </c>
      <c r="F347">
        <v>312292617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0.1617694543106237</v>
      </c>
      <c r="Q347">
        <f t="shared" si="970"/>
        <v>50519406.237326607</v>
      </c>
      <c r="R347">
        <f t="shared" si="971"/>
        <v>-858867101.1108855</v>
      </c>
      <c r="S347">
        <f t="shared" si="972"/>
        <v>-8588.6710111088541</v>
      </c>
      <c r="T347">
        <f t="shared" si="973"/>
        <v>-8.588671011108854</v>
      </c>
    </row>
    <row r="348" spans="1:20" x14ac:dyDescent="0.25">
      <c r="A348" s="5">
        <v>44245</v>
      </c>
      <c r="B348">
        <v>7.5550000000000001E-3</v>
      </c>
      <c r="C348">
        <v>9.1000000000000004E-3</v>
      </c>
      <c r="D348">
        <v>7.0020000000000004E-3</v>
      </c>
      <c r="E348">
        <v>8.3870000000000004E-3</v>
      </c>
      <c r="F348">
        <v>369219229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0.32030505243088647</v>
      </c>
      <c r="Q348">
        <f t="shared" si="970"/>
        <v>118262784.50333647</v>
      </c>
      <c r="R348">
        <f t="shared" si="971"/>
        <v>-909386507.34821212</v>
      </c>
      <c r="S348">
        <f t="shared" si="972"/>
        <v>-9093.8650734821204</v>
      </c>
      <c r="T348">
        <f t="shared" si="973"/>
        <v>-9.0938650734821209</v>
      </c>
    </row>
    <row r="349" spans="1:20" x14ac:dyDescent="0.25">
      <c r="A349" s="5">
        <v>44244</v>
      </c>
      <c r="B349">
        <v>6.1219999999999998E-3</v>
      </c>
      <c r="C349">
        <v>1.2E-2</v>
      </c>
      <c r="D349">
        <v>6.1050000000000002E-3</v>
      </c>
      <c r="E349">
        <v>7.554E-3</v>
      </c>
      <c r="F349">
        <v>460006110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-0.50839694656488554</v>
      </c>
      <c r="Q349">
        <f t="shared" si="970"/>
        <v>-233865701.72519085</v>
      </c>
      <c r="R349">
        <f t="shared" si="971"/>
        <v>-1027649291.8515486</v>
      </c>
      <c r="S349">
        <f t="shared" si="972"/>
        <v>-10276.492918515485</v>
      </c>
      <c r="T349">
        <f t="shared" si="973"/>
        <v>-10.276492918515485</v>
      </c>
    </row>
    <row r="350" spans="1:20" x14ac:dyDescent="0.25">
      <c r="A350" s="5">
        <v>44243</v>
      </c>
      <c r="B350">
        <v>6.319E-3</v>
      </c>
      <c r="C350">
        <v>6.7219999999999997E-3</v>
      </c>
      <c r="D350">
        <v>5.9430000000000004E-3</v>
      </c>
      <c r="E350">
        <v>6.123E-3</v>
      </c>
      <c r="F350">
        <v>102312245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-0.53786906290115588</v>
      </c>
      <c r="Q350">
        <f t="shared" si="970"/>
        <v>-55030591.341463469</v>
      </c>
      <c r="R350">
        <f t="shared" si="971"/>
        <v>-793783590.12635767</v>
      </c>
      <c r="S350">
        <f t="shared" si="972"/>
        <v>-7937.8359012635765</v>
      </c>
      <c r="T350">
        <f t="shared" si="973"/>
        <v>-7.9378359012635764</v>
      </c>
    </row>
    <row r="351" spans="1:20" x14ac:dyDescent="0.25">
      <c r="A351" s="5">
        <v>44242</v>
      </c>
      <c r="B351">
        <v>6.7860000000000004E-3</v>
      </c>
      <c r="C351">
        <v>6.8849999999999996E-3</v>
      </c>
      <c r="D351">
        <v>5.4000000000000003E-3</v>
      </c>
      <c r="E351">
        <v>6.3200000000000001E-3</v>
      </c>
      <c r="F351">
        <v>131169073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0.23905723905723936</v>
      </c>
      <c r="Q351">
        <f t="shared" si="970"/>
        <v>31356916.441077482</v>
      </c>
      <c r="R351">
        <f t="shared" si="971"/>
        <v>-738752998.78489423</v>
      </c>
      <c r="S351">
        <f t="shared" si="972"/>
        <v>-7387.5299878489423</v>
      </c>
      <c r="T351">
        <f t="shared" si="973"/>
        <v>-7.387529987848942</v>
      </c>
    </row>
    <row r="352" spans="1:20" x14ac:dyDescent="0.25">
      <c r="A352" s="5">
        <v>44241</v>
      </c>
      <c r="B352">
        <v>7.228E-3</v>
      </c>
      <c r="C352">
        <v>7.7000000000000002E-3</v>
      </c>
      <c r="D352">
        <v>6.2030000000000002E-3</v>
      </c>
      <c r="E352">
        <v>6.7920000000000003E-3</v>
      </c>
      <c r="F352">
        <v>191991078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-0.21309285237140937</v>
      </c>
      <c r="Q352">
        <f t="shared" si="970"/>
        <v>-40911926.440881744</v>
      </c>
      <c r="R352">
        <f t="shared" si="971"/>
        <v>-770109915.2259717</v>
      </c>
      <c r="S352">
        <f t="shared" si="972"/>
        <v>-7701.0991522597169</v>
      </c>
      <c r="T352">
        <f t="shared" si="973"/>
        <v>-7.701099152259717</v>
      </c>
    </row>
    <row r="353" spans="1:20" x14ac:dyDescent="0.25">
      <c r="A353" s="5">
        <v>44240</v>
      </c>
      <c r="B353">
        <v>6.9839999999999998E-3</v>
      </c>
      <c r="C353">
        <v>7.3010000000000002E-3</v>
      </c>
      <c r="D353">
        <v>6.136E-3</v>
      </c>
      <c r="E353">
        <v>7.2290000000000002E-3</v>
      </c>
      <c r="F353">
        <v>131143205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0.87639484978540771</v>
      </c>
      <c r="Q353">
        <f t="shared" si="970"/>
        <v>114933229.44635193</v>
      </c>
      <c r="R353">
        <f t="shared" si="971"/>
        <v>-729197988.78508997</v>
      </c>
      <c r="S353">
        <f t="shared" si="972"/>
        <v>-7291.9798878509</v>
      </c>
      <c r="T353">
        <f t="shared" si="973"/>
        <v>-7.2919798878508999</v>
      </c>
    </row>
    <row r="354" spans="1:20" x14ac:dyDescent="0.25">
      <c r="A354" s="5">
        <v>44239</v>
      </c>
      <c r="B354">
        <v>6.4679999999999998E-3</v>
      </c>
      <c r="C354">
        <v>7.1050000000000002E-3</v>
      </c>
      <c r="D354">
        <v>6.2009999999999999E-3</v>
      </c>
      <c r="E354">
        <v>7.012E-3</v>
      </c>
      <c r="F354">
        <v>127560904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0.79424778761061909</v>
      </c>
      <c r="Q354">
        <f t="shared" si="970"/>
        <v>101314965.78761058</v>
      </c>
      <c r="R354">
        <f t="shared" si="971"/>
        <v>-844131218.23144186</v>
      </c>
      <c r="S354">
        <f t="shared" si="972"/>
        <v>-8441.3121823144193</v>
      </c>
      <c r="T354">
        <f t="shared" si="973"/>
        <v>-8.4413121823144195</v>
      </c>
    </row>
    <row r="355" spans="1:20" x14ac:dyDescent="0.25">
      <c r="A355" s="5">
        <v>44238</v>
      </c>
      <c r="B355">
        <v>6.0990000000000003E-3</v>
      </c>
      <c r="C355">
        <v>6.5929999999999999E-3</v>
      </c>
      <c r="D355">
        <v>5.8690000000000001E-3</v>
      </c>
      <c r="E355">
        <v>6.4660000000000004E-3</v>
      </c>
      <c r="F355">
        <v>115893527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0.64917127071823333</v>
      </c>
      <c r="Q355">
        <f t="shared" si="970"/>
        <v>75234748.19060789</v>
      </c>
      <c r="R355">
        <f t="shared" si="971"/>
        <v>-945446184.01905239</v>
      </c>
      <c r="S355">
        <f t="shared" si="972"/>
        <v>-9454.4618401905245</v>
      </c>
      <c r="T355">
        <f t="shared" si="973"/>
        <v>-9.4544618401905254</v>
      </c>
    </row>
    <row r="356" spans="1:20" x14ac:dyDescent="0.25">
      <c r="A356" s="5">
        <v>44237</v>
      </c>
      <c r="B356">
        <v>6.2940000000000001E-3</v>
      </c>
      <c r="C356">
        <v>6.6100000000000004E-3</v>
      </c>
      <c r="D356">
        <v>5.5900000000000004E-3</v>
      </c>
      <c r="E356">
        <v>6.097E-3</v>
      </c>
      <c r="F356">
        <v>101547280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-5.8823529411772511E-3</v>
      </c>
      <c r="Q356">
        <f t="shared" si="970"/>
        <v>-597336.94117654988</v>
      </c>
      <c r="R356">
        <f t="shared" si="971"/>
        <v>-1020680932.2096603</v>
      </c>
      <c r="S356">
        <f t="shared" si="972"/>
        <v>-10206.809322096602</v>
      </c>
      <c r="T356">
        <f t="shared" si="973"/>
        <v>-10.206809322096602</v>
      </c>
    </row>
    <row r="357" spans="1:20" x14ac:dyDescent="0.25">
      <c r="A357" s="5">
        <v>44236</v>
      </c>
      <c r="B357">
        <v>5.8329999999999996E-3</v>
      </c>
      <c r="C357">
        <v>6.7239999999999999E-3</v>
      </c>
      <c r="D357">
        <v>5.6299999999999996E-3</v>
      </c>
      <c r="E357">
        <v>6.2940000000000001E-3</v>
      </c>
      <c r="F357">
        <v>120310148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0.21389396709323641</v>
      </c>
      <c r="Q357">
        <f t="shared" si="970"/>
        <v>25733614.837294403</v>
      </c>
      <c r="R357">
        <f t="shared" si="971"/>
        <v>-1020083595.2684838</v>
      </c>
      <c r="S357">
        <f t="shared" si="972"/>
        <v>-10200.835952684838</v>
      </c>
      <c r="T357">
        <f t="shared" si="973"/>
        <v>-10.200835952684837</v>
      </c>
    </row>
    <row r="358" spans="1:20" x14ac:dyDescent="0.25">
      <c r="A358" s="5">
        <v>44235</v>
      </c>
      <c r="B358">
        <v>5.6210000000000001E-3</v>
      </c>
      <c r="C358">
        <v>5.9389999999999998E-3</v>
      </c>
      <c r="D358">
        <v>5.4400000000000004E-3</v>
      </c>
      <c r="E358">
        <v>5.8339999999999998E-3</v>
      </c>
      <c r="F358">
        <v>91983427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0.57915831663326578</v>
      </c>
      <c r="Q358">
        <f t="shared" si="970"/>
        <v>53272966.739478886</v>
      </c>
      <c r="R358">
        <f t="shared" si="971"/>
        <v>-1045817210.1057782</v>
      </c>
      <c r="S358">
        <f t="shared" si="972"/>
        <v>-10458.172101057782</v>
      </c>
      <c r="T358">
        <f t="shared" si="973"/>
        <v>-10.458172101057782</v>
      </c>
    </row>
    <row r="359" spans="1:20" x14ac:dyDescent="0.25">
      <c r="A359" s="5">
        <v>44234</v>
      </c>
      <c r="B359">
        <v>5.9290000000000002E-3</v>
      </c>
      <c r="C359">
        <v>5.9290000000000002E-3</v>
      </c>
      <c r="D359">
        <v>5.2560000000000003E-3</v>
      </c>
      <c r="E359">
        <v>5.6259999999999999E-3</v>
      </c>
      <c r="F359">
        <v>86805115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9.9554234769687E-2</v>
      </c>
      <c r="Q359">
        <f t="shared" si="970"/>
        <v>8641816.7979196794</v>
      </c>
      <c r="R359">
        <f t="shared" si="971"/>
        <v>-1099090176.845257</v>
      </c>
      <c r="S359">
        <f t="shared" si="972"/>
        <v>-10990.90176845257</v>
      </c>
      <c r="T359">
        <f t="shared" si="973"/>
        <v>-10.99090176845257</v>
      </c>
    </row>
    <row r="360" spans="1:20" x14ac:dyDescent="0.25">
      <c r="A360" s="5">
        <v>44233</v>
      </c>
      <c r="B360">
        <v>6.4780000000000003E-3</v>
      </c>
      <c r="C360">
        <v>6.4780000000000003E-3</v>
      </c>
      <c r="D360">
        <v>5.7409999999999996E-3</v>
      </c>
      <c r="E360">
        <v>5.9309999999999996E-3</v>
      </c>
      <c r="F360">
        <v>85504337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-0.48439620081411155</v>
      </c>
      <c r="Q360">
        <f t="shared" si="970"/>
        <v>-41417975.995929472</v>
      </c>
      <c r="R360">
        <f t="shared" si="971"/>
        <v>-1107731993.6431768</v>
      </c>
      <c r="S360">
        <f t="shared" si="972"/>
        <v>-11077.319936431768</v>
      </c>
      <c r="T360">
        <f t="shared" si="973"/>
        <v>-11.077319936431769</v>
      </c>
    </row>
    <row r="361" spans="1:20" x14ac:dyDescent="0.25">
      <c r="A361" s="5">
        <v>44232</v>
      </c>
      <c r="B361">
        <v>6.6109999999999997E-3</v>
      </c>
      <c r="C361">
        <v>7.0140000000000003E-3</v>
      </c>
      <c r="D361">
        <v>6.0400000000000002E-3</v>
      </c>
      <c r="E361">
        <v>6.4770000000000001E-3</v>
      </c>
      <c r="F361">
        <v>102709639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-0.10266940451745406</v>
      </c>
      <c r="Q361">
        <f t="shared" si="970"/>
        <v>-10545137.474332675</v>
      </c>
      <c r="R361">
        <f t="shared" si="971"/>
        <v>-1066314017.6472474</v>
      </c>
      <c r="S361">
        <f t="shared" si="972"/>
        <v>-10663.140176472474</v>
      </c>
      <c r="T361">
        <f t="shared" si="973"/>
        <v>-10.663140176472474</v>
      </c>
    </row>
    <row r="362" spans="1:20" x14ac:dyDescent="0.25">
      <c r="A362" s="5">
        <v>44231</v>
      </c>
      <c r="B362">
        <v>5.1289999999999999E-3</v>
      </c>
      <c r="C362">
        <v>8.5000000000000006E-3</v>
      </c>
      <c r="D362">
        <v>5.1009999999999996E-3</v>
      </c>
      <c r="E362">
        <v>6.698E-3</v>
      </c>
      <c r="F362">
        <v>301058689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-6.0311856428361357E-2</v>
      </c>
      <c r="Q362">
        <f t="shared" si="970"/>
        <v>-18157408.427478693</v>
      </c>
      <c r="R362">
        <f t="shared" si="971"/>
        <v>-1055768880.1729147</v>
      </c>
      <c r="S362">
        <f t="shared" si="972"/>
        <v>-10557.688801729148</v>
      </c>
      <c r="T362">
        <f t="shared" si="973"/>
        <v>-10.557688801729148</v>
      </c>
    </row>
    <row r="363" spans="1:20" x14ac:dyDescent="0.25">
      <c r="A363" s="5">
        <v>44230</v>
      </c>
      <c r="B363">
        <v>4.3359999999999996E-3</v>
      </c>
      <c r="C363">
        <v>7.0530000000000002E-3</v>
      </c>
      <c r="D363">
        <v>4.2570000000000004E-3</v>
      </c>
      <c r="E363">
        <v>5.1289999999999999E-3</v>
      </c>
      <c r="F363">
        <v>221177678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-0.37625178826895594</v>
      </c>
      <c r="Q363">
        <f t="shared" si="970"/>
        <v>-83218496.872675315</v>
      </c>
      <c r="R363">
        <f t="shared" si="971"/>
        <v>-1037611471.7454361</v>
      </c>
      <c r="S363">
        <f t="shared" si="972"/>
        <v>-10376.11471745436</v>
      </c>
      <c r="T363">
        <f t="shared" si="973"/>
        <v>-10.37611471745436</v>
      </c>
    </row>
    <row r="364" spans="1:20" x14ac:dyDescent="0.25">
      <c r="A364" s="5">
        <v>44229</v>
      </c>
      <c r="B364">
        <v>3.9410000000000001E-3</v>
      </c>
      <c r="C364">
        <v>4.4000000000000003E-3</v>
      </c>
      <c r="D364">
        <v>3.8790000000000001E-3</v>
      </c>
      <c r="E364">
        <v>4.3499999999999997E-3</v>
      </c>
      <c r="F364">
        <v>92364409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0.80806142034548734</v>
      </c>
      <c r="Q364">
        <f t="shared" si="970"/>
        <v>74636115.52591151</v>
      </c>
      <c r="R364">
        <f t="shared" si="971"/>
        <v>-954392974.87276077</v>
      </c>
      <c r="S364">
        <f t="shared" si="972"/>
        <v>-9543.9297487276071</v>
      </c>
      <c r="T364">
        <f t="shared" si="973"/>
        <v>-9.5439297487276065</v>
      </c>
    </row>
    <row r="365" spans="1:20" x14ac:dyDescent="0.25">
      <c r="A365" s="5">
        <v>44228</v>
      </c>
      <c r="B365">
        <v>4.0629999999999998E-3</v>
      </c>
      <c r="C365">
        <v>4.0870000000000004E-3</v>
      </c>
      <c r="D365">
        <v>3.803E-3</v>
      </c>
      <c r="E365">
        <v>3.9410000000000001E-3</v>
      </c>
      <c r="F365">
        <v>86535750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-2.8169014084507688E-2</v>
      </c>
      <c r="Q365">
        <f t="shared" si="970"/>
        <v>-2437626.760563436</v>
      </c>
      <c r="R365">
        <f t="shared" si="971"/>
        <v>-1029029090.3986723</v>
      </c>
      <c r="S365">
        <f t="shared" si="972"/>
        <v>-10290.290903986723</v>
      </c>
      <c r="T365">
        <f t="shared" si="973"/>
        <v>-10.290290903986723</v>
      </c>
    </row>
    <row r="366" spans="1:20" x14ac:dyDescent="0.25">
      <c r="A366" s="5">
        <v>44227</v>
      </c>
      <c r="B366">
        <v>4.3400000000000001E-3</v>
      </c>
      <c r="C366">
        <v>4.3480000000000003E-3</v>
      </c>
      <c r="D366">
        <v>3.9389999999999998E-3</v>
      </c>
      <c r="E366">
        <v>4.0619999999999996E-3</v>
      </c>
      <c r="F366">
        <v>83255377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-0.39853300733496483</v>
      </c>
      <c r="Q366">
        <f t="shared" si="970"/>
        <v>-33180015.772616263</v>
      </c>
      <c r="R366">
        <f t="shared" si="971"/>
        <v>-1026591463.6381088</v>
      </c>
      <c r="S366">
        <f t="shared" si="972"/>
        <v>-10265.914636381089</v>
      </c>
      <c r="T366">
        <f t="shared" si="973"/>
        <v>-10.265914636381089</v>
      </c>
    </row>
    <row r="367" spans="1:20" x14ac:dyDescent="0.25">
      <c r="A367" s="5">
        <v>44226</v>
      </c>
      <c r="B367">
        <v>4.0720000000000001E-3</v>
      </c>
      <c r="C367">
        <v>4.79E-3</v>
      </c>
      <c r="D367">
        <v>4.0039999999999997E-3</v>
      </c>
      <c r="E367">
        <v>4.333E-3</v>
      </c>
      <c r="F367">
        <v>105421087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-0.16284987277353638</v>
      </c>
      <c r="Q367">
        <f t="shared" si="970"/>
        <v>-17167810.60559791</v>
      </c>
      <c r="R367">
        <f t="shared" si="971"/>
        <v>-993411447.86549258</v>
      </c>
      <c r="S367">
        <f t="shared" si="972"/>
        <v>-9934.1144786549266</v>
      </c>
      <c r="T367">
        <f t="shared" si="973"/>
        <v>-9.9341144786549265</v>
      </c>
    </row>
    <row r="368" spans="1:20" x14ac:dyDescent="0.25">
      <c r="A368" s="5">
        <v>44225</v>
      </c>
      <c r="B368">
        <v>4.0480000000000004E-3</v>
      </c>
      <c r="C368">
        <v>4.4000000000000003E-3</v>
      </c>
      <c r="D368">
        <v>3.8440000000000002E-3</v>
      </c>
      <c r="E368">
        <v>4.071E-3</v>
      </c>
      <c r="F368">
        <v>94599941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-0.18345323741007286</v>
      </c>
      <c r="Q368">
        <f t="shared" si="970"/>
        <v>-17354665.435251884</v>
      </c>
      <c r="R368">
        <f t="shared" si="971"/>
        <v>-976243637.25989473</v>
      </c>
      <c r="S368">
        <f t="shared" si="972"/>
        <v>-9762.4363725989479</v>
      </c>
      <c r="T368">
        <f t="shared" si="973"/>
        <v>-9.7624363725989483</v>
      </c>
    </row>
    <row r="369" spans="1:20" x14ac:dyDescent="0.25">
      <c r="A369" s="5">
        <v>44224</v>
      </c>
      <c r="B369">
        <v>3.5479999999999999E-3</v>
      </c>
      <c r="C369">
        <v>4.4929999999999996E-3</v>
      </c>
      <c r="D369">
        <v>3.4840000000000001E-3</v>
      </c>
      <c r="E369">
        <v>4.0489999999999996E-3</v>
      </c>
      <c r="F369">
        <v>101518971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0.11992071357779945</v>
      </c>
      <c r="Q369">
        <f t="shared" si="970"/>
        <v>12174227.444003928</v>
      </c>
      <c r="R369">
        <f t="shared" si="971"/>
        <v>-958888971.8246429</v>
      </c>
      <c r="S369">
        <f t="shared" si="972"/>
        <v>-9588.8897182464298</v>
      </c>
      <c r="T369">
        <f t="shared" si="973"/>
        <v>-9.5888897182464294</v>
      </c>
    </row>
    <row r="370" spans="1:20" x14ac:dyDescent="0.25">
      <c r="A370" s="5">
        <v>44223</v>
      </c>
      <c r="B370">
        <v>3.8999999999999998E-3</v>
      </c>
      <c r="C370">
        <v>3.9199999999999999E-3</v>
      </c>
      <c r="D370">
        <v>3.4399999999999999E-3</v>
      </c>
      <c r="E370">
        <v>3.5490000000000001E-3</v>
      </c>
      <c r="F370">
        <v>72321152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-0.54583333333333262</v>
      </c>
      <c r="Q370">
        <f t="shared" si="970"/>
        <v>-39475295.466666616</v>
      </c>
      <c r="R370">
        <f t="shared" si="971"/>
        <v>-971063199.26864684</v>
      </c>
      <c r="S370">
        <f t="shared" si="972"/>
        <v>-9710.6319926864689</v>
      </c>
      <c r="T370">
        <f t="shared" si="973"/>
        <v>-9.7106319926864693</v>
      </c>
    </row>
    <row r="371" spans="1:20" x14ac:dyDescent="0.25">
      <c r="A371" s="5">
        <v>44222</v>
      </c>
      <c r="B371">
        <v>3.9459999999999999E-3</v>
      </c>
      <c r="C371">
        <v>3.9459999999999999E-3</v>
      </c>
      <c r="D371">
        <v>3.5950000000000001E-3</v>
      </c>
      <c r="E371">
        <v>3.8969999999999999E-3</v>
      </c>
      <c r="F371">
        <v>77069785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0.72079772079772064</v>
      </c>
      <c r="Q371">
        <f t="shared" si="970"/>
        <v>55551725.370370358</v>
      </c>
      <c r="R371">
        <f t="shared" si="971"/>
        <v>-931587903.80198026</v>
      </c>
      <c r="S371">
        <f t="shared" si="972"/>
        <v>-9315.8790380198025</v>
      </c>
      <c r="T371">
        <f t="shared" si="973"/>
        <v>-9.3158790380198031</v>
      </c>
    </row>
    <row r="372" spans="1:20" x14ac:dyDescent="0.25">
      <c r="A372" s="5">
        <v>44221</v>
      </c>
      <c r="B372">
        <v>4.0070000000000001E-3</v>
      </c>
      <c r="C372">
        <v>4.1809999999999998E-3</v>
      </c>
      <c r="D372">
        <v>3.8449999999999999E-3</v>
      </c>
      <c r="E372">
        <v>3.9490000000000003E-3</v>
      </c>
      <c r="F372">
        <v>85334324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-0.38095238095237866</v>
      </c>
      <c r="Q372">
        <f t="shared" si="970"/>
        <v>-32508313.904761709</v>
      </c>
      <c r="R372">
        <f t="shared" si="971"/>
        <v>-987139629.17235065</v>
      </c>
      <c r="S372">
        <f t="shared" si="972"/>
        <v>-9871.3962917235058</v>
      </c>
      <c r="T372">
        <f t="shared" si="973"/>
        <v>-9.8713962917235065</v>
      </c>
    </row>
    <row r="373" spans="1:20" x14ac:dyDescent="0.25">
      <c r="A373" s="5">
        <v>44220</v>
      </c>
      <c r="B373">
        <v>4.0010000000000002E-3</v>
      </c>
      <c r="C373">
        <v>4.1380000000000002E-3</v>
      </c>
      <c r="D373">
        <v>3.869E-3</v>
      </c>
      <c r="E373">
        <v>4.0080000000000003E-3</v>
      </c>
      <c r="F373">
        <v>78563393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3.3457249070633167E-2</v>
      </c>
      <c r="Q373">
        <f t="shared" si="970"/>
        <v>2628515.0074350382</v>
      </c>
      <c r="R373">
        <f t="shared" si="971"/>
        <v>-954631315.26758897</v>
      </c>
      <c r="S373">
        <f t="shared" si="972"/>
        <v>-9546.3131526758898</v>
      </c>
      <c r="T373">
        <f t="shared" si="973"/>
        <v>-9.5463131526758893</v>
      </c>
    </row>
    <row r="374" spans="1:20" x14ac:dyDescent="0.25">
      <c r="A374" s="5">
        <v>44219</v>
      </c>
      <c r="B374">
        <v>3.9139999999999999E-3</v>
      </c>
      <c r="C374">
        <v>4.1999999999999997E-3</v>
      </c>
      <c r="D374">
        <v>3.7499999999999999E-3</v>
      </c>
      <c r="E374">
        <v>3.9969999999999997E-3</v>
      </c>
      <c r="F374">
        <v>85433945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9.7777777777777283E-2</v>
      </c>
      <c r="Q374">
        <f t="shared" si="970"/>
        <v>8353541.2888888465</v>
      </c>
      <c r="R374">
        <f t="shared" si="971"/>
        <v>-957259830.27502406</v>
      </c>
      <c r="S374">
        <f t="shared" si="972"/>
        <v>-9572.5983027502407</v>
      </c>
      <c r="T374">
        <f t="shared" si="973"/>
        <v>-9.5725983027502402</v>
      </c>
    </row>
    <row r="375" spans="1:20" x14ac:dyDescent="0.25">
      <c r="A375" s="5">
        <v>44218</v>
      </c>
      <c r="B375">
        <v>3.7320000000000001E-3</v>
      </c>
      <c r="C375">
        <v>3.9870000000000001E-3</v>
      </c>
      <c r="D375">
        <v>3.3089999999999999E-3</v>
      </c>
      <c r="E375">
        <v>3.9100000000000003E-3</v>
      </c>
      <c r="F375">
        <v>89724272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0.77286135693215408</v>
      </c>
      <c r="Q375">
        <f t="shared" si="970"/>
        <v>69344422.607669681</v>
      </c>
      <c r="R375">
        <f t="shared" si="971"/>
        <v>-965613371.56391287</v>
      </c>
      <c r="S375">
        <f t="shared" si="972"/>
        <v>-9656.1337156391292</v>
      </c>
      <c r="T375">
        <f t="shared" si="973"/>
        <v>-9.6561337156391289</v>
      </c>
    </row>
    <row r="376" spans="1:20" x14ac:dyDescent="0.25">
      <c r="A376" s="5">
        <v>44217</v>
      </c>
      <c r="B376">
        <v>4.4559999999999999E-3</v>
      </c>
      <c r="C376">
        <v>4.4600000000000004E-3</v>
      </c>
      <c r="D376">
        <v>3.7069999999999998E-3</v>
      </c>
      <c r="E376">
        <v>3.7330000000000002E-3</v>
      </c>
      <c r="F376">
        <v>93484032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-0.93094289508632033</v>
      </c>
      <c r="Q376">
        <f t="shared" si="970"/>
        <v>-87028295.394422218</v>
      </c>
      <c r="R376">
        <f t="shared" si="971"/>
        <v>-1034957794.1715826</v>
      </c>
      <c r="S376">
        <f t="shared" si="972"/>
        <v>-10349.577941715826</v>
      </c>
      <c r="T376">
        <f t="shared" si="973"/>
        <v>-10.349577941715827</v>
      </c>
    </row>
    <row r="377" spans="1:20" x14ac:dyDescent="0.25">
      <c r="A377" s="5">
        <v>44216</v>
      </c>
      <c r="B377">
        <v>4.5040000000000002E-3</v>
      </c>
      <c r="C377">
        <v>4.5120000000000004E-3</v>
      </c>
      <c r="D377">
        <v>3.999E-3</v>
      </c>
      <c r="E377">
        <v>4.4609999999999997E-3</v>
      </c>
      <c r="F377">
        <v>102435792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0.80116959064327231</v>
      </c>
      <c r="Q377">
        <f t="shared" si="970"/>
        <v>82068441.543859392</v>
      </c>
      <c r="R377">
        <f t="shared" si="971"/>
        <v>-947929498.77716041</v>
      </c>
      <c r="S377">
        <f t="shared" si="972"/>
        <v>-9479.2949877716037</v>
      </c>
      <c r="T377">
        <f t="shared" si="973"/>
        <v>-9.4792949877716044</v>
      </c>
    </row>
    <row r="378" spans="1:20" x14ac:dyDescent="0.25">
      <c r="A378" s="5">
        <v>44215</v>
      </c>
      <c r="B378">
        <v>3.9420000000000002E-3</v>
      </c>
      <c r="C378">
        <v>5.3140000000000001E-3</v>
      </c>
      <c r="D378">
        <v>3.859E-3</v>
      </c>
      <c r="E378">
        <v>4.5180000000000003E-3</v>
      </c>
      <c r="F378">
        <v>134602035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-9.4158075601374236E-2</v>
      </c>
      <c r="Q378">
        <f t="shared" si="970"/>
        <v>-12673868.587628821</v>
      </c>
      <c r="R378">
        <f t="shared" si="971"/>
        <v>-1029997940.3210198</v>
      </c>
      <c r="S378">
        <f t="shared" si="972"/>
        <v>-10299.979403210198</v>
      </c>
      <c r="T378">
        <f t="shared" si="973"/>
        <v>-10.299979403210198</v>
      </c>
    </row>
    <row r="379" spans="1:20" x14ac:dyDescent="0.25">
      <c r="A379" s="5">
        <v>44214</v>
      </c>
      <c r="B379">
        <v>3.8300000000000001E-3</v>
      </c>
      <c r="C379">
        <v>4.0000000000000001E-3</v>
      </c>
      <c r="D379">
        <v>3.62E-3</v>
      </c>
      <c r="E379">
        <v>3.9420000000000002E-3</v>
      </c>
      <c r="F379">
        <v>83244790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0.69473684210526387</v>
      </c>
      <c r="Q379">
        <f t="shared" si="970"/>
        <v>57833222.526315846</v>
      </c>
      <c r="R379">
        <f t="shared" si="971"/>
        <v>-1017324071.7333909</v>
      </c>
      <c r="S379">
        <f t="shared" si="972"/>
        <v>-10173.240717333909</v>
      </c>
      <c r="T379">
        <f t="shared" si="973"/>
        <v>-10.173240717333909</v>
      </c>
    </row>
    <row r="380" spans="1:20" x14ac:dyDescent="0.25">
      <c r="A380" s="5">
        <v>44213</v>
      </c>
      <c r="B380">
        <v>3.718E-3</v>
      </c>
      <c r="C380">
        <v>4.4999999999999997E-3</v>
      </c>
      <c r="D380">
        <v>3.4780000000000002E-3</v>
      </c>
      <c r="E380">
        <v>3.8340000000000002E-3</v>
      </c>
      <c r="F380">
        <v>91236695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-0.30332681017612495</v>
      </c>
      <c r="Q380">
        <f t="shared" si="970"/>
        <v>-27674535.665362008</v>
      </c>
      <c r="R380">
        <f t="shared" si="971"/>
        <v>-1075157294.2597067</v>
      </c>
      <c r="S380">
        <f t="shared" si="972"/>
        <v>-10751.572942597068</v>
      </c>
      <c r="T380">
        <f t="shared" si="973"/>
        <v>-10.751572942597068</v>
      </c>
    </row>
    <row r="381" spans="1:20" x14ac:dyDescent="0.25">
      <c r="A381" s="5">
        <v>44212</v>
      </c>
      <c r="B381">
        <v>3.5850000000000001E-3</v>
      </c>
      <c r="C381">
        <v>3.8E-3</v>
      </c>
      <c r="D381">
        <v>3.5270000000000002E-3</v>
      </c>
      <c r="E381">
        <v>3.7200000000000002E-3</v>
      </c>
      <c r="F381">
        <v>80861141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0.41391941391941517</v>
      </c>
      <c r="Q381">
        <f t="shared" si="970"/>
        <v>33469996.091575194</v>
      </c>
      <c r="R381">
        <f t="shared" si="971"/>
        <v>-1047482758.5943446</v>
      </c>
      <c r="S381">
        <f t="shared" si="972"/>
        <v>-10474.827585943447</v>
      </c>
      <c r="T381">
        <f t="shared" si="973"/>
        <v>-10.474827585943448</v>
      </c>
    </row>
    <row r="382" spans="1:20" x14ac:dyDescent="0.25">
      <c r="A382" s="5">
        <v>44211</v>
      </c>
      <c r="B382">
        <v>3.7850000000000002E-3</v>
      </c>
      <c r="C382">
        <v>3.8180000000000002E-3</v>
      </c>
      <c r="D382">
        <v>3.2789999999999998E-3</v>
      </c>
      <c r="E382">
        <v>3.5860000000000002E-3</v>
      </c>
      <c r="F382">
        <v>77234969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0.13914656771799694</v>
      </c>
      <c r="Q382">
        <f t="shared" si="970"/>
        <v>10746980.844155895</v>
      </c>
      <c r="R382">
        <f t="shared" si="971"/>
        <v>-1080952754.6859198</v>
      </c>
      <c r="S382">
        <f t="shared" si="972"/>
        <v>-10809.527546859197</v>
      </c>
      <c r="T382">
        <f t="shared" si="973"/>
        <v>-10.809527546859197</v>
      </c>
    </row>
    <row r="383" spans="1:20" x14ac:dyDescent="0.25">
      <c r="A383" s="5">
        <v>44210</v>
      </c>
      <c r="B383">
        <v>3.555E-3</v>
      </c>
      <c r="C383">
        <v>3.9199999999999999E-3</v>
      </c>
      <c r="D383">
        <v>3.4550000000000002E-3</v>
      </c>
      <c r="E383">
        <v>3.7829999999999999E-3</v>
      </c>
      <c r="F383">
        <v>81177889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0.41075268817204275</v>
      </c>
      <c r="Q383">
        <f t="shared" si="970"/>
        <v>33344036.1268817</v>
      </c>
      <c r="R383">
        <f t="shared" si="971"/>
        <v>-1091699735.5300756</v>
      </c>
      <c r="S383">
        <f t="shared" si="972"/>
        <v>-10916.997355300755</v>
      </c>
      <c r="T383">
        <f t="shared" si="973"/>
        <v>-10.916997355300754</v>
      </c>
    </row>
    <row r="384" spans="1:20" x14ac:dyDescent="0.25">
      <c r="A384" s="5">
        <v>44209</v>
      </c>
      <c r="B384">
        <v>3.4039999999999999E-3</v>
      </c>
      <c r="C384">
        <v>3.5969999999999999E-3</v>
      </c>
      <c r="D384">
        <v>3.2209999999999999E-3</v>
      </c>
      <c r="E384">
        <v>3.5430000000000001E-3</v>
      </c>
      <c r="F384">
        <v>81475156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0.71276595744680959</v>
      </c>
      <c r="Q384">
        <f t="shared" si="970"/>
        <v>58072717.574468173</v>
      </c>
      <c r="R384">
        <f t="shared" si="971"/>
        <v>-1125043771.6569571</v>
      </c>
      <c r="S384">
        <f t="shared" si="972"/>
        <v>-11250.437716569571</v>
      </c>
      <c r="T384">
        <f t="shared" si="973"/>
        <v>-11.250437716569571</v>
      </c>
    </row>
    <row r="385" spans="1:20" x14ac:dyDescent="0.25">
      <c r="A385" s="5">
        <v>44208</v>
      </c>
      <c r="B385">
        <v>3.2169999999999998E-3</v>
      </c>
      <c r="C385">
        <v>3.4859999999999999E-3</v>
      </c>
      <c r="D385">
        <v>3.1250000000000002E-3</v>
      </c>
      <c r="E385">
        <v>3.4009999999999999E-3</v>
      </c>
      <c r="F385">
        <v>85076098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0.52908587257617701</v>
      </c>
      <c r="Q385">
        <f t="shared" si="970"/>
        <v>45012561.545706347</v>
      </c>
      <c r="R385">
        <f t="shared" si="971"/>
        <v>-1183116489.2314253</v>
      </c>
      <c r="S385">
        <f t="shared" si="972"/>
        <v>-11831.164892314253</v>
      </c>
      <c r="T385">
        <f t="shared" si="973"/>
        <v>-11.831164892314252</v>
      </c>
    </row>
    <row r="386" spans="1:20" x14ac:dyDescent="0.25">
      <c r="A386" s="5">
        <v>44207</v>
      </c>
      <c r="B386">
        <v>3.7360000000000002E-3</v>
      </c>
      <c r="C386">
        <v>3.741E-3</v>
      </c>
      <c r="D386">
        <v>2.7789999999999998E-3</v>
      </c>
      <c r="E386">
        <v>3.2160000000000001E-3</v>
      </c>
      <c r="F386">
        <v>94133481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-9.1476091476090982E-2</v>
      </c>
      <c r="Q386">
        <f t="shared" si="970"/>
        <v>-8610962.9189188723</v>
      </c>
      <c r="R386">
        <f t="shared" si="971"/>
        <v>-1228129050.7771316</v>
      </c>
      <c r="S386">
        <f t="shared" si="972"/>
        <v>-12281.290507771315</v>
      </c>
      <c r="T386">
        <f t="shared" si="973"/>
        <v>-12.281290507771315</v>
      </c>
    </row>
    <row r="387" spans="1:20" x14ac:dyDescent="0.25">
      <c r="A387" s="5">
        <v>44206</v>
      </c>
      <c r="B387">
        <v>3.9740000000000001E-3</v>
      </c>
      <c r="C387">
        <v>4.1260000000000003E-3</v>
      </c>
      <c r="D387">
        <v>3.5249999999999999E-3</v>
      </c>
      <c r="E387">
        <v>3.7330000000000002E-3</v>
      </c>
      <c r="F387">
        <v>80175782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-0.30782029950083145</v>
      </c>
      <c r="Q387">
        <f t="shared" si="970"/>
        <v>-24679733.227953371</v>
      </c>
      <c r="R387">
        <f t="shared" si="971"/>
        <v>-1219518087.8582127</v>
      </c>
      <c r="S387">
        <f t="shared" si="972"/>
        <v>-12195.180878582127</v>
      </c>
      <c r="T387">
        <f t="shared" si="973"/>
        <v>-12.195180878582127</v>
      </c>
    </row>
    <row r="388" spans="1:20" x14ac:dyDescent="0.25">
      <c r="A388" s="5">
        <v>44205</v>
      </c>
      <c r="B388">
        <v>3.754E-3</v>
      </c>
      <c r="C388">
        <v>4.2770000000000004E-3</v>
      </c>
      <c r="D388">
        <v>3.7239999999999999E-3</v>
      </c>
      <c r="E388">
        <v>3.9750000000000002E-3</v>
      </c>
      <c r="F388">
        <v>90971744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-9.2224231464737391E-2</v>
      </c>
      <c r="Q388">
        <f t="shared" si="970"/>
        <v>-8389799.1754068341</v>
      </c>
      <c r="R388">
        <f t="shared" si="971"/>
        <v>-1194838354.6302593</v>
      </c>
      <c r="S388">
        <f t="shared" si="972"/>
        <v>-11948.383546302593</v>
      </c>
      <c r="T388">
        <f t="shared" si="973"/>
        <v>-11.948383546302594</v>
      </c>
    </row>
    <row r="389" spans="1:20" x14ac:dyDescent="0.25">
      <c r="A389" s="5">
        <v>44204</v>
      </c>
      <c r="B389">
        <v>4.0029999999999996E-3</v>
      </c>
      <c r="C389">
        <v>4.3750000000000004E-3</v>
      </c>
      <c r="D389">
        <v>3.542E-3</v>
      </c>
      <c r="E389">
        <v>3.748E-3</v>
      </c>
      <c r="F389">
        <v>81237283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-0.50540216086434597</v>
      </c>
      <c r="Q389">
        <f t="shared" si="970"/>
        <v>-41057498.370948397</v>
      </c>
      <c r="R389">
        <f t="shared" si="971"/>
        <v>-1186448555.4548523</v>
      </c>
      <c r="S389">
        <f t="shared" si="972"/>
        <v>-11864.485554548524</v>
      </c>
      <c r="T389">
        <f t="shared" si="973"/>
        <v>-11.864485554548525</v>
      </c>
    </row>
    <row r="390" spans="1:20" x14ac:dyDescent="0.25">
      <c r="A390" s="5">
        <v>44203</v>
      </c>
      <c r="B390">
        <v>4.1900000000000001E-3</v>
      </c>
      <c r="C390">
        <v>4.3E-3</v>
      </c>
      <c r="D390">
        <v>3.8800000000000002E-3</v>
      </c>
      <c r="E390">
        <v>4.0049999999999999E-3</v>
      </c>
      <c r="F390">
        <v>82133098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-0.40476190476190599</v>
      </c>
      <c r="Q390">
        <f t="shared" ref="Q390:Q453" si="975">F390*P390</f>
        <v>-33244349.190476291</v>
      </c>
      <c r="R390">
        <f t="shared" ref="R390:R453" si="976">R391+Q390</f>
        <v>-1145391057.083904</v>
      </c>
      <c r="S390">
        <f t="shared" ref="S390:S453" si="977">R390/100000</f>
        <v>-11453.91057083904</v>
      </c>
      <c r="T390">
        <f t="shared" ref="T390:T453" si="978">S390/1000</f>
        <v>-11.453910570839041</v>
      </c>
    </row>
    <row r="391" spans="1:20" x14ac:dyDescent="0.25">
      <c r="A391" s="5">
        <v>44202</v>
      </c>
      <c r="B391">
        <v>4.2779999999999997E-3</v>
      </c>
      <c r="C391">
        <v>4.2940000000000001E-3</v>
      </c>
      <c r="D391">
        <v>3.9090000000000001E-3</v>
      </c>
      <c r="E391">
        <v>4.1879999999999999E-3</v>
      </c>
      <c r="F391">
        <v>91252744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0.44935064935064822</v>
      </c>
      <c r="Q391">
        <f t="shared" si="975"/>
        <v>41004479.771428466</v>
      </c>
      <c r="R391">
        <f t="shared" si="976"/>
        <v>-1112146707.8934278</v>
      </c>
      <c r="S391">
        <f t="shared" si="977"/>
        <v>-11121.467078934278</v>
      </c>
      <c r="T391">
        <f t="shared" si="978"/>
        <v>-11.121467078934279</v>
      </c>
    </row>
    <row r="392" spans="1:20" x14ac:dyDescent="0.25">
      <c r="A392" s="5">
        <v>44201</v>
      </c>
      <c r="B392">
        <v>4.1219999999999998E-3</v>
      </c>
      <c r="C392">
        <v>4.3E-3</v>
      </c>
      <c r="D392">
        <v>3.7079999999999999E-3</v>
      </c>
      <c r="E392">
        <v>4.3E-3</v>
      </c>
      <c r="F392">
        <v>94259486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1</v>
      </c>
      <c r="Q392">
        <f t="shared" si="975"/>
        <v>94259486</v>
      </c>
      <c r="R392">
        <f t="shared" si="976"/>
        <v>-1153151187.6648562</v>
      </c>
      <c r="S392">
        <f t="shared" si="977"/>
        <v>-11531.511876648561</v>
      </c>
      <c r="T392">
        <f t="shared" si="978"/>
        <v>-11.531511876648562</v>
      </c>
    </row>
    <row r="393" spans="1:20" x14ac:dyDescent="0.25">
      <c r="A393" s="5">
        <v>44200</v>
      </c>
      <c r="B393">
        <v>4.6480000000000002E-3</v>
      </c>
      <c r="C393">
        <v>4.6569999999999997E-3</v>
      </c>
      <c r="D393">
        <v>3.6640000000000002E-3</v>
      </c>
      <c r="E393">
        <v>4.1159999999999999E-3</v>
      </c>
      <c r="F393">
        <v>112193838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-8.9627391742195514E-2</v>
      </c>
      <c r="Q393">
        <f t="shared" si="975"/>
        <v>-10055641.069486421</v>
      </c>
      <c r="R393">
        <f t="shared" si="976"/>
        <v>-1247410673.6648562</v>
      </c>
      <c r="S393">
        <f t="shared" si="977"/>
        <v>-12474.106736648562</v>
      </c>
      <c r="T393">
        <f t="shared" si="978"/>
        <v>-12.474106736648562</v>
      </c>
    </row>
    <row r="394" spans="1:20" x14ac:dyDescent="0.25">
      <c r="A394" s="5">
        <v>44199</v>
      </c>
      <c r="B394">
        <v>5.4390000000000003E-3</v>
      </c>
      <c r="C394">
        <v>6.169E-3</v>
      </c>
      <c r="D394">
        <v>4.2110000000000003E-3</v>
      </c>
      <c r="E394">
        <v>4.6480000000000002E-3</v>
      </c>
      <c r="F394">
        <v>129910635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-0.55362614913176711</v>
      </c>
      <c r="Q394">
        <f t="shared" si="975"/>
        <v>-71921924.586312562</v>
      </c>
      <c r="R394">
        <f t="shared" si="976"/>
        <v>-1237355032.5953698</v>
      </c>
      <c r="S394">
        <f t="shared" si="977"/>
        <v>-12373.550325953698</v>
      </c>
      <c r="T394">
        <f t="shared" si="978"/>
        <v>-12.373550325953698</v>
      </c>
    </row>
    <row r="395" spans="1:20" x14ac:dyDescent="0.25">
      <c r="A395" s="5">
        <v>44198</v>
      </c>
      <c r="B395">
        <v>6.4159999999999998E-3</v>
      </c>
      <c r="C395">
        <v>6.9300000000000004E-3</v>
      </c>
      <c r="D395">
        <v>4.7999999999999996E-3</v>
      </c>
      <c r="E395">
        <v>5.4130000000000003E-3</v>
      </c>
      <c r="F395">
        <v>466909058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-0.42441314553990567</v>
      </c>
      <c r="Q395">
        <f t="shared" si="975"/>
        <v>-198162341.98685426</v>
      </c>
      <c r="R395">
        <f t="shared" si="976"/>
        <v>-1165433108.0090573</v>
      </c>
      <c r="S395">
        <f t="shared" si="977"/>
        <v>-11654.331080090573</v>
      </c>
      <c r="T395">
        <f t="shared" si="978"/>
        <v>-11.654331080090573</v>
      </c>
    </row>
    <row r="396" spans="1:20" x14ac:dyDescent="0.25">
      <c r="A396" s="5">
        <v>44197</v>
      </c>
      <c r="B396">
        <v>2.9229999999999998E-3</v>
      </c>
      <c r="C396">
        <v>8.9999999999999993E-3</v>
      </c>
      <c r="D396">
        <v>2.8639999999999998E-3</v>
      </c>
      <c r="E396">
        <v>6.4310000000000001E-3</v>
      </c>
      <c r="F396">
        <v>864815900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0.16264667535853997</v>
      </c>
      <c r="Q396">
        <f t="shared" si="975"/>
        <v>140659430.93220356</v>
      </c>
      <c r="R396">
        <f t="shared" si="976"/>
        <v>-967270766.02220297</v>
      </c>
      <c r="S396">
        <f t="shared" si="977"/>
        <v>-9672.7076602220295</v>
      </c>
      <c r="T396">
        <f t="shared" si="978"/>
        <v>-9.672707660222029</v>
      </c>
    </row>
    <row r="397" spans="1:20" x14ac:dyDescent="0.25">
      <c r="A397" s="5">
        <v>44196</v>
      </c>
      <c r="B397">
        <v>3.016E-3</v>
      </c>
      <c r="C397">
        <v>3.0469999999999998E-3</v>
      </c>
      <c r="D397">
        <v>2.7160000000000001E-3</v>
      </c>
      <c r="E397">
        <v>2.9220000000000001E-3</v>
      </c>
      <c r="F397">
        <v>92013853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0.24471299093655716</v>
      </c>
      <c r="Q397">
        <f t="shared" si="975"/>
        <v>22516985.175226703</v>
      </c>
      <c r="R397">
        <f t="shared" si="976"/>
        <v>-1107930196.9544065</v>
      </c>
      <c r="S397">
        <f t="shared" si="977"/>
        <v>-11079.301969544065</v>
      </c>
      <c r="T397">
        <f t="shared" si="978"/>
        <v>-11.079301969544066</v>
      </c>
    </row>
    <row r="398" spans="1:20" x14ac:dyDescent="0.25">
      <c r="A398" s="5">
        <v>44195</v>
      </c>
      <c r="B398">
        <v>2.5609999999999999E-3</v>
      </c>
      <c r="C398">
        <v>4.9069999999999999E-3</v>
      </c>
      <c r="D398">
        <v>2.5600000000000002E-3</v>
      </c>
      <c r="E398">
        <v>3.016E-3</v>
      </c>
      <c r="F398">
        <v>313785780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-0.61141883255219442</v>
      </c>
      <c r="Q398">
        <f t="shared" si="975"/>
        <v>-191854535.27907971</v>
      </c>
      <c r="R398">
        <f t="shared" si="976"/>
        <v>-1130447182.1296332</v>
      </c>
      <c r="S398">
        <f t="shared" si="977"/>
        <v>-11304.471821296333</v>
      </c>
      <c r="T398">
        <f t="shared" si="978"/>
        <v>-11.304471821296332</v>
      </c>
    </row>
    <row r="399" spans="1:20" x14ac:dyDescent="0.25">
      <c r="A399" s="5">
        <v>44194</v>
      </c>
      <c r="B399">
        <v>2.6540000000000001E-3</v>
      </c>
      <c r="C399">
        <v>2.666E-3</v>
      </c>
      <c r="D399">
        <v>2.464E-3</v>
      </c>
      <c r="E399">
        <v>2.5600000000000002E-3</v>
      </c>
      <c r="F399">
        <v>82064487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-4.9504950495047509E-2</v>
      </c>
      <c r="Q399">
        <f t="shared" si="975"/>
        <v>-4062598.36633647</v>
      </c>
      <c r="R399">
        <f t="shared" si="976"/>
        <v>-938592646.85055351</v>
      </c>
      <c r="S399">
        <f t="shared" si="977"/>
        <v>-9385.926468505535</v>
      </c>
      <c r="T399">
        <f t="shared" si="978"/>
        <v>-9.3859264685055344</v>
      </c>
    </row>
    <row r="400" spans="1:20" x14ac:dyDescent="0.25">
      <c r="A400" s="5">
        <v>44193</v>
      </c>
      <c r="B400">
        <v>2.699E-3</v>
      </c>
      <c r="C400">
        <v>2.7680000000000001E-3</v>
      </c>
      <c r="D400">
        <v>2.5730000000000002E-3</v>
      </c>
      <c r="E400">
        <v>2.653E-3</v>
      </c>
      <c r="F400">
        <v>77483734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-0.17948717948718121</v>
      </c>
      <c r="Q400">
        <f t="shared" si="975"/>
        <v>-13907336.871795006</v>
      </c>
      <c r="R400">
        <f t="shared" si="976"/>
        <v>-934530048.48421705</v>
      </c>
      <c r="S400">
        <f t="shared" si="977"/>
        <v>-9345.3004848421697</v>
      </c>
      <c r="T400">
        <f t="shared" si="978"/>
        <v>-9.3453004848421699</v>
      </c>
    </row>
    <row r="401" spans="1:20" x14ac:dyDescent="0.25">
      <c r="A401" s="5">
        <v>44192</v>
      </c>
      <c r="B401">
        <v>2.5820000000000001E-3</v>
      </c>
      <c r="C401">
        <v>2.8159999999999999E-3</v>
      </c>
      <c r="D401">
        <v>2.4250000000000001E-3</v>
      </c>
      <c r="E401">
        <v>2.699E-3</v>
      </c>
      <c r="F401">
        <v>85641802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0.40153452685422014</v>
      </c>
      <c r="Q401">
        <f t="shared" si="975"/>
        <v>34388140.445012808</v>
      </c>
      <c r="R401">
        <f t="shared" si="976"/>
        <v>-920622711.61242199</v>
      </c>
      <c r="S401">
        <f t="shared" si="977"/>
        <v>-9206.2271161242206</v>
      </c>
      <c r="T401">
        <f t="shared" si="978"/>
        <v>-9.2062271161242215</v>
      </c>
    </row>
    <row r="402" spans="1:20" x14ac:dyDescent="0.25">
      <c r="A402" s="5">
        <v>44191</v>
      </c>
      <c r="B402">
        <v>2.444E-3</v>
      </c>
      <c r="C402">
        <v>2.601E-3</v>
      </c>
      <c r="D402">
        <v>2.4039999999999999E-3</v>
      </c>
      <c r="E402">
        <v>2.5829999999999998E-3</v>
      </c>
      <c r="F402">
        <v>81776611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0.81725888324872886</v>
      </c>
      <c r="Q402">
        <f t="shared" si="975"/>
        <v>66832661.78172572</v>
      </c>
      <c r="R402">
        <f t="shared" si="976"/>
        <v>-955010852.0574348</v>
      </c>
      <c r="S402">
        <f t="shared" si="977"/>
        <v>-9550.1085205743475</v>
      </c>
      <c r="T402">
        <f t="shared" si="978"/>
        <v>-9.5501085205743479</v>
      </c>
    </row>
    <row r="403" spans="1:20" x14ac:dyDescent="0.25">
      <c r="A403" s="5">
        <v>44190</v>
      </c>
      <c r="B403">
        <v>2.4120000000000001E-3</v>
      </c>
      <c r="C403">
        <v>2.5170000000000001E-3</v>
      </c>
      <c r="D403">
        <v>2.3779999999999999E-3</v>
      </c>
      <c r="E403">
        <v>2.444E-3</v>
      </c>
      <c r="F403">
        <v>76499100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-5.0359712230216187E-2</v>
      </c>
      <c r="Q403">
        <f t="shared" si="975"/>
        <v>-3852472.6618705313</v>
      </c>
      <c r="R403">
        <f t="shared" si="976"/>
        <v>-1021843513.8391606</v>
      </c>
      <c r="S403">
        <f t="shared" si="977"/>
        <v>-10218.435138391606</v>
      </c>
      <c r="T403">
        <f t="shared" si="978"/>
        <v>-10.218435138391605</v>
      </c>
    </row>
    <row r="404" spans="1:20" x14ac:dyDescent="0.25">
      <c r="A404" s="5">
        <v>44189</v>
      </c>
      <c r="B404">
        <v>2.2560000000000002E-3</v>
      </c>
      <c r="C404">
        <v>2.4229999999999998E-3</v>
      </c>
      <c r="D404">
        <v>2.078E-3</v>
      </c>
      <c r="E404">
        <v>2.4120000000000001E-3</v>
      </c>
      <c r="F404">
        <v>81601382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0.93623188405797253</v>
      </c>
      <c r="Q404">
        <f t="shared" si="975"/>
        <v>76397815.611594319</v>
      </c>
      <c r="R404">
        <f t="shared" si="976"/>
        <v>-1017991041.1772901</v>
      </c>
      <c r="S404">
        <f t="shared" si="977"/>
        <v>-10179.9104117729</v>
      </c>
      <c r="T404">
        <f t="shared" si="978"/>
        <v>-10.1799104117729</v>
      </c>
    </row>
    <row r="405" spans="1:20" x14ac:dyDescent="0.25">
      <c r="A405" s="5">
        <v>44188</v>
      </c>
      <c r="B405">
        <v>2.5460000000000001E-3</v>
      </c>
      <c r="C405">
        <v>3.0999999999999999E-3</v>
      </c>
      <c r="D405">
        <v>2.176E-3</v>
      </c>
      <c r="E405">
        <v>2.2550000000000001E-3</v>
      </c>
      <c r="F405">
        <v>89641557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-0.82900432900432885</v>
      </c>
      <c r="Q405">
        <f t="shared" si="975"/>
        <v>-74313238.811688304</v>
      </c>
      <c r="R405">
        <f t="shared" si="976"/>
        <v>-1094388856.7888844</v>
      </c>
      <c r="S405">
        <f t="shared" si="977"/>
        <v>-10943.888567888844</v>
      </c>
      <c r="T405">
        <f t="shared" si="978"/>
        <v>-10.943888567888843</v>
      </c>
    </row>
    <row r="406" spans="1:20" x14ac:dyDescent="0.25">
      <c r="A406" s="5">
        <v>44187</v>
      </c>
      <c r="B406">
        <v>2.5699999999999998E-3</v>
      </c>
      <c r="C406">
        <v>2.637E-3</v>
      </c>
      <c r="D406">
        <v>2.4099999999999998E-3</v>
      </c>
      <c r="E406">
        <v>2.5600000000000002E-3</v>
      </c>
      <c r="F406">
        <v>63058639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0.32158590308370272</v>
      </c>
      <c r="Q406">
        <f t="shared" si="975"/>
        <v>20278769.370044198</v>
      </c>
      <c r="R406">
        <f t="shared" si="976"/>
        <v>-1020075617.9771961</v>
      </c>
      <c r="S406">
        <f t="shared" si="977"/>
        <v>-10200.756179771961</v>
      </c>
      <c r="T406">
        <f t="shared" si="978"/>
        <v>-10.200756179771961</v>
      </c>
    </row>
    <row r="407" spans="1:20" x14ac:dyDescent="0.25">
      <c r="A407" s="5">
        <v>44186</v>
      </c>
      <c r="B407">
        <v>2.7550000000000001E-3</v>
      </c>
      <c r="C407">
        <v>2.8540000000000002E-3</v>
      </c>
      <c r="D407">
        <v>2.4559999999999998E-3</v>
      </c>
      <c r="E407">
        <v>2.5669999999999998E-3</v>
      </c>
      <c r="F407">
        <v>59669280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-0.44221105527638244</v>
      </c>
      <c r="Q407">
        <f t="shared" si="975"/>
        <v>-26386415.27638194</v>
      </c>
      <c r="R407">
        <f t="shared" si="976"/>
        <v>-1040354387.3472403</v>
      </c>
      <c r="S407">
        <f t="shared" si="977"/>
        <v>-10403.543873472403</v>
      </c>
      <c r="T407">
        <f t="shared" si="978"/>
        <v>-10.403543873472403</v>
      </c>
    </row>
    <row r="408" spans="1:20" x14ac:dyDescent="0.25">
      <c r="A408" s="5">
        <v>44185</v>
      </c>
      <c r="B408">
        <v>2.8579999999999999E-3</v>
      </c>
      <c r="C408">
        <v>2.8679999999999999E-3</v>
      </c>
      <c r="D408">
        <v>2.6749999999999999E-3</v>
      </c>
      <c r="E408">
        <v>2.7560000000000002E-3</v>
      </c>
      <c r="F408">
        <v>79003135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-0.16062176165802766</v>
      </c>
      <c r="Q408">
        <f t="shared" si="975"/>
        <v>-12689622.720206983</v>
      </c>
      <c r="R408">
        <f t="shared" si="976"/>
        <v>-1013967972.0708584</v>
      </c>
      <c r="S408">
        <f t="shared" si="977"/>
        <v>-10139.679720708584</v>
      </c>
      <c r="T408">
        <f t="shared" si="978"/>
        <v>-10.139679720708584</v>
      </c>
    </row>
    <row r="409" spans="1:20" x14ac:dyDescent="0.25">
      <c r="A409" s="5">
        <v>44184</v>
      </c>
      <c r="B409">
        <v>2.598E-3</v>
      </c>
      <c r="C409">
        <v>2.879E-3</v>
      </c>
      <c r="D409">
        <v>2.5669999999999998E-3</v>
      </c>
      <c r="E409">
        <v>2.8630000000000001E-3</v>
      </c>
      <c r="F409">
        <v>91373820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0.8974358974358978</v>
      </c>
      <c r="Q409">
        <f t="shared" si="975"/>
        <v>82002146.153846189</v>
      </c>
      <c r="R409">
        <f t="shared" si="976"/>
        <v>-1001278349.3506514</v>
      </c>
      <c r="S409">
        <f t="shared" si="977"/>
        <v>-10012.783493506513</v>
      </c>
      <c r="T409">
        <f t="shared" si="978"/>
        <v>-10.012783493506513</v>
      </c>
    </row>
    <row r="410" spans="1:20" x14ac:dyDescent="0.25">
      <c r="A410" s="5">
        <v>44183</v>
      </c>
      <c r="B410">
        <v>2.4510000000000001E-3</v>
      </c>
      <c r="C410">
        <v>2.7680000000000001E-3</v>
      </c>
      <c r="D410">
        <v>2.4169999999999999E-3</v>
      </c>
      <c r="E410">
        <v>2.5950000000000001E-3</v>
      </c>
      <c r="F410">
        <v>82005356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1.4245014245014892E-2</v>
      </c>
      <c r="Q410">
        <f t="shared" si="975"/>
        <v>1168167.4643875174</v>
      </c>
      <c r="R410">
        <f t="shared" si="976"/>
        <v>-1083280495.5044975</v>
      </c>
      <c r="S410">
        <f t="shared" si="977"/>
        <v>-10832.804955044976</v>
      </c>
      <c r="T410">
        <f t="shared" si="978"/>
        <v>-10.832804955044976</v>
      </c>
    </row>
    <row r="411" spans="1:20" x14ac:dyDescent="0.25">
      <c r="A411" s="5">
        <v>44182</v>
      </c>
      <c r="B411">
        <v>2.464E-3</v>
      </c>
      <c r="C411">
        <v>2.5560000000000001E-3</v>
      </c>
      <c r="D411">
        <v>2.4369999999999999E-3</v>
      </c>
      <c r="E411">
        <v>2.4520000000000002E-3</v>
      </c>
      <c r="F411">
        <v>69248758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-0.74789915966386167</v>
      </c>
      <c r="Q411">
        <f t="shared" si="975"/>
        <v>-51791087.915966116</v>
      </c>
      <c r="R411">
        <f t="shared" si="976"/>
        <v>-1084448662.9688849</v>
      </c>
      <c r="S411">
        <f t="shared" si="977"/>
        <v>-10844.486629688849</v>
      </c>
      <c r="T411">
        <f t="shared" si="978"/>
        <v>-10.844486629688848</v>
      </c>
    </row>
    <row r="412" spans="1:20" x14ac:dyDescent="0.25">
      <c r="A412" s="5">
        <v>44181</v>
      </c>
      <c r="B412">
        <v>2.4459999999999998E-3</v>
      </c>
      <c r="C412">
        <v>2.673E-3</v>
      </c>
      <c r="D412">
        <v>2.3830000000000001E-3</v>
      </c>
      <c r="E412">
        <v>2.467E-3</v>
      </c>
      <c r="F412">
        <v>124742252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-0.42068965517241447</v>
      </c>
      <c r="Q412">
        <f t="shared" si="975"/>
        <v>-52477774.979310431</v>
      </c>
      <c r="R412">
        <f t="shared" si="976"/>
        <v>-1032657575.0529188</v>
      </c>
      <c r="S412">
        <f t="shared" si="977"/>
        <v>-10326.575750529188</v>
      </c>
      <c r="T412">
        <f t="shared" si="978"/>
        <v>-10.326575750529187</v>
      </c>
    </row>
    <row r="413" spans="1:20" x14ac:dyDescent="0.25">
      <c r="A413" s="5">
        <v>44180</v>
      </c>
      <c r="B413">
        <v>2.4390000000000002E-3</v>
      </c>
      <c r="C413">
        <v>2.4729999999999999E-3</v>
      </c>
      <c r="D413">
        <v>2.3779999999999999E-3</v>
      </c>
      <c r="E413">
        <v>2.4450000000000001E-3</v>
      </c>
      <c r="F413">
        <v>72167303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0.41052631578947779</v>
      </c>
      <c r="Q413">
        <f t="shared" si="975"/>
        <v>29626577.021052927</v>
      </c>
      <c r="R413">
        <f t="shared" si="976"/>
        <v>-980179800.0736084</v>
      </c>
      <c r="S413">
        <f t="shared" si="977"/>
        <v>-9801.7980007360838</v>
      </c>
      <c r="T413">
        <f t="shared" si="978"/>
        <v>-9.801798000736083</v>
      </c>
    </row>
    <row r="414" spans="1:20" x14ac:dyDescent="0.25">
      <c r="A414" s="5">
        <v>44179</v>
      </c>
      <c r="B414">
        <v>2.447E-3</v>
      </c>
      <c r="C414">
        <v>2.4529999999999999E-3</v>
      </c>
      <c r="D414">
        <v>2.359E-3</v>
      </c>
      <c r="E414">
        <v>2.4369999999999999E-3</v>
      </c>
      <c r="F414">
        <v>69576028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0.659574468085107</v>
      </c>
      <c r="Q414">
        <f t="shared" si="975"/>
        <v>45890571.659574509</v>
      </c>
      <c r="R414">
        <f t="shared" si="976"/>
        <v>-1009806377.0946614</v>
      </c>
      <c r="S414">
        <f t="shared" si="977"/>
        <v>-10098.063770946614</v>
      </c>
      <c r="T414">
        <f t="shared" si="978"/>
        <v>-10.098063770946613</v>
      </c>
    </row>
    <row r="415" spans="1:20" x14ac:dyDescent="0.25">
      <c r="A415" s="5">
        <v>44178</v>
      </c>
      <c r="B415">
        <v>2.4290000000000002E-3</v>
      </c>
      <c r="C415">
        <v>2.493E-3</v>
      </c>
      <c r="D415">
        <v>2.4069999999999999E-3</v>
      </c>
      <c r="E415">
        <v>2.447E-3</v>
      </c>
      <c r="F415">
        <v>74004613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-6.9767441860464172E-2</v>
      </c>
      <c r="Q415">
        <f t="shared" si="975"/>
        <v>-5163112.534883651</v>
      </c>
      <c r="R415">
        <f t="shared" si="976"/>
        <v>-1055696948.7542359</v>
      </c>
      <c r="S415">
        <f t="shared" si="977"/>
        <v>-10556.969487542359</v>
      </c>
      <c r="T415">
        <f t="shared" si="978"/>
        <v>-10.556969487542359</v>
      </c>
    </row>
    <row r="416" spans="1:20" x14ac:dyDescent="0.25">
      <c r="A416" s="5">
        <v>44177</v>
      </c>
      <c r="B416">
        <v>2.3389999999999999E-3</v>
      </c>
      <c r="C416">
        <v>2.4559999999999998E-3</v>
      </c>
      <c r="D416">
        <v>2.3379999999999998E-3</v>
      </c>
      <c r="E416">
        <v>2.4299999999999999E-3</v>
      </c>
      <c r="F416">
        <v>63542362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0.55932203389830559</v>
      </c>
      <c r="Q416">
        <f t="shared" si="975"/>
        <v>35540643.152542405</v>
      </c>
      <c r="R416">
        <f t="shared" si="976"/>
        <v>-1050533836.2193522</v>
      </c>
      <c r="S416">
        <f t="shared" si="977"/>
        <v>-10505.338362193523</v>
      </c>
      <c r="T416">
        <f t="shared" si="978"/>
        <v>-10.505338362193523</v>
      </c>
    </row>
    <row r="417" spans="1:20" x14ac:dyDescent="0.25">
      <c r="A417" s="5">
        <v>44176</v>
      </c>
      <c r="B417">
        <v>2.4399999999999999E-3</v>
      </c>
      <c r="C417">
        <v>2.4399999999999999E-3</v>
      </c>
      <c r="D417">
        <v>2.2699999999999999E-3</v>
      </c>
      <c r="E417">
        <v>2.3400000000000001E-3</v>
      </c>
      <c r="F417">
        <v>55073362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-0.17647058823529202</v>
      </c>
      <c r="Q417">
        <f t="shared" si="975"/>
        <v>-9718828.588235179</v>
      </c>
      <c r="R417">
        <f t="shared" si="976"/>
        <v>-1086074479.3718946</v>
      </c>
      <c r="S417">
        <f t="shared" si="977"/>
        <v>-10860.744793718946</v>
      </c>
      <c r="T417">
        <f t="shared" si="978"/>
        <v>-10.860744793718947</v>
      </c>
    </row>
    <row r="418" spans="1:20" x14ac:dyDescent="0.25">
      <c r="A418" s="5">
        <v>44175</v>
      </c>
      <c r="B418">
        <v>2.483E-3</v>
      </c>
      <c r="C418">
        <v>2.5850000000000001E-3</v>
      </c>
      <c r="D418">
        <v>2.3860000000000001E-3</v>
      </c>
      <c r="E418">
        <v>2.4399999999999999E-3</v>
      </c>
      <c r="F418">
        <v>5328595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-0.45728643216080594</v>
      </c>
      <c r="Q418">
        <f t="shared" si="975"/>
        <v>-2436694.19597991</v>
      </c>
      <c r="R418">
        <f t="shared" si="976"/>
        <v>-1076355650.7836595</v>
      </c>
      <c r="S418">
        <f t="shared" si="977"/>
        <v>-10763.556507836594</v>
      </c>
      <c r="T418">
        <f t="shared" si="978"/>
        <v>-10.763556507836594</v>
      </c>
    </row>
    <row r="419" spans="1:20" x14ac:dyDescent="0.25">
      <c r="A419" s="5">
        <v>44174</v>
      </c>
      <c r="B419">
        <v>2.5600000000000002E-3</v>
      </c>
      <c r="C419">
        <v>2.6310000000000001E-3</v>
      </c>
      <c r="D419">
        <v>2.3349999999999998E-3</v>
      </c>
      <c r="E419">
        <v>2.4919999999999999E-3</v>
      </c>
      <c r="F419">
        <v>62671925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6.0810810810810037E-2</v>
      </c>
      <c r="Q419">
        <f t="shared" si="975"/>
        <v>3811130.5743242758</v>
      </c>
      <c r="R419">
        <f t="shared" si="976"/>
        <v>-1073918956.5876796</v>
      </c>
      <c r="S419">
        <f t="shared" si="977"/>
        <v>-10739.189565876797</v>
      </c>
      <c r="T419">
        <f t="shared" si="978"/>
        <v>-10.739189565876798</v>
      </c>
    </row>
    <row r="420" spans="1:20" x14ac:dyDescent="0.25">
      <c r="A420" s="5">
        <v>44173</v>
      </c>
      <c r="B420">
        <v>2.7169999999999998E-3</v>
      </c>
      <c r="C420">
        <v>2.9750000000000002E-3</v>
      </c>
      <c r="D420">
        <v>2.539E-3</v>
      </c>
      <c r="E420">
        <v>2.5600000000000002E-3</v>
      </c>
      <c r="F420">
        <v>75771190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-0.90366972477064145</v>
      </c>
      <c r="Q420">
        <f t="shared" si="975"/>
        <v>-68472130.412843972</v>
      </c>
      <c r="R420">
        <f t="shared" si="976"/>
        <v>-1077730087.162004</v>
      </c>
      <c r="S420">
        <f t="shared" si="977"/>
        <v>-10777.30087162004</v>
      </c>
      <c r="T420">
        <f t="shared" si="978"/>
        <v>-10.77730087162004</v>
      </c>
    </row>
    <row r="421" spans="1:20" x14ac:dyDescent="0.25">
      <c r="A421" s="5">
        <v>44172</v>
      </c>
      <c r="B421">
        <v>2.63E-3</v>
      </c>
      <c r="C421">
        <v>2.8E-3</v>
      </c>
      <c r="D421">
        <v>2.6080000000000001E-3</v>
      </c>
      <c r="E421">
        <v>2.7169999999999998E-3</v>
      </c>
      <c r="F421">
        <v>77546207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0.13541666666666438</v>
      </c>
      <c r="Q421">
        <f t="shared" si="975"/>
        <v>10501048.864583157</v>
      </c>
      <c r="R421">
        <f t="shared" si="976"/>
        <v>-1009257956.7491599</v>
      </c>
      <c r="S421">
        <f t="shared" si="977"/>
        <v>-10092.579567491599</v>
      </c>
      <c r="T421">
        <f t="shared" si="978"/>
        <v>-10.092579567491599</v>
      </c>
    </row>
    <row r="422" spans="1:20" x14ac:dyDescent="0.25">
      <c r="A422" s="5">
        <v>44171</v>
      </c>
      <c r="B422">
        <v>2.699E-3</v>
      </c>
      <c r="C422">
        <v>2.7070000000000002E-3</v>
      </c>
      <c r="D422">
        <v>2.5799999999999998E-3</v>
      </c>
      <c r="E422">
        <v>2.6319999999999998E-3</v>
      </c>
      <c r="F422">
        <v>71202168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-0.18110236220472742</v>
      </c>
      <c r="Q422">
        <f t="shared" si="975"/>
        <v>-12894880.818897853</v>
      </c>
      <c r="R422">
        <f t="shared" si="976"/>
        <v>-1019759005.6137431</v>
      </c>
      <c r="S422">
        <f t="shared" si="977"/>
        <v>-10197.590056137431</v>
      </c>
      <c r="T422">
        <f t="shared" si="978"/>
        <v>-10.197590056137431</v>
      </c>
    </row>
    <row r="423" spans="1:20" x14ac:dyDescent="0.25">
      <c r="A423" s="5">
        <v>44170</v>
      </c>
      <c r="B423">
        <v>2.5569999999999998E-3</v>
      </c>
      <c r="C423">
        <v>2.8900000000000002E-3</v>
      </c>
      <c r="D423">
        <v>2.4919999999999999E-3</v>
      </c>
      <c r="E423">
        <v>2.7100000000000002E-3</v>
      </c>
      <c r="F423">
        <v>81464794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9.5477386934673975E-2</v>
      </c>
      <c r="Q423">
        <f t="shared" si="975"/>
        <v>7778045.6582915066</v>
      </c>
      <c r="R423">
        <f t="shared" si="976"/>
        <v>-1006864124.7948452</v>
      </c>
      <c r="S423">
        <f t="shared" si="977"/>
        <v>-10068.641247948452</v>
      </c>
      <c r="T423">
        <f t="shared" si="978"/>
        <v>-10.068641247948452</v>
      </c>
    </row>
    <row r="424" spans="1:20" x14ac:dyDescent="0.25">
      <c r="A424" s="5">
        <v>44169</v>
      </c>
      <c r="B424">
        <v>2.7750000000000001E-3</v>
      </c>
      <c r="C424">
        <v>3.0230000000000001E-3</v>
      </c>
      <c r="D424">
        <v>2.5230000000000001E-3</v>
      </c>
      <c r="E424">
        <v>2.5690000000000001E-3</v>
      </c>
      <c r="F424">
        <v>75842840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-0.81599999999999984</v>
      </c>
      <c r="Q424">
        <f t="shared" si="975"/>
        <v>-61887757.43999999</v>
      </c>
      <c r="R424">
        <f t="shared" si="976"/>
        <v>-1014642170.4531367</v>
      </c>
      <c r="S424">
        <f t="shared" si="977"/>
        <v>-10146.421704531367</v>
      </c>
      <c r="T424">
        <f t="shared" si="978"/>
        <v>-10.146421704531367</v>
      </c>
    </row>
    <row r="425" spans="1:20" x14ac:dyDescent="0.25">
      <c r="A425" s="5">
        <v>44168</v>
      </c>
      <c r="B425">
        <v>2.647E-3</v>
      </c>
      <c r="C425">
        <v>3.14E-3</v>
      </c>
      <c r="D425">
        <v>2.5969999999999999E-3</v>
      </c>
      <c r="E425">
        <v>2.7759999999999998E-3</v>
      </c>
      <c r="F425">
        <v>90809151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-0.34069981583793785</v>
      </c>
      <c r="Q425">
        <f t="shared" si="975"/>
        <v>-30938661.022099491</v>
      </c>
      <c r="R425">
        <f t="shared" si="976"/>
        <v>-952754413.01313674</v>
      </c>
      <c r="S425">
        <f t="shared" si="977"/>
        <v>-9527.5441301313676</v>
      </c>
      <c r="T425">
        <f t="shared" si="978"/>
        <v>-9.5275441301313677</v>
      </c>
    </row>
    <row r="426" spans="1:20" x14ac:dyDescent="0.25">
      <c r="A426" s="5">
        <v>44167</v>
      </c>
      <c r="B426">
        <v>2.5000000000000001E-3</v>
      </c>
      <c r="C426">
        <v>2.8969999999999998E-3</v>
      </c>
      <c r="D426">
        <v>2.3999999999999998E-3</v>
      </c>
      <c r="E426">
        <v>2.6489999999999999E-3</v>
      </c>
      <c r="F426">
        <v>92698661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2.0120724346079128E-3</v>
      </c>
      <c r="Q426">
        <f t="shared" si="975"/>
        <v>186516.42052316357</v>
      </c>
      <c r="R426">
        <f t="shared" si="976"/>
        <v>-921815751.99103725</v>
      </c>
      <c r="S426">
        <f t="shared" si="977"/>
        <v>-9218.1575199103718</v>
      </c>
      <c r="T426">
        <f t="shared" si="978"/>
        <v>-9.2181575199103722</v>
      </c>
    </row>
    <row r="427" spans="1:20" x14ac:dyDescent="0.25">
      <c r="A427" s="5">
        <v>44166</v>
      </c>
      <c r="B427">
        <v>2.3739999999999998E-3</v>
      </c>
      <c r="C427">
        <v>2.9239999999999999E-3</v>
      </c>
      <c r="D427">
        <v>2.3630000000000001E-3</v>
      </c>
      <c r="E427">
        <v>2.4989999999999999E-3</v>
      </c>
      <c r="F427">
        <v>97224996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-0.51515151515151558</v>
      </c>
      <c r="Q427">
        <f t="shared" si="975"/>
        <v>-50085604.000000045</v>
      </c>
      <c r="R427">
        <f t="shared" si="976"/>
        <v>-922002268.41156042</v>
      </c>
      <c r="S427">
        <f t="shared" si="977"/>
        <v>-9220.0226841156036</v>
      </c>
      <c r="T427">
        <f t="shared" si="978"/>
        <v>-9.2200226841156034</v>
      </c>
    </row>
    <row r="428" spans="1:20" x14ac:dyDescent="0.25">
      <c r="A428" s="5">
        <v>44165</v>
      </c>
      <c r="B428">
        <v>2.2929999999999999E-3</v>
      </c>
      <c r="C428">
        <v>2.3990000000000001E-3</v>
      </c>
      <c r="D428">
        <v>2.2729999999999998E-3</v>
      </c>
      <c r="E428">
        <v>2.3709999999999998E-3</v>
      </c>
      <c r="F428">
        <v>74216911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0.55555555555555247</v>
      </c>
      <c r="Q428">
        <f t="shared" si="975"/>
        <v>41231617.222221993</v>
      </c>
      <c r="R428">
        <f t="shared" si="976"/>
        <v>-871916664.41156042</v>
      </c>
      <c r="S428">
        <f t="shared" si="977"/>
        <v>-8719.1666441156049</v>
      </c>
      <c r="T428">
        <f t="shared" si="978"/>
        <v>-8.7191666441156048</v>
      </c>
    </row>
    <row r="429" spans="1:20" x14ac:dyDescent="0.25">
      <c r="A429" s="5">
        <v>44164</v>
      </c>
      <c r="B429">
        <v>2.3059999999999999E-3</v>
      </c>
      <c r="C429">
        <v>2.3649999999999999E-3</v>
      </c>
      <c r="D429">
        <v>2.238E-3</v>
      </c>
      <c r="E429">
        <v>2.294E-3</v>
      </c>
      <c r="F429">
        <v>89691007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-0.11811023622047109</v>
      </c>
      <c r="Q429">
        <f t="shared" si="975"/>
        <v>-10593426.023621926</v>
      </c>
      <c r="R429">
        <f t="shared" si="976"/>
        <v>-913148281.63378239</v>
      </c>
      <c r="S429">
        <f t="shared" si="977"/>
        <v>-9131.4828163378243</v>
      </c>
      <c r="T429">
        <f t="shared" si="978"/>
        <v>-9.1314828163378241</v>
      </c>
    </row>
    <row r="430" spans="1:20" x14ac:dyDescent="0.25">
      <c r="A430" s="5">
        <v>44163</v>
      </c>
      <c r="B430">
        <v>2.2309999999999999E-3</v>
      </c>
      <c r="C430">
        <v>2.3310000000000002E-3</v>
      </c>
      <c r="D430">
        <v>2.209E-3</v>
      </c>
      <c r="E430">
        <v>2.3059999999999999E-3</v>
      </c>
      <c r="F430">
        <v>76962126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0.59016393442622539</v>
      </c>
      <c r="Q430">
        <f t="shared" si="975"/>
        <v>45420271.081966899</v>
      </c>
      <c r="R430">
        <f t="shared" si="976"/>
        <v>-902554855.61016047</v>
      </c>
      <c r="S430">
        <f t="shared" si="977"/>
        <v>-9025.5485561016048</v>
      </c>
      <c r="T430">
        <f t="shared" si="978"/>
        <v>-9.0255485561016044</v>
      </c>
    </row>
    <row r="431" spans="1:20" x14ac:dyDescent="0.25">
      <c r="A431" s="5">
        <v>44162</v>
      </c>
      <c r="B431">
        <v>2.2399999999999998E-3</v>
      </c>
      <c r="C431">
        <v>2.313E-3</v>
      </c>
      <c r="D431">
        <v>2.1510000000000001E-3</v>
      </c>
      <c r="E431">
        <v>2.2239999999999998E-3</v>
      </c>
      <c r="F431">
        <v>74908019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-9.8765432098767938E-2</v>
      </c>
      <c r="Q431">
        <f t="shared" si="975"/>
        <v>-7398322.8641977189</v>
      </c>
      <c r="R431">
        <f t="shared" si="976"/>
        <v>-947975126.69212735</v>
      </c>
      <c r="S431">
        <f t="shared" si="977"/>
        <v>-9479.7512669212738</v>
      </c>
      <c r="T431">
        <f t="shared" si="978"/>
        <v>-9.4797512669212729</v>
      </c>
    </row>
    <row r="432" spans="1:20" x14ac:dyDescent="0.25">
      <c r="A432" s="5">
        <v>44161</v>
      </c>
      <c r="B432">
        <v>2.5630000000000002E-3</v>
      </c>
      <c r="C432">
        <v>2.7009999999999998E-3</v>
      </c>
      <c r="D432">
        <v>2.052E-3</v>
      </c>
      <c r="E432">
        <v>2.245E-3</v>
      </c>
      <c r="F432">
        <v>83952923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-0.40523882896764229</v>
      </c>
      <c r="Q432">
        <f t="shared" si="975"/>
        <v>-34020984.204930641</v>
      </c>
      <c r="R432">
        <f t="shared" si="976"/>
        <v>-940576803.82792962</v>
      </c>
      <c r="S432">
        <f t="shared" si="977"/>
        <v>-9405.7680382792969</v>
      </c>
      <c r="T432">
        <f t="shared" si="978"/>
        <v>-9.4057680382792963</v>
      </c>
    </row>
    <row r="433" spans="1:20" x14ac:dyDescent="0.25">
      <c r="A433" s="5">
        <v>44160</v>
      </c>
      <c r="B433">
        <v>2.5300000000000001E-3</v>
      </c>
      <c r="C433">
        <v>2.6849999999999999E-3</v>
      </c>
      <c r="D433">
        <v>2.4199999999999998E-3</v>
      </c>
      <c r="E433">
        <v>2.562E-3</v>
      </c>
      <c r="F433">
        <v>75560096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7.1698113207548486E-2</v>
      </c>
      <c r="Q433">
        <f t="shared" si="975"/>
        <v>5417516.3169812318</v>
      </c>
      <c r="R433">
        <f t="shared" si="976"/>
        <v>-906555819.62299895</v>
      </c>
      <c r="S433">
        <f t="shared" si="977"/>
        <v>-9065.5581962299893</v>
      </c>
      <c r="T433">
        <f t="shared" si="978"/>
        <v>-9.0655581962299898</v>
      </c>
    </row>
    <row r="434" spans="1:20" x14ac:dyDescent="0.25">
      <c r="A434" s="5">
        <v>44159</v>
      </c>
      <c r="B434">
        <v>2.4420000000000002E-3</v>
      </c>
      <c r="C434">
        <v>2.5370000000000002E-3</v>
      </c>
      <c r="D434">
        <v>2.3119999999999998E-3</v>
      </c>
      <c r="E434">
        <v>2.532E-3</v>
      </c>
      <c r="F434">
        <v>76438941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0.9555555555555536</v>
      </c>
      <c r="Q434">
        <f t="shared" si="975"/>
        <v>73041654.733333185</v>
      </c>
      <c r="R434">
        <f t="shared" si="976"/>
        <v>-911973335.93998015</v>
      </c>
      <c r="S434">
        <f t="shared" si="977"/>
        <v>-9119.733359399801</v>
      </c>
      <c r="T434">
        <f t="shared" si="978"/>
        <v>-9.1197333593998007</v>
      </c>
    </row>
    <row r="435" spans="1:20" x14ac:dyDescent="0.25">
      <c r="A435" s="5">
        <v>44158</v>
      </c>
      <c r="B435">
        <v>2.3809999999999999E-3</v>
      </c>
      <c r="C435">
        <v>2.5370000000000002E-3</v>
      </c>
      <c r="D435">
        <v>2.31E-3</v>
      </c>
      <c r="E435">
        <v>2.4380000000000001E-3</v>
      </c>
      <c r="F435">
        <v>77825871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0.12775330396475734</v>
      </c>
      <c r="Q435">
        <f t="shared" si="975"/>
        <v>9942512.1541849934</v>
      </c>
      <c r="R435">
        <f t="shared" si="976"/>
        <v>-985014990.67331338</v>
      </c>
      <c r="S435">
        <f t="shared" si="977"/>
        <v>-9850.1499067331333</v>
      </c>
      <c r="T435">
        <f t="shared" si="978"/>
        <v>-9.8501499067331331</v>
      </c>
    </row>
    <row r="436" spans="1:20" x14ac:dyDescent="0.25">
      <c r="A436" s="5">
        <v>44157</v>
      </c>
      <c r="B436">
        <v>2.4199999999999998E-3</v>
      </c>
      <c r="C436">
        <v>2.49E-3</v>
      </c>
      <c r="D436">
        <v>2.2030000000000001E-3</v>
      </c>
      <c r="E436">
        <v>2.3809999999999999E-3</v>
      </c>
      <c r="F436">
        <v>86372704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0.24041811846689767</v>
      </c>
      <c r="Q436">
        <f t="shared" si="975"/>
        <v>20765562.982578285</v>
      </c>
      <c r="R436">
        <f t="shared" si="976"/>
        <v>-994957502.82749832</v>
      </c>
      <c r="S436">
        <f t="shared" si="977"/>
        <v>-9949.5750282749832</v>
      </c>
      <c r="T436">
        <f t="shared" si="978"/>
        <v>-9.9495750282749835</v>
      </c>
    </row>
    <row r="437" spans="1:20" x14ac:dyDescent="0.25">
      <c r="A437" s="5">
        <v>44156</v>
      </c>
      <c r="B437">
        <v>2.2929999999999999E-3</v>
      </c>
      <c r="C437">
        <v>2.4199999999999998E-3</v>
      </c>
      <c r="D437">
        <v>1.6789999999999999E-3</v>
      </c>
      <c r="E437">
        <v>2.4190000000000001E-3</v>
      </c>
      <c r="F437">
        <v>95587029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0.99730094466936658</v>
      </c>
      <c r="Q437">
        <f t="shared" si="975"/>
        <v>95329034.319838136</v>
      </c>
      <c r="R437">
        <f t="shared" si="976"/>
        <v>-1015723065.8100766</v>
      </c>
      <c r="S437">
        <f t="shared" si="977"/>
        <v>-10157.230658100765</v>
      </c>
      <c r="T437">
        <f t="shared" si="978"/>
        <v>-10.157230658100765</v>
      </c>
    </row>
    <row r="438" spans="1:20" x14ac:dyDescent="0.25">
      <c r="A438" s="5">
        <v>44155</v>
      </c>
      <c r="B438">
        <v>2.2499999999999998E-3</v>
      </c>
      <c r="C438">
        <v>2.317E-3</v>
      </c>
      <c r="D438">
        <v>2.2109999999999999E-3</v>
      </c>
      <c r="E438">
        <v>2.297E-3</v>
      </c>
      <c r="F438">
        <v>80447694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0.6226415094339619</v>
      </c>
      <c r="Q438">
        <f t="shared" si="975"/>
        <v>50090073.622641481</v>
      </c>
      <c r="R438">
        <f t="shared" si="976"/>
        <v>-1111052100.1299148</v>
      </c>
      <c r="S438">
        <f t="shared" si="977"/>
        <v>-11110.521001299148</v>
      </c>
      <c r="T438">
        <f t="shared" si="978"/>
        <v>-11.110521001299148</v>
      </c>
    </row>
    <row r="439" spans="1:20" x14ac:dyDescent="0.25">
      <c r="A439" s="5">
        <v>44154</v>
      </c>
      <c r="B439">
        <v>2.2759999999999998E-3</v>
      </c>
      <c r="C439">
        <v>2.3930000000000002E-3</v>
      </c>
      <c r="D439">
        <v>2.1679999999999998E-3</v>
      </c>
      <c r="E439">
        <v>2.2469999999999999E-3</v>
      </c>
      <c r="F439">
        <v>74286933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-0.29777777777777825</v>
      </c>
      <c r="Q439">
        <f t="shared" si="975"/>
        <v>-22120997.826666702</v>
      </c>
      <c r="R439">
        <f t="shared" si="976"/>
        <v>-1161142173.7525563</v>
      </c>
      <c r="S439">
        <f t="shared" si="977"/>
        <v>-11611.421737525563</v>
      </c>
      <c r="T439">
        <f t="shared" si="978"/>
        <v>-11.611421737525562</v>
      </c>
    </row>
    <row r="440" spans="1:20" x14ac:dyDescent="0.25">
      <c r="A440" s="5">
        <v>44153</v>
      </c>
      <c r="B440">
        <v>2.5019999999999999E-3</v>
      </c>
      <c r="C440">
        <v>2.5999999999999999E-3</v>
      </c>
      <c r="D440">
        <v>2.2439999999999999E-3</v>
      </c>
      <c r="E440">
        <v>2.2899999999999999E-3</v>
      </c>
      <c r="F440">
        <v>94487063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-0.74157303370786498</v>
      </c>
      <c r="Q440">
        <f t="shared" si="975"/>
        <v>-70069057.955056161</v>
      </c>
      <c r="R440">
        <f t="shared" si="976"/>
        <v>-1139021175.9258897</v>
      </c>
      <c r="S440">
        <f t="shared" si="977"/>
        <v>-11390.211759258897</v>
      </c>
      <c r="T440">
        <f t="shared" si="978"/>
        <v>-11.390211759258897</v>
      </c>
    </row>
    <row r="441" spans="1:20" x14ac:dyDescent="0.25">
      <c r="A441" s="5">
        <v>44152</v>
      </c>
      <c r="B441">
        <v>2.3670000000000002E-3</v>
      </c>
      <c r="C441">
        <v>2.5079999999999998E-3</v>
      </c>
      <c r="D441">
        <v>2.2690000000000002E-3</v>
      </c>
      <c r="E441">
        <v>2.4789999999999999E-3</v>
      </c>
      <c r="F441">
        <v>46825958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0.75732217573221761</v>
      </c>
      <c r="Q441">
        <f t="shared" si="975"/>
        <v>35462336.393305443</v>
      </c>
      <c r="R441">
        <f t="shared" si="976"/>
        <v>-1068952117.9708337</v>
      </c>
      <c r="S441">
        <f t="shared" si="977"/>
        <v>-10689.521179708336</v>
      </c>
      <c r="T441">
        <f t="shared" si="978"/>
        <v>-10.689521179708336</v>
      </c>
    </row>
    <row r="442" spans="1:20" x14ac:dyDescent="0.25">
      <c r="A442" s="5">
        <v>44151</v>
      </c>
      <c r="B442">
        <v>2.3890000000000001E-3</v>
      </c>
      <c r="C442">
        <v>2.3890000000000001E-3</v>
      </c>
      <c r="D442">
        <v>2.32E-3</v>
      </c>
      <c r="E442">
        <v>2.3670000000000002E-3</v>
      </c>
      <c r="F442">
        <v>56930214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0.36231884057971397</v>
      </c>
      <c r="Q442">
        <f t="shared" si="975"/>
        <v>20626889.130435001</v>
      </c>
      <c r="R442">
        <f t="shared" si="976"/>
        <v>-1104414454.3641391</v>
      </c>
      <c r="S442">
        <f t="shared" si="977"/>
        <v>-11044.144543641391</v>
      </c>
      <c r="T442">
        <f t="shared" si="978"/>
        <v>-11.044144543641391</v>
      </c>
    </row>
    <row r="443" spans="1:20" x14ac:dyDescent="0.25">
      <c r="A443" s="5">
        <v>44150</v>
      </c>
      <c r="B443">
        <v>2.4499999999999999E-3</v>
      </c>
      <c r="C443">
        <v>2.647E-3</v>
      </c>
      <c r="D443">
        <v>2.3259999999999999E-3</v>
      </c>
      <c r="E443">
        <v>2.3869999999999998E-3</v>
      </c>
      <c r="F443">
        <v>59597028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-0.61993769470405091</v>
      </c>
      <c r="Q443">
        <f t="shared" si="975"/>
        <v>-36946444.149532773</v>
      </c>
      <c r="R443">
        <f t="shared" si="976"/>
        <v>-1125041343.4945741</v>
      </c>
      <c r="S443">
        <f t="shared" si="977"/>
        <v>-11250.41343494574</v>
      </c>
      <c r="T443">
        <f t="shared" si="978"/>
        <v>-11.25041343494574</v>
      </c>
    </row>
    <row r="444" spans="1:20" x14ac:dyDescent="0.25">
      <c r="A444" s="5">
        <v>44149</v>
      </c>
      <c r="B444">
        <v>2.5500000000000002E-3</v>
      </c>
      <c r="C444">
        <v>2.5530000000000001E-3</v>
      </c>
      <c r="D444">
        <v>2.3890000000000001E-3</v>
      </c>
      <c r="E444">
        <v>2.4480000000000001E-3</v>
      </c>
      <c r="F444">
        <v>61968885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-0.28048780487804886</v>
      </c>
      <c r="Q444">
        <f t="shared" si="975"/>
        <v>-17381516.52439025</v>
      </c>
      <c r="R444">
        <f t="shared" si="976"/>
        <v>-1088094899.3450413</v>
      </c>
      <c r="S444">
        <f t="shared" si="977"/>
        <v>-10880.948993450413</v>
      </c>
      <c r="T444">
        <f t="shared" si="978"/>
        <v>-10.880948993450414</v>
      </c>
    </row>
    <row r="445" spans="1:20" x14ac:dyDescent="0.25">
      <c r="A445" s="5">
        <v>44148</v>
      </c>
      <c r="B445">
        <v>2.5720000000000001E-3</v>
      </c>
      <c r="C445">
        <v>2.647E-3</v>
      </c>
      <c r="D445">
        <v>2.1810000000000002E-3</v>
      </c>
      <c r="E445">
        <v>2.552E-3</v>
      </c>
      <c r="F445">
        <v>77563598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0.59227467811158774</v>
      </c>
      <c r="Q445">
        <f t="shared" si="975"/>
        <v>45938955.038626589</v>
      </c>
      <c r="R445">
        <f t="shared" si="976"/>
        <v>-1070713382.8206509</v>
      </c>
      <c r="S445">
        <f t="shared" si="977"/>
        <v>-10707.13382820651</v>
      </c>
      <c r="T445">
        <f t="shared" si="978"/>
        <v>-10.70713382820651</v>
      </c>
    </row>
    <row r="446" spans="1:20" x14ac:dyDescent="0.25">
      <c r="A446" s="5">
        <v>44147</v>
      </c>
      <c r="B446">
        <v>2.4329999999999998E-3</v>
      </c>
      <c r="C446">
        <v>2.7060000000000001E-3</v>
      </c>
      <c r="D446">
        <v>2.3990000000000001E-3</v>
      </c>
      <c r="E446">
        <v>2.565E-3</v>
      </c>
      <c r="F446">
        <v>84874374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8.1433224755699835E-2</v>
      </c>
      <c r="Q446">
        <f t="shared" si="975"/>
        <v>6911593.9739413261</v>
      </c>
      <c r="R446">
        <f t="shared" si="976"/>
        <v>-1116652337.8592775</v>
      </c>
      <c r="S446">
        <f t="shared" si="977"/>
        <v>-11166.523378592776</v>
      </c>
      <c r="T446">
        <f t="shared" si="978"/>
        <v>-11.166523378592776</v>
      </c>
    </row>
    <row r="447" spans="1:20" x14ac:dyDescent="0.25">
      <c r="A447" s="5">
        <v>44146</v>
      </c>
      <c r="B447">
        <v>2.4139999999999999E-3</v>
      </c>
      <c r="C447">
        <v>2.4989999999999999E-3</v>
      </c>
      <c r="D447">
        <v>2.346E-3</v>
      </c>
      <c r="E447">
        <v>2.428E-3</v>
      </c>
      <c r="F447">
        <v>67697464</v>
      </c>
      <c r="G447">
        <v>0</v>
      </c>
      <c r="L447" t="s">
        <v>8</v>
      </c>
      <c r="M447" t="s">
        <v>7</v>
      </c>
      <c r="N447" t="s">
        <v>7</v>
      </c>
      <c r="P447">
        <f t="shared" si="974"/>
        <v>7.1895424836602384E-2</v>
      </c>
      <c r="Q447">
        <f t="shared" si="975"/>
        <v>4867137.9346405957</v>
      </c>
      <c r="R447">
        <f t="shared" si="976"/>
        <v>-1123563931.8332188</v>
      </c>
      <c r="S447">
        <f t="shared" si="977"/>
        <v>-11235.639318332189</v>
      </c>
      <c r="T447">
        <f t="shared" si="978"/>
        <v>-11.235639318332188</v>
      </c>
    </row>
    <row r="448" spans="1:20" x14ac:dyDescent="0.25">
      <c r="A448" s="5">
        <v>44145</v>
      </c>
      <c r="B448">
        <v>2.3909999999999999E-3</v>
      </c>
      <c r="C448">
        <v>2.49E-3</v>
      </c>
      <c r="D448">
        <v>2.2910000000000001E-3</v>
      </c>
      <c r="E448">
        <v>2.4120000000000001E-3</v>
      </c>
      <c r="F448">
        <v>70417857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0.21608040201005063</v>
      </c>
      <c r="Q448">
        <f t="shared" si="975"/>
        <v>15215918.849246258</v>
      </c>
      <c r="R448">
        <f t="shared" si="976"/>
        <v>-1128431069.7678595</v>
      </c>
      <c r="S448">
        <f t="shared" si="977"/>
        <v>-11284.310697678595</v>
      </c>
      <c r="T448">
        <f t="shared" si="978"/>
        <v>-11.284310697678595</v>
      </c>
    </row>
    <row r="449" spans="1:20" x14ac:dyDescent="0.25">
      <c r="A449" s="5">
        <v>44144</v>
      </c>
      <c r="B449">
        <v>2.2430000000000002E-3</v>
      </c>
      <c r="C449">
        <v>2.4090000000000001E-3</v>
      </c>
      <c r="D449">
        <v>2.2300000000000002E-3</v>
      </c>
      <c r="E449">
        <v>2.3939999999999999E-3</v>
      </c>
      <c r="F449">
        <v>74232006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0.83240223463686858</v>
      </c>
      <c r="Q449">
        <f t="shared" si="975"/>
        <v>61790887.675977439</v>
      </c>
      <c r="R449">
        <f t="shared" si="976"/>
        <v>-1143646988.6171057</v>
      </c>
      <c r="S449">
        <f t="shared" si="977"/>
        <v>-11436.469886171057</v>
      </c>
      <c r="T449">
        <f t="shared" si="978"/>
        <v>-11.436469886171057</v>
      </c>
    </row>
    <row r="450" spans="1:20" x14ac:dyDescent="0.25">
      <c r="A450" s="5">
        <v>44143</v>
      </c>
      <c r="B450">
        <v>2.1819999999999999E-3</v>
      </c>
      <c r="C450">
        <v>3.0270000000000002E-3</v>
      </c>
      <c r="D450">
        <v>2.0799999999999998E-3</v>
      </c>
      <c r="E450">
        <v>2.2390000000000001E-3</v>
      </c>
      <c r="F450">
        <v>93245964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-0.66420274551214309</v>
      </c>
      <c r="Q450">
        <f t="shared" si="975"/>
        <v>-61934225.296726458</v>
      </c>
      <c r="R450">
        <f t="shared" si="976"/>
        <v>-1205437876.2930832</v>
      </c>
      <c r="S450">
        <f t="shared" si="977"/>
        <v>-12054.378762930832</v>
      </c>
      <c r="T450">
        <f t="shared" si="978"/>
        <v>-12.054378762930831</v>
      </c>
    </row>
    <row r="451" spans="1:20" x14ac:dyDescent="0.25">
      <c r="A451" s="5">
        <v>44142</v>
      </c>
      <c r="B451">
        <v>2.1619999999999999E-3</v>
      </c>
      <c r="C451">
        <v>2.3310000000000002E-3</v>
      </c>
      <c r="D451">
        <v>1.9919999999999998E-3</v>
      </c>
      <c r="E451">
        <v>2.1779999999999998E-3</v>
      </c>
      <c r="F451">
        <v>77760151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9.7345132743361582E-2</v>
      </c>
      <c r="Q451">
        <f t="shared" si="975"/>
        <v>7569572.2212388404</v>
      </c>
      <c r="R451">
        <f t="shared" si="976"/>
        <v>-1143503650.9963567</v>
      </c>
      <c r="S451">
        <f t="shared" si="977"/>
        <v>-11435.036509963567</v>
      </c>
      <c r="T451">
        <f t="shared" si="978"/>
        <v>-11.435036509963567</v>
      </c>
    </row>
    <row r="452" spans="1:20" x14ac:dyDescent="0.25">
      <c r="A452" s="5">
        <v>44141</v>
      </c>
      <c r="B452">
        <v>2.0370000000000002E-3</v>
      </c>
      <c r="C452">
        <v>2.2200000000000002E-3</v>
      </c>
      <c r="D452">
        <v>1.993E-3</v>
      </c>
      <c r="E452">
        <v>2.1589999999999999E-3</v>
      </c>
      <c r="F452">
        <v>75825382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0.46255506607929309</v>
      </c>
      <c r="Q452">
        <f t="shared" si="975"/>
        <v>35073414.581497639</v>
      </c>
      <c r="R452">
        <f t="shared" si="976"/>
        <v>-1151073223.2175956</v>
      </c>
      <c r="S452">
        <f t="shared" si="977"/>
        <v>-11510.732232175957</v>
      </c>
      <c r="T452">
        <f t="shared" si="978"/>
        <v>-11.510732232175956</v>
      </c>
    </row>
    <row r="453" spans="1:20" x14ac:dyDescent="0.25">
      <c r="A453" s="5">
        <v>44140</v>
      </c>
      <c r="B453">
        <v>1.9789999999999999E-3</v>
      </c>
      <c r="C453">
        <v>2.052E-3</v>
      </c>
      <c r="D453">
        <v>1.951E-3</v>
      </c>
      <c r="E453">
        <v>2.036E-3</v>
      </c>
      <c r="F453">
        <v>73325426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0.68316831683168389</v>
      </c>
      <c r="Q453">
        <f t="shared" si="975"/>
        <v>50093607.861386195</v>
      </c>
      <c r="R453">
        <f t="shared" si="976"/>
        <v>-1186146637.7990932</v>
      </c>
      <c r="S453">
        <f t="shared" si="977"/>
        <v>-11861.466377990933</v>
      </c>
      <c r="T453">
        <f t="shared" si="978"/>
        <v>-11.861466377990933</v>
      </c>
    </row>
    <row r="454" spans="1:20" x14ac:dyDescent="0.25">
      <c r="A454" s="5">
        <v>44139</v>
      </c>
      <c r="B454">
        <v>1.9870000000000001E-3</v>
      </c>
      <c r="C454">
        <v>2.0240000000000002E-3</v>
      </c>
      <c r="D454">
        <v>1.8959999999999999E-3</v>
      </c>
      <c r="E454">
        <v>1.9810000000000001E-3</v>
      </c>
      <c r="F454">
        <v>76224364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0.32812500000000044</v>
      </c>
      <c r="Q454">
        <f t="shared" ref="Q454:Q517" si="980">F454*P454</f>
        <v>25011119.437500034</v>
      </c>
      <c r="R454">
        <f t="shared" ref="R454:R517" si="981">R455+Q454</f>
        <v>-1236240245.6604795</v>
      </c>
      <c r="S454">
        <f t="shared" ref="S454:S517" si="982">R454/100000</f>
        <v>-12362.402456604796</v>
      </c>
      <c r="T454">
        <f t="shared" ref="T454:T517" si="983">S454/1000</f>
        <v>-12.362402456604796</v>
      </c>
    </row>
    <row r="455" spans="1:20" x14ac:dyDescent="0.25">
      <c r="A455" s="5">
        <v>44138</v>
      </c>
      <c r="B455">
        <v>2.0100000000000001E-3</v>
      </c>
      <c r="C455">
        <v>2.052E-3</v>
      </c>
      <c r="D455">
        <v>1.9E-3</v>
      </c>
      <c r="E455">
        <v>1.9880000000000002E-3</v>
      </c>
      <c r="F455">
        <v>74245457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0.15789473684210767</v>
      </c>
      <c r="Q455">
        <f t="shared" si="980"/>
        <v>11722966.89473702</v>
      </c>
      <c r="R455">
        <f t="shared" si="981"/>
        <v>-1261251365.0979795</v>
      </c>
      <c r="S455">
        <f t="shared" si="982"/>
        <v>-12612.513650979796</v>
      </c>
      <c r="T455">
        <f t="shared" si="983"/>
        <v>-12.612513650979796</v>
      </c>
    </row>
    <row r="456" spans="1:20" x14ac:dyDescent="0.25">
      <c r="A456" s="5">
        <v>44137</v>
      </c>
      <c r="B456">
        <v>2.1289999999999998E-3</v>
      </c>
      <c r="C456">
        <v>2.1510000000000001E-3</v>
      </c>
      <c r="D456">
        <v>1.99E-3</v>
      </c>
      <c r="E456">
        <v>2.0100000000000001E-3</v>
      </c>
      <c r="F456">
        <v>75048956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-0.75155279503105543</v>
      </c>
      <c r="Q456">
        <f t="shared" si="980"/>
        <v>-56403252.6459627</v>
      </c>
      <c r="R456">
        <f t="shared" si="981"/>
        <v>-1272974331.9927166</v>
      </c>
      <c r="S456">
        <f t="shared" si="982"/>
        <v>-12729.743319927165</v>
      </c>
      <c r="T456">
        <f t="shared" si="983"/>
        <v>-12.729743319927165</v>
      </c>
    </row>
    <row r="457" spans="1:20" x14ac:dyDescent="0.25">
      <c r="A457" s="5">
        <v>44136</v>
      </c>
      <c r="B457">
        <v>2.1220000000000002E-3</v>
      </c>
      <c r="C457">
        <v>2.1359999999999999E-3</v>
      </c>
      <c r="D457">
        <v>1.9269999999999999E-3</v>
      </c>
      <c r="E457">
        <v>2.1359999999999999E-3</v>
      </c>
      <c r="F457">
        <v>79535371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1</v>
      </c>
      <c r="Q457">
        <f t="shared" si="980"/>
        <v>79535371</v>
      </c>
      <c r="R457">
        <f t="shared" si="981"/>
        <v>-1216571079.3467538</v>
      </c>
      <c r="S457">
        <f t="shared" si="982"/>
        <v>-12165.710793467539</v>
      </c>
      <c r="T457">
        <f t="shared" si="983"/>
        <v>-12.165710793467539</v>
      </c>
    </row>
    <row r="458" spans="1:20" x14ac:dyDescent="0.25">
      <c r="A458" s="5">
        <v>44135</v>
      </c>
      <c r="B458">
        <v>2.1320000000000002E-3</v>
      </c>
      <c r="C458">
        <v>2.1840000000000002E-3</v>
      </c>
      <c r="D458">
        <v>2.091E-3</v>
      </c>
      <c r="E458">
        <v>2.1210000000000001E-3</v>
      </c>
      <c r="F458">
        <v>76346045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-0.35483870967741904</v>
      </c>
      <c r="Q458">
        <f t="shared" si="980"/>
        <v>-27090532.096774168</v>
      </c>
      <c r="R458">
        <f t="shared" si="981"/>
        <v>-1296106450.3467538</v>
      </c>
      <c r="S458">
        <f t="shared" si="982"/>
        <v>-12961.064503467538</v>
      </c>
      <c r="T458">
        <f t="shared" si="983"/>
        <v>-12.961064503467538</v>
      </c>
    </row>
    <row r="459" spans="1:20" x14ac:dyDescent="0.25">
      <c r="A459" s="5">
        <v>44134</v>
      </c>
      <c r="B459">
        <v>2.2629999999999998E-3</v>
      </c>
      <c r="C459">
        <v>2.313E-3</v>
      </c>
      <c r="D459">
        <v>2.016E-3</v>
      </c>
      <c r="E459">
        <v>2.1310000000000001E-3</v>
      </c>
      <c r="F459">
        <v>80755463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-0.2255892255892249</v>
      </c>
      <c r="Q459">
        <f t="shared" si="980"/>
        <v>-18217562.360269304</v>
      </c>
      <c r="R459">
        <f t="shared" si="981"/>
        <v>-1269015918.2499797</v>
      </c>
      <c r="S459">
        <f t="shared" si="982"/>
        <v>-12690.159182499798</v>
      </c>
      <c r="T459">
        <f t="shared" si="983"/>
        <v>-12.690159182499798</v>
      </c>
    </row>
    <row r="460" spans="1:20" x14ac:dyDescent="0.25">
      <c r="A460" s="5">
        <v>44133</v>
      </c>
      <c r="B460">
        <v>2.4450000000000001E-3</v>
      </c>
      <c r="C460">
        <v>2.5579999999999999E-3</v>
      </c>
      <c r="D460">
        <v>2.15E-3</v>
      </c>
      <c r="E460">
        <v>2.264E-3</v>
      </c>
      <c r="F460">
        <v>89846962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-0.44117647058823545</v>
      </c>
      <c r="Q460">
        <f t="shared" si="980"/>
        <v>-39638365.588235311</v>
      </c>
      <c r="R460">
        <f t="shared" si="981"/>
        <v>-1250798355.8897104</v>
      </c>
      <c r="S460">
        <f t="shared" si="982"/>
        <v>-12507.983558897104</v>
      </c>
      <c r="T460">
        <f t="shared" si="983"/>
        <v>-12.507983558897104</v>
      </c>
    </row>
    <row r="461" spans="1:20" x14ac:dyDescent="0.25">
      <c r="A461" s="5">
        <v>44132</v>
      </c>
      <c r="B461">
        <v>2.9979999999999998E-3</v>
      </c>
      <c r="C461">
        <v>3.0430000000000001E-3</v>
      </c>
      <c r="D461">
        <v>2.2000000000000001E-3</v>
      </c>
      <c r="E461">
        <v>2.444E-3</v>
      </c>
      <c r="F461">
        <v>80302415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-0.42111506524317943</v>
      </c>
      <c r="Q461">
        <f t="shared" si="980"/>
        <v>-33816556.731909871</v>
      </c>
      <c r="R461">
        <f t="shared" si="981"/>
        <v>-1211159990.301475</v>
      </c>
      <c r="S461">
        <f t="shared" si="982"/>
        <v>-12111.59990301475</v>
      </c>
      <c r="T461">
        <f t="shared" si="983"/>
        <v>-12.111599903014751</v>
      </c>
    </row>
    <row r="462" spans="1:20" x14ac:dyDescent="0.25">
      <c r="A462" s="5">
        <v>44131</v>
      </c>
      <c r="B462">
        <v>2.2829999999999999E-3</v>
      </c>
      <c r="C462">
        <v>4.8069999999999996E-3</v>
      </c>
      <c r="D462">
        <v>2.2799999999999999E-3</v>
      </c>
      <c r="E462">
        <v>2.9979999999999998E-3</v>
      </c>
      <c r="F462">
        <v>416644447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-0.43173723783142071</v>
      </c>
      <c r="Q462">
        <f t="shared" si="980"/>
        <v>-179880922.70557976</v>
      </c>
      <c r="R462">
        <f t="shared" si="981"/>
        <v>-1177343433.5695653</v>
      </c>
      <c r="S462">
        <f t="shared" si="982"/>
        <v>-11773.434335695652</v>
      </c>
      <c r="T462">
        <f t="shared" si="983"/>
        <v>-11.773434335695653</v>
      </c>
    </row>
    <row r="463" spans="1:20" x14ac:dyDescent="0.25">
      <c r="A463" s="5">
        <v>44130</v>
      </c>
      <c r="B463">
        <v>2.3089999999999999E-3</v>
      </c>
      <c r="C463">
        <v>2.3999999999999998E-3</v>
      </c>
      <c r="D463">
        <v>2.212E-3</v>
      </c>
      <c r="E463">
        <v>2.2799999999999999E-3</v>
      </c>
      <c r="F463">
        <v>78517542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-0.27659574468085119</v>
      </c>
      <c r="Q463">
        <f t="shared" si="980"/>
        <v>-21717618.000000011</v>
      </c>
      <c r="R463">
        <f t="shared" si="981"/>
        <v>-997462510.86398566</v>
      </c>
      <c r="S463">
        <f t="shared" si="982"/>
        <v>-9974.625108639857</v>
      </c>
      <c r="T463">
        <f t="shared" si="983"/>
        <v>-9.9746251086398576</v>
      </c>
    </row>
    <row r="464" spans="1:20" x14ac:dyDescent="0.25">
      <c r="A464" s="5">
        <v>44129</v>
      </c>
      <c r="B464">
        <v>2.4130000000000002E-3</v>
      </c>
      <c r="C464">
        <v>2.4369999999999999E-3</v>
      </c>
      <c r="D464">
        <v>2.281E-3</v>
      </c>
      <c r="E464">
        <v>2.3080000000000002E-3</v>
      </c>
      <c r="F464">
        <v>76329660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-0.65384615384615219</v>
      </c>
      <c r="Q464">
        <f t="shared" si="980"/>
        <v>-49907854.615384489</v>
      </c>
      <c r="R464">
        <f t="shared" si="981"/>
        <v>-975744892.86398566</v>
      </c>
      <c r="S464">
        <f t="shared" si="982"/>
        <v>-9757.4489286398566</v>
      </c>
      <c r="T464">
        <f t="shared" si="983"/>
        <v>-9.7574489286398567</v>
      </c>
    </row>
    <row r="465" spans="1:20" x14ac:dyDescent="0.25">
      <c r="A465" s="5">
        <v>44128</v>
      </c>
      <c r="B465">
        <v>2.3280000000000002E-3</v>
      </c>
      <c r="C465">
        <v>2.8E-3</v>
      </c>
      <c r="D465">
        <v>2.3270000000000001E-3</v>
      </c>
      <c r="E465">
        <v>2.4099999999999998E-3</v>
      </c>
      <c r="F465">
        <v>93182785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-0.64904862579281286</v>
      </c>
      <c r="Q465">
        <f t="shared" si="980"/>
        <v>-60480158.551797137</v>
      </c>
      <c r="R465">
        <f t="shared" si="981"/>
        <v>-925837038.2486012</v>
      </c>
      <c r="S465">
        <f t="shared" si="982"/>
        <v>-9258.3703824860113</v>
      </c>
      <c r="T465">
        <f t="shared" si="983"/>
        <v>-9.258370382486012</v>
      </c>
    </row>
    <row r="466" spans="1:20" x14ac:dyDescent="0.25">
      <c r="A466" s="5">
        <v>44127</v>
      </c>
      <c r="B466">
        <v>2.2729999999999998E-3</v>
      </c>
      <c r="C466">
        <v>2.3999999999999998E-3</v>
      </c>
      <c r="D466">
        <v>2.2079999999999999E-3</v>
      </c>
      <c r="E466">
        <v>2.3310000000000002E-3</v>
      </c>
      <c r="F466">
        <v>88526671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0.28125000000000361</v>
      </c>
      <c r="Q466">
        <f t="shared" si="980"/>
        <v>24898126.21875032</v>
      </c>
      <c r="R466">
        <f t="shared" si="981"/>
        <v>-865356879.69680405</v>
      </c>
      <c r="S466">
        <f t="shared" si="982"/>
        <v>-8653.5687969680403</v>
      </c>
      <c r="T466">
        <f t="shared" si="983"/>
        <v>-8.6535687969680399</v>
      </c>
    </row>
    <row r="467" spans="1:20" x14ac:dyDescent="0.25">
      <c r="A467" s="5">
        <v>44126</v>
      </c>
      <c r="B467">
        <v>2.2430000000000002E-3</v>
      </c>
      <c r="C467">
        <v>2.3400000000000001E-3</v>
      </c>
      <c r="D467">
        <v>2.2360000000000001E-3</v>
      </c>
      <c r="E467">
        <v>2.271E-3</v>
      </c>
      <c r="F467">
        <v>83364446</v>
      </c>
      <c r="G467">
        <v>0</v>
      </c>
      <c r="L467" t="s">
        <v>7</v>
      </c>
      <c r="M467" t="s">
        <v>7</v>
      </c>
      <c r="N467" t="s">
        <v>8</v>
      </c>
      <c r="P467">
        <f t="shared" si="979"/>
        <v>-0.32692307692307887</v>
      </c>
      <c r="Q467">
        <f t="shared" si="980"/>
        <v>-27253761.192307856</v>
      </c>
      <c r="R467">
        <f t="shared" si="981"/>
        <v>-890255005.9155544</v>
      </c>
      <c r="S467">
        <f t="shared" si="982"/>
        <v>-8902.5500591555447</v>
      </c>
      <c r="T467">
        <f t="shared" si="983"/>
        <v>-8.9025500591555442</v>
      </c>
    </row>
    <row r="468" spans="1:20" x14ac:dyDescent="0.25">
      <c r="A468" s="5">
        <v>44125</v>
      </c>
      <c r="B468">
        <v>2.2390000000000001E-3</v>
      </c>
      <c r="C468">
        <v>2.3570000000000002E-3</v>
      </c>
      <c r="D468">
        <v>2.215E-3</v>
      </c>
      <c r="E468">
        <v>2.2369999999999998E-3</v>
      </c>
      <c r="F468">
        <v>73531001</v>
      </c>
      <c r="G468">
        <v>0</v>
      </c>
      <c r="L468" t="s">
        <v>7</v>
      </c>
      <c r="M468" t="s">
        <v>7</v>
      </c>
      <c r="N468" t="s">
        <v>8</v>
      </c>
      <c r="P468">
        <f t="shared" si="979"/>
        <v>-0.69014084507042461</v>
      </c>
      <c r="Q468">
        <f t="shared" si="980"/>
        <v>-50746747.169014238</v>
      </c>
      <c r="R468">
        <f t="shared" si="981"/>
        <v>-863001244.72324657</v>
      </c>
      <c r="S468">
        <f t="shared" si="982"/>
        <v>-8630.012447232466</v>
      </c>
      <c r="T468">
        <f t="shared" si="983"/>
        <v>-8.6300124472324669</v>
      </c>
    </row>
    <row r="469" spans="1:20" x14ac:dyDescent="0.25">
      <c r="A469" s="5">
        <v>44124</v>
      </c>
      <c r="B469">
        <v>2.2420000000000001E-3</v>
      </c>
      <c r="C469">
        <v>2.3730000000000001E-3</v>
      </c>
      <c r="D469">
        <v>2.222E-3</v>
      </c>
      <c r="E469">
        <v>2.235E-3</v>
      </c>
      <c r="F469">
        <v>83700215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-0.82781456953642407</v>
      </c>
      <c r="Q469">
        <f t="shared" si="980"/>
        <v>-69288257.450331151</v>
      </c>
      <c r="R469">
        <f t="shared" si="981"/>
        <v>-812254497.55423236</v>
      </c>
      <c r="S469">
        <f t="shared" si="982"/>
        <v>-8122.5449755423233</v>
      </c>
      <c r="T469">
        <f t="shared" si="983"/>
        <v>-8.1225449755423238</v>
      </c>
    </row>
    <row r="470" spans="1:20" x14ac:dyDescent="0.25">
      <c r="A470" s="5">
        <v>44123</v>
      </c>
      <c r="B470">
        <v>2.284E-3</v>
      </c>
      <c r="C470">
        <v>2.2929999999999999E-3</v>
      </c>
      <c r="D470">
        <v>2.2009999999999998E-3</v>
      </c>
      <c r="E470">
        <v>2.248E-3</v>
      </c>
      <c r="F470">
        <v>85336154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2.1739130434785477E-2</v>
      </c>
      <c r="Q470">
        <f t="shared" si="980"/>
        <v>1855133.7826089405</v>
      </c>
      <c r="R470">
        <f t="shared" si="981"/>
        <v>-742966240.10390115</v>
      </c>
      <c r="S470">
        <f t="shared" si="982"/>
        <v>-7429.6624010390115</v>
      </c>
      <c r="T470">
        <f t="shared" si="983"/>
        <v>-7.4296624010390113</v>
      </c>
    </row>
    <row r="471" spans="1:20" x14ac:dyDescent="0.25">
      <c r="A471" s="5">
        <v>44122</v>
      </c>
      <c r="B471">
        <v>2.2569999999999999E-3</v>
      </c>
      <c r="C471">
        <v>2.3999999999999998E-3</v>
      </c>
      <c r="D471">
        <v>2.2569999999999999E-3</v>
      </c>
      <c r="E471">
        <v>2.2799999999999999E-3</v>
      </c>
      <c r="F471">
        <v>75838934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-0.67832167832167789</v>
      </c>
      <c r="Q471">
        <f t="shared" si="980"/>
        <v>-51443192.99300696</v>
      </c>
      <c r="R471">
        <f t="shared" si="981"/>
        <v>-744821373.88651013</v>
      </c>
      <c r="S471">
        <f t="shared" si="982"/>
        <v>-7448.2137388651017</v>
      </c>
      <c r="T471">
        <f t="shared" si="983"/>
        <v>-7.4482137388651015</v>
      </c>
    </row>
    <row r="472" spans="1:20" x14ac:dyDescent="0.25">
      <c r="A472" s="5">
        <v>44121</v>
      </c>
      <c r="B472">
        <v>2.2599999999999999E-3</v>
      </c>
      <c r="C472">
        <v>2.3310000000000002E-3</v>
      </c>
      <c r="D472">
        <v>2.202E-3</v>
      </c>
      <c r="E472">
        <v>2.2560000000000002E-3</v>
      </c>
      <c r="F472">
        <v>72066678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-0.16279069767441642</v>
      </c>
      <c r="Q472">
        <f t="shared" si="980"/>
        <v>-11731784.790697517</v>
      </c>
      <c r="R472">
        <f t="shared" si="981"/>
        <v>-693378180.89350319</v>
      </c>
      <c r="S472">
        <f t="shared" si="982"/>
        <v>-6933.7818089350321</v>
      </c>
      <c r="T472">
        <f t="shared" si="983"/>
        <v>-6.9337818089350325</v>
      </c>
    </row>
    <row r="473" spans="1:20" x14ac:dyDescent="0.25">
      <c r="A473" s="5">
        <v>44120</v>
      </c>
      <c r="B473">
        <v>2.3960000000000001E-3</v>
      </c>
      <c r="C473">
        <v>2.4489999999999998E-3</v>
      </c>
      <c r="D473">
        <v>2.2070000000000002E-3</v>
      </c>
      <c r="E473">
        <v>2.2560000000000002E-3</v>
      </c>
      <c r="F473">
        <v>83433222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-0.59504132231404894</v>
      </c>
      <c r="Q473">
        <f t="shared" si="980"/>
        <v>-49646214.743801601</v>
      </c>
      <c r="R473">
        <f t="shared" si="981"/>
        <v>-681646396.10280561</v>
      </c>
      <c r="S473">
        <f t="shared" si="982"/>
        <v>-6816.4639610280565</v>
      </c>
      <c r="T473">
        <f t="shared" si="983"/>
        <v>-6.8164639610280569</v>
      </c>
    </row>
    <row r="474" spans="1:20" x14ac:dyDescent="0.25">
      <c r="A474" s="5">
        <v>44119</v>
      </c>
      <c r="B474">
        <v>2.441E-3</v>
      </c>
      <c r="C474">
        <v>2.4459999999999998E-3</v>
      </c>
      <c r="D474">
        <v>2.2420000000000001E-3</v>
      </c>
      <c r="E474">
        <v>2.392E-3</v>
      </c>
      <c r="F474">
        <v>92918373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0.47058823529411903</v>
      </c>
      <c r="Q474">
        <f t="shared" si="980"/>
        <v>43726293.176470719</v>
      </c>
      <c r="R474">
        <f t="shared" si="981"/>
        <v>-632000181.35900402</v>
      </c>
      <c r="S474">
        <f t="shared" si="982"/>
        <v>-6320.00181359004</v>
      </c>
      <c r="T474">
        <f t="shared" si="983"/>
        <v>-6.3200018135900402</v>
      </c>
    </row>
    <row r="475" spans="1:20" x14ac:dyDescent="0.25">
      <c r="A475" s="5">
        <v>44118</v>
      </c>
      <c r="B475">
        <v>2.3530000000000001E-3</v>
      </c>
      <c r="C475">
        <v>2.5999999999999999E-3</v>
      </c>
      <c r="D475">
        <v>2.307E-3</v>
      </c>
      <c r="E475">
        <v>2.4420000000000002E-3</v>
      </c>
      <c r="F475">
        <v>103112611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-7.8498293515356976E-2</v>
      </c>
      <c r="Q475">
        <f t="shared" si="980"/>
        <v>-8094164.003412826</v>
      </c>
      <c r="R475">
        <f t="shared" si="981"/>
        <v>-675726474.53547478</v>
      </c>
      <c r="S475">
        <f t="shared" si="982"/>
        <v>-6757.2647453547479</v>
      </c>
      <c r="T475">
        <f t="shared" si="983"/>
        <v>-6.7572647453547479</v>
      </c>
    </row>
    <row r="476" spans="1:20" x14ac:dyDescent="0.25">
      <c r="A476" s="5">
        <v>44117</v>
      </c>
      <c r="B476">
        <v>2.5560000000000001E-3</v>
      </c>
      <c r="C476">
        <v>2.6310000000000001E-3</v>
      </c>
      <c r="D476">
        <v>2.3289999999999999E-3</v>
      </c>
      <c r="E476">
        <v>2.3549999999999999E-3</v>
      </c>
      <c r="F476">
        <v>95838107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-0.82781456953642407</v>
      </c>
      <c r="Q476">
        <f t="shared" si="980"/>
        <v>-79336181.291390747</v>
      </c>
      <c r="R476">
        <f t="shared" si="981"/>
        <v>-667632310.53206193</v>
      </c>
      <c r="S476">
        <f t="shared" si="982"/>
        <v>-6676.3231053206191</v>
      </c>
      <c r="T476">
        <f t="shared" si="983"/>
        <v>-6.6763231053206189</v>
      </c>
    </row>
    <row r="477" spans="1:20" x14ac:dyDescent="0.25">
      <c r="A477" s="5">
        <v>44116</v>
      </c>
      <c r="B477">
        <v>2.2469999999999999E-3</v>
      </c>
      <c r="C477">
        <v>2.9369999999999999E-3</v>
      </c>
      <c r="D477">
        <v>2.2179999999999999E-3</v>
      </c>
      <c r="E477">
        <v>2.5560000000000001E-3</v>
      </c>
      <c r="F477">
        <v>150298563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-5.980528511821924E-2</v>
      </c>
      <c r="Q477">
        <f t="shared" si="980"/>
        <v>-8988648.4130736366</v>
      </c>
      <c r="R477">
        <f t="shared" si="981"/>
        <v>-588296129.24067116</v>
      </c>
      <c r="S477">
        <f t="shared" si="982"/>
        <v>-5882.9612924067114</v>
      </c>
      <c r="T477">
        <f t="shared" si="983"/>
        <v>-5.8829612924067112</v>
      </c>
    </row>
    <row r="478" spans="1:20" x14ac:dyDescent="0.25">
      <c r="A478" s="5">
        <v>44115</v>
      </c>
      <c r="B478">
        <v>2.3370000000000001E-3</v>
      </c>
      <c r="C478">
        <v>2.3389999999999999E-3</v>
      </c>
      <c r="D478">
        <v>2.222E-3</v>
      </c>
      <c r="E478">
        <v>2.2490000000000001E-3</v>
      </c>
      <c r="F478">
        <v>77447418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-0.53846153846153622</v>
      </c>
      <c r="Q478">
        <f t="shared" si="980"/>
        <v>-41702455.846153669</v>
      </c>
      <c r="R478">
        <f t="shared" si="981"/>
        <v>-579307480.8275975</v>
      </c>
      <c r="S478">
        <f t="shared" si="982"/>
        <v>-5793.0748082759746</v>
      </c>
      <c r="T478">
        <f t="shared" si="983"/>
        <v>-5.7930748082759749</v>
      </c>
    </row>
    <row r="479" spans="1:20" x14ac:dyDescent="0.25">
      <c r="A479" s="5">
        <v>44114</v>
      </c>
      <c r="B479">
        <v>2.4320000000000001E-3</v>
      </c>
      <c r="C479">
        <v>2.8040000000000001E-3</v>
      </c>
      <c r="D479">
        <v>2.2929999999999999E-3</v>
      </c>
      <c r="E479">
        <v>2.3379999999999998E-3</v>
      </c>
      <c r="F479">
        <v>112603437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-0.82387475538160515</v>
      </c>
      <c r="Q479">
        <f t="shared" si="980"/>
        <v>-92771129.113502979</v>
      </c>
      <c r="R479">
        <f t="shared" si="981"/>
        <v>-537605024.98144388</v>
      </c>
      <c r="S479">
        <f t="shared" si="982"/>
        <v>-5376.0502498144388</v>
      </c>
      <c r="T479">
        <f t="shared" si="983"/>
        <v>-5.3760502498144387</v>
      </c>
    </row>
    <row r="480" spans="1:20" x14ac:dyDescent="0.25">
      <c r="A480" s="5">
        <v>44113</v>
      </c>
      <c r="B480">
        <v>2.274E-3</v>
      </c>
      <c r="C480">
        <v>2.4659999999999999E-3</v>
      </c>
      <c r="D480">
        <v>2.2550000000000001E-3</v>
      </c>
      <c r="E480">
        <v>2.434E-3</v>
      </c>
      <c r="F480">
        <v>90045299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0.69668246445497684</v>
      </c>
      <c r="Q480">
        <f t="shared" si="980"/>
        <v>62732980.819905259</v>
      </c>
      <c r="R480">
        <f t="shared" si="981"/>
        <v>-444833895.86794084</v>
      </c>
      <c r="S480">
        <f t="shared" si="982"/>
        <v>-4448.3389586794083</v>
      </c>
      <c r="T480">
        <f t="shared" si="983"/>
        <v>-4.4483389586794084</v>
      </c>
    </row>
    <row r="481" spans="1:20" x14ac:dyDescent="0.25">
      <c r="A481" s="5">
        <v>44112</v>
      </c>
      <c r="B481">
        <v>2.101E-3</v>
      </c>
      <c r="C481">
        <v>2.3540000000000002E-3</v>
      </c>
      <c r="D481">
        <v>2.0720000000000001E-3</v>
      </c>
      <c r="E481">
        <v>2.2750000000000001E-3</v>
      </c>
      <c r="F481">
        <v>80937152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0.43971631205673728</v>
      </c>
      <c r="Q481">
        <f t="shared" si="980"/>
        <v>35589385.985815577</v>
      </c>
      <c r="R481">
        <f t="shared" si="981"/>
        <v>-507566876.68784612</v>
      </c>
      <c r="S481">
        <f t="shared" si="982"/>
        <v>-5075.6687668784616</v>
      </c>
      <c r="T481">
        <f t="shared" si="983"/>
        <v>-5.0756687668784615</v>
      </c>
    </row>
    <row r="482" spans="1:20" x14ac:dyDescent="0.25">
      <c r="A482" s="5">
        <v>44111</v>
      </c>
      <c r="B482">
        <v>2.0790000000000001E-3</v>
      </c>
      <c r="C482">
        <v>2.1519999999999998E-3</v>
      </c>
      <c r="D482">
        <v>2.032E-3</v>
      </c>
      <c r="E482">
        <v>2.1020000000000001E-3</v>
      </c>
      <c r="F482">
        <v>76336695</v>
      </c>
      <c r="G482">
        <v>0</v>
      </c>
      <c r="L482" t="s">
        <v>8</v>
      </c>
      <c r="M482" t="s">
        <v>7</v>
      </c>
      <c r="N482" t="s">
        <v>8</v>
      </c>
      <c r="P482">
        <f t="shared" si="979"/>
        <v>0.16666666666667088</v>
      </c>
      <c r="Q482">
        <f t="shared" si="980"/>
        <v>12722782.500000322</v>
      </c>
      <c r="R482">
        <f t="shared" si="981"/>
        <v>-543156262.67366171</v>
      </c>
      <c r="S482">
        <f t="shared" si="982"/>
        <v>-5431.5626267366169</v>
      </c>
      <c r="T482">
        <f t="shared" si="983"/>
        <v>-5.4315626267366168</v>
      </c>
    </row>
    <row r="483" spans="1:20" x14ac:dyDescent="0.25">
      <c r="A483" s="5">
        <v>44110</v>
      </c>
      <c r="B483">
        <v>2.0720000000000001E-3</v>
      </c>
      <c r="C483">
        <v>2.163E-3</v>
      </c>
      <c r="D483">
        <v>1.9680000000000001E-3</v>
      </c>
      <c r="E483">
        <v>2.0790000000000001E-3</v>
      </c>
      <c r="F483">
        <v>106091166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0.13846153846153914</v>
      </c>
      <c r="Q483">
        <f t="shared" si="980"/>
        <v>14689546.061538532</v>
      </c>
      <c r="R483">
        <f t="shared" si="981"/>
        <v>-555879045.17366207</v>
      </c>
      <c r="S483">
        <f t="shared" si="982"/>
        <v>-5558.7904517366205</v>
      </c>
      <c r="T483">
        <f t="shared" si="983"/>
        <v>-5.5587904517366207</v>
      </c>
    </row>
    <row r="484" spans="1:20" x14ac:dyDescent="0.25">
      <c r="A484" s="5">
        <v>44109</v>
      </c>
      <c r="B484">
        <v>1.9650000000000002E-3</v>
      </c>
      <c r="C484">
        <v>2.48E-3</v>
      </c>
      <c r="D484">
        <v>1.9449999999999999E-3</v>
      </c>
      <c r="E484">
        <v>2.0739999999999999E-3</v>
      </c>
      <c r="F484">
        <v>102224877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-0.51775700934579449</v>
      </c>
      <c r="Q484">
        <f t="shared" si="980"/>
        <v>-52927646.596261695</v>
      </c>
      <c r="R484">
        <f t="shared" si="981"/>
        <v>-570568591.23520064</v>
      </c>
      <c r="S484">
        <f t="shared" si="982"/>
        <v>-5705.6859123520062</v>
      </c>
      <c r="T484">
        <f t="shared" si="983"/>
        <v>-5.7056859123520063</v>
      </c>
    </row>
    <row r="485" spans="1:20" x14ac:dyDescent="0.25">
      <c r="A485" s="5">
        <v>44108</v>
      </c>
      <c r="B485">
        <v>1.9659999999999999E-3</v>
      </c>
      <c r="C485">
        <v>1.9810000000000001E-3</v>
      </c>
      <c r="D485">
        <v>1.946E-3</v>
      </c>
      <c r="E485">
        <v>1.9650000000000002E-3</v>
      </c>
      <c r="F485">
        <v>69499982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8.5714285714290669E-2</v>
      </c>
      <c r="Q485">
        <f t="shared" si="980"/>
        <v>5957141.3142860588</v>
      </c>
      <c r="R485">
        <f t="shared" si="981"/>
        <v>-517640944.63893896</v>
      </c>
      <c r="S485">
        <f t="shared" si="982"/>
        <v>-5176.4094463893898</v>
      </c>
      <c r="T485">
        <f t="shared" si="983"/>
        <v>-5.1764094463893899</v>
      </c>
    </row>
    <row r="486" spans="1:20" x14ac:dyDescent="0.25">
      <c r="A486" s="5">
        <v>44107</v>
      </c>
      <c r="B486">
        <v>1.9289999999999999E-3</v>
      </c>
      <c r="C486">
        <v>1.97E-3</v>
      </c>
      <c r="D486">
        <v>1.9139999999999999E-3</v>
      </c>
      <c r="E486">
        <v>1.97E-3</v>
      </c>
      <c r="F486">
        <v>45055987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1</v>
      </c>
      <c r="Q486">
        <f t="shared" si="980"/>
        <v>45055987</v>
      </c>
      <c r="R486">
        <f t="shared" si="981"/>
        <v>-523598085.95322502</v>
      </c>
      <c r="S486">
        <f t="shared" si="982"/>
        <v>-5235.9808595322502</v>
      </c>
      <c r="T486">
        <f t="shared" si="983"/>
        <v>-5.2359808595322503</v>
      </c>
    </row>
    <row r="487" spans="1:20" x14ac:dyDescent="0.25">
      <c r="A487" s="5">
        <v>44106</v>
      </c>
      <c r="B487">
        <v>1.9659999999999999E-3</v>
      </c>
      <c r="C487">
        <v>1.97E-3</v>
      </c>
      <c r="D487">
        <v>1.8910000000000001E-3</v>
      </c>
      <c r="E487">
        <v>1.9289999999999999E-3</v>
      </c>
      <c r="F487">
        <v>76843040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-3.7974683544306158E-2</v>
      </c>
      <c r="Q487">
        <f t="shared" si="980"/>
        <v>-2918090.12658246</v>
      </c>
      <c r="R487">
        <f t="shared" si="981"/>
        <v>-568654072.95322502</v>
      </c>
      <c r="S487">
        <f t="shared" si="982"/>
        <v>-5686.5407295322502</v>
      </c>
      <c r="T487">
        <f t="shared" si="983"/>
        <v>-5.6865407295322505</v>
      </c>
    </row>
    <row r="488" spans="1:20" x14ac:dyDescent="0.25">
      <c r="A488" s="5">
        <v>44105</v>
      </c>
      <c r="B488">
        <v>1.9750000000000002E-3</v>
      </c>
      <c r="C488">
        <v>1.993E-3</v>
      </c>
      <c r="D488">
        <v>1.9449999999999999E-3</v>
      </c>
      <c r="E488">
        <v>1.9689999999999998E-3</v>
      </c>
      <c r="F488">
        <v>68908052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-4.517509052022927E-15</v>
      </c>
      <c r="Q488">
        <f t="shared" si="980"/>
        <v>-3.1129274866726656E-7</v>
      </c>
      <c r="R488">
        <f t="shared" si="981"/>
        <v>-565735982.82664251</v>
      </c>
      <c r="S488">
        <f t="shared" si="982"/>
        <v>-5657.3598282664252</v>
      </c>
      <c r="T488">
        <f t="shared" si="983"/>
        <v>-5.6573598282664248</v>
      </c>
    </row>
    <row r="489" spans="1:20" x14ac:dyDescent="0.25">
      <c r="A489" s="5">
        <v>44104</v>
      </c>
      <c r="B489">
        <v>2.0400000000000001E-3</v>
      </c>
      <c r="C489">
        <v>2.0400000000000001E-3</v>
      </c>
      <c r="D489">
        <v>1.9319999999999999E-3</v>
      </c>
      <c r="E489">
        <v>1.9759999999999999E-3</v>
      </c>
      <c r="F489">
        <v>77827645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-0.18518518518518726</v>
      </c>
      <c r="Q489">
        <f t="shared" si="980"/>
        <v>-14412526.851852013</v>
      </c>
      <c r="R489">
        <f t="shared" si="981"/>
        <v>-565735982.82664216</v>
      </c>
      <c r="S489">
        <f t="shared" si="982"/>
        <v>-5657.3598282664216</v>
      </c>
      <c r="T489">
        <f t="shared" si="983"/>
        <v>-5.6573598282664213</v>
      </c>
    </row>
    <row r="490" spans="1:20" x14ac:dyDescent="0.25">
      <c r="A490" s="5">
        <v>44103</v>
      </c>
      <c r="B490">
        <v>1.9889999999999999E-3</v>
      </c>
      <c r="C490">
        <v>2.0430000000000001E-3</v>
      </c>
      <c r="D490">
        <v>1.9629999999999999E-3</v>
      </c>
      <c r="E490">
        <v>2.0430000000000001E-3</v>
      </c>
      <c r="F490">
        <v>73498252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1</v>
      </c>
      <c r="Q490">
        <f t="shared" si="980"/>
        <v>73498252</v>
      </c>
      <c r="R490">
        <f t="shared" si="981"/>
        <v>-551323455.9747901</v>
      </c>
      <c r="S490">
        <f t="shared" si="982"/>
        <v>-5513.2345597479007</v>
      </c>
      <c r="T490">
        <f t="shared" si="983"/>
        <v>-5.5132345597479011</v>
      </c>
    </row>
    <row r="491" spans="1:20" x14ac:dyDescent="0.25">
      <c r="A491" s="5">
        <v>44102</v>
      </c>
      <c r="B491">
        <v>1.9719999999999998E-3</v>
      </c>
      <c r="C491">
        <v>2.0240000000000002E-3</v>
      </c>
      <c r="D491">
        <v>1.9680000000000001E-3</v>
      </c>
      <c r="E491">
        <v>1.9910000000000001E-3</v>
      </c>
      <c r="F491">
        <v>87917553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-0.17857142857142885</v>
      </c>
      <c r="Q491">
        <f t="shared" si="980"/>
        <v>-15699563.03571431</v>
      </c>
      <c r="R491">
        <f t="shared" si="981"/>
        <v>-624821707.9747901</v>
      </c>
      <c r="S491">
        <f t="shared" si="982"/>
        <v>-6248.2170797479012</v>
      </c>
      <c r="T491">
        <f t="shared" si="983"/>
        <v>-6.2482170797479011</v>
      </c>
    </row>
    <row r="492" spans="1:20" x14ac:dyDescent="0.25">
      <c r="A492" s="5">
        <v>44101</v>
      </c>
      <c r="B492">
        <v>1.9789999999999999E-3</v>
      </c>
      <c r="C492">
        <v>2.016E-3</v>
      </c>
      <c r="D492">
        <v>1.934E-3</v>
      </c>
      <c r="E492">
        <v>1.9880000000000002E-3</v>
      </c>
      <c r="F492">
        <v>75897561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0.31707317073171221</v>
      </c>
      <c r="Q492">
        <f t="shared" si="980"/>
        <v>24065080.317073543</v>
      </c>
      <c r="R492">
        <f t="shared" si="981"/>
        <v>-609122144.93907583</v>
      </c>
      <c r="S492">
        <f t="shared" si="982"/>
        <v>-6091.2214493907586</v>
      </c>
      <c r="T492">
        <f t="shared" si="983"/>
        <v>-6.0912214493907584</v>
      </c>
    </row>
    <row r="493" spans="1:20" x14ac:dyDescent="0.25">
      <c r="A493" s="5">
        <v>44100</v>
      </c>
      <c r="B493">
        <v>1.98E-3</v>
      </c>
      <c r="C493">
        <v>2.1380000000000001E-3</v>
      </c>
      <c r="D493">
        <v>1.903E-3</v>
      </c>
      <c r="E493">
        <v>1.9750000000000002E-3</v>
      </c>
      <c r="F493">
        <v>77586769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-0.38723404255318999</v>
      </c>
      <c r="Q493">
        <f t="shared" si="980"/>
        <v>-30044238.208510522</v>
      </c>
      <c r="R493">
        <f t="shared" si="981"/>
        <v>-633187225.25614941</v>
      </c>
      <c r="S493">
        <f t="shared" si="982"/>
        <v>-6331.872252561494</v>
      </c>
      <c r="T493">
        <f t="shared" si="983"/>
        <v>-6.3318722525614941</v>
      </c>
    </row>
    <row r="494" spans="1:20" x14ac:dyDescent="0.25">
      <c r="A494" s="5">
        <v>44099</v>
      </c>
      <c r="B494">
        <v>2.0230000000000001E-3</v>
      </c>
      <c r="C494">
        <v>2.0270000000000002E-3</v>
      </c>
      <c r="D494">
        <v>1.9319999999999999E-3</v>
      </c>
      <c r="E494">
        <v>1.9810000000000001E-3</v>
      </c>
      <c r="F494">
        <v>71806258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3.1578947368422879E-2</v>
      </c>
      <c r="Q494">
        <f t="shared" si="980"/>
        <v>2267566.0421053944</v>
      </c>
      <c r="R494">
        <f t="shared" si="981"/>
        <v>-603142987.04763889</v>
      </c>
      <c r="S494">
        <f t="shared" si="982"/>
        <v>-6031.4298704763887</v>
      </c>
      <c r="T494">
        <f t="shared" si="983"/>
        <v>-6.0314298704763889</v>
      </c>
    </row>
    <row r="495" spans="1:20" x14ac:dyDescent="0.25">
      <c r="A495" s="5">
        <v>44098</v>
      </c>
      <c r="B495">
        <v>1.923E-3</v>
      </c>
      <c r="C495">
        <v>2.1700000000000001E-3</v>
      </c>
      <c r="D495">
        <v>1.8469999999999999E-3</v>
      </c>
      <c r="E495">
        <v>2.0219999999999999E-3</v>
      </c>
      <c r="F495">
        <v>92370466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8.3591331269349492E-2</v>
      </c>
      <c r="Q495">
        <f t="shared" si="980"/>
        <v>7721370.2229101844</v>
      </c>
      <c r="R495">
        <f t="shared" si="981"/>
        <v>-605410553.08974433</v>
      </c>
      <c r="S495">
        <f t="shared" si="982"/>
        <v>-6054.1055308974437</v>
      </c>
      <c r="T495">
        <f t="shared" si="983"/>
        <v>-6.0541055308974441</v>
      </c>
    </row>
    <row r="496" spans="1:20" x14ac:dyDescent="0.25">
      <c r="A496" s="5">
        <v>44097</v>
      </c>
      <c r="B496">
        <v>1.897E-3</v>
      </c>
      <c r="C496">
        <v>1.99E-3</v>
      </c>
      <c r="D496">
        <v>1.864E-3</v>
      </c>
      <c r="E496">
        <v>1.9220000000000001E-3</v>
      </c>
      <c r="F496">
        <v>74943176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-7.9365079365077834E-2</v>
      </c>
      <c r="Q496">
        <f t="shared" si="980"/>
        <v>-5947871.1111109965</v>
      </c>
      <c r="R496">
        <f t="shared" si="981"/>
        <v>-613131923.3126545</v>
      </c>
      <c r="S496">
        <f t="shared" si="982"/>
        <v>-6131.3192331265445</v>
      </c>
      <c r="T496">
        <f t="shared" si="983"/>
        <v>-6.1313192331265443</v>
      </c>
    </row>
    <row r="497" spans="1:20" x14ac:dyDescent="0.25">
      <c r="A497" s="5">
        <v>44096</v>
      </c>
      <c r="B497">
        <v>1.789E-3</v>
      </c>
      <c r="C497">
        <v>1.936E-3</v>
      </c>
      <c r="D497">
        <v>1.787E-3</v>
      </c>
      <c r="E497">
        <v>1.902E-3</v>
      </c>
      <c r="F497">
        <v>72213612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0.54362416107382616</v>
      </c>
      <c r="Q497">
        <f t="shared" si="980"/>
        <v>39257064.241610788</v>
      </c>
      <c r="R497">
        <f t="shared" si="981"/>
        <v>-607184052.20154345</v>
      </c>
      <c r="S497">
        <f t="shared" si="982"/>
        <v>-6071.8405220154345</v>
      </c>
      <c r="T497">
        <f t="shared" si="983"/>
        <v>-6.0718405220154343</v>
      </c>
    </row>
    <row r="498" spans="1:20" x14ac:dyDescent="0.25">
      <c r="A498" s="5">
        <v>44095</v>
      </c>
      <c r="B498">
        <v>2.0270000000000002E-3</v>
      </c>
      <c r="C498">
        <v>2.1020000000000001E-3</v>
      </c>
      <c r="D498">
        <v>1.771E-3</v>
      </c>
      <c r="E498">
        <v>1.789E-3</v>
      </c>
      <c r="F498">
        <v>84975156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-0.89123867069486407</v>
      </c>
      <c r="Q498">
        <f t="shared" si="980"/>
        <v>-75733145.075528696</v>
      </c>
      <c r="R498">
        <f t="shared" si="981"/>
        <v>-646441116.44315422</v>
      </c>
      <c r="S498">
        <f t="shared" si="982"/>
        <v>-6464.4111644315426</v>
      </c>
      <c r="T498">
        <f t="shared" si="983"/>
        <v>-6.4644111644315423</v>
      </c>
    </row>
    <row r="499" spans="1:20" x14ac:dyDescent="0.25">
      <c r="A499" s="5">
        <v>44094</v>
      </c>
      <c r="B499">
        <v>2.081E-3</v>
      </c>
      <c r="C499">
        <v>2.111E-3</v>
      </c>
      <c r="D499">
        <v>1.9859999999999999E-3</v>
      </c>
      <c r="E499">
        <v>2.0279999999999999E-3</v>
      </c>
      <c r="F499">
        <v>29134933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-0.32800000000000162</v>
      </c>
      <c r="Q499">
        <f t="shared" si="980"/>
        <v>-9556258.0240000468</v>
      </c>
      <c r="R499">
        <f t="shared" si="981"/>
        <v>-570707971.36762547</v>
      </c>
      <c r="S499">
        <f t="shared" si="982"/>
        <v>-5707.0797136762549</v>
      </c>
      <c r="T499">
        <f t="shared" si="983"/>
        <v>-5.7070797136762552</v>
      </c>
    </row>
    <row r="500" spans="1:20" x14ac:dyDescent="0.25">
      <c r="A500" s="5">
        <v>44093</v>
      </c>
      <c r="B500">
        <v>2.068E-3</v>
      </c>
      <c r="C500">
        <v>2.1120000000000002E-3</v>
      </c>
      <c r="D500">
        <v>2.0400000000000001E-3</v>
      </c>
      <c r="E500">
        <v>2.0939999999999999E-3</v>
      </c>
      <c r="F500">
        <v>943967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0.49999999999999395</v>
      </c>
      <c r="Q500">
        <f t="shared" si="980"/>
        <v>471983.4999999943</v>
      </c>
      <c r="R500">
        <f t="shared" si="981"/>
        <v>-561151713.34362543</v>
      </c>
      <c r="S500">
        <f t="shared" si="982"/>
        <v>-5611.517133436254</v>
      </c>
      <c r="T500">
        <f t="shared" si="983"/>
        <v>-5.6115171334362541</v>
      </c>
    </row>
    <row r="501" spans="1:20" x14ac:dyDescent="0.25">
      <c r="A501" s="5">
        <v>44092</v>
      </c>
      <c r="B501">
        <v>2.068E-3</v>
      </c>
      <c r="C501">
        <v>2.1519999999999998E-3</v>
      </c>
      <c r="D501">
        <v>2.0170000000000001E-3</v>
      </c>
      <c r="E501">
        <v>2.098E-3</v>
      </c>
      <c r="F501">
        <v>43556516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0.20000000000000129</v>
      </c>
      <c r="Q501">
        <f t="shared" si="980"/>
        <v>8711303.200000057</v>
      </c>
      <c r="R501">
        <f t="shared" si="981"/>
        <v>-561623696.84362543</v>
      </c>
      <c r="S501">
        <f t="shared" si="982"/>
        <v>-5616.2369684362538</v>
      </c>
      <c r="T501">
        <f t="shared" si="983"/>
        <v>-5.6162369684362536</v>
      </c>
    </row>
    <row r="502" spans="1:20" x14ac:dyDescent="0.25">
      <c r="A502" s="5">
        <v>44091</v>
      </c>
      <c r="B502">
        <v>2.0639999999999999E-3</v>
      </c>
      <c r="C502">
        <v>2.1540000000000001E-3</v>
      </c>
      <c r="D502">
        <v>1.9710000000000001E-3</v>
      </c>
      <c r="E502">
        <v>2.068E-3</v>
      </c>
      <c r="F502">
        <v>105271878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6.0109289617484837E-2</v>
      </c>
      <c r="Q502">
        <f t="shared" si="980"/>
        <v>6327817.80327853</v>
      </c>
      <c r="R502">
        <f t="shared" si="981"/>
        <v>-570335000.04362547</v>
      </c>
      <c r="S502">
        <f t="shared" si="982"/>
        <v>-5703.350000436255</v>
      </c>
      <c r="T502">
        <f t="shared" si="983"/>
        <v>-5.703350000436255</v>
      </c>
    </row>
    <row r="503" spans="1:20" x14ac:dyDescent="0.25">
      <c r="A503" s="5">
        <v>44090</v>
      </c>
      <c r="B503">
        <v>2.085E-3</v>
      </c>
      <c r="C503">
        <v>2.1020000000000001E-3</v>
      </c>
      <c r="D503">
        <v>1.805E-3</v>
      </c>
      <c r="E503">
        <v>2.0639999999999999E-3</v>
      </c>
      <c r="F503">
        <v>86818548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0.74410774410774239</v>
      </c>
      <c r="Q503">
        <f t="shared" si="980"/>
        <v>64602353.898989752</v>
      </c>
      <c r="R503">
        <f t="shared" si="981"/>
        <v>-576662817.84690404</v>
      </c>
      <c r="S503">
        <f t="shared" si="982"/>
        <v>-5766.62817846904</v>
      </c>
      <c r="T503">
        <f t="shared" si="983"/>
        <v>-5.7666281784690403</v>
      </c>
    </row>
    <row r="504" spans="1:20" x14ac:dyDescent="0.25">
      <c r="A504" s="5">
        <v>44089</v>
      </c>
      <c r="B504">
        <v>2.1619999999999999E-3</v>
      </c>
      <c r="C504">
        <v>2.2190000000000001E-3</v>
      </c>
      <c r="D504">
        <v>2.078E-3</v>
      </c>
      <c r="E504">
        <v>2.085E-3</v>
      </c>
      <c r="F504">
        <v>73447669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-0.90070921985815522</v>
      </c>
      <c r="Q504">
        <f t="shared" si="980"/>
        <v>-66154992.645390011</v>
      </c>
      <c r="R504">
        <f t="shared" si="981"/>
        <v>-641265171.74589384</v>
      </c>
      <c r="S504">
        <f t="shared" si="982"/>
        <v>-6412.651717458938</v>
      </c>
      <c r="T504">
        <f t="shared" si="983"/>
        <v>-6.4126517174589379</v>
      </c>
    </row>
    <row r="505" spans="1:20" x14ac:dyDescent="0.25">
      <c r="A505" s="5">
        <v>44088</v>
      </c>
      <c r="B505">
        <v>2.1519999999999998E-3</v>
      </c>
      <c r="C505">
        <v>2.2260000000000001E-3</v>
      </c>
      <c r="D505">
        <v>2.0639999999999999E-3</v>
      </c>
      <c r="E505">
        <v>2.163E-3</v>
      </c>
      <c r="F505">
        <v>73378859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0.22222222222222193</v>
      </c>
      <c r="Q505">
        <f t="shared" si="980"/>
        <v>16306413.11111109</v>
      </c>
      <c r="R505">
        <f t="shared" si="981"/>
        <v>-575110179.1005038</v>
      </c>
      <c r="S505">
        <f t="shared" si="982"/>
        <v>-5751.1017910050377</v>
      </c>
      <c r="T505">
        <f t="shared" si="983"/>
        <v>-5.7511017910050377</v>
      </c>
    </row>
    <row r="506" spans="1:20" x14ac:dyDescent="0.25">
      <c r="A506" s="5">
        <v>44087</v>
      </c>
      <c r="B506">
        <v>2.1389999999999998E-3</v>
      </c>
      <c r="C506">
        <v>2.2880000000000001E-3</v>
      </c>
      <c r="D506">
        <v>2.088E-3</v>
      </c>
      <c r="E506">
        <v>2.147E-3</v>
      </c>
      <c r="F506">
        <v>83235266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-0.41000000000000003</v>
      </c>
      <c r="Q506">
        <f t="shared" si="980"/>
        <v>-34126459.060000002</v>
      </c>
      <c r="R506">
        <f t="shared" si="981"/>
        <v>-591416592.21161485</v>
      </c>
      <c r="S506">
        <f t="shared" si="982"/>
        <v>-5914.1659221161481</v>
      </c>
      <c r="T506">
        <f t="shared" si="983"/>
        <v>-5.9141659221161484</v>
      </c>
    </row>
    <row r="507" spans="1:20" x14ac:dyDescent="0.25">
      <c r="A507" s="5">
        <v>44086</v>
      </c>
      <c r="B507">
        <v>2.0960000000000002E-3</v>
      </c>
      <c r="C507">
        <v>2.1979999999999999E-3</v>
      </c>
      <c r="D507">
        <v>2.0040000000000001E-3</v>
      </c>
      <c r="E507">
        <v>2.137E-3</v>
      </c>
      <c r="F507">
        <v>62896347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0.37113402061855733</v>
      </c>
      <c r="Q507">
        <f t="shared" si="980"/>
        <v>23342974.144329935</v>
      </c>
      <c r="R507">
        <f t="shared" si="981"/>
        <v>-557290133.1516149</v>
      </c>
      <c r="S507">
        <f t="shared" si="982"/>
        <v>-5572.9013315161492</v>
      </c>
      <c r="T507">
        <f t="shared" si="983"/>
        <v>-5.5729013315161495</v>
      </c>
    </row>
    <row r="508" spans="1:20" x14ac:dyDescent="0.25">
      <c r="A508" s="5">
        <v>44085</v>
      </c>
      <c r="B508">
        <v>2.0660000000000001E-3</v>
      </c>
      <c r="C508">
        <v>2.137E-3</v>
      </c>
      <c r="D508">
        <v>1.9750000000000002E-3</v>
      </c>
      <c r="E508">
        <v>2.0899999999999998E-3</v>
      </c>
      <c r="F508">
        <v>73160590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0.4197530864197504</v>
      </c>
      <c r="Q508">
        <f t="shared" si="980"/>
        <v>30709383.456789926</v>
      </c>
      <c r="R508">
        <f t="shared" si="981"/>
        <v>-580633107.29594481</v>
      </c>
      <c r="S508">
        <f t="shared" si="982"/>
        <v>-5806.3310729594477</v>
      </c>
      <c r="T508">
        <f t="shared" si="983"/>
        <v>-5.8063310729594475</v>
      </c>
    </row>
    <row r="509" spans="1:20" x14ac:dyDescent="0.25">
      <c r="A509" s="5">
        <v>44084</v>
      </c>
      <c r="B509">
        <v>1.9759999999999999E-3</v>
      </c>
      <c r="C509">
        <v>2.0730000000000002E-3</v>
      </c>
      <c r="D509">
        <v>1.9120000000000001E-3</v>
      </c>
      <c r="E509">
        <v>2.0730000000000002E-3</v>
      </c>
      <c r="F509">
        <v>66764982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1</v>
      </c>
      <c r="Q509">
        <f t="shared" si="980"/>
        <v>66764982</v>
      </c>
      <c r="R509">
        <f t="shared" si="981"/>
        <v>-611342490.75273478</v>
      </c>
      <c r="S509">
        <f t="shared" si="982"/>
        <v>-6113.4249075273474</v>
      </c>
      <c r="T509">
        <f t="shared" si="983"/>
        <v>-6.1134249075273477</v>
      </c>
    </row>
    <row r="510" spans="1:20" x14ac:dyDescent="0.25">
      <c r="A510" s="5">
        <v>44083</v>
      </c>
      <c r="B510">
        <v>1.9380000000000001E-3</v>
      </c>
      <c r="C510">
        <v>2.0449999999999999E-3</v>
      </c>
      <c r="D510">
        <v>1.882E-3</v>
      </c>
      <c r="E510">
        <v>1.9759999999999999E-3</v>
      </c>
      <c r="F510">
        <v>72020054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0.15337423312883347</v>
      </c>
      <c r="Q510">
        <f t="shared" si="980"/>
        <v>11046020.552147176</v>
      </c>
      <c r="R510">
        <f t="shared" si="981"/>
        <v>-678107472.75273478</v>
      </c>
      <c r="S510">
        <f t="shared" si="982"/>
        <v>-6781.0747275273479</v>
      </c>
      <c r="T510">
        <f t="shared" si="983"/>
        <v>-6.781074727527348</v>
      </c>
    </row>
    <row r="511" spans="1:20" x14ac:dyDescent="0.25">
      <c r="A511" s="5">
        <v>44082</v>
      </c>
      <c r="B511">
        <v>1.8389999999999999E-3</v>
      </c>
      <c r="C511">
        <v>2.0470000000000002E-3</v>
      </c>
      <c r="D511">
        <v>1.799E-3</v>
      </c>
      <c r="E511">
        <v>1.936E-3</v>
      </c>
      <c r="F511">
        <v>77555801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0.10483870967741833</v>
      </c>
      <c r="Q511">
        <f t="shared" si="980"/>
        <v>8130850.1048386302</v>
      </c>
      <c r="R511">
        <f t="shared" si="981"/>
        <v>-689153493.30488193</v>
      </c>
      <c r="S511">
        <f t="shared" si="982"/>
        <v>-6891.5349330488189</v>
      </c>
      <c r="T511">
        <f t="shared" si="983"/>
        <v>-6.8915349330488187</v>
      </c>
    </row>
    <row r="512" spans="1:20" x14ac:dyDescent="0.25">
      <c r="A512" s="5">
        <v>44081</v>
      </c>
      <c r="B512">
        <v>1.8990000000000001E-3</v>
      </c>
      <c r="C512">
        <v>1.9009999999999999E-3</v>
      </c>
      <c r="D512">
        <v>1.6969999999999999E-3</v>
      </c>
      <c r="E512">
        <v>1.8400000000000001E-3</v>
      </c>
      <c r="F512">
        <v>80144099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0.40196078431372684</v>
      </c>
      <c r="Q512">
        <f t="shared" si="980"/>
        <v>32214784.89215697</v>
      </c>
      <c r="R512">
        <f t="shared" si="981"/>
        <v>-697284343.40972054</v>
      </c>
      <c r="S512">
        <f t="shared" si="982"/>
        <v>-6972.8434340972053</v>
      </c>
      <c r="T512">
        <f t="shared" si="983"/>
        <v>-6.9728434340972054</v>
      </c>
    </row>
    <row r="513" spans="1:20" x14ac:dyDescent="0.25">
      <c r="A513" s="5">
        <v>44080</v>
      </c>
      <c r="B513">
        <v>1.8159999999999999E-3</v>
      </c>
      <c r="C513">
        <v>1.9369999999999999E-3</v>
      </c>
      <c r="D513">
        <v>1.7589999999999999E-3</v>
      </c>
      <c r="E513">
        <v>1.8979999999999999E-3</v>
      </c>
      <c r="F513">
        <v>69743990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0.56179775280898903</v>
      </c>
      <c r="Q513">
        <f t="shared" si="980"/>
        <v>39182016.853932604</v>
      </c>
      <c r="R513">
        <f t="shared" si="981"/>
        <v>-729499128.3018775</v>
      </c>
      <c r="S513">
        <f t="shared" si="982"/>
        <v>-7294.991283018775</v>
      </c>
      <c r="T513">
        <f t="shared" si="983"/>
        <v>-7.2949912830187751</v>
      </c>
    </row>
    <row r="514" spans="1:20" x14ac:dyDescent="0.25">
      <c r="A514" s="5">
        <v>44079</v>
      </c>
      <c r="B514">
        <v>2.0569999999999998E-3</v>
      </c>
      <c r="C514">
        <v>2.1150000000000001E-3</v>
      </c>
      <c r="D514">
        <v>1.781E-3</v>
      </c>
      <c r="E514">
        <v>1.8159999999999999E-3</v>
      </c>
      <c r="F514">
        <v>72111972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-0.7904191616766475</v>
      </c>
      <c r="Q514">
        <f t="shared" si="980"/>
        <v>-56998684.455089875</v>
      </c>
      <c r="R514">
        <f t="shared" si="981"/>
        <v>-768681145.15581012</v>
      </c>
      <c r="S514">
        <f t="shared" si="982"/>
        <v>-7686.811451558101</v>
      </c>
      <c r="T514">
        <f t="shared" si="983"/>
        <v>-7.6868114515581007</v>
      </c>
    </row>
    <row r="515" spans="1:20" x14ac:dyDescent="0.25">
      <c r="A515" s="5">
        <v>44078</v>
      </c>
      <c r="B515">
        <v>2.2070000000000002E-3</v>
      </c>
      <c r="C515">
        <v>2.4220000000000001E-3</v>
      </c>
      <c r="D515">
        <v>1.81E-3</v>
      </c>
      <c r="E515">
        <v>2.0579999999999999E-3</v>
      </c>
      <c r="F515">
        <v>81000793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-0.18954248366013104</v>
      </c>
      <c r="Q515">
        <f t="shared" si="980"/>
        <v>-15353091.483660158</v>
      </c>
      <c r="R515">
        <f t="shared" si="981"/>
        <v>-711682460.70072019</v>
      </c>
      <c r="S515">
        <f t="shared" si="982"/>
        <v>-7116.8246070072018</v>
      </c>
      <c r="T515">
        <f t="shared" si="983"/>
        <v>-7.1168246070072021</v>
      </c>
    </row>
    <row r="516" spans="1:20" x14ac:dyDescent="0.25">
      <c r="A516" s="5">
        <v>44077</v>
      </c>
      <c r="B516">
        <v>2.1480000000000002E-3</v>
      </c>
      <c r="C516">
        <v>2.2889999999999998E-3</v>
      </c>
      <c r="D516">
        <v>2.0820000000000001E-3</v>
      </c>
      <c r="E516">
        <v>2.2070000000000002E-3</v>
      </c>
      <c r="F516">
        <v>79218446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0.20772946859903652</v>
      </c>
      <c r="Q516">
        <f t="shared" si="980"/>
        <v>16456005.690821471</v>
      </c>
      <c r="R516">
        <f t="shared" si="981"/>
        <v>-696329369.21706009</v>
      </c>
      <c r="S516">
        <f t="shared" si="982"/>
        <v>-6963.2936921706005</v>
      </c>
      <c r="T516">
        <f t="shared" si="983"/>
        <v>-6.9632936921706001</v>
      </c>
    </row>
    <row r="517" spans="1:20" x14ac:dyDescent="0.25">
      <c r="A517" s="5">
        <v>44076</v>
      </c>
      <c r="B517">
        <v>2.2260000000000001E-3</v>
      </c>
      <c r="C517">
        <v>2.359E-3</v>
      </c>
      <c r="D517">
        <v>2.068E-3</v>
      </c>
      <c r="E517">
        <v>2.147E-3</v>
      </c>
      <c r="F517">
        <v>87572455</v>
      </c>
      <c r="G517">
        <v>0</v>
      </c>
      <c r="L517" t="s">
        <v>7</v>
      </c>
      <c r="M517" t="s">
        <v>8</v>
      </c>
      <c r="N517" t="s">
        <v>8</v>
      </c>
      <c r="P517">
        <f t="shared" si="979"/>
        <v>-0.45704467353951844</v>
      </c>
      <c r="Q517">
        <f t="shared" si="980"/>
        <v>-40024524.106529169</v>
      </c>
      <c r="R517">
        <f t="shared" si="981"/>
        <v>-712785374.90788162</v>
      </c>
      <c r="S517">
        <f t="shared" si="982"/>
        <v>-7127.8537490788158</v>
      </c>
      <c r="T517">
        <f t="shared" si="983"/>
        <v>-7.1278537490788159</v>
      </c>
    </row>
    <row r="518" spans="1:20" x14ac:dyDescent="0.25">
      <c r="A518" s="5">
        <v>44075</v>
      </c>
      <c r="B518">
        <v>2.1819999999999999E-3</v>
      </c>
      <c r="C518">
        <v>2.3500000000000001E-3</v>
      </c>
      <c r="D518">
        <v>2.1250000000000002E-3</v>
      </c>
      <c r="E518">
        <v>2.2260000000000001E-3</v>
      </c>
      <c r="F518">
        <v>74669751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-0.10222222222222233</v>
      </c>
      <c r="Q518">
        <f t="shared" ref="Q518:Q581" si="985">F518*P518</f>
        <v>-7632907.8800000073</v>
      </c>
      <c r="R518">
        <f t="shared" ref="R518:R581" si="986">R519+Q518</f>
        <v>-672760850.8013525</v>
      </c>
      <c r="S518">
        <f t="shared" ref="S518:S581" si="987">R518/100000</f>
        <v>-6727.6085080135254</v>
      </c>
      <c r="T518">
        <f t="shared" ref="T518:T581" si="988">S518/1000</f>
        <v>-6.7276085080135255</v>
      </c>
    </row>
    <row r="519" spans="1:20" x14ac:dyDescent="0.25">
      <c r="A519" s="5">
        <v>44074</v>
      </c>
      <c r="B519">
        <v>2.2139999999999998E-3</v>
      </c>
      <c r="C519">
        <v>2.225E-3</v>
      </c>
      <c r="D519">
        <v>2.1480000000000002E-3</v>
      </c>
      <c r="E519">
        <v>2.1810000000000002E-3</v>
      </c>
      <c r="F519">
        <v>69675355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-0.14285714285713963</v>
      </c>
      <c r="Q519">
        <f t="shared" si="985"/>
        <v>-9953622.1428569183</v>
      </c>
      <c r="R519">
        <f t="shared" si="986"/>
        <v>-665127942.92135251</v>
      </c>
      <c r="S519">
        <f t="shared" si="987"/>
        <v>-6651.279429213525</v>
      </c>
      <c r="T519">
        <f t="shared" si="988"/>
        <v>-6.6512794292135249</v>
      </c>
    </row>
    <row r="520" spans="1:20" x14ac:dyDescent="0.25">
      <c r="A520" s="5">
        <v>44073</v>
      </c>
      <c r="B520">
        <v>2.1970000000000002E-3</v>
      </c>
      <c r="C520">
        <v>2.2590000000000002E-3</v>
      </c>
      <c r="D520">
        <v>2.1559999999999999E-3</v>
      </c>
      <c r="E520">
        <v>2.215E-3</v>
      </c>
      <c r="F520">
        <v>67390261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0.14563106796116301</v>
      </c>
      <c r="Q520">
        <f t="shared" si="985"/>
        <v>9814115.6796115134</v>
      </c>
      <c r="R520">
        <f t="shared" si="986"/>
        <v>-655174320.77849555</v>
      </c>
      <c r="S520">
        <f t="shared" si="987"/>
        <v>-6551.7432077849553</v>
      </c>
      <c r="T520">
        <f t="shared" si="988"/>
        <v>-6.5517432077849556</v>
      </c>
    </row>
    <row r="521" spans="1:20" x14ac:dyDescent="0.25">
      <c r="A521" s="5">
        <v>44072</v>
      </c>
      <c r="B521">
        <v>2.1540000000000001E-3</v>
      </c>
      <c r="C521">
        <v>2.2409999999999999E-3</v>
      </c>
      <c r="D521">
        <v>2.1359999999999999E-3</v>
      </c>
      <c r="E521">
        <v>2.196E-3</v>
      </c>
      <c r="F521">
        <v>75588893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0.14285714285714521</v>
      </c>
      <c r="Q521">
        <f t="shared" si="985"/>
        <v>10798413.285714464</v>
      </c>
      <c r="R521">
        <f t="shared" si="986"/>
        <v>-664988436.45810711</v>
      </c>
      <c r="S521">
        <f t="shared" si="987"/>
        <v>-6649.8843645810712</v>
      </c>
      <c r="T521">
        <f t="shared" si="988"/>
        <v>-6.6498843645810712</v>
      </c>
    </row>
    <row r="522" spans="1:20" x14ac:dyDescent="0.25">
      <c r="A522" s="5">
        <v>44071</v>
      </c>
      <c r="B522">
        <v>2.117E-3</v>
      </c>
      <c r="C522">
        <v>2.2060000000000001E-3</v>
      </c>
      <c r="D522">
        <v>2.0690000000000001E-3</v>
      </c>
      <c r="E522">
        <v>2.1440000000000001E-3</v>
      </c>
      <c r="F522">
        <v>75067614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9.4890510948905063E-2</v>
      </c>
      <c r="Q522">
        <f t="shared" si="985"/>
        <v>7123204.2481751787</v>
      </c>
      <c r="R522">
        <f t="shared" si="986"/>
        <v>-675786849.74382162</v>
      </c>
      <c r="S522">
        <f t="shared" si="987"/>
        <v>-6757.8684974382159</v>
      </c>
      <c r="T522">
        <f t="shared" si="988"/>
        <v>-6.7578684974382162</v>
      </c>
    </row>
    <row r="523" spans="1:20" x14ac:dyDescent="0.25">
      <c r="A523" s="5">
        <v>44070</v>
      </c>
      <c r="B523">
        <v>2.2070000000000002E-3</v>
      </c>
      <c r="C523">
        <v>2.3370000000000001E-3</v>
      </c>
      <c r="D523">
        <v>2.052E-3</v>
      </c>
      <c r="E523">
        <v>2.1180000000000001E-3</v>
      </c>
      <c r="F523">
        <v>78015542</v>
      </c>
      <c r="G523">
        <v>0</v>
      </c>
      <c r="L523" t="s">
        <v>8</v>
      </c>
      <c r="M523" t="s">
        <v>7</v>
      </c>
      <c r="N523" t="s">
        <v>8</v>
      </c>
      <c r="P523">
        <f t="shared" si="984"/>
        <v>-0.53684210526315745</v>
      </c>
      <c r="Q523">
        <f t="shared" si="985"/>
        <v>-41882027.810526282</v>
      </c>
      <c r="R523">
        <f t="shared" si="986"/>
        <v>-682910053.99199677</v>
      </c>
      <c r="S523">
        <f t="shared" si="987"/>
        <v>-6829.1005399199676</v>
      </c>
      <c r="T523">
        <f t="shared" si="988"/>
        <v>-6.8291005399199678</v>
      </c>
    </row>
    <row r="524" spans="1:20" x14ac:dyDescent="0.25">
      <c r="A524" s="5">
        <v>44069</v>
      </c>
      <c r="B524">
        <v>2.1419999999999998E-3</v>
      </c>
      <c r="C524">
        <v>2.2109999999999999E-3</v>
      </c>
      <c r="D524">
        <v>2.0500000000000002E-3</v>
      </c>
      <c r="E524">
        <v>2.209E-3</v>
      </c>
      <c r="F524">
        <v>71641309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0.97515527950310765</v>
      </c>
      <c r="Q524">
        <f t="shared" si="985"/>
        <v>69861400.701863497</v>
      </c>
      <c r="R524">
        <f t="shared" si="986"/>
        <v>-641028026.18147051</v>
      </c>
      <c r="S524">
        <f t="shared" si="987"/>
        <v>-6410.2802618147052</v>
      </c>
      <c r="T524">
        <f t="shared" si="988"/>
        <v>-6.4102802618147052</v>
      </c>
    </row>
    <row r="525" spans="1:20" x14ac:dyDescent="0.25">
      <c r="A525" s="5">
        <v>44068</v>
      </c>
      <c r="B525">
        <v>2.3270000000000001E-3</v>
      </c>
      <c r="C525">
        <v>2.3270000000000001E-3</v>
      </c>
      <c r="D525">
        <v>2.0349999999999999E-3</v>
      </c>
      <c r="E525">
        <v>2.1419999999999998E-3</v>
      </c>
      <c r="F525">
        <v>83264759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-0.267123287671234</v>
      </c>
      <c r="Q525">
        <f t="shared" si="985"/>
        <v>-22241956.171232969</v>
      </c>
      <c r="R525">
        <f t="shared" si="986"/>
        <v>-710889426.88333404</v>
      </c>
      <c r="S525">
        <f t="shared" si="987"/>
        <v>-7108.89426883334</v>
      </c>
      <c r="T525">
        <f t="shared" si="988"/>
        <v>-7.1088942688333399</v>
      </c>
    </row>
    <row r="526" spans="1:20" x14ac:dyDescent="0.25">
      <c r="A526" s="5">
        <v>44067</v>
      </c>
      <c r="B526">
        <v>2.1909999999999998E-3</v>
      </c>
      <c r="C526">
        <v>2.3349999999999998E-3</v>
      </c>
      <c r="D526">
        <v>2.1710000000000002E-3</v>
      </c>
      <c r="E526">
        <v>2.3259999999999999E-3</v>
      </c>
      <c r="F526">
        <v>78440945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0.8902439024390254</v>
      </c>
      <c r="Q526">
        <f t="shared" si="985"/>
        <v>69831572.987804964</v>
      </c>
      <c r="R526">
        <f t="shared" si="986"/>
        <v>-688647470.7121011</v>
      </c>
      <c r="S526">
        <f t="shared" si="987"/>
        <v>-6886.4747071210113</v>
      </c>
      <c r="T526">
        <f t="shared" si="988"/>
        <v>-6.8864747071210113</v>
      </c>
    </row>
    <row r="527" spans="1:20" x14ac:dyDescent="0.25">
      <c r="A527" s="5">
        <v>44066</v>
      </c>
      <c r="B527">
        <v>2.2179999999999999E-3</v>
      </c>
      <c r="C527">
        <v>2.2829999999999999E-3</v>
      </c>
      <c r="D527">
        <v>2.1289999999999998E-3</v>
      </c>
      <c r="E527">
        <v>2.186E-3</v>
      </c>
      <c r="F527">
        <v>76914499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-0.2597402597402575</v>
      </c>
      <c r="Q527">
        <f t="shared" si="985"/>
        <v>-19977791.948051777</v>
      </c>
      <c r="R527">
        <f t="shared" si="986"/>
        <v>-758479043.69990611</v>
      </c>
      <c r="S527">
        <f t="shared" si="987"/>
        <v>-7584.7904369990611</v>
      </c>
      <c r="T527">
        <f t="shared" si="988"/>
        <v>-7.5847904369990609</v>
      </c>
    </row>
    <row r="528" spans="1:20" x14ac:dyDescent="0.25">
      <c r="A528" s="5">
        <v>44065</v>
      </c>
      <c r="B528">
        <v>2.0899999999999998E-3</v>
      </c>
      <c r="C528">
        <v>2.2260000000000001E-3</v>
      </c>
      <c r="D528">
        <v>2.052E-3</v>
      </c>
      <c r="E528">
        <v>2.2169999999999998E-3</v>
      </c>
      <c r="F528">
        <v>73905061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0.89655172413792739</v>
      </c>
      <c r="Q528">
        <f t="shared" si="985"/>
        <v>66259709.862068698</v>
      </c>
      <c r="R528">
        <f t="shared" si="986"/>
        <v>-738501251.7518543</v>
      </c>
      <c r="S528">
        <f t="shared" si="987"/>
        <v>-7385.0125175185431</v>
      </c>
      <c r="T528">
        <f t="shared" si="988"/>
        <v>-7.3850125175185433</v>
      </c>
    </row>
    <row r="529" spans="1:20" x14ac:dyDescent="0.25">
      <c r="A529" s="5">
        <v>44064</v>
      </c>
      <c r="B529">
        <v>2.1909999999999998E-3</v>
      </c>
      <c r="C529">
        <v>2.2339999999999999E-3</v>
      </c>
      <c r="D529">
        <v>2.081E-3</v>
      </c>
      <c r="E529">
        <v>2.088E-3</v>
      </c>
      <c r="F529">
        <v>68671653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-0.90849673202614289</v>
      </c>
      <c r="Q529">
        <f t="shared" si="985"/>
        <v>-62387972.333333269</v>
      </c>
      <c r="R529">
        <f t="shared" si="986"/>
        <v>-804760961.61392295</v>
      </c>
      <c r="S529">
        <f t="shared" si="987"/>
        <v>-8047.6096161392297</v>
      </c>
      <c r="T529">
        <f t="shared" si="988"/>
        <v>-8.0476096161392299</v>
      </c>
    </row>
    <row r="530" spans="1:20" x14ac:dyDescent="0.25">
      <c r="A530" s="5">
        <v>44063</v>
      </c>
      <c r="B530">
        <v>2.1280000000000001E-3</v>
      </c>
      <c r="C530">
        <v>2.2430000000000002E-3</v>
      </c>
      <c r="D530">
        <v>2.0999999999999999E-3</v>
      </c>
      <c r="E530">
        <v>2.1919999999999999E-3</v>
      </c>
      <c r="F530">
        <v>82260355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0.28671328671328467</v>
      </c>
      <c r="Q530">
        <f t="shared" si="985"/>
        <v>23585136.74825158</v>
      </c>
      <c r="R530">
        <f t="shared" si="986"/>
        <v>-742372989.2805897</v>
      </c>
      <c r="S530">
        <f t="shared" si="987"/>
        <v>-7423.7298928058972</v>
      </c>
      <c r="T530">
        <f t="shared" si="988"/>
        <v>-7.4237298928058975</v>
      </c>
    </row>
    <row r="531" spans="1:20" x14ac:dyDescent="0.25">
      <c r="A531" s="5">
        <v>44062</v>
      </c>
      <c r="B531">
        <v>2.2439999999999999E-3</v>
      </c>
      <c r="C531">
        <v>2.2650000000000001E-3</v>
      </c>
      <c r="D531">
        <v>2.052E-3</v>
      </c>
      <c r="E531">
        <v>2.1280000000000001E-3</v>
      </c>
      <c r="F531">
        <v>72174719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-0.28638497652582079</v>
      </c>
      <c r="Q531">
        <f t="shared" si="985"/>
        <v>-20669755.206572711</v>
      </c>
      <c r="R531">
        <f t="shared" si="986"/>
        <v>-765958126.02884126</v>
      </c>
      <c r="S531">
        <f t="shared" si="987"/>
        <v>-7659.5812602884125</v>
      </c>
      <c r="T531">
        <f t="shared" si="988"/>
        <v>-7.6595812602884124</v>
      </c>
    </row>
    <row r="532" spans="1:20" x14ac:dyDescent="0.25">
      <c r="A532" s="5">
        <v>44061</v>
      </c>
      <c r="B532">
        <v>2.3059999999999999E-3</v>
      </c>
      <c r="C532">
        <v>2.336E-3</v>
      </c>
      <c r="D532">
        <v>2.1559999999999999E-3</v>
      </c>
      <c r="E532">
        <v>2.2439999999999999E-3</v>
      </c>
      <c r="F532">
        <v>60533933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-2.2222222222222757E-2</v>
      </c>
      <c r="Q532">
        <f t="shared" si="985"/>
        <v>-1345198.5111111435</v>
      </c>
      <c r="R532">
        <f t="shared" si="986"/>
        <v>-745288370.82226861</v>
      </c>
      <c r="S532">
        <f t="shared" si="987"/>
        <v>-7452.8837082226864</v>
      </c>
      <c r="T532">
        <f t="shared" si="988"/>
        <v>-7.4528837082226866</v>
      </c>
    </row>
    <row r="533" spans="1:20" x14ac:dyDescent="0.25">
      <c r="A533" s="5">
        <v>44060</v>
      </c>
      <c r="B533">
        <v>2.3280000000000002E-3</v>
      </c>
      <c r="C533">
        <v>2.3600000000000001E-3</v>
      </c>
      <c r="D533">
        <v>2.2569999999999999E-3</v>
      </c>
      <c r="E533">
        <v>2.3059999999999999E-3</v>
      </c>
      <c r="F533">
        <v>62283116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-4.8543689320390472E-2</v>
      </c>
      <c r="Q533">
        <f t="shared" si="985"/>
        <v>-3023452.2330098408</v>
      </c>
      <c r="R533">
        <f t="shared" si="986"/>
        <v>-743943172.31115746</v>
      </c>
      <c r="S533">
        <f t="shared" si="987"/>
        <v>-7439.4317231115747</v>
      </c>
      <c r="T533">
        <f t="shared" si="988"/>
        <v>-7.439431723111575</v>
      </c>
    </row>
    <row r="534" spans="1:20" x14ac:dyDescent="0.25">
      <c r="A534" s="5">
        <v>44059</v>
      </c>
      <c r="B534">
        <v>2.3E-3</v>
      </c>
      <c r="C534">
        <v>2.3509999999999998E-3</v>
      </c>
      <c r="D534">
        <v>2.1559999999999999E-3</v>
      </c>
      <c r="E534">
        <v>2.3280000000000002E-3</v>
      </c>
      <c r="F534">
        <v>122557171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0.76410256410256816</v>
      </c>
      <c r="Q534">
        <f t="shared" si="985"/>
        <v>93646248.61025691</v>
      </c>
      <c r="R534">
        <f t="shared" si="986"/>
        <v>-740919720.07814765</v>
      </c>
      <c r="S534">
        <f t="shared" si="987"/>
        <v>-7409.1972007814766</v>
      </c>
      <c r="T534">
        <f t="shared" si="988"/>
        <v>-7.4091972007814766</v>
      </c>
    </row>
    <row r="535" spans="1:20" x14ac:dyDescent="0.25">
      <c r="A535" s="5">
        <v>44058</v>
      </c>
      <c r="B535">
        <v>2.3280000000000002E-3</v>
      </c>
      <c r="C535">
        <v>2.4420000000000002E-3</v>
      </c>
      <c r="D535">
        <v>2.2490000000000001E-3</v>
      </c>
      <c r="E535">
        <v>2.3E-3</v>
      </c>
      <c r="F535">
        <v>74563869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-0.47150259067357697</v>
      </c>
      <c r="Q535">
        <f t="shared" si="985"/>
        <v>-35157057.404145218</v>
      </c>
      <c r="R535">
        <f t="shared" si="986"/>
        <v>-834565968.68840456</v>
      </c>
      <c r="S535">
        <f t="shared" si="987"/>
        <v>-8345.6596868840461</v>
      </c>
      <c r="T535">
        <f t="shared" si="988"/>
        <v>-8.345659686884046</v>
      </c>
    </row>
    <row r="536" spans="1:20" x14ac:dyDescent="0.25">
      <c r="A536" s="5">
        <v>44057</v>
      </c>
      <c r="B536">
        <v>2.3119999999999998E-3</v>
      </c>
      <c r="C536">
        <v>2.3749999999999999E-3</v>
      </c>
      <c r="D536">
        <v>2.2190000000000001E-3</v>
      </c>
      <c r="E536">
        <v>2.3270000000000001E-3</v>
      </c>
      <c r="F536">
        <v>69607637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0.38461538461538591</v>
      </c>
      <c r="Q536">
        <f t="shared" si="985"/>
        <v>26772168.076923165</v>
      </c>
      <c r="R536">
        <f t="shared" si="986"/>
        <v>-799408911.28425932</v>
      </c>
      <c r="S536">
        <f t="shared" si="987"/>
        <v>-7994.0891128425928</v>
      </c>
      <c r="T536">
        <f t="shared" si="988"/>
        <v>-7.9940891128425928</v>
      </c>
    </row>
    <row r="537" spans="1:20" x14ac:dyDescent="0.25">
      <c r="A537" s="5">
        <v>44056</v>
      </c>
      <c r="B537">
        <v>2.2699999999999999E-3</v>
      </c>
      <c r="C537">
        <v>2.3730000000000001E-3</v>
      </c>
      <c r="D537">
        <v>2.1710000000000002E-3</v>
      </c>
      <c r="E537">
        <v>2.313E-3</v>
      </c>
      <c r="F537">
        <v>67213156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0.40594059405940414</v>
      </c>
      <c r="Q537">
        <f t="shared" si="985"/>
        <v>27284548.475247402</v>
      </c>
      <c r="R537">
        <f t="shared" si="986"/>
        <v>-826181079.36118245</v>
      </c>
      <c r="S537">
        <f t="shared" si="987"/>
        <v>-8261.8107936118249</v>
      </c>
      <c r="T537">
        <f t="shared" si="988"/>
        <v>-8.2618107936118257</v>
      </c>
    </row>
    <row r="538" spans="1:20" x14ac:dyDescent="0.25">
      <c r="A538" s="5">
        <v>44055</v>
      </c>
      <c r="B538">
        <v>2.2230000000000001E-3</v>
      </c>
      <c r="C538">
        <v>2.3500000000000001E-3</v>
      </c>
      <c r="D538">
        <v>2.0730000000000002E-3</v>
      </c>
      <c r="E538">
        <v>2.2790000000000002E-3</v>
      </c>
      <c r="F538">
        <v>86836506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0.48736462093862881</v>
      </c>
      <c r="Q538">
        <f t="shared" si="985"/>
        <v>42321040.830324963</v>
      </c>
      <c r="R538">
        <f t="shared" si="986"/>
        <v>-853465627.83642983</v>
      </c>
      <c r="S538">
        <f t="shared" si="987"/>
        <v>-8534.6562783642985</v>
      </c>
      <c r="T538">
        <f t="shared" si="988"/>
        <v>-8.5346562783642987</v>
      </c>
    </row>
    <row r="539" spans="1:20" x14ac:dyDescent="0.25">
      <c r="A539" s="5">
        <v>44054</v>
      </c>
      <c r="B539">
        <v>2.3999999999999998E-3</v>
      </c>
      <c r="C539">
        <v>2.539E-3</v>
      </c>
      <c r="D539">
        <v>2.1540000000000001E-3</v>
      </c>
      <c r="E539">
        <v>2.2239999999999998E-3</v>
      </c>
      <c r="F539">
        <v>93397364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-0.63636363636363757</v>
      </c>
      <c r="Q539">
        <f t="shared" si="985"/>
        <v>-59434686.181818292</v>
      </c>
      <c r="R539">
        <f t="shared" si="986"/>
        <v>-895786668.66675484</v>
      </c>
      <c r="S539">
        <f t="shared" si="987"/>
        <v>-8957.8666866675485</v>
      </c>
      <c r="T539">
        <f t="shared" si="988"/>
        <v>-8.9578666866675487</v>
      </c>
    </row>
    <row r="540" spans="1:20" x14ac:dyDescent="0.25">
      <c r="A540" s="5">
        <v>44053</v>
      </c>
      <c r="B540">
        <v>2.1610000000000002E-3</v>
      </c>
      <c r="C540">
        <v>2.4090000000000001E-3</v>
      </c>
      <c r="D540">
        <v>2.104E-3</v>
      </c>
      <c r="E540">
        <v>2.3999999999999998E-3</v>
      </c>
      <c r="F540">
        <v>77096487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0.9409836065573749</v>
      </c>
      <c r="Q540">
        <f t="shared" si="985"/>
        <v>72546530.390163764</v>
      </c>
      <c r="R540">
        <f t="shared" si="986"/>
        <v>-836351982.48493659</v>
      </c>
      <c r="S540">
        <f t="shared" si="987"/>
        <v>-8363.5198248493652</v>
      </c>
      <c r="T540">
        <f t="shared" si="988"/>
        <v>-8.3635198248493658</v>
      </c>
    </row>
    <row r="541" spans="1:20" x14ac:dyDescent="0.25">
      <c r="A541" s="5">
        <v>44052</v>
      </c>
      <c r="B541">
        <v>2.0730000000000002E-3</v>
      </c>
      <c r="C541">
        <v>2.1649999999999998E-3</v>
      </c>
      <c r="D541">
        <v>2.0530000000000001E-3</v>
      </c>
      <c r="E541">
        <v>2.1619999999999999E-3</v>
      </c>
      <c r="F541">
        <v>54703002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0.94642857142857195</v>
      </c>
      <c r="Q541">
        <f t="shared" si="985"/>
        <v>51772484.035714313</v>
      </c>
      <c r="R541">
        <f t="shared" si="986"/>
        <v>-908898512.87510037</v>
      </c>
      <c r="S541">
        <f t="shared" si="987"/>
        <v>-9088.9851287510046</v>
      </c>
      <c r="T541">
        <f t="shared" si="988"/>
        <v>-9.0889851287510037</v>
      </c>
    </row>
    <row r="542" spans="1:20" x14ac:dyDescent="0.25">
      <c r="A542" s="5">
        <v>44051</v>
      </c>
      <c r="B542">
        <v>1.944E-3</v>
      </c>
      <c r="C542">
        <v>2.1359999999999999E-3</v>
      </c>
      <c r="D542">
        <v>1.812E-3</v>
      </c>
      <c r="E542">
        <v>2.0730000000000002E-3</v>
      </c>
      <c r="F542">
        <v>69797169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0.61111111111111283</v>
      </c>
      <c r="Q542">
        <f t="shared" si="985"/>
        <v>42653825.500000119</v>
      </c>
      <c r="R542">
        <f t="shared" si="986"/>
        <v>-960670996.91081464</v>
      </c>
      <c r="S542">
        <f t="shared" si="987"/>
        <v>-9606.7099691081457</v>
      </c>
      <c r="T542">
        <f t="shared" si="988"/>
        <v>-9.6067099691081452</v>
      </c>
    </row>
    <row r="543" spans="1:20" x14ac:dyDescent="0.25">
      <c r="A543" s="5">
        <v>44050</v>
      </c>
      <c r="B543">
        <v>1.9729999999999999E-3</v>
      </c>
      <c r="C543">
        <v>1.98E-3</v>
      </c>
      <c r="D543">
        <v>1.8649999999999999E-3</v>
      </c>
      <c r="E543">
        <v>1.944E-3</v>
      </c>
      <c r="F543">
        <v>63708897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0.37391304347826121</v>
      </c>
      <c r="Q543">
        <f t="shared" si="985"/>
        <v>23821587.573913064</v>
      </c>
      <c r="R543">
        <f t="shared" si="986"/>
        <v>-1003324822.4108148</v>
      </c>
      <c r="S543">
        <f t="shared" si="987"/>
        <v>-10033.248224108147</v>
      </c>
      <c r="T543">
        <f t="shared" si="988"/>
        <v>-10.033248224108148</v>
      </c>
    </row>
    <row r="544" spans="1:20" x14ac:dyDescent="0.25">
      <c r="A544" s="5">
        <v>44049</v>
      </c>
      <c r="B544">
        <v>1.9550000000000001E-3</v>
      </c>
      <c r="C544">
        <v>1.9940000000000001E-3</v>
      </c>
      <c r="D544">
        <v>1.91E-3</v>
      </c>
      <c r="E544">
        <v>1.9729999999999999E-3</v>
      </c>
      <c r="F544">
        <v>107117409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0.49999999999999611</v>
      </c>
      <c r="Q544">
        <f t="shared" si="985"/>
        <v>53558704.499999583</v>
      </c>
      <c r="R544">
        <f t="shared" si="986"/>
        <v>-1027146409.9847279</v>
      </c>
      <c r="S544">
        <f t="shared" si="987"/>
        <v>-10271.464099847279</v>
      </c>
      <c r="T544">
        <f t="shared" si="988"/>
        <v>-10.271464099847279</v>
      </c>
    </row>
    <row r="545" spans="1:20" x14ac:dyDescent="0.25">
      <c r="A545" s="5">
        <v>44048</v>
      </c>
      <c r="B545">
        <v>1.964E-3</v>
      </c>
      <c r="C545">
        <v>1.964E-3</v>
      </c>
      <c r="D545">
        <v>1.91E-3</v>
      </c>
      <c r="E545">
        <v>1.957E-3</v>
      </c>
      <c r="F545">
        <v>68288994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0.74074074074073848</v>
      </c>
      <c r="Q545">
        <f t="shared" si="985"/>
        <v>50584439.999999844</v>
      </c>
      <c r="R545">
        <f t="shared" si="986"/>
        <v>-1080705114.4847274</v>
      </c>
      <c r="S545">
        <f t="shared" si="987"/>
        <v>-10807.051144847273</v>
      </c>
      <c r="T545">
        <f t="shared" si="988"/>
        <v>-10.807051144847273</v>
      </c>
    </row>
    <row r="546" spans="1:20" x14ac:dyDescent="0.25">
      <c r="A546" s="5">
        <v>44047</v>
      </c>
      <c r="B546">
        <v>1.9780000000000002E-3</v>
      </c>
      <c r="C546">
        <v>1.9949999999999998E-3</v>
      </c>
      <c r="D546">
        <v>1.9E-3</v>
      </c>
      <c r="E546">
        <v>1.964E-3</v>
      </c>
      <c r="F546">
        <v>53158514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0.34736842105263499</v>
      </c>
      <c r="Q546">
        <f t="shared" si="985"/>
        <v>18465589.073684391</v>
      </c>
      <c r="R546">
        <f t="shared" si="986"/>
        <v>-1131289554.4847271</v>
      </c>
      <c r="S546">
        <f t="shared" si="987"/>
        <v>-11312.895544847272</v>
      </c>
      <c r="T546">
        <f t="shared" si="988"/>
        <v>-11.312895544847272</v>
      </c>
    </row>
    <row r="547" spans="1:20" x14ac:dyDescent="0.25">
      <c r="A547" s="5">
        <v>44046</v>
      </c>
      <c r="B547">
        <v>1.964E-3</v>
      </c>
      <c r="C547">
        <v>1.9949999999999998E-3</v>
      </c>
      <c r="D547">
        <v>1.926E-3</v>
      </c>
      <c r="E547">
        <v>1.977E-3</v>
      </c>
      <c r="F547">
        <v>43126540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0.47826086956522229</v>
      </c>
      <c r="Q547">
        <f t="shared" si="985"/>
        <v>20625736.521739341</v>
      </c>
      <c r="R547">
        <f t="shared" si="986"/>
        <v>-1149755143.5584116</v>
      </c>
      <c r="S547">
        <f t="shared" si="987"/>
        <v>-11497.551435584115</v>
      </c>
      <c r="T547">
        <f t="shared" si="988"/>
        <v>-11.497551435584116</v>
      </c>
    </row>
    <row r="548" spans="1:20" x14ac:dyDescent="0.25">
      <c r="A548" s="5">
        <v>44045</v>
      </c>
      <c r="B548">
        <v>2.1259999999999999E-3</v>
      </c>
      <c r="C548">
        <v>2.1259999999999999E-3</v>
      </c>
      <c r="D548">
        <v>1.851E-3</v>
      </c>
      <c r="E548">
        <v>1.964E-3</v>
      </c>
      <c r="F548">
        <v>74807227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-0.17818181818181747</v>
      </c>
      <c r="Q548">
        <f t="shared" si="985"/>
        <v>-13329287.719999947</v>
      </c>
      <c r="R548">
        <f t="shared" si="986"/>
        <v>-1170380880.0801508</v>
      </c>
      <c r="S548">
        <f t="shared" si="987"/>
        <v>-11703.808800801509</v>
      </c>
      <c r="T548">
        <f t="shared" si="988"/>
        <v>-11.703808800801509</v>
      </c>
    </row>
    <row r="549" spans="1:20" x14ac:dyDescent="0.25">
      <c r="A549" s="5">
        <v>44044</v>
      </c>
      <c r="B549">
        <v>2.0439999999999998E-3</v>
      </c>
      <c r="C549">
        <v>2.323E-3</v>
      </c>
      <c r="D549">
        <v>2.0330000000000001E-3</v>
      </c>
      <c r="E549">
        <v>2.1259999999999999E-3</v>
      </c>
      <c r="F549">
        <v>77464411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-0.3586206896551738</v>
      </c>
      <c r="Q549">
        <f t="shared" si="985"/>
        <v>-27780340.49655183</v>
      </c>
      <c r="R549">
        <f t="shared" si="986"/>
        <v>-1157051592.3601508</v>
      </c>
      <c r="S549">
        <f t="shared" si="987"/>
        <v>-11570.515923601508</v>
      </c>
      <c r="T549">
        <f t="shared" si="988"/>
        <v>-11.570515923601508</v>
      </c>
    </row>
    <row r="550" spans="1:20" x14ac:dyDescent="0.25">
      <c r="A550" s="5">
        <v>44043</v>
      </c>
      <c r="B550">
        <v>2.1159999999999998E-3</v>
      </c>
      <c r="C550">
        <v>2.1299999999999999E-3</v>
      </c>
      <c r="D550">
        <v>1.9919999999999998E-3</v>
      </c>
      <c r="E550">
        <v>2.0460000000000001E-3</v>
      </c>
      <c r="F550">
        <v>73714340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-0.21739130434782336</v>
      </c>
      <c r="Q550">
        <f t="shared" si="985"/>
        <v>-16024856.52173893</v>
      </c>
      <c r="R550">
        <f t="shared" si="986"/>
        <v>-1129271251.8635991</v>
      </c>
      <c r="S550">
        <f t="shared" si="987"/>
        <v>-11292.71251863599</v>
      </c>
      <c r="T550">
        <f t="shared" si="988"/>
        <v>-11.292712518635989</v>
      </c>
    </row>
    <row r="551" spans="1:20" x14ac:dyDescent="0.25">
      <c r="A551" s="5">
        <v>44042</v>
      </c>
      <c r="B551">
        <v>2.0569999999999998E-3</v>
      </c>
      <c r="C551">
        <v>2.4489999999999998E-3</v>
      </c>
      <c r="D551">
        <v>2.0249999999999999E-3</v>
      </c>
      <c r="E551">
        <v>2.1150000000000001E-3</v>
      </c>
      <c r="F551">
        <v>102722558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-0.57547169811320631</v>
      </c>
      <c r="Q551">
        <f t="shared" si="985"/>
        <v>-59113924.886792324</v>
      </c>
      <c r="R551">
        <f t="shared" si="986"/>
        <v>-1113246395.3418601</v>
      </c>
      <c r="S551">
        <f t="shared" si="987"/>
        <v>-11132.463953418601</v>
      </c>
      <c r="T551">
        <f t="shared" si="988"/>
        <v>-11.132463953418601</v>
      </c>
    </row>
    <row r="552" spans="1:20" x14ac:dyDescent="0.25">
      <c r="A552" s="5">
        <v>44041</v>
      </c>
      <c r="B552">
        <v>1.9469999999999999E-3</v>
      </c>
      <c r="C552">
        <v>2.1589999999999999E-3</v>
      </c>
      <c r="D552">
        <v>1.9109999999999999E-3</v>
      </c>
      <c r="E552">
        <v>2.049E-3</v>
      </c>
      <c r="F552">
        <v>86573673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0.11290322580645262</v>
      </c>
      <c r="Q552">
        <f t="shared" si="985"/>
        <v>9774446.9516129903</v>
      </c>
      <c r="R552">
        <f t="shared" si="986"/>
        <v>-1054132470.4550678</v>
      </c>
      <c r="S552">
        <f t="shared" si="987"/>
        <v>-10541.324704550678</v>
      </c>
      <c r="T552">
        <f t="shared" si="988"/>
        <v>-10.541324704550679</v>
      </c>
    </row>
    <row r="553" spans="1:20" x14ac:dyDescent="0.25">
      <c r="A553" s="5">
        <v>44040</v>
      </c>
      <c r="B553">
        <v>1.8630000000000001E-3</v>
      </c>
      <c r="C553">
        <v>2.1359999999999999E-3</v>
      </c>
      <c r="D553">
        <v>1.856E-3</v>
      </c>
      <c r="E553">
        <v>1.9430000000000001E-3</v>
      </c>
      <c r="F553">
        <v>143298593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-0.37857142857142789</v>
      </c>
      <c r="Q553">
        <f t="shared" si="985"/>
        <v>-54248753.064285614</v>
      </c>
      <c r="R553">
        <f t="shared" si="986"/>
        <v>-1063906917.4066807</v>
      </c>
      <c r="S553">
        <f t="shared" si="987"/>
        <v>-10639.069174066806</v>
      </c>
      <c r="T553">
        <f t="shared" si="988"/>
        <v>-10.639069174066806</v>
      </c>
    </row>
    <row r="554" spans="1:20" x14ac:dyDescent="0.25">
      <c r="A554" s="5">
        <v>44039</v>
      </c>
      <c r="B554">
        <v>1.9780000000000002E-3</v>
      </c>
      <c r="C554">
        <v>2.0339999999999998E-3</v>
      </c>
      <c r="D554">
        <v>1.8010000000000001E-3</v>
      </c>
      <c r="E554">
        <v>1.864E-3</v>
      </c>
      <c r="F554">
        <v>154748807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-0.45922746781115892</v>
      </c>
      <c r="Q554">
        <f t="shared" si="985"/>
        <v>-71064902.785407737</v>
      </c>
      <c r="R554">
        <f t="shared" si="986"/>
        <v>-1009658164.3423951</v>
      </c>
      <c r="S554">
        <f t="shared" si="987"/>
        <v>-10096.581643423951</v>
      </c>
      <c r="T554">
        <f t="shared" si="988"/>
        <v>-10.096581643423951</v>
      </c>
    </row>
    <row r="555" spans="1:20" x14ac:dyDescent="0.25">
      <c r="A555" s="5">
        <v>44038</v>
      </c>
      <c r="B555">
        <v>2.0769999999999999E-3</v>
      </c>
      <c r="C555">
        <v>2.0999999999999999E-3</v>
      </c>
      <c r="D555">
        <v>1.918E-3</v>
      </c>
      <c r="E555">
        <v>1.9780000000000002E-3</v>
      </c>
      <c r="F555">
        <v>135818814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-0.34065934065933845</v>
      </c>
      <c r="Q555">
        <f t="shared" si="985"/>
        <v>-46267947.626373328</v>
      </c>
      <c r="R555">
        <f t="shared" si="986"/>
        <v>-938593261.55698729</v>
      </c>
      <c r="S555">
        <f t="shared" si="987"/>
        <v>-9385.9326155698727</v>
      </c>
      <c r="T555">
        <f t="shared" si="988"/>
        <v>-9.3859326155698728</v>
      </c>
    </row>
    <row r="556" spans="1:20" x14ac:dyDescent="0.25">
      <c r="A556" s="5">
        <v>44037</v>
      </c>
      <c r="B556">
        <v>2.0600000000000002E-3</v>
      </c>
      <c r="C556">
        <v>2.1320000000000002E-3</v>
      </c>
      <c r="D556">
        <v>2.0560000000000001E-3</v>
      </c>
      <c r="E556">
        <v>2.0769999999999999E-3</v>
      </c>
      <c r="F556">
        <v>152446938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-0.44736842105263896</v>
      </c>
      <c r="Q556">
        <f t="shared" si="985"/>
        <v>-68199945.947369546</v>
      </c>
      <c r="R556">
        <f t="shared" si="986"/>
        <v>-892325313.93061399</v>
      </c>
      <c r="S556">
        <f t="shared" si="987"/>
        <v>-8923.2531393061399</v>
      </c>
      <c r="T556">
        <f t="shared" si="988"/>
        <v>-8.9232531393061407</v>
      </c>
    </row>
    <row r="557" spans="1:20" x14ac:dyDescent="0.25">
      <c r="A557" s="5">
        <v>44036</v>
      </c>
      <c r="B557">
        <v>2.052E-3</v>
      </c>
      <c r="C557">
        <v>2.1540000000000001E-3</v>
      </c>
      <c r="D557">
        <v>2.0019999999999999E-3</v>
      </c>
      <c r="E557">
        <v>2.0609999999999999E-3</v>
      </c>
      <c r="F557">
        <v>172308849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-0.22368421052631662</v>
      </c>
      <c r="Q557">
        <f t="shared" si="985"/>
        <v>-38542768.8552633</v>
      </c>
      <c r="R557">
        <f t="shared" si="986"/>
        <v>-824125367.98324442</v>
      </c>
      <c r="S557">
        <f t="shared" si="987"/>
        <v>-8241.2536798324436</v>
      </c>
      <c r="T557">
        <f t="shared" si="988"/>
        <v>-8.2412536798324432</v>
      </c>
    </row>
    <row r="558" spans="1:20" x14ac:dyDescent="0.25">
      <c r="A558" s="5">
        <v>44035</v>
      </c>
      <c r="B558">
        <v>2.1250000000000002E-3</v>
      </c>
      <c r="C558">
        <v>2.153E-3</v>
      </c>
      <c r="D558">
        <v>2.0049999999999998E-3</v>
      </c>
      <c r="E558">
        <v>2.052E-3</v>
      </c>
      <c r="F558">
        <v>156985013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-0.36486486486486314</v>
      </c>
      <c r="Q558">
        <f t="shared" si="985"/>
        <v>-57278315.554053783</v>
      </c>
      <c r="R558">
        <f t="shared" si="986"/>
        <v>-785582599.12798107</v>
      </c>
      <c r="S558">
        <f t="shared" si="987"/>
        <v>-7855.8259912798103</v>
      </c>
      <c r="T558">
        <f t="shared" si="988"/>
        <v>-7.8558259912798105</v>
      </c>
    </row>
    <row r="559" spans="1:20" x14ac:dyDescent="0.25">
      <c r="A559" s="5">
        <v>44034</v>
      </c>
      <c r="B559">
        <v>2.0860000000000002E-3</v>
      </c>
      <c r="C559">
        <v>2.2000000000000001E-3</v>
      </c>
      <c r="D559">
        <v>2.0049999999999998E-3</v>
      </c>
      <c r="E559">
        <v>2.1250000000000002E-3</v>
      </c>
      <c r="F559">
        <v>160760651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0.23076923076923214</v>
      </c>
      <c r="Q559">
        <f t="shared" si="985"/>
        <v>37098611.769230992</v>
      </c>
      <c r="R559">
        <f t="shared" si="986"/>
        <v>-728304283.57392728</v>
      </c>
      <c r="S559">
        <f t="shared" si="987"/>
        <v>-7283.042835739273</v>
      </c>
      <c r="T559">
        <f t="shared" si="988"/>
        <v>-7.2830428357392734</v>
      </c>
    </row>
    <row r="560" spans="1:20" x14ac:dyDescent="0.25">
      <c r="A560" s="5">
        <v>44033</v>
      </c>
      <c r="B560">
        <v>2.2049999999999999E-3</v>
      </c>
      <c r="C560">
        <v>2.212E-3</v>
      </c>
      <c r="D560">
        <v>1.9919999999999998E-3</v>
      </c>
      <c r="E560">
        <v>2.0890000000000001E-3</v>
      </c>
      <c r="F560">
        <v>111880913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-0.11818181818181604</v>
      </c>
      <c r="Q560">
        <f t="shared" si="985"/>
        <v>-13222289.718181578</v>
      </c>
      <c r="R560">
        <f t="shared" si="986"/>
        <v>-765402895.34315825</v>
      </c>
      <c r="S560">
        <f t="shared" si="987"/>
        <v>-7654.0289534315825</v>
      </c>
      <c r="T560">
        <f t="shared" si="988"/>
        <v>-7.6540289534315828</v>
      </c>
    </row>
    <row r="561" spans="1:104" x14ac:dyDescent="0.25">
      <c r="A561" s="5">
        <v>44032</v>
      </c>
      <c r="B561">
        <v>2.5439999999999998E-3</v>
      </c>
      <c r="C561">
        <v>2.7000000000000001E-3</v>
      </c>
      <c r="D561">
        <v>2.2000000000000001E-3</v>
      </c>
      <c r="E561">
        <v>2.2060000000000001E-3</v>
      </c>
      <c r="F561">
        <v>157554948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-0.97600000000000031</v>
      </c>
      <c r="Q561">
        <f t="shared" si="985"/>
        <v>-153773629.24800006</v>
      </c>
      <c r="R561">
        <f t="shared" si="986"/>
        <v>-752180605.62497663</v>
      </c>
      <c r="S561">
        <f t="shared" si="987"/>
        <v>-7521.8060562497667</v>
      </c>
      <c r="T561">
        <f t="shared" si="988"/>
        <v>-7.5218060562497664</v>
      </c>
      <c r="CZ561" t="s">
        <v>7</v>
      </c>
    </row>
    <row r="562" spans="1:104" x14ac:dyDescent="0.25">
      <c r="A562" s="5">
        <v>44031</v>
      </c>
      <c r="B562">
        <v>1.8649999999999999E-3</v>
      </c>
      <c r="C562">
        <v>2.6319999999999998E-3</v>
      </c>
      <c r="D562">
        <v>1.841E-3</v>
      </c>
      <c r="E562">
        <v>2.5430000000000001E-3</v>
      </c>
      <c r="F562">
        <v>214914547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0.77496839443742171</v>
      </c>
      <c r="Q562">
        <f t="shared" si="985"/>
        <v>166551981.4298358</v>
      </c>
      <c r="R562">
        <f t="shared" si="986"/>
        <v>-598406976.37697661</v>
      </c>
      <c r="S562">
        <f t="shared" si="987"/>
        <v>-5984.0697637697658</v>
      </c>
      <c r="T562">
        <f t="shared" si="988"/>
        <v>-5.9840697637697655</v>
      </c>
      <c r="CZ562" t="s">
        <v>7</v>
      </c>
    </row>
    <row r="563" spans="1:104" x14ac:dyDescent="0.25">
      <c r="A563" s="5">
        <v>44030</v>
      </c>
      <c r="B563">
        <v>1.756E-3</v>
      </c>
      <c r="C563">
        <v>1.9139999999999999E-3</v>
      </c>
      <c r="D563">
        <v>1.7290000000000001E-3</v>
      </c>
      <c r="E563">
        <v>1.866E-3</v>
      </c>
      <c r="F563">
        <v>84318143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0.48108108108108205</v>
      </c>
      <c r="Q563">
        <f t="shared" si="985"/>
        <v>40563863.389189273</v>
      </c>
      <c r="R563">
        <f t="shared" si="986"/>
        <v>-764958957.80681241</v>
      </c>
      <c r="S563">
        <f t="shared" si="987"/>
        <v>-7649.589578068124</v>
      </c>
      <c r="T563">
        <f t="shared" si="988"/>
        <v>-7.6495895780681238</v>
      </c>
      <c r="CZ563" t="s">
        <v>7</v>
      </c>
    </row>
    <row r="564" spans="1:104" x14ac:dyDescent="0.25">
      <c r="A564" s="5">
        <v>44029</v>
      </c>
      <c r="B564">
        <v>1.761E-3</v>
      </c>
      <c r="C564">
        <v>1.799E-3</v>
      </c>
      <c r="D564">
        <v>1.7129999999999999E-3</v>
      </c>
      <c r="E564">
        <v>1.769E-3</v>
      </c>
      <c r="F564">
        <v>78870320</v>
      </c>
      <c r="G564">
        <v>0</v>
      </c>
      <c r="L564" t="s">
        <v>8</v>
      </c>
      <c r="M564" t="s">
        <v>8</v>
      </c>
      <c r="N564" t="s">
        <v>7</v>
      </c>
      <c r="P564">
        <f t="shared" si="984"/>
        <v>0.30232558139534815</v>
      </c>
      <c r="Q564">
        <f t="shared" si="985"/>
        <v>23844515.348837156</v>
      </c>
      <c r="R564">
        <f t="shared" si="986"/>
        <v>-805522821.19600165</v>
      </c>
      <c r="S564">
        <f t="shared" si="987"/>
        <v>-8055.2282119600168</v>
      </c>
      <c r="T564">
        <f t="shared" si="988"/>
        <v>-8.0552282119600171</v>
      </c>
    </row>
    <row r="565" spans="1:104" x14ac:dyDescent="0.25">
      <c r="A565" s="5">
        <v>44028</v>
      </c>
      <c r="B565">
        <v>1.8140000000000001E-3</v>
      </c>
      <c r="C565">
        <v>1.851E-3</v>
      </c>
      <c r="D565">
        <v>1.622E-3</v>
      </c>
      <c r="E565">
        <v>1.7600000000000001E-3</v>
      </c>
      <c r="F565">
        <v>93580133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0.20524017467248978</v>
      </c>
      <c r="Q565">
        <f t="shared" si="985"/>
        <v>19206402.842794824</v>
      </c>
      <c r="R565">
        <f t="shared" si="986"/>
        <v>-829367336.54483879</v>
      </c>
      <c r="S565">
        <f t="shared" si="987"/>
        <v>-8293.6733654483887</v>
      </c>
      <c r="T565">
        <f t="shared" si="988"/>
        <v>-8.2936733654483881</v>
      </c>
    </row>
    <row r="566" spans="1:104" x14ac:dyDescent="0.25">
      <c r="A566" s="5">
        <v>44027</v>
      </c>
      <c r="B566">
        <v>1.7099999999999999E-3</v>
      </c>
      <c r="C566">
        <v>1.848E-3</v>
      </c>
      <c r="D566">
        <v>1.6980000000000001E-3</v>
      </c>
      <c r="E566">
        <v>1.815E-3</v>
      </c>
      <c r="F566">
        <v>82823025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0.55999999999999928</v>
      </c>
      <c r="Q566">
        <f t="shared" si="985"/>
        <v>46380893.99999994</v>
      </c>
      <c r="R566">
        <f t="shared" si="986"/>
        <v>-848573739.38763356</v>
      </c>
      <c r="S566">
        <f t="shared" si="987"/>
        <v>-8485.7373938763358</v>
      </c>
      <c r="T566">
        <f t="shared" si="988"/>
        <v>-8.4857373938763363</v>
      </c>
    </row>
    <row r="567" spans="1:104" x14ac:dyDescent="0.25">
      <c r="A567" s="5">
        <v>44026</v>
      </c>
      <c r="B567">
        <v>1.7470000000000001E-3</v>
      </c>
      <c r="C567">
        <v>1.7949999999999999E-3</v>
      </c>
      <c r="D567">
        <v>1.652E-3</v>
      </c>
      <c r="E567">
        <v>1.7099999999999999E-3</v>
      </c>
      <c r="F567">
        <v>77963987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-0.18881118881118975</v>
      </c>
      <c r="Q567">
        <f t="shared" si="985"/>
        <v>-14720473.069930144</v>
      </c>
      <c r="R567">
        <f t="shared" si="986"/>
        <v>-894954633.38763344</v>
      </c>
      <c r="S567">
        <f t="shared" si="987"/>
        <v>-8949.5463338763348</v>
      </c>
      <c r="T567">
        <f t="shared" si="988"/>
        <v>-8.9495463338763344</v>
      </c>
    </row>
    <row r="568" spans="1:104" x14ac:dyDescent="0.25">
      <c r="A568" s="5">
        <v>44025</v>
      </c>
      <c r="B568">
        <v>1.7780000000000001E-3</v>
      </c>
      <c r="C568">
        <v>1.838E-3</v>
      </c>
      <c r="D568">
        <v>1.701E-3</v>
      </c>
      <c r="E568">
        <v>1.748E-3</v>
      </c>
      <c r="F568">
        <v>93763636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-0.31386861313868669</v>
      </c>
      <c r="Q568">
        <f t="shared" si="985"/>
        <v>-29429462.394160636</v>
      </c>
      <c r="R568">
        <f t="shared" si="986"/>
        <v>-880234160.31770325</v>
      </c>
      <c r="S568">
        <f t="shared" si="987"/>
        <v>-8802.3416031770321</v>
      </c>
      <c r="T568">
        <f t="shared" si="988"/>
        <v>-8.8023416031770321</v>
      </c>
    </row>
    <row r="569" spans="1:104" x14ac:dyDescent="0.25">
      <c r="A569" s="5">
        <v>44024</v>
      </c>
      <c r="B569">
        <v>1.815E-3</v>
      </c>
      <c r="C569">
        <v>1.856E-3</v>
      </c>
      <c r="D569">
        <v>1.444E-3</v>
      </c>
      <c r="E569">
        <v>1.7780000000000001E-3</v>
      </c>
      <c r="F569">
        <v>84422640</v>
      </c>
      <c r="G569">
        <v>0</v>
      </c>
      <c r="L569" t="s">
        <v>7</v>
      </c>
      <c r="M569" t="s">
        <v>7</v>
      </c>
      <c r="N569" t="s">
        <v>7</v>
      </c>
      <c r="P569">
        <f t="shared" si="984"/>
        <v>0.62135922330097115</v>
      </c>
      <c r="Q569">
        <f t="shared" si="985"/>
        <v>52456786.019417502</v>
      </c>
      <c r="R569">
        <f t="shared" si="986"/>
        <v>-850804697.92354262</v>
      </c>
      <c r="S569">
        <f t="shared" si="987"/>
        <v>-8508.046979235427</v>
      </c>
      <c r="T569">
        <f t="shared" si="988"/>
        <v>-8.5080469792354272</v>
      </c>
    </row>
    <row r="570" spans="1:104" x14ac:dyDescent="0.25">
      <c r="A570" s="5">
        <v>44023</v>
      </c>
      <c r="B570">
        <v>1.7600000000000001E-3</v>
      </c>
      <c r="C570">
        <v>2.0149999999999999E-3</v>
      </c>
      <c r="D570">
        <v>1.7589999999999999E-3</v>
      </c>
      <c r="E570">
        <v>1.8159999999999999E-3</v>
      </c>
      <c r="F570">
        <v>87988888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-0.55468750000000011</v>
      </c>
      <c r="Q570">
        <f t="shared" si="985"/>
        <v>-48806336.312500007</v>
      </c>
      <c r="R570">
        <f t="shared" si="986"/>
        <v>-903261483.94296014</v>
      </c>
      <c r="S570">
        <f t="shared" si="987"/>
        <v>-9032.6148394296015</v>
      </c>
      <c r="T570">
        <f t="shared" si="988"/>
        <v>-9.032614839429602</v>
      </c>
    </row>
    <row r="571" spans="1:104" x14ac:dyDescent="0.25">
      <c r="A571" s="5">
        <v>44022</v>
      </c>
      <c r="B571">
        <v>1.6969999999999999E-3</v>
      </c>
      <c r="C571">
        <v>1.7619999999999999E-3</v>
      </c>
      <c r="D571">
        <v>1.655E-3</v>
      </c>
      <c r="E571">
        <v>1.7589999999999999E-3</v>
      </c>
      <c r="F571">
        <v>75468637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0.94392523364486047</v>
      </c>
      <c r="Q571">
        <f t="shared" si="985"/>
        <v>71236750.813084155</v>
      </c>
      <c r="R571">
        <f t="shared" si="986"/>
        <v>-854455147.63046014</v>
      </c>
      <c r="S571">
        <f t="shared" si="987"/>
        <v>-8544.5514763046012</v>
      </c>
      <c r="T571">
        <f t="shared" si="988"/>
        <v>-8.5445514763046013</v>
      </c>
    </row>
    <row r="572" spans="1:104" x14ac:dyDescent="0.25">
      <c r="A572" s="5">
        <v>44021</v>
      </c>
      <c r="B572">
        <v>1.719E-3</v>
      </c>
      <c r="C572">
        <v>1.8E-3</v>
      </c>
      <c r="D572">
        <v>1.6770000000000001E-3</v>
      </c>
      <c r="E572">
        <v>1.6969999999999999E-3</v>
      </c>
      <c r="F572">
        <v>73396474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-0.6747967479674819</v>
      </c>
      <c r="Q572">
        <f t="shared" si="985"/>
        <v>-49527701.96747984</v>
      </c>
      <c r="R572">
        <f t="shared" si="986"/>
        <v>-925691898.44354427</v>
      </c>
      <c r="S572">
        <f t="shared" si="987"/>
        <v>-9256.9189844354423</v>
      </c>
      <c r="T572">
        <f t="shared" si="988"/>
        <v>-9.2569189844354423</v>
      </c>
    </row>
    <row r="573" spans="1:104" x14ac:dyDescent="0.25">
      <c r="A573" s="5">
        <v>44020</v>
      </c>
      <c r="B573">
        <v>1.732E-3</v>
      </c>
      <c r="C573">
        <v>1.8E-3</v>
      </c>
      <c r="D573">
        <v>1.6819999999999999E-3</v>
      </c>
      <c r="E573">
        <v>1.719E-3</v>
      </c>
      <c r="F573">
        <v>76072133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-0.37288135593220129</v>
      </c>
      <c r="Q573">
        <f t="shared" si="985"/>
        <v>-28365880.101694755</v>
      </c>
      <c r="R573">
        <f t="shared" si="986"/>
        <v>-876164196.47606444</v>
      </c>
      <c r="S573">
        <f t="shared" si="987"/>
        <v>-8761.6419647606435</v>
      </c>
      <c r="T573">
        <f t="shared" si="988"/>
        <v>-8.7616419647606438</v>
      </c>
    </row>
    <row r="574" spans="1:104" x14ac:dyDescent="0.25">
      <c r="A574" s="5">
        <v>44019</v>
      </c>
      <c r="B574">
        <v>1.7279999999999999E-3</v>
      </c>
      <c r="C574">
        <v>1.8E-3</v>
      </c>
      <c r="D574">
        <v>1.671E-3</v>
      </c>
      <c r="E574">
        <v>1.732E-3</v>
      </c>
      <c r="F574">
        <v>77292444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-5.4263565891471667E-2</v>
      </c>
      <c r="Q574">
        <f t="shared" si="985"/>
        <v>-4194163.6279068841</v>
      </c>
      <c r="R574">
        <f t="shared" si="986"/>
        <v>-847798316.37436974</v>
      </c>
      <c r="S574">
        <f t="shared" si="987"/>
        <v>-8477.9831637436982</v>
      </c>
      <c r="T574">
        <f t="shared" si="988"/>
        <v>-8.4779831637436978</v>
      </c>
    </row>
    <row r="575" spans="1:104" x14ac:dyDescent="0.25">
      <c r="A575" s="5">
        <v>44018</v>
      </c>
      <c r="B575">
        <v>1.6770000000000001E-3</v>
      </c>
      <c r="C575">
        <v>1.769E-3</v>
      </c>
      <c r="D575">
        <v>1.6440000000000001E-3</v>
      </c>
      <c r="E575">
        <v>1.7279999999999999E-3</v>
      </c>
      <c r="F575">
        <v>71418241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0.34399999999999908</v>
      </c>
      <c r="Q575">
        <f t="shared" si="985"/>
        <v>24567874.903999936</v>
      </c>
      <c r="R575">
        <f t="shared" si="986"/>
        <v>-843604152.74646282</v>
      </c>
      <c r="S575">
        <f t="shared" si="987"/>
        <v>-8436.0415274646275</v>
      </c>
      <c r="T575">
        <f t="shared" si="988"/>
        <v>-8.4360415274646279</v>
      </c>
    </row>
    <row r="576" spans="1:104" x14ac:dyDescent="0.25">
      <c r="A576" s="5">
        <v>44017</v>
      </c>
      <c r="B576">
        <v>1.74E-3</v>
      </c>
      <c r="C576">
        <v>1.7910000000000001E-3</v>
      </c>
      <c r="D576">
        <v>1.6559999999999999E-3</v>
      </c>
      <c r="E576">
        <v>1.689E-3</v>
      </c>
      <c r="F576">
        <v>69871864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-0.51111111111111096</v>
      </c>
      <c r="Q576">
        <f t="shared" si="985"/>
        <v>-35712286.044444434</v>
      </c>
      <c r="R576">
        <f t="shared" si="986"/>
        <v>-868172027.65046275</v>
      </c>
      <c r="S576">
        <f t="shared" si="987"/>
        <v>-8681.7202765046277</v>
      </c>
      <c r="T576">
        <f t="shared" si="988"/>
        <v>-8.6817202765046275</v>
      </c>
    </row>
    <row r="577" spans="1:20" x14ac:dyDescent="0.25">
      <c r="A577" s="5">
        <v>44016</v>
      </c>
      <c r="B577">
        <v>1.6670000000000001E-3</v>
      </c>
      <c r="C577">
        <v>1.807E-3</v>
      </c>
      <c r="D577">
        <v>1.6459999999999999E-3</v>
      </c>
      <c r="E577">
        <v>1.7420000000000001E-3</v>
      </c>
      <c r="F577">
        <v>140341560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0.19254658385093285</v>
      </c>
      <c r="Q577">
        <f t="shared" si="985"/>
        <v>27022287.950310722</v>
      </c>
      <c r="R577">
        <f t="shared" si="986"/>
        <v>-832459741.6060183</v>
      </c>
      <c r="S577">
        <f t="shared" si="987"/>
        <v>-8324.5974160601836</v>
      </c>
      <c r="T577">
        <f t="shared" si="988"/>
        <v>-8.3245974160601843</v>
      </c>
    </row>
    <row r="578" spans="1:20" x14ac:dyDescent="0.25">
      <c r="A578" s="5">
        <v>44015</v>
      </c>
      <c r="B578">
        <v>1.6689999999999999E-3</v>
      </c>
      <c r="C578">
        <v>1.691E-3</v>
      </c>
      <c r="D578">
        <v>1.6080000000000001E-3</v>
      </c>
      <c r="E578">
        <v>1.6670000000000001E-3</v>
      </c>
      <c r="F578">
        <v>145960963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0.42168674698795311</v>
      </c>
      <c r="Q578">
        <f t="shared" si="985"/>
        <v>61549803.674698986</v>
      </c>
      <c r="R578">
        <f t="shared" si="986"/>
        <v>-859482029.55632901</v>
      </c>
      <c r="S578">
        <f t="shared" si="987"/>
        <v>-8594.8202955632896</v>
      </c>
      <c r="T578">
        <f t="shared" si="988"/>
        <v>-8.5948202955632897</v>
      </c>
    </row>
    <row r="579" spans="1:20" x14ac:dyDescent="0.25">
      <c r="A579" s="5">
        <v>44014</v>
      </c>
      <c r="B579">
        <v>1.7049999999999999E-3</v>
      </c>
      <c r="C579">
        <v>1.7260000000000001E-3</v>
      </c>
      <c r="D579">
        <v>1.6180000000000001E-3</v>
      </c>
      <c r="E579">
        <v>1.668E-3</v>
      </c>
      <c r="F579">
        <v>155025070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-7.407407407407586E-2</v>
      </c>
      <c r="Q579">
        <f t="shared" si="985"/>
        <v>-11483338.518518796</v>
      </c>
      <c r="R579">
        <f t="shared" si="986"/>
        <v>-921031833.23102796</v>
      </c>
      <c r="S579">
        <f t="shared" si="987"/>
        <v>-9210.3183323102803</v>
      </c>
      <c r="T579">
        <f t="shared" si="988"/>
        <v>-9.2103183323102797</v>
      </c>
    </row>
    <row r="580" spans="1:20" x14ac:dyDescent="0.25">
      <c r="A580" s="5">
        <v>44013</v>
      </c>
      <c r="B580">
        <v>1.7179999999999999E-3</v>
      </c>
      <c r="C580">
        <v>1.756E-3</v>
      </c>
      <c r="D580">
        <v>1.634E-3</v>
      </c>
      <c r="E580">
        <v>1.704E-3</v>
      </c>
      <c r="F580">
        <v>150677392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0.14754098360655749</v>
      </c>
      <c r="Q580">
        <f t="shared" si="985"/>
        <v>22231090.622950837</v>
      </c>
      <c r="R580">
        <f t="shared" si="986"/>
        <v>-909548494.71250916</v>
      </c>
      <c r="S580">
        <f t="shared" si="987"/>
        <v>-9095.4849471250909</v>
      </c>
      <c r="T580">
        <f t="shared" si="988"/>
        <v>-9.0954849471250903</v>
      </c>
    </row>
    <row r="581" spans="1:20" x14ac:dyDescent="0.25">
      <c r="A581" s="5">
        <v>44012</v>
      </c>
      <c r="B581">
        <v>1.7340000000000001E-3</v>
      </c>
      <c r="C581">
        <v>1.841E-3</v>
      </c>
      <c r="D581">
        <v>1.6930000000000001E-3</v>
      </c>
      <c r="E581">
        <v>1.717E-3</v>
      </c>
      <c r="F581">
        <v>156022661</v>
      </c>
      <c r="G581">
        <v>0</v>
      </c>
      <c r="L581" t="s">
        <v>7</v>
      </c>
      <c r="M581" t="s">
        <v>8</v>
      </c>
      <c r="N581" t="s">
        <v>7</v>
      </c>
      <c r="P581">
        <f t="shared" si="984"/>
        <v>-0.67567567567567643</v>
      </c>
      <c r="Q581">
        <f t="shared" si="985"/>
        <v>-105420716.89189202</v>
      </c>
      <c r="R581">
        <f t="shared" si="986"/>
        <v>-931779585.33545995</v>
      </c>
      <c r="S581">
        <f t="shared" si="987"/>
        <v>-9317.7958533545989</v>
      </c>
      <c r="T581">
        <f t="shared" si="988"/>
        <v>-9.3177958533545997</v>
      </c>
    </row>
    <row r="582" spans="1:20" x14ac:dyDescent="0.25">
      <c r="A582" s="5">
        <v>44011</v>
      </c>
      <c r="B582">
        <v>1.6869999999999999E-3</v>
      </c>
      <c r="C582">
        <v>1.9499999999999999E-3</v>
      </c>
      <c r="D582">
        <v>1.6850000000000001E-3</v>
      </c>
      <c r="E582">
        <v>1.7359999999999999E-3</v>
      </c>
      <c r="F582">
        <v>205364802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-0.61509433962264259</v>
      </c>
      <c r="Q582">
        <f t="shared" ref="Q582:Q645" si="990">F582*P582</f>
        <v>-126318727.26792476</v>
      </c>
      <c r="R582">
        <f t="shared" ref="R582:R645" si="991">R583+Q582</f>
        <v>-826358868.44356799</v>
      </c>
      <c r="S582">
        <f t="shared" ref="S582:S645" si="992">R582/100000</f>
        <v>-8263.5886844356792</v>
      </c>
      <c r="T582">
        <f t="shared" ref="T582:T645" si="993">S582/1000</f>
        <v>-8.2635886844356783</v>
      </c>
    </row>
    <row r="583" spans="1:20" x14ac:dyDescent="0.25">
      <c r="A583" s="5">
        <v>44010</v>
      </c>
      <c r="B583">
        <v>1.6739999999999999E-3</v>
      </c>
      <c r="C583">
        <v>1.753E-3</v>
      </c>
      <c r="D583">
        <v>1.549E-3</v>
      </c>
      <c r="E583">
        <v>1.6850000000000001E-3</v>
      </c>
      <c r="F583">
        <v>138230999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0.33333333333333404</v>
      </c>
      <c r="Q583">
        <f t="shared" si="990"/>
        <v>46076999.666666761</v>
      </c>
      <c r="R583">
        <f t="shared" si="991"/>
        <v>-700040141.17564321</v>
      </c>
      <c r="S583">
        <f t="shared" si="992"/>
        <v>-7000.401411756432</v>
      </c>
      <c r="T583">
        <f t="shared" si="993"/>
        <v>-7.0004014117564317</v>
      </c>
    </row>
    <row r="584" spans="1:20" x14ac:dyDescent="0.25">
      <c r="A584" s="5">
        <v>44009</v>
      </c>
      <c r="B584">
        <v>1.7279999999999999E-3</v>
      </c>
      <c r="C584">
        <v>1.756E-3</v>
      </c>
      <c r="D584">
        <v>1.652E-3</v>
      </c>
      <c r="E584">
        <v>1.6750000000000001E-3</v>
      </c>
      <c r="F584">
        <v>142441780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-0.55769230769230704</v>
      </c>
      <c r="Q584">
        <f t="shared" si="990"/>
        <v>-79438684.999999911</v>
      </c>
      <c r="R584">
        <f t="shared" si="991"/>
        <v>-746117140.84230995</v>
      </c>
      <c r="S584">
        <f t="shared" si="992"/>
        <v>-7461.1714084230998</v>
      </c>
      <c r="T584">
        <f t="shared" si="993"/>
        <v>-7.4611714084231</v>
      </c>
    </row>
    <row r="585" spans="1:20" x14ac:dyDescent="0.25">
      <c r="A585" s="5">
        <v>44008</v>
      </c>
      <c r="B585">
        <v>1.779E-3</v>
      </c>
      <c r="C585">
        <v>1.779E-3</v>
      </c>
      <c r="D585">
        <v>1.65E-3</v>
      </c>
      <c r="E585">
        <v>1.7290000000000001E-3</v>
      </c>
      <c r="F585">
        <v>106150287</v>
      </c>
      <c r="G585">
        <v>0</v>
      </c>
      <c r="L585" t="s">
        <v>8</v>
      </c>
      <c r="M585" t="s">
        <v>7</v>
      </c>
      <c r="N585" t="s">
        <v>7</v>
      </c>
      <c r="P585">
        <f t="shared" si="989"/>
        <v>0.22480620155038888</v>
      </c>
      <c r="Q585">
        <f t="shared" si="990"/>
        <v>23863242.813953627</v>
      </c>
      <c r="R585">
        <f t="shared" si="991"/>
        <v>-666678455.84231007</v>
      </c>
      <c r="S585">
        <f t="shared" si="992"/>
        <v>-6666.7845584231009</v>
      </c>
      <c r="T585">
        <f t="shared" si="993"/>
        <v>-6.6667845584231005</v>
      </c>
    </row>
    <row r="586" spans="1:20" x14ac:dyDescent="0.25">
      <c r="A586" s="5">
        <v>44007</v>
      </c>
      <c r="B586">
        <v>1.7769999999999999E-3</v>
      </c>
      <c r="C586">
        <v>1.853E-3</v>
      </c>
      <c r="D586">
        <v>1.6149999999999999E-3</v>
      </c>
      <c r="E586">
        <v>1.7769999999999999E-3</v>
      </c>
      <c r="F586">
        <v>71273932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0.36134453781512549</v>
      </c>
      <c r="Q586">
        <f t="shared" si="990"/>
        <v>25754446.016806684</v>
      </c>
      <c r="R586">
        <f t="shared" si="991"/>
        <v>-690541698.65626371</v>
      </c>
      <c r="S586">
        <f t="shared" si="992"/>
        <v>-6905.4169865626372</v>
      </c>
      <c r="T586">
        <f t="shared" si="993"/>
        <v>-6.9054169865626376</v>
      </c>
    </row>
    <row r="587" spans="1:20" x14ac:dyDescent="0.25">
      <c r="A587" s="5">
        <v>44006</v>
      </c>
      <c r="B587">
        <v>1.8879999999999999E-3</v>
      </c>
      <c r="C587">
        <v>1.8990000000000001E-3</v>
      </c>
      <c r="D587">
        <v>1.755E-3</v>
      </c>
      <c r="E587">
        <v>1.817E-3</v>
      </c>
      <c r="F587">
        <v>72629343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-0.13888888888888923</v>
      </c>
      <c r="Q587">
        <f t="shared" si="990"/>
        <v>-10087408.750000024</v>
      </c>
      <c r="R587">
        <f t="shared" si="991"/>
        <v>-716296144.67307043</v>
      </c>
      <c r="S587">
        <f t="shared" si="992"/>
        <v>-7162.9614467307047</v>
      </c>
      <c r="T587">
        <f t="shared" si="993"/>
        <v>-7.162961446730705</v>
      </c>
    </row>
    <row r="588" spans="1:20" x14ac:dyDescent="0.25">
      <c r="A588" s="5">
        <v>44005</v>
      </c>
      <c r="B588">
        <v>1.944E-3</v>
      </c>
      <c r="C588">
        <v>1.98E-3</v>
      </c>
      <c r="D588">
        <v>1.8420000000000001E-3</v>
      </c>
      <c r="E588">
        <v>1.8710000000000001E-3</v>
      </c>
      <c r="F588">
        <v>365590847</v>
      </c>
      <c r="G588">
        <v>0</v>
      </c>
      <c r="L588" t="s">
        <v>7</v>
      </c>
      <c r="M588" t="s">
        <v>7</v>
      </c>
      <c r="N588" t="s">
        <v>7</v>
      </c>
      <c r="P588">
        <f t="shared" si="989"/>
        <v>-0.5797101449275367</v>
      </c>
      <c r="Q588">
        <f t="shared" si="990"/>
        <v>-211936722.8985509</v>
      </c>
      <c r="R588">
        <f t="shared" si="991"/>
        <v>-706208735.92307043</v>
      </c>
      <c r="S588">
        <f t="shared" si="992"/>
        <v>-7062.0873592307044</v>
      </c>
      <c r="T588">
        <f t="shared" si="993"/>
        <v>-7.0620873592307047</v>
      </c>
    </row>
    <row r="589" spans="1:20" x14ac:dyDescent="0.25">
      <c r="A589" s="5">
        <v>44004</v>
      </c>
      <c r="B589">
        <v>1.951E-3</v>
      </c>
      <c r="C589">
        <v>2.0279999999999999E-3</v>
      </c>
      <c r="D589">
        <v>1.915E-3</v>
      </c>
      <c r="E589">
        <v>1.97E-3</v>
      </c>
      <c r="F589">
        <v>28028381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-2.654867256637141E-2</v>
      </c>
      <c r="Q589">
        <f t="shared" si="990"/>
        <v>-744116.30973450572</v>
      </c>
      <c r="R589">
        <f t="shared" si="991"/>
        <v>-494272013.02451956</v>
      </c>
      <c r="S589">
        <f t="shared" si="992"/>
        <v>-4942.7201302451958</v>
      </c>
      <c r="T589">
        <f t="shared" si="993"/>
        <v>-4.9427201302451955</v>
      </c>
    </row>
    <row r="590" spans="1:20" x14ac:dyDescent="0.25">
      <c r="A590" s="5">
        <v>44003</v>
      </c>
      <c r="B590">
        <v>1.9849999999999998E-3</v>
      </c>
      <c r="C590">
        <v>2.0100000000000001E-3</v>
      </c>
      <c r="D590">
        <v>1.928E-3</v>
      </c>
      <c r="E590">
        <v>1.951E-3</v>
      </c>
      <c r="F590">
        <v>24168500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-0.43902439024390233</v>
      </c>
      <c r="Q590">
        <f t="shared" si="990"/>
        <v>-10610560.975609753</v>
      </c>
      <c r="R590">
        <f t="shared" si="991"/>
        <v>-493527896.71478504</v>
      </c>
      <c r="S590">
        <f t="shared" si="992"/>
        <v>-4935.2789671478504</v>
      </c>
      <c r="T590">
        <f t="shared" si="993"/>
        <v>-4.9352789671478501</v>
      </c>
    </row>
    <row r="591" spans="1:20" x14ac:dyDescent="0.25">
      <c r="A591" s="5">
        <v>44002</v>
      </c>
      <c r="B591">
        <v>2.0209999999999998E-3</v>
      </c>
      <c r="C591">
        <v>2.1210000000000001E-3</v>
      </c>
      <c r="D591">
        <v>1.9040000000000001E-3</v>
      </c>
      <c r="E591">
        <v>1.977E-3</v>
      </c>
      <c r="F591">
        <v>100490042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-0.32718894009216642</v>
      </c>
      <c r="Q591">
        <f t="shared" si="990"/>
        <v>-32879230.331797287</v>
      </c>
      <c r="R591">
        <f t="shared" si="991"/>
        <v>-482917335.73917526</v>
      </c>
      <c r="S591">
        <f t="shared" si="992"/>
        <v>-4829.1733573917527</v>
      </c>
      <c r="T591">
        <f t="shared" si="993"/>
        <v>-4.8291733573917526</v>
      </c>
    </row>
    <row r="592" spans="1:20" x14ac:dyDescent="0.25">
      <c r="A592" s="5">
        <v>44001</v>
      </c>
      <c r="B592">
        <v>2.1250000000000002E-3</v>
      </c>
      <c r="C592">
        <v>2.2499999999999998E-3</v>
      </c>
      <c r="D592">
        <v>1.98E-3</v>
      </c>
      <c r="E592">
        <v>2.0200000000000001E-3</v>
      </c>
      <c r="F592">
        <v>424915506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-0.70370370370370272</v>
      </c>
      <c r="Q592">
        <f t="shared" si="990"/>
        <v>-299014615.3333329</v>
      </c>
      <c r="R592">
        <f t="shared" si="991"/>
        <v>-450038105.40737796</v>
      </c>
      <c r="S592">
        <f t="shared" si="992"/>
        <v>-4500.3810540737795</v>
      </c>
      <c r="T592">
        <f t="shared" si="993"/>
        <v>-4.5003810540737792</v>
      </c>
    </row>
    <row r="593" spans="1:20" x14ac:dyDescent="0.25">
      <c r="A593" s="5">
        <v>44000</v>
      </c>
      <c r="B593">
        <v>1.797E-3</v>
      </c>
      <c r="C593">
        <v>3.0799999999999998E-3</v>
      </c>
      <c r="D593">
        <v>1.797E-3</v>
      </c>
      <c r="E593">
        <v>2.1350000000000002E-3</v>
      </c>
      <c r="F593">
        <v>319214395</v>
      </c>
      <c r="G593">
        <v>0</v>
      </c>
      <c r="P593">
        <f t="shared" si="989"/>
        <v>-0.47310989867498016</v>
      </c>
      <c r="Q593">
        <f t="shared" si="990"/>
        <v>-151023490.07404509</v>
      </c>
      <c r="R593">
        <f t="shared" si="991"/>
        <v>-151023490.07404509</v>
      </c>
      <c r="S593">
        <f t="shared" si="992"/>
        <v>-1510.2349007404509</v>
      </c>
      <c r="T593">
        <f t="shared" si="993"/>
        <v>-1.510234900740451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D827" sqref="LD82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$A$826</v>
      </c>
      <c r="D111" s="1" t="str">
        <f>ADDRESS(C121-1,D121,1,1)</f>
        <v>$LD$826</v>
      </c>
      <c r="E111"/>
    </row>
    <row r="112" spans="1:5" x14ac:dyDescent="0.25">
      <c r="A112" s="7">
        <v>12164.144957890772</v>
      </c>
      <c r="C112" s="1" t="str">
        <f>ADDRESS(C121,1,1,1)</f>
        <v>$A$827</v>
      </c>
      <c r="D112" s="1" t="str">
        <f>ADDRESS(C121,D121-1,1,1)</f>
        <v>$LC$827</v>
      </c>
      <c r="E112"/>
    </row>
    <row r="113" spans="1:5" x14ac:dyDescent="0.25">
      <c r="A113" s="7">
        <v>11925.63231165762</v>
      </c>
      <c r="C113" s="1" t="str">
        <f>ADDRESS(C121+1,1,1,1)</f>
        <v>$A$828</v>
      </c>
      <c r="D113" s="1" t="str">
        <f>ADDRESS(C121-1,D121+1,1,1)</f>
        <v>$LE$826</v>
      </c>
    </row>
    <row r="114" spans="1:5" x14ac:dyDescent="0.25">
      <c r="A114" s="7">
        <v>11691.796383978059</v>
      </c>
      <c r="C114" s="1" t="str">
        <f>ADDRESS(C121,D121,1,1)</f>
        <v>$LD$827</v>
      </c>
      <c r="D114" s="1" t="str">
        <f>ADDRESS(C121+1,D121+1,1,1)</f>
        <v>$LE$828</v>
      </c>
    </row>
    <row r="115" spans="1:5" x14ac:dyDescent="0.25">
      <c r="A115" s="7">
        <v>11462.545474488292</v>
      </c>
      <c r="C115" s="1" t="str">
        <f>ADDRESS(C121+1,D121,1,1)</f>
        <v>$LD$828</v>
      </c>
    </row>
    <row r="116" spans="1:5" x14ac:dyDescent="0.25">
      <c r="A116" s="7">
        <v>11237.789680870874</v>
      </c>
      <c r="C116" s="1">
        <f>C117-1</f>
        <v>826</v>
      </c>
    </row>
    <row r="117" spans="1:5" x14ac:dyDescent="0.25">
      <c r="A117" s="7">
        <v>11017.440863598895</v>
      </c>
      <c r="C117" s="1">
        <f>C121</f>
        <v>827</v>
      </c>
      <c r="D117" s="1">
        <f>D121</f>
        <v>316</v>
      </c>
    </row>
    <row r="118" spans="1:5" x14ac:dyDescent="0.25">
      <c r="A118" s="7">
        <v>10801.412611371465</v>
      </c>
      <c r="C118" s="1">
        <f>C117+1</f>
        <v>828</v>
      </c>
      <c r="D118" s="1">
        <f>D117+1</f>
        <v>317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827</v>
      </c>
      <c r="D121" s="19">
        <v>316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R827</v>
      </c>
      <c r="D123" s="1" t="str">
        <f>"C"&amp;D121</f>
        <v>C316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8.6289663846986879E-3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174" x14ac:dyDescent="0.25">
      <c r="A737" s="7">
        <v>5.1283095966678877E-2</v>
      </c>
      <c r="B737"/>
      <c r="C737"/>
      <c r="D737"/>
      <c r="E737"/>
      <c r="F737" s="27" t="s">
        <v>7</v>
      </c>
    </row>
    <row r="738" spans="1:174" x14ac:dyDescent="0.25">
      <c r="A738" s="7">
        <v>5.0277545065371444E-2</v>
      </c>
      <c r="B738"/>
      <c r="C738"/>
      <c r="D738"/>
      <c r="E738"/>
      <c r="F738" s="27" t="s">
        <v>7</v>
      </c>
    </row>
    <row r="739" spans="1:174" x14ac:dyDescent="0.25">
      <c r="A739" s="7">
        <v>4.9291710848403378E-2</v>
      </c>
      <c r="B739"/>
      <c r="C739"/>
      <c r="D739"/>
      <c r="E739"/>
      <c r="F739" s="27" t="s">
        <v>7</v>
      </c>
    </row>
    <row r="740" spans="1:174" x14ac:dyDescent="0.25">
      <c r="A740" s="7">
        <v>4.8325206714120959E-2</v>
      </c>
      <c r="B740"/>
      <c r="C740"/>
      <c r="D740"/>
      <c r="E740"/>
      <c r="F740" s="27" t="s">
        <v>7</v>
      </c>
    </row>
    <row r="741" spans="1:174" x14ac:dyDescent="0.25">
      <c r="A741" s="7">
        <v>4.7377653641295057E-2</v>
      </c>
      <c r="B741"/>
      <c r="C741"/>
      <c r="D741"/>
      <c r="E741"/>
      <c r="F741" s="27" t="s">
        <v>7</v>
      </c>
    </row>
    <row r="742" spans="1:174" x14ac:dyDescent="0.25">
      <c r="A742" s="7">
        <v>4.644868004048535E-2</v>
      </c>
      <c r="B742"/>
      <c r="C742"/>
      <c r="D742"/>
      <c r="E742"/>
      <c r="F742" s="27" t="s">
        <v>7</v>
      </c>
    </row>
    <row r="743" spans="1:174" x14ac:dyDescent="0.25">
      <c r="A743" s="7">
        <v>4.5537921608318974E-2</v>
      </c>
      <c r="B743"/>
      <c r="C743"/>
      <c r="D743"/>
      <c r="E743"/>
      <c r="F743" s="27" t="s">
        <v>7</v>
      </c>
    </row>
    <row r="744" spans="1:174" x14ac:dyDescent="0.25">
      <c r="A744" s="7">
        <v>4.4645021184626446E-2</v>
      </c>
      <c r="B744"/>
      <c r="C744"/>
      <c r="D744"/>
      <c r="E744"/>
      <c r="F744" s="27" t="s">
        <v>7</v>
      </c>
    </row>
    <row r="745" spans="1:174" x14ac:dyDescent="0.25">
      <c r="A745" s="7">
        <v>4.3769628612378868E-2</v>
      </c>
      <c r="B745"/>
      <c r="C745"/>
      <c r="D745"/>
      <c r="E745"/>
      <c r="F745" s="27" t="s">
        <v>7</v>
      </c>
    </row>
    <row r="746" spans="1:174" x14ac:dyDescent="0.25">
      <c r="A746" s="7">
        <v>4.2911400600371442E-2</v>
      </c>
      <c r="B746"/>
      <c r="C746"/>
      <c r="D746"/>
      <c r="E746"/>
      <c r="F746" s="27" t="s">
        <v>7</v>
      </c>
    </row>
    <row r="747" spans="1:174" x14ac:dyDescent="0.25">
      <c r="A747" s="7">
        <v>4.2070000588599457E-2</v>
      </c>
      <c r="B747"/>
      <c r="C747"/>
      <c r="D747"/>
      <c r="E747"/>
      <c r="F747" s="27" t="s">
        <v>7</v>
      </c>
    </row>
    <row r="748" spans="1:174" x14ac:dyDescent="0.25">
      <c r="A748" s="7">
        <v>4.1245098616273977E-2</v>
      </c>
      <c r="B748"/>
      <c r="C748"/>
      <c r="D748"/>
      <c r="E748"/>
      <c r="F748" s="27" t="s">
        <v>7</v>
      </c>
    </row>
    <row r="749" spans="1:174" x14ac:dyDescent="0.25">
      <c r="A749" s="7">
        <v>4.043637119242547E-2</v>
      </c>
      <c r="B749"/>
      <c r="C749"/>
      <c r="D749"/>
      <c r="E749"/>
      <c r="F749" s="27" t="s">
        <v>7</v>
      </c>
      <c r="EY749" s="27" t="s">
        <v>8</v>
      </c>
    </row>
    <row r="750" spans="1:174" x14ac:dyDescent="0.25">
      <c r="A750" s="7">
        <v>3.9643501169044582E-2</v>
      </c>
      <c r="B750"/>
      <c r="C750"/>
      <c r="D750"/>
      <c r="E750"/>
      <c r="F750" s="27" t="s">
        <v>7</v>
      </c>
      <c r="EY750" s="27" t="s">
        <v>8</v>
      </c>
      <c r="EZ750" s="27" t="s">
        <v>7</v>
      </c>
      <c r="FA750" s="27" t="s">
        <v>8</v>
      </c>
      <c r="FQ750" s="27" t="s">
        <v>8</v>
      </c>
    </row>
    <row r="751" spans="1:174" x14ac:dyDescent="0.25">
      <c r="A751" s="7">
        <v>3.8866177616710372E-2</v>
      </c>
      <c r="B751"/>
      <c r="C751"/>
      <c r="D751"/>
      <c r="E751"/>
      <c r="F751" s="27" t="s">
        <v>7</v>
      </c>
      <c r="EY751" s="27" t="s">
        <v>8</v>
      </c>
      <c r="EZ751" s="27" t="s">
        <v>7</v>
      </c>
      <c r="FA751" s="27" t="s">
        <v>8</v>
      </c>
      <c r="FB751" s="27" t="s">
        <v>7</v>
      </c>
      <c r="FQ751" s="27" t="s">
        <v>8</v>
      </c>
      <c r="FR751" s="27" t="s">
        <v>7</v>
      </c>
    </row>
    <row r="752" spans="1:174" x14ac:dyDescent="0.25">
      <c r="A752" s="7">
        <v>3.8104095702657229E-2</v>
      </c>
      <c r="B752"/>
      <c r="C752"/>
      <c r="D752"/>
      <c r="E752"/>
      <c r="F752" s="27" t="s">
        <v>7</v>
      </c>
      <c r="EY752" s="27" t="s">
        <v>8</v>
      </c>
      <c r="EZ752" s="27" t="s">
        <v>7</v>
      </c>
      <c r="FA752" s="27" t="s">
        <v>8</v>
      </c>
      <c r="FB752" s="27" t="s">
        <v>7</v>
      </c>
      <c r="FQ752" s="27" t="s">
        <v>8</v>
      </c>
      <c r="FR752" s="27" t="s">
        <v>7</v>
      </c>
    </row>
    <row r="753" spans="1:266" x14ac:dyDescent="0.25">
      <c r="A753" s="7">
        <v>3.7356956571232579E-2</v>
      </c>
      <c r="B753"/>
      <c r="C753"/>
      <c r="D753"/>
      <c r="E753"/>
      <c r="F753" s="27" t="s">
        <v>7</v>
      </c>
      <c r="EY753" s="27" t="s">
        <v>8</v>
      </c>
      <c r="EZ753" s="27" t="s">
        <v>7</v>
      </c>
      <c r="FA753" s="27" t="s">
        <v>8</v>
      </c>
      <c r="FB753" s="27" t="s">
        <v>7</v>
      </c>
      <c r="FG753" s="27" t="s">
        <v>8</v>
      </c>
      <c r="FQ753" s="27" t="s">
        <v>8</v>
      </c>
      <c r="FR753" s="27" t="s">
        <v>7</v>
      </c>
    </row>
    <row r="754" spans="1:266" x14ac:dyDescent="0.25">
      <c r="A754" s="7">
        <v>3.6624467226698605E-2</v>
      </c>
      <c r="B754"/>
      <c r="C754"/>
      <c r="D754"/>
      <c r="E754"/>
      <c r="F754" s="27" t="s">
        <v>7</v>
      </c>
      <c r="EY754" s="27" t="s">
        <v>8</v>
      </c>
      <c r="EZ754" s="27" t="s">
        <v>7</v>
      </c>
      <c r="FA754" s="27" t="s">
        <v>8</v>
      </c>
      <c r="FB754" s="27" t="s">
        <v>7</v>
      </c>
      <c r="FG754" s="27" t="s">
        <v>8</v>
      </c>
      <c r="FH754" s="27" t="s">
        <v>7</v>
      </c>
      <c r="FQ754" s="27" t="s">
        <v>8</v>
      </c>
      <c r="FR754" s="27" t="s">
        <v>7</v>
      </c>
    </row>
    <row r="755" spans="1:266" x14ac:dyDescent="0.25">
      <c r="A755" s="7">
        <v>3.5906340418331961E-2</v>
      </c>
      <c r="B755"/>
      <c r="C755"/>
      <c r="D755"/>
      <c r="E755"/>
      <c r="F755" s="27" t="s">
        <v>7</v>
      </c>
      <c r="EY755" s="27" t="s">
        <v>8</v>
      </c>
      <c r="EZ755" s="27" t="s">
        <v>7</v>
      </c>
      <c r="FA755" s="27" t="s">
        <v>8</v>
      </c>
      <c r="FB755" s="27" t="s">
        <v>7</v>
      </c>
      <c r="FG755" s="27" t="s">
        <v>8</v>
      </c>
      <c r="FH755" s="27" t="s">
        <v>7</v>
      </c>
      <c r="FI755" s="27" t="s">
        <v>8</v>
      </c>
      <c r="FQ755" s="27" t="s">
        <v>8</v>
      </c>
      <c r="FR755" s="27" t="s">
        <v>7</v>
      </c>
    </row>
    <row r="756" spans="1:266" x14ac:dyDescent="0.25">
      <c r="A756" s="7">
        <v>3.5202294527776436E-2</v>
      </c>
      <c r="B756"/>
      <c r="C756"/>
      <c r="D756"/>
      <c r="E756"/>
      <c r="F756" s="27" t="s">
        <v>7</v>
      </c>
      <c r="EY756" s="27" t="s">
        <v>8</v>
      </c>
      <c r="EZ756" s="27" t="s">
        <v>7</v>
      </c>
      <c r="FA756" s="27" t="s">
        <v>8</v>
      </c>
      <c r="FB756" s="27" t="s">
        <v>7</v>
      </c>
      <c r="FG756" s="27" t="s">
        <v>8</v>
      </c>
      <c r="FH756" s="27" t="s">
        <v>7</v>
      </c>
      <c r="FI756" s="27" t="s">
        <v>8</v>
      </c>
      <c r="FJ756" s="27" t="s">
        <v>7</v>
      </c>
      <c r="FQ756" s="27" t="s">
        <v>8</v>
      </c>
      <c r="FR756" s="27" t="s">
        <v>7</v>
      </c>
    </row>
    <row r="757" spans="1:266" x14ac:dyDescent="0.25">
      <c r="A757" s="7">
        <v>3.451205345860435E-2</v>
      </c>
      <c r="B757"/>
      <c r="C757"/>
      <c r="D757"/>
      <c r="E757"/>
      <c r="F757" s="27" t="s">
        <v>7</v>
      </c>
      <c r="EY757" s="27" t="s">
        <v>8</v>
      </c>
      <c r="EZ757" s="27" t="s">
        <v>7</v>
      </c>
      <c r="FA757" s="27" t="s">
        <v>8</v>
      </c>
      <c r="FB757" s="27" t="s">
        <v>7</v>
      </c>
      <c r="FG757" s="27" t="s">
        <v>8</v>
      </c>
      <c r="FH757" s="27" t="s">
        <v>7</v>
      </c>
      <c r="FI757" s="27" t="s">
        <v>8</v>
      </c>
      <c r="FJ757" s="27" t="s">
        <v>7</v>
      </c>
      <c r="FQ757" s="27" t="s">
        <v>8</v>
      </c>
      <c r="FR757" s="27" t="s">
        <v>7</v>
      </c>
    </row>
    <row r="758" spans="1:266" x14ac:dyDescent="0.25">
      <c r="A758" s="7">
        <v>3.3835346528043479E-2</v>
      </c>
      <c r="B758"/>
      <c r="C758"/>
      <c r="D758"/>
      <c r="E758"/>
      <c r="F758" s="27" t="s">
        <v>7</v>
      </c>
      <c r="EY758" s="27" t="s">
        <v>8</v>
      </c>
      <c r="EZ758" s="27" t="s">
        <v>7</v>
      </c>
      <c r="FA758" s="27" t="s">
        <v>8</v>
      </c>
      <c r="FB758" s="27" t="s">
        <v>7</v>
      </c>
      <c r="FG758" s="27" t="s">
        <v>8</v>
      </c>
      <c r="FH758" s="27" t="s">
        <v>7</v>
      </c>
      <c r="FI758" s="27" t="s">
        <v>8</v>
      </c>
      <c r="FJ758" s="27" t="s">
        <v>7</v>
      </c>
      <c r="FQ758" s="27" t="s">
        <v>8</v>
      </c>
      <c r="FR758" s="27" t="s">
        <v>7</v>
      </c>
      <c r="GU758" s="27" t="s">
        <v>8</v>
      </c>
    </row>
    <row r="759" spans="1:266" x14ac:dyDescent="0.25">
      <c r="A759" s="7">
        <v>3.3171908360826938E-2</v>
      </c>
      <c r="B759"/>
      <c r="C759"/>
      <c r="D759"/>
      <c r="E759"/>
      <c r="F759" s="27" t="s">
        <v>7</v>
      </c>
      <c r="EY759" s="27" t="s">
        <v>8</v>
      </c>
      <c r="EZ759" s="27" t="s">
        <v>7</v>
      </c>
      <c r="FA759" s="27" t="s">
        <v>8</v>
      </c>
      <c r="FB759" s="27" t="s">
        <v>7</v>
      </c>
      <c r="FG759" s="27" t="s">
        <v>8</v>
      </c>
      <c r="FH759" s="27" t="s">
        <v>7</v>
      </c>
      <c r="FI759" s="27" t="s">
        <v>8</v>
      </c>
      <c r="FJ759" s="27" t="s">
        <v>7</v>
      </c>
      <c r="FQ759" s="27" t="s">
        <v>8</v>
      </c>
      <c r="FR759" s="27" t="s">
        <v>7</v>
      </c>
      <c r="GU759" s="27" t="s">
        <v>8</v>
      </c>
      <c r="GV759" s="27" t="s">
        <v>7</v>
      </c>
    </row>
    <row r="760" spans="1:266" x14ac:dyDescent="0.25">
      <c r="A760" s="7">
        <v>3.2521478785124451E-2</v>
      </c>
      <c r="B760"/>
      <c r="C760"/>
      <c r="D760"/>
      <c r="E760"/>
      <c r="F760" s="27" t="s">
        <v>7</v>
      </c>
      <c r="EY760" s="27" t="s">
        <v>8</v>
      </c>
      <c r="EZ760" s="27" t="s">
        <v>7</v>
      </c>
      <c r="FA760" s="27" t="s">
        <v>8</v>
      </c>
      <c r="FB760" s="27" t="s">
        <v>7</v>
      </c>
      <c r="FG760" s="27" t="s">
        <v>8</v>
      </c>
      <c r="FH760" s="27" t="s">
        <v>7</v>
      </c>
      <c r="FI760" s="27" t="s">
        <v>8</v>
      </c>
      <c r="FJ760" s="27" t="s">
        <v>7</v>
      </c>
      <c r="FQ760" s="27" t="s">
        <v>8</v>
      </c>
      <c r="FR760" s="27" t="s">
        <v>7</v>
      </c>
      <c r="GU760" s="27" t="s">
        <v>8</v>
      </c>
      <c r="GV760" s="27" t="s">
        <v>7</v>
      </c>
    </row>
    <row r="761" spans="1:266" x14ac:dyDescent="0.25">
      <c r="A761" s="7">
        <v>3.1883802730514173E-2</v>
      </c>
      <c r="B761"/>
      <c r="C761"/>
      <c r="D761"/>
      <c r="E761"/>
      <c r="F761" s="27" t="s">
        <v>7</v>
      </c>
      <c r="EY761" s="27" t="s">
        <v>8</v>
      </c>
      <c r="EZ761" s="27" t="s">
        <v>7</v>
      </c>
      <c r="FA761" s="27" t="s">
        <v>8</v>
      </c>
      <c r="FB761" s="27" t="s">
        <v>7</v>
      </c>
      <c r="FG761" s="27" t="s">
        <v>8</v>
      </c>
      <c r="FH761" s="27" t="s">
        <v>7</v>
      </c>
      <c r="FI761" s="27" t="s">
        <v>8</v>
      </c>
      <c r="FJ761" s="27" t="s">
        <v>7</v>
      </c>
      <c r="FQ761" s="27" t="s">
        <v>8</v>
      </c>
      <c r="FR761" s="27" t="s">
        <v>7</v>
      </c>
      <c r="GU761" s="27" t="s">
        <v>8</v>
      </c>
      <c r="GV761" s="27" t="s">
        <v>7</v>
      </c>
      <c r="JE761" s="27" t="s">
        <v>8</v>
      </c>
    </row>
    <row r="762" spans="1:266" x14ac:dyDescent="0.25">
      <c r="A762" s="7">
        <v>3.1258630127955073E-2</v>
      </c>
      <c r="B762"/>
      <c r="C762"/>
      <c r="D762"/>
      <c r="E762"/>
      <c r="F762" s="27" t="s">
        <v>7</v>
      </c>
      <c r="EY762" s="27" t="s">
        <v>8</v>
      </c>
      <c r="EZ762" s="27" t="s">
        <v>7</v>
      </c>
      <c r="FA762" s="27" t="s">
        <v>8</v>
      </c>
      <c r="FB762" s="27" t="s">
        <v>7</v>
      </c>
      <c r="FG762" s="27" t="s">
        <v>8</v>
      </c>
      <c r="FH762" s="27" t="s">
        <v>7</v>
      </c>
      <c r="FI762" s="27" t="s">
        <v>8</v>
      </c>
      <c r="FJ762" s="27" t="s">
        <v>7</v>
      </c>
      <c r="FQ762" s="27" t="s">
        <v>8</v>
      </c>
      <c r="FR762" s="27" t="s">
        <v>7</v>
      </c>
      <c r="GU762" s="27" t="s">
        <v>8</v>
      </c>
      <c r="GV762" s="27" t="s">
        <v>7</v>
      </c>
      <c r="JE762" s="27" t="s">
        <v>8</v>
      </c>
      <c r="JF762" s="27" t="s">
        <v>7</v>
      </c>
    </row>
    <row r="763" spans="1:266" x14ac:dyDescent="0.25">
      <c r="A763" s="7">
        <v>3.064571581172066E-2</v>
      </c>
      <c r="B763"/>
      <c r="C763"/>
      <c r="D763"/>
      <c r="E763"/>
      <c r="F763" s="27" t="s">
        <v>7</v>
      </c>
      <c r="EY763" s="27" t="s">
        <v>8</v>
      </c>
      <c r="EZ763" s="27" t="s">
        <v>7</v>
      </c>
      <c r="FA763" s="27" t="s">
        <v>8</v>
      </c>
      <c r="FB763" s="27" t="s">
        <v>7</v>
      </c>
      <c r="FG763" s="27" t="s">
        <v>8</v>
      </c>
      <c r="FH763" s="27" t="s">
        <v>7</v>
      </c>
      <c r="FI763" s="27" t="s">
        <v>8</v>
      </c>
      <c r="FJ763" s="27" t="s">
        <v>7</v>
      </c>
      <c r="FQ763" s="27" t="s">
        <v>8</v>
      </c>
      <c r="FR763" s="27" t="s">
        <v>7</v>
      </c>
      <c r="GU763" s="27" t="s">
        <v>8</v>
      </c>
      <c r="GV763" s="27" t="s">
        <v>7</v>
      </c>
      <c r="JE763" s="27" t="s">
        <v>8</v>
      </c>
      <c r="JF763" s="27" t="s">
        <v>7</v>
      </c>
    </row>
    <row r="764" spans="1:266" x14ac:dyDescent="0.25">
      <c r="A764" s="7">
        <v>3.0044819423255549E-2</v>
      </c>
      <c r="B764"/>
      <c r="C764"/>
      <c r="D764"/>
      <c r="E764"/>
      <c r="F764" s="27" t="s">
        <v>7</v>
      </c>
      <c r="EY764" s="27" t="s">
        <v>8</v>
      </c>
      <c r="EZ764" s="27" t="s">
        <v>7</v>
      </c>
      <c r="FA764" s="27" t="s">
        <v>8</v>
      </c>
      <c r="FB764" s="27" t="s">
        <v>7</v>
      </c>
      <c r="FG764" s="27" t="s">
        <v>8</v>
      </c>
      <c r="FH764" s="27" t="s">
        <v>7</v>
      </c>
      <c r="FJ764" s="27" t="s">
        <v>7</v>
      </c>
      <c r="FQ764" s="27" t="s">
        <v>8</v>
      </c>
      <c r="FR764" s="27" t="s">
        <v>7</v>
      </c>
      <c r="GU764" s="27" t="s">
        <v>8</v>
      </c>
      <c r="GV764" s="27" t="s">
        <v>7</v>
      </c>
      <c r="JE764" s="27" t="s">
        <v>8</v>
      </c>
      <c r="JF764" s="27" t="s">
        <v>7</v>
      </c>
    </row>
    <row r="765" spans="1:266" x14ac:dyDescent="0.25">
      <c r="A765" s="7">
        <v>2.9455705316917203E-2</v>
      </c>
      <c r="B765"/>
      <c r="C765"/>
      <c r="D765"/>
      <c r="E765"/>
      <c r="F765" s="27" t="s">
        <v>7</v>
      </c>
      <c r="EY765" s="27" t="s">
        <v>8</v>
      </c>
      <c r="EZ765" s="27" t="s">
        <v>7</v>
      </c>
      <c r="FA765" s="27" t="s">
        <v>8</v>
      </c>
      <c r="FB765" s="27" t="s">
        <v>7</v>
      </c>
      <c r="FE765" s="27" t="s">
        <v>8</v>
      </c>
      <c r="FG765" s="27" t="s">
        <v>8</v>
      </c>
      <c r="FJ765" s="27" t="s">
        <v>7</v>
      </c>
      <c r="FK765" s="27" t="s">
        <v>8</v>
      </c>
      <c r="FQ765" s="27" t="s">
        <v>8</v>
      </c>
      <c r="FR765" s="27" t="s">
        <v>7</v>
      </c>
      <c r="GU765" s="27" t="s">
        <v>8</v>
      </c>
      <c r="GV765" s="27" t="s">
        <v>7</v>
      </c>
      <c r="JE765" s="27" t="s">
        <v>8</v>
      </c>
      <c r="JF765" s="27" t="s">
        <v>7</v>
      </c>
    </row>
    <row r="766" spans="1:266" x14ac:dyDescent="0.25">
      <c r="A766" s="7">
        <v>2.8878142467565884E-2</v>
      </c>
      <c r="B766"/>
      <c r="C766"/>
      <c r="D766"/>
      <c r="E766"/>
      <c r="F766" s="27" t="s">
        <v>7</v>
      </c>
      <c r="EY766" s="27" t="s">
        <v>8</v>
      </c>
      <c r="EZ766" s="27" t="s">
        <v>7</v>
      </c>
      <c r="FA766" s="27" t="s">
        <v>8</v>
      </c>
      <c r="FB766" s="27" t="s">
        <v>7</v>
      </c>
      <c r="FE766" s="27" t="s">
        <v>8</v>
      </c>
      <c r="FF766" s="27" t="s">
        <v>7</v>
      </c>
      <c r="FG766" s="27" t="s">
        <v>8</v>
      </c>
      <c r="FJ766" s="27" t="s">
        <v>7</v>
      </c>
      <c r="FK766" s="27" t="s">
        <v>8</v>
      </c>
      <c r="FL766" s="27" t="s">
        <v>7</v>
      </c>
      <c r="FQ766" s="27" t="s">
        <v>8</v>
      </c>
      <c r="FR766" s="27" t="s">
        <v>7</v>
      </c>
      <c r="GU766" s="27" t="s">
        <v>8</v>
      </c>
      <c r="GV766" s="27" t="s">
        <v>7</v>
      </c>
      <c r="JE766" s="27" t="s">
        <v>8</v>
      </c>
      <c r="JF766" s="27" t="s">
        <v>7</v>
      </c>
    </row>
    <row r="767" spans="1:266" x14ac:dyDescent="0.25">
      <c r="A767" s="7">
        <v>2.8311904379966554E-2</v>
      </c>
      <c r="B767"/>
      <c r="C767"/>
      <c r="D767"/>
      <c r="E767"/>
      <c r="F767" s="27" t="s">
        <v>7</v>
      </c>
      <c r="EY767" s="27" t="s">
        <v>8</v>
      </c>
      <c r="EZ767" s="27" t="s">
        <v>7</v>
      </c>
      <c r="FA767" s="27" t="s">
        <v>8</v>
      </c>
      <c r="FB767" s="27" t="s">
        <v>7</v>
      </c>
      <c r="FE767" s="27" t="s">
        <v>8</v>
      </c>
      <c r="FF767" s="27" t="s">
        <v>7</v>
      </c>
      <c r="FG767" s="27" t="s">
        <v>8</v>
      </c>
      <c r="FJ767" s="27" t="s">
        <v>7</v>
      </c>
      <c r="FK767" s="27" t="s">
        <v>8</v>
      </c>
      <c r="FL767" s="27" t="s">
        <v>7</v>
      </c>
      <c r="FQ767" s="27" t="s">
        <v>8</v>
      </c>
      <c r="FR767" s="27" t="s">
        <v>7</v>
      </c>
      <c r="GA767" s="27" t="s">
        <v>8</v>
      </c>
      <c r="GU767" s="27" t="s">
        <v>8</v>
      </c>
      <c r="GV767" s="27" t="s">
        <v>7</v>
      </c>
      <c r="JE767" s="27" t="s">
        <v>8</v>
      </c>
      <c r="JF767" s="27" t="s">
        <v>7</v>
      </c>
    </row>
    <row r="768" spans="1:266" x14ac:dyDescent="0.25">
      <c r="A768" s="7">
        <v>2.7756768999967207E-2</v>
      </c>
      <c r="B768"/>
      <c r="C768"/>
      <c r="D768"/>
      <c r="E768"/>
      <c r="F768" s="27" t="s">
        <v>7</v>
      </c>
      <c r="EY768" s="27" t="s">
        <v>8</v>
      </c>
      <c r="EZ768" s="27" t="s">
        <v>7</v>
      </c>
      <c r="FA768" s="27" t="s">
        <v>8</v>
      </c>
      <c r="FB768" s="27" t="s">
        <v>7</v>
      </c>
      <c r="FE768" s="27" t="s">
        <v>8</v>
      </c>
      <c r="FF768" s="27" t="s">
        <v>7</v>
      </c>
      <c r="FG768" s="27" t="s">
        <v>8</v>
      </c>
      <c r="FJ768" s="27" t="s">
        <v>7</v>
      </c>
      <c r="FK768" s="27" t="s">
        <v>8</v>
      </c>
      <c r="FL768" s="27" t="s">
        <v>7</v>
      </c>
      <c r="FQ768" s="27" t="s">
        <v>8</v>
      </c>
      <c r="FR768" s="27" t="s">
        <v>7</v>
      </c>
      <c r="GA768" s="27" t="s">
        <v>8</v>
      </c>
      <c r="GB768" s="27" t="s">
        <v>7</v>
      </c>
      <c r="GU768" s="27" t="s">
        <v>8</v>
      </c>
      <c r="GV768" s="27" t="s">
        <v>7</v>
      </c>
      <c r="JE768" s="27" t="s">
        <v>8</v>
      </c>
      <c r="JF768" s="27" t="s">
        <v>7</v>
      </c>
    </row>
    <row r="769" spans="1:288" x14ac:dyDescent="0.25">
      <c r="A769" s="7">
        <v>2.7212518627418834E-2</v>
      </c>
      <c r="B769"/>
      <c r="C769"/>
      <c r="D769"/>
      <c r="E769"/>
      <c r="F769" s="27" t="s">
        <v>7</v>
      </c>
      <c r="EY769" s="27" t="s">
        <v>8</v>
      </c>
      <c r="EZ769" s="27" t="s">
        <v>7</v>
      </c>
      <c r="FA769" s="27" t="s">
        <v>8</v>
      </c>
      <c r="FB769" s="27" t="s">
        <v>7</v>
      </c>
      <c r="FE769" s="27" t="s">
        <v>8</v>
      </c>
      <c r="FF769" s="27" t="s">
        <v>7</v>
      </c>
      <c r="FG769" s="27" t="s">
        <v>8</v>
      </c>
      <c r="FJ769" s="27" t="s">
        <v>7</v>
      </c>
      <c r="FK769" s="27" t="s">
        <v>8</v>
      </c>
      <c r="FL769" s="27" t="s">
        <v>7</v>
      </c>
      <c r="FQ769" s="27" t="s">
        <v>8</v>
      </c>
      <c r="FR769" s="27" t="s">
        <v>7</v>
      </c>
      <c r="GA769" s="27" t="s">
        <v>8</v>
      </c>
      <c r="GB769" s="27" t="s">
        <v>7</v>
      </c>
      <c r="GU769" s="27" t="s">
        <v>8</v>
      </c>
      <c r="GV769" s="27" t="s">
        <v>7</v>
      </c>
      <c r="JE769" s="27" t="s">
        <v>8</v>
      </c>
      <c r="JF769" s="27" t="s">
        <v>7</v>
      </c>
    </row>
    <row r="770" spans="1:288" x14ac:dyDescent="0.25">
      <c r="A770" s="7">
        <v>2.6678939830802779E-2</v>
      </c>
      <c r="B770"/>
      <c r="C770"/>
      <c r="D770"/>
      <c r="E770"/>
      <c r="F770" s="27" t="s">
        <v>7</v>
      </c>
      <c r="EY770" s="27" t="s">
        <v>8</v>
      </c>
      <c r="EZ770" s="27" t="s">
        <v>7</v>
      </c>
      <c r="FB770" s="27" t="s">
        <v>7</v>
      </c>
      <c r="FC770" s="27" t="s">
        <v>8</v>
      </c>
      <c r="FE770" s="27" t="s">
        <v>8</v>
      </c>
      <c r="FF770" s="27" t="s">
        <v>7</v>
      </c>
      <c r="FJ770" s="27" t="s">
        <v>7</v>
      </c>
      <c r="FK770" s="27" t="s">
        <v>8</v>
      </c>
      <c r="FL770" s="27" t="s">
        <v>7</v>
      </c>
      <c r="FQ770" s="27" t="s">
        <v>8</v>
      </c>
      <c r="FR770" s="27" t="s">
        <v>7</v>
      </c>
      <c r="GA770" s="27" t="s">
        <v>8</v>
      </c>
      <c r="GB770" s="27" t="s">
        <v>7</v>
      </c>
      <c r="GU770" s="27" t="s">
        <v>8</v>
      </c>
      <c r="GV770" s="27" t="s">
        <v>7</v>
      </c>
      <c r="JE770" s="27" t="s">
        <v>8</v>
      </c>
      <c r="JF770" s="27" t="s">
        <v>7</v>
      </c>
    </row>
    <row r="771" spans="1:288" x14ac:dyDescent="0.25">
      <c r="A771" s="7">
        <v>2.615582336353214E-2</v>
      </c>
      <c r="B771"/>
      <c r="C771"/>
      <c r="D771"/>
      <c r="E771"/>
      <c r="F771" s="27" t="s">
        <v>7</v>
      </c>
      <c r="EY771" s="27" t="s">
        <v>8</v>
      </c>
      <c r="FB771" s="27" t="s">
        <v>7</v>
      </c>
      <c r="FC771" s="27" t="s">
        <v>8</v>
      </c>
      <c r="FD771" s="27" t="s">
        <v>7</v>
      </c>
      <c r="FE771" s="27" t="s">
        <v>8</v>
      </c>
      <c r="FJ771" s="27" t="s">
        <v>7</v>
      </c>
      <c r="FK771" s="27" t="s">
        <v>8</v>
      </c>
      <c r="FL771" s="27" t="s">
        <v>7</v>
      </c>
      <c r="FQ771" s="27" t="s">
        <v>8</v>
      </c>
      <c r="FR771" s="27" t="s">
        <v>7</v>
      </c>
      <c r="FS771" s="27" t="s">
        <v>8</v>
      </c>
      <c r="GA771" s="27" t="s">
        <v>8</v>
      </c>
      <c r="GB771" s="27" t="s">
        <v>7</v>
      </c>
      <c r="GU771" s="27" t="s">
        <v>8</v>
      </c>
      <c r="GV771" s="27" t="s">
        <v>7</v>
      </c>
      <c r="JE771" s="27" t="s">
        <v>8</v>
      </c>
      <c r="JF771" s="27" t="s">
        <v>7</v>
      </c>
    </row>
    <row r="772" spans="1:288" x14ac:dyDescent="0.25">
      <c r="A772" s="7">
        <v>2.5642964081894253E-2</v>
      </c>
      <c r="B772"/>
      <c r="C772"/>
      <c r="D772"/>
      <c r="E772"/>
      <c r="F772" s="27" t="s">
        <v>7</v>
      </c>
      <c r="EY772" s="27" t="s">
        <v>8</v>
      </c>
      <c r="FB772" s="27" t="s">
        <v>7</v>
      </c>
      <c r="FC772" s="27" t="s">
        <v>8</v>
      </c>
      <c r="FD772" s="27" t="s">
        <v>7</v>
      </c>
      <c r="FE772" s="27" t="s">
        <v>8</v>
      </c>
      <c r="FJ772" s="27" t="s">
        <v>7</v>
      </c>
      <c r="FK772" s="27" t="s">
        <v>8</v>
      </c>
      <c r="FL772" s="27" t="s">
        <v>7</v>
      </c>
      <c r="FM772" s="27" t="s">
        <v>8</v>
      </c>
      <c r="FQ772" s="27" t="s">
        <v>8</v>
      </c>
      <c r="FR772" s="27" t="s">
        <v>7</v>
      </c>
      <c r="FS772" s="27" t="s">
        <v>8</v>
      </c>
      <c r="FT772" s="27" t="s">
        <v>7</v>
      </c>
      <c r="GA772" s="27" t="s">
        <v>8</v>
      </c>
      <c r="GB772" s="27" t="s">
        <v>7</v>
      </c>
      <c r="GU772" s="27" t="s">
        <v>8</v>
      </c>
      <c r="GV772" s="27" t="s">
        <v>7</v>
      </c>
      <c r="JE772" s="27" t="s">
        <v>8</v>
      </c>
      <c r="JF772" s="27" t="s">
        <v>7</v>
      </c>
    </row>
    <row r="773" spans="1:288" x14ac:dyDescent="0.25">
      <c r="A773" s="7">
        <v>2.5140160864602207E-2</v>
      </c>
      <c r="B773"/>
      <c r="C773"/>
      <c r="D773"/>
      <c r="E773"/>
      <c r="F773" s="27" t="s">
        <v>7</v>
      </c>
      <c r="EY773" s="27" t="s">
        <v>8</v>
      </c>
      <c r="FB773" s="27" t="s">
        <v>7</v>
      </c>
      <c r="FC773" s="27" t="s">
        <v>8</v>
      </c>
      <c r="FD773" s="27" t="s">
        <v>7</v>
      </c>
      <c r="FE773" s="27" t="s">
        <v>8</v>
      </c>
      <c r="FJ773" s="27" t="s">
        <v>7</v>
      </c>
      <c r="FK773" s="27" t="s">
        <v>8</v>
      </c>
      <c r="FL773" s="27" t="s">
        <v>7</v>
      </c>
      <c r="FM773" s="27" t="s">
        <v>8</v>
      </c>
      <c r="FN773" s="27" t="s">
        <v>7</v>
      </c>
      <c r="FO773" s="27" t="s">
        <v>8</v>
      </c>
      <c r="FQ773" s="27" t="s">
        <v>8</v>
      </c>
      <c r="FR773" s="27" t="s">
        <v>7</v>
      </c>
      <c r="FS773" s="27" t="s">
        <v>8</v>
      </c>
      <c r="FT773" s="27" t="s">
        <v>7</v>
      </c>
      <c r="GA773" s="27" t="s">
        <v>8</v>
      </c>
      <c r="GB773" s="27" t="s">
        <v>7</v>
      </c>
      <c r="GU773" s="27" t="s">
        <v>8</v>
      </c>
      <c r="GV773" s="27" t="s">
        <v>7</v>
      </c>
      <c r="JE773" s="27" t="s">
        <v>8</v>
      </c>
      <c r="JF773" s="27" t="s">
        <v>7</v>
      </c>
    </row>
    <row r="774" spans="1:288" x14ac:dyDescent="0.25">
      <c r="A774" s="7">
        <v>2.4647216533923735E-2</v>
      </c>
      <c r="B774"/>
      <c r="C774"/>
      <c r="D774"/>
      <c r="E774"/>
      <c r="F774" s="27" t="s">
        <v>7</v>
      </c>
      <c r="EW774" s="27" t="s">
        <v>8</v>
      </c>
      <c r="EY774" s="27" t="s">
        <v>8</v>
      </c>
      <c r="FB774" s="27" t="s">
        <v>7</v>
      </c>
      <c r="FC774" s="27" t="s">
        <v>8</v>
      </c>
      <c r="FD774" s="27" t="s">
        <v>7</v>
      </c>
      <c r="FE774" s="27" t="s">
        <v>8</v>
      </c>
      <c r="FJ774" s="27" t="s">
        <v>7</v>
      </c>
      <c r="FK774" s="27" t="s">
        <v>8</v>
      </c>
      <c r="FL774" s="27" t="s">
        <v>7</v>
      </c>
      <c r="FM774" s="27" t="s">
        <v>8</v>
      </c>
      <c r="FN774" s="27" t="s">
        <v>7</v>
      </c>
      <c r="FO774" s="27" t="s">
        <v>8</v>
      </c>
      <c r="FP774" s="27" t="s">
        <v>7</v>
      </c>
      <c r="FQ774" s="27" t="s">
        <v>8</v>
      </c>
      <c r="FR774" s="27" t="s">
        <v>7</v>
      </c>
      <c r="FS774" s="27" t="s">
        <v>8</v>
      </c>
      <c r="FT774" s="27" t="s">
        <v>7</v>
      </c>
      <c r="GA774" s="27" t="s">
        <v>8</v>
      </c>
      <c r="GB774" s="27" t="s">
        <v>7</v>
      </c>
      <c r="GU774" s="27" t="s">
        <v>8</v>
      </c>
      <c r="GV774" s="27" t="s">
        <v>7</v>
      </c>
      <c r="JE774" s="27" t="s">
        <v>8</v>
      </c>
      <c r="JF774" s="27" t="s">
        <v>7</v>
      </c>
      <c r="JG774" s="27" t="s">
        <v>8</v>
      </c>
      <c r="JI774" s="27" t="s">
        <v>8</v>
      </c>
    </row>
    <row r="775" spans="1:288" x14ac:dyDescent="0.25">
      <c r="A775" s="7">
        <v>2.4163937778356601E-2</v>
      </c>
      <c r="B775"/>
      <c r="C775"/>
      <c r="D775"/>
      <c r="E775"/>
      <c r="F775" s="27" t="s">
        <v>7</v>
      </c>
      <c r="EW775" s="27" t="s">
        <v>8</v>
      </c>
      <c r="EX775" s="27" t="s">
        <v>7</v>
      </c>
      <c r="EY775" s="27" t="s">
        <v>8</v>
      </c>
      <c r="FB775" s="27" t="s">
        <v>7</v>
      </c>
      <c r="FC775" s="27" t="s">
        <v>8</v>
      </c>
      <c r="FD775" s="27" t="s">
        <v>7</v>
      </c>
      <c r="FJ775" s="27" t="s">
        <v>7</v>
      </c>
      <c r="FK775" s="27" t="s">
        <v>8</v>
      </c>
      <c r="FL775" s="27" t="s">
        <v>7</v>
      </c>
      <c r="FM775" s="27" t="s">
        <v>8</v>
      </c>
      <c r="FN775" s="27" t="s">
        <v>7</v>
      </c>
      <c r="FO775" s="27" t="s">
        <v>8</v>
      </c>
      <c r="FP775" s="27" t="s">
        <v>7</v>
      </c>
      <c r="FQ775" s="27" t="s">
        <v>8</v>
      </c>
      <c r="FR775" s="27" t="s">
        <v>7</v>
      </c>
      <c r="FS775" s="27" t="s">
        <v>8</v>
      </c>
      <c r="FT775" s="27" t="s">
        <v>7</v>
      </c>
      <c r="GA775" s="27" t="s">
        <v>8</v>
      </c>
      <c r="GB775" s="27" t="s">
        <v>7</v>
      </c>
      <c r="GU775" s="27" t="s">
        <v>8</v>
      </c>
      <c r="GV775" s="27" t="s">
        <v>7</v>
      </c>
      <c r="JE775" s="27" t="s">
        <v>8</v>
      </c>
      <c r="JF775" s="27" t="s">
        <v>7</v>
      </c>
      <c r="JG775" s="27" t="s">
        <v>8</v>
      </c>
      <c r="JH775" s="27" t="s">
        <v>7</v>
      </c>
      <c r="JI775" s="27" t="s">
        <v>8</v>
      </c>
      <c r="JJ775" s="27" t="s">
        <v>7</v>
      </c>
    </row>
    <row r="776" spans="1:288" x14ac:dyDescent="0.25">
      <c r="A776" s="7">
        <v>2.3690135076820197E-2</v>
      </c>
      <c r="B776"/>
      <c r="C776"/>
      <c r="D776"/>
      <c r="E776"/>
      <c r="F776" s="27" t="s">
        <v>7</v>
      </c>
      <c r="EW776" s="27" t="s">
        <v>8</v>
      </c>
      <c r="EX776" s="27" t="s">
        <v>7</v>
      </c>
      <c r="EY776" s="27" t="s">
        <v>8</v>
      </c>
      <c r="FB776" s="27" t="s">
        <v>7</v>
      </c>
      <c r="FC776" s="27" t="s">
        <v>8</v>
      </c>
      <c r="FJ776" s="27" t="s">
        <v>7</v>
      </c>
      <c r="FK776" s="27" t="s">
        <v>8</v>
      </c>
      <c r="FL776" s="27" t="s">
        <v>7</v>
      </c>
      <c r="FM776" s="27" t="s">
        <v>8</v>
      </c>
      <c r="FN776" s="27" t="s">
        <v>7</v>
      </c>
      <c r="FO776" s="27" t="s">
        <v>8</v>
      </c>
      <c r="FP776" s="27" t="s">
        <v>7</v>
      </c>
      <c r="FQ776" s="27" t="s">
        <v>8</v>
      </c>
      <c r="FR776" s="27" t="s">
        <v>7</v>
      </c>
      <c r="FS776" s="27" t="s">
        <v>8</v>
      </c>
      <c r="FT776" s="27" t="s">
        <v>7</v>
      </c>
      <c r="GA776" s="27" t="s">
        <v>8</v>
      </c>
      <c r="GB776" s="27" t="s">
        <v>7</v>
      </c>
      <c r="GU776" s="27" t="s">
        <v>8</v>
      </c>
      <c r="GV776" s="27" t="s">
        <v>7</v>
      </c>
      <c r="JE776" s="27" t="s">
        <v>8</v>
      </c>
      <c r="JF776" s="27" t="s">
        <v>7</v>
      </c>
      <c r="JG776" s="27" t="s">
        <v>8</v>
      </c>
      <c r="JH776" s="27" t="s">
        <v>7</v>
      </c>
      <c r="JI776" s="27" t="s">
        <v>8</v>
      </c>
      <c r="JJ776" s="27" t="s">
        <v>7</v>
      </c>
    </row>
    <row r="777" spans="1:288" x14ac:dyDescent="0.25">
      <c r="A777" s="7">
        <v>2.3225622624333527E-2</v>
      </c>
      <c r="B777"/>
      <c r="C777"/>
      <c r="D777"/>
      <c r="E777"/>
      <c r="F777" s="27" t="s">
        <v>7</v>
      </c>
      <c r="EW777" s="27" t="s">
        <v>8</v>
      </c>
      <c r="EX777" s="27" t="s">
        <v>7</v>
      </c>
      <c r="EY777" s="27" t="s">
        <v>8</v>
      </c>
      <c r="FB777" s="27" t="s">
        <v>7</v>
      </c>
      <c r="FC777" s="27" t="s">
        <v>8</v>
      </c>
      <c r="FJ777" s="27" t="s">
        <v>7</v>
      </c>
      <c r="FK777" s="27" t="s">
        <v>8</v>
      </c>
      <c r="FL777" s="27" t="s">
        <v>7</v>
      </c>
      <c r="FM777" s="27" t="s">
        <v>8</v>
      </c>
      <c r="FN777" s="27" t="s">
        <v>7</v>
      </c>
      <c r="FO777" s="27" t="s">
        <v>8</v>
      </c>
      <c r="FP777" s="27" t="s">
        <v>7</v>
      </c>
      <c r="FQ777" s="27" t="s">
        <v>8</v>
      </c>
      <c r="FR777" s="27" t="s">
        <v>7</v>
      </c>
      <c r="FS777" s="27" t="s">
        <v>8</v>
      </c>
      <c r="FT777" s="27" t="s">
        <v>7</v>
      </c>
      <c r="FW777" s="27" t="s">
        <v>8</v>
      </c>
      <c r="FY777" s="27" t="s">
        <v>8</v>
      </c>
      <c r="GA777" s="27" t="s">
        <v>8</v>
      </c>
      <c r="GB777" s="27" t="s">
        <v>7</v>
      </c>
      <c r="GU777" s="27" t="s">
        <v>8</v>
      </c>
      <c r="GV777" s="27" t="s">
        <v>7</v>
      </c>
      <c r="JE777" s="27" t="s">
        <v>8</v>
      </c>
      <c r="JF777" s="27" t="s">
        <v>7</v>
      </c>
      <c r="JG777" s="27" t="s">
        <v>8</v>
      </c>
      <c r="JH777" s="27" t="s">
        <v>7</v>
      </c>
      <c r="JI777" s="27" t="s">
        <v>8</v>
      </c>
      <c r="JJ777" s="27" t="s">
        <v>7</v>
      </c>
    </row>
    <row r="778" spans="1:288" x14ac:dyDescent="0.25">
      <c r="A778" s="7">
        <v>2.2770218259150519E-2</v>
      </c>
      <c r="B778"/>
      <c r="C778"/>
      <c r="D778"/>
      <c r="E778"/>
      <c r="F778" s="27" t="s">
        <v>7</v>
      </c>
      <c r="EW778" s="27" t="s">
        <v>8</v>
      </c>
      <c r="EX778" s="27" t="s">
        <v>7</v>
      </c>
      <c r="EY778" s="27" t="s">
        <v>8</v>
      </c>
      <c r="FB778" s="27" t="s">
        <v>7</v>
      </c>
      <c r="FC778" s="27" t="s">
        <v>8</v>
      </c>
      <c r="FJ778" s="27" t="s">
        <v>7</v>
      </c>
      <c r="FK778" s="27" t="s">
        <v>8</v>
      </c>
      <c r="FL778" s="27" t="s">
        <v>7</v>
      </c>
      <c r="FM778" s="27" t="s">
        <v>8</v>
      </c>
      <c r="FN778" s="27" t="s">
        <v>7</v>
      </c>
      <c r="FO778" s="27" t="s">
        <v>8</v>
      </c>
      <c r="FP778" s="27" t="s">
        <v>7</v>
      </c>
      <c r="FQ778" s="27" t="s">
        <v>8</v>
      </c>
      <c r="FR778" s="27" t="s">
        <v>7</v>
      </c>
      <c r="FS778" s="27" t="s">
        <v>8</v>
      </c>
      <c r="FT778" s="27" t="s">
        <v>7</v>
      </c>
      <c r="FW778" s="27" t="s">
        <v>8</v>
      </c>
      <c r="FX778" s="27" t="s">
        <v>7</v>
      </c>
      <c r="FY778" s="27" t="s">
        <v>8</v>
      </c>
      <c r="FZ778" s="27" t="s">
        <v>7</v>
      </c>
      <c r="GA778" s="27" t="s">
        <v>8</v>
      </c>
      <c r="GB778" s="27" t="s">
        <v>7</v>
      </c>
      <c r="GU778" s="27" t="s">
        <v>8</v>
      </c>
      <c r="GV778" s="27" t="s">
        <v>7</v>
      </c>
      <c r="GW778" s="27" t="s">
        <v>8</v>
      </c>
      <c r="IM778" s="27" t="s">
        <v>8</v>
      </c>
      <c r="JE778" s="27" t="s">
        <v>8</v>
      </c>
      <c r="JF778" s="27" t="s">
        <v>7</v>
      </c>
      <c r="JG778" s="27" t="s">
        <v>8</v>
      </c>
      <c r="JH778" s="27" t="s">
        <v>7</v>
      </c>
      <c r="JI778" s="27" t="s">
        <v>8</v>
      </c>
      <c r="JJ778" s="27" t="s">
        <v>7</v>
      </c>
    </row>
    <row r="779" spans="1:288" x14ac:dyDescent="0.25">
      <c r="A779" s="7">
        <v>2.2323743391324039E-2</v>
      </c>
      <c r="B779"/>
      <c r="C779"/>
      <c r="D779"/>
      <c r="E779"/>
      <c r="F779" s="27" t="s">
        <v>7</v>
      </c>
      <c r="EW779" s="27" t="s">
        <v>8</v>
      </c>
      <c r="EX779" s="27" t="s">
        <v>7</v>
      </c>
      <c r="EY779" s="27" t="s">
        <v>8</v>
      </c>
      <c r="FB779" s="27" t="s">
        <v>7</v>
      </c>
      <c r="FC779" s="27" t="s">
        <v>8</v>
      </c>
      <c r="FJ779" s="27" t="s">
        <v>7</v>
      </c>
      <c r="FK779" s="27" t="s">
        <v>8</v>
      </c>
      <c r="FL779" s="27" t="s">
        <v>7</v>
      </c>
      <c r="FN779" s="27" t="s">
        <v>7</v>
      </c>
      <c r="FO779" s="27" t="s">
        <v>8</v>
      </c>
      <c r="FP779" s="27" t="s">
        <v>7</v>
      </c>
      <c r="FQ779" s="27" t="s">
        <v>8</v>
      </c>
      <c r="FR779" s="27" t="s">
        <v>7</v>
      </c>
      <c r="FT779" s="27" t="s">
        <v>7</v>
      </c>
      <c r="FW779" s="27" t="s">
        <v>8</v>
      </c>
      <c r="FX779" s="27" t="s">
        <v>7</v>
      </c>
      <c r="FY779" s="27" t="s">
        <v>8</v>
      </c>
      <c r="FZ779" s="27" t="s">
        <v>7</v>
      </c>
      <c r="GA779" s="27" t="s">
        <v>8</v>
      </c>
      <c r="GB779" s="27" t="s">
        <v>7</v>
      </c>
      <c r="GC779" s="27" t="s">
        <v>8</v>
      </c>
      <c r="GU779" s="27" t="s">
        <v>8</v>
      </c>
      <c r="GV779" s="27" t="s">
        <v>7</v>
      </c>
      <c r="GW779" s="27" t="s">
        <v>8</v>
      </c>
      <c r="GX779" s="27" t="s">
        <v>7</v>
      </c>
      <c r="IM779" s="27" t="s">
        <v>8</v>
      </c>
      <c r="IN779" s="27" t="s">
        <v>7</v>
      </c>
      <c r="JE779" s="27" t="s">
        <v>8</v>
      </c>
      <c r="JF779" s="27" t="s">
        <v>7</v>
      </c>
      <c r="JG779" s="27" t="s">
        <v>8</v>
      </c>
      <c r="JH779" s="27" t="s">
        <v>7</v>
      </c>
      <c r="JI779" s="27" t="s">
        <v>8</v>
      </c>
      <c r="JJ779" s="27" t="s">
        <v>7</v>
      </c>
    </row>
    <row r="780" spans="1:288" x14ac:dyDescent="0.25">
      <c r="A780" s="7">
        <v>2.188602293267063E-2</v>
      </c>
      <c r="B780"/>
      <c r="C780"/>
      <c r="D780"/>
      <c r="E780"/>
      <c r="F780" s="27" t="s">
        <v>7</v>
      </c>
      <c r="EU780" s="27" t="s">
        <v>8</v>
      </c>
      <c r="EW780" s="27" t="s">
        <v>8</v>
      </c>
      <c r="EX780" s="27" t="s">
        <v>7</v>
      </c>
      <c r="EY780" s="27" t="s">
        <v>8</v>
      </c>
      <c r="FB780" s="27" t="s">
        <v>7</v>
      </c>
      <c r="FC780" s="27" t="s">
        <v>8</v>
      </c>
      <c r="FJ780" s="27" t="s">
        <v>7</v>
      </c>
      <c r="FK780" s="27" t="s">
        <v>8</v>
      </c>
      <c r="FN780" s="27" t="s">
        <v>7</v>
      </c>
      <c r="FO780" s="27" t="s">
        <v>8</v>
      </c>
      <c r="FP780" s="27" t="s">
        <v>7</v>
      </c>
      <c r="FT780" s="27" t="s">
        <v>7</v>
      </c>
      <c r="FW780" s="27" t="s">
        <v>8</v>
      </c>
      <c r="FX780" s="27" t="s">
        <v>7</v>
      </c>
      <c r="FY780" s="27" t="s">
        <v>8</v>
      </c>
      <c r="FZ780" s="27" t="s">
        <v>7</v>
      </c>
      <c r="GB780" s="27" t="s">
        <v>7</v>
      </c>
      <c r="GC780" s="27" t="s">
        <v>8</v>
      </c>
      <c r="GD780" s="27" t="s">
        <v>7</v>
      </c>
      <c r="GG780" s="27" t="s">
        <v>8</v>
      </c>
      <c r="GU780" s="27" t="s">
        <v>8</v>
      </c>
      <c r="GV780" s="27" t="s">
        <v>7</v>
      </c>
      <c r="GW780" s="27" t="s">
        <v>8</v>
      </c>
      <c r="GX780" s="27" t="s">
        <v>7</v>
      </c>
      <c r="IM780" s="27" t="s">
        <v>8</v>
      </c>
      <c r="IN780" s="27" t="s">
        <v>7</v>
      </c>
      <c r="JE780" s="27" t="s">
        <v>8</v>
      </c>
      <c r="JF780" s="27" t="s">
        <v>7</v>
      </c>
      <c r="JG780" s="27" t="s">
        <v>8</v>
      </c>
      <c r="JH780" s="27" t="s">
        <v>7</v>
      </c>
      <c r="JI780" s="27" t="s">
        <v>8</v>
      </c>
      <c r="JJ780" s="27" t="s">
        <v>7</v>
      </c>
    </row>
    <row r="781" spans="1:288" x14ac:dyDescent="0.25">
      <c r="A781" s="7">
        <v>2.1456885228108461E-2</v>
      </c>
      <c r="B781"/>
      <c r="C781"/>
      <c r="D781"/>
      <c r="E781"/>
      <c r="F781" s="27" t="s">
        <v>7</v>
      </c>
      <c r="EU781" s="27" t="s">
        <v>8</v>
      </c>
      <c r="EV781" s="27" t="s">
        <v>7</v>
      </c>
      <c r="EW781" s="27" t="s">
        <v>8</v>
      </c>
      <c r="EX781" s="27" t="s">
        <v>7</v>
      </c>
      <c r="EY781" s="27" t="s">
        <v>8</v>
      </c>
      <c r="FB781" s="27" t="s">
        <v>7</v>
      </c>
      <c r="FC781" s="27" t="s">
        <v>8</v>
      </c>
      <c r="FJ781" s="27" t="s">
        <v>7</v>
      </c>
      <c r="FK781" s="27" t="s">
        <v>8</v>
      </c>
      <c r="FN781" s="27" t="s">
        <v>7</v>
      </c>
      <c r="FT781" s="27" t="s">
        <v>7</v>
      </c>
      <c r="FW781" s="27" t="s">
        <v>8</v>
      </c>
      <c r="FX781" s="27" t="s">
        <v>7</v>
      </c>
      <c r="FY781" s="27" t="s">
        <v>8</v>
      </c>
      <c r="GB781" s="27" t="s">
        <v>7</v>
      </c>
      <c r="GC781" s="27" t="s">
        <v>8</v>
      </c>
      <c r="GD781" s="27" t="s">
        <v>7</v>
      </c>
      <c r="GE781" s="27" t="s">
        <v>8</v>
      </c>
      <c r="GG781" s="27" t="s">
        <v>8</v>
      </c>
      <c r="GH781" s="27" t="s">
        <v>7</v>
      </c>
      <c r="GU781" s="27" t="s">
        <v>8</v>
      </c>
      <c r="GV781" s="27" t="s">
        <v>7</v>
      </c>
      <c r="GW781" s="27" t="s">
        <v>8</v>
      </c>
      <c r="GX781" s="27" t="s">
        <v>7</v>
      </c>
      <c r="IM781" s="27" t="s">
        <v>8</v>
      </c>
      <c r="IN781" s="27" t="s">
        <v>7</v>
      </c>
      <c r="JE781" s="27" t="s">
        <v>8</v>
      </c>
      <c r="JF781" s="27" t="s">
        <v>7</v>
      </c>
      <c r="JG781" s="27" t="s">
        <v>8</v>
      </c>
      <c r="JH781" s="27" t="s">
        <v>7</v>
      </c>
      <c r="JI781" s="27" t="s">
        <v>8</v>
      </c>
      <c r="JJ781" s="27" t="s">
        <v>7</v>
      </c>
      <c r="KA781" s="27" t="s">
        <v>8</v>
      </c>
    </row>
    <row r="782" spans="1:288" x14ac:dyDescent="0.25">
      <c r="A782" s="7">
        <v>2.1036161988341632E-2</v>
      </c>
      <c r="B782"/>
      <c r="C782"/>
      <c r="D782"/>
      <c r="E782"/>
      <c r="F782" s="27" t="s">
        <v>7</v>
      </c>
      <c r="EU782" s="27" t="s">
        <v>8</v>
      </c>
      <c r="EV782" s="27" t="s">
        <v>7</v>
      </c>
      <c r="EW782" s="27" t="s">
        <v>8</v>
      </c>
      <c r="EX782" s="27" t="s">
        <v>7</v>
      </c>
      <c r="EY782" s="27" t="s">
        <v>8</v>
      </c>
      <c r="FB782" s="27" t="s">
        <v>7</v>
      </c>
      <c r="FC782" s="27" t="s">
        <v>8</v>
      </c>
      <c r="FJ782" s="27" t="s">
        <v>7</v>
      </c>
      <c r="FK782" s="27" t="s">
        <v>8</v>
      </c>
      <c r="FT782" s="27" t="s">
        <v>7</v>
      </c>
      <c r="FW782" s="27" t="s">
        <v>8</v>
      </c>
      <c r="FX782" s="27" t="s">
        <v>7</v>
      </c>
      <c r="FY782" s="27" t="s">
        <v>8</v>
      </c>
      <c r="GB782" s="27" t="s">
        <v>7</v>
      </c>
      <c r="GC782" s="27" t="s">
        <v>8</v>
      </c>
      <c r="GD782" s="27" t="s">
        <v>7</v>
      </c>
      <c r="GE782" s="27" t="s">
        <v>8</v>
      </c>
      <c r="GF782" s="27" t="s">
        <v>7</v>
      </c>
      <c r="GG782" s="27" t="s">
        <v>8</v>
      </c>
      <c r="GH782" s="27" t="s">
        <v>7</v>
      </c>
      <c r="GU782" s="27" t="s">
        <v>8</v>
      </c>
      <c r="GV782" s="27" t="s">
        <v>7</v>
      </c>
      <c r="GW782" s="27" t="s">
        <v>8</v>
      </c>
      <c r="GX782" s="27" t="s">
        <v>7</v>
      </c>
      <c r="IM782" s="27" t="s">
        <v>8</v>
      </c>
      <c r="IN782" s="27" t="s">
        <v>7</v>
      </c>
      <c r="JE782" s="27" t="s">
        <v>8</v>
      </c>
      <c r="JF782" s="27" t="s">
        <v>7</v>
      </c>
      <c r="JG782" s="27" t="s">
        <v>8</v>
      </c>
      <c r="JH782" s="27" t="s">
        <v>7</v>
      </c>
      <c r="JI782" s="27" t="s">
        <v>8</v>
      </c>
      <c r="JJ782" s="27" t="s">
        <v>7</v>
      </c>
      <c r="KA782" s="27" t="s">
        <v>8</v>
      </c>
      <c r="KB782" s="27" t="s">
        <v>7</v>
      </c>
    </row>
    <row r="783" spans="1:288" x14ac:dyDescent="0.25">
      <c r="A783" s="7">
        <v>2.0623688223864345E-2</v>
      </c>
      <c r="B783"/>
      <c r="C783"/>
      <c r="D783"/>
      <c r="E783"/>
      <c r="F783" s="27" t="s">
        <v>7</v>
      </c>
      <c r="EU783" s="27" t="s">
        <v>8</v>
      </c>
      <c r="EV783" s="27" t="s">
        <v>7</v>
      </c>
      <c r="EW783" s="27" t="s">
        <v>8</v>
      </c>
      <c r="EX783" s="27" t="s">
        <v>7</v>
      </c>
      <c r="EY783" s="27" t="s">
        <v>8</v>
      </c>
      <c r="FB783" s="27" t="s">
        <v>7</v>
      </c>
      <c r="FJ783" s="27" t="s">
        <v>7</v>
      </c>
      <c r="FK783" s="27" t="s">
        <v>8</v>
      </c>
      <c r="FT783" s="27" t="s">
        <v>7</v>
      </c>
      <c r="FW783" s="27" t="s">
        <v>8</v>
      </c>
      <c r="FX783" s="27" t="s">
        <v>7</v>
      </c>
      <c r="FY783" s="27" t="s">
        <v>8</v>
      </c>
      <c r="GB783" s="27" t="s">
        <v>7</v>
      </c>
      <c r="GC783" s="27" t="s">
        <v>8</v>
      </c>
      <c r="GD783" s="27" t="s">
        <v>7</v>
      </c>
      <c r="GE783" s="27" t="s">
        <v>8</v>
      </c>
      <c r="GF783" s="27" t="s">
        <v>7</v>
      </c>
      <c r="GG783" s="27" t="s">
        <v>8</v>
      </c>
      <c r="GH783" s="27" t="s">
        <v>7</v>
      </c>
      <c r="GU783" s="27" t="s">
        <v>8</v>
      </c>
      <c r="GV783" s="27" t="s">
        <v>7</v>
      </c>
      <c r="GW783" s="27" t="s">
        <v>8</v>
      </c>
      <c r="GX783" s="27" t="s">
        <v>7</v>
      </c>
      <c r="IM783" s="27" t="s">
        <v>8</v>
      </c>
      <c r="IN783" s="27" t="s">
        <v>7</v>
      </c>
      <c r="JE783" s="27" t="s">
        <v>8</v>
      </c>
      <c r="JF783" s="27" t="s">
        <v>7</v>
      </c>
      <c r="JG783" s="27" t="s">
        <v>8</v>
      </c>
      <c r="JH783" s="27" t="s">
        <v>7</v>
      </c>
      <c r="JI783" s="27" t="s">
        <v>8</v>
      </c>
      <c r="JJ783" s="27" t="s">
        <v>7</v>
      </c>
      <c r="JK783" s="27" t="s">
        <v>8</v>
      </c>
      <c r="KA783" s="27" t="s">
        <v>8</v>
      </c>
      <c r="KB783" s="27" t="s">
        <v>7</v>
      </c>
    </row>
    <row r="784" spans="1:288" x14ac:dyDescent="0.25">
      <c r="A784" s="7">
        <v>2.021930218025916E-2</v>
      </c>
      <c r="B784"/>
      <c r="C784"/>
      <c r="D784"/>
      <c r="E784"/>
      <c r="F784" s="27" t="s">
        <v>7</v>
      </c>
      <c r="EU784" s="27" t="s">
        <v>8</v>
      </c>
      <c r="EV784" s="27" t="s">
        <v>7</v>
      </c>
      <c r="EW784" s="27" t="s">
        <v>8</v>
      </c>
      <c r="EX784" s="27" t="s">
        <v>7</v>
      </c>
      <c r="EY784" s="27" t="s">
        <v>8</v>
      </c>
      <c r="FJ784" s="27" t="s">
        <v>7</v>
      </c>
      <c r="FK784" s="27" t="s">
        <v>8</v>
      </c>
      <c r="FT784" s="27" t="s">
        <v>7</v>
      </c>
      <c r="FU784" s="27" t="s">
        <v>8</v>
      </c>
      <c r="FW784" s="27" t="s">
        <v>8</v>
      </c>
      <c r="FX784" s="27" t="s">
        <v>7</v>
      </c>
      <c r="GB784" s="27" t="s">
        <v>7</v>
      </c>
      <c r="GC784" s="27" t="s">
        <v>8</v>
      </c>
      <c r="GD784" s="27" t="s">
        <v>7</v>
      </c>
      <c r="GE784" s="27" t="s">
        <v>8</v>
      </c>
      <c r="GF784" s="27" t="s">
        <v>7</v>
      </c>
      <c r="GG784" s="27" t="s">
        <v>8</v>
      </c>
      <c r="GH784" s="27" t="s">
        <v>7</v>
      </c>
      <c r="GU784" s="27" t="s">
        <v>8</v>
      </c>
      <c r="GV784" s="27" t="s">
        <v>7</v>
      </c>
      <c r="GW784" s="27" t="s">
        <v>8</v>
      </c>
      <c r="GX784" s="27" t="s">
        <v>7</v>
      </c>
      <c r="IM784" s="27" t="s">
        <v>8</v>
      </c>
      <c r="IN784" s="27" t="s">
        <v>7</v>
      </c>
      <c r="JE784" s="27" t="s">
        <v>8</v>
      </c>
      <c r="JF784" s="27" t="s">
        <v>7</v>
      </c>
      <c r="JG784" s="27" t="s">
        <v>8</v>
      </c>
      <c r="JH784" s="27" t="s">
        <v>7</v>
      </c>
      <c r="JI784" s="27" t="s">
        <v>8</v>
      </c>
      <c r="JJ784" s="27" t="s">
        <v>7</v>
      </c>
      <c r="JK784" s="27" t="s">
        <v>8</v>
      </c>
      <c r="JL784" s="27" t="s">
        <v>7</v>
      </c>
      <c r="KA784" s="27" t="s">
        <v>8</v>
      </c>
      <c r="KB784" s="27" t="s">
        <v>7</v>
      </c>
    </row>
    <row r="785" spans="1:299" x14ac:dyDescent="0.25">
      <c r="A785" s="7">
        <v>1.9822845274763884E-2</v>
      </c>
      <c r="B785"/>
      <c r="C785"/>
      <c r="D785"/>
      <c r="E785"/>
      <c r="F785" s="27" t="s">
        <v>7</v>
      </c>
      <c r="EU785" s="27" t="s">
        <v>8</v>
      </c>
      <c r="EV785" s="27" t="s">
        <v>7</v>
      </c>
      <c r="EW785" s="27" t="s">
        <v>8</v>
      </c>
      <c r="EX785" s="27" t="s">
        <v>7</v>
      </c>
      <c r="EY785" s="27" t="s">
        <v>8</v>
      </c>
      <c r="FJ785" s="27" t="s">
        <v>7</v>
      </c>
      <c r="FK785" s="27" t="s">
        <v>8</v>
      </c>
      <c r="FT785" s="27" t="s">
        <v>7</v>
      </c>
      <c r="FU785" s="27" t="s">
        <v>8</v>
      </c>
      <c r="FV785" s="27" t="s">
        <v>7</v>
      </c>
      <c r="FW785" s="27" t="s">
        <v>8</v>
      </c>
      <c r="GB785" s="27" t="s">
        <v>7</v>
      </c>
      <c r="GD785" s="27" t="s">
        <v>7</v>
      </c>
      <c r="GE785" s="27" t="s">
        <v>8</v>
      </c>
      <c r="GF785" s="27" t="s">
        <v>7</v>
      </c>
      <c r="GG785" s="27" t="s">
        <v>8</v>
      </c>
      <c r="GH785" s="27" t="s">
        <v>7</v>
      </c>
      <c r="GU785" s="27" t="s">
        <v>8</v>
      </c>
      <c r="GV785" s="27" t="s">
        <v>7</v>
      </c>
      <c r="GW785" s="27" t="s">
        <v>8</v>
      </c>
      <c r="GX785" s="27" t="s">
        <v>7</v>
      </c>
      <c r="IG785" s="27" t="s">
        <v>8</v>
      </c>
      <c r="IK785" s="27" t="s">
        <v>8</v>
      </c>
      <c r="IM785" s="27" t="s">
        <v>8</v>
      </c>
      <c r="IN785" s="27" t="s">
        <v>7</v>
      </c>
      <c r="JE785" s="27" t="s">
        <v>8</v>
      </c>
      <c r="JF785" s="27" t="s">
        <v>7</v>
      </c>
      <c r="JG785" s="27" t="s">
        <v>8</v>
      </c>
      <c r="JH785" s="27" t="s">
        <v>7</v>
      </c>
      <c r="JI785" s="27" t="s">
        <v>8</v>
      </c>
      <c r="JJ785" s="27" t="s">
        <v>7</v>
      </c>
      <c r="JK785" s="27" t="s">
        <v>8</v>
      </c>
      <c r="JL785" s="27" t="s">
        <v>7</v>
      </c>
      <c r="KA785" s="27" t="s">
        <v>8</v>
      </c>
      <c r="KB785" s="27" t="s">
        <v>7</v>
      </c>
    </row>
    <row r="786" spans="1:299" x14ac:dyDescent="0.25">
      <c r="A786" s="7">
        <v>1.9434162034082238E-2</v>
      </c>
      <c r="B786"/>
      <c r="C786"/>
      <c r="D786"/>
      <c r="E786"/>
      <c r="F786" s="27" t="s">
        <v>7</v>
      </c>
      <c r="EU786" s="27" t="s">
        <v>8</v>
      </c>
      <c r="EV786" s="27" t="s">
        <v>7</v>
      </c>
      <c r="EW786" s="27" t="s">
        <v>8</v>
      </c>
      <c r="EX786" s="27" t="s">
        <v>7</v>
      </c>
      <c r="EY786" s="27" t="s">
        <v>8</v>
      </c>
      <c r="FJ786" s="27" t="s">
        <v>7</v>
      </c>
      <c r="FT786" s="27" t="s">
        <v>7</v>
      </c>
      <c r="FU786" s="27" t="s">
        <v>8</v>
      </c>
      <c r="FV786" s="27" t="s">
        <v>7</v>
      </c>
      <c r="FW786" s="27" t="s">
        <v>8</v>
      </c>
      <c r="GD786" s="27" t="s">
        <v>7</v>
      </c>
      <c r="GE786" s="27" t="s">
        <v>8</v>
      </c>
      <c r="GF786" s="27" t="s">
        <v>7</v>
      </c>
      <c r="GG786" s="27" t="s">
        <v>8</v>
      </c>
      <c r="GH786" s="27" t="s">
        <v>7</v>
      </c>
      <c r="GU786" s="27" t="s">
        <v>8</v>
      </c>
      <c r="GV786" s="27" t="s">
        <v>7</v>
      </c>
      <c r="GW786" s="27" t="s">
        <v>8</v>
      </c>
      <c r="GX786" s="27" t="s">
        <v>7</v>
      </c>
      <c r="IG786" s="27" t="s">
        <v>8</v>
      </c>
      <c r="IH786" s="27" t="s">
        <v>7</v>
      </c>
      <c r="IK786" s="27" t="s">
        <v>8</v>
      </c>
      <c r="IL786" s="27" t="s">
        <v>7</v>
      </c>
      <c r="IM786" s="27" t="s">
        <v>8</v>
      </c>
      <c r="IN786" s="27" t="s">
        <v>7</v>
      </c>
      <c r="IQ786" s="27" t="s">
        <v>8</v>
      </c>
      <c r="IY786" s="27" t="s">
        <v>8</v>
      </c>
      <c r="JE786" s="27" t="s">
        <v>8</v>
      </c>
      <c r="JF786" s="27" t="s">
        <v>7</v>
      </c>
      <c r="JG786" s="27" t="s">
        <v>8</v>
      </c>
      <c r="JH786" s="27" t="s">
        <v>7</v>
      </c>
      <c r="JI786" s="27" t="s">
        <v>8</v>
      </c>
      <c r="JJ786" s="27" t="s">
        <v>7</v>
      </c>
      <c r="JK786" s="27" t="s">
        <v>8</v>
      </c>
      <c r="JL786" s="27" t="s">
        <v>7</v>
      </c>
      <c r="JW786" s="27" t="s">
        <v>8</v>
      </c>
      <c r="KA786" s="27" t="s">
        <v>8</v>
      </c>
      <c r="KB786" s="27" t="s">
        <v>7</v>
      </c>
    </row>
    <row r="787" spans="1:299" x14ac:dyDescent="0.25">
      <c r="A787" s="7">
        <v>1.9053100033413959E-2</v>
      </c>
      <c r="B787"/>
      <c r="C787"/>
      <c r="D787"/>
      <c r="E787"/>
      <c r="F787" s="27" t="s">
        <v>7</v>
      </c>
      <c r="EU787" s="27" t="s">
        <v>8</v>
      </c>
      <c r="EV787" s="27" t="s">
        <v>7</v>
      </c>
      <c r="EW787" s="27" t="s">
        <v>8</v>
      </c>
      <c r="EX787" s="27" t="s">
        <v>7</v>
      </c>
      <c r="EY787" s="27" t="s">
        <v>8</v>
      </c>
      <c r="FT787" s="27" t="s">
        <v>7</v>
      </c>
      <c r="FU787" s="27" t="s">
        <v>8</v>
      </c>
      <c r="FV787" s="27" t="s">
        <v>7</v>
      </c>
      <c r="FW787" s="27" t="s">
        <v>8</v>
      </c>
      <c r="GD787" s="27" t="s">
        <v>7</v>
      </c>
      <c r="GE787" s="27" t="s">
        <v>8</v>
      </c>
      <c r="GF787" s="27" t="s">
        <v>7</v>
      </c>
      <c r="GG787" s="27" t="s">
        <v>8</v>
      </c>
      <c r="GH787" s="27" t="s">
        <v>7</v>
      </c>
      <c r="GU787" s="27" t="s">
        <v>8</v>
      </c>
      <c r="GV787" s="27" t="s">
        <v>7</v>
      </c>
      <c r="GW787" s="27" t="s">
        <v>8</v>
      </c>
      <c r="GX787" s="27" t="s">
        <v>7</v>
      </c>
      <c r="IG787" s="27" t="s">
        <v>8</v>
      </c>
      <c r="IH787" s="27" t="s">
        <v>7</v>
      </c>
      <c r="IK787" s="27" t="s">
        <v>8</v>
      </c>
      <c r="IL787" s="27" t="s">
        <v>7</v>
      </c>
      <c r="IM787" s="27" t="s">
        <v>8</v>
      </c>
      <c r="IN787" s="27" t="s">
        <v>7</v>
      </c>
      <c r="IQ787" s="27" t="s">
        <v>8</v>
      </c>
      <c r="IR787" s="27" t="s">
        <v>7</v>
      </c>
      <c r="IY787" s="27" t="s">
        <v>8</v>
      </c>
      <c r="IZ787" s="27" t="s">
        <v>7</v>
      </c>
      <c r="JE787" s="27" t="s">
        <v>8</v>
      </c>
      <c r="JF787" s="27" t="s">
        <v>7</v>
      </c>
      <c r="JG787" s="27" t="s">
        <v>8</v>
      </c>
      <c r="JH787" s="27" t="s">
        <v>7</v>
      </c>
      <c r="JI787" s="27" t="s">
        <v>8</v>
      </c>
      <c r="JJ787" s="27" t="s">
        <v>7</v>
      </c>
      <c r="JL787" s="27" t="s">
        <v>7</v>
      </c>
      <c r="JM787" s="27" t="s">
        <v>8</v>
      </c>
      <c r="JQ787" s="27" t="s">
        <v>8</v>
      </c>
      <c r="JS787" s="27" t="s">
        <v>8</v>
      </c>
      <c r="JW787" s="27" t="s">
        <v>8</v>
      </c>
      <c r="JX787" s="27" t="s">
        <v>7</v>
      </c>
      <c r="KA787" s="27" t="s">
        <v>8</v>
      </c>
      <c r="KB787" s="27" t="s">
        <v>7</v>
      </c>
    </row>
    <row r="788" spans="1:299" x14ac:dyDescent="0.25">
      <c r="A788" s="7">
        <v>1.867950983668035E-2</v>
      </c>
      <c r="B788"/>
      <c r="C788"/>
      <c r="D788"/>
      <c r="E788"/>
      <c r="F788" s="27" t="s">
        <v>7</v>
      </c>
      <c r="EU788" s="27" t="s">
        <v>8</v>
      </c>
      <c r="EV788" s="27" t="s">
        <v>7</v>
      </c>
      <c r="EW788" s="27" t="s">
        <v>8</v>
      </c>
      <c r="EX788" s="27" t="s">
        <v>7</v>
      </c>
      <c r="EY788" s="27" t="s">
        <v>8</v>
      </c>
      <c r="FT788" s="27" t="s">
        <v>7</v>
      </c>
      <c r="FU788" s="27" t="s">
        <v>8</v>
      </c>
      <c r="FV788" s="27" t="s">
        <v>7</v>
      </c>
      <c r="FW788" s="27" t="s">
        <v>8</v>
      </c>
      <c r="GD788" s="27" t="s">
        <v>7</v>
      </c>
      <c r="GE788" s="27" t="s">
        <v>8</v>
      </c>
      <c r="GF788" s="27" t="s">
        <v>7</v>
      </c>
      <c r="GG788" s="27" t="s">
        <v>8</v>
      </c>
      <c r="GH788" s="27" t="s">
        <v>7</v>
      </c>
      <c r="GI788" s="27" t="s">
        <v>8</v>
      </c>
      <c r="GU788" s="27" t="s">
        <v>8</v>
      </c>
      <c r="GV788" s="27" t="s">
        <v>7</v>
      </c>
      <c r="GW788" s="27" t="s">
        <v>8</v>
      </c>
      <c r="GX788" s="27" t="s">
        <v>7</v>
      </c>
      <c r="IE788" s="27" t="s">
        <v>8</v>
      </c>
      <c r="IG788" s="27" t="s">
        <v>8</v>
      </c>
      <c r="IH788" s="27" t="s">
        <v>7</v>
      </c>
      <c r="IK788" s="27" t="s">
        <v>8</v>
      </c>
      <c r="IL788" s="27" t="s">
        <v>7</v>
      </c>
      <c r="IM788" s="27" t="s">
        <v>8</v>
      </c>
      <c r="IN788" s="27" t="s">
        <v>7</v>
      </c>
      <c r="IO788" s="27" t="s">
        <v>8</v>
      </c>
      <c r="IQ788" s="27" t="s">
        <v>8</v>
      </c>
      <c r="IR788" s="27" t="s">
        <v>7</v>
      </c>
      <c r="IY788" s="27" t="s">
        <v>8</v>
      </c>
      <c r="IZ788" s="27" t="s">
        <v>7</v>
      </c>
      <c r="JE788" s="27" t="s">
        <v>8</v>
      </c>
      <c r="JF788" s="27" t="s">
        <v>7</v>
      </c>
      <c r="JG788" s="27" t="s">
        <v>8</v>
      </c>
      <c r="JH788" s="27" t="s">
        <v>7</v>
      </c>
      <c r="JI788" s="27" t="s">
        <v>8</v>
      </c>
      <c r="JL788" s="27" t="s">
        <v>7</v>
      </c>
      <c r="JM788" s="27" t="s">
        <v>8</v>
      </c>
      <c r="JN788" s="27" t="s">
        <v>7</v>
      </c>
      <c r="JQ788" s="27" t="s">
        <v>8</v>
      </c>
      <c r="JR788" s="27" t="s">
        <v>7</v>
      </c>
      <c r="JS788" s="27" t="s">
        <v>8</v>
      </c>
      <c r="JT788" s="27" t="s">
        <v>7</v>
      </c>
      <c r="JW788" s="27" t="s">
        <v>8</v>
      </c>
      <c r="JX788" s="27" t="s">
        <v>7</v>
      </c>
      <c r="JY788" s="27" t="s">
        <v>8</v>
      </c>
      <c r="KA788" s="27" t="s">
        <v>8</v>
      </c>
      <c r="KB788" s="27" t="s">
        <v>7</v>
      </c>
    </row>
    <row r="789" spans="1:299" x14ac:dyDescent="0.25">
      <c r="A789" s="7">
        <v>1.8313244937921913E-2</v>
      </c>
      <c r="B789"/>
      <c r="C789"/>
      <c r="D789"/>
      <c r="E789"/>
      <c r="F789" s="27" t="s">
        <v>7</v>
      </c>
      <c r="EU789" s="27" t="s">
        <v>8</v>
      </c>
      <c r="EV789" s="27" t="s">
        <v>7</v>
      </c>
      <c r="EW789" s="27" t="s">
        <v>8</v>
      </c>
      <c r="EX789" s="27" t="s">
        <v>7</v>
      </c>
      <c r="EY789" s="27" t="s">
        <v>8</v>
      </c>
      <c r="FT789" s="27" t="s">
        <v>7</v>
      </c>
      <c r="FU789" s="27" t="s">
        <v>8</v>
      </c>
      <c r="FV789" s="27" t="s">
        <v>7</v>
      </c>
      <c r="FW789" s="27" t="s">
        <v>8</v>
      </c>
      <c r="GD789" s="27" t="s">
        <v>7</v>
      </c>
      <c r="GE789" s="27" t="s">
        <v>8</v>
      </c>
      <c r="GF789" s="27" t="s">
        <v>7</v>
      </c>
      <c r="GG789" s="27" t="s">
        <v>8</v>
      </c>
      <c r="GH789" s="27" t="s">
        <v>7</v>
      </c>
      <c r="GI789" s="27" t="s">
        <v>8</v>
      </c>
      <c r="GJ789" s="27" t="s">
        <v>7</v>
      </c>
      <c r="GU789" s="27" t="s">
        <v>8</v>
      </c>
      <c r="GV789" s="27" t="s">
        <v>7</v>
      </c>
      <c r="GW789" s="27" t="s">
        <v>8</v>
      </c>
      <c r="GX789" s="27" t="s">
        <v>7</v>
      </c>
      <c r="IE789" s="27" t="s">
        <v>8</v>
      </c>
      <c r="IF789" s="27" t="s">
        <v>7</v>
      </c>
      <c r="IG789" s="27" t="s">
        <v>8</v>
      </c>
      <c r="IH789" s="27" t="s">
        <v>7</v>
      </c>
      <c r="IK789" s="27" t="s">
        <v>8</v>
      </c>
      <c r="IL789" s="27" t="s">
        <v>7</v>
      </c>
      <c r="IM789" s="27" t="s">
        <v>8</v>
      </c>
      <c r="IN789" s="27" t="s">
        <v>7</v>
      </c>
      <c r="IO789" s="27" t="s">
        <v>8</v>
      </c>
      <c r="IP789" s="27" t="s">
        <v>7</v>
      </c>
      <c r="IQ789" s="27" t="s">
        <v>8</v>
      </c>
      <c r="IR789" s="27" t="s">
        <v>7</v>
      </c>
      <c r="IY789" s="27" t="s">
        <v>8</v>
      </c>
      <c r="IZ789" s="27" t="s">
        <v>7</v>
      </c>
      <c r="JE789" s="27" t="s">
        <v>8</v>
      </c>
      <c r="JF789" s="27" t="s">
        <v>7</v>
      </c>
      <c r="JG789" s="27" t="s">
        <v>8</v>
      </c>
      <c r="JH789" s="27" t="s">
        <v>7</v>
      </c>
      <c r="JI789" s="27" t="s">
        <v>8</v>
      </c>
      <c r="JL789" s="27" t="s">
        <v>7</v>
      </c>
      <c r="JM789" s="27" t="s">
        <v>8</v>
      </c>
      <c r="JN789" s="27" t="s">
        <v>7</v>
      </c>
      <c r="JQ789" s="27" t="s">
        <v>8</v>
      </c>
      <c r="JR789" s="27" t="s">
        <v>7</v>
      </c>
      <c r="JS789" s="27" t="s">
        <v>8</v>
      </c>
      <c r="JT789" s="27" t="s">
        <v>7</v>
      </c>
      <c r="JW789" s="27" t="s">
        <v>8</v>
      </c>
      <c r="JX789" s="27" t="s">
        <v>7</v>
      </c>
      <c r="JY789" s="27" t="s">
        <v>8</v>
      </c>
      <c r="JZ789" s="27" t="s">
        <v>7</v>
      </c>
      <c r="KA789" s="27" t="s">
        <v>8</v>
      </c>
      <c r="KB789" s="27" t="s">
        <v>7</v>
      </c>
    </row>
    <row r="790" spans="1:299" x14ac:dyDescent="0.25">
      <c r="A790" s="7">
        <v>1.7954161703845013E-2</v>
      </c>
      <c r="B790"/>
      <c r="C790"/>
      <c r="D790"/>
      <c r="E790"/>
      <c r="F790" s="27" t="s">
        <v>7</v>
      </c>
      <c r="EU790" s="27" t="s">
        <v>8</v>
      </c>
      <c r="EV790" s="27" t="s">
        <v>7</v>
      </c>
      <c r="EW790" s="27" t="s">
        <v>8</v>
      </c>
      <c r="EX790" s="27" t="s">
        <v>7</v>
      </c>
      <c r="EY790" s="27" t="s">
        <v>8</v>
      </c>
      <c r="FT790" s="27" t="s">
        <v>7</v>
      </c>
      <c r="FU790" s="27" t="s">
        <v>8</v>
      </c>
      <c r="FV790" s="27" t="s">
        <v>7</v>
      </c>
      <c r="FW790" s="27" t="s">
        <v>8</v>
      </c>
      <c r="GD790" s="27" t="s">
        <v>7</v>
      </c>
      <c r="GE790" s="27" t="s">
        <v>8</v>
      </c>
      <c r="GF790" s="27" t="s">
        <v>7</v>
      </c>
      <c r="GG790" s="27" t="s">
        <v>8</v>
      </c>
      <c r="GH790" s="27" t="s">
        <v>7</v>
      </c>
      <c r="GI790" s="27" t="s">
        <v>8</v>
      </c>
      <c r="GJ790" s="27" t="s">
        <v>7</v>
      </c>
      <c r="GU790" s="27" t="s">
        <v>8</v>
      </c>
      <c r="GV790" s="27" t="s">
        <v>7</v>
      </c>
      <c r="GW790" s="27" t="s">
        <v>8</v>
      </c>
      <c r="GX790" s="27" t="s">
        <v>7</v>
      </c>
      <c r="GY790" s="27" t="s">
        <v>8</v>
      </c>
      <c r="IE790" s="27" t="s">
        <v>8</v>
      </c>
      <c r="IF790" s="27" t="s">
        <v>7</v>
      </c>
      <c r="IG790" s="27" t="s">
        <v>8</v>
      </c>
      <c r="IH790" s="27" t="s">
        <v>7</v>
      </c>
      <c r="II790" s="27" t="s">
        <v>8</v>
      </c>
      <c r="IK790" s="27" t="s">
        <v>8</v>
      </c>
      <c r="IL790" s="27" t="s">
        <v>7</v>
      </c>
      <c r="IM790" s="27" t="s">
        <v>8</v>
      </c>
      <c r="IN790" s="27" t="s">
        <v>7</v>
      </c>
      <c r="IO790" s="27" t="s">
        <v>8</v>
      </c>
      <c r="IP790" s="27" t="s">
        <v>7</v>
      </c>
      <c r="IQ790" s="27" t="s">
        <v>8</v>
      </c>
      <c r="IR790" s="27" t="s">
        <v>7</v>
      </c>
      <c r="IY790" s="27" t="s">
        <v>8</v>
      </c>
      <c r="IZ790" s="27" t="s">
        <v>7</v>
      </c>
      <c r="JC790" s="27" t="s">
        <v>8</v>
      </c>
      <c r="JE790" s="27" t="s">
        <v>8</v>
      </c>
      <c r="JF790" s="27" t="s">
        <v>7</v>
      </c>
      <c r="JG790" s="27" t="s">
        <v>8</v>
      </c>
      <c r="JH790" s="27" t="s">
        <v>7</v>
      </c>
      <c r="JL790" s="27" t="s">
        <v>7</v>
      </c>
      <c r="JN790" s="27" t="s">
        <v>7</v>
      </c>
      <c r="JQ790" s="27" t="s">
        <v>8</v>
      </c>
      <c r="JR790" s="27" t="s">
        <v>7</v>
      </c>
      <c r="JS790" s="27" t="s">
        <v>8</v>
      </c>
      <c r="JT790" s="27" t="s">
        <v>7</v>
      </c>
      <c r="JW790" s="27" t="s">
        <v>8</v>
      </c>
      <c r="JX790" s="27" t="s">
        <v>7</v>
      </c>
      <c r="JY790" s="27" t="s">
        <v>8</v>
      </c>
      <c r="JZ790" s="27" t="s">
        <v>7</v>
      </c>
      <c r="KA790" s="27" t="s">
        <v>8</v>
      </c>
      <c r="KB790" s="27" t="s">
        <v>7</v>
      </c>
    </row>
    <row r="791" spans="1:299" x14ac:dyDescent="0.25">
      <c r="A791" s="7">
        <v>1.7602119317495109E-2</v>
      </c>
      <c r="B791"/>
      <c r="C791"/>
      <c r="D791"/>
      <c r="E791"/>
      <c r="F791" s="27" t="s">
        <v>7</v>
      </c>
      <c r="EU791" s="27" t="s">
        <v>8</v>
      </c>
      <c r="EV791" s="27" t="s">
        <v>7</v>
      </c>
      <c r="EW791" s="27" t="s">
        <v>8</v>
      </c>
      <c r="EX791" s="27" t="s">
        <v>7</v>
      </c>
      <c r="EY791" s="27" t="s">
        <v>8</v>
      </c>
      <c r="FT791" s="27" t="s">
        <v>7</v>
      </c>
      <c r="FU791" s="27" t="s">
        <v>8</v>
      </c>
      <c r="FV791" s="27" t="s">
        <v>7</v>
      </c>
      <c r="FW791" s="27" t="s">
        <v>8</v>
      </c>
      <c r="GD791" s="27" t="s">
        <v>7</v>
      </c>
      <c r="GE791" s="27" t="s">
        <v>8</v>
      </c>
      <c r="GF791" s="27" t="s">
        <v>7</v>
      </c>
      <c r="GG791" s="27" t="s">
        <v>8</v>
      </c>
      <c r="GH791" s="27" t="s">
        <v>7</v>
      </c>
      <c r="GI791" s="27" t="s">
        <v>8</v>
      </c>
      <c r="GJ791" s="27" t="s">
        <v>7</v>
      </c>
      <c r="GU791" s="27" t="s">
        <v>8</v>
      </c>
      <c r="GV791" s="27" t="s">
        <v>7</v>
      </c>
      <c r="GW791" s="27" t="s">
        <v>8</v>
      </c>
      <c r="GX791" s="27" t="s">
        <v>7</v>
      </c>
      <c r="GY791" s="27" t="s">
        <v>8</v>
      </c>
      <c r="GZ791" s="27" t="s">
        <v>7</v>
      </c>
      <c r="IE791" s="27" t="s">
        <v>8</v>
      </c>
      <c r="IF791" s="27" t="s">
        <v>7</v>
      </c>
      <c r="IG791" s="27" t="s">
        <v>8</v>
      </c>
      <c r="IH791" s="27" t="s">
        <v>7</v>
      </c>
      <c r="II791" s="27" t="s">
        <v>8</v>
      </c>
      <c r="IJ791" s="27" t="s">
        <v>7</v>
      </c>
      <c r="IK791" s="27" t="s">
        <v>8</v>
      </c>
      <c r="IL791" s="27" t="s">
        <v>7</v>
      </c>
      <c r="IM791" s="27" t="s">
        <v>8</v>
      </c>
      <c r="IN791" s="27" t="s">
        <v>7</v>
      </c>
      <c r="IO791" s="27" t="s">
        <v>8</v>
      </c>
      <c r="IP791" s="27" t="s">
        <v>7</v>
      </c>
      <c r="IQ791" s="27" t="s">
        <v>8</v>
      </c>
      <c r="IR791" s="27" t="s">
        <v>7</v>
      </c>
      <c r="IY791" s="27" t="s">
        <v>8</v>
      </c>
      <c r="IZ791" s="27" t="s">
        <v>7</v>
      </c>
      <c r="JC791" s="27" t="s">
        <v>8</v>
      </c>
      <c r="JD791" s="27" t="s">
        <v>7</v>
      </c>
      <c r="JE791" s="27" t="s">
        <v>8</v>
      </c>
      <c r="JF791" s="27" t="s">
        <v>7</v>
      </c>
      <c r="JN791" s="27" t="s">
        <v>7</v>
      </c>
      <c r="JO791" s="27" t="s">
        <v>8</v>
      </c>
      <c r="JQ791" s="27" t="s">
        <v>8</v>
      </c>
      <c r="JR791" s="27" t="s">
        <v>7</v>
      </c>
      <c r="JS791" s="27" t="s">
        <v>8</v>
      </c>
      <c r="JT791" s="27" t="s">
        <v>7</v>
      </c>
      <c r="JU791" s="27" t="s">
        <v>8</v>
      </c>
      <c r="JW791" s="27" t="s">
        <v>8</v>
      </c>
      <c r="JX791" s="27" t="s">
        <v>7</v>
      </c>
      <c r="JY791" s="27" t="s">
        <v>8</v>
      </c>
      <c r="JZ791" s="27" t="s">
        <v>7</v>
      </c>
      <c r="KB791" s="27" t="s">
        <v>7</v>
      </c>
    </row>
    <row r="792" spans="1:299" x14ac:dyDescent="0.25">
      <c r="A792" s="7">
        <v>1.7256979723034419E-2</v>
      </c>
      <c r="B792"/>
      <c r="C792"/>
      <c r="D792"/>
      <c r="E792"/>
      <c r="F792" s="27" t="s">
        <v>7</v>
      </c>
      <c r="EU792" s="27" t="s">
        <v>8</v>
      </c>
      <c r="EV792" s="27" t="s">
        <v>7</v>
      </c>
      <c r="EW792" s="27" t="s">
        <v>8</v>
      </c>
      <c r="EX792" s="27" t="s">
        <v>7</v>
      </c>
      <c r="EY792" s="27" t="s">
        <v>8</v>
      </c>
      <c r="FT792" s="27" t="s">
        <v>7</v>
      </c>
      <c r="FU792" s="27" t="s">
        <v>8</v>
      </c>
      <c r="FV792" s="27" t="s">
        <v>7</v>
      </c>
      <c r="FW792" s="27" t="s">
        <v>8</v>
      </c>
      <c r="GD792" s="27" t="s">
        <v>7</v>
      </c>
      <c r="GF792" s="27" t="s">
        <v>7</v>
      </c>
      <c r="GG792" s="27" t="s">
        <v>8</v>
      </c>
      <c r="GH792" s="27" t="s">
        <v>7</v>
      </c>
      <c r="GI792" s="27" t="s">
        <v>8</v>
      </c>
      <c r="GJ792" s="27" t="s">
        <v>7</v>
      </c>
      <c r="GK792" s="27" t="s">
        <v>8</v>
      </c>
      <c r="GU792" s="27" t="s">
        <v>8</v>
      </c>
      <c r="GV792" s="27" t="s">
        <v>7</v>
      </c>
      <c r="GW792" s="27" t="s">
        <v>8</v>
      </c>
      <c r="GX792" s="27" t="s">
        <v>7</v>
      </c>
      <c r="GY792" s="27" t="s">
        <v>8</v>
      </c>
      <c r="GZ792" s="27" t="s">
        <v>7</v>
      </c>
      <c r="IE792" s="27" t="s">
        <v>8</v>
      </c>
      <c r="IF792" s="27" t="s">
        <v>7</v>
      </c>
      <c r="IG792" s="27" t="s">
        <v>8</v>
      </c>
      <c r="IH792" s="27" t="s">
        <v>7</v>
      </c>
      <c r="II792" s="27" t="s">
        <v>8</v>
      </c>
      <c r="IJ792" s="27" t="s">
        <v>7</v>
      </c>
      <c r="IK792" s="27" t="s">
        <v>8</v>
      </c>
      <c r="IL792" s="27" t="s">
        <v>7</v>
      </c>
      <c r="IM792" s="27" t="s">
        <v>8</v>
      </c>
      <c r="IN792" s="27" t="s">
        <v>7</v>
      </c>
      <c r="IO792" s="27" t="s">
        <v>8</v>
      </c>
      <c r="IP792" s="27" t="s">
        <v>7</v>
      </c>
      <c r="IQ792" s="27" t="s">
        <v>8</v>
      </c>
      <c r="IR792" s="27" t="s">
        <v>7</v>
      </c>
      <c r="IY792" s="27" t="s">
        <v>8</v>
      </c>
      <c r="IZ792" s="27" t="s">
        <v>7</v>
      </c>
      <c r="JC792" s="27" t="s">
        <v>8</v>
      </c>
      <c r="JD792" s="27" t="s">
        <v>7</v>
      </c>
      <c r="JE792" s="27" t="s">
        <v>8</v>
      </c>
      <c r="JN792" s="27" t="s">
        <v>7</v>
      </c>
      <c r="JO792" s="27" t="s">
        <v>8</v>
      </c>
      <c r="JP792" s="27" t="s">
        <v>7</v>
      </c>
      <c r="JQ792" s="27" t="s">
        <v>8</v>
      </c>
      <c r="JR792" s="27" t="s">
        <v>7</v>
      </c>
      <c r="JS792" s="27" t="s">
        <v>8</v>
      </c>
      <c r="JT792" s="27" t="s">
        <v>7</v>
      </c>
      <c r="JU792" s="27" t="s">
        <v>8</v>
      </c>
      <c r="JV792" s="27" t="s">
        <v>7</v>
      </c>
      <c r="JW792" s="27" t="s">
        <v>8</v>
      </c>
      <c r="JX792" s="27" t="s">
        <v>7</v>
      </c>
      <c r="JY792" s="27" t="s">
        <v>8</v>
      </c>
      <c r="KB792" s="27" t="s">
        <v>7</v>
      </c>
    </row>
    <row r="793" spans="1:299" x14ac:dyDescent="0.25">
      <c r="A793" s="7">
        <v>1.6918607571602372E-2</v>
      </c>
      <c r="B793"/>
      <c r="C793"/>
      <c r="D793"/>
      <c r="E793"/>
      <c r="F793" s="27" t="s">
        <v>7</v>
      </c>
      <c r="EU793" s="27" t="s">
        <v>8</v>
      </c>
      <c r="EV793" s="27" t="s">
        <v>7</v>
      </c>
      <c r="EW793" s="27" t="s">
        <v>8</v>
      </c>
      <c r="EX793" s="27" t="s">
        <v>7</v>
      </c>
      <c r="EY793" s="27" t="s">
        <v>8</v>
      </c>
      <c r="FT793" s="27" t="s">
        <v>7</v>
      </c>
      <c r="FU793" s="27" t="s">
        <v>8</v>
      </c>
      <c r="FV793" s="27" t="s">
        <v>7</v>
      </c>
      <c r="FW793" s="27" t="s">
        <v>8</v>
      </c>
      <c r="GF793" s="27" t="s">
        <v>7</v>
      </c>
      <c r="GG793" s="27" t="s">
        <v>8</v>
      </c>
      <c r="GH793" s="27" t="s">
        <v>7</v>
      </c>
      <c r="GI793" s="27" t="s">
        <v>8</v>
      </c>
      <c r="GJ793" s="27" t="s">
        <v>7</v>
      </c>
      <c r="GK793" s="27" t="s">
        <v>8</v>
      </c>
      <c r="GL793" s="27" t="s">
        <v>7</v>
      </c>
      <c r="GU793" s="27" t="s">
        <v>8</v>
      </c>
      <c r="GV793" s="27" t="s">
        <v>7</v>
      </c>
      <c r="GW793" s="27" t="s">
        <v>8</v>
      </c>
      <c r="GX793" s="27" t="s">
        <v>7</v>
      </c>
      <c r="GY793" s="27" t="s">
        <v>8</v>
      </c>
      <c r="GZ793" s="27" t="s">
        <v>7</v>
      </c>
      <c r="IE793" s="27" t="s">
        <v>8</v>
      </c>
      <c r="IF793" s="27" t="s">
        <v>7</v>
      </c>
      <c r="IG793" s="27" t="s">
        <v>8</v>
      </c>
      <c r="IH793" s="27" t="s">
        <v>7</v>
      </c>
      <c r="II793" s="27" t="s">
        <v>8</v>
      </c>
      <c r="IJ793" s="27" t="s">
        <v>7</v>
      </c>
      <c r="IK793" s="27" t="s">
        <v>8</v>
      </c>
      <c r="IL793" s="27" t="s">
        <v>7</v>
      </c>
      <c r="IN793" s="27" t="s">
        <v>7</v>
      </c>
      <c r="IO793" s="27" t="s">
        <v>8</v>
      </c>
      <c r="IP793" s="27" t="s">
        <v>7</v>
      </c>
      <c r="IQ793" s="27" t="s">
        <v>8</v>
      </c>
      <c r="IR793" s="27" t="s">
        <v>7</v>
      </c>
      <c r="IS793" s="27" t="s">
        <v>8</v>
      </c>
      <c r="IY793" s="27" t="s">
        <v>8</v>
      </c>
      <c r="IZ793" s="27" t="s">
        <v>7</v>
      </c>
      <c r="JC793" s="27" t="s">
        <v>8</v>
      </c>
      <c r="JD793" s="27" t="s">
        <v>7</v>
      </c>
      <c r="JE793" s="27" t="s">
        <v>8</v>
      </c>
      <c r="JN793" s="27" t="s">
        <v>7</v>
      </c>
      <c r="JO793" s="27" t="s">
        <v>8</v>
      </c>
      <c r="JP793" s="27" t="s">
        <v>7</v>
      </c>
      <c r="JQ793" s="27" t="s">
        <v>8</v>
      </c>
      <c r="JR793" s="27" t="s">
        <v>7</v>
      </c>
      <c r="JS793" s="27" t="s">
        <v>8</v>
      </c>
      <c r="JT793" s="27" t="s">
        <v>7</v>
      </c>
      <c r="JU793" s="27" t="s">
        <v>8</v>
      </c>
      <c r="JV793" s="27" t="s">
        <v>7</v>
      </c>
      <c r="JW793" s="27" t="s">
        <v>8</v>
      </c>
      <c r="JX793" s="27" t="s">
        <v>7</v>
      </c>
      <c r="JY793" s="27" t="s">
        <v>8</v>
      </c>
      <c r="KB793" s="27" t="s">
        <v>7</v>
      </c>
    </row>
    <row r="794" spans="1:299" x14ac:dyDescent="0.25">
      <c r="A794" s="7">
        <v>1.6586870168237622E-2</v>
      </c>
      <c r="B794"/>
      <c r="C794"/>
      <c r="D794"/>
      <c r="E794"/>
      <c r="F794" s="27" t="s">
        <v>7</v>
      </c>
      <c r="EU794" s="27" t="s">
        <v>8</v>
      </c>
      <c r="EV794" s="27" t="s">
        <v>7</v>
      </c>
      <c r="EW794" s="27" t="s">
        <v>8</v>
      </c>
      <c r="EX794" s="27" t="s">
        <v>7</v>
      </c>
      <c r="FT794" s="27" t="s">
        <v>7</v>
      </c>
      <c r="FU794" s="27" t="s">
        <v>8</v>
      </c>
      <c r="FV794" s="27" t="s">
        <v>7</v>
      </c>
      <c r="GF794" s="27" t="s">
        <v>7</v>
      </c>
      <c r="GG794" s="27" t="s">
        <v>8</v>
      </c>
      <c r="GH794" s="27" t="s">
        <v>7</v>
      </c>
      <c r="GI794" s="27" t="s">
        <v>8</v>
      </c>
      <c r="GJ794" s="27" t="s">
        <v>7</v>
      </c>
      <c r="GK794" s="27" t="s">
        <v>8</v>
      </c>
      <c r="GL794" s="27" t="s">
        <v>7</v>
      </c>
      <c r="GU794" s="27" t="s">
        <v>8</v>
      </c>
      <c r="GV794" s="27" t="s">
        <v>7</v>
      </c>
      <c r="GW794" s="27" t="s">
        <v>8</v>
      </c>
      <c r="GX794" s="27" t="s">
        <v>7</v>
      </c>
      <c r="GY794" s="27" t="s">
        <v>8</v>
      </c>
      <c r="GZ794" s="27" t="s">
        <v>7</v>
      </c>
      <c r="IE794" s="27" t="s">
        <v>8</v>
      </c>
      <c r="IF794" s="27" t="s">
        <v>7</v>
      </c>
      <c r="IG794" s="27" t="s">
        <v>8</v>
      </c>
      <c r="IH794" s="27" t="s">
        <v>7</v>
      </c>
      <c r="II794" s="27" t="s">
        <v>8</v>
      </c>
      <c r="IJ794" s="27" t="s">
        <v>7</v>
      </c>
      <c r="IK794" s="27" t="s">
        <v>8</v>
      </c>
      <c r="IN794" s="27" t="s">
        <v>7</v>
      </c>
      <c r="IO794" s="27" t="s">
        <v>8</v>
      </c>
      <c r="IP794" s="27" t="s">
        <v>7</v>
      </c>
      <c r="IQ794" s="27" t="s">
        <v>8</v>
      </c>
      <c r="IR794" s="27" t="s">
        <v>7</v>
      </c>
      <c r="IS794" s="27" t="s">
        <v>8</v>
      </c>
      <c r="IT794" s="27" t="s">
        <v>7</v>
      </c>
      <c r="IY794" s="27" t="s">
        <v>8</v>
      </c>
      <c r="IZ794" s="27" t="s">
        <v>7</v>
      </c>
      <c r="JC794" s="27" t="s">
        <v>8</v>
      </c>
      <c r="JD794" s="27" t="s">
        <v>7</v>
      </c>
      <c r="JE794" s="27" t="s">
        <v>8</v>
      </c>
      <c r="JN794" s="27" t="s">
        <v>7</v>
      </c>
      <c r="JO794" s="27" t="s">
        <v>8</v>
      </c>
      <c r="JP794" s="27" t="s">
        <v>7</v>
      </c>
      <c r="JQ794" s="27" t="s">
        <v>8</v>
      </c>
      <c r="JR794" s="27" t="s">
        <v>7</v>
      </c>
      <c r="JT794" s="27" t="s">
        <v>7</v>
      </c>
      <c r="JU794" s="27" t="s">
        <v>8</v>
      </c>
      <c r="JV794" s="27" t="s">
        <v>7</v>
      </c>
      <c r="JX794" s="27" t="s">
        <v>7</v>
      </c>
      <c r="KB794" s="27" t="s">
        <v>7</v>
      </c>
    </row>
    <row r="795" spans="1:299" x14ac:dyDescent="0.25">
      <c r="A795" s="7">
        <v>1.6261637419840807E-2</v>
      </c>
      <c r="B795"/>
      <c r="C795"/>
      <c r="D795"/>
      <c r="E795"/>
      <c r="F795" s="27" t="s">
        <v>7</v>
      </c>
      <c r="EU795" s="27" t="s">
        <v>8</v>
      </c>
      <c r="EV795" s="27" t="s">
        <v>7</v>
      </c>
      <c r="EW795" s="27" t="s">
        <v>8</v>
      </c>
      <c r="FT795" s="27" t="s">
        <v>7</v>
      </c>
      <c r="FU795" s="27" t="s">
        <v>8</v>
      </c>
      <c r="GF795" s="27" t="s">
        <v>7</v>
      </c>
      <c r="GG795" s="27" t="s">
        <v>8</v>
      </c>
      <c r="GH795" s="27" t="s">
        <v>7</v>
      </c>
      <c r="GJ795" s="27" t="s">
        <v>7</v>
      </c>
      <c r="GK795" s="27" t="s">
        <v>8</v>
      </c>
      <c r="GL795" s="27" t="s">
        <v>7</v>
      </c>
      <c r="GU795" s="27" t="s">
        <v>8</v>
      </c>
      <c r="GV795" s="27" t="s">
        <v>7</v>
      </c>
      <c r="GW795" s="27" t="s">
        <v>8</v>
      </c>
      <c r="GX795" s="27" t="s">
        <v>7</v>
      </c>
      <c r="GY795" s="27" t="s">
        <v>8</v>
      </c>
      <c r="GZ795" s="27" t="s">
        <v>7</v>
      </c>
      <c r="IE795" s="27" t="s">
        <v>8</v>
      </c>
      <c r="IF795" s="27" t="s">
        <v>7</v>
      </c>
      <c r="IG795" s="27" t="s">
        <v>8</v>
      </c>
      <c r="IH795" s="27" t="s">
        <v>7</v>
      </c>
      <c r="II795" s="27" t="s">
        <v>8</v>
      </c>
      <c r="IJ795" s="27" t="s">
        <v>7</v>
      </c>
      <c r="IK795" s="27" t="s">
        <v>8</v>
      </c>
      <c r="IN795" s="27" t="s">
        <v>7</v>
      </c>
      <c r="IO795" s="27" t="s">
        <v>8</v>
      </c>
      <c r="IP795" s="27" t="s">
        <v>7</v>
      </c>
      <c r="IQ795" s="27" t="s">
        <v>8</v>
      </c>
      <c r="IR795" s="27" t="s">
        <v>7</v>
      </c>
      <c r="IS795" s="27" t="s">
        <v>8</v>
      </c>
      <c r="IT795" s="27" t="s">
        <v>7</v>
      </c>
      <c r="IY795" s="27" t="s">
        <v>8</v>
      </c>
      <c r="IZ795" s="27" t="s">
        <v>7</v>
      </c>
      <c r="JC795" s="27" t="s">
        <v>8</v>
      </c>
      <c r="JD795" s="27" t="s">
        <v>7</v>
      </c>
      <c r="JE795" s="27" t="s">
        <v>8</v>
      </c>
      <c r="JN795" s="27" t="s">
        <v>7</v>
      </c>
      <c r="JO795" s="27" t="s">
        <v>8</v>
      </c>
      <c r="JP795" s="27" t="s">
        <v>7</v>
      </c>
      <c r="JT795" s="27" t="s">
        <v>7</v>
      </c>
      <c r="JU795" s="27" t="s">
        <v>8</v>
      </c>
      <c r="KB795" s="27" t="s">
        <v>7</v>
      </c>
    </row>
    <row r="796" spans="1:299" x14ac:dyDescent="0.25">
      <c r="A796" s="7">
        <v>1.5942781784157655E-2</v>
      </c>
      <c r="B796"/>
      <c r="C796"/>
      <c r="D796"/>
      <c r="E796"/>
      <c r="F796" s="27" t="s">
        <v>7</v>
      </c>
      <c r="EU796" s="27" t="s">
        <v>8</v>
      </c>
      <c r="EV796" s="27" t="s">
        <v>7</v>
      </c>
      <c r="EW796" s="27" t="s">
        <v>8</v>
      </c>
      <c r="FT796" s="27" t="s">
        <v>7</v>
      </c>
      <c r="FU796" s="27" t="s">
        <v>8</v>
      </c>
      <c r="GF796" s="27" t="s">
        <v>7</v>
      </c>
      <c r="GG796" s="27" t="s">
        <v>8</v>
      </c>
      <c r="GJ796" s="27" t="s">
        <v>7</v>
      </c>
      <c r="GK796" s="27" t="s">
        <v>8</v>
      </c>
      <c r="GL796" s="27" t="s">
        <v>7</v>
      </c>
      <c r="GU796" s="27" t="s">
        <v>8</v>
      </c>
      <c r="GV796" s="27" t="s">
        <v>7</v>
      </c>
      <c r="GW796" s="27" t="s">
        <v>8</v>
      </c>
      <c r="GX796" s="27" t="s">
        <v>7</v>
      </c>
      <c r="GY796" s="27" t="s">
        <v>8</v>
      </c>
      <c r="GZ796" s="27" t="s">
        <v>7</v>
      </c>
      <c r="IE796" s="27" t="s">
        <v>8</v>
      </c>
      <c r="IF796" s="27" t="s">
        <v>7</v>
      </c>
      <c r="IG796" s="27" t="s">
        <v>8</v>
      </c>
      <c r="IH796" s="27" t="s">
        <v>7</v>
      </c>
      <c r="II796" s="27" t="s">
        <v>8</v>
      </c>
      <c r="IJ796" s="27" t="s">
        <v>7</v>
      </c>
      <c r="IK796" s="27" t="s">
        <v>8</v>
      </c>
      <c r="IN796" s="27" t="s">
        <v>7</v>
      </c>
      <c r="IO796" s="27" t="s">
        <v>8</v>
      </c>
      <c r="IP796" s="27" t="s">
        <v>7</v>
      </c>
      <c r="IQ796" s="27" t="s">
        <v>8</v>
      </c>
      <c r="IR796" s="27" t="s">
        <v>7</v>
      </c>
      <c r="IT796" s="27" t="s">
        <v>7</v>
      </c>
      <c r="IY796" s="27" t="s">
        <v>8</v>
      </c>
      <c r="IZ796" s="27" t="s">
        <v>7</v>
      </c>
      <c r="JC796" s="27" t="s">
        <v>8</v>
      </c>
      <c r="JD796" s="27" t="s">
        <v>7</v>
      </c>
      <c r="JE796" s="27" t="s">
        <v>8</v>
      </c>
      <c r="JN796" s="27" t="s">
        <v>7</v>
      </c>
      <c r="JO796" s="27" t="s">
        <v>8</v>
      </c>
      <c r="JT796" s="27" t="s">
        <v>7</v>
      </c>
      <c r="JU796" s="27" t="s">
        <v>8</v>
      </c>
      <c r="KB796" s="27" t="s">
        <v>7</v>
      </c>
    </row>
    <row r="797" spans="1:299" x14ac:dyDescent="0.25">
      <c r="A797" s="7">
        <v>1.5630178219762408E-2</v>
      </c>
      <c r="B797"/>
      <c r="C797"/>
      <c r="D797"/>
      <c r="E797"/>
      <c r="F797" s="27" t="s">
        <v>7</v>
      </c>
      <c r="EU797" s="27" t="s">
        <v>8</v>
      </c>
      <c r="EV797" s="27" t="s">
        <v>7</v>
      </c>
      <c r="EW797" s="27" t="s">
        <v>8</v>
      </c>
      <c r="FT797" s="27" t="s">
        <v>7</v>
      </c>
      <c r="FU797" s="27" t="s">
        <v>8</v>
      </c>
      <c r="GF797" s="27" t="s">
        <v>7</v>
      </c>
      <c r="GJ797" s="27" t="s">
        <v>7</v>
      </c>
      <c r="GK797" s="27" t="s">
        <v>8</v>
      </c>
      <c r="GL797" s="27" t="s">
        <v>7</v>
      </c>
      <c r="GU797" s="27" t="s">
        <v>8</v>
      </c>
      <c r="GV797" s="27" t="s">
        <v>7</v>
      </c>
      <c r="GW797" s="27" t="s">
        <v>8</v>
      </c>
      <c r="GX797" s="27" t="s">
        <v>7</v>
      </c>
      <c r="GY797" s="27" t="s">
        <v>8</v>
      </c>
      <c r="GZ797" s="27" t="s">
        <v>7</v>
      </c>
      <c r="IA797" s="27" t="s">
        <v>8</v>
      </c>
      <c r="IE797" s="27" t="s">
        <v>8</v>
      </c>
      <c r="IF797" s="27" t="s">
        <v>7</v>
      </c>
      <c r="IG797" s="27" t="s">
        <v>8</v>
      </c>
      <c r="IH797" s="27" t="s">
        <v>7</v>
      </c>
      <c r="II797" s="27" t="s">
        <v>8</v>
      </c>
      <c r="IJ797" s="27" t="s">
        <v>7</v>
      </c>
      <c r="IN797" s="27" t="s">
        <v>7</v>
      </c>
      <c r="IO797" s="27" t="s">
        <v>8</v>
      </c>
      <c r="IP797" s="27" t="s">
        <v>7</v>
      </c>
      <c r="IT797" s="27" t="s">
        <v>7</v>
      </c>
      <c r="IY797" s="27" t="s">
        <v>8</v>
      </c>
      <c r="IZ797" s="27" t="s">
        <v>7</v>
      </c>
      <c r="JC797" s="27" t="s">
        <v>8</v>
      </c>
      <c r="JD797" s="27" t="s">
        <v>7</v>
      </c>
      <c r="JE797" s="27" t="s">
        <v>8</v>
      </c>
      <c r="JN797" s="27" t="s">
        <v>7</v>
      </c>
      <c r="JO797" s="27" t="s">
        <v>8</v>
      </c>
      <c r="JT797" s="27" t="s">
        <v>7</v>
      </c>
      <c r="JU797" s="27" t="s">
        <v>8</v>
      </c>
      <c r="KB797" s="27" t="s">
        <v>7</v>
      </c>
    </row>
    <row r="798" spans="1:299" x14ac:dyDescent="0.25">
      <c r="A798" s="7">
        <v>1.5323704137021967E-2</v>
      </c>
      <c r="B798"/>
      <c r="C798"/>
      <c r="D798"/>
      <c r="E798"/>
      <c r="F798" s="27" t="s">
        <v>7</v>
      </c>
      <c r="EU798" s="27" t="s">
        <v>8</v>
      </c>
      <c r="EV798" s="27" t="s">
        <v>7</v>
      </c>
      <c r="EW798" s="27" t="s">
        <v>8</v>
      </c>
      <c r="FT798" s="27" t="s">
        <v>7</v>
      </c>
      <c r="FU798" s="27" t="s">
        <v>8</v>
      </c>
      <c r="GJ798" s="27" t="s">
        <v>7</v>
      </c>
      <c r="GK798" s="27" t="s">
        <v>8</v>
      </c>
      <c r="GL798" s="27" t="s">
        <v>7</v>
      </c>
      <c r="GU798" s="27" t="s">
        <v>8</v>
      </c>
      <c r="GV798" s="27" t="s">
        <v>7</v>
      </c>
      <c r="GW798" s="27" t="s">
        <v>8</v>
      </c>
      <c r="GX798" s="27" t="s">
        <v>7</v>
      </c>
      <c r="GY798" s="27" t="s">
        <v>8</v>
      </c>
      <c r="GZ798" s="27" t="s">
        <v>7</v>
      </c>
      <c r="IA798" s="27" t="s">
        <v>8</v>
      </c>
      <c r="IB798" s="27" t="s">
        <v>7</v>
      </c>
      <c r="IC798" s="27" t="s">
        <v>8</v>
      </c>
      <c r="IE798" s="27" t="s">
        <v>8</v>
      </c>
      <c r="IF798" s="27" t="s">
        <v>7</v>
      </c>
      <c r="IG798" s="27" t="s">
        <v>8</v>
      </c>
      <c r="IH798" s="27" t="s">
        <v>7</v>
      </c>
      <c r="II798" s="27" t="s">
        <v>8</v>
      </c>
      <c r="IN798" s="27" t="s">
        <v>7</v>
      </c>
      <c r="IO798" s="27" t="s">
        <v>8</v>
      </c>
      <c r="IT798" s="27" t="s">
        <v>7</v>
      </c>
      <c r="IU798" s="27" t="s">
        <v>8</v>
      </c>
      <c r="IY798" s="27" t="s">
        <v>8</v>
      </c>
      <c r="IZ798" s="27" t="s">
        <v>7</v>
      </c>
      <c r="JC798" s="27" t="s">
        <v>8</v>
      </c>
      <c r="JD798" s="27" t="s">
        <v>7</v>
      </c>
      <c r="JE798" s="27" t="s">
        <v>8</v>
      </c>
      <c r="JN798" s="27" t="s">
        <v>7</v>
      </c>
      <c r="JT798" s="27" t="s">
        <v>7</v>
      </c>
      <c r="KB798" s="27" t="s">
        <v>7</v>
      </c>
      <c r="KC798" s="27" t="s">
        <v>8</v>
      </c>
    </row>
    <row r="799" spans="1:299" x14ac:dyDescent="0.25">
      <c r="A799" s="7">
        <v>1.5023239350021535E-2</v>
      </c>
      <c r="B799"/>
      <c r="C799"/>
      <c r="D799"/>
      <c r="E799"/>
      <c r="F799" s="27" t="s">
        <v>7</v>
      </c>
      <c r="EU799" s="27" t="s">
        <v>8</v>
      </c>
      <c r="EV799" s="27" t="s">
        <v>7</v>
      </c>
      <c r="EW799" s="27" t="s">
        <v>8</v>
      </c>
      <c r="FT799" s="27" t="s">
        <v>7</v>
      </c>
      <c r="FU799" s="27" t="s">
        <v>8</v>
      </c>
      <c r="GJ799" s="27" t="s">
        <v>7</v>
      </c>
      <c r="GK799" s="27" t="s">
        <v>8</v>
      </c>
      <c r="GL799" s="27" t="s">
        <v>7</v>
      </c>
      <c r="GU799" s="27" t="s">
        <v>8</v>
      </c>
      <c r="GV799" s="27" t="s">
        <v>7</v>
      </c>
      <c r="GW799" s="27" t="s">
        <v>8</v>
      </c>
      <c r="GX799" s="27" t="s">
        <v>7</v>
      </c>
      <c r="GY799" s="27" t="s">
        <v>8</v>
      </c>
      <c r="GZ799" s="27" t="s">
        <v>7</v>
      </c>
      <c r="IA799" s="27" t="s">
        <v>8</v>
      </c>
      <c r="IB799" s="27" t="s">
        <v>7</v>
      </c>
      <c r="IC799" s="27" t="s">
        <v>8</v>
      </c>
      <c r="ID799" s="27" t="s">
        <v>7</v>
      </c>
      <c r="IE799" s="27" t="s">
        <v>8</v>
      </c>
      <c r="IF799" s="27" t="s">
        <v>7</v>
      </c>
      <c r="IG799" s="27" t="s">
        <v>8</v>
      </c>
      <c r="IH799" s="27" t="s">
        <v>7</v>
      </c>
      <c r="II799" s="27" t="s">
        <v>8</v>
      </c>
      <c r="IN799" s="27" t="s">
        <v>7</v>
      </c>
      <c r="IO799" s="27" t="s">
        <v>8</v>
      </c>
      <c r="IT799" s="27" t="s">
        <v>7</v>
      </c>
      <c r="IU799" s="27" t="s">
        <v>8</v>
      </c>
      <c r="IV799" s="27" t="s">
        <v>7</v>
      </c>
      <c r="IY799" s="27" t="s">
        <v>8</v>
      </c>
      <c r="IZ799" s="27" t="s">
        <v>7</v>
      </c>
      <c r="JC799" s="27" t="s">
        <v>8</v>
      </c>
      <c r="JD799" s="27" t="s">
        <v>7</v>
      </c>
      <c r="KB799" s="27" t="s">
        <v>7</v>
      </c>
      <c r="KC799" s="27" t="s">
        <v>8</v>
      </c>
      <c r="KD799" s="27" t="s">
        <v>7</v>
      </c>
      <c r="KE799" s="27" t="s">
        <v>8</v>
      </c>
    </row>
    <row r="800" spans="1:299" x14ac:dyDescent="0.25">
      <c r="A800" s="7">
        <v>1.4728666029432878E-2</v>
      </c>
      <c r="B800"/>
      <c r="C800"/>
      <c r="D800"/>
      <c r="E800"/>
      <c r="F800" s="27" t="s">
        <v>7</v>
      </c>
      <c r="EU800" s="27" t="s">
        <v>8</v>
      </c>
      <c r="EV800" s="27" t="s">
        <v>7</v>
      </c>
      <c r="EW800" s="27" t="s">
        <v>8</v>
      </c>
      <c r="FT800" s="27" t="s">
        <v>7</v>
      </c>
      <c r="FU800" s="27" t="s">
        <v>8</v>
      </c>
      <c r="GJ800" s="27" t="s">
        <v>7</v>
      </c>
      <c r="GK800" s="27" t="s">
        <v>8</v>
      </c>
      <c r="GL800" s="27" t="s">
        <v>7</v>
      </c>
      <c r="GU800" s="27" t="s">
        <v>8</v>
      </c>
      <c r="GV800" s="27" t="s">
        <v>7</v>
      </c>
      <c r="GW800" s="27" t="s">
        <v>8</v>
      </c>
      <c r="GX800" s="27" t="s">
        <v>7</v>
      </c>
      <c r="GY800" s="27" t="s">
        <v>8</v>
      </c>
      <c r="GZ800" s="27" t="s">
        <v>7</v>
      </c>
      <c r="IA800" s="27" t="s">
        <v>8</v>
      </c>
      <c r="IB800" s="27" t="s">
        <v>7</v>
      </c>
      <c r="IC800" s="27" t="s">
        <v>8</v>
      </c>
      <c r="ID800" s="27" t="s">
        <v>7</v>
      </c>
      <c r="IE800" s="27" t="s">
        <v>8</v>
      </c>
      <c r="IF800" s="27" t="s">
        <v>7</v>
      </c>
      <c r="IG800" s="27" t="s">
        <v>8</v>
      </c>
      <c r="IH800" s="27" t="s">
        <v>7</v>
      </c>
      <c r="II800" s="27" t="s">
        <v>8</v>
      </c>
      <c r="IN800" s="27" t="s">
        <v>7</v>
      </c>
      <c r="IO800" s="27" t="s">
        <v>8</v>
      </c>
      <c r="IT800" s="27" t="s">
        <v>7</v>
      </c>
      <c r="IU800" s="27" t="s">
        <v>8</v>
      </c>
      <c r="IV800" s="27" t="s">
        <v>7</v>
      </c>
      <c r="IY800" s="27" t="s">
        <v>8</v>
      </c>
      <c r="IZ800" s="27" t="s">
        <v>7</v>
      </c>
      <c r="JC800" s="27" t="s">
        <v>8</v>
      </c>
      <c r="KB800" s="27" t="s">
        <v>7</v>
      </c>
      <c r="KC800" s="27" t="s">
        <v>8</v>
      </c>
      <c r="KD800" s="27" t="s">
        <v>7</v>
      </c>
      <c r="KE800" s="27" t="s">
        <v>8</v>
      </c>
      <c r="KF800" s="27" t="s">
        <v>7</v>
      </c>
      <c r="KM800" s="27" t="s">
        <v>8</v>
      </c>
    </row>
    <row r="801" spans="1:310" x14ac:dyDescent="0.25">
      <c r="A801" s="7">
        <v>1.4439868656306743E-2</v>
      </c>
      <c r="B801"/>
      <c r="C801"/>
      <c r="D801"/>
      <c r="E801"/>
      <c r="F801" s="27" t="s">
        <v>7</v>
      </c>
      <c r="EU801" s="27" t="s">
        <v>8</v>
      </c>
      <c r="EV801" s="27" t="s">
        <v>7</v>
      </c>
      <c r="EW801" s="27" t="s">
        <v>8</v>
      </c>
      <c r="FT801" s="27" t="s">
        <v>7</v>
      </c>
      <c r="FU801" s="27" t="s">
        <v>8</v>
      </c>
      <c r="GJ801" s="27" t="s">
        <v>7</v>
      </c>
      <c r="GK801" s="27" t="s">
        <v>8</v>
      </c>
      <c r="GL801" s="27" t="s">
        <v>7</v>
      </c>
      <c r="GU801" s="27" t="s">
        <v>8</v>
      </c>
      <c r="GV801" s="27" t="s">
        <v>7</v>
      </c>
      <c r="GX801" s="27" t="s">
        <v>7</v>
      </c>
      <c r="GY801" s="27" t="s">
        <v>8</v>
      </c>
      <c r="GZ801" s="27" t="s">
        <v>7</v>
      </c>
      <c r="HC801" s="27" t="s">
        <v>8</v>
      </c>
      <c r="IA801" s="27" t="s">
        <v>8</v>
      </c>
      <c r="IB801" s="27" t="s">
        <v>7</v>
      </c>
      <c r="IC801" s="27" t="s">
        <v>8</v>
      </c>
      <c r="ID801" s="27" t="s">
        <v>7</v>
      </c>
      <c r="IE801" s="27" t="s">
        <v>8</v>
      </c>
      <c r="IF801" s="27" t="s">
        <v>7</v>
      </c>
      <c r="IG801" s="27" t="s">
        <v>8</v>
      </c>
      <c r="IH801" s="27" t="s">
        <v>7</v>
      </c>
      <c r="IN801" s="27" t="s">
        <v>7</v>
      </c>
      <c r="IT801" s="27" t="s">
        <v>7</v>
      </c>
      <c r="IU801" s="27" t="s">
        <v>8</v>
      </c>
      <c r="IV801" s="27" t="s">
        <v>7</v>
      </c>
      <c r="IY801" s="27" t="s">
        <v>8</v>
      </c>
      <c r="IZ801" s="27" t="s">
        <v>7</v>
      </c>
      <c r="JA801" s="27" t="s">
        <v>8</v>
      </c>
      <c r="JC801" s="27" t="s">
        <v>8</v>
      </c>
      <c r="KB801" s="27" t="s">
        <v>7</v>
      </c>
      <c r="KC801" s="27" t="s">
        <v>8</v>
      </c>
      <c r="KD801" s="27" t="s">
        <v>7</v>
      </c>
      <c r="KE801" s="27" t="s">
        <v>8</v>
      </c>
      <c r="KF801" s="27" t="s">
        <v>7</v>
      </c>
      <c r="KM801" s="27" t="s">
        <v>8</v>
      </c>
      <c r="KN801" s="27" t="s">
        <v>7</v>
      </c>
    </row>
    <row r="802" spans="1:310" x14ac:dyDescent="0.25">
      <c r="A802" s="7">
        <v>1.4156733976771318E-2</v>
      </c>
      <c r="B802"/>
      <c r="C802"/>
      <c r="D802"/>
      <c r="E802"/>
      <c r="F802" s="27" t="s">
        <v>7</v>
      </c>
      <c r="EU802" s="27" t="s">
        <v>8</v>
      </c>
      <c r="EV802" s="27" t="s">
        <v>7</v>
      </c>
      <c r="EW802" s="27" t="s">
        <v>8</v>
      </c>
      <c r="FT802" s="27" t="s">
        <v>7</v>
      </c>
      <c r="FU802" s="27" t="s">
        <v>8</v>
      </c>
      <c r="GJ802" s="27" t="s">
        <v>7</v>
      </c>
      <c r="GK802" s="27" t="s">
        <v>8</v>
      </c>
      <c r="GL802" s="27" t="s">
        <v>7</v>
      </c>
      <c r="GU802" s="27" t="s">
        <v>8</v>
      </c>
      <c r="GX802" s="27" t="s">
        <v>7</v>
      </c>
      <c r="GY802" s="27" t="s">
        <v>8</v>
      </c>
      <c r="GZ802" s="27" t="s">
        <v>7</v>
      </c>
      <c r="HC802" s="27" t="s">
        <v>8</v>
      </c>
      <c r="HD802" s="27" t="s">
        <v>7</v>
      </c>
      <c r="HY802" s="27" t="s">
        <v>8</v>
      </c>
      <c r="IA802" s="27" t="s">
        <v>8</v>
      </c>
      <c r="IB802" s="27" t="s">
        <v>7</v>
      </c>
      <c r="IC802" s="27" t="s">
        <v>8</v>
      </c>
      <c r="ID802" s="27" t="s">
        <v>7</v>
      </c>
      <c r="IE802" s="27" t="s">
        <v>8</v>
      </c>
      <c r="IF802" s="27" t="s">
        <v>7</v>
      </c>
      <c r="IG802" s="27" t="s">
        <v>8</v>
      </c>
      <c r="IT802" s="27" t="s">
        <v>7</v>
      </c>
      <c r="IU802" s="27" t="s">
        <v>8</v>
      </c>
      <c r="IV802" s="27" t="s">
        <v>7</v>
      </c>
      <c r="IY802" s="27" t="s">
        <v>8</v>
      </c>
      <c r="IZ802" s="27" t="s">
        <v>7</v>
      </c>
      <c r="JA802" s="27" t="s">
        <v>8</v>
      </c>
      <c r="JB802" s="27" t="s">
        <v>7</v>
      </c>
      <c r="JC802" s="27" t="s">
        <v>8</v>
      </c>
      <c r="KB802" s="27" t="s">
        <v>7</v>
      </c>
      <c r="KC802" s="27" t="s">
        <v>8</v>
      </c>
      <c r="KD802" s="27" t="s">
        <v>7</v>
      </c>
      <c r="KE802" s="27" t="s">
        <v>8</v>
      </c>
      <c r="KF802" s="27" t="s">
        <v>7</v>
      </c>
      <c r="KM802" s="27" t="s">
        <v>8</v>
      </c>
      <c r="KN802" s="27" t="s">
        <v>7</v>
      </c>
    </row>
    <row r="803" spans="1:310" x14ac:dyDescent="0.25">
      <c r="A803" s="7">
        <v>1.3879150957618939E-2</v>
      </c>
      <c r="B803"/>
      <c r="C803"/>
      <c r="D803"/>
      <c r="E803"/>
      <c r="F803" s="27" t="s">
        <v>7</v>
      </c>
      <c r="EU803" s="27" t="s">
        <v>8</v>
      </c>
      <c r="EV803" s="27" t="s">
        <v>7</v>
      </c>
      <c r="EW803" s="27" t="s">
        <v>8</v>
      </c>
      <c r="FT803" s="27" t="s">
        <v>7</v>
      </c>
      <c r="GJ803" s="27" t="s">
        <v>7</v>
      </c>
      <c r="GK803" s="27" t="s">
        <v>8</v>
      </c>
      <c r="GL803" s="27" t="s">
        <v>7</v>
      </c>
      <c r="GU803" s="27" t="s">
        <v>8</v>
      </c>
      <c r="GX803" s="27" t="s">
        <v>7</v>
      </c>
      <c r="GY803" s="27" t="s">
        <v>8</v>
      </c>
      <c r="GZ803" s="27" t="s">
        <v>7</v>
      </c>
      <c r="HC803" s="27" t="s">
        <v>8</v>
      </c>
      <c r="HD803" s="27" t="s">
        <v>7</v>
      </c>
      <c r="HO803" s="27" t="s">
        <v>8</v>
      </c>
      <c r="HY803" s="27" t="s">
        <v>8</v>
      </c>
      <c r="HZ803" s="27" t="s">
        <v>7</v>
      </c>
      <c r="IA803" s="27" t="s">
        <v>8</v>
      </c>
      <c r="IB803" s="27" t="s">
        <v>7</v>
      </c>
      <c r="IC803" s="27" t="s">
        <v>8</v>
      </c>
      <c r="ID803" s="27" t="s">
        <v>7</v>
      </c>
      <c r="IF803" s="27" t="s">
        <v>7</v>
      </c>
      <c r="IG803" s="27" t="s">
        <v>8</v>
      </c>
      <c r="IT803" s="27" t="s">
        <v>7</v>
      </c>
      <c r="IU803" s="27" t="s">
        <v>8</v>
      </c>
      <c r="IV803" s="27" t="s">
        <v>7</v>
      </c>
      <c r="IY803" s="27" t="s">
        <v>8</v>
      </c>
      <c r="IZ803" s="27" t="s">
        <v>7</v>
      </c>
      <c r="JA803" s="27" t="s">
        <v>8</v>
      </c>
      <c r="JB803" s="27" t="s">
        <v>7</v>
      </c>
      <c r="JC803" s="27" t="s">
        <v>8</v>
      </c>
      <c r="KB803" s="27" t="s">
        <v>7</v>
      </c>
      <c r="KC803" s="27" t="s">
        <v>8</v>
      </c>
      <c r="KD803" s="27" t="s">
        <v>7</v>
      </c>
      <c r="KE803" s="27" t="s">
        <v>8</v>
      </c>
      <c r="KF803" s="27" t="s">
        <v>7</v>
      </c>
      <c r="KM803" s="27" t="s">
        <v>8</v>
      </c>
      <c r="KN803" s="27" t="s">
        <v>7</v>
      </c>
    </row>
    <row r="804" spans="1:310" x14ac:dyDescent="0.25">
      <c r="A804" s="7">
        <v>1.3607010742763666E-2</v>
      </c>
      <c r="B804"/>
      <c r="C804"/>
      <c r="D804"/>
      <c r="E804"/>
      <c r="F804" s="27" t="s">
        <v>7</v>
      </c>
      <c r="EU804" s="27" t="s">
        <v>8</v>
      </c>
      <c r="EV804" s="27" t="s">
        <v>7</v>
      </c>
      <c r="EW804" s="27" t="s">
        <v>8</v>
      </c>
      <c r="GJ804" s="27" t="s">
        <v>7</v>
      </c>
      <c r="GK804" s="27" t="s">
        <v>8</v>
      </c>
      <c r="GL804" s="27" t="s">
        <v>7</v>
      </c>
      <c r="GO804" s="27" t="s">
        <v>8</v>
      </c>
      <c r="GU804" s="27" t="s">
        <v>8</v>
      </c>
      <c r="GX804" s="27" t="s">
        <v>7</v>
      </c>
      <c r="GY804" s="27" t="s">
        <v>8</v>
      </c>
      <c r="GZ804" s="27" t="s">
        <v>7</v>
      </c>
      <c r="HA804" s="27" t="s">
        <v>8</v>
      </c>
      <c r="HC804" s="27" t="s">
        <v>8</v>
      </c>
      <c r="HD804" s="27" t="s">
        <v>7</v>
      </c>
      <c r="HO804" s="27" t="s">
        <v>8</v>
      </c>
      <c r="HP804" s="27" t="s">
        <v>7</v>
      </c>
      <c r="HY804" s="27" t="s">
        <v>8</v>
      </c>
      <c r="HZ804" s="27" t="s">
        <v>7</v>
      </c>
      <c r="IA804" s="27" t="s">
        <v>8</v>
      </c>
      <c r="IB804" s="27" t="s">
        <v>7</v>
      </c>
      <c r="IF804" s="27" t="s">
        <v>7</v>
      </c>
      <c r="IG804" s="27" t="s">
        <v>8</v>
      </c>
      <c r="IT804" s="27" t="s">
        <v>7</v>
      </c>
      <c r="IU804" s="27" t="s">
        <v>8</v>
      </c>
      <c r="IV804" s="27" t="s">
        <v>7</v>
      </c>
      <c r="IY804" s="27" t="s">
        <v>8</v>
      </c>
      <c r="IZ804" s="27" t="s">
        <v>7</v>
      </c>
      <c r="JA804" s="27" t="s">
        <v>8</v>
      </c>
      <c r="JB804" s="27" t="s">
        <v>7</v>
      </c>
      <c r="KB804" s="27" t="s">
        <v>7</v>
      </c>
      <c r="KC804" s="27" t="s">
        <v>8</v>
      </c>
      <c r="KD804" s="27" t="s">
        <v>7</v>
      </c>
      <c r="KE804" s="27" t="s">
        <v>8</v>
      </c>
      <c r="KF804" s="27" t="s">
        <v>7</v>
      </c>
      <c r="KM804" s="27" t="s">
        <v>8</v>
      </c>
      <c r="KN804" s="27" t="s">
        <v>7</v>
      </c>
      <c r="KO804" s="27" t="s">
        <v>8</v>
      </c>
    </row>
    <row r="805" spans="1:310" x14ac:dyDescent="0.25">
      <c r="A805" s="7">
        <v>1.3340206610552614E-2</v>
      </c>
      <c r="B805"/>
      <c r="C805"/>
      <c r="D805"/>
      <c r="E805"/>
      <c r="F805" s="27" t="s">
        <v>7</v>
      </c>
      <c r="EU805" s="27" t="s">
        <v>8</v>
      </c>
      <c r="EV805" s="27" t="s">
        <v>7</v>
      </c>
      <c r="EW805" s="27" t="s">
        <v>8</v>
      </c>
      <c r="GJ805" s="27" t="s">
        <v>7</v>
      </c>
      <c r="GK805" s="27" t="s">
        <v>8</v>
      </c>
      <c r="GL805" s="27" t="s">
        <v>7</v>
      </c>
      <c r="GM805" s="27" t="s">
        <v>8</v>
      </c>
      <c r="GO805" s="27" t="s">
        <v>8</v>
      </c>
      <c r="GP805" s="27" t="s">
        <v>7</v>
      </c>
      <c r="GU805" s="27" t="s">
        <v>8</v>
      </c>
      <c r="GX805" s="27" t="s">
        <v>7</v>
      </c>
      <c r="GY805" s="27" t="s">
        <v>8</v>
      </c>
      <c r="GZ805" s="27" t="s">
        <v>7</v>
      </c>
      <c r="HA805" s="27" t="s">
        <v>8</v>
      </c>
      <c r="HB805" s="27" t="s">
        <v>7</v>
      </c>
      <c r="HC805" s="27" t="s">
        <v>8</v>
      </c>
      <c r="HD805" s="27" t="s">
        <v>7</v>
      </c>
      <c r="HO805" s="27" t="s">
        <v>8</v>
      </c>
      <c r="HP805" s="27" t="s">
        <v>7</v>
      </c>
      <c r="HY805" s="27" t="s">
        <v>8</v>
      </c>
      <c r="HZ805" s="27" t="s">
        <v>7</v>
      </c>
      <c r="IA805" s="27" t="s">
        <v>8</v>
      </c>
      <c r="IF805" s="27" t="s">
        <v>7</v>
      </c>
      <c r="IT805" s="27" t="s">
        <v>7</v>
      </c>
      <c r="IU805" s="27" t="s">
        <v>8</v>
      </c>
      <c r="IV805" s="27" t="s">
        <v>7</v>
      </c>
      <c r="IY805" s="27" t="s">
        <v>8</v>
      </c>
      <c r="IZ805" s="27" t="s">
        <v>7</v>
      </c>
      <c r="JA805" s="27" t="s">
        <v>8</v>
      </c>
      <c r="KB805" s="27" t="s">
        <v>7</v>
      </c>
      <c r="KC805" s="27" t="s">
        <v>8</v>
      </c>
      <c r="KD805" s="27" t="s">
        <v>7</v>
      </c>
      <c r="KE805" s="27" t="s">
        <v>8</v>
      </c>
      <c r="KF805" s="27" t="s">
        <v>7</v>
      </c>
      <c r="KM805" s="27" t="s">
        <v>8</v>
      </c>
      <c r="KN805" s="27" t="s">
        <v>7</v>
      </c>
      <c r="KO805" s="27" t="s">
        <v>8</v>
      </c>
      <c r="KP805" s="27" t="s">
        <v>7</v>
      </c>
    </row>
    <row r="806" spans="1:310" x14ac:dyDescent="0.25">
      <c r="A806" s="7">
        <v>1.3078633931914328E-2</v>
      </c>
      <c r="B806"/>
      <c r="C806"/>
      <c r="D806"/>
      <c r="E806"/>
      <c r="F806" s="27" t="s">
        <v>7</v>
      </c>
      <c r="EU806" s="27" t="s">
        <v>8</v>
      </c>
      <c r="EV806" s="27" t="s">
        <v>7</v>
      </c>
      <c r="EW806" s="27" t="s">
        <v>8</v>
      </c>
      <c r="GJ806" s="27" t="s">
        <v>7</v>
      </c>
      <c r="GK806" s="27" t="s">
        <v>8</v>
      </c>
      <c r="GL806" s="27" t="s">
        <v>7</v>
      </c>
      <c r="GM806" s="27" t="s">
        <v>8</v>
      </c>
      <c r="GN806" s="27" t="s">
        <v>7</v>
      </c>
      <c r="GO806" s="27" t="s">
        <v>8</v>
      </c>
      <c r="GP806" s="27" t="s">
        <v>7</v>
      </c>
      <c r="GU806" s="27" t="s">
        <v>8</v>
      </c>
      <c r="GX806" s="27" t="s">
        <v>7</v>
      </c>
      <c r="GY806" s="27" t="s">
        <v>8</v>
      </c>
      <c r="GZ806" s="27" t="s">
        <v>7</v>
      </c>
      <c r="HA806" s="27" t="s">
        <v>8</v>
      </c>
      <c r="HB806" s="27" t="s">
        <v>7</v>
      </c>
      <c r="HC806" s="27" t="s">
        <v>8</v>
      </c>
      <c r="HD806" s="27" t="s">
        <v>7</v>
      </c>
      <c r="HO806" s="27" t="s">
        <v>8</v>
      </c>
      <c r="HP806" s="27" t="s">
        <v>7</v>
      </c>
      <c r="HY806" s="27" t="s">
        <v>8</v>
      </c>
      <c r="HZ806" s="27" t="s">
        <v>7</v>
      </c>
      <c r="IA806" s="27" t="s">
        <v>8</v>
      </c>
      <c r="IT806" s="27" t="s">
        <v>7</v>
      </c>
      <c r="IU806" s="27" t="s">
        <v>8</v>
      </c>
      <c r="IV806" s="27" t="s">
        <v>7</v>
      </c>
      <c r="IW806" s="27" t="s">
        <v>8</v>
      </c>
      <c r="IY806" s="27" t="s">
        <v>8</v>
      </c>
      <c r="IZ806" s="27" t="s">
        <v>7</v>
      </c>
      <c r="JA806" s="27" t="s">
        <v>8</v>
      </c>
      <c r="KB806" s="27" t="s">
        <v>7</v>
      </c>
      <c r="KC806" s="27" t="s">
        <v>8</v>
      </c>
      <c r="KD806" s="27" t="s">
        <v>7</v>
      </c>
      <c r="KE806" s="27" t="s">
        <v>8</v>
      </c>
      <c r="KF806" s="27" t="s">
        <v>7</v>
      </c>
      <c r="KG806" s="27" t="s">
        <v>8</v>
      </c>
      <c r="KM806" s="27" t="s">
        <v>8</v>
      </c>
      <c r="KN806" s="27" t="s">
        <v>7</v>
      </c>
      <c r="KO806" s="27" t="s">
        <v>8</v>
      </c>
      <c r="KP806" s="27" t="s">
        <v>7</v>
      </c>
    </row>
    <row r="807" spans="1:310" x14ac:dyDescent="0.25">
      <c r="A807" s="7">
        <v>1.2822190129327771E-2</v>
      </c>
      <c r="B807"/>
      <c r="C807"/>
      <c r="D807"/>
      <c r="E807"/>
      <c r="F807" s="27" t="s">
        <v>7</v>
      </c>
      <c r="EU807" s="27" t="s">
        <v>8</v>
      </c>
      <c r="EV807" s="27" t="s">
        <v>7</v>
      </c>
      <c r="EW807" s="27" t="s">
        <v>8</v>
      </c>
      <c r="GJ807" s="27" t="s">
        <v>7</v>
      </c>
      <c r="GK807" s="27" t="s">
        <v>8</v>
      </c>
      <c r="GL807" s="27" t="s">
        <v>7</v>
      </c>
      <c r="GM807" s="27" t="s">
        <v>8</v>
      </c>
      <c r="GN807" s="27" t="s">
        <v>7</v>
      </c>
      <c r="GO807" s="27" t="s">
        <v>8</v>
      </c>
      <c r="GP807" s="27" t="s">
        <v>7</v>
      </c>
      <c r="GU807" s="27" t="s">
        <v>8</v>
      </c>
      <c r="GX807" s="27" t="s">
        <v>7</v>
      </c>
      <c r="GY807" s="27" t="s">
        <v>8</v>
      </c>
      <c r="GZ807" s="27" t="s">
        <v>7</v>
      </c>
      <c r="HA807" s="27" t="s">
        <v>8</v>
      </c>
      <c r="HB807" s="27" t="s">
        <v>7</v>
      </c>
      <c r="HC807" s="27" t="s">
        <v>8</v>
      </c>
      <c r="HD807" s="27" t="s">
        <v>7</v>
      </c>
      <c r="HO807" s="27" t="s">
        <v>8</v>
      </c>
      <c r="HP807" s="27" t="s">
        <v>7</v>
      </c>
      <c r="HY807" s="27" t="s">
        <v>8</v>
      </c>
      <c r="HZ807" s="27" t="s">
        <v>7</v>
      </c>
      <c r="IA807" s="27" t="s">
        <v>8</v>
      </c>
      <c r="IT807" s="27" t="s">
        <v>7</v>
      </c>
      <c r="IU807" s="27" t="s">
        <v>8</v>
      </c>
      <c r="IV807" s="27" t="s">
        <v>7</v>
      </c>
      <c r="IW807" s="27" t="s">
        <v>8</v>
      </c>
      <c r="IX807" s="27" t="s">
        <v>7</v>
      </c>
      <c r="IY807" s="27" t="s">
        <v>8</v>
      </c>
      <c r="IZ807" s="27" t="s">
        <v>7</v>
      </c>
      <c r="JA807" s="27" t="s">
        <v>8</v>
      </c>
      <c r="KB807" s="27" t="s">
        <v>7</v>
      </c>
      <c r="KC807" s="27" t="s">
        <v>8</v>
      </c>
      <c r="KD807" s="27" t="s">
        <v>7</v>
      </c>
      <c r="KE807" s="27" t="s">
        <v>8</v>
      </c>
      <c r="KF807" s="27" t="s">
        <v>7</v>
      </c>
      <c r="KG807" s="27" t="s">
        <v>8</v>
      </c>
      <c r="KH807" s="27" t="s">
        <v>7</v>
      </c>
      <c r="KM807" s="27" t="s">
        <v>8</v>
      </c>
      <c r="KN807" s="27" t="s">
        <v>7</v>
      </c>
      <c r="KO807" s="27" t="s">
        <v>8</v>
      </c>
      <c r="KP807" s="27" t="s">
        <v>7</v>
      </c>
    </row>
    <row r="808" spans="1:310" x14ac:dyDescent="0.25">
      <c r="A808" s="7">
        <v>1.2570774636595854E-2</v>
      </c>
      <c r="B808"/>
      <c r="C808"/>
      <c r="D808"/>
      <c r="E808"/>
      <c r="F808" s="27" t="s">
        <v>7</v>
      </c>
      <c r="EU808" s="27" t="s">
        <v>8</v>
      </c>
      <c r="EV808" s="27" t="s">
        <v>7</v>
      </c>
      <c r="GJ808" s="27" t="s">
        <v>7</v>
      </c>
      <c r="GK808" s="27" t="s">
        <v>8</v>
      </c>
      <c r="GL808" s="27" t="s">
        <v>7</v>
      </c>
      <c r="GM808" s="27" t="s">
        <v>8</v>
      </c>
      <c r="GN808" s="27" t="s">
        <v>7</v>
      </c>
      <c r="GO808" s="27" t="s">
        <v>8</v>
      </c>
      <c r="GP808" s="27" t="s">
        <v>7</v>
      </c>
      <c r="GS808" s="27" t="s">
        <v>8</v>
      </c>
      <c r="GU808" s="27" t="s">
        <v>8</v>
      </c>
      <c r="GX808" s="27" t="s">
        <v>7</v>
      </c>
      <c r="GY808" s="27" t="s">
        <v>8</v>
      </c>
      <c r="GZ808" s="27" t="s">
        <v>7</v>
      </c>
      <c r="HA808" s="27" t="s">
        <v>8</v>
      </c>
      <c r="HB808" s="27" t="s">
        <v>7</v>
      </c>
      <c r="HD808" s="27" t="s">
        <v>7</v>
      </c>
      <c r="HI808" s="27" t="s">
        <v>8</v>
      </c>
      <c r="HO808" s="27" t="s">
        <v>8</v>
      </c>
      <c r="HP808" s="27" t="s">
        <v>7</v>
      </c>
      <c r="HQ808" s="27" t="s">
        <v>8</v>
      </c>
      <c r="HS808" s="27" t="s">
        <v>8</v>
      </c>
      <c r="HY808" s="27" t="s">
        <v>8</v>
      </c>
      <c r="HZ808" s="27" t="s">
        <v>7</v>
      </c>
      <c r="IT808" s="27" t="s">
        <v>7</v>
      </c>
      <c r="IU808" s="27" t="s">
        <v>8</v>
      </c>
      <c r="IV808" s="27" t="s">
        <v>7</v>
      </c>
      <c r="IW808" s="27" t="s">
        <v>8</v>
      </c>
      <c r="IX808" s="27" t="s">
        <v>7</v>
      </c>
      <c r="IY808" s="27" t="s">
        <v>8</v>
      </c>
      <c r="IZ808" s="27" t="s">
        <v>7</v>
      </c>
      <c r="KB808" s="27" t="s">
        <v>7</v>
      </c>
      <c r="KC808" s="27" t="s">
        <v>8</v>
      </c>
      <c r="KD808" s="27" t="s">
        <v>7</v>
      </c>
      <c r="KE808" s="27" t="s">
        <v>8</v>
      </c>
      <c r="KF808" s="27" t="s">
        <v>7</v>
      </c>
      <c r="KG808" s="27" t="s">
        <v>8</v>
      </c>
      <c r="KH808" s="27" t="s">
        <v>7</v>
      </c>
      <c r="KI808" s="27" t="s">
        <v>8</v>
      </c>
      <c r="KM808" s="27" t="s">
        <v>8</v>
      </c>
      <c r="KN808" s="27" t="s">
        <v>7</v>
      </c>
      <c r="KO808" s="27" t="s">
        <v>8</v>
      </c>
      <c r="KP808" s="27" t="s">
        <v>7</v>
      </c>
    </row>
    <row r="809" spans="1:310" x14ac:dyDescent="0.25">
      <c r="A809" s="7">
        <v>1.23242888594077E-2</v>
      </c>
      <c r="B809"/>
      <c r="C809"/>
      <c r="D809"/>
      <c r="E809"/>
      <c r="F809" s="27" t="s">
        <v>7</v>
      </c>
      <c r="EU809" s="27" t="s">
        <v>8</v>
      </c>
      <c r="GJ809" s="27" t="s">
        <v>7</v>
      </c>
      <c r="GK809" s="27" t="s">
        <v>8</v>
      </c>
      <c r="GL809" s="27" t="s">
        <v>7</v>
      </c>
      <c r="GM809" s="27" t="s">
        <v>8</v>
      </c>
      <c r="GN809" s="27" t="s">
        <v>7</v>
      </c>
      <c r="GO809" s="27" t="s">
        <v>8</v>
      </c>
      <c r="GP809" s="27" t="s">
        <v>7</v>
      </c>
      <c r="GQ809" s="27" t="s">
        <v>8</v>
      </c>
      <c r="GS809" s="27" t="s">
        <v>8</v>
      </c>
      <c r="GT809" s="27" t="s">
        <v>7</v>
      </c>
      <c r="GU809" s="27" t="s">
        <v>8</v>
      </c>
      <c r="GX809" s="27" t="s">
        <v>7</v>
      </c>
      <c r="GY809" s="27" t="s">
        <v>8</v>
      </c>
      <c r="GZ809" s="27" t="s">
        <v>7</v>
      </c>
      <c r="HA809" s="27" t="s">
        <v>8</v>
      </c>
      <c r="HD809" s="27" t="s">
        <v>7</v>
      </c>
      <c r="HI809" s="27" t="s">
        <v>8</v>
      </c>
      <c r="HJ809" s="27" t="s">
        <v>7</v>
      </c>
      <c r="HO809" s="27" t="s">
        <v>8</v>
      </c>
      <c r="HP809" s="27" t="s">
        <v>7</v>
      </c>
      <c r="HQ809" s="27" t="s">
        <v>8</v>
      </c>
      <c r="HR809" s="27" t="s">
        <v>7</v>
      </c>
      <c r="HS809" s="27" t="s">
        <v>8</v>
      </c>
      <c r="HT809" s="27" t="s">
        <v>7</v>
      </c>
      <c r="HY809" s="27" t="s">
        <v>8</v>
      </c>
      <c r="IT809" s="27" t="s">
        <v>7</v>
      </c>
      <c r="IU809" s="27" t="s">
        <v>8</v>
      </c>
      <c r="IV809" s="27" t="s">
        <v>7</v>
      </c>
      <c r="IW809" s="27" t="s">
        <v>8</v>
      </c>
      <c r="IX809" s="27" t="s">
        <v>7</v>
      </c>
      <c r="IY809" s="27" t="s">
        <v>8</v>
      </c>
      <c r="KB809" s="27" t="s">
        <v>7</v>
      </c>
      <c r="KD809" s="27" t="s">
        <v>7</v>
      </c>
      <c r="KE809" s="27" t="s">
        <v>8</v>
      </c>
      <c r="KF809" s="27" t="s">
        <v>7</v>
      </c>
      <c r="KG809" s="27" t="s">
        <v>8</v>
      </c>
      <c r="KH809" s="27" t="s">
        <v>7</v>
      </c>
      <c r="KI809" s="27" t="s">
        <v>8</v>
      </c>
      <c r="KJ809" s="27" t="s">
        <v>7</v>
      </c>
      <c r="KK809" s="27" t="s">
        <v>8</v>
      </c>
      <c r="KM809" s="27" t="s">
        <v>8</v>
      </c>
      <c r="KN809" s="27" t="s">
        <v>7</v>
      </c>
      <c r="KO809" s="27" t="s">
        <v>8</v>
      </c>
      <c r="KP809" s="27" t="s">
        <v>7</v>
      </c>
      <c r="KQ809" s="27" t="s">
        <v>8</v>
      </c>
    </row>
    <row r="810" spans="1:310" x14ac:dyDescent="0.25">
      <c r="A810" s="7">
        <v>1.2082636136674216E-2</v>
      </c>
      <c r="B810"/>
      <c r="C810"/>
      <c r="D810"/>
      <c r="E810"/>
      <c r="F810" s="27" t="s">
        <v>7</v>
      </c>
      <c r="EU810" s="27" t="s">
        <v>8</v>
      </c>
      <c r="GJ810" s="27" t="s">
        <v>7</v>
      </c>
      <c r="GK810" s="27" t="s">
        <v>8</v>
      </c>
      <c r="GL810" s="27" t="s">
        <v>7</v>
      </c>
      <c r="GM810" s="27" t="s">
        <v>8</v>
      </c>
      <c r="GN810" s="27" t="s">
        <v>7</v>
      </c>
      <c r="GO810" s="27" t="s">
        <v>8</v>
      </c>
      <c r="GP810" s="27" t="s">
        <v>7</v>
      </c>
      <c r="GQ810" s="27" t="s">
        <v>8</v>
      </c>
      <c r="GR810" s="27" t="s">
        <v>7</v>
      </c>
      <c r="GS810" s="27" t="s">
        <v>8</v>
      </c>
      <c r="GT810" s="27" t="s">
        <v>7</v>
      </c>
      <c r="GU810" s="27" t="s">
        <v>8</v>
      </c>
      <c r="GX810" s="27" t="s">
        <v>7</v>
      </c>
      <c r="GZ810" s="27" t="s">
        <v>7</v>
      </c>
      <c r="HA810" s="27" t="s">
        <v>8</v>
      </c>
      <c r="HD810" s="27" t="s">
        <v>7</v>
      </c>
      <c r="HI810" s="27" t="s">
        <v>8</v>
      </c>
      <c r="HJ810" s="27" t="s">
        <v>7</v>
      </c>
      <c r="HO810" s="27" t="s">
        <v>8</v>
      </c>
      <c r="HP810" s="27" t="s">
        <v>7</v>
      </c>
      <c r="HQ810" s="27" t="s">
        <v>8</v>
      </c>
      <c r="HR810" s="27" t="s">
        <v>7</v>
      </c>
      <c r="HS810" s="27" t="s">
        <v>8</v>
      </c>
      <c r="HT810" s="27" t="s">
        <v>7</v>
      </c>
      <c r="HW810" s="27" t="s">
        <v>8</v>
      </c>
      <c r="HY810" s="27" t="s">
        <v>8</v>
      </c>
      <c r="IT810" s="27" t="s">
        <v>7</v>
      </c>
      <c r="IU810" s="27" t="s">
        <v>8</v>
      </c>
      <c r="IV810" s="27" t="s">
        <v>7</v>
      </c>
      <c r="IX810" s="27" t="s">
        <v>7</v>
      </c>
      <c r="IY810" s="27" t="s">
        <v>8</v>
      </c>
      <c r="KD810" s="27" t="s">
        <v>7</v>
      </c>
      <c r="KE810" s="27" t="s">
        <v>8</v>
      </c>
      <c r="KF810" s="27" t="s">
        <v>7</v>
      </c>
      <c r="KH810" s="27" t="s">
        <v>7</v>
      </c>
      <c r="KI810" s="27" t="s">
        <v>8</v>
      </c>
      <c r="KJ810" s="27" t="s">
        <v>7</v>
      </c>
      <c r="KK810" s="27" t="s">
        <v>8</v>
      </c>
      <c r="KL810" s="27" t="s">
        <v>7</v>
      </c>
      <c r="KM810" s="27" t="s">
        <v>8</v>
      </c>
      <c r="KN810" s="27" t="s">
        <v>7</v>
      </c>
      <c r="KO810" s="27" t="s">
        <v>8</v>
      </c>
      <c r="KP810" s="27" t="s">
        <v>7</v>
      </c>
      <c r="KQ810" s="27" t="s">
        <v>8</v>
      </c>
      <c r="KR810" s="27" t="s">
        <v>7</v>
      </c>
    </row>
    <row r="811" spans="1:310" x14ac:dyDescent="0.25">
      <c r="A811" s="7">
        <v>1.184572170262178E-2</v>
      </c>
      <c r="B811"/>
      <c r="C811"/>
      <c r="D811"/>
      <c r="E811"/>
      <c r="F811" s="27" t="s">
        <v>7</v>
      </c>
      <c r="EC811" s="27" t="s">
        <v>8</v>
      </c>
      <c r="EU811" s="27" t="s">
        <v>8</v>
      </c>
      <c r="GJ811" s="27" t="s">
        <v>7</v>
      </c>
      <c r="GK811" s="27" t="s">
        <v>8</v>
      </c>
      <c r="GL811" s="27" t="s">
        <v>7</v>
      </c>
      <c r="GM811" s="27" t="s">
        <v>8</v>
      </c>
      <c r="GN811" s="27" t="s">
        <v>7</v>
      </c>
      <c r="GO811" s="27" t="s">
        <v>8</v>
      </c>
      <c r="GP811" s="27" t="s">
        <v>7</v>
      </c>
      <c r="GQ811" s="27" t="s">
        <v>8</v>
      </c>
      <c r="GR811" s="27" t="s">
        <v>7</v>
      </c>
      <c r="GS811" s="27" t="s">
        <v>8</v>
      </c>
      <c r="GT811" s="27" t="s">
        <v>7</v>
      </c>
      <c r="GZ811" s="27" t="s">
        <v>7</v>
      </c>
      <c r="HA811" s="27" t="s">
        <v>8</v>
      </c>
      <c r="HD811" s="27" t="s">
        <v>7</v>
      </c>
      <c r="HG811" s="27" t="s">
        <v>8</v>
      </c>
      <c r="HI811" s="27" t="s">
        <v>8</v>
      </c>
      <c r="HJ811" s="27" t="s">
        <v>7</v>
      </c>
      <c r="HO811" s="27" t="s">
        <v>8</v>
      </c>
      <c r="HP811" s="27" t="s">
        <v>7</v>
      </c>
      <c r="HQ811" s="27" t="s">
        <v>8</v>
      </c>
      <c r="HR811" s="27" t="s">
        <v>7</v>
      </c>
      <c r="HT811" s="27" t="s">
        <v>7</v>
      </c>
      <c r="HW811" s="27" t="s">
        <v>8</v>
      </c>
      <c r="HX811" s="27" t="s">
        <v>7</v>
      </c>
      <c r="HY811" s="27" t="s">
        <v>8</v>
      </c>
      <c r="IT811" s="27" t="s">
        <v>7</v>
      </c>
      <c r="IU811" s="27" t="s">
        <v>8</v>
      </c>
      <c r="IX811" s="27" t="s">
        <v>7</v>
      </c>
      <c r="IY811" s="27" t="s">
        <v>8</v>
      </c>
      <c r="KD811" s="27" t="s">
        <v>7</v>
      </c>
      <c r="KH811" s="27" t="s">
        <v>7</v>
      </c>
      <c r="KI811" s="27" t="s">
        <v>8</v>
      </c>
      <c r="KJ811" s="27" t="s">
        <v>7</v>
      </c>
      <c r="KK811" s="27" t="s">
        <v>8</v>
      </c>
      <c r="KL811" s="27" t="s">
        <v>7</v>
      </c>
      <c r="KM811" s="27" t="s">
        <v>8</v>
      </c>
      <c r="KN811" s="27" t="s">
        <v>7</v>
      </c>
      <c r="KO811" s="27" t="s">
        <v>8</v>
      </c>
      <c r="KP811" s="27" t="s">
        <v>7</v>
      </c>
      <c r="KQ811" s="27" t="s">
        <v>8</v>
      </c>
      <c r="KR811" s="27" t="s">
        <v>7</v>
      </c>
    </row>
    <row r="812" spans="1:310" x14ac:dyDescent="0.25">
      <c r="A812" s="7">
        <v>1.1613452649629196E-2</v>
      </c>
      <c r="B812"/>
      <c r="C812"/>
      <c r="D812"/>
      <c r="E812"/>
      <c r="F812" s="27" t="s">
        <v>7</v>
      </c>
      <c r="EC812" s="27" t="s">
        <v>8</v>
      </c>
      <c r="ED812" s="27" t="s">
        <v>7</v>
      </c>
      <c r="EU812" s="27" t="s">
        <v>8</v>
      </c>
      <c r="GJ812" s="27" t="s">
        <v>7</v>
      </c>
      <c r="GK812" s="27" t="s">
        <v>8</v>
      </c>
      <c r="GL812" s="27" t="s">
        <v>7</v>
      </c>
      <c r="GM812" s="27" t="s">
        <v>8</v>
      </c>
      <c r="GN812" s="27" t="s">
        <v>7</v>
      </c>
      <c r="GO812" s="27" t="s">
        <v>8</v>
      </c>
      <c r="GP812" s="27" t="s">
        <v>7</v>
      </c>
      <c r="GQ812" s="27" t="s">
        <v>8</v>
      </c>
      <c r="GR812" s="27" t="s">
        <v>7</v>
      </c>
      <c r="GS812" s="27" t="s">
        <v>8</v>
      </c>
      <c r="GZ812" s="27" t="s">
        <v>7</v>
      </c>
      <c r="HA812" s="27" t="s">
        <v>8</v>
      </c>
      <c r="HD812" s="27" t="s">
        <v>7</v>
      </c>
      <c r="HE812" s="27" t="s">
        <v>8</v>
      </c>
      <c r="HG812" s="27" t="s">
        <v>8</v>
      </c>
      <c r="HH812" s="27" t="s">
        <v>7</v>
      </c>
      <c r="HI812" s="27" t="s">
        <v>8</v>
      </c>
      <c r="HJ812" s="27" t="s">
        <v>7</v>
      </c>
      <c r="HK812" s="27" t="s">
        <v>8</v>
      </c>
      <c r="HM812" s="27" t="s">
        <v>8</v>
      </c>
      <c r="HO812" s="27" t="s">
        <v>8</v>
      </c>
      <c r="HP812" s="27" t="s">
        <v>7</v>
      </c>
      <c r="HQ812" s="27" t="s">
        <v>8</v>
      </c>
      <c r="HT812" s="27" t="s">
        <v>7</v>
      </c>
      <c r="HW812" s="27" t="s">
        <v>8</v>
      </c>
      <c r="HX812" s="27" t="s">
        <v>7</v>
      </c>
      <c r="HY812" s="27" t="s">
        <v>8</v>
      </c>
      <c r="IT812" s="27" t="s">
        <v>7</v>
      </c>
      <c r="IX812" s="27" t="s">
        <v>7</v>
      </c>
      <c r="IY812" s="27" t="s">
        <v>8</v>
      </c>
      <c r="KH812" s="27" t="s">
        <v>7</v>
      </c>
      <c r="KI812" s="27" t="s">
        <v>8</v>
      </c>
      <c r="KJ812" s="27" t="s">
        <v>7</v>
      </c>
      <c r="KK812" s="27" t="s">
        <v>8</v>
      </c>
      <c r="KL812" s="27" t="s">
        <v>7</v>
      </c>
      <c r="KM812" s="27" t="s">
        <v>8</v>
      </c>
      <c r="KN812" s="27" t="s">
        <v>7</v>
      </c>
      <c r="KO812" s="27" t="s">
        <v>8</v>
      </c>
      <c r="KP812" s="27" t="s">
        <v>7</v>
      </c>
      <c r="KQ812" s="27" t="s">
        <v>8</v>
      </c>
      <c r="KR812" s="27" t="s">
        <v>7</v>
      </c>
      <c r="KU812" s="27" t="s">
        <v>8</v>
      </c>
    </row>
    <row r="813" spans="1:310" x14ac:dyDescent="0.25">
      <c r="A813" s="7">
        <v>1.138573789179333E-2</v>
      </c>
      <c r="B813"/>
      <c r="C813"/>
      <c r="D813"/>
      <c r="E813"/>
      <c r="F813" s="27" t="s">
        <v>7</v>
      </c>
      <c r="EC813" s="27" t="s">
        <v>8</v>
      </c>
      <c r="ED813" s="27" t="s">
        <v>7</v>
      </c>
      <c r="EU813" s="27" t="s">
        <v>8</v>
      </c>
      <c r="GJ813" s="27" t="s">
        <v>7</v>
      </c>
      <c r="GK813" s="27" t="s">
        <v>8</v>
      </c>
      <c r="GL813" s="27" t="s">
        <v>7</v>
      </c>
      <c r="GM813" s="27" t="s">
        <v>8</v>
      </c>
      <c r="GN813" s="27" t="s">
        <v>7</v>
      </c>
      <c r="GO813" s="27" t="s">
        <v>8</v>
      </c>
      <c r="GP813" s="27" t="s">
        <v>7</v>
      </c>
      <c r="GQ813" s="27" t="s">
        <v>8</v>
      </c>
      <c r="GR813" s="27" t="s">
        <v>7</v>
      </c>
      <c r="GZ813" s="27" t="s">
        <v>7</v>
      </c>
      <c r="HA813" s="27" t="s">
        <v>8</v>
      </c>
      <c r="HD813" s="27" t="s">
        <v>7</v>
      </c>
      <c r="HE813" s="27" t="s">
        <v>8</v>
      </c>
      <c r="HF813" s="27" t="s">
        <v>7</v>
      </c>
      <c r="HG813" s="27" t="s">
        <v>8</v>
      </c>
      <c r="HH813" s="27" t="s">
        <v>7</v>
      </c>
      <c r="HI813" s="27" t="s">
        <v>8</v>
      </c>
      <c r="HJ813" s="27" t="s">
        <v>7</v>
      </c>
      <c r="HK813" s="27" t="s">
        <v>8</v>
      </c>
      <c r="HL813" s="27" t="s">
        <v>7</v>
      </c>
      <c r="HM813" s="27" t="s">
        <v>8</v>
      </c>
      <c r="HN813" s="27" t="s">
        <v>7</v>
      </c>
      <c r="HO813" s="27" t="s">
        <v>8</v>
      </c>
      <c r="HP813" s="27" t="s">
        <v>7</v>
      </c>
      <c r="HQ813" s="27" t="s">
        <v>8</v>
      </c>
      <c r="HT813" s="27" t="s">
        <v>7</v>
      </c>
      <c r="HW813" s="27" t="s">
        <v>8</v>
      </c>
      <c r="HX813" s="27" t="s">
        <v>7</v>
      </c>
      <c r="HY813" s="27" t="s">
        <v>8</v>
      </c>
      <c r="IX813" s="27" t="s">
        <v>7</v>
      </c>
      <c r="KH813" s="27" t="s">
        <v>7</v>
      </c>
      <c r="KI813" s="27" t="s">
        <v>8</v>
      </c>
      <c r="KJ813" s="27" t="s">
        <v>7</v>
      </c>
      <c r="KK813" s="27" t="s">
        <v>8</v>
      </c>
      <c r="KL813" s="27" t="s">
        <v>7</v>
      </c>
      <c r="KN813" s="27" t="s">
        <v>7</v>
      </c>
      <c r="KP813" s="27" t="s">
        <v>7</v>
      </c>
      <c r="KR813" s="27" t="s">
        <v>7</v>
      </c>
      <c r="KU813" s="27" t="s">
        <v>8</v>
      </c>
      <c r="KV813" s="27" t="s">
        <v>7</v>
      </c>
    </row>
    <row r="814" spans="1:310" x14ac:dyDescent="0.25">
      <c r="A814" s="7">
        <v>1.1162488129209149E-2</v>
      </c>
      <c r="B814"/>
      <c r="C814"/>
      <c r="D814"/>
      <c r="E814"/>
      <c r="F814" s="27" t="s">
        <v>7</v>
      </c>
      <c r="EC814" s="27" t="s">
        <v>8</v>
      </c>
      <c r="ED814" s="27" t="s">
        <v>7</v>
      </c>
      <c r="EU814" s="27" t="s">
        <v>8</v>
      </c>
      <c r="GJ814" s="27" t="s">
        <v>7</v>
      </c>
      <c r="GK814" s="27" t="s">
        <v>8</v>
      </c>
      <c r="GL814" s="27" t="s">
        <v>7</v>
      </c>
      <c r="GM814" s="27" t="s">
        <v>8</v>
      </c>
      <c r="GN814" s="27" t="s">
        <v>7</v>
      </c>
      <c r="GP814" s="27" t="s">
        <v>7</v>
      </c>
      <c r="GQ814" s="27" t="s">
        <v>8</v>
      </c>
      <c r="GZ814" s="27" t="s">
        <v>7</v>
      </c>
      <c r="HA814" s="27" t="s">
        <v>8</v>
      </c>
      <c r="HD814" s="27" t="s">
        <v>7</v>
      </c>
      <c r="HE814" s="27" t="s">
        <v>8</v>
      </c>
      <c r="HF814" s="27" t="s">
        <v>7</v>
      </c>
      <c r="HG814" s="27" t="s">
        <v>8</v>
      </c>
      <c r="HH814" s="27" t="s">
        <v>7</v>
      </c>
      <c r="HI814" s="27" t="s">
        <v>8</v>
      </c>
      <c r="HJ814" s="27" t="s">
        <v>7</v>
      </c>
      <c r="HK814" s="27" t="s">
        <v>8</v>
      </c>
      <c r="HL814" s="27" t="s">
        <v>7</v>
      </c>
      <c r="HM814" s="27" t="s">
        <v>8</v>
      </c>
      <c r="HN814" s="27" t="s">
        <v>7</v>
      </c>
      <c r="HO814" s="27" t="s">
        <v>8</v>
      </c>
      <c r="HP814" s="27" t="s">
        <v>7</v>
      </c>
      <c r="HT814" s="27" t="s">
        <v>7</v>
      </c>
      <c r="HW814" s="27" t="s">
        <v>8</v>
      </c>
      <c r="HX814" s="27" t="s">
        <v>7</v>
      </c>
      <c r="HY814" s="27" t="s">
        <v>8</v>
      </c>
      <c r="KH814" s="27" t="s">
        <v>7</v>
      </c>
      <c r="KJ814" s="27" t="s">
        <v>7</v>
      </c>
      <c r="KR814" s="27" t="s">
        <v>7</v>
      </c>
      <c r="KS814" s="27" t="s">
        <v>8</v>
      </c>
      <c r="KU814" s="27" t="s">
        <v>8</v>
      </c>
      <c r="KV814" s="27" t="s">
        <v>7</v>
      </c>
      <c r="KW814" s="27" t="s">
        <v>8</v>
      </c>
    </row>
    <row r="815" spans="1:310" x14ac:dyDescent="0.25">
      <c r="A815" s="7">
        <v>1.0943615812950145E-2</v>
      </c>
      <c r="B815"/>
      <c r="C815"/>
      <c r="D815"/>
      <c r="E815"/>
      <c r="F815" s="27" t="s">
        <v>7</v>
      </c>
      <c r="EC815" s="27" t="s">
        <v>8</v>
      </c>
      <c r="ED815" s="27" t="s">
        <v>7</v>
      </c>
      <c r="EE815" s="27" t="s">
        <v>8</v>
      </c>
      <c r="EU815" s="27" t="s">
        <v>8</v>
      </c>
      <c r="GJ815" s="27" t="s">
        <v>7</v>
      </c>
      <c r="GK815" s="27" t="s">
        <v>8</v>
      </c>
      <c r="GL815" s="27" t="s">
        <v>7</v>
      </c>
      <c r="GM815" s="27" t="s">
        <v>8</v>
      </c>
      <c r="GP815" s="27" t="s">
        <v>7</v>
      </c>
      <c r="GQ815" s="27" t="s">
        <v>8</v>
      </c>
      <c r="GZ815" s="27" t="s">
        <v>7</v>
      </c>
      <c r="HD815" s="27" t="s">
        <v>7</v>
      </c>
      <c r="HF815" s="27" t="s">
        <v>7</v>
      </c>
      <c r="HG815" s="27" t="s">
        <v>8</v>
      </c>
      <c r="HH815" s="27" t="s">
        <v>7</v>
      </c>
      <c r="HI815" s="27" t="s">
        <v>8</v>
      </c>
      <c r="HJ815" s="27" t="s">
        <v>7</v>
      </c>
      <c r="HK815" s="27" t="s">
        <v>8</v>
      </c>
      <c r="HL815" s="27" t="s">
        <v>7</v>
      </c>
      <c r="HN815" s="27" t="s">
        <v>7</v>
      </c>
      <c r="HT815" s="27" t="s">
        <v>7</v>
      </c>
      <c r="HW815" s="27" t="s">
        <v>8</v>
      </c>
      <c r="HX815" s="27" t="s">
        <v>7</v>
      </c>
      <c r="KR815" s="27" t="s">
        <v>7</v>
      </c>
      <c r="KS815" s="27" t="s">
        <v>8</v>
      </c>
      <c r="KT815" s="27" t="s">
        <v>7</v>
      </c>
      <c r="KU815" s="27" t="s">
        <v>8</v>
      </c>
      <c r="KV815" s="27" t="s">
        <v>7</v>
      </c>
      <c r="KW815" s="27" t="s">
        <v>8</v>
      </c>
      <c r="KX815" s="27" t="s">
        <v>7</v>
      </c>
    </row>
    <row r="816" spans="1:310" x14ac:dyDescent="0.25">
      <c r="A816" s="7">
        <v>1.0729035110735436E-2</v>
      </c>
      <c r="B816"/>
      <c r="C816"/>
      <c r="D816"/>
      <c r="E816"/>
      <c r="F816" s="27" t="s">
        <v>7</v>
      </c>
      <c r="EC816" s="27" t="s">
        <v>8</v>
      </c>
      <c r="ED816" s="27" t="s">
        <v>7</v>
      </c>
      <c r="EE816" s="27" t="s">
        <v>8</v>
      </c>
      <c r="EF816" s="27" t="s">
        <v>7</v>
      </c>
      <c r="EU816" s="27" t="s">
        <v>8</v>
      </c>
      <c r="GJ816" s="27" t="s">
        <v>7</v>
      </c>
      <c r="GK816" s="27" t="s">
        <v>8</v>
      </c>
      <c r="GL816" s="27" t="s">
        <v>7</v>
      </c>
      <c r="GM816" s="27" t="s">
        <v>8</v>
      </c>
      <c r="GP816" s="27" t="s">
        <v>7</v>
      </c>
      <c r="HF816" s="27" t="s">
        <v>7</v>
      </c>
      <c r="HG816" s="27" t="s">
        <v>8</v>
      </c>
      <c r="HH816" s="27" t="s">
        <v>7</v>
      </c>
      <c r="HI816" s="27" t="s">
        <v>8</v>
      </c>
      <c r="HJ816" s="27" t="s">
        <v>7</v>
      </c>
      <c r="HT816" s="27" t="s">
        <v>7</v>
      </c>
      <c r="HU816" s="27" t="s">
        <v>8</v>
      </c>
      <c r="HW816" s="27" t="s">
        <v>8</v>
      </c>
      <c r="KR816" s="27" t="s">
        <v>7</v>
      </c>
      <c r="KS816" s="27" t="s">
        <v>8</v>
      </c>
      <c r="KT816" s="27" t="s">
        <v>7</v>
      </c>
      <c r="KU816" s="27" t="s">
        <v>8</v>
      </c>
      <c r="KV816" s="27" t="s">
        <v>7</v>
      </c>
      <c r="KW816" s="27" t="s">
        <v>8</v>
      </c>
      <c r="KX816" s="27" t="s">
        <v>7</v>
      </c>
    </row>
    <row r="817" spans="1:316" x14ac:dyDescent="0.25">
      <c r="A817" s="7">
        <v>1.0518661873270036E-2</v>
      </c>
      <c r="B817"/>
      <c r="C817"/>
      <c r="D817"/>
      <c r="E817"/>
      <c r="F817" s="27" t="s">
        <v>7</v>
      </c>
      <c r="EC817" s="27" t="s">
        <v>8</v>
      </c>
      <c r="ED817" s="27" t="s">
        <v>7</v>
      </c>
      <c r="EE817" s="27" t="s">
        <v>8</v>
      </c>
      <c r="EF817" s="27" t="s">
        <v>7</v>
      </c>
      <c r="EU817" s="27" t="s">
        <v>8</v>
      </c>
      <c r="GJ817" s="27" t="s">
        <v>7</v>
      </c>
      <c r="GK817" s="27" t="s">
        <v>8</v>
      </c>
      <c r="GL817" s="27" t="s">
        <v>7</v>
      </c>
      <c r="GM817" s="27" t="s">
        <v>8</v>
      </c>
      <c r="HF817" s="27" t="s">
        <v>7</v>
      </c>
      <c r="HG817" s="27" t="s">
        <v>8</v>
      </c>
      <c r="HH817" s="27" t="s">
        <v>7</v>
      </c>
      <c r="HI817" s="27" t="s">
        <v>8</v>
      </c>
      <c r="HT817" s="27" t="s">
        <v>7</v>
      </c>
      <c r="HU817" s="27" t="s">
        <v>8</v>
      </c>
      <c r="HV817" s="27" t="s">
        <v>7</v>
      </c>
      <c r="HW817" s="27" t="s">
        <v>8</v>
      </c>
      <c r="KR817" s="27" t="s">
        <v>7</v>
      </c>
      <c r="KT817" s="27" t="s">
        <v>7</v>
      </c>
      <c r="KU817" s="27" t="s">
        <v>8</v>
      </c>
      <c r="KV817" s="27" t="s">
        <v>7</v>
      </c>
      <c r="KX817" s="27" t="s">
        <v>7</v>
      </c>
    </row>
    <row r="818" spans="1:316" x14ac:dyDescent="0.25">
      <c r="A818" s="7">
        <v>1.0312413601245135E-2</v>
      </c>
      <c r="B818"/>
      <c r="C818"/>
      <c r="D818"/>
      <c r="E818"/>
      <c r="F818" s="27" t="s">
        <v>7</v>
      </c>
      <c r="EC818" s="27" t="s">
        <v>8</v>
      </c>
      <c r="ED818" s="27" t="s">
        <v>7</v>
      </c>
      <c r="EE818" s="27" t="s">
        <v>8</v>
      </c>
      <c r="EF818" s="27" t="s">
        <v>7</v>
      </c>
      <c r="EU818" s="27" t="s">
        <v>8</v>
      </c>
      <c r="GJ818" s="27" t="s">
        <v>7</v>
      </c>
      <c r="GK818" s="27" t="s">
        <v>8</v>
      </c>
      <c r="GL818" s="27" t="s">
        <v>7</v>
      </c>
      <c r="GM818" s="27" t="s">
        <v>8</v>
      </c>
      <c r="HF818" s="27" t="s">
        <v>7</v>
      </c>
      <c r="HG818" s="27" t="s">
        <v>8</v>
      </c>
      <c r="HH818" s="27" t="s">
        <v>7</v>
      </c>
      <c r="HI818" s="27" t="s">
        <v>8</v>
      </c>
      <c r="HT818" s="27" t="s">
        <v>7</v>
      </c>
      <c r="HU818" s="27" t="s">
        <v>8</v>
      </c>
      <c r="HV818" s="27" t="s">
        <v>7</v>
      </c>
      <c r="HW818" s="27" t="s">
        <v>8</v>
      </c>
      <c r="KT818" s="27" t="s">
        <v>7</v>
      </c>
      <c r="KU818" s="27" t="s">
        <v>8</v>
      </c>
      <c r="KX818" s="27" t="s">
        <v>7</v>
      </c>
      <c r="KY818" s="27" t="s">
        <v>8</v>
      </c>
    </row>
    <row r="819" spans="1:316" x14ac:dyDescent="0.25">
      <c r="A819" s="7">
        <v>1.0110209412985426E-2</v>
      </c>
      <c r="B819"/>
      <c r="C819"/>
      <c r="D819"/>
      <c r="E819"/>
      <c r="F819" s="27" t="s">
        <v>7</v>
      </c>
      <c r="EC819" s="27" t="s">
        <v>8</v>
      </c>
      <c r="ED819" s="27" t="s">
        <v>7</v>
      </c>
      <c r="EE819" s="27" t="s">
        <v>8</v>
      </c>
      <c r="EF819" s="27" t="s">
        <v>7</v>
      </c>
      <c r="EG819" s="27" t="s">
        <v>8</v>
      </c>
      <c r="EO819" s="27" t="s">
        <v>8</v>
      </c>
      <c r="EU819" s="27" t="s">
        <v>8</v>
      </c>
      <c r="GJ819" s="27" t="s">
        <v>7</v>
      </c>
      <c r="GK819" s="27" t="s">
        <v>8</v>
      </c>
      <c r="GL819" s="27" t="s">
        <v>7</v>
      </c>
      <c r="GM819" s="27" t="s">
        <v>8</v>
      </c>
      <c r="HF819" s="27" t="s">
        <v>7</v>
      </c>
      <c r="HG819" s="27" t="s">
        <v>8</v>
      </c>
      <c r="HH819" s="27" t="s">
        <v>7</v>
      </c>
      <c r="HI819" s="27" t="s">
        <v>8</v>
      </c>
      <c r="HT819" s="27" t="s">
        <v>7</v>
      </c>
      <c r="HV819" s="27" t="s">
        <v>7</v>
      </c>
      <c r="HW819" s="27" t="s">
        <v>8</v>
      </c>
      <c r="KT819" s="27" t="s">
        <v>7</v>
      </c>
      <c r="KU819" s="27" t="s">
        <v>8</v>
      </c>
      <c r="KX819" s="27" t="s">
        <v>7</v>
      </c>
      <c r="KY819" s="27" t="s">
        <v>8</v>
      </c>
      <c r="KZ819" s="27" t="s">
        <v>7</v>
      </c>
    </row>
    <row r="820" spans="1:316" x14ac:dyDescent="0.25">
      <c r="A820" s="7">
        <v>9.9119700127308103E-3</v>
      </c>
      <c r="B820"/>
      <c r="C820"/>
      <c r="D820"/>
      <c r="E820"/>
      <c r="F820" s="27" t="s">
        <v>7</v>
      </c>
      <c r="EC820" s="27" t="s">
        <v>8</v>
      </c>
      <c r="ED820" s="27" t="s">
        <v>7</v>
      </c>
      <c r="EE820" s="27" t="s">
        <v>8</v>
      </c>
      <c r="EF820" s="27" t="s">
        <v>7</v>
      </c>
      <c r="EG820" s="27" t="s">
        <v>8</v>
      </c>
      <c r="EH820" s="27" t="s">
        <v>7</v>
      </c>
      <c r="EO820" s="27" t="s">
        <v>8</v>
      </c>
      <c r="EP820" s="27" t="s">
        <v>7</v>
      </c>
      <c r="ES820" s="27" t="s">
        <v>8</v>
      </c>
      <c r="EU820" s="27" t="s">
        <v>8</v>
      </c>
      <c r="GJ820" s="27" t="s">
        <v>7</v>
      </c>
      <c r="GK820" s="27" t="s">
        <v>8</v>
      </c>
      <c r="GL820" s="27" t="s">
        <v>7</v>
      </c>
      <c r="GM820" s="27" t="s">
        <v>8</v>
      </c>
      <c r="HF820" s="27" t="s">
        <v>7</v>
      </c>
      <c r="HG820" s="27" t="s">
        <v>8</v>
      </c>
      <c r="HH820" s="27" t="s">
        <v>7</v>
      </c>
      <c r="HI820" s="27" t="s">
        <v>8</v>
      </c>
      <c r="HV820" s="18" t="s">
        <v>7</v>
      </c>
      <c r="HW820" s="27" t="s">
        <v>8</v>
      </c>
      <c r="KT820" s="27" t="s">
        <v>7</v>
      </c>
      <c r="KX820" s="27" t="s">
        <v>7</v>
      </c>
      <c r="KY820" s="27" t="s">
        <v>8</v>
      </c>
      <c r="KZ820" s="27" t="s">
        <v>7</v>
      </c>
    </row>
    <row r="821" spans="1:316" x14ac:dyDescent="0.25">
      <c r="A821" s="7">
        <v>9.717617659540009E-3</v>
      </c>
      <c r="B821"/>
      <c r="C821"/>
      <c r="D821"/>
      <c r="E821"/>
      <c r="F821" s="27" t="s">
        <v>7</v>
      </c>
      <c r="EC821" s="27" t="s">
        <v>8</v>
      </c>
      <c r="ED821" s="27" t="s">
        <v>7</v>
      </c>
      <c r="EE821" s="27" t="s">
        <v>8</v>
      </c>
      <c r="EF821" s="27" t="s">
        <v>7</v>
      </c>
      <c r="EG821" s="27" t="s">
        <v>8</v>
      </c>
      <c r="EH821" s="27" t="s">
        <v>7</v>
      </c>
      <c r="EO821" s="27" t="s">
        <v>8</v>
      </c>
      <c r="EP821" s="27" t="s">
        <v>7</v>
      </c>
      <c r="ES821" s="27" t="s">
        <v>8</v>
      </c>
      <c r="ET821" s="27" t="s">
        <v>7</v>
      </c>
      <c r="EU821" s="27" t="s">
        <v>8</v>
      </c>
      <c r="GJ821" s="27" t="s">
        <v>7</v>
      </c>
      <c r="GK821" s="27" t="s">
        <v>8</v>
      </c>
      <c r="GL821" s="27" t="s">
        <v>7</v>
      </c>
      <c r="HF821" s="27" t="s">
        <v>7</v>
      </c>
      <c r="HG821" s="27" t="s">
        <v>8</v>
      </c>
      <c r="HH821" s="27" t="s">
        <v>7</v>
      </c>
      <c r="HI821" s="27" t="s">
        <v>8</v>
      </c>
      <c r="HV821" s="27" t="s">
        <v>7</v>
      </c>
      <c r="HW821" s="27" t="s">
        <v>8</v>
      </c>
      <c r="KX821" s="27" t="s">
        <v>7</v>
      </c>
      <c r="KZ821" s="27" t="s">
        <v>7</v>
      </c>
      <c r="LA821" s="27" t="s">
        <v>8</v>
      </c>
    </row>
    <row r="822" spans="1:316" x14ac:dyDescent="0.25">
      <c r="A822" s="7">
        <v>9.5270761368039299E-3</v>
      </c>
      <c r="B822"/>
      <c r="C822"/>
      <c r="D822"/>
      <c r="E822"/>
      <c r="F822" s="27" t="s">
        <v>7</v>
      </c>
      <c r="EC822" s="27" t="s">
        <v>8</v>
      </c>
      <c r="ED822" s="27" t="s">
        <v>7</v>
      </c>
      <c r="EE822" s="27" t="s">
        <v>8</v>
      </c>
      <c r="EF822" s="27" t="s">
        <v>7</v>
      </c>
      <c r="EG822" s="27" t="s">
        <v>8</v>
      </c>
      <c r="EH822" s="27" t="s">
        <v>7</v>
      </c>
      <c r="EO822" s="27" t="s">
        <v>8</v>
      </c>
      <c r="EP822" s="27" t="s">
        <v>7</v>
      </c>
      <c r="ES822" s="27" t="s">
        <v>8</v>
      </c>
      <c r="ET822" s="27" t="s">
        <v>7</v>
      </c>
      <c r="EU822" s="27" t="s">
        <v>8</v>
      </c>
      <c r="GJ822" s="27" t="s">
        <v>7</v>
      </c>
      <c r="GK822" s="27" t="s">
        <v>8</v>
      </c>
      <c r="HF822" s="27" t="s">
        <v>7</v>
      </c>
      <c r="HG822" s="27" t="s">
        <v>8</v>
      </c>
      <c r="HH822" s="27" t="s">
        <v>7</v>
      </c>
      <c r="HI822" s="27" t="s">
        <v>8</v>
      </c>
      <c r="HV822" s="27" t="s">
        <v>7</v>
      </c>
      <c r="HW822" s="27" t="s">
        <v>8</v>
      </c>
      <c r="KZ822" s="27" t="s">
        <v>7</v>
      </c>
      <c r="LA822" s="27" t="s">
        <v>8</v>
      </c>
      <c r="LB822" s="27" t="s">
        <v>7</v>
      </c>
    </row>
    <row r="823" spans="1:316" x14ac:dyDescent="0.25">
      <c r="A823" s="7">
        <v>9.3402707223567936E-3</v>
      </c>
      <c r="B823"/>
      <c r="C823"/>
      <c r="D823"/>
      <c r="E823"/>
      <c r="F823" s="27" t="s">
        <v>7</v>
      </c>
      <c r="EC823" s="27" t="s">
        <v>8</v>
      </c>
      <c r="ED823" s="27" t="s">
        <v>7</v>
      </c>
      <c r="EE823" s="27" t="s">
        <v>8</v>
      </c>
      <c r="EF823" s="27" t="s">
        <v>7</v>
      </c>
      <c r="EG823" s="27" t="s">
        <v>8</v>
      </c>
      <c r="EH823" s="27" t="s">
        <v>7</v>
      </c>
      <c r="EO823" s="27" t="s">
        <v>8</v>
      </c>
      <c r="EP823" s="27" t="s">
        <v>7</v>
      </c>
      <c r="ES823" s="27" t="s">
        <v>8</v>
      </c>
      <c r="ET823" s="27" t="s">
        <v>7</v>
      </c>
      <c r="EU823" s="27" t="s">
        <v>8</v>
      </c>
      <c r="GJ823" s="27" t="s">
        <v>7</v>
      </c>
      <c r="GK823" s="27" t="s">
        <v>8</v>
      </c>
      <c r="HF823" s="27" t="s">
        <v>7</v>
      </c>
      <c r="HG823" s="27" t="s">
        <v>8</v>
      </c>
      <c r="HH823" s="27" t="s">
        <v>7</v>
      </c>
      <c r="HI823" s="27" t="s">
        <v>8</v>
      </c>
      <c r="HV823" s="27" t="s">
        <v>7</v>
      </c>
      <c r="HW823" s="27" t="s">
        <v>8</v>
      </c>
      <c r="KZ823" s="27" t="s">
        <v>7</v>
      </c>
      <c r="LA823" s="27" t="s">
        <v>8</v>
      </c>
      <c r="LB823" s="27" t="s">
        <v>7</v>
      </c>
    </row>
    <row r="824" spans="1:316" x14ac:dyDescent="0.25">
      <c r="A824" s="7">
        <v>9.1571281591733261E-3</v>
      </c>
      <c r="B824"/>
      <c r="C824"/>
      <c r="D824"/>
      <c r="E824"/>
      <c r="F824" s="27" t="s">
        <v>7</v>
      </c>
      <c r="EC824" s="27" t="s">
        <v>8</v>
      </c>
      <c r="ED824" s="27" t="s">
        <v>7</v>
      </c>
      <c r="EE824" s="27" t="s">
        <v>8</v>
      </c>
      <c r="EF824" s="27" t="s">
        <v>7</v>
      </c>
      <c r="EG824" s="27" t="s">
        <v>8</v>
      </c>
      <c r="EH824" s="27" t="s">
        <v>7</v>
      </c>
      <c r="EO824" s="27" t="s">
        <v>8</v>
      </c>
      <c r="EP824" s="27" t="s">
        <v>7</v>
      </c>
      <c r="ES824" s="27" t="s">
        <v>8</v>
      </c>
      <c r="ET824" s="27" t="s">
        <v>7</v>
      </c>
      <c r="EU824" s="27" t="s">
        <v>8</v>
      </c>
      <c r="GJ824" s="27" t="s">
        <v>7</v>
      </c>
      <c r="HF824" s="27" t="s">
        <v>7</v>
      </c>
      <c r="HG824" s="27" t="s">
        <v>8</v>
      </c>
      <c r="HH824" s="27" t="s">
        <v>7</v>
      </c>
      <c r="HI824" s="27" t="s">
        <v>8</v>
      </c>
      <c r="HV824" s="27" t="s">
        <v>7</v>
      </c>
      <c r="HW824" s="27" t="s">
        <v>8</v>
      </c>
      <c r="KZ824" s="27" t="s">
        <v>7</v>
      </c>
      <c r="LA824" s="27" t="s">
        <v>8</v>
      </c>
      <c r="LB824" s="27" t="s">
        <v>7</v>
      </c>
      <c r="LC824" s="27" t="s">
        <v>8</v>
      </c>
    </row>
    <row r="825" spans="1:316" x14ac:dyDescent="0.25">
      <c r="A825" s="7">
        <v>8.9775766266405148E-3</v>
      </c>
      <c r="B825"/>
      <c r="C825"/>
      <c r="D825"/>
      <c r="E825"/>
      <c r="F825" s="27" t="s">
        <v>7</v>
      </c>
      <c r="DC825" s="27" t="s">
        <v>8</v>
      </c>
      <c r="EC825" s="27" t="s">
        <v>8</v>
      </c>
      <c r="ED825" s="27" t="s">
        <v>7</v>
      </c>
      <c r="EE825" s="27" t="s">
        <v>8</v>
      </c>
      <c r="EF825" s="27" t="s">
        <v>7</v>
      </c>
      <c r="EH825" s="27" t="s">
        <v>7</v>
      </c>
      <c r="EO825" s="27" t="s">
        <v>8</v>
      </c>
      <c r="EP825" s="27" t="s">
        <v>7</v>
      </c>
      <c r="ES825" s="27" t="s">
        <v>8</v>
      </c>
      <c r="ET825" s="27" t="s">
        <v>7</v>
      </c>
      <c r="EU825" s="27" t="s">
        <v>8</v>
      </c>
      <c r="HF825" s="27" t="s">
        <v>7</v>
      </c>
      <c r="HG825" s="27" t="s">
        <v>8</v>
      </c>
      <c r="HH825" s="27" t="s">
        <v>7</v>
      </c>
      <c r="HI825" s="27" t="s">
        <v>8</v>
      </c>
      <c r="HV825" s="27" t="s">
        <v>7</v>
      </c>
      <c r="KZ825" s="27" t="s">
        <v>7</v>
      </c>
      <c r="LA825" s="27" t="s">
        <v>8</v>
      </c>
      <c r="LB825" s="27" t="s">
        <v>7</v>
      </c>
      <c r="LC825" s="27" t="s">
        <v>8</v>
      </c>
      <c r="LD825" s="27" t="s">
        <v>7</v>
      </c>
    </row>
    <row r="826" spans="1:316" x14ac:dyDescent="0.25">
      <c r="A826" s="7">
        <v>8.8015457123926614E-3</v>
      </c>
      <c r="B826"/>
      <c r="C826"/>
      <c r="D826"/>
      <c r="E826"/>
      <c r="F826" s="27" t="s">
        <v>7</v>
      </c>
      <c r="DC826" s="27" t="s">
        <v>8</v>
      </c>
      <c r="DD826" s="27" t="s">
        <v>7</v>
      </c>
      <c r="EC826" s="27" t="s">
        <v>8</v>
      </c>
      <c r="ED826" s="27" t="s">
        <v>7</v>
      </c>
      <c r="EE826" s="27" t="s">
        <v>8</v>
      </c>
      <c r="EH826" s="27" t="s">
        <v>7</v>
      </c>
      <c r="EO826" s="27" t="s">
        <v>8</v>
      </c>
      <c r="EP826" s="27" t="s">
        <v>7</v>
      </c>
      <c r="EQ826" s="27" t="s">
        <v>8</v>
      </c>
      <c r="ES826" s="27" t="s">
        <v>8</v>
      </c>
      <c r="ET826" s="27" t="s">
        <v>7</v>
      </c>
      <c r="HF826" s="27" t="s">
        <v>7</v>
      </c>
      <c r="HG826" s="27" t="s">
        <v>8</v>
      </c>
      <c r="HH826" s="27" t="s">
        <v>7</v>
      </c>
      <c r="HI826" s="27" t="s">
        <v>8</v>
      </c>
      <c r="KZ826" s="27" t="s">
        <v>7</v>
      </c>
      <c r="LA826" s="27" t="s">
        <v>8</v>
      </c>
      <c r="LB826" s="27" t="s">
        <v>7</v>
      </c>
      <c r="LC826" s="27" t="s">
        <v>8</v>
      </c>
      <c r="LD826" s="27" t="s">
        <v>7</v>
      </c>
    </row>
    <row r="827" spans="1:316" x14ac:dyDescent="0.25">
      <c r="A827" s="7">
        <v>8.6289663846986879E-3</v>
      </c>
      <c r="B827"/>
      <c r="C827"/>
      <c r="D827"/>
      <c r="E827"/>
      <c r="F827" s="27" t="s">
        <v>7</v>
      </c>
      <c r="DC827" s="27" t="s">
        <v>8</v>
      </c>
      <c r="DD827" s="27" t="s">
        <v>7</v>
      </c>
      <c r="EC827" s="27" t="s">
        <v>8</v>
      </c>
      <c r="ED827" s="27" t="s">
        <v>7</v>
      </c>
      <c r="EE827" s="27" t="s">
        <v>8</v>
      </c>
      <c r="EH827" s="27" t="s">
        <v>7</v>
      </c>
      <c r="EO827" s="27" t="s">
        <v>8</v>
      </c>
      <c r="EP827" s="27" t="s">
        <v>7</v>
      </c>
      <c r="EQ827" s="27" t="s">
        <v>8</v>
      </c>
      <c r="ER827" s="27" t="s">
        <v>7</v>
      </c>
      <c r="ES827" s="27" t="s">
        <v>8</v>
      </c>
      <c r="HF827" s="27" t="s">
        <v>7</v>
      </c>
      <c r="HG827" s="27" t="s">
        <v>8</v>
      </c>
      <c r="HH827" s="27" t="s">
        <v>7</v>
      </c>
      <c r="HI827" s="27" t="s">
        <v>8</v>
      </c>
      <c r="KZ827" s="27" t="s">
        <v>7</v>
      </c>
      <c r="LA827" s="27" t="s">
        <v>8</v>
      </c>
      <c r="LB827" s="27" t="s">
        <v>7</v>
      </c>
      <c r="LC827" s="27" t="s">
        <v>8</v>
      </c>
      <c r="LD827" s="27" t="s">
        <v>7</v>
      </c>
    </row>
    <row r="828" spans="1:316" x14ac:dyDescent="0.25">
      <c r="A828" s="7">
        <v>8.4597709653908715E-3</v>
      </c>
      <c r="B828"/>
      <c r="C828"/>
      <c r="D828"/>
      <c r="E828"/>
      <c r="F828" s="27" t="s">
        <v>7</v>
      </c>
      <c r="DC828" s="27" t="s">
        <v>8</v>
      </c>
      <c r="DD828" s="27" t="s">
        <v>7</v>
      </c>
      <c r="DW828" s="27" t="s">
        <v>8</v>
      </c>
      <c r="EC828" s="27" t="s">
        <v>8</v>
      </c>
      <c r="ED828" s="27" t="s">
        <v>7</v>
      </c>
      <c r="EE828" s="27" t="s">
        <v>8</v>
      </c>
      <c r="EH828" s="27" t="s">
        <v>7</v>
      </c>
      <c r="EO828" s="27" t="s">
        <v>8</v>
      </c>
      <c r="EP828" s="27" t="s">
        <v>7</v>
      </c>
      <c r="EQ828" s="27" t="s">
        <v>8</v>
      </c>
      <c r="ER828" s="27" t="s">
        <v>7</v>
      </c>
      <c r="ES828" s="27" t="s">
        <v>8</v>
      </c>
      <c r="HF828" s="27" t="s">
        <v>7</v>
      </c>
      <c r="HG828" s="27" t="s">
        <v>8</v>
      </c>
      <c r="HH828" s="27" t="s">
        <v>7</v>
      </c>
      <c r="HI828" s="27" t="s">
        <v>8</v>
      </c>
      <c r="KZ828" s="27" t="s">
        <v>7</v>
      </c>
      <c r="LA828" s="27" t="s">
        <v>8</v>
      </c>
      <c r="LB828" s="27" t="s">
        <v>7</v>
      </c>
      <c r="LC828" s="27" t="s">
        <v>8</v>
      </c>
    </row>
    <row r="829" spans="1:316" x14ac:dyDescent="0.25">
      <c r="A829" s="7">
        <v>8.2938931033243839E-3</v>
      </c>
      <c r="B829"/>
      <c r="C829"/>
      <c r="D829"/>
      <c r="E829"/>
      <c r="F829" s="27" t="s">
        <v>7</v>
      </c>
      <c r="DC829" s="27" t="s">
        <v>8</v>
      </c>
      <c r="DD829" s="27" t="s">
        <v>7</v>
      </c>
      <c r="DW829" s="27" t="s">
        <v>8</v>
      </c>
      <c r="DX829" s="27" t="s">
        <v>7</v>
      </c>
      <c r="EC829" s="27" t="s">
        <v>8</v>
      </c>
      <c r="ED829" s="27" t="s">
        <v>7</v>
      </c>
      <c r="EE829" s="27" t="s">
        <v>8</v>
      </c>
      <c r="EH829" s="27" t="s">
        <v>7</v>
      </c>
      <c r="EO829" s="27" t="s">
        <v>8</v>
      </c>
      <c r="EP829" s="27" t="s">
        <v>7</v>
      </c>
      <c r="EQ829" s="27" t="s">
        <v>8</v>
      </c>
      <c r="ER829" s="27" t="s">
        <v>7</v>
      </c>
      <c r="ES829" s="27" t="s">
        <v>8</v>
      </c>
      <c r="HF829" s="27" t="s">
        <v>7</v>
      </c>
      <c r="HG829" s="27" t="s">
        <v>8</v>
      </c>
      <c r="HH829" s="27" t="s">
        <v>7</v>
      </c>
      <c r="KZ829" s="27" t="s">
        <v>7</v>
      </c>
      <c r="LA829" s="27" t="s">
        <v>8</v>
      </c>
      <c r="LB829" s="27" t="s">
        <v>7</v>
      </c>
      <c r="LC829" s="27" t="s">
        <v>8</v>
      </c>
    </row>
    <row r="830" spans="1:316" x14ac:dyDescent="0.25">
      <c r="A830" s="7">
        <v>8.1312677483572383E-3</v>
      </c>
      <c r="B830"/>
      <c r="C830"/>
      <c r="D830"/>
      <c r="E830"/>
      <c r="F830" s="27" t="s">
        <v>7</v>
      </c>
      <c r="DC830" s="27" t="s">
        <v>8</v>
      </c>
      <c r="DD830" s="27" t="s">
        <v>7</v>
      </c>
      <c r="DW830" s="27" t="s">
        <v>8</v>
      </c>
      <c r="DX830" s="27" t="s">
        <v>7</v>
      </c>
      <c r="EC830" s="27" t="s">
        <v>8</v>
      </c>
      <c r="ED830" s="27" t="s">
        <v>7</v>
      </c>
      <c r="EE830" s="27" t="s">
        <v>8</v>
      </c>
      <c r="EH830" s="27" t="s">
        <v>7</v>
      </c>
      <c r="EO830" s="27" t="s">
        <v>8</v>
      </c>
      <c r="EP830" s="27" t="s">
        <v>7</v>
      </c>
      <c r="EQ830" s="27" t="s">
        <v>8</v>
      </c>
      <c r="ER830" s="27" t="s">
        <v>7</v>
      </c>
      <c r="HF830" s="27" t="s">
        <v>7</v>
      </c>
      <c r="HG830" s="27" t="s">
        <v>8</v>
      </c>
      <c r="KZ830" s="27" t="s">
        <v>7</v>
      </c>
      <c r="LA830" s="27" t="s">
        <v>8</v>
      </c>
      <c r="LB830" s="27" t="s">
        <v>7</v>
      </c>
      <c r="LC830" s="27" t="s">
        <v>8</v>
      </c>
    </row>
    <row r="831" spans="1:316" x14ac:dyDescent="0.25">
      <c r="A831" s="7">
        <v>7.9718311258404305E-3</v>
      </c>
      <c r="B831"/>
      <c r="C831"/>
      <c r="D831"/>
      <c r="E831"/>
      <c r="F831" s="27" t="s">
        <v>7</v>
      </c>
      <c r="DC831" s="27" t="s">
        <v>8</v>
      </c>
      <c r="DD831" s="27" t="s">
        <v>7</v>
      </c>
      <c r="DW831" s="27" t="s">
        <v>8</v>
      </c>
      <c r="DX831" s="27" t="s">
        <v>7</v>
      </c>
      <c r="EC831" s="27" t="s">
        <v>8</v>
      </c>
      <c r="ED831" s="27" t="s">
        <v>7</v>
      </c>
      <c r="EE831" s="27" t="s">
        <v>8</v>
      </c>
      <c r="EH831" s="27" t="s">
        <v>7</v>
      </c>
      <c r="EI831" s="27" t="s">
        <v>8</v>
      </c>
      <c r="EO831" s="27" t="s">
        <v>8</v>
      </c>
      <c r="EP831" s="27" t="s">
        <v>7</v>
      </c>
      <c r="EQ831" s="27" t="s">
        <v>8</v>
      </c>
      <c r="HF831" s="27" t="s">
        <v>7</v>
      </c>
      <c r="HG831" s="27" t="s">
        <v>8</v>
      </c>
      <c r="KZ831" s="27" t="s">
        <v>7</v>
      </c>
      <c r="LA831" s="27" t="s">
        <v>8</v>
      </c>
      <c r="LB831" s="27" t="s">
        <v>7</v>
      </c>
      <c r="LC831" s="27" t="s">
        <v>8</v>
      </c>
    </row>
    <row r="832" spans="1:316" x14ac:dyDescent="0.25">
      <c r="A832" s="7">
        <v>7.8155207116082648E-3</v>
      </c>
      <c r="B832"/>
      <c r="C832"/>
      <c r="D832"/>
      <c r="E832"/>
      <c r="F832" s="27" t="s">
        <v>7</v>
      </c>
      <c r="DC832" s="27" t="s">
        <v>8</v>
      </c>
      <c r="DD832" s="27" t="s">
        <v>7</v>
      </c>
      <c r="DW832" s="27" t="s">
        <v>8</v>
      </c>
      <c r="DX832" s="27" t="s">
        <v>7</v>
      </c>
      <c r="EC832" s="27" t="s">
        <v>8</v>
      </c>
      <c r="ED832" s="27" t="s">
        <v>7</v>
      </c>
      <c r="EE832" s="27" t="s">
        <v>8</v>
      </c>
      <c r="EH832" s="27" t="s">
        <v>7</v>
      </c>
      <c r="EI832" s="27" t="s">
        <v>8</v>
      </c>
      <c r="EJ832" s="27" t="s">
        <v>7</v>
      </c>
      <c r="EO832" s="27" t="s">
        <v>8</v>
      </c>
      <c r="EP832" s="27" t="s">
        <v>7</v>
      </c>
      <c r="HF832" s="27" t="s">
        <v>7</v>
      </c>
      <c r="HG832" s="27" t="s">
        <v>8</v>
      </c>
      <c r="KZ832" s="27" t="s">
        <v>7</v>
      </c>
      <c r="LA832" s="27" t="s">
        <v>8</v>
      </c>
      <c r="LB832" s="27" t="s">
        <v>7</v>
      </c>
      <c r="LC832" s="27" t="s">
        <v>8</v>
      </c>
    </row>
    <row r="833" spans="1:315" x14ac:dyDescent="0.25">
      <c r="A833" s="7">
        <v>7.6622752074590825E-3</v>
      </c>
      <c r="B833"/>
      <c r="C833"/>
      <c r="D833"/>
      <c r="E833"/>
      <c r="F833" s="27" t="s">
        <v>7</v>
      </c>
      <c r="DC833" s="27" t="s">
        <v>8</v>
      </c>
      <c r="DD833" s="27" t="s">
        <v>7</v>
      </c>
      <c r="DW833" s="27" t="s">
        <v>8</v>
      </c>
      <c r="DX833" s="27" t="s">
        <v>7</v>
      </c>
      <c r="EA833" s="27" t="s">
        <v>8</v>
      </c>
      <c r="EC833" s="27" t="s">
        <v>8</v>
      </c>
      <c r="ED833" s="27" t="s">
        <v>7</v>
      </c>
      <c r="EE833" s="27" t="s">
        <v>8</v>
      </c>
      <c r="EH833" s="27" t="s">
        <v>7</v>
      </c>
      <c r="EI833" s="27" t="s">
        <v>8</v>
      </c>
      <c r="EJ833" s="27" t="s">
        <v>7</v>
      </c>
      <c r="EO833" s="27" t="s">
        <v>8</v>
      </c>
      <c r="HF833" s="27" t="s">
        <v>7</v>
      </c>
      <c r="HG833" s="27" t="s">
        <v>8</v>
      </c>
      <c r="KZ833" s="27" t="s">
        <v>7</v>
      </c>
      <c r="LA833" s="27" t="s">
        <v>8</v>
      </c>
      <c r="LB833" s="27" t="s">
        <v>7</v>
      </c>
      <c r="LC833" s="27" t="s">
        <v>8</v>
      </c>
    </row>
    <row r="834" spans="1:315" x14ac:dyDescent="0.25">
      <c r="A834" s="7">
        <v>7.5120345171167469E-3</v>
      </c>
      <c r="B834"/>
      <c r="C834"/>
      <c r="D834"/>
      <c r="E834"/>
      <c r="F834" s="27" t="s">
        <v>7</v>
      </c>
      <c r="DC834" s="27" t="s">
        <v>8</v>
      </c>
      <c r="DD834" s="27" t="s">
        <v>7</v>
      </c>
      <c r="DW834" s="27" t="s">
        <v>8</v>
      </c>
      <c r="DX834" s="27" t="s">
        <v>7</v>
      </c>
      <c r="EA834" s="27" t="s">
        <v>8</v>
      </c>
      <c r="EB834" s="27" t="s">
        <v>7</v>
      </c>
      <c r="EC834" s="27" t="s">
        <v>8</v>
      </c>
      <c r="ED834" s="27" t="s">
        <v>7</v>
      </c>
      <c r="EE834" s="27" t="s">
        <v>8</v>
      </c>
      <c r="EH834" s="27" t="s">
        <v>7</v>
      </c>
      <c r="EI834" s="27" t="s">
        <v>8</v>
      </c>
      <c r="EJ834" s="27" t="s">
        <v>7</v>
      </c>
      <c r="EK834" s="27" t="s">
        <v>8</v>
      </c>
      <c r="EM834" s="27" t="s">
        <v>8</v>
      </c>
      <c r="EO834" s="27" t="s">
        <v>8</v>
      </c>
      <c r="HF834" s="27" t="s">
        <v>7</v>
      </c>
      <c r="HG834" s="27" t="s">
        <v>8</v>
      </c>
      <c r="KZ834" s="27" t="s">
        <v>7</v>
      </c>
      <c r="LA834" s="27" t="s">
        <v>8</v>
      </c>
      <c r="LB834" s="27" t="s">
        <v>7</v>
      </c>
    </row>
    <row r="835" spans="1:315" x14ac:dyDescent="0.25">
      <c r="A835" s="7">
        <v>7.3647397226634772E-3</v>
      </c>
      <c r="B835"/>
      <c r="C835"/>
      <c r="D835"/>
      <c r="E835"/>
      <c r="F835" s="27" t="s">
        <v>7</v>
      </c>
      <c r="DC835" s="27" t="s">
        <v>8</v>
      </c>
      <c r="DD835" s="27" t="s">
        <v>7</v>
      </c>
      <c r="DW835" s="27" t="s">
        <v>8</v>
      </c>
      <c r="DX835" s="27" t="s">
        <v>7</v>
      </c>
      <c r="EA835" s="27" t="s">
        <v>8</v>
      </c>
      <c r="EB835" s="27" t="s">
        <v>7</v>
      </c>
      <c r="EC835" s="27" t="s">
        <v>8</v>
      </c>
      <c r="ED835" s="27" t="s">
        <v>7</v>
      </c>
      <c r="EE835" s="27" t="s">
        <v>8</v>
      </c>
      <c r="EH835" s="27" t="s">
        <v>7</v>
      </c>
      <c r="EI835" s="27" t="s">
        <v>8</v>
      </c>
      <c r="EJ835" s="27" t="s">
        <v>7</v>
      </c>
      <c r="EK835" s="27" t="s">
        <v>8</v>
      </c>
      <c r="EL835" s="27" t="s">
        <v>7</v>
      </c>
      <c r="EM835" s="27" t="s">
        <v>8</v>
      </c>
      <c r="EN835" s="27" t="s">
        <v>7</v>
      </c>
      <c r="EO835" s="27" t="s">
        <v>8</v>
      </c>
      <c r="HF835" s="27" t="s">
        <v>7</v>
      </c>
      <c r="HG835" s="27" t="s">
        <v>8</v>
      </c>
      <c r="KZ835" s="27" t="s">
        <v>7</v>
      </c>
    </row>
    <row r="836" spans="1:315" x14ac:dyDescent="0.25">
      <c r="A836" s="7">
        <v>7.2203330614347815E-3</v>
      </c>
      <c r="B836"/>
      <c r="C836"/>
      <c r="D836"/>
      <c r="E836"/>
      <c r="F836" s="27" t="s">
        <v>7</v>
      </c>
      <c r="DC836" s="27" t="s">
        <v>8</v>
      </c>
      <c r="DD836" s="27" t="s">
        <v>7</v>
      </c>
      <c r="DW836" s="27" t="s">
        <v>8</v>
      </c>
      <c r="DX836" s="27" t="s">
        <v>7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EH836" s="27" t="s">
        <v>7</v>
      </c>
      <c r="EI836" s="27" t="s">
        <v>8</v>
      </c>
      <c r="EJ836" s="27" t="s">
        <v>7</v>
      </c>
      <c r="EK836" s="27" t="s">
        <v>8</v>
      </c>
      <c r="EL836" s="27" t="s">
        <v>7</v>
      </c>
      <c r="EM836" s="27" t="s">
        <v>8</v>
      </c>
      <c r="EN836" s="27" t="s">
        <v>7</v>
      </c>
      <c r="EO836" s="27" t="s">
        <v>8</v>
      </c>
      <c r="HF836" s="27" t="s">
        <v>7</v>
      </c>
      <c r="HG836" s="27" t="s">
        <v>8</v>
      </c>
    </row>
    <row r="837" spans="1:315" x14ac:dyDescent="0.25">
      <c r="A837" s="7">
        <v>7.0787579033674327E-3</v>
      </c>
      <c r="B837"/>
      <c r="C837"/>
      <c r="D837"/>
      <c r="E837"/>
      <c r="F837" s="27" t="s">
        <v>7</v>
      </c>
      <c r="DC837" s="27" t="s">
        <v>8</v>
      </c>
      <c r="DD837" s="27" t="s">
        <v>7</v>
      </c>
      <c r="DW837" s="27" t="s">
        <v>8</v>
      </c>
      <c r="DX837" s="27" t="s">
        <v>7</v>
      </c>
      <c r="EA837" s="27" t="s">
        <v>8</v>
      </c>
      <c r="EB837" s="27" t="s">
        <v>7</v>
      </c>
      <c r="EC837" s="27" t="s">
        <v>8</v>
      </c>
      <c r="ED837" s="27" t="s">
        <v>7</v>
      </c>
      <c r="EH837" s="27" t="s">
        <v>7</v>
      </c>
      <c r="EI837" s="27" t="s">
        <v>8</v>
      </c>
      <c r="EJ837" s="27" t="s">
        <v>7</v>
      </c>
      <c r="EK837" s="27" t="s">
        <v>8</v>
      </c>
      <c r="EL837" s="27" t="s">
        <v>7</v>
      </c>
      <c r="EM837" s="27" t="s">
        <v>8</v>
      </c>
      <c r="EN837" s="27" t="s">
        <v>7</v>
      </c>
      <c r="EO837" s="27" t="s">
        <v>8</v>
      </c>
      <c r="HF837" s="27" t="s">
        <v>7</v>
      </c>
      <c r="HG837" s="27" t="s">
        <v>8</v>
      </c>
    </row>
    <row r="838" spans="1:315" x14ac:dyDescent="0.25">
      <c r="A838" s="7">
        <v>6.9399587287916013E-3</v>
      </c>
      <c r="B838"/>
      <c r="C838"/>
      <c r="D838"/>
      <c r="E838"/>
      <c r="F838" s="27" t="s">
        <v>7</v>
      </c>
      <c r="DC838" s="27" t="s">
        <v>8</v>
      </c>
      <c r="DD838" s="27" t="s">
        <v>7</v>
      </c>
      <c r="DW838" s="27" t="s">
        <v>8</v>
      </c>
      <c r="DX838" s="27" t="s">
        <v>7</v>
      </c>
      <c r="EA838" s="27" t="s">
        <v>8</v>
      </c>
      <c r="EB838" s="27" t="s">
        <v>7</v>
      </c>
      <c r="EC838" s="27" t="s">
        <v>8</v>
      </c>
      <c r="EH838" s="27" t="s">
        <v>7</v>
      </c>
      <c r="EI838" s="27" t="s">
        <v>8</v>
      </c>
      <c r="EJ838" s="27" t="s">
        <v>7</v>
      </c>
      <c r="EK838" s="27" t="s">
        <v>8</v>
      </c>
      <c r="EL838" s="27" t="s">
        <v>7</v>
      </c>
      <c r="EM838" s="27" t="s">
        <v>8</v>
      </c>
      <c r="EN838" s="27" t="s">
        <v>7</v>
      </c>
      <c r="EO838" s="27" t="s">
        <v>8</v>
      </c>
      <c r="HF838" s="27" t="s">
        <v>7</v>
      </c>
      <c r="HG838" s="27" t="s">
        <v>8</v>
      </c>
    </row>
    <row r="839" spans="1:315" x14ac:dyDescent="0.25">
      <c r="A839" s="7">
        <v>6.8038811066584333E-3</v>
      </c>
      <c r="B839"/>
      <c r="C839"/>
      <c r="D839"/>
      <c r="E839"/>
      <c r="F839" s="27" t="s">
        <v>7</v>
      </c>
      <c r="DC839" s="27" t="s">
        <v>8</v>
      </c>
      <c r="DD839" s="27" t="s">
        <v>7</v>
      </c>
      <c r="DW839" s="27" t="s">
        <v>8</v>
      </c>
      <c r="DX839" s="27" t="s">
        <v>7</v>
      </c>
      <c r="EA839" s="27" t="s">
        <v>8</v>
      </c>
      <c r="EB839" s="27" t="s">
        <v>7</v>
      </c>
      <c r="EC839" s="27" t="s">
        <v>8</v>
      </c>
      <c r="EH839" s="27" t="s">
        <v>7</v>
      </c>
      <c r="EI839" s="27" t="s">
        <v>8</v>
      </c>
      <c r="EJ839" s="27" t="s">
        <v>7</v>
      </c>
      <c r="EK839" s="27" t="s">
        <v>8</v>
      </c>
      <c r="EL839" s="27" t="s">
        <v>7</v>
      </c>
      <c r="EM839" s="27" t="s">
        <v>8</v>
      </c>
      <c r="EN839" s="27" t="s">
        <v>7</v>
      </c>
      <c r="HF839" s="27" t="s">
        <v>7</v>
      </c>
      <c r="HG839" s="27" t="s">
        <v>8</v>
      </c>
    </row>
    <row r="840" spans="1:315" x14ac:dyDescent="0.25">
      <c r="A840" s="7">
        <v>6.6704716731945425E-3</v>
      </c>
      <c r="B840"/>
      <c r="C840"/>
      <c r="D840"/>
      <c r="E840"/>
      <c r="F840" s="27" t="s">
        <v>7</v>
      </c>
      <c r="DC840" s="27" t="s">
        <v>8</v>
      </c>
      <c r="DD840" s="27" t="s">
        <v>7</v>
      </c>
      <c r="DW840" s="27" t="s">
        <v>8</v>
      </c>
      <c r="DX840" s="27" t="s">
        <v>7</v>
      </c>
      <c r="DY840" s="27" t="s">
        <v>8</v>
      </c>
      <c r="EA840" s="27" t="s">
        <v>8</v>
      </c>
      <c r="EB840" s="27" t="s">
        <v>7</v>
      </c>
      <c r="EC840" s="27" t="s">
        <v>8</v>
      </c>
      <c r="EH840" s="27" t="s">
        <v>7</v>
      </c>
      <c r="EI840" s="27" t="s">
        <v>8</v>
      </c>
      <c r="EJ840" s="27" t="s">
        <v>7</v>
      </c>
      <c r="EL840" s="27" t="s">
        <v>7</v>
      </c>
      <c r="EM840" s="27" t="s">
        <v>8</v>
      </c>
      <c r="HF840" s="27" t="s">
        <v>7</v>
      </c>
      <c r="HG840" s="27" t="s">
        <v>8</v>
      </c>
    </row>
    <row r="841" spans="1:315" x14ac:dyDescent="0.25">
      <c r="A841" s="7">
        <v>6.5396781109750427E-3</v>
      </c>
      <c r="B841"/>
      <c r="C841"/>
      <c r="D841"/>
      <c r="E841"/>
      <c r="F841" s="27" t="s">
        <v>7</v>
      </c>
      <c r="DC841" s="27" t="s">
        <v>8</v>
      </c>
      <c r="DD841" s="27" t="s">
        <v>7</v>
      </c>
      <c r="DW841" s="27" t="s">
        <v>8</v>
      </c>
      <c r="DX841" s="27" t="s">
        <v>7</v>
      </c>
      <c r="DY841" s="27" t="s">
        <v>8</v>
      </c>
      <c r="DZ841" s="27" t="s">
        <v>7</v>
      </c>
      <c r="EA841" s="27" t="s">
        <v>8</v>
      </c>
      <c r="EB841" s="27" t="s">
        <v>7</v>
      </c>
      <c r="EC841" s="27" t="s">
        <v>8</v>
      </c>
      <c r="EH841" s="27" t="s">
        <v>7</v>
      </c>
      <c r="EI841" s="27" t="s">
        <v>8</v>
      </c>
      <c r="EL841" s="27" t="s">
        <v>7</v>
      </c>
      <c r="EM841" s="27" t="s">
        <v>8</v>
      </c>
      <c r="HF841" s="27" t="s">
        <v>7</v>
      </c>
      <c r="HG841" s="27" t="s">
        <v>8</v>
      </c>
    </row>
    <row r="842" spans="1:315" x14ac:dyDescent="0.25">
      <c r="A842" s="7">
        <v>6.4114491284069045E-3</v>
      </c>
      <c r="B842"/>
      <c r="C842"/>
      <c r="D842"/>
      <c r="E842"/>
      <c r="F842" s="27" t="s">
        <v>7</v>
      </c>
      <c r="DC842" s="27" t="s">
        <v>8</v>
      </c>
      <c r="DD842" s="27" t="s">
        <v>7</v>
      </c>
      <c r="DW842" s="27" t="s">
        <v>8</v>
      </c>
      <c r="DX842" s="27" t="s">
        <v>7</v>
      </c>
      <c r="DY842" s="27" t="s">
        <v>8</v>
      </c>
      <c r="DZ842" s="27" t="s">
        <v>7</v>
      </c>
      <c r="EA842" s="27" t="s">
        <v>8</v>
      </c>
      <c r="EB842" s="27" t="s">
        <v>7</v>
      </c>
      <c r="EC842" s="27" t="s">
        <v>8</v>
      </c>
      <c r="EH842" s="27" t="s">
        <v>7</v>
      </c>
      <c r="EI842" s="27" t="s">
        <v>8</v>
      </c>
      <c r="EL842" s="27" t="s">
        <v>7</v>
      </c>
      <c r="HF842" s="27" t="s">
        <v>7</v>
      </c>
      <c r="HG842" s="27" t="s">
        <v>8</v>
      </c>
    </row>
    <row r="843" spans="1:315" x14ac:dyDescent="0.25">
      <c r="A843" s="7">
        <v>6.2857344396146115E-3</v>
      </c>
      <c r="B843"/>
      <c r="C843"/>
      <c r="D843"/>
      <c r="E843"/>
      <c r="F843" s="27" t="s">
        <v>7</v>
      </c>
      <c r="DC843" s="27" t="s">
        <v>8</v>
      </c>
      <c r="DD843" s="27" t="s">
        <v>7</v>
      </c>
      <c r="DW843" s="27" t="s">
        <v>8</v>
      </c>
      <c r="DX843" s="27" t="s">
        <v>7</v>
      </c>
      <c r="DY843" s="27" t="s">
        <v>8</v>
      </c>
      <c r="DZ843" s="27" t="s">
        <v>7</v>
      </c>
      <c r="EA843" s="27" t="s">
        <v>8</v>
      </c>
      <c r="EB843" s="27" t="s">
        <v>7</v>
      </c>
      <c r="EC843" s="27" t="s">
        <v>8</v>
      </c>
      <c r="EH843" s="27" t="s">
        <v>7</v>
      </c>
      <c r="EI843" s="27" t="s">
        <v>8</v>
      </c>
      <c r="HF843" s="27" t="s">
        <v>7</v>
      </c>
      <c r="HG843" s="27" t="s">
        <v>8</v>
      </c>
    </row>
    <row r="844" spans="1:315" x14ac:dyDescent="0.25">
      <c r="A844" s="7">
        <v>6.1624847447202076E-3</v>
      </c>
      <c r="B844"/>
      <c r="C844"/>
      <c r="D844"/>
      <c r="E844"/>
      <c r="F844" s="27" t="s">
        <v>7</v>
      </c>
      <c r="DC844" s="27" t="s">
        <v>8</v>
      </c>
      <c r="DD844" s="27" t="s">
        <v>7</v>
      </c>
      <c r="DW844" s="27" t="s">
        <v>8</v>
      </c>
      <c r="DX844" s="27" t="s">
        <v>7</v>
      </c>
      <c r="DY844" s="27" t="s">
        <v>8</v>
      </c>
      <c r="DZ844" s="27" t="s">
        <v>7</v>
      </c>
      <c r="EA844" s="27" t="s">
        <v>8</v>
      </c>
      <c r="EB844" s="27" t="s">
        <v>7</v>
      </c>
      <c r="EC844" s="27" t="s">
        <v>8</v>
      </c>
      <c r="EH844" s="27" t="s">
        <v>7</v>
      </c>
      <c r="EI844" s="27" t="s">
        <v>8</v>
      </c>
      <c r="HF844" s="27" t="s">
        <v>7</v>
      </c>
      <c r="HG844" s="27" t="s">
        <v>8</v>
      </c>
    </row>
    <row r="845" spans="1:315" x14ac:dyDescent="0.25">
      <c r="A845" s="7">
        <v>6.0416517105100079E-3</v>
      </c>
      <c r="B845"/>
      <c r="C845"/>
      <c r="D845"/>
      <c r="E845"/>
      <c r="F845" s="27" t="s">
        <v>7</v>
      </c>
      <c r="DC845" s="27" t="s">
        <v>8</v>
      </c>
      <c r="DD845" s="27" t="s">
        <v>7</v>
      </c>
      <c r="DW845" s="27" t="s">
        <v>8</v>
      </c>
      <c r="DX845" s="27" t="s">
        <v>7</v>
      </c>
      <c r="DY845" s="27" t="s">
        <v>8</v>
      </c>
      <c r="DZ845" s="27" t="s">
        <v>7</v>
      </c>
      <c r="EA845" s="27" t="s">
        <v>8</v>
      </c>
      <c r="EB845" s="27" t="s">
        <v>7</v>
      </c>
      <c r="EC845" s="27" t="s">
        <v>8</v>
      </c>
      <c r="EH845" s="27" t="s">
        <v>7</v>
      </c>
      <c r="EI845" s="27" t="s">
        <v>8</v>
      </c>
      <c r="HF845" s="27" t="s">
        <v>7</v>
      </c>
      <c r="HG845" s="27" t="s">
        <v>8</v>
      </c>
    </row>
    <row r="846" spans="1:315" x14ac:dyDescent="0.25">
      <c r="A846" s="7">
        <v>5.9231879514803996E-3</v>
      </c>
      <c r="B846"/>
      <c r="C846"/>
      <c r="D846"/>
      <c r="E846"/>
      <c r="F846" s="27" t="s">
        <v>7</v>
      </c>
      <c r="DC846" s="27" t="s">
        <v>8</v>
      </c>
      <c r="DD846" s="27" t="s">
        <v>7</v>
      </c>
      <c r="DW846" s="27" t="s">
        <v>8</v>
      </c>
      <c r="DX846" s="27" t="s">
        <v>7</v>
      </c>
      <c r="DY846" s="27" t="s">
        <v>8</v>
      </c>
      <c r="DZ846" s="27" t="s">
        <v>7</v>
      </c>
      <c r="EA846" s="27" t="s">
        <v>8</v>
      </c>
      <c r="EB846" s="27" t="s">
        <v>7</v>
      </c>
      <c r="EC846" s="27" t="s">
        <v>8</v>
      </c>
      <c r="EH846" s="27" t="s">
        <v>7</v>
      </c>
      <c r="EI846" s="27" t="s">
        <v>8</v>
      </c>
      <c r="HF846" s="27" t="s">
        <v>7</v>
      </c>
      <c r="HG846" s="27" t="s">
        <v>8</v>
      </c>
    </row>
    <row r="847" spans="1:315" x14ac:dyDescent="0.25">
      <c r="A847" s="7">
        <v>5.8070470112552936E-3</v>
      </c>
      <c r="B847"/>
      <c r="C847"/>
      <c r="D847"/>
      <c r="E847"/>
      <c r="F847" s="27" t="s">
        <v>7</v>
      </c>
      <c r="DC847" s="27" t="s">
        <v>8</v>
      </c>
      <c r="DD847" s="27" t="s">
        <v>7</v>
      </c>
      <c r="DW847" s="27" t="s">
        <v>8</v>
      </c>
      <c r="DX847" s="27" t="s">
        <v>7</v>
      </c>
      <c r="DY847" s="27" t="s">
        <v>8</v>
      </c>
      <c r="DZ847" s="27" t="s">
        <v>7</v>
      </c>
      <c r="EA847" s="27" t="s">
        <v>8</v>
      </c>
      <c r="EB847" s="27" t="s">
        <v>7</v>
      </c>
      <c r="EC847" s="27" t="s">
        <v>8</v>
      </c>
      <c r="EH847" s="27" t="s">
        <v>7</v>
      </c>
      <c r="EI847" s="27" t="s">
        <v>8</v>
      </c>
      <c r="HF847" s="27" t="s">
        <v>7</v>
      </c>
      <c r="HG847" s="27" t="s">
        <v>8</v>
      </c>
    </row>
    <row r="848" spans="1:315" x14ac:dyDescent="0.25">
      <c r="A848" s="7">
        <v>5.6931833443679353E-3</v>
      </c>
      <c r="B848"/>
      <c r="C848"/>
      <c r="D848"/>
      <c r="E848"/>
      <c r="F848" s="27" t="s">
        <v>7</v>
      </c>
      <c r="DC848" s="27" t="s">
        <v>8</v>
      </c>
      <c r="DD848" s="27" t="s">
        <v>7</v>
      </c>
      <c r="DW848" s="27" t="s">
        <v>8</v>
      </c>
      <c r="DX848" s="27" t="s">
        <v>7</v>
      </c>
      <c r="DY848" s="27" t="s">
        <v>8</v>
      </c>
      <c r="DZ848" s="27" t="s">
        <v>7</v>
      </c>
      <c r="EB848" s="27" t="s">
        <v>7</v>
      </c>
      <c r="EC848" s="27" t="s">
        <v>8</v>
      </c>
      <c r="EH848" s="27" t="s">
        <v>7</v>
      </c>
      <c r="EI848" s="27" t="s">
        <v>8</v>
      </c>
      <c r="HF848" s="27" t="s">
        <v>7</v>
      </c>
    </row>
    <row r="849" spans="1:138" x14ac:dyDescent="0.25">
      <c r="A849" s="7">
        <v>5.5815522983999367E-3</v>
      </c>
      <c r="B849"/>
      <c r="C849"/>
      <c r="D849"/>
      <c r="E849"/>
      <c r="F849" s="27" t="s">
        <v>7</v>
      </c>
      <c r="DC849" s="27" t="s">
        <v>8</v>
      </c>
      <c r="DD849" s="27" t="s">
        <v>7</v>
      </c>
      <c r="DW849" s="27" t="s">
        <v>8</v>
      </c>
      <c r="DX849" s="27" t="s">
        <v>7</v>
      </c>
      <c r="DY849" s="27" t="s">
        <v>8</v>
      </c>
      <c r="EB849" s="27" t="s">
        <v>7</v>
      </c>
      <c r="EC849" s="27" t="s">
        <v>8</v>
      </c>
      <c r="EH849" s="27" t="s">
        <v>7</v>
      </c>
    </row>
    <row r="850" spans="1:138" x14ac:dyDescent="0.25">
      <c r="A850" s="7">
        <v>5.4721100964705257E-3</v>
      </c>
      <c r="B850"/>
      <c r="C850"/>
      <c r="D850"/>
      <c r="E850"/>
      <c r="F850" s="27" t="s">
        <v>7</v>
      </c>
      <c r="DC850" s="27" t="s">
        <v>8</v>
      </c>
      <c r="DD850" s="27" t="s">
        <v>7</v>
      </c>
      <c r="DW850" s="27" t="s">
        <v>8</v>
      </c>
      <c r="DX850" s="27" t="s">
        <v>7</v>
      </c>
      <c r="DY850" s="27" t="s">
        <v>8</v>
      </c>
      <c r="EB850" s="27" t="s">
        <v>7</v>
      </c>
    </row>
    <row r="851" spans="1:138" x14ac:dyDescent="0.25">
      <c r="A851" s="7">
        <v>5.3648138200691423E-3</v>
      </c>
      <c r="B851"/>
      <c r="C851"/>
      <c r="D851"/>
      <c r="E851"/>
      <c r="F851" s="27" t="s">
        <v>7</v>
      </c>
      <c r="DC851" s="27" t="s">
        <v>8</v>
      </c>
      <c r="DD851" s="27" t="s">
        <v>7</v>
      </c>
      <c r="DW851" s="27" t="s">
        <v>8</v>
      </c>
      <c r="DX851" s="27" t="s">
        <v>7</v>
      </c>
      <c r="DY851" s="27" t="s">
        <v>8</v>
      </c>
    </row>
    <row r="852" spans="1:138" x14ac:dyDescent="0.25">
      <c r="A852" s="7">
        <v>5.2596213922246494E-3</v>
      </c>
      <c r="B852"/>
      <c r="C852"/>
      <c r="D852"/>
      <c r="E852"/>
      <c r="F852" s="27" t="s">
        <v>7</v>
      </c>
      <c r="DC852" s="27" t="s">
        <v>8</v>
      </c>
      <c r="DD852" s="27" t="s">
        <v>7</v>
      </c>
      <c r="DM852" s="27" t="s">
        <v>8</v>
      </c>
      <c r="DW852" s="27" t="s">
        <v>8</v>
      </c>
      <c r="DX852" s="27" t="s">
        <v>7</v>
      </c>
    </row>
    <row r="853" spans="1:138" x14ac:dyDescent="0.25">
      <c r="A853" s="7">
        <v>5.1564915610045588E-3</v>
      </c>
      <c r="B853"/>
      <c r="C853"/>
      <c r="D853"/>
      <c r="E853"/>
      <c r="F853" s="27" t="s">
        <v>7</v>
      </c>
      <c r="DC853" s="27" t="s">
        <v>8</v>
      </c>
      <c r="DD853" s="27" t="s">
        <v>7</v>
      </c>
      <c r="DM853" s="27" t="s">
        <v>8</v>
      </c>
      <c r="DN853" s="27" t="s">
        <v>7</v>
      </c>
      <c r="DW853" s="27" t="s">
        <v>8</v>
      </c>
    </row>
    <row r="854" spans="1:138" x14ac:dyDescent="0.25">
      <c r="A854" s="7">
        <v>5.0553838833378023E-3</v>
      </c>
      <c r="B854"/>
      <c r="C854"/>
      <c r="D854"/>
      <c r="E854"/>
      <c r="F854" s="27" t="s">
        <v>7</v>
      </c>
      <c r="DC854" s="27" t="s">
        <v>8</v>
      </c>
      <c r="DD854" s="27" t="s">
        <v>7</v>
      </c>
      <c r="DM854" s="27" t="s">
        <v>8</v>
      </c>
      <c r="DN854" s="27" t="s">
        <v>7</v>
      </c>
      <c r="DW854" s="27" t="s">
        <v>8</v>
      </c>
    </row>
    <row r="855" spans="1:138" x14ac:dyDescent="0.25">
      <c r="A855" s="7">
        <v>4.9562587091547079E-3</v>
      </c>
      <c r="B855"/>
      <c r="C855"/>
      <c r="D855"/>
      <c r="E855"/>
      <c r="F855" s="27" t="s">
        <v>7</v>
      </c>
      <c r="DC855" s="27" t="s">
        <v>8</v>
      </c>
      <c r="DD855" s="27" t="s">
        <v>7</v>
      </c>
      <c r="DM855" s="27" t="s">
        <v>8</v>
      </c>
      <c r="DN855" s="27" t="s">
        <v>7</v>
      </c>
      <c r="DW855" s="27" t="s">
        <v>8</v>
      </c>
    </row>
    <row r="856" spans="1:138" x14ac:dyDescent="0.25">
      <c r="A856" s="7">
        <v>4.8590771658379491E-3</v>
      </c>
      <c r="B856"/>
      <c r="C856"/>
      <c r="D856"/>
      <c r="E856"/>
      <c r="F856" s="27" t="s">
        <v>7</v>
      </c>
      <c r="DA856" s="27" t="s">
        <v>8</v>
      </c>
      <c r="DC856" s="27" t="s">
        <v>8</v>
      </c>
      <c r="DD856" s="27" t="s">
        <v>7</v>
      </c>
      <c r="DM856" s="27" t="s">
        <v>8</v>
      </c>
      <c r="DN856" s="27" t="s">
        <v>7</v>
      </c>
      <c r="DW856" s="27" t="s">
        <v>8</v>
      </c>
    </row>
    <row r="857" spans="1:138" x14ac:dyDescent="0.25">
      <c r="A857" s="7">
        <v>4.7638011429783815E-3</v>
      </c>
      <c r="B857"/>
      <c r="C857"/>
      <c r="D857"/>
      <c r="E857"/>
      <c r="F857" s="27" t="s">
        <v>7</v>
      </c>
      <c r="BU857" s="27" t="s">
        <v>8</v>
      </c>
      <c r="DA857" s="27" t="s">
        <v>8</v>
      </c>
      <c r="DB857" s="27" t="s">
        <v>7</v>
      </c>
      <c r="DC857" s="27" t="s">
        <v>8</v>
      </c>
      <c r="DD857" s="27" t="s">
        <v>7</v>
      </c>
      <c r="DM857" s="27" t="s">
        <v>8</v>
      </c>
      <c r="DN857" s="27" t="s">
        <v>7</v>
      </c>
      <c r="DU857" s="27" t="s">
        <v>8</v>
      </c>
      <c r="DW857" s="27" t="s">
        <v>8</v>
      </c>
    </row>
    <row r="858" spans="1:138" x14ac:dyDescent="0.25">
      <c r="A858" s="7">
        <v>4.6703932774297859E-3</v>
      </c>
      <c r="B858"/>
      <c r="C858"/>
      <c r="D858"/>
      <c r="E858"/>
      <c r="F858" s="27" t="s">
        <v>7</v>
      </c>
      <c r="BU858" s="27" t="s">
        <v>8</v>
      </c>
      <c r="BV858" s="27" t="s">
        <v>7</v>
      </c>
      <c r="DA858" s="27" t="s">
        <v>8</v>
      </c>
      <c r="DB858" s="27" t="s">
        <v>7</v>
      </c>
      <c r="DC858" s="27" t="s">
        <v>8</v>
      </c>
      <c r="DD858" s="27" t="s">
        <v>7</v>
      </c>
      <c r="DM858" s="27" t="s">
        <v>8</v>
      </c>
      <c r="DN858" s="27" t="s">
        <v>7</v>
      </c>
      <c r="DU858" s="27" t="s">
        <v>8</v>
      </c>
      <c r="DV858" s="27" t="s">
        <v>7</v>
      </c>
      <c r="DW858" s="27" t="s">
        <v>8</v>
      </c>
    </row>
    <row r="859" spans="1:138" x14ac:dyDescent="0.25">
      <c r="A859" s="7">
        <v>4.5788169386566527E-3</v>
      </c>
      <c r="B859"/>
      <c r="C859"/>
      <c r="D859"/>
      <c r="E859"/>
      <c r="F859" s="27" t="s">
        <v>7</v>
      </c>
      <c r="BU859" s="27" t="s">
        <v>8</v>
      </c>
      <c r="BV859" s="27" t="s">
        <v>7</v>
      </c>
      <c r="DA859" s="27" t="s">
        <v>8</v>
      </c>
      <c r="DB859" s="27" t="s">
        <v>7</v>
      </c>
      <c r="DC859" s="27" t="s">
        <v>8</v>
      </c>
      <c r="DD859" s="27" t="s">
        <v>7</v>
      </c>
      <c r="DM859" s="27" t="s">
        <v>8</v>
      </c>
      <c r="DN859" s="27" t="s">
        <v>7</v>
      </c>
      <c r="DU859" s="27" t="s">
        <v>8</v>
      </c>
      <c r="DV859" s="27" t="s">
        <v>7</v>
      </c>
      <c r="DW859" s="27" t="s">
        <v>8</v>
      </c>
    </row>
    <row r="860" spans="1:138" x14ac:dyDescent="0.25">
      <c r="A860" s="7">
        <v>4.4890362143692672E-3</v>
      </c>
      <c r="B860"/>
      <c r="C860"/>
      <c r="D860"/>
      <c r="E860"/>
      <c r="F860" s="27" t="s">
        <v>7</v>
      </c>
      <c r="BU860" s="27" t="s">
        <v>8</v>
      </c>
      <c r="BV860" s="27" t="s">
        <v>7</v>
      </c>
      <c r="DA860" s="27" t="s">
        <v>8</v>
      </c>
      <c r="DB860" s="27" t="s">
        <v>7</v>
      </c>
      <c r="DC860" s="27" t="s">
        <v>8</v>
      </c>
      <c r="DD860" s="27" t="s">
        <v>7</v>
      </c>
      <c r="DK860" s="27" t="s">
        <v>8</v>
      </c>
      <c r="DM860" s="27" t="s">
        <v>8</v>
      </c>
      <c r="DN860" s="27" t="s">
        <v>7</v>
      </c>
      <c r="DS860" s="27" t="s">
        <v>8</v>
      </c>
      <c r="DU860" s="27" t="s">
        <v>8</v>
      </c>
      <c r="DV860" s="27" t="s">
        <v>7</v>
      </c>
      <c r="DW860" s="27" t="s">
        <v>8</v>
      </c>
    </row>
    <row r="861" spans="1:138" x14ac:dyDescent="0.25">
      <c r="A861" s="7">
        <v>4.4010158964404578E-3</v>
      </c>
      <c r="B861"/>
      <c r="C861"/>
      <c r="D861"/>
      <c r="E861"/>
      <c r="F861" s="27" t="s">
        <v>7</v>
      </c>
      <c r="BU861" s="27" t="s">
        <v>8</v>
      </c>
      <c r="BV861" s="27" t="s">
        <v>7</v>
      </c>
      <c r="DA861" s="27" t="s">
        <v>8</v>
      </c>
      <c r="DB861" s="27" t="s">
        <v>7</v>
      </c>
      <c r="DC861" s="27" t="s">
        <v>8</v>
      </c>
      <c r="DD861" s="27" t="s">
        <v>7</v>
      </c>
      <c r="DK861" s="27" t="s">
        <v>8</v>
      </c>
      <c r="DL861" s="27" t="s">
        <v>7</v>
      </c>
      <c r="DM861" s="27" t="s">
        <v>8</v>
      </c>
      <c r="DN861" s="27" t="s">
        <v>7</v>
      </c>
      <c r="DS861" s="27" t="s">
        <v>8</v>
      </c>
      <c r="DT861" s="27" t="s">
        <v>7</v>
      </c>
      <c r="DU861" s="27" t="s">
        <v>8</v>
      </c>
      <c r="DV861" s="27" t="s">
        <v>7</v>
      </c>
      <c r="DW861" s="27" t="s">
        <v>8</v>
      </c>
    </row>
    <row r="862" spans="1:138" x14ac:dyDescent="0.25">
      <c r="A862" s="7">
        <v>4.314721467098488E-3</v>
      </c>
      <c r="B862"/>
      <c r="C862"/>
      <c r="D862"/>
      <c r="E862"/>
      <c r="F862" s="27" t="s">
        <v>7</v>
      </c>
      <c r="BU862" s="27" t="s">
        <v>8</v>
      </c>
      <c r="BV862" s="27" t="s">
        <v>7</v>
      </c>
      <c r="DA862" s="27" t="s">
        <v>8</v>
      </c>
      <c r="DB862" s="27" t="s">
        <v>7</v>
      </c>
      <c r="DC862" s="27" t="s">
        <v>8</v>
      </c>
      <c r="DD862" s="27" t="s">
        <v>7</v>
      </c>
      <c r="DK862" s="27" t="s">
        <v>8</v>
      </c>
      <c r="DL862" s="27" t="s">
        <v>7</v>
      </c>
      <c r="DM862" s="27" t="s">
        <v>8</v>
      </c>
      <c r="DN862" s="27" t="s">
        <v>7</v>
      </c>
      <c r="DS862" s="27" t="s">
        <v>8</v>
      </c>
      <c r="DT862" s="27" t="s">
        <v>7</v>
      </c>
      <c r="DU862" s="27" t="s">
        <v>8</v>
      </c>
      <c r="DV862" s="27" t="s">
        <v>7</v>
      </c>
      <c r="DW862" s="27" t="s">
        <v>8</v>
      </c>
    </row>
    <row r="863" spans="1:138" x14ac:dyDescent="0.25">
      <c r="A863" s="7">
        <v>4.2301190853906746E-3</v>
      </c>
      <c r="B863"/>
      <c r="C863"/>
      <c r="D863"/>
      <c r="E863"/>
      <c r="F863" s="27" t="s">
        <v>7</v>
      </c>
      <c r="BU863" s="27" t="s">
        <v>8</v>
      </c>
      <c r="BV863" s="27" t="s">
        <v>7</v>
      </c>
      <c r="DA863" s="27" t="s">
        <v>8</v>
      </c>
      <c r="DB863" s="27" t="s">
        <v>7</v>
      </c>
      <c r="DC863" s="27" t="s">
        <v>8</v>
      </c>
      <c r="DD863" s="27" t="s">
        <v>7</v>
      </c>
      <c r="DE863" s="27" t="s">
        <v>8</v>
      </c>
      <c r="DG863" s="27" t="s">
        <v>8</v>
      </c>
      <c r="DK863" s="27" t="s">
        <v>8</v>
      </c>
      <c r="DL863" s="27" t="s">
        <v>7</v>
      </c>
      <c r="DM863" s="27" t="s">
        <v>8</v>
      </c>
      <c r="DN863" s="27" t="s">
        <v>7</v>
      </c>
      <c r="DS863" s="27" t="s">
        <v>8</v>
      </c>
      <c r="DT863" s="27" t="s">
        <v>7</v>
      </c>
      <c r="DU863" s="27" t="s">
        <v>8</v>
      </c>
      <c r="DV863" s="27" t="s">
        <v>7</v>
      </c>
      <c r="DW863" s="27" t="s">
        <v>8</v>
      </c>
    </row>
    <row r="864" spans="1:138" x14ac:dyDescent="0.25">
      <c r="A864" s="7">
        <v>4.1471755739124266E-3</v>
      </c>
      <c r="B864"/>
      <c r="C864"/>
      <c r="D864"/>
      <c r="E864"/>
      <c r="F864" s="27" t="s">
        <v>7</v>
      </c>
      <c r="BU864" s="27" t="s">
        <v>8</v>
      </c>
      <c r="BV864" s="27" t="s">
        <v>7</v>
      </c>
      <c r="DA864" s="27" t="s">
        <v>8</v>
      </c>
      <c r="DB864" s="27" t="s">
        <v>7</v>
      </c>
      <c r="DC864" s="27" t="s">
        <v>8</v>
      </c>
      <c r="DD864" s="27" t="s">
        <v>7</v>
      </c>
      <c r="DE864" s="27" t="s">
        <v>8</v>
      </c>
      <c r="DF864" s="27" t="s">
        <v>7</v>
      </c>
      <c r="DG864" s="27" t="s">
        <v>8</v>
      </c>
      <c r="DH864" s="27" t="s">
        <v>7</v>
      </c>
      <c r="DK864" s="27" t="s">
        <v>8</v>
      </c>
      <c r="DL864" s="27" t="s">
        <v>7</v>
      </c>
      <c r="DM864" s="27" t="s">
        <v>8</v>
      </c>
      <c r="DN864" s="27" t="s">
        <v>7</v>
      </c>
      <c r="DO864" s="27" t="s">
        <v>8</v>
      </c>
      <c r="DQ864" s="27" t="s">
        <v>8</v>
      </c>
      <c r="DS864" s="27" t="s">
        <v>8</v>
      </c>
      <c r="DT864" s="27" t="s">
        <v>7</v>
      </c>
      <c r="DU864" s="27" t="s">
        <v>8</v>
      </c>
      <c r="DV864" s="27" t="s">
        <v>7</v>
      </c>
      <c r="DW864" s="27" t="s">
        <v>8</v>
      </c>
    </row>
    <row r="865" spans="1:127" x14ac:dyDescent="0.25">
      <c r="A865" s="7">
        <v>4.0658584057964966E-3</v>
      </c>
      <c r="B865"/>
      <c r="C865"/>
      <c r="D865"/>
      <c r="E865"/>
      <c r="F865" s="27" t="s">
        <v>7</v>
      </c>
      <c r="BU865" s="27" t="s">
        <v>8</v>
      </c>
      <c r="BV865" s="27" t="s">
        <v>7</v>
      </c>
      <c r="DA865" s="27" t="s">
        <v>8</v>
      </c>
      <c r="DB865" s="27" t="s">
        <v>7</v>
      </c>
      <c r="DC865" s="27" t="s">
        <v>8</v>
      </c>
      <c r="DD865" s="27" t="s">
        <v>7</v>
      </c>
      <c r="DE865" s="27" t="s">
        <v>8</v>
      </c>
      <c r="DF865" s="27" t="s">
        <v>7</v>
      </c>
      <c r="DG865" s="27" t="s">
        <v>8</v>
      </c>
      <c r="DH865" s="27" t="s">
        <v>7</v>
      </c>
      <c r="DK865" s="27" t="s">
        <v>8</v>
      </c>
      <c r="DL865" s="27" t="s">
        <v>7</v>
      </c>
      <c r="DM865" s="27" t="s">
        <v>8</v>
      </c>
      <c r="DN865" s="27" t="s">
        <v>7</v>
      </c>
      <c r="DO865" s="27" t="s">
        <v>8</v>
      </c>
      <c r="DP865" s="27" t="s">
        <v>7</v>
      </c>
      <c r="DQ865" s="27" t="s">
        <v>8</v>
      </c>
      <c r="DR865" s="27" t="s">
        <v>7</v>
      </c>
      <c r="DS865" s="27" t="s">
        <v>8</v>
      </c>
      <c r="DT865" s="27" t="s">
        <v>7</v>
      </c>
      <c r="DU865" s="27" t="s">
        <v>8</v>
      </c>
      <c r="DV865" s="27" t="s">
        <v>7</v>
      </c>
      <c r="DW865" s="27" t="s">
        <v>8</v>
      </c>
    </row>
    <row r="866" spans="1:127" x14ac:dyDescent="0.25">
      <c r="A866" s="7">
        <v>3.9861356919573491E-3</v>
      </c>
      <c r="B866"/>
      <c r="C866"/>
      <c r="D866"/>
      <c r="E866"/>
      <c r="F866" s="27" t="s">
        <v>7</v>
      </c>
      <c r="BU866" s="27" t="s">
        <v>8</v>
      </c>
      <c r="BV866" s="27" t="s">
        <v>7</v>
      </c>
      <c r="DA866" s="27" t="s">
        <v>8</v>
      </c>
      <c r="DB866" s="27" t="s">
        <v>7</v>
      </c>
      <c r="DC866" s="27" t="s">
        <v>8</v>
      </c>
      <c r="DD866" s="27" t="s">
        <v>7</v>
      </c>
      <c r="DE866" s="27" t="s">
        <v>8</v>
      </c>
      <c r="DF866" s="27" t="s">
        <v>7</v>
      </c>
      <c r="DG866" s="27" t="s">
        <v>8</v>
      </c>
      <c r="DH866" s="27" t="s">
        <v>7</v>
      </c>
      <c r="DK866" s="27" t="s">
        <v>8</v>
      </c>
      <c r="DL866" s="27" t="s">
        <v>7</v>
      </c>
      <c r="DM866" s="27" t="s">
        <v>8</v>
      </c>
      <c r="DN866" s="27" t="s">
        <v>7</v>
      </c>
      <c r="DO866" s="27" t="s">
        <v>8</v>
      </c>
      <c r="DP866" s="27" t="s">
        <v>7</v>
      </c>
      <c r="DQ866" s="27" t="s">
        <v>8</v>
      </c>
      <c r="DR866" s="27" t="s">
        <v>7</v>
      </c>
      <c r="DS866" s="27" t="s">
        <v>8</v>
      </c>
      <c r="DT866" s="27" t="s">
        <v>7</v>
      </c>
      <c r="DU866" s="27" t="s">
        <v>8</v>
      </c>
      <c r="DV866" s="27" t="s">
        <v>7</v>
      </c>
      <c r="DW866" s="27" t="s">
        <v>8</v>
      </c>
    </row>
    <row r="867" spans="1:127" x14ac:dyDescent="0.25">
      <c r="A867" s="7">
        <v>3.9079761685856364E-3</v>
      </c>
      <c r="B867"/>
      <c r="C867"/>
      <c r="D867"/>
      <c r="E867"/>
      <c r="F867" s="27" t="s">
        <v>7</v>
      </c>
      <c r="BU867" s="27" t="s">
        <v>8</v>
      </c>
      <c r="BV867" s="27" t="s">
        <v>7</v>
      </c>
      <c r="DA867" s="27" t="s">
        <v>8</v>
      </c>
      <c r="DB867" s="27" t="s">
        <v>7</v>
      </c>
      <c r="DC867" s="27" t="s">
        <v>8</v>
      </c>
      <c r="DD867" s="27" t="s">
        <v>7</v>
      </c>
      <c r="DE867" s="27" t="s">
        <v>8</v>
      </c>
      <c r="DF867" s="27" t="s">
        <v>7</v>
      </c>
      <c r="DG867" s="27" t="s">
        <v>8</v>
      </c>
      <c r="DH867" s="27" t="s">
        <v>7</v>
      </c>
      <c r="DI867" s="27" t="s">
        <v>8</v>
      </c>
      <c r="DK867" s="27" t="s">
        <v>8</v>
      </c>
      <c r="DL867" s="27" t="s">
        <v>7</v>
      </c>
      <c r="DM867" s="27" t="s">
        <v>8</v>
      </c>
      <c r="DN867" s="27" t="s">
        <v>7</v>
      </c>
      <c r="DO867" s="27" t="s">
        <v>8</v>
      </c>
      <c r="DP867" s="27" t="s">
        <v>7</v>
      </c>
      <c r="DR867" s="27" t="s">
        <v>7</v>
      </c>
      <c r="DS867" s="27" t="s">
        <v>8</v>
      </c>
      <c r="DT867" s="27" t="s">
        <v>7</v>
      </c>
      <c r="DV867" s="27" t="s">
        <v>7</v>
      </c>
      <c r="DW867" s="27" t="s">
        <v>8</v>
      </c>
    </row>
    <row r="868" spans="1:127" x14ac:dyDescent="0.25">
      <c r="A868" s="7">
        <v>3.8313491848878793E-3</v>
      </c>
      <c r="B868"/>
      <c r="C868"/>
      <c r="D868"/>
      <c r="E868"/>
      <c r="F868" s="27" t="s">
        <v>7</v>
      </c>
      <c r="BU868" s="27" t="s">
        <v>8</v>
      </c>
      <c r="BV868" s="27" t="s">
        <v>7</v>
      </c>
      <c r="DA868" s="27" t="s">
        <v>8</v>
      </c>
      <c r="DB868" s="27" t="s">
        <v>7</v>
      </c>
      <c r="DC868" s="27" t="s">
        <v>8</v>
      </c>
      <c r="DD868" s="27" t="s">
        <v>7</v>
      </c>
      <c r="DE868" s="27" t="s">
        <v>8</v>
      </c>
      <c r="DF868" s="27" t="s">
        <v>7</v>
      </c>
      <c r="DG868" s="27" t="s">
        <v>8</v>
      </c>
      <c r="DH868" s="27" t="s">
        <v>7</v>
      </c>
      <c r="DI868" s="27" t="s">
        <v>8</v>
      </c>
      <c r="DJ868" s="27" t="s">
        <v>7</v>
      </c>
      <c r="DK868" s="27" t="s">
        <v>8</v>
      </c>
      <c r="DL868" s="27" t="s">
        <v>7</v>
      </c>
      <c r="DM868" s="27" t="s">
        <v>8</v>
      </c>
      <c r="DN868" s="27" t="s">
        <v>7</v>
      </c>
      <c r="DO868" s="27" t="s">
        <v>8</v>
      </c>
      <c r="DR868" s="27" t="s">
        <v>7</v>
      </c>
      <c r="DS868" s="27" t="s">
        <v>8</v>
      </c>
      <c r="DV868" s="27" t="s">
        <v>7</v>
      </c>
    </row>
    <row r="869" spans="1:127" x14ac:dyDescent="0.25">
      <c r="A869" s="7">
        <v>3.7562246910665485E-3</v>
      </c>
      <c r="B869"/>
      <c r="C869"/>
      <c r="D869"/>
      <c r="E869"/>
      <c r="F869" s="27" t="s">
        <v>7</v>
      </c>
      <c r="BU869" s="27" t="s">
        <v>8</v>
      </c>
      <c r="BV869" s="27" t="s">
        <v>7</v>
      </c>
      <c r="DA869" s="27" t="s">
        <v>8</v>
      </c>
      <c r="DB869" s="27" t="s">
        <v>7</v>
      </c>
      <c r="DC869" s="27" t="s">
        <v>8</v>
      </c>
      <c r="DD869" s="27" t="s">
        <v>7</v>
      </c>
      <c r="DE869" s="27" t="s">
        <v>8</v>
      </c>
      <c r="DF869" s="27" t="s">
        <v>7</v>
      </c>
      <c r="DG869" s="27" t="s">
        <v>8</v>
      </c>
      <c r="DH869" s="27" t="s">
        <v>7</v>
      </c>
      <c r="DI869" s="27" t="s">
        <v>8</v>
      </c>
      <c r="DJ869" s="27" t="s">
        <v>7</v>
      </c>
      <c r="DK869" s="27" t="s">
        <v>8</v>
      </c>
      <c r="DL869" s="27" t="s">
        <v>7</v>
      </c>
      <c r="DM869" s="27" t="s">
        <v>8</v>
      </c>
      <c r="DN869" s="27" t="s">
        <v>7</v>
      </c>
      <c r="DO869" s="27" t="s">
        <v>8</v>
      </c>
      <c r="DR869" s="27" t="s">
        <v>7</v>
      </c>
      <c r="DS869" s="27" t="s">
        <v>8</v>
      </c>
    </row>
    <row r="870" spans="1:127" x14ac:dyDescent="0.25">
      <c r="A870" s="7">
        <v>3.6825732265358315E-3</v>
      </c>
      <c r="B870"/>
      <c r="C870"/>
      <c r="D870"/>
      <c r="E870"/>
      <c r="F870" s="27" t="s">
        <v>7</v>
      </c>
      <c r="BU870" s="27" t="s">
        <v>8</v>
      </c>
      <c r="BV870" s="27" t="s">
        <v>7</v>
      </c>
      <c r="DA870" s="27" t="s">
        <v>8</v>
      </c>
      <c r="DB870" s="27" t="s">
        <v>7</v>
      </c>
      <c r="DC870" s="27" t="s">
        <v>8</v>
      </c>
      <c r="DD870" s="27" t="s">
        <v>7</v>
      </c>
      <c r="DF870" s="27" t="s">
        <v>7</v>
      </c>
      <c r="DG870" s="27" t="s">
        <v>8</v>
      </c>
      <c r="DH870" s="27" t="s">
        <v>7</v>
      </c>
      <c r="DI870" s="27" t="s">
        <v>8</v>
      </c>
      <c r="DJ870" s="27" t="s">
        <v>7</v>
      </c>
      <c r="DK870" s="27" t="s">
        <v>8</v>
      </c>
      <c r="DL870" s="27" t="s">
        <v>7</v>
      </c>
      <c r="DN870" s="27" t="s">
        <v>7</v>
      </c>
      <c r="DO870" s="27" t="s">
        <v>8</v>
      </c>
      <c r="DR870" s="27" t="s">
        <v>7</v>
      </c>
      <c r="DS870" s="27" t="s">
        <v>8</v>
      </c>
    </row>
    <row r="871" spans="1:127" x14ac:dyDescent="0.25">
      <c r="A871" s="7">
        <v>3.6103659083684624E-3</v>
      </c>
      <c r="B871"/>
      <c r="C871"/>
      <c r="D871"/>
      <c r="E871"/>
      <c r="F871" s="27" t="s">
        <v>7</v>
      </c>
      <c r="BU871" s="27" t="s">
        <v>8</v>
      </c>
      <c r="BV871" s="27" t="s">
        <v>7</v>
      </c>
      <c r="DA871" s="27" t="s">
        <v>8</v>
      </c>
      <c r="DB871" s="27" t="s">
        <v>7</v>
      </c>
      <c r="DC871" s="27" t="s">
        <v>8</v>
      </c>
      <c r="DF871" s="27" t="s">
        <v>7</v>
      </c>
      <c r="DH871" s="27" t="s">
        <v>7</v>
      </c>
      <c r="DI871" s="27" t="s">
        <v>8</v>
      </c>
      <c r="DJ871" s="27" t="s">
        <v>7</v>
      </c>
      <c r="DK871" s="27" t="s">
        <v>8</v>
      </c>
      <c r="DN871" s="27" t="s">
        <v>7</v>
      </c>
      <c r="DO871" s="27" t="s">
        <v>8</v>
      </c>
      <c r="DR871" s="27" t="s">
        <v>7</v>
      </c>
      <c r="DS871" s="27" t="s">
        <v>8</v>
      </c>
    </row>
    <row r="872" spans="1:127" x14ac:dyDescent="0.25">
      <c r="A872" s="7">
        <v>3.539574419969081E-3</v>
      </c>
      <c r="B872"/>
      <c r="C872"/>
      <c r="D872"/>
      <c r="E872"/>
      <c r="F872" s="27" t="s">
        <v>7</v>
      </c>
      <c r="BU872" s="27" t="s">
        <v>8</v>
      </c>
      <c r="BV872" s="27" t="s">
        <v>7</v>
      </c>
      <c r="DA872" s="27" t="s">
        <v>8</v>
      </c>
      <c r="DB872" s="27" t="s">
        <v>7</v>
      </c>
      <c r="DC872" s="27" t="s">
        <v>8</v>
      </c>
      <c r="DH872" s="27" t="s">
        <v>7</v>
      </c>
      <c r="DI872" s="27" t="s">
        <v>8</v>
      </c>
      <c r="DJ872" s="27" t="s">
        <v>7</v>
      </c>
      <c r="DK872" s="27" t="s">
        <v>8</v>
      </c>
      <c r="DN872" s="27" t="s">
        <v>7</v>
      </c>
      <c r="DO872" s="27" t="s">
        <v>8</v>
      </c>
      <c r="DR872" s="27" t="s">
        <v>7</v>
      </c>
      <c r="DS872" s="27" t="s">
        <v>8</v>
      </c>
    </row>
    <row r="873" spans="1:127" x14ac:dyDescent="0.25">
      <c r="A873" s="7">
        <v>3.4701709999696872E-3</v>
      </c>
      <c r="B873"/>
      <c r="C873"/>
      <c r="D873"/>
      <c r="E873"/>
      <c r="F873" s="27" t="s">
        <v>7</v>
      </c>
      <c r="BU873" s="27" t="s">
        <v>8</v>
      </c>
      <c r="BV873" s="27" t="s">
        <v>7</v>
      </c>
      <c r="DA873" s="27" t="s">
        <v>8</v>
      </c>
      <c r="DB873" s="27" t="s">
        <v>7</v>
      </c>
      <c r="DC873" s="27" t="s">
        <v>8</v>
      </c>
      <c r="DH873" s="27" t="s">
        <v>7</v>
      </c>
      <c r="DI873" s="27" t="s">
        <v>8</v>
      </c>
      <c r="DJ873" s="27" t="s">
        <v>7</v>
      </c>
      <c r="DK873" s="27" t="s">
        <v>8</v>
      </c>
      <c r="DN873" s="27" t="s">
        <v>7</v>
      </c>
      <c r="DO873" s="27" t="s">
        <v>8</v>
      </c>
      <c r="DR873" s="27" t="s">
        <v>7</v>
      </c>
    </row>
    <row r="874" spans="1:127" x14ac:dyDescent="0.25">
      <c r="A874" s="7">
        <v>3.4021284313428307E-3</v>
      </c>
      <c r="B874"/>
      <c r="C874"/>
      <c r="D874"/>
      <c r="E874"/>
      <c r="F874" s="27" t="s">
        <v>7</v>
      </c>
      <c r="BU874" s="27" t="s">
        <v>8</v>
      </c>
      <c r="BV874" s="27" t="s">
        <v>7</v>
      </c>
      <c r="DA874" s="27" t="s">
        <v>8</v>
      </c>
      <c r="DB874" s="27" t="s">
        <v>7</v>
      </c>
      <c r="DC874" s="27" t="s">
        <v>8</v>
      </c>
      <c r="DH874" s="27" t="s">
        <v>7</v>
      </c>
      <c r="DI874" s="27" t="s">
        <v>8</v>
      </c>
      <c r="DJ874" s="27" t="s">
        <v>7</v>
      </c>
      <c r="DK874" s="27" t="s">
        <v>8</v>
      </c>
      <c r="DN874" s="27" t="s">
        <v>7</v>
      </c>
      <c r="DO874" s="27" t="s">
        <v>8</v>
      </c>
    </row>
    <row r="875" spans="1:127" x14ac:dyDescent="0.25">
      <c r="A875" s="7">
        <v>3.3354200307282654E-3</v>
      </c>
      <c r="B875"/>
      <c r="C875"/>
      <c r="D875"/>
      <c r="E875"/>
      <c r="F875" s="27" t="s">
        <v>7</v>
      </c>
      <c r="BU875" s="27" t="s">
        <v>8</v>
      </c>
      <c r="BV875" s="27" t="s">
        <v>7</v>
      </c>
      <c r="DA875" s="27" t="s">
        <v>8</v>
      </c>
      <c r="DB875" s="27" t="s">
        <v>7</v>
      </c>
      <c r="DC875" s="27" t="s">
        <v>8</v>
      </c>
      <c r="DH875" s="27" t="s">
        <v>7</v>
      </c>
      <c r="DI875" s="27" t="s">
        <v>8</v>
      </c>
      <c r="DJ875" s="27" t="s">
        <v>7</v>
      </c>
      <c r="DN875" s="27" t="s">
        <v>7</v>
      </c>
    </row>
    <row r="876" spans="1:127" x14ac:dyDescent="0.25">
      <c r="A876" s="7">
        <v>3.2700196379688881E-3</v>
      </c>
      <c r="B876"/>
      <c r="C876"/>
      <c r="D876"/>
      <c r="E876"/>
      <c r="F876" s="27" t="s">
        <v>7</v>
      </c>
      <c r="BU876" s="27" t="s">
        <v>8</v>
      </c>
      <c r="BV876" s="27" t="s">
        <v>7</v>
      </c>
      <c r="DA876" s="27" t="s">
        <v>8</v>
      </c>
      <c r="DB876" s="27" t="s">
        <v>7</v>
      </c>
      <c r="DC876" s="27" t="s">
        <v>8</v>
      </c>
      <c r="DH876" s="27" t="s">
        <v>7</v>
      </c>
      <c r="DI876" s="27" t="s">
        <v>8</v>
      </c>
    </row>
    <row r="877" spans="1:127" x14ac:dyDescent="0.25">
      <c r="A877" s="7">
        <v>3.205901605851851E-3</v>
      </c>
      <c r="B877"/>
      <c r="C877"/>
      <c r="D877"/>
      <c r="E877"/>
      <c r="F877" s="27" t="s">
        <v>7</v>
      </c>
      <c r="BU877" s="27" t="s">
        <v>8</v>
      </c>
      <c r="BV877" s="27" t="s">
        <v>7</v>
      </c>
      <c r="DA877" s="27" t="s">
        <v>8</v>
      </c>
      <c r="DB877" s="27" t="s">
        <v>7</v>
      </c>
      <c r="DC877" s="27" t="s">
        <v>8</v>
      </c>
      <c r="DH877" s="27" t="s">
        <v>7</v>
      </c>
      <c r="DI877" s="27" t="s">
        <v>8</v>
      </c>
    </row>
    <row r="878" spans="1:127" x14ac:dyDescent="0.25">
      <c r="A878" s="7">
        <v>3.1430407900508344E-3</v>
      </c>
      <c r="B878"/>
      <c r="C878"/>
      <c r="D878"/>
      <c r="E878"/>
      <c r="F878" s="27" t="s">
        <v>7</v>
      </c>
      <c r="BU878" s="27" t="s">
        <v>8</v>
      </c>
      <c r="BV878" s="27" t="s">
        <v>7</v>
      </c>
      <c r="DA878" s="27" t="s">
        <v>8</v>
      </c>
      <c r="DB878" s="27" t="s">
        <v>7</v>
      </c>
      <c r="DC878" s="27" t="s">
        <v>8</v>
      </c>
      <c r="DH878" s="27" t="s">
        <v>7</v>
      </c>
      <c r="DI878" s="27" t="s">
        <v>8</v>
      </c>
    </row>
    <row r="879" spans="1:127" x14ac:dyDescent="0.25">
      <c r="A879" s="7">
        <v>3.0814125392655241E-3</v>
      </c>
      <c r="B879"/>
      <c r="C879"/>
      <c r="D879"/>
      <c r="E879"/>
      <c r="F879" s="27" t="s">
        <v>7</v>
      </c>
      <c r="BU879" s="27" t="s">
        <v>8</v>
      </c>
      <c r="BV879" s="27" t="s">
        <v>7</v>
      </c>
      <c r="CM879" s="27" t="s">
        <v>8</v>
      </c>
      <c r="DA879" s="27" t="s">
        <v>8</v>
      </c>
      <c r="DB879" s="27" t="s">
        <v>7</v>
      </c>
      <c r="DC879" s="27" t="s">
        <v>8</v>
      </c>
      <c r="DH879" s="27" t="s">
        <v>7</v>
      </c>
      <c r="DI879" s="27" t="s">
        <v>8</v>
      </c>
    </row>
    <row r="880" spans="1:127" x14ac:dyDescent="0.25">
      <c r="A880" s="7">
        <v>3.0209926855544354E-3</v>
      </c>
      <c r="B880"/>
      <c r="C880"/>
      <c r="D880"/>
      <c r="E880"/>
      <c r="F880" s="27" t="s">
        <v>7</v>
      </c>
      <c r="BU880" s="27" t="s">
        <v>8</v>
      </c>
      <c r="BV880" s="27" t="s">
        <v>7</v>
      </c>
      <c r="CA880" s="27" t="s">
        <v>8</v>
      </c>
      <c r="CM880" s="27" t="s">
        <v>8</v>
      </c>
      <c r="CN880" s="27" t="s">
        <v>7</v>
      </c>
      <c r="DA880" s="27" t="s">
        <v>8</v>
      </c>
      <c r="DB880" s="27" t="s">
        <v>7</v>
      </c>
      <c r="DC880" s="27" t="s">
        <v>8</v>
      </c>
      <c r="DH880" s="27" t="s">
        <v>7</v>
      </c>
      <c r="DI880" s="27" t="s">
        <v>8</v>
      </c>
    </row>
    <row r="881" spans="1:113" x14ac:dyDescent="0.25">
      <c r="A881" s="7">
        <v>2.9617575348572897E-3</v>
      </c>
      <c r="B881"/>
      <c r="C881"/>
      <c r="D881"/>
      <c r="E881"/>
      <c r="F881" s="27" t="s">
        <v>7</v>
      </c>
      <c r="BU881" s="27" t="s">
        <v>8</v>
      </c>
      <c r="BV881" s="27" t="s">
        <v>7</v>
      </c>
      <c r="CA881" s="27" t="s">
        <v>8</v>
      </c>
      <c r="CB881" s="27" t="s">
        <v>7</v>
      </c>
      <c r="CM881" s="27" t="s">
        <v>8</v>
      </c>
      <c r="CN881" s="27" t="s">
        <v>7</v>
      </c>
      <c r="CQ881" s="27" t="s">
        <v>8</v>
      </c>
      <c r="DA881" s="27" t="s">
        <v>8</v>
      </c>
      <c r="DB881" s="27" t="s">
        <v>7</v>
      </c>
      <c r="DC881" s="27" t="s">
        <v>8</v>
      </c>
      <c r="DH881" s="27" t="s">
        <v>7</v>
      </c>
      <c r="DI881" s="27" t="s">
        <v>8</v>
      </c>
    </row>
    <row r="882" spans="1:113" x14ac:dyDescent="0.25">
      <c r="A882" s="7">
        <v>2.9036838577032251E-3</v>
      </c>
      <c r="B882"/>
      <c r="C882"/>
      <c r="D882"/>
      <c r="E882"/>
      <c r="F882" s="27" t="s">
        <v>7</v>
      </c>
      <c r="BK882" s="27" t="s">
        <v>8</v>
      </c>
      <c r="BU882" s="27" t="s">
        <v>8</v>
      </c>
      <c r="BV882" s="27" t="s">
        <v>7</v>
      </c>
      <c r="CA882" s="27" t="s">
        <v>8</v>
      </c>
      <c r="CB882" s="27" t="s">
        <v>7</v>
      </c>
      <c r="CK882" s="27" t="s">
        <v>8</v>
      </c>
      <c r="CM882" s="27" t="s">
        <v>8</v>
      </c>
      <c r="CN882" s="27" t="s">
        <v>7</v>
      </c>
      <c r="CQ882" s="27" t="s">
        <v>8</v>
      </c>
      <c r="CR882" s="27" t="s">
        <v>7</v>
      </c>
      <c r="DA882" s="27" t="s">
        <v>8</v>
      </c>
      <c r="DB882" s="27" t="s">
        <v>7</v>
      </c>
      <c r="DC882" s="27" t="s">
        <v>8</v>
      </c>
      <c r="DH882" s="27" t="s">
        <v>7</v>
      </c>
      <c r="DI882" s="27" t="s">
        <v>8</v>
      </c>
    </row>
    <row r="883" spans="1:113" x14ac:dyDescent="0.25">
      <c r="A883" s="7">
        <v>2.8467488801012012E-3</v>
      </c>
      <c r="B883"/>
      <c r="C883"/>
      <c r="D883"/>
      <c r="E883"/>
      <c r="F883" s="27" t="s">
        <v>7</v>
      </c>
      <c r="BK883" s="27" t="s">
        <v>8</v>
      </c>
      <c r="BL883" s="27" t="s">
        <v>7</v>
      </c>
      <c r="BU883" s="27" t="s">
        <v>8</v>
      </c>
      <c r="BV883" s="27" t="s">
        <v>7</v>
      </c>
      <c r="CA883" s="27" t="s">
        <v>8</v>
      </c>
      <c r="CB883" s="27" t="s">
        <v>7</v>
      </c>
      <c r="CK883" s="27" t="s">
        <v>8</v>
      </c>
      <c r="CL883" s="27" t="s">
        <v>7</v>
      </c>
      <c r="CM883" s="27" t="s">
        <v>8</v>
      </c>
      <c r="CN883" s="27" t="s">
        <v>7</v>
      </c>
      <c r="CO883" s="27" t="s">
        <v>8</v>
      </c>
      <c r="CQ883" s="27" t="s">
        <v>8</v>
      </c>
      <c r="CR883" s="27" t="s">
        <v>7</v>
      </c>
      <c r="CW883" s="27" t="s">
        <v>8</v>
      </c>
      <c r="DA883" s="27" t="s">
        <v>8</v>
      </c>
      <c r="DB883" s="27" t="s">
        <v>7</v>
      </c>
      <c r="DC883" s="27" t="s">
        <v>8</v>
      </c>
      <c r="DH883" s="27" t="s">
        <v>7</v>
      </c>
      <c r="DI883" s="27" t="s">
        <v>8</v>
      </c>
    </row>
    <row r="884" spans="1:113" x14ac:dyDescent="0.25">
      <c r="A884" s="7">
        <v>2.7909302746090209E-3</v>
      </c>
      <c r="B884"/>
      <c r="C884"/>
      <c r="D884"/>
      <c r="E884"/>
      <c r="F884" s="27" t="s">
        <v>7</v>
      </c>
      <c r="BI884" s="27" t="s">
        <v>8</v>
      </c>
      <c r="BK884" s="27" t="s">
        <v>8</v>
      </c>
      <c r="BL884" s="27" t="s">
        <v>7</v>
      </c>
      <c r="BS884" s="27" t="s">
        <v>8</v>
      </c>
      <c r="BU884" s="27" t="s">
        <v>8</v>
      </c>
      <c r="BV884" s="27" t="s">
        <v>7</v>
      </c>
      <c r="CA884" s="27" t="s">
        <v>8</v>
      </c>
      <c r="CB884" s="27" t="s">
        <v>7</v>
      </c>
      <c r="CK884" s="27" t="s">
        <v>8</v>
      </c>
      <c r="CL884" s="27" t="s">
        <v>7</v>
      </c>
      <c r="CM884" s="27" t="s">
        <v>8</v>
      </c>
      <c r="CN884" s="27" t="s">
        <v>7</v>
      </c>
      <c r="CO884" s="27" t="s">
        <v>8</v>
      </c>
      <c r="CP884" s="27" t="s">
        <v>7</v>
      </c>
      <c r="CQ884" s="27" t="s">
        <v>8</v>
      </c>
      <c r="CR884" s="27" t="s">
        <v>7</v>
      </c>
      <c r="CW884" s="27" t="s">
        <v>8</v>
      </c>
      <c r="CX884" s="27" t="s">
        <v>7</v>
      </c>
      <c r="CY884" s="27" t="s">
        <v>8</v>
      </c>
      <c r="DA884" s="27" t="s">
        <v>8</v>
      </c>
      <c r="DB884" s="27" t="s">
        <v>7</v>
      </c>
      <c r="DC884" s="27" t="s">
        <v>8</v>
      </c>
      <c r="DH884" s="27" t="s">
        <v>7</v>
      </c>
    </row>
    <row r="885" spans="1:113" x14ac:dyDescent="0.25">
      <c r="A885" s="7">
        <v>2.7362061515774716E-3</v>
      </c>
      <c r="B885"/>
      <c r="C885"/>
      <c r="D885"/>
      <c r="E885"/>
      <c r="F885" s="27" t="s">
        <v>7</v>
      </c>
      <c r="BI885" s="27" t="s">
        <v>8</v>
      </c>
      <c r="BJ885" s="27" t="s">
        <v>7</v>
      </c>
      <c r="BK885" s="27" t="s">
        <v>8</v>
      </c>
      <c r="BL885" s="27" t="s">
        <v>7</v>
      </c>
      <c r="BS885" s="27" t="s">
        <v>8</v>
      </c>
      <c r="BT885" s="27" t="s">
        <v>7</v>
      </c>
      <c r="BU885" s="27" t="s">
        <v>8</v>
      </c>
      <c r="BV885" s="27" t="s">
        <v>7</v>
      </c>
      <c r="CA885" s="27" t="s">
        <v>8</v>
      </c>
      <c r="CB885" s="27" t="s">
        <v>7</v>
      </c>
      <c r="CK885" s="27" t="s">
        <v>8</v>
      </c>
      <c r="CL885" s="27" t="s">
        <v>7</v>
      </c>
      <c r="CM885" s="27" t="s">
        <v>8</v>
      </c>
      <c r="CN885" s="27" t="s">
        <v>7</v>
      </c>
      <c r="CO885" s="27" t="s">
        <v>8</v>
      </c>
      <c r="CP885" s="27" t="s">
        <v>7</v>
      </c>
      <c r="CQ885" s="27" t="s">
        <v>8</v>
      </c>
      <c r="CR885" s="27" t="s">
        <v>7</v>
      </c>
      <c r="CW885" s="27" t="s">
        <v>8</v>
      </c>
      <c r="CX885" s="27" t="s">
        <v>7</v>
      </c>
      <c r="CY885" s="27" t="s">
        <v>8</v>
      </c>
      <c r="CZ885" s="27" t="s">
        <v>7</v>
      </c>
      <c r="DA885" s="27" t="s">
        <v>8</v>
      </c>
      <c r="DB885" s="27" t="s">
        <v>7</v>
      </c>
    </row>
    <row r="886" spans="1:113" x14ac:dyDescent="0.25">
      <c r="A886" s="7">
        <v>2.6825550505661486E-3</v>
      </c>
      <c r="B886"/>
      <c r="C886"/>
      <c r="D886"/>
      <c r="E886"/>
      <c r="F886" s="27" t="s">
        <v>7</v>
      </c>
      <c r="U886" s="27" t="s">
        <v>8</v>
      </c>
      <c r="BI886" s="27" t="s">
        <v>8</v>
      </c>
      <c r="BJ886" s="27" t="s">
        <v>7</v>
      </c>
      <c r="BK886" s="27" t="s">
        <v>8</v>
      </c>
      <c r="BL886" s="27" t="s">
        <v>7</v>
      </c>
      <c r="BS886" s="27" t="s">
        <v>8</v>
      </c>
      <c r="BT886" s="27" t="s">
        <v>7</v>
      </c>
      <c r="BU886" s="27" t="s">
        <v>8</v>
      </c>
      <c r="BV886" s="27" t="s">
        <v>7</v>
      </c>
      <c r="CA886" s="27" t="s">
        <v>8</v>
      </c>
      <c r="CB886" s="27" t="s">
        <v>7</v>
      </c>
      <c r="CC886" s="27" t="s">
        <v>8</v>
      </c>
      <c r="CI886" s="27" t="s">
        <v>8</v>
      </c>
      <c r="CK886" s="27" t="s">
        <v>8</v>
      </c>
      <c r="CL886" s="27" t="s">
        <v>7</v>
      </c>
      <c r="CM886" s="27" t="s">
        <v>8</v>
      </c>
      <c r="CN886" s="27" t="s">
        <v>7</v>
      </c>
      <c r="CO886" s="27" t="s">
        <v>8</v>
      </c>
      <c r="CP886" s="27" t="s">
        <v>7</v>
      </c>
      <c r="CQ886" s="27" t="s">
        <v>8</v>
      </c>
      <c r="CR886" s="27" t="s">
        <v>7</v>
      </c>
      <c r="CW886" s="27" t="s">
        <v>8</v>
      </c>
      <c r="CX886" s="27" t="s">
        <v>7</v>
      </c>
      <c r="CY886" s="27" t="s">
        <v>8</v>
      </c>
      <c r="CZ886" s="27" t="s">
        <v>7</v>
      </c>
      <c r="DA886" s="27" t="s">
        <v>8</v>
      </c>
    </row>
    <row r="887" spans="1:113" x14ac:dyDescent="0.25">
      <c r="A887" s="7">
        <v>2.6299559319275965E-3</v>
      </c>
      <c r="B887"/>
      <c r="C887"/>
      <c r="D887"/>
      <c r="E887"/>
      <c r="F887" s="27" t="s">
        <v>7</v>
      </c>
      <c r="U887" s="27" t="s">
        <v>8</v>
      </c>
      <c r="V887" s="27" t="s">
        <v>7</v>
      </c>
      <c r="BI887" s="27" t="s">
        <v>8</v>
      </c>
      <c r="BJ887" s="27" t="s">
        <v>7</v>
      </c>
      <c r="BK887" s="27" t="s">
        <v>8</v>
      </c>
      <c r="BL887" s="27" t="s">
        <v>7</v>
      </c>
      <c r="BS887" s="27" t="s">
        <v>8</v>
      </c>
      <c r="BT887" s="27" t="s">
        <v>7</v>
      </c>
      <c r="BU887" s="27" t="s">
        <v>8</v>
      </c>
      <c r="BV887" s="27" t="s">
        <v>7</v>
      </c>
      <c r="CA887" s="27" t="s">
        <v>8</v>
      </c>
      <c r="CB887" s="27" t="s">
        <v>7</v>
      </c>
      <c r="CC887" s="27" t="s">
        <v>8</v>
      </c>
      <c r="CD887" s="27" t="s">
        <v>7</v>
      </c>
      <c r="CE887" s="27" t="s">
        <v>8</v>
      </c>
      <c r="CI887" s="27" t="s">
        <v>8</v>
      </c>
      <c r="CJ887" s="27" t="s">
        <v>7</v>
      </c>
      <c r="CK887" s="27" t="s">
        <v>8</v>
      </c>
      <c r="CL887" s="27" t="s">
        <v>7</v>
      </c>
      <c r="CM887" s="27" t="s">
        <v>8</v>
      </c>
      <c r="CN887" s="27" t="s">
        <v>7</v>
      </c>
      <c r="CO887" s="27" t="s">
        <v>8</v>
      </c>
      <c r="CP887" s="27" t="s">
        <v>7</v>
      </c>
      <c r="CR887" s="27" t="s">
        <v>7</v>
      </c>
      <c r="CU887" s="27" t="s">
        <v>8</v>
      </c>
      <c r="CW887" s="27" t="s">
        <v>8</v>
      </c>
      <c r="CX887" s="27" t="s">
        <v>7</v>
      </c>
      <c r="CY887" s="27" t="s">
        <v>8</v>
      </c>
      <c r="CZ887" s="27" t="s">
        <v>7</v>
      </c>
      <c r="DA887" s="27" t="s">
        <v>8</v>
      </c>
    </row>
    <row r="888" spans="1:113" x14ac:dyDescent="0.25">
      <c r="A888" s="7">
        <v>2.578388168556467E-3</v>
      </c>
      <c r="B888"/>
      <c r="C888"/>
      <c r="D888"/>
      <c r="E888"/>
      <c r="F888" s="27" t="s">
        <v>7</v>
      </c>
      <c r="U888" s="27" t="s">
        <v>8</v>
      </c>
      <c r="V888" s="27" t="s">
        <v>7</v>
      </c>
      <c r="BI888" s="27" t="s">
        <v>8</v>
      </c>
      <c r="BJ888" s="27" t="s">
        <v>7</v>
      </c>
      <c r="BK888" s="27" t="s">
        <v>8</v>
      </c>
      <c r="BL888" s="27" t="s">
        <v>7</v>
      </c>
      <c r="BM888" s="27" t="s">
        <v>8</v>
      </c>
      <c r="BS888" s="27" t="s">
        <v>8</v>
      </c>
      <c r="BT888" s="27" t="s">
        <v>7</v>
      </c>
      <c r="BU888" s="27" t="s">
        <v>8</v>
      </c>
      <c r="BV888" s="27" t="s">
        <v>7</v>
      </c>
      <c r="CA888" s="27" t="s">
        <v>8</v>
      </c>
      <c r="CB888" s="27" t="s">
        <v>7</v>
      </c>
      <c r="CC888" s="27" t="s">
        <v>8</v>
      </c>
      <c r="CD888" s="27" t="s">
        <v>7</v>
      </c>
      <c r="CE888" s="27" t="s">
        <v>8</v>
      </c>
      <c r="CF888" s="27" t="s">
        <v>7</v>
      </c>
      <c r="CI888" s="27" t="s">
        <v>8</v>
      </c>
      <c r="CJ888" s="27" t="s">
        <v>7</v>
      </c>
      <c r="CK888" s="27" t="s">
        <v>8</v>
      </c>
      <c r="CL888" s="27" t="s">
        <v>7</v>
      </c>
      <c r="CM888" s="27" t="s">
        <v>8</v>
      </c>
      <c r="CN888" s="27" t="s">
        <v>7</v>
      </c>
      <c r="CO888" s="27" t="s">
        <v>8</v>
      </c>
      <c r="CR888" s="27" t="s">
        <v>7</v>
      </c>
      <c r="CS888" s="27" t="s">
        <v>8</v>
      </c>
      <c r="CU888" s="27" t="s">
        <v>8</v>
      </c>
      <c r="CV888" s="27" t="s">
        <v>7</v>
      </c>
      <c r="CW888" s="27" t="s">
        <v>8</v>
      </c>
      <c r="CX888" s="27" t="s">
        <v>7</v>
      </c>
      <c r="CY888" s="27" t="s">
        <v>8</v>
      </c>
      <c r="CZ888" s="27" t="s">
        <v>7</v>
      </c>
      <c r="DA888" s="27" t="s">
        <v>8</v>
      </c>
    </row>
    <row r="889" spans="1:113" x14ac:dyDescent="0.25">
      <c r="A889" s="7">
        <v>2.5278315378004577E-3</v>
      </c>
      <c r="B889"/>
      <c r="C889"/>
      <c r="D889"/>
      <c r="E889"/>
      <c r="F889" s="27" t="s">
        <v>7</v>
      </c>
      <c r="U889" s="27" t="s">
        <v>8</v>
      </c>
      <c r="V889" s="27" t="s">
        <v>7</v>
      </c>
      <c r="AE889" s="27" t="s">
        <v>8</v>
      </c>
      <c r="BI889" s="27" t="s">
        <v>8</v>
      </c>
      <c r="BJ889" s="27" t="s">
        <v>7</v>
      </c>
      <c r="BK889" s="27" t="s">
        <v>8</v>
      </c>
      <c r="BL889" s="27" t="s">
        <v>7</v>
      </c>
      <c r="BM889" s="27" t="s">
        <v>8</v>
      </c>
      <c r="BN889" s="27" t="s">
        <v>7</v>
      </c>
      <c r="BS889" s="27" t="s">
        <v>8</v>
      </c>
      <c r="BT889" s="27" t="s">
        <v>7</v>
      </c>
      <c r="BU889" s="27" t="s">
        <v>8</v>
      </c>
      <c r="BV889" s="27" t="s">
        <v>7</v>
      </c>
      <c r="CA889" s="27" t="s">
        <v>8</v>
      </c>
      <c r="CB889" s="27" t="s">
        <v>7</v>
      </c>
      <c r="CC889" s="27" t="s">
        <v>8</v>
      </c>
      <c r="CD889" s="27" t="s">
        <v>7</v>
      </c>
      <c r="CE889" s="27" t="s">
        <v>8</v>
      </c>
      <c r="CF889" s="27" t="s">
        <v>7</v>
      </c>
      <c r="CG889" s="27" t="s">
        <v>8</v>
      </c>
      <c r="CI889" s="27" t="s">
        <v>8</v>
      </c>
      <c r="CJ889" s="27" t="s">
        <v>7</v>
      </c>
      <c r="CK889" s="27" t="s">
        <v>8</v>
      </c>
      <c r="CL889" s="27" t="s">
        <v>7</v>
      </c>
      <c r="CM889" s="27" t="s">
        <v>8</v>
      </c>
      <c r="CN889" s="27" t="s">
        <v>7</v>
      </c>
      <c r="CR889" s="27" t="s">
        <v>7</v>
      </c>
      <c r="CS889" s="27" t="s">
        <v>8</v>
      </c>
      <c r="CT889" s="27" t="s">
        <v>7</v>
      </c>
      <c r="CU889" s="27" t="s">
        <v>8</v>
      </c>
      <c r="CV889" s="27" t="s">
        <v>7</v>
      </c>
      <c r="CW889" s="27" t="s">
        <v>8</v>
      </c>
      <c r="CX889" s="27" t="s">
        <v>7</v>
      </c>
      <c r="CY889" s="27" t="s">
        <v>8</v>
      </c>
      <c r="CZ889" s="27" t="s">
        <v>7</v>
      </c>
      <c r="DA889" s="27" t="s">
        <v>8</v>
      </c>
    </row>
    <row r="890" spans="1:113" x14ac:dyDescent="0.25">
      <c r="A890" s="7">
        <v>2.4782662135298603E-3</v>
      </c>
      <c r="B890"/>
      <c r="C890"/>
      <c r="D890"/>
      <c r="E890"/>
      <c r="F890" s="27" t="s">
        <v>7</v>
      </c>
      <c r="U890" s="27" t="s">
        <v>8</v>
      </c>
      <c r="V890" s="27" t="s">
        <v>7</v>
      </c>
      <c r="AE890" s="27" t="s">
        <v>8</v>
      </c>
      <c r="AF890" s="27" t="s">
        <v>7</v>
      </c>
      <c r="BG890" s="27" t="s">
        <v>8</v>
      </c>
      <c r="BI890" s="27" t="s">
        <v>8</v>
      </c>
      <c r="BJ890" s="27" t="s">
        <v>7</v>
      </c>
      <c r="BK890" s="27" t="s">
        <v>8</v>
      </c>
      <c r="BL890" s="27" t="s">
        <v>7</v>
      </c>
      <c r="BM890" s="27" t="s">
        <v>8</v>
      </c>
      <c r="BN890" s="27" t="s">
        <v>7</v>
      </c>
      <c r="BS890" s="27" t="s">
        <v>8</v>
      </c>
      <c r="BT890" s="27" t="s">
        <v>7</v>
      </c>
      <c r="BU890" s="27" t="s">
        <v>8</v>
      </c>
      <c r="BV890" s="27" t="s">
        <v>7</v>
      </c>
      <c r="CA890" s="27" t="s">
        <v>8</v>
      </c>
      <c r="CB890" s="27" t="s">
        <v>7</v>
      </c>
      <c r="CC890" s="27" t="s">
        <v>8</v>
      </c>
      <c r="CD890" s="27" t="s">
        <v>7</v>
      </c>
      <c r="CE890" s="27" t="s">
        <v>8</v>
      </c>
      <c r="CF890" s="27" t="s">
        <v>7</v>
      </c>
      <c r="CG890" s="27" t="s">
        <v>8</v>
      </c>
      <c r="CH890" s="27" t="s">
        <v>7</v>
      </c>
      <c r="CI890" s="27" t="s">
        <v>8</v>
      </c>
      <c r="CJ890" s="27" t="s">
        <v>7</v>
      </c>
      <c r="CK890" s="27" t="s">
        <v>8</v>
      </c>
      <c r="CL890" s="27" t="s">
        <v>7</v>
      </c>
      <c r="CM890" s="27" t="s">
        <v>8</v>
      </c>
      <c r="CR890" s="27" t="s">
        <v>7</v>
      </c>
      <c r="CS890" s="27" t="s">
        <v>8</v>
      </c>
      <c r="CT890" s="27" t="s">
        <v>7</v>
      </c>
      <c r="CU890" s="27" t="s">
        <v>8</v>
      </c>
      <c r="CV890" s="27" t="s">
        <v>7</v>
      </c>
      <c r="CW890" s="27" t="s">
        <v>8</v>
      </c>
      <c r="CX890" s="27" t="s">
        <v>7</v>
      </c>
      <c r="CY890" s="27" t="s">
        <v>8</v>
      </c>
      <c r="CZ890" s="27" t="s">
        <v>7</v>
      </c>
    </row>
    <row r="891" spans="1:113" x14ac:dyDescent="0.25">
      <c r="A891" s="7">
        <v>2.4296727583626083E-3</v>
      </c>
      <c r="B891"/>
      <c r="C891"/>
      <c r="D891"/>
      <c r="E891"/>
      <c r="F891" s="27" t="s">
        <v>7</v>
      </c>
      <c r="U891" s="27" t="s">
        <v>8</v>
      </c>
      <c r="V891" s="27" t="s">
        <v>7</v>
      </c>
      <c r="Y891" s="27" t="s">
        <v>8</v>
      </c>
      <c r="AE891" s="27" t="s">
        <v>8</v>
      </c>
      <c r="AF891" s="27" t="s">
        <v>7</v>
      </c>
      <c r="AG891" s="27" t="s">
        <v>8</v>
      </c>
      <c r="BG891" s="27" t="s">
        <v>8</v>
      </c>
      <c r="BH891" s="27" t="s">
        <v>7</v>
      </c>
      <c r="BI891" s="27" t="s">
        <v>8</v>
      </c>
      <c r="BJ891" s="27" t="s">
        <v>7</v>
      </c>
      <c r="BK891" s="27" t="s">
        <v>8</v>
      </c>
      <c r="BL891" s="27" t="s">
        <v>7</v>
      </c>
      <c r="BM891" s="27" t="s">
        <v>8</v>
      </c>
      <c r="BN891" s="27" t="s">
        <v>7</v>
      </c>
      <c r="BO891" s="27" t="s">
        <v>8</v>
      </c>
      <c r="BS891" s="27" t="s">
        <v>8</v>
      </c>
      <c r="BT891" s="27" t="s">
        <v>7</v>
      </c>
      <c r="BU891" s="27" t="s">
        <v>8</v>
      </c>
      <c r="BV891" s="27" t="s">
        <v>7</v>
      </c>
      <c r="CA891" s="27" t="s">
        <v>8</v>
      </c>
      <c r="CB891" s="27" t="s">
        <v>7</v>
      </c>
      <c r="CC891" s="27" t="s">
        <v>8</v>
      </c>
      <c r="CD891" s="27" t="s">
        <v>7</v>
      </c>
      <c r="CE891" s="27" t="s">
        <v>8</v>
      </c>
      <c r="CF891" s="27" t="s">
        <v>7</v>
      </c>
      <c r="CG891" s="27" t="s">
        <v>8</v>
      </c>
      <c r="CH891" s="27" t="s">
        <v>7</v>
      </c>
      <c r="CI891" s="27" t="s">
        <v>8</v>
      </c>
      <c r="CJ891" s="27" t="s">
        <v>7</v>
      </c>
      <c r="CK891" s="27" t="s">
        <v>8</v>
      </c>
      <c r="CL891" s="27" t="s">
        <v>7</v>
      </c>
      <c r="CR891" s="27" t="s">
        <v>7</v>
      </c>
      <c r="CS891" s="27" t="s">
        <v>8</v>
      </c>
      <c r="CT891" s="27" t="s">
        <v>7</v>
      </c>
      <c r="CU891" s="27" t="s">
        <v>8</v>
      </c>
      <c r="CV891" s="27" t="s">
        <v>7</v>
      </c>
      <c r="CX891" s="27" t="s">
        <v>7</v>
      </c>
      <c r="CY891" s="27" t="s">
        <v>8</v>
      </c>
    </row>
    <row r="892" spans="1:113" x14ac:dyDescent="0.25">
      <c r="A892" s="7">
        <v>2.3820321160417726E-3</v>
      </c>
      <c r="B892"/>
      <c r="C892"/>
      <c r="D892"/>
      <c r="E892"/>
      <c r="F892" s="27" t="s">
        <v>7</v>
      </c>
      <c r="U892" s="27" t="s">
        <v>8</v>
      </c>
      <c r="V892" s="27" t="s">
        <v>7</v>
      </c>
      <c r="Y892" s="27" t="s">
        <v>8</v>
      </c>
      <c r="Z892" s="27" t="s">
        <v>7</v>
      </c>
      <c r="AE892" s="27" t="s">
        <v>8</v>
      </c>
      <c r="AF892" s="27" t="s">
        <v>7</v>
      </c>
      <c r="AG892" s="27" t="s">
        <v>8</v>
      </c>
      <c r="AH892" s="27" t="s">
        <v>7</v>
      </c>
      <c r="AS892" s="27" t="s">
        <v>8</v>
      </c>
      <c r="BG892" s="27" t="s">
        <v>8</v>
      </c>
      <c r="BH892" s="27" t="s">
        <v>7</v>
      </c>
      <c r="BI892" s="27" t="s">
        <v>8</v>
      </c>
      <c r="BJ892" s="27" t="s">
        <v>7</v>
      </c>
      <c r="BK892" s="27" t="s">
        <v>8</v>
      </c>
      <c r="BL892" s="27" t="s">
        <v>7</v>
      </c>
      <c r="BM892" s="27" t="s">
        <v>8</v>
      </c>
      <c r="BN892" s="27" t="s">
        <v>7</v>
      </c>
      <c r="BO892" s="27" t="s">
        <v>8</v>
      </c>
      <c r="BP892" s="27" t="s">
        <v>7</v>
      </c>
      <c r="BQ892" s="27" t="s">
        <v>8</v>
      </c>
      <c r="BS892" s="27" t="s">
        <v>8</v>
      </c>
      <c r="BT892" s="27" t="s">
        <v>7</v>
      </c>
      <c r="BU892" s="27" t="s">
        <v>8</v>
      </c>
      <c r="BV892" s="27" t="s">
        <v>7</v>
      </c>
      <c r="CA892" s="27" t="s">
        <v>8</v>
      </c>
      <c r="CB892" s="27" t="s">
        <v>7</v>
      </c>
      <c r="CC892" s="27" t="s">
        <v>8</v>
      </c>
      <c r="CD892" s="27" t="s">
        <v>7</v>
      </c>
      <c r="CE892" s="27" t="s">
        <v>8</v>
      </c>
      <c r="CF892" s="27" t="s">
        <v>7</v>
      </c>
      <c r="CG892" s="27" t="s">
        <v>8</v>
      </c>
      <c r="CH892" s="27" t="s">
        <v>7</v>
      </c>
      <c r="CI892" s="27" t="s">
        <v>8</v>
      </c>
      <c r="CJ892" s="27" t="s">
        <v>7</v>
      </c>
      <c r="CK892" s="27" t="s">
        <v>8</v>
      </c>
      <c r="CR892" s="27" t="s">
        <v>7</v>
      </c>
      <c r="CS892" s="27" t="s">
        <v>8</v>
      </c>
      <c r="CT892" s="27" t="s">
        <v>7</v>
      </c>
      <c r="CU892" s="27" t="s">
        <v>8</v>
      </c>
      <c r="CX892" s="27" t="s">
        <v>7</v>
      </c>
      <c r="CY892" s="27" t="s">
        <v>8</v>
      </c>
    </row>
    <row r="893" spans="1:113" x14ac:dyDescent="0.25">
      <c r="A893" s="7">
        <v>2.3353256039625224E-3</v>
      </c>
      <c r="B893"/>
      <c r="C893"/>
      <c r="D893"/>
      <c r="E893"/>
      <c r="F893" s="27" t="s">
        <v>7</v>
      </c>
      <c r="U893" s="27" t="s">
        <v>8</v>
      </c>
      <c r="V893" s="27" t="s">
        <v>7</v>
      </c>
      <c r="Y893" s="27" t="s">
        <v>8</v>
      </c>
      <c r="Z893" s="27" t="s">
        <v>7</v>
      </c>
      <c r="AE893" s="27" t="s">
        <v>8</v>
      </c>
      <c r="AF893" s="27" t="s">
        <v>7</v>
      </c>
      <c r="AG893" s="27" t="s">
        <v>8</v>
      </c>
      <c r="AH893" s="27" t="s">
        <v>7</v>
      </c>
      <c r="AI893" s="27" t="s">
        <v>8</v>
      </c>
      <c r="AO893" s="27" t="s">
        <v>8</v>
      </c>
      <c r="AQ893" s="27" t="s">
        <v>8</v>
      </c>
      <c r="AS893" s="27" t="s">
        <v>8</v>
      </c>
      <c r="AT893" s="27" t="s">
        <v>7</v>
      </c>
      <c r="BG893" s="27" t="s">
        <v>8</v>
      </c>
      <c r="BH893" s="27" t="s">
        <v>7</v>
      </c>
      <c r="BI893" s="27" t="s">
        <v>8</v>
      </c>
      <c r="BJ893" s="27" t="s">
        <v>7</v>
      </c>
      <c r="BK893" s="27" t="s">
        <v>8</v>
      </c>
      <c r="BL893" s="27" t="s">
        <v>7</v>
      </c>
      <c r="BN893" s="27" t="s">
        <v>7</v>
      </c>
      <c r="BO893" s="27" t="s">
        <v>8</v>
      </c>
      <c r="BP893" s="27" t="s">
        <v>7</v>
      </c>
      <c r="BQ893" s="27" t="s">
        <v>8</v>
      </c>
      <c r="BR893" s="27" t="s">
        <v>7</v>
      </c>
      <c r="BS893" s="27" t="s">
        <v>8</v>
      </c>
      <c r="BT893" s="27" t="s">
        <v>7</v>
      </c>
      <c r="BU893" s="27" t="s">
        <v>8</v>
      </c>
      <c r="BV893" s="27" t="s">
        <v>7</v>
      </c>
      <c r="CA893" s="27" t="s">
        <v>8</v>
      </c>
      <c r="CB893" s="27" t="s">
        <v>7</v>
      </c>
      <c r="CC893" s="27" t="s">
        <v>8</v>
      </c>
      <c r="CD893" s="27" t="s">
        <v>7</v>
      </c>
      <c r="CE893" s="27" t="s">
        <v>8</v>
      </c>
      <c r="CF893" s="27" t="s">
        <v>7</v>
      </c>
      <c r="CG893" s="27" t="s">
        <v>8</v>
      </c>
      <c r="CH893" s="27" t="s">
        <v>7</v>
      </c>
      <c r="CJ893" s="27" t="s">
        <v>7</v>
      </c>
      <c r="CK893" s="27" t="s">
        <v>8</v>
      </c>
      <c r="CR893" s="27" t="s">
        <v>7</v>
      </c>
      <c r="CT893" s="27" t="s">
        <v>7</v>
      </c>
      <c r="CU893" s="27" t="s">
        <v>8</v>
      </c>
      <c r="CX893" s="27" t="s">
        <v>7</v>
      </c>
      <c r="CY893" s="27" t="s">
        <v>8</v>
      </c>
    </row>
    <row r="894" spans="1:113" x14ac:dyDescent="0.25">
      <c r="A894" s="7">
        <v>2.2895349058456101E-3</v>
      </c>
      <c r="B894"/>
      <c r="C894"/>
      <c r="D894"/>
      <c r="E894"/>
      <c r="F894" s="27" t="s">
        <v>7</v>
      </c>
      <c r="U894" s="27" t="s">
        <v>8</v>
      </c>
      <c r="V894" s="27" t="s">
        <v>7</v>
      </c>
      <c r="Y894" s="27" t="s">
        <v>8</v>
      </c>
      <c r="Z894" s="27" t="s">
        <v>7</v>
      </c>
      <c r="AA894" s="27" t="s">
        <v>8</v>
      </c>
      <c r="AE894" s="27" t="s">
        <v>8</v>
      </c>
      <c r="AF894" s="27" t="s">
        <v>7</v>
      </c>
      <c r="AG894" s="27" t="s">
        <v>8</v>
      </c>
      <c r="AH894" s="27" t="s">
        <v>7</v>
      </c>
      <c r="AI894" s="27" t="s">
        <v>8</v>
      </c>
      <c r="AJ894" s="27" t="s">
        <v>7</v>
      </c>
      <c r="AM894" s="27" t="s">
        <v>8</v>
      </c>
      <c r="AO894" s="27" t="s">
        <v>8</v>
      </c>
      <c r="AP894" s="27" t="s">
        <v>7</v>
      </c>
      <c r="AQ894" s="27" t="s">
        <v>8</v>
      </c>
      <c r="AR894" s="27" t="s">
        <v>7</v>
      </c>
      <c r="AS894" s="27" t="s">
        <v>8</v>
      </c>
      <c r="AT894" s="27" t="s">
        <v>7</v>
      </c>
      <c r="BG894" s="27" t="s">
        <v>8</v>
      </c>
      <c r="BH894" s="27" t="s">
        <v>7</v>
      </c>
      <c r="BI894" s="27" t="s">
        <v>8</v>
      </c>
      <c r="BJ894" s="27" t="s">
        <v>7</v>
      </c>
      <c r="BK894" s="27" t="s">
        <v>8</v>
      </c>
      <c r="BN894" s="27" t="s">
        <v>7</v>
      </c>
      <c r="BO894" s="27" t="s">
        <v>8</v>
      </c>
      <c r="BP894" s="27" t="s">
        <v>7</v>
      </c>
      <c r="BQ894" s="27" t="s">
        <v>8</v>
      </c>
      <c r="BR894" s="27" t="s">
        <v>7</v>
      </c>
      <c r="BS894" s="27" t="s">
        <v>8</v>
      </c>
      <c r="BT894" s="27" t="s">
        <v>7</v>
      </c>
      <c r="BU894" s="27" t="s">
        <v>8</v>
      </c>
      <c r="BV894" s="27" t="s">
        <v>7</v>
      </c>
      <c r="CA894" s="27" t="s">
        <v>8</v>
      </c>
      <c r="CB894" s="27" t="s">
        <v>7</v>
      </c>
      <c r="CC894" s="27" t="s">
        <v>8</v>
      </c>
      <c r="CD894" s="27" t="s">
        <v>7</v>
      </c>
      <c r="CE894" s="27" t="s">
        <v>8</v>
      </c>
      <c r="CF894" s="27" t="s">
        <v>7</v>
      </c>
      <c r="CG894" s="27" t="s">
        <v>8</v>
      </c>
      <c r="CJ894" s="27" t="s">
        <v>7</v>
      </c>
      <c r="CK894" s="27" t="s">
        <v>8</v>
      </c>
      <c r="CT894" s="27" t="s">
        <v>7</v>
      </c>
      <c r="CX894" s="27" t="s">
        <v>7</v>
      </c>
      <c r="CY894" s="27" t="s">
        <v>8</v>
      </c>
    </row>
    <row r="895" spans="1:113" x14ac:dyDescent="0.25">
      <c r="A895" s="7">
        <v>2.24464206455452E-3</v>
      </c>
      <c r="B895"/>
      <c r="C895"/>
      <c r="D895"/>
      <c r="E895"/>
      <c r="F895" s="27" t="s">
        <v>7</v>
      </c>
      <c r="U895" s="27" t="s">
        <v>8</v>
      </c>
      <c r="V895" s="27" t="s">
        <v>7</v>
      </c>
      <c r="Y895" s="27" t="s">
        <v>8</v>
      </c>
      <c r="Z895" s="27" t="s">
        <v>7</v>
      </c>
      <c r="AA895" s="27" t="s">
        <v>8</v>
      </c>
      <c r="AB895" s="27" t="s">
        <v>7</v>
      </c>
      <c r="AE895" s="27" t="s">
        <v>8</v>
      </c>
      <c r="AF895" s="27" t="s">
        <v>7</v>
      </c>
      <c r="AG895" s="27" t="s">
        <v>8</v>
      </c>
      <c r="AH895" s="27" t="s">
        <v>7</v>
      </c>
      <c r="AI895" s="27" t="s">
        <v>8</v>
      </c>
      <c r="AJ895" s="27" t="s">
        <v>7</v>
      </c>
      <c r="AM895" s="27" t="s">
        <v>8</v>
      </c>
      <c r="AN895" s="27" t="s">
        <v>7</v>
      </c>
      <c r="AO895" s="27" t="s">
        <v>8</v>
      </c>
      <c r="AP895" s="27" t="s">
        <v>7</v>
      </c>
      <c r="AQ895" s="27" t="s">
        <v>8</v>
      </c>
      <c r="AR895" s="27" t="s">
        <v>7</v>
      </c>
      <c r="AS895" s="27" t="s">
        <v>8</v>
      </c>
      <c r="AT895" s="27" t="s">
        <v>7</v>
      </c>
      <c r="AW895" s="27" t="s">
        <v>8</v>
      </c>
      <c r="BG895" s="27" t="s">
        <v>8</v>
      </c>
      <c r="BH895" s="27" t="s">
        <v>7</v>
      </c>
      <c r="BI895" s="27" t="s">
        <v>8</v>
      </c>
      <c r="BJ895" s="27" t="s">
        <v>7</v>
      </c>
      <c r="BN895" s="27" t="s">
        <v>7</v>
      </c>
      <c r="BP895" s="27" t="s">
        <v>7</v>
      </c>
      <c r="BR895" s="27" t="s">
        <v>7</v>
      </c>
      <c r="BT895" s="27" t="s">
        <v>7</v>
      </c>
      <c r="BV895" s="27" t="s">
        <v>7</v>
      </c>
      <c r="CA895" s="27" t="s">
        <v>8</v>
      </c>
      <c r="CB895" s="27" t="s">
        <v>7</v>
      </c>
      <c r="CD895" s="27" t="s">
        <v>7</v>
      </c>
      <c r="CE895" s="27" t="s">
        <v>8</v>
      </c>
      <c r="CF895" s="27" t="s">
        <v>7</v>
      </c>
      <c r="CG895" s="27" t="s">
        <v>8</v>
      </c>
      <c r="CJ895" s="27" t="s">
        <v>7</v>
      </c>
      <c r="CK895" s="27" t="s">
        <v>8</v>
      </c>
      <c r="CX895" s="27" t="s">
        <v>7</v>
      </c>
      <c r="CY895" s="27" t="s">
        <v>8</v>
      </c>
    </row>
    <row r="896" spans="1:113" x14ac:dyDescent="0.25">
      <c r="A896" s="7">
        <v>2.200629475053451E-3</v>
      </c>
      <c r="B896"/>
      <c r="C896"/>
      <c r="D896"/>
      <c r="E896"/>
      <c r="F896" s="27" t="s">
        <v>7</v>
      </c>
      <c r="U896" s="27" t="s">
        <v>8</v>
      </c>
      <c r="V896" s="27" t="s">
        <v>7</v>
      </c>
      <c r="Y896" s="27" t="s">
        <v>8</v>
      </c>
      <c r="Z896" s="27" t="s">
        <v>7</v>
      </c>
      <c r="AA896" s="27" t="s">
        <v>8</v>
      </c>
      <c r="AB896" s="27" t="s">
        <v>7</v>
      </c>
      <c r="AE896" s="27" t="s">
        <v>8</v>
      </c>
      <c r="AF896" s="27" t="s">
        <v>7</v>
      </c>
      <c r="AG896" s="27" t="s">
        <v>8</v>
      </c>
      <c r="AH896" s="27" t="s">
        <v>7</v>
      </c>
      <c r="AI896" s="27" t="s">
        <v>8</v>
      </c>
      <c r="AJ896" s="27" t="s">
        <v>7</v>
      </c>
      <c r="AK896" s="27" t="s">
        <v>8</v>
      </c>
      <c r="AM896" s="27" t="s">
        <v>8</v>
      </c>
      <c r="AN896" s="27" t="s">
        <v>7</v>
      </c>
      <c r="AO896" s="27" t="s">
        <v>8</v>
      </c>
      <c r="AP896" s="27" t="s">
        <v>7</v>
      </c>
      <c r="AQ896" s="27" t="s">
        <v>8</v>
      </c>
      <c r="AR896" s="27" t="s">
        <v>7</v>
      </c>
      <c r="AS896" s="27" t="s">
        <v>8</v>
      </c>
      <c r="AT896" s="27" t="s">
        <v>7</v>
      </c>
      <c r="AW896" s="27" t="s">
        <v>8</v>
      </c>
      <c r="AX896" s="27" t="s">
        <v>7</v>
      </c>
      <c r="AY896" s="27" t="s">
        <v>8</v>
      </c>
      <c r="BG896" s="27" t="s">
        <v>8</v>
      </c>
      <c r="BH896" s="27" t="s">
        <v>7</v>
      </c>
      <c r="BI896" s="27" t="s">
        <v>8</v>
      </c>
      <c r="BV896" s="27" t="s">
        <v>7</v>
      </c>
      <c r="CA896" s="27" t="s">
        <v>8</v>
      </c>
      <c r="CD896" s="27" t="s">
        <v>7</v>
      </c>
      <c r="CF896" s="27" t="s">
        <v>7</v>
      </c>
      <c r="CG896" s="27" t="s">
        <v>8</v>
      </c>
      <c r="CJ896" s="27" t="s">
        <v>7</v>
      </c>
      <c r="CK896" s="27" t="s">
        <v>8</v>
      </c>
      <c r="CX896" s="27" t="s">
        <v>7</v>
      </c>
      <c r="CY896" s="27" t="s">
        <v>8</v>
      </c>
    </row>
    <row r="897" spans="1:103" x14ac:dyDescent="0.25">
      <c r="A897" s="7">
        <v>2.1574798775033832E-3</v>
      </c>
      <c r="B897"/>
      <c r="C897"/>
      <c r="D897"/>
      <c r="E897"/>
      <c r="F897" s="27" t="s">
        <v>7</v>
      </c>
      <c r="U897" s="27" t="s">
        <v>8</v>
      </c>
      <c r="V897" s="27" t="s">
        <v>7</v>
      </c>
      <c r="W897" s="27" t="s">
        <v>8</v>
      </c>
      <c r="Y897" s="27" t="s">
        <v>8</v>
      </c>
      <c r="Z897" s="27" t="s">
        <v>7</v>
      </c>
      <c r="AA897" s="27" t="s">
        <v>8</v>
      </c>
      <c r="AB897" s="27" t="s">
        <v>7</v>
      </c>
      <c r="AE897" s="27" t="s">
        <v>8</v>
      </c>
      <c r="AF897" s="27" t="s">
        <v>7</v>
      </c>
      <c r="AG897" s="27" t="s">
        <v>8</v>
      </c>
      <c r="AH897" s="27" t="s">
        <v>7</v>
      </c>
      <c r="AJ897" s="27" t="s">
        <v>7</v>
      </c>
      <c r="AK897" s="27" t="s">
        <v>8</v>
      </c>
      <c r="AL897" s="27" t="s">
        <v>7</v>
      </c>
      <c r="AM897" s="27" t="s">
        <v>8</v>
      </c>
      <c r="AN897" s="27" t="s">
        <v>7</v>
      </c>
      <c r="AO897" s="27" t="s">
        <v>8</v>
      </c>
      <c r="AP897" s="27" t="s">
        <v>7</v>
      </c>
      <c r="AQ897" s="27" t="s">
        <v>8</v>
      </c>
      <c r="AR897" s="27" t="s">
        <v>7</v>
      </c>
      <c r="AS897" s="27" t="s">
        <v>8</v>
      </c>
      <c r="AT897" s="27" t="s">
        <v>7</v>
      </c>
      <c r="AW897" s="27" t="s">
        <v>8</v>
      </c>
      <c r="AX897" s="27" t="s">
        <v>7</v>
      </c>
      <c r="AY897" s="27" t="s">
        <v>8</v>
      </c>
      <c r="AZ897" s="27" t="s">
        <v>7</v>
      </c>
      <c r="BC897" s="27" t="s">
        <v>8</v>
      </c>
      <c r="BG897" s="27" t="s">
        <v>8</v>
      </c>
      <c r="BH897" s="27" t="s">
        <v>7</v>
      </c>
      <c r="BI897" s="27" t="s">
        <v>8</v>
      </c>
      <c r="BV897" s="27" t="s">
        <v>7</v>
      </c>
      <c r="BW897" s="27" t="s">
        <v>8</v>
      </c>
      <c r="CA897" s="27" t="s">
        <v>8</v>
      </c>
      <c r="CF897" s="27" t="s">
        <v>7</v>
      </c>
      <c r="CG897" s="27" t="s">
        <v>8</v>
      </c>
      <c r="CJ897" s="27" t="s">
        <v>7</v>
      </c>
      <c r="CK897" s="27" t="s">
        <v>8</v>
      </c>
      <c r="CX897" s="27" t="s">
        <v>7</v>
      </c>
      <c r="CY897" s="27" t="s">
        <v>8</v>
      </c>
    </row>
    <row r="898" spans="1:103" x14ac:dyDescent="0.25">
      <c r="A898" s="7">
        <v>2.115176350493513E-3</v>
      </c>
      <c r="B898"/>
      <c r="C898"/>
      <c r="D898"/>
      <c r="E898"/>
      <c r="F898" s="27" t="s">
        <v>7</v>
      </c>
      <c r="U898" s="27" t="s">
        <v>8</v>
      </c>
      <c r="V898" s="27" t="s">
        <v>7</v>
      </c>
      <c r="W898" s="27" t="s">
        <v>8</v>
      </c>
      <c r="X898" s="27" t="s">
        <v>7</v>
      </c>
      <c r="Y898" s="27" t="s">
        <v>8</v>
      </c>
      <c r="Z898" s="27" t="s">
        <v>7</v>
      </c>
      <c r="AA898" s="27" t="s">
        <v>8</v>
      </c>
      <c r="AB898" s="27" t="s">
        <v>7</v>
      </c>
      <c r="AE898" s="27" t="s">
        <v>8</v>
      </c>
      <c r="AF898" s="27" t="s">
        <v>7</v>
      </c>
      <c r="AG898" s="27" t="s">
        <v>8</v>
      </c>
      <c r="AJ898" s="27" t="s">
        <v>7</v>
      </c>
      <c r="AK898" s="27" t="s">
        <v>8</v>
      </c>
      <c r="AL898" s="27" t="s">
        <v>7</v>
      </c>
      <c r="AM898" s="27" t="s">
        <v>8</v>
      </c>
      <c r="AN898" s="27" t="s">
        <v>7</v>
      </c>
      <c r="AO898" s="27" t="s">
        <v>8</v>
      </c>
      <c r="AP898" s="27" t="s">
        <v>7</v>
      </c>
      <c r="AQ898" s="27" t="s">
        <v>8</v>
      </c>
      <c r="AR898" s="27" t="s">
        <v>7</v>
      </c>
      <c r="AS898" s="27" t="s">
        <v>8</v>
      </c>
      <c r="AT898" s="27" t="s">
        <v>7</v>
      </c>
      <c r="AW898" s="27" t="s">
        <v>8</v>
      </c>
      <c r="AX898" s="27" t="s">
        <v>7</v>
      </c>
      <c r="AY898" s="27" t="s">
        <v>8</v>
      </c>
      <c r="AZ898" s="27" t="s">
        <v>7</v>
      </c>
      <c r="BA898" s="27" t="s">
        <v>8</v>
      </c>
      <c r="BC898" s="27" t="s">
        <v>8</v>
      </c>
      <c r="BD898" s="27" t="s">
        <v>7</v>
      </c>
      <c r="BG898" s="27" t="s">
        <v>8</v>
      </c>
      <c r="BH898" s="27" t="s">
        <v>7</v>
      </c>
      <c r="BI898" s="27" t="s">
        <v>8</v>
      </c>
      <c r="BV898" s="27" t="s">
        <v>7</v>
      </c>
      <c r="BW898" s="27" t="s">
        <v>8</v>
      </c>
      <c r="BX898" s="27" t="s">
        <v>7</v>
      </c>
      <c r="BY898" s="27" t="s">
        <v>8</v>
      </c>
      <c r="CA898" s="27" t="s">
        <v>8</v>
      </c>
      <c r="CF898" s="27" t="s">
        <v>7</v>
      </c>
      <c r="CG898" s="27" t="s">
        <v>8</v>
      </c>
      <c r="CJ898" s="27" t="s">
        <v>7</v>
      </c>
      <c r="CK898" s="27" t="s">
        <v>8</v>
      </c>
      <c r="CX898" s="27" t="s">
        <v>7</v>
      </c>
    </row>
    <row r="899" spans="1:103" x14ac:dyDescent="0.25">
      <c r="A899" s="7">
        <v>2.0737023044054047E-3</v>
      </c>
      <c r="B899"/>
      <c r="C899"/>
      <c r="D899"/>
      <c r="E899"/>
      <c r="F899" s="27" t="s">
        <v>7</v>
      </c>
      <c r="U899" s="27" t="s">
        <v>8</v>
      </c>
      <c r="V899" s="27" t="s">
        <v>7</v>
      </c>
      <c r="W899" s="27" t="s">
        <v>8</v>
      </c>
      <c r="X899" s="27" t="s">
        <v>7</v>
      </c>
      <c r="Y899" s="27" t="s">
        <v>8</v>
      </c>
      <c r="Z899" s="27" t="s">
        <v>7</v>
      </c>
      <c r="AA899" s="27" t="s">
        <v>8</v>
      </c>
      <c r="AB899" s="27" t="s">
        <v>7</v>
      </c>
      <c r="AE899" s="27" t="s">
        <v>8</v>
      </c>
      <c r="AF899" s="27" t="s">
        <v>7</v>
      </c>
      <c r="AJ899" s="27" t="s">
        <v>7</v>
      </c>
      <c r="AL899" s="27" t="s">
        <v>7</v>
      </c>
      <c r="AN899" s="27" t="s">
        <v>7</v>
      </c>
      <c r="AP899" s="27" t="s">
        <v>7</v>
      </c>
      <c r="AR899" s="27" t="s">
        <v>7</v>
      </c>
      <c r="AT899" s="27" t="s">
        <v>7</v>
      </c>
      <c r="AW899" s="27" t="s">
        <v>8</v>
      </c>
      <c r="AX899" s="27" t="s">
        <v>7</v>
      </c>
      <c r="AZ899" s="27" t="s">
        <v>7</v>
      </c>
      <c r="BA899" s="27" t="s">
        <v>8</v>
      </c>
      <c r="BB899" s="27" t="s">
        <v>7</v>
      </c>
      <c r="BC899" s="27" t="s">
        <v>8</v>
      </c>
      <c r="BD899" s="27" t="s">
        <v>7</v>
      </c>
      <c r="BG899" s="27" t="s">
        <v>8</v>
      </c>
      <c r="BH899" s="27" t="s">
        <v>7</v>
      </c>
      <c r="BI899" s="27" t="s">
        <v>8</v>
      </c>
      <c r="BV899" s="27" t="s">
        <v>7</v>
      </c>
      <c r="BW899" s="27" t="s">
        <v>8</v>
      </c>
      <c r="BX899" s="27" t="s">
        <v>7</v>
      </c>
      <c r="BY899" s="27" t="s">
        <v>8</v>
      </c>
      <c r="BZ899" s="27" t="s">
        <v>7</v>
      </c>
      <c r="CA899" s="27" t="s">
        <v>8</v>
      </c>
      <c r="CF899" s="27" t="s">
        <v>7</v>
      </c>
      <c r="CG899" s="27" t="s">
        <v>8</v>
      </c>
      <c r="CJ899" s="27" t="s">
        <v>7</v>
      </c>
    </row>
    <row r="900" spans="1:103" x14ac:dyDescent="0.25">
      <c r="A900" s="7">
        <v>2.0330414749072595E-3</v>
      </c>
      <c r="B900"/>
      <c r="C900"/>
      <c r="D900"/>
      <c r="E900"/>
      <c r="F900" s="27" t="s">
        <v>7</v>
      </c>
      <c r="U900" s="27" t="s">
        <v>8</v>
      </c>
      <c r="V900" s="27" t="s">
        <v>7</v>
      </c>
      <c r="W900" s="27" t="s">
        <v>8</v>
      </c>
      <c r="X900" s="27" t="s">
        <v>7</v>
      </c>
      <c r="Y900" s="27" t="s">
        <v>8</v>
      </c>
      <c r="Z900" s="27" t="s">
        <v>7</v>
      </c>
      <c r="AA900" s="27" t="s">
        <v>8</v>
      </c>
      <c r="AB900" s="27" t="s">
        <v>7</v>
      </c>
      <c r="AE900" s="27" t="s">
        <v>8</v>
      </c>
      <c r="AT900" s="27" t="s">
        <v>7</v>
      </c>
      <c r="AU900" s="27" t="s">
        <v>8</v>
      </c>
      <c r="AW900" s="27" t="s">
        <v>8</v>
      </c>
      <c r="AZ900" s="27" t="s">
        <v>7</v>
      </c>
      <c r="BA900" s="27" t="s">
        <v>8</v>
      </c>
      <c r="BB900" s="27" t="s">
        <v>7</v>
      </c>
      <c r="BC900" s="27" t="s">
        <v>8</v>
      </c>
      <c r="BD900" s="27" t="s">
        <v>7</v>
      </c>
      <c r="BE900" s="27" t="s">
        <v>8</v>
      </c>
      <c r="BG900" s="27" t="s">
        <v>8</v>
      </c>
      <c r="BH900" s="27" t="s">
        <v>7</v>
      </c>
      <c r="BI900" s="27" t="s">
        <v>8</v>
      </c>
      <c r="BV900" s="27" t="s">
        <v>7</v>
      </c>
      <c r="BX900" s="27" t="s">
        <v>7</v>
      </c>
      <c r="BY900" s="27" t="s">
        <v>8</v>
      </c>
      <c r="BZ900" s="27" t="s">
        <v>7</v>
      </c>
      <c r="CA900" s="27" t="s">
        <v>8</v>
      </c>
      <c r="CF900" s="27" t="s">
        <v>7</v>
      </c>
      <c r="CG900" s="27" t="s">
        <v>8</v>
      </c>
    </row>
    <row r="901" spans="1:103" x14ac:dyDescent="0.25">
      <c r="A901" s="7">
        <v>1.9931779165757446E-3</v>
      </c>
      <c r="B901"/>
      <c r="C901"/>
      <c r="D901"/>
      <c r="E901"/>
      <c r="F901" s="27" t="s">
        <v>7</v>
      </c>
      <c r="O901" s="27" t="s">
        <v>8</v>
      </c>
      <c r="U901" s="27" t="s">
        <v>8</v>
      </c>
      <c r="V901" s="27" t="s">
        <v>7</v>
      </c>
      <c r="X901" s="27" t="s">
        <v>7</v>
      </c>
      <c r="Y901" s="27" t="s">
        <v>8</v>
      </c>
      <c r="Z901" s="27" t="s">
        <v>7</v>
      </c>
      <c r="AB901" s="27" t="s">
        <v>7</v>
      </c>
      <c r="AC901" s="27" t="s">
        <v>8</v>
      </c>
      <c r="AE901" s="27" t="s">
        <v>8</v>
      </c>
      <c r="AT901" s="27" t="s">
        <v>7</v>
      </c>
      <c r="AU901" s="27" t="s">
        <v>8</v>
      </c>
      <c r="AV901" s="27" t="s">
        <v>7</v>
      </c>
      <c r="AW901" s="27" t="s">
        <v>8</v>
      </c>
      <c r="AZ901" s="27" t="s">
        <v>7</v>
      </c>
      <c r="BA901" s="27" t="s">
        <v>8</v>
      </c>
      <c r="BB901" s="27" t="s">
        <v>7</v>
      </c>
      <c r="BC901" s="27" t="s">
        <v>8</v>
      </c>
      <c r="BD901" s="27" t="s">
        <v>7</v>
      </c>
      <c r="BE901" s="27" t="s">
        <v>8</v>
      </c>
      <c r="BF901" s="27" t="s">
        <v>7</v>
      </c>
      <c r="BG901" s="27" t="s">
        <v>8</v>
      </c>
      <c r="BH901" s="27" t="s">
        <v>7</v>
      </c>
      <c r="BX901" s="27" t="s">
        <v>7</v>
      </c>
      <c r="BY901" s="27" t="s">
        <v>8</v>
      </c>
      <c r="BZ901" s="27" t="s">
        <v>7</v>
      </c>
      <c r="CA901" s="27" t="s">
        <v>8</v>
      </c>
      <c r="CF901" s="27" t="s">
        <v>7</v>
      </c>
      <c r="CG901" s="27" t="s">
        <v>8</v>
      </c>
    </row>
    <row r="902" spans="1:103" x14ac:dyDescent="0.25">
      <c r="A902" s="7">
        <v>1.954095996642887E-3</v>
      </c>
      <c r="B902"/>
      <c r="C902"/>
      <c r="D902"/>
      <c r="E902"/>
      <c r="F902" s="27" t="s">
        <v>7</v>
      </c>
      <c r="O902" s="27" t="s">
        <v>8</v>
      </c>
      <c r="P902" s="27" t="s">
        <v>7</v>
      </c>
      <c r="U902" s="27" t="s">
        <v>8</v>
      </c>
      <c r="X902" s="27" t="s">
        <v>7</v>
      </c>
      <c r="Y902" s="27" t="s">
        <v>8</v>
      </c>
      <c r="AB902" s="27" t="s">
        <v>7</v>
      </c>
      <c r="AC902" s="27" t="s">
        <v>8</v>
      </c>
      <c r="AD902" s="27" t="s">
        <v>7</v>
      </c>
      <c r="AE902" s="27" t="s">
        <v>8</v>
      </c>
      <c r="AT902" s="27" t="s">
        <v>7</v>
      </c>
      <c r="AU902" s="27" t="s">
        <v>8</v>
      </c>
      <c r="AV902" s="27" t="s">
        <v>7</v>
      </c>
      <c r="AW902" s="27" t="s">
        <v>8</v>
      </c>
      <c r="AZ902" s="27" t="s">
        <v>7</v>
      </c>
      <c r="BA902" s="27" t="s">
        <v>8</v>
      </c>
      <c r="BB902" s="27" t="s">
        <v>7</v>
      </c>
      <c r="BC902" s="27" t="s">
        <v>8</v>
      </c>
      <c r="BD902" s="27" t="s">
        <v>7</v>
      </c>
      <c r="BE902" s="27" t="s">
        <v>8</v>
      </c>
      <c r="BF902" s="27" t="s">
        <v>7</v>
      </c>
      <c r="BG902" s="27" t="s">
        <v>8</v>
      </c>
      <c r="BX902" s="27" t="s">
        <v>7</v>
      </c>
      <c r="BZ902" s="27" t="s">
        <v>7</v>
      </c>
      <c r="CA902" s="27" t="s">
        <v>8</v>
      </c>
      <c r="CF902" s="27" t="s">
        <v>7</v>
      </c>
      <c r="CG902" s="27" t="s">
        <v>8</v>
      </c>
    </row>
    <row r="903" spans="1:103" x14ac:dyDescent="0.25">
      <c r="A903" s="7">
        <v>1.9157803888655755E-3</v>
      </c>
      <c r="B903"/>
      <c r="C903"/>
      <c r="D903"/>
      <c r="E903"/>
      <c r="F903" s="27" t="s">
        <v>7</v>
      </c>
      <c r="I903" s="27" t="s">
        <v>8</v>
      </c>
      <c r="O903" s="27" t="s">
        <v>8</v>
      </c>
      <c r="P903" s="27" t="s">
        <v>7</v>
      </c>
      <c r="U903" s="27" t="s">
        <v>8</v>
      </c>
      <c r="X903" s="27" t="s">
        <v>7</v>
      </c>
      <c r="Y903" s="27" t="s">
        <v>8</v>
      </c>
      <c r="AB903" s="27" t="s">
        <v>7</v>
      </c>
      <c r="AC903" s="27" t="s">
        <v>8</v>
      </c>
      <c r="AD903" s="27" t="s">
        <v>7</v>
      </c>
      <c r="AE903" s="27" t="s">
        <v>8</v>
      </c>
      <c r="AT903" s="27" t="s">
        <v>7</v>
      </c>
      <c r="AU903" s="27" t="s">
        <v>8</v>
      </c>
      <c r="AV903" s="27" t="s">
        <v>7</v>
      </c>
      <c r="AZ903" s="27" t="s">
        <v>7</v>
      </c>
      <c r="BA903" s="27" t="s">
        <v>8</v>
      </c>
      <c r="BB903" s="27" t="s">
        <v>7</v>
      </c>
      <c r="BC903" s="27" t="s">
        <v>8</v>
      </c>
      <c r="BD903" s="27" t="s">
        <v>7</v>
      </c>
      <c r="BF903" s="27" t="s">
        <v>7</v>
      </c>
      <c r="BZ903" s="27" t="s">
        <v>7</v>
      </c>
      <c r="CF903" s="27" t="s">
        <v>7</v>
      </c>
      <c r="CG903" s="27" t="s">
        <v>8</v>
      </c>
    </row>
    <row r="904" spans="1:103" x14ac:dyDescent="0.25">
      <c r="A904" s="7">
        <v>1.8782160675152703E-3</v>
      </c>
      <c r="B904"/>
      <c r="C904"/>
      <c r="D904"/>
      <c r="E904"/>
      <c r="F904" s="27" t="s">
        <v>7</v>
      </c>
      <c r="I904" s="27" t="s">
        <v>8</v>
      </c>
      <c r="J904" s="27" t="s">
        <v>7</v>
      </c>
      <c r="O904" s="27" t="s">
        <v>8</v>
      </c>
      <c r="P904" s="27" t="s">
        <v>7</v>
      </c>
      <c r="U904" s="27" t="s">
        <v>8</v>
      </c>
      <c r="X904" s="27" t="s">
        <v>7</v>
      </c>
      <c r="Y904" s="27" t="s">
        <v>8</v>
      </c>
      <c r="AB904" s="27" t="s">
        <v>7</v>
      </c>
      <c r="AD904" s="27" t="s">
        <v>7</v>
      </c>
      <c r="AE904" s="27" t="s">
        <v>8</v>
      </c>
      <c r="AT904" s="27" t="s">
        <v>7</v>
      </c>
      <c r="AU904" s="27" t="s">
        <v>8</v>
      </c>
      <c r="AZ904" s="27" t="s">
        <v>7</v>
      </c>
      <c r="BA904" s="27" t="s">
        <v>8</v>
      </c>
      <c r="BB904" s="27" t="s">
        <v>7</v>
      </c>
      <c r="BC904" s="27" t="s">
        <v>8</v>
      </c>
      <c r="CF904" s="27" t="s">
        <v>7</v>
      </c>
      <c r="CG904" s="27" t="s">
        <v>8</v>
      </c>
    </row>
    <row r="905" spans="1:103" x14ac:dyDescent="0.25">
      <c r="A905" s="7">
        <v>1.8413883014855592E-3</v>
      </c>
      <c r="B905"/>
      <c r="C905"/>
      <c r="D905"/>
      <c r="E905"/>
      <c r="F905" s="27" t="s">
        <v>7</v>
      </c>
      <c r="I905" s="27" t="s">
        <v>8</v>
      </c>
      <c r="J905" s="27" t="s">
        <v>7</v>
      </c>
      <c r="O905" s="27" t="s">
        <v>8</v>
      </c>
      <c r="P905" s="27" t="s">
        <v>7</v>
      </c>
      <c r="S905" s="27" t="s">
        <v>8</v>
      </c>
      <c r="U905" s="27" t="s">
        <v>8</v>
      </c>
      <c r="X905" s="27" t="s">
        <v>7</v>
      </c>
      <c r="Y905" s="27" t="s">
        <v>8</v>
      </c>
      <c r="AD905" s="27" t="s">
        <v>7</v>
      </c>
      <c r="AT905" s="27" t="s">
        <v>7</v>
      </c>
      <c r="AU905" s="27" t="s">
        <v>8</v>
      </c>
      <c r="AZ905" s="27" t="s">
        <v>7</v>
      </c>
      <c r="BA905" s="27" t="s">
        <v>8</v>
      </c>
      <c r="BB905" s="27" t="s">
        <v>7</v>
      </c>
      <c r="BC905" s="27" t="s">
        <v>8</v>
      </c>
      <c r="CF905" s="27" t="s">
        <v>7</v>
      </c>
      <c r="CG905" s="27" t="s">
        <v>8</v>
      </c>
    </row>
    <row r="906" spans="1:103" x14ac:dyDescent="0.25">
      <c r="A906" s="7">
        <v>1.8052826485152542E-3</v>
      </c>
      <c r="B906"/>
      <c r="C906"/>
      <c r="D906"/>
      <c r="E906"/>
      <c r="F906" s="27" t="s">
        <v>7</v>
      </c>
      <c r="I906" s="27" t="s">
        <v>8</v>
      </c>
      <c r="J906" s="27" t="s">
        <v>7</v>
      </c>
      <c r="K906" s="27" t="s">
        <v>8</v>
      </c>
      <c r="O906" s="27" t="s">
        <v>8</v>
      </c>
      <c r="P906" s="27" t="s">
        <v>7</v>
      </c>
      <c r="Q906" s="27" t="s">
        <v>8</v>
      </c>
      <c r="S906" s="27" t="s">
        <v>8</v>
      </c>
      <c r="T906" s="27" t="s">
        <v>7</v>
      </c>
      <c r="U906" s="27" t="s">
        <v>8</v>
      </c>
      <c r="X906" s="27" t="s">
        <v>7</v>
      </c>
      <c r="AT906" s="27" t="s">
        <v>7</v>
      </c>
      <c r="AU906" s="27" t="s">
        <v>8</v>
      </c>
      <c r="AZ906" s="27" t="s">
        <v>7</v>
      </c>
      <c r="BB906" s="27" t="s">
        <v>7</v>
      </c>
      <c r="CF906" s="27" t="s">
        <v>7</v>
      </c>
      <c r="CG906" s="27" t="s">
        <v>8</v>
      </c>
    </row>
    <row r="907" spans="1:103" x14ac:dyDescent="0.25">
      <c r="A907" s="7">
        <v>1.7698849495247592E-3</v>
      </c>
      <c r="B907"/>
      <c r="C907"/>
      <c r="D907"/>
      <c r="E907"/>
      <c r="F907" s="27" t="s">
        <v>7</v>
      </c>
      <c r="G907" s="27" t="s">
        <v>8</v>
      </c>
      <c r="I907" s="27" t="s">
        <v>8</v>
      </c>
      <c r="J907" s="27" t="s">
        <v>7</v>
      </c>
      <c r="K907" s="27" t="s">
        <v>8</v>
      </c>
      <c r="L907" s="27" t="s">
        <v>7</v>
      </c>
      <c r="M907" s="27" t="s">
        <v>8</v>
      </c>
      <c r="O907" s="27" t="s">
        <v>8</v>
      </c>
      <c r="P907" s="27" t="s">
        <v>7</v>
      </c>
      <c r="Q907" s="27" t="s">
        <v>8</v>
      </c>
      <c r="R907" s="27" t="s">
        <v>7</v>
      </c>
      <c r="S907" s="27" t="s">
        <v>8</v>
      </c>
      <c r="T907" s="27" t="s">
        <v>7</v>
      </c>
      <c r="U907" s="27" t="s">
        <v>8</v>
      </c>
      <c r="AT907" s="27" t="s">
        <v>7</v>
      </c>
      <c r="AU907" s="27" t="s">
        <v>8</v>
      </c>
      <c r="CF907" s="27" t="s">
        <v>7</v>
      </c>
      <c r="CG907" s="27" t="s">
        <v>8</v>
      </c>
    </row>
    <row r="908" spans="1:103" x14ac:dyDescent="0.25">
      <c r="A908" s="7">
        <v>1.7351813230634893E-3</v>
      </c>
      <c r="B908"/>
      <c r="C908"/>
      <c r="D908"/>
      <c r="E908"/>
      <c r="F908" s="27" t="s">
        <v>7</v>
      </c>
      <c r="G908" s="27" t="s">
        <v>8</v>
      </c>
      <c r="H908" s="27" t="s">
        <v>7</v>
      </c>
      <c r="I908" s="27" t="s">
        <v>8</v>
      </c>
      <c r="J908" s="27" t="s">
        <v>7</v>
      </c>
      <c r="K908" s="27" t="s">
        <v>8</v>
      </c>
      <c r="L908" s="27" t="s">
        <v>7</v>
      </c>
      <c r="M908" s="27" t="s">
        <v>8</v>
      </c>
      <c r="N908" s="27" t="s">
        <v>7</v>
      </c>
      <c r="O908" s="27" t="s">
        <v>8</v>
      </c>
      <c r="P908" s="27" t="s">
        <v>7</v>
      </c>
      <c r="Q908" s="27" t="s">
        <v>8</v>
      </c>
      <c r="R908" s="27" t="s">
        <v>7</v>
      </c>
      <c r="S908" s="27" t="s">
        <v>8</v>
      </c>
      <c r="T908" s="27" t="s">
        <v>7</v>
      </c>
      <c r="U908" s="27" t="s">
        <v>8</v>
      </c>
      <c r="AT908" s="27" t="s">
        <v>7</v>
      </c>
      <c r="AU908" s="27" t="s">
        <v>8</v>
      </c>
      <c r="CF908" s="27" t="s">
        <v>7</v>
      </c>
      <c r="CG908" s="27" t="s">
        <v>8</v>
      </c>
    </row>
    <row r="909" spans="1:103" x14ac:dyDescent="0.25">
      <c r="A909" s="7">
        <v>1.701158159866166E-3</v>
      </c>
      <c r="B909"/>
      <c r="C909"/>
      <c r="D909"/>
      <c r="E909"/>
      <c r="F909" s="27" t="s">
        <v>7</v>
      </c>
      <c r="G909" s="27" t="s">
        <v>8</v>
      </c>
      <c r="H909" s="27" t="s">
        <v>7</v>
      </c>
      <c r="I909" s="27" t="s">
        <v>8</v>
      </c>
      <c r="J909" s="27" t="s">
        <v>7</v>
      </c>
      <c r="K909" s="27" t="s">
        <v>8</v>
      </c>
      <c r="L909" s="27" t="s">
        <v>7</v>
      </c>
      <c r="M909" s="27" t="s">
        <v>8</v>
      </c>
      <c r="N909" s="27" t="s">
        <v>7</v>
      </c>
      <c r="O909" s="27" t="s">
        <v>8</v>
      </c>
      <c r="P909" s="27" t="s">
        <v>7</v>
      </c>
      <c r="Q909" s="27" t="s">
        <v>8</v>
      </c>
      <c r="R909" s="27" t="s">
        <v>7</v>
      </c>
      <c r="S909" s="27" t="s">
        <v>8</v>
      </c>
      <c r="T909" s="27" t="s">
        <v>7</v>
      </c>
      <c r="U909" s="27" t="s">
        <v>8</v>
      </c>
      <c r="AT909" s="27" t="s">
        <v>7</v>
      </c>
      <c r="CF909" s="27" t="s">
        <v>7</v>
      </c>
    </row>
    <row r="910" spans="1:103" x14ac:dyDescent="0.25">
      <c r="A910" s="7">
        <v>1.6678021175158492E-3</v>
      </c>
      <c r="B910"/>
      <c r="C910"/>
      <c r="D910"/>
      <c r="E910"/>
      <c r="F910" s="27" t="s">
        <v>7</v>
      </c>
      <c r="G910" s="27" t="s">
        <v>8</v>
      </c>
      <c r="H910" s="27" t="s">
        <v>7</v>
      </c>
      <c r="I910" s="27" t="s">
        <v>8</v>
      </c>
      <c r="J910" s="27" t="s">
        <v>7</v>
      </c>
      <c r="K910" s="27" t="s">
        <v>8</v>
      </c>
      <c r="L910" s="27" t="s">
        <v>7</v>
      </c>
      <c r="N910" s="27" t="s">
        <v>7</v>
      </c>
      <c r="P910" s="27" t="s">
        <v>7</v>
      </c>
      <c r="Q910" s="27" t="s">
        <v>8</v>
      </c>
      <c r="R910" s="27" t="s">
        <v>7</v>
      </c>
      <c r="T910" s="27" t="s">
        <v>7</v>
      </c>
      <c r="U910" s="27" t="s">
        <v>8</v>
      </c>
    </row>
    <row r="911" spans="1:103" x14ac:dyDescent="0.25">
      <c r="A911" s="7">
        <v>1.6351001152116167E-3</v>
      </c>
      <c r="B911"/>
      <c r="C911"/>
      <c r="D911"/>
      <c r="E911"/>
      <c r="F911" s="27" t="s">
        <v>7</v>
      </c>
      <c r="H911" s="27" t="s">
        <v>7</v>
      </c>
      <c r="I911" s="27" t="s">
        <v>8</v>
      </c>
      <c r="J911" s="27" t="s">
        <v>7</v>
      </c>
      <c r="P911" s="27" t="s">
        <v>7</v>
      </c>
      <c r="Q911" s="27" t="s">
        <v>8</v>
      </c>
      <c r="T911" s="27" t="s">
        <v>7</v>
      </c>
    </row>
    <row r="912" spans="1:103" x14ac:dyDescent="0.25">
      <c r="A912" s="7">
        <v>1.60303932863884E-3</v>
      </c>
      <c r="B912"/>
      <c r="C912"/>
      <c r="D912"/>
      <c r="E912"/>
      <c r="H912" s="27" t="s">
        <v>7</v>
      </c>
      <c r="I912" s="27" t="s">
        <v>8</v>
      </c>
      <c r="P912" s="27" t="s">
        <v>7</v>
      </c>
      <c r="Q912" s="27" t="s">
        <v>8</v>
      </c>
    </row>
    <row r="913" spans="1:17" x14ac:dyDescent="0.25">
      <c r="A913" s="7">
        <v>1.5716071849400392E-3</v>
      </c>
      <c r="B913"/>
      <c r="C913"/>
      <c r="D913"/>
      <c r="E913"/>
      <c r="H913" s="27" t="s">
        <v>7</v>
      </c>
      <c r="P913" s="27" t="s">
        <v>7</v>
      </c>
      <c r="Q913" s="27" t="s">
        <v>8</v>
      </c>
    </row>
    <row r="914" spans="1:17" x14ac:dyDescent="0.25">
      <c r="A914" s="7">
        <v>1.5407913577843522E-3</v>
      </c>
      <c r="B914"/>
      <c r="C914"/>
      <c r="D914"/>
      <c r="E914"/>
      <c r="P914" s="27" t="s">
        <v>7</v>
      </c>
      <c r="Q914" s="27" t="s">
        <v>8</v>
      </c>
    </row>
    <row r="915" spans="1:17" x14ac:dyDescent="0.25">
      <c r="A915" s="7">
        <v>1.5105797625336785E-3</v>
      </c>
      <c r="B915"/>
      <c r="C915"/>
      <c r="D915"/>
      <c r="E915"/>
      <c r="P915" s="27" t="s">
        <v>7</v>
      </c>
      <c r="Q915" s="27" t="s">
        <v>8</v>
      </c>
    </row>
    <row r="916" spans="1:17" x14ac:dyDescent="0.25">
      <c r="A916" s="7">
        <v>1.4809605515036064E-3</v>
      </c>
      <c r="B916"/>
      <c r="C916"/>
      <c r="D916"/>
      <c r="E916"/>
      <c r="P916" s="27" t="s">
        <v>7</v>
      </c>
      <c r="Q916" s="27" t="s">
        <v>8</v>
      </c>
    </row>
    <row r="917" spans="1:17" x14ac:dyDescent="0.25">
      <c r="A917" s="7">
        <v>1.4519221093172612E-3</v>
      </c>
      <c r="B917"/>
      <c r="C917"/>
      <c r="D917"/>
      <c r="E917"/>
      <c r="P917" s="27" t="s">
        <v>7</v>
      </c>
    </row>
    <row r="918" spans="1:17" x14ac:dyDescent="0.25">
      <c r="A918" s="7">
        <v>1.423453048350256E-3</v>
      </c>
      <c r="B918"/>
      <c r="C918"/>
      <c r="D918"/>
      <c r="E918"/>
    </row>
    <row r="919" spans="1:17" x14ac:dyDescent="0.25">
      <c r="A919" s="7">
        <v>1.3955422042649568E-3</v>
      </c>
      <c r="B919"/>
      <c r="C919"/>
      <c r="D919"/>
      <c r="E919"/>
    </row>
    <row r="920" spans="1:17" x14ac:dyDescent="0.25">
      <c r="A920" s="7">
        <v>1.3681786316323105E-3</v>
      </c>
      <c r="B920"/>
      <c r="C920"/>
      <c r="D920"/>
      <c r="E920"/>
    </row>
    <row r="921" spans="1:17" x14ac:dyDescent="0.25">
      <c r="A921" s="7">
        <v>1.3413515996395203E-3</v>
      </c>
      <c r="B921"/>
      <c r="C921"/>
      <c r="D921"/>
      <c r="E921"/>
    </row>
    <row r="922" spans="1:17" x14ac:dyDescent="0.25">
      <c r="A922" s="7">
        <v>1.3150505878818826E-3</v>
      </c>
      <c r="B922"/>
      <c r="C922"/>
      <c r="D922"/>
      <c r="E922"/>
    </row>
    <row r="923" spans="1:17" x14ac:dyDescent="0.25">
      <c r="A923" s="7">
        <v>1.2892652822371396E-3</v>
      </c>
      <c r="B923"/>
      <c r="C923"/>
      <c r="D923"/>
      <c r="E923"/>
    </row>
    <row r="924" spans="1:17" x14ac:dyDescent="0.25">
      <c r="A924" s="7">
        <v>1.2639855708207251E-3</v>
      </c>
      <c r="B924"/>
      <c r="C924"/>
      <c r="D924"/>
      <c r="E924"/>
    </row>
    <row r="925" spans="1:17" x14ac:dyDescent="0.25">
      <c r="A925" s="7">
        <v>1.2392015400203187E-3</v>
      </c>
      <c r="B925"/>
      <c r="C925"/>
      <c r="D925"/>
      <c r="E925"/>
    </row>
    <row r="926" spans="1:17" x14ac:dyDescent="0.25">
      <c r="A926" s="7">
        <v>1.2149034706081556E-3</v>
      </c>
      <c r="B926"/>
      <c r="C926"/>
      <c r="D926"/>
      <c r="E926"/>
    </row>
    <row r="927" spans="1:17" x14ac:dyDescent="0.25">
      <c r="A927" s="7">
        <v>1.1910818339295644E-3</v>
      </c>
      <c r="B927"/>
      <c r="C927"/>
      <c r="D927"/>
      <c r="E927"/>
    </row>
    <row r="928" spans="1:17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94" operator="equal">
      <formula>$U$1</formula>
    </cfRule>
    <cfRule type="cellIs" dxfId="89" priority="995" operator="equal">
      <formula>$S$1</formula>
    </cfRule>
  </conditionalFormatting>
  <conditionalFormatting sqref="D27">
    <cfRule type="cellIs" dxfId="88" priority="992" operator="equal">
      <formula>$S$1</formula>
    </cfRule>
    <cfRule type="cellIs" dxfId="87" priority="993" operator="equal">
      <formula>$U$1</formula>
    </cfRule>
  </conditionalFormatting>
  <conditionalFormatting sqref="C164">
    <cfRule type="cellIs" dxfId="86" priority="990" operator="equal">
      <formula>$U$1</formula>
    </cfRule>
    <cfRule type="cellIs" dxfId="85" priority="991" operator="equal">
      <formula>$S$1</formula>
    </cfRule>
  </conditionalFormatting>
  <conditionalFormatting sqref="D164">
    <cfRule type="cellIs" dxfId="84" priority="988" operator="equal">
      <formula>$S$1</formula>
    </cfRule>
    <cfRule type="cellIs" dxfId="83" priority="989" operator="equal">
      <formula>$U$1</formula>
    </cfRule>
  </conditionalFormatting>
  <conditionalFormatting sqref="C55">
    <cfRule type="cellIs" dxfId="82" priority="986" operator="equal">
      <formula>$U$1</formula>
    </cfRule>
    <cfRule type="cellIs" dxfId="81" priority="987" operator="equal">
      <formula>$S$1</formula>
    </cfRule>
  </conditionalFormatting>
  <conditionalFormatting sqref="D55">
    <cfRule type="cellIs" dxfId="80" priority="984" operator="equal">
      <formula>$S$1</formula>
    </cfRule>
    <cfRule type="cellIs" dxfId="79" priority="985" operator="equal">
      <formula>$U$1</formula>
    </cfRule>
  </conditionalFormatting>
  <conditionalFormatting sqref="C89">
    <cfRule type="cellIs" dxfId="78" priority="982" operator="equal">
      <formula>$U$1</formula>
    </cfRule>
    <cfRule type="cellIs" dxfId="77" priority="983" operator="equal">
      <formula>$S$1</formula>
    </cfRule>
  </conditionalFormatting>
  <conditionalFormatting sqref="D89">
    <cfRule type="cellIs" dxfId="76" priority="980" operator="equal">
      <formula>$S$1</formula>
    </cfRule>
    <cfRule type="cellIs" dxfId="75" priority="981" operator="equal">
      <formula>$U$1</formula>
    </cfRule>
  </conditionalFormatting>
  <conditionalFormatting sqref="C136">
    <cfRule type="cellIs" dxfId="74" priority="978" operator="equal">
      <formula>$U$1</formula>
    </cfRule>
    <cfRule type="cellIs" dxfId="73" priority="979" operator="equal">
      <formula>$S$1</formula>
    </cfRule>
  </conditionalFormatting>
  <conditionalFormatting sqref="D136">
    <cfRule type="cellIs" dxfId="72" priority="976" operator="equal">
      <formula>$S$1</formula>
    </cfRule>
    <cfRule type="cellIs" dxfId="71" priority="977" operator="equal">
      <formula>$U$1</formula>
    </cfRule>
  </conditionalFormatting>
  <conditionalFormatting sqref="C1">
    <cfRule type="cellIs" dxfId="70" priority="97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C337" sqref="FC33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$A$336</v>
      </c>
      <c r="D111" s="1" t="str">
        <f>ADDRESS(C121-1,D121,1,1)</f>
        <v>$FC$336</v>
      </c>
      <c r="E111"/>
    </row>
    <row r="112" spans="1:5" x14ac:dyDescent="0.25">
      <c r="A112" s="30">
        <v>515.50191262726139</v>
      </c>
      <c r="C112" s="1" t="str">
        <f>ADDRESS(C121,1,1,1)</f>
        <v>$A$337</v>
      </c>
      <c r="D112" s="1" t="str">
        <f>ADDRESS(C121,D121-1,1,1)</f>
        <v>$FB$337</v>
      </c>
      <c r="E112"/>
    </row>
    <row r="113" spans="1:5" x14ac:dyDescent="0.25">
      <c r="A113" s="30">
        <v>490.95420250215363</v>
      </c>
      <c r="C113" s="1" t="str">
        <f>ADDRESS(C121+1,1,1,1)</f>
        <v>$A$338</v>
      </c>
      <c r="D113" s="1" t="str">
        <f>ADDRESS(C121-1,D121+1,1,1)</f>
        <v>$FD$336</v>
      </c>
    </row>
    <row r="114" spans="1:5" x14ac:dyDescent="0.25">
      <c r="A114" s="30">
        <v>467.57543095443202</v>
      </c>
      <c r="C114" s="1" t="str">
        <f>ADDRESS(C121,D121,1,1)</f>
        <v>$FC$337</v>
      </c>
      <c r="D114" s="1" t="str">
        <f>ADDRESS(C121+1,D121+1,1,1)</f>
        <v>$FD$338</v>
      </c>
    </row>
    <row r="115" spans="1:5" x14ac:dyDescent="0.25">
      <c r="A115" s="30">
        <v>445.30993424231622</v>
      </c>
      <c r="C115" s="1" t="str">
        <f>ADDRESS(C121+1,D121,1,1)</f>
        <v>$FC$338</v>
      </c>
    </row>
    <row r="116" spans="1:5" x14ac:dyDescent="0.25">
      <c r="A116" s="30">
        <v>424.10469927839637</v>
      </c>
      <c r="C116" s="1">
        <f>C117-1</f>
        <v>336</v>
      </c>
    </row>
    <row r="117" spans="1:5" x14ac:dyDescent="0.25">
      <c r="A117" s="30">
        <v>403.9092374079965</v>
      </c>
      <c r="C117" s="1">
        <f>C121</f>
        <v>337</v>
      </c>
      <c r="D117" s="1">
        <f>D121</f>
        <v>159</v>
      </c>
    </row>
    <row r="118" spans="1:5" x14ac:dyDescent="0.25">
      <c r="A118" s="30">
        <v>384.6754641980919</v>
      </c>
      <c r="C118" s="1">
        <f>C117+1</f>
        <v>338</v>
      </c>
      <c r="D118" s="1">
        <f>D117+1</f>
        <v>160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337</v>
      </c>
      <c r="D121" s="19">
        <v>159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R337</v>
      </c>
      <c r="D123" s="1" t="str">
        <f>"C"&amp;D121</f>
        <v>C159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8.8031477337879808E-3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150" x14ac:dyDescent="0.25">
      <c r="A305" s="30">
        <v>4.1946483690970725E-2</v>
      </c>
      <c r="B305"/>
      <c r="C305"/>
      <c r="D305"/>
      <c r="E305"/>
      <c r="F305" s="27" t="s">
        <v>7</v>
      </c>
    </row>
    <row r="306" spans="1:150" x14ac:dyDescent="0.25">
      <c r="A306" s="30">
        <v>3.9949032086638768E-2</v>
      </c>
      <c r="B306"/>
      <c r="C306"/>
      <c r="D306"/>
      <c r="E306"/>
      <c r="F306" s="27" t="s">
        <v>7</v>
      </c>
      <c r="CC306" s="27" t="s">
        <v>8</v>
      </c>
      <c r="CM306" s="27" t="s">
        <v>8</v>
      </c>
    </row>
    <row r="307" spans="1:150" x14ac:dyDescent="0.25">
      <c r="A307" s="30">
        <v>3.8046697225370241E-2</v>
      </c>
      <c r="B307"/>
      <c r="C307"/>
      <c r="D307"/>
      <c r="E307"/>
      <c r="F307" s="27" t="s">
        <v>7</v>
      </c>
      <c r="CC307" s="27" t="s">
        <v>8</v>
      </c>
      <c r="CD307" s="27" t="s">
        <v>7</v>
      </c>
      <c r="CE307" s="27" t="s">
        <v>8</v>
      </c>
      <c r="CM307" s="27" t="s">
        <v>8</v>
      </c>
      <c r="CN307" s="27" t="s">
        <v>7</v>
      </c>
    </row>
    <row r="308" spans="1:150" x14ac:dyDescent="0.25">
      <c r="A308" s="30">
        <v>3.6234949738447833E-2</v>
      </c>
      <c r="B308"/>
      <c r="C308"/>
      <c r="D308"/>
      <c r="E308"/>
      <c r="F308" s="27" t="s">
        <v>7</v>
      </c>
      <c r="CC308" s="27" t="s">
        <v>8</v>
      </c>
      <c r="CD308" s="27" t="s">
        <v>7</v>
      </c>
      <c r="CE308" s="27" t="s">
        <v>8</v>
      </c>
      <c r="CF308" s="27" t="s">
        <v>7</v>
      </c>
      <c r="CI308" s="27" t="s">
        <v>8</v>
      </c>
      <c r="CM308" s="27" t="s">
        <v>8</v>
      </c>
      <c r="CN308" s="27" t="s">
        <v>7</v>
      </c>
    </row>
    <row r="309" spans="1:150" x14ac:dyDescent="0.25">
      <c r="A309" s="30">
        <v>3.4509475941378875E-2</v>
      </c>
      <c r="B309"/>
      <c r="C309"/>
      <c r="D309"/>
      <c r="E309"/>
      <c r="F309" s="27" t="s">
        <v>7</v>
      </c>
      <c r="CC309" s="27" t="s">
        <v>8</v>
      </c>
      <c r="CD309" s="27" t="s">
        <v>7</v>
      </c>
      <c r="CE309" s="27" t="s">
        <v>8</v>
      </c>
      <c r="CF309" s="27" t="s">
        <v>7</v>
      </c>
      <c r="CI309" s="27" t="s">
        <v>8</v>
      </c>
      <c r="CJ309" s="27" t="s">
        <v>7</v>
      </c>
      <c r="CM309" s="27" t="s">
        <v>8</v>
      </c>
      <c r="CN309" s="27" t="s">
        <v>7</v>
      </c>
    </row>
    <row r="310" spans="1:150" x14ac:dyDescent="0.25">
      <c r="A310" s="30">
        <v>3.286616756321796E-2</v>
      </c>
      <c r="B310"/>
      <c r="C310"/>
      <c r="D310"/>
      <c r="E310"/>
      <c r="F310" s="27" t="s">
        <v>7</v>
      </c>
      <c r="CC310" s="27" t="s">
        <v>8</v>
      </c>
      <c r="CD310" s="27" t="s">
        <v>7</v>
      </c>
      <c r="CE310" s="27" t="s">
        <v>8</v>
      </c>
      <c r="CF310" s="27" t="s">
        <v>7</v>
      </c>
      <c r="CI310" s="27" t="s">
        <v>8</v>
      </c>
      <c r="CJ310" s="27" t="s">
        <v>7</v>
      </c>
      <c r="CM310" s="27" t="s">
        <v>8</v>
      </c>
      <c r="CN310" s="27" t="s">
        <v>7</v>
      </c>
      <c r="DE310" s="27" t="s">
        <v>8</v>
      </c>
    </row>
    <row r="311" spans="1:150" x14ac:dyDescent="0.25">
      <c r="A311" s="30">
        <v>3.1301111964969472E-2</v>
      </c>
      <c r="B311"/>
      <c r="C311"/>
      <c r="D311"/>
      <c r="E311"/>
      <c r="F311" s="27" t="s">
        <v>7</v>
      </c>
      <c r="CC311" s="27" t="s">
        <v>8</v>
      </c>
      <c r="CD311" s="27" t="s">
        <v>7</v>
      </c>
      <c r="CE311" s="27" t="s">
        <v>8</v>
      </c>
      <c r="CF311" s="27" t="s">
        <v>7</v>
      </c>
      <c r="CI311" s="27" t="s">
        <v>8</v>
      </c>
      <c r="CJ311" s="27" t="s">
        <v>7</v>
      </c>
      <c r="CM311" s="27" t="s">
        <v>8</v>
      </c>
      <c r="CN311" s="27" t="s">
        <v>7</v>
      </c>
      <c r="DE311" s="27" t="s">
        <v>8</v>
      </c>
      <c r="DF311" s="27" t="s">
        <v>7</v>
      </c>
      <c r="EI311" s="27" t="s">
        <v>8</v>
      </c>
    </row>
    <row r="312" spans="1:150" x14ac:dyDescent="0.25">
      <c r="A312" s="30">
        <v>2.9810582823780438E-2</v>
      </c>
      <c r="B312"/>
      <c r="C312"/>
      <c r="D312"/>
      <c r="E312"/>
      <c r="F312" s="27" t="s">
        <v>7</v>
      </c>
      <c r="CC312" s="27" t="s">
        <v>8</v>
      </c>
      <c r="CD312" s="27" t="s">
        <v>7</v>
      </c>
      <c r="CE312" s="27" t="s">
        <v>8</v>
      </c>
      <c r="CF312" s="27" t="s">
        <v>7</v>
      </c>
      <c r="CI312" s="27" t="s">
        <v>8</v>
      </c>
      <c r="CJ312" s="27" t="s">
        <v>7</v>
      </c>
      <c r="CK312" s="27" t="s">
        <v>8</v>
      </c>
      <c r="CM312" s="27" t="s">
        <v>8</v>
      </c>
      <c r="CN312" s="27" t="s">
        <v>7</v>
      </c>
      <c r="DE312" s="27" t="s">
        <v>8</v>
      </c>
      <c r="DF312" s="27" t="s">
        <v>7</v>
      </c>
      <c r="EI312" s="27" t="s">
        <v>8</v>
      </c>
      <c r="EJ312" s="27" t="s">
        <v>7</v>
      </c>
    </row>
    <row r="313" spans="1:150" x14ac:dyDescent="0.25">
      <c r="A313" s="30">
        <v>2.8391031260743264E-2</v>
      </c>
      <c r="B313"/>
      <c r="C313"/>
      <c r="D313"/>
      <c r="E313"/>
      <c r="F313" s="27" t="s">
        <v>7</v>
      </c>
      <c r="CC313" s="27" t="s">
        <v>8</v>
      </c>
      <c r="CD313" s="27" t="s">
        <v>7</v>
      </c>
      <c r="CE313" s="27" t="s">
        <v>8</v>
      </c>
      <c r="CF313" s="27" t="s">
        <v>7</v>
      </c>
      <c r="CI313" s="27" t="s">
        <v>8</v>
      </c>
      <c r="CJ313" s="27" t="s">
        <v>7</v>
      </c>
      <c r="CK313" s="27" t="s">
        <v>8</v>
      </c>
      <c r="CL313" s="27" t="s">
        <v>7</v>
      </c>
      <c r="CM313" s="27" t="s">
        <v>8</v>
      </c>
      <c r="CN313" s="27" t="s">
        <v>7</v>
      </c>
      <c r="CS313" s="27" t="s">
        <v>8</v>
      </c>
      <c r="DE313" s="27" t="s">
        <v>8</v>
      </c>
      <c r="DF313" s="27" t="s">
        <v>7</v>
      </c>
      <c r="EI313" s="27" t="s">
        <v>8</v>
      </c>
      <c r="EJ313" s="27" t="s">
        <v>7</v>
      </c>
    </row>
    <row r="314" spans="1:150" x14ac:dyDescent="0.25">
      <c r="A314" s="30">
        <v>2.7039077391184052E-2</v>
      </c>
      <c r="B314"/>
      <c r="C314"/>
      <c r="D314"/>
      <c r="E314"/>
      <c r="F314" s="27" t="s">
        <v>7</v>
      </c>
      <c r="CC314" s="27" t="s">
        <v>8</v>
      </c>
      <c r="CD314" s="27" t="s">
        <v>7</v>
      </c>
      <c r="CF314" s="27" t="s">
        <v>7</v>
      </c>
      <c r="CG314" s="27" t="s">
        <v>8</v>
      </c>
      <c r="CI314" s="27" t="s">
        <v>8</v>
      </c>
      <c r="CJ314" s="27" t="s">
        <v>7</v>
      </c>
      <c r="CK314" s="27" t="s">
        <v>8</v>
      </c>
      <c r="CL314" s="27" t="s">
        <v>7</v>
      </c>
      <c r="CM314" s="27" t="s">
        <v>8</v>
      </c>
      <c r="CN314" s="27" t="s">
        <v>7</v>
      </c>
      <c r="CS314" s="27" t="s">
        <v>8</v>
      </c>
      <c r="CT314" s="27" t="s">
        <v>7</v>
      </c>
      <c r="DE314" s="27" t="s">
        <v>8</v>
      </c>
      <c r="DF314" s="27" t="s">
        <v>7</v>
      </c>
      <c r="EI314" s="27" t="s">
        <v>8</v>
      </c>
      <c r="EJ314" s="27" t="s">
        <v>7</v>
      </c>
    </row>
    <row r="315" spans="1:150" x14ac:dyDescent="0.25">
      <c r="A315" s="30">
        <v>2.5751502277318133E-2</v>
      </c>
      <c r="B315"/>
      <c r="C315"/>
      <c r="D315"/>
      <c r="E315"/>
      <c r="F315" s="27" t="s">
        <v>7</v>
      </c>
      <c r="CC315" s="27" t="s">
        <v>8</v>
      </c>
      <c r="CF315" s="27" t="s">
        <v>7</v>
      </c>
      <c r="CG315" s="27" t="s">
        <v>8</v>
      </c>
      <c r="CH315" s="27" t="s">
        <v>7</v>
      </c>
      <c r="CI315" s="27" t="s">
        <v>8</v>
      </c>
      <c r="CJ315" s="27" t="s">
        <v>7</v>
      </c>
      <c r="CK315" s="27" t="s">
        <v>8</v>
      </c>
      <c r="CL315" s="27" t="s">
        <v>7</v>
      </c>
      <c r="CM315" s="27" t="s">
        <v>8</v>
      </c>
      <c r="CN315" s="27" t="s">
        <v>7</v>
      </c>
      <c r="CO315" s="27" t="s">
        <v>8</v>
      </c>
      <c r="CS315" s="27" t="s">
        <v>8</v>
      </c>
      <c r="CT315" s="27" t="s">
        <v>7</v>
      </c>
      <c r="DE315" s="27" t="s">
        <v>8</v>
      </c>
      <c r="DF315" s="27" t="s">
        <v>7</v>
      </c>
      <c r="EI315" s="27" t="s">
        <v>8</v>
      </c>
      <c r="EJ315" s="27" t="s">
        <v>7</v>
      </c>
    </row>
    <row r="316" spans="1:150" x14ac:dyDescent="0.25">
      <c r="A316" s="30">
        <v>2.4525240264112496E-2</v>
      </c>
      <c r="B316"/>
      <c r="C316"/>
      <c r="D316"/>
      <c r="E316"/>
      <c r="F316" s="27" t="s">
        <v>7</v>
      </c>
      <c r="CA316" s="27" t="s">
        <v>8</v>
      </c>
      <c r="CC316" s="27" t="s">
        <v>8</v>
      </c>
      <c r="CF316" s="27" t="s">
        <v>7</v>
      </c>
      <c r="CG316" s="27" t="s">
        <v>8</v>
      </c>
      <c r="CH316" s="27" t="s">
        <v>7</v>
      </c>
      <c r="CI316" s="27" t="s">
        <v>8</v>
      </c>
      <c r="CJ316" s="27" t="s">
        <v>7</v>
      </c>
      <c r="CK316" s="27" t="s">
        <v>8</v>
      </c>
      <c r="CL316" s="27" t="s">
        <v>7</v>
      </c>
      <c r="CM316" s="27" t="s">
        <v>8</v>
      </c>
      <c r="CN316" s="27" t="s">
        <v>7</v>
      </c>
      <c r="CO316" s="27" t="s">
        <v>8</v>
      </c>
      <c r="CP316" s="27" t="s">
        <v>7</v>
      </c>
      <c r="CS316" s="27" t="s">
        <v>8</v>
      </c>
      <c r="CT316" s="27" t="s">
        <v>7</v>
      </c>
      <c r="DE316" s="27" t="s">
        <v>8</v>
      </c>
      <c r="DF316" s="27" t="s">
        <v>7</v>
      </c>
      <c r="EI316" s="27" t="s">
        <v>8</v>
      </c>
      <c r="EJ316" s="27" t="s">
        <v>7</v>
      </c>
      <c r="EK316" s="27" t="s">
        <v>8</v>
      </c>
      <c r="EM316" s="27" t="s">
        <v>8</v>
      </c>
    </row>
    <row r="317" spans="1:150" x14ac:dyDescent="0.25">
      <c r="A317" s="30">
        <v>2.3357371680107129E-2</v>
      </c>
      <c r="B317"/>
      <c r="C317"/>
      <c r="D317"/>
      <c r="E317"/>
      <c r="F317" s="27" t="s">
        <v>7</v>
      </c>
      <c r="CA317" s="27" t="s">
        <v>8</v>
      </c>
      <c r="CB317" s="27" t="s">
        <v>7</v>
      </c>
      <c r="CC317" s="27" t="s">
        <v>8</v>
      </c>
      <c r="CF317" s="27" t="s">
        <v>7</v>
      </c>
      <c r="CG317" s="27" t="s">
        <v>8</v>
      </c>
      <c r="CH317" s="27" t="s">
        <v>7</v>
      </c>
      <c r="CI317" s="27" t="s">
        <v>8</v>
      </c>
      <c r="CJ317" s="27" t="s">
        <v>7</v>
      </c>
      <c r="CK317" s="27" t="s">
        <v>8</v>
      </c>
      <c r="CL317" s="27" t="s">
        <v>7</v>
      </c>
      <c r="CM317" s="27" t="s">
        <v>8</v>
      </c>
      <c r="CN317" s="27" t="s">
        <v>7</v>
      </c>
      <c r="CO317" s="27" t="s">
        <v>8</v>
      </c>
      <c r="CP317" s="27" t="s">
        <v>7</v>
      </c>
      <c r="CS317" s="27" t="s">
        <v>8</v>
      </c>
      <c r="CT317" s="27" t="s">
        <v>7</v>
      </c>
      <c r="DE317" s="27" t="s">
        <v>8</v>
      </c>
      <c r="DF317" s="27" t="s">
        <v>7</v>
      </c>
      <c r="EI317" s="27" t="s">
        <v>8</v>
      </c>
      <c r="EJ317" s="27" t="s">
        <v>7</v>
      </c>
      <c r="EK317" s="27" t="s">
        <v>8</v>
      </c>
      <c r="EL317" s="27" t="s">
        <v>7</v>
      </c>
      <c r="EM317" s="27" t="s">
        <v>8</v>
      </c>
      <c r="EN317" s="27" t="s">
        <v>7</v>
      </c>
    </row>
    <row r="318" spans="1:150" x14ac:dyDescent="0.25">
      <c r="A318" s="30">
        <v>2.2245115885816305E-2</v>
      </c>
      <c r="B318"/>
      <c r="C318"/>
      <c r="D318"/>
      <c r="E318"/>
      <c r="F318" s="27" t="s">
        <v>7</v>
      </c>
      <c r="CA318" s="27" t="s">
        <v>8</v>
      </c>
      <c r="CB318" s="27" t="s">
        <v>7</v>
      </c>
      <c r="CC318" s="27" t="s">
        <v>8</v>
      </c>
      <c r="CF318" s="27" t="s">
        <v>7</v>
      </c>
      <c r="CH318" s="27" t="s">
        <v>7</v>
      </c>
      <c r="CI318" s="27" t="s">
        <v>8</v>
      </c>
      <c r="CJ318" s="27" t="s">
        <v>7</v>
      </c>
      <c r="CK318" s="27" t="s">
        <v>8</v>
      </c>
      <c r="CL318" s="27" t="s">
        <v>7</v>
      </c>
      <c r="CM318" s="27" t="s">
        <v>8</v>
      </c>
      <c r="CN318" s="27" t="s">
        <v>7</v>
      </c>
      <c r="CP318" s="27" t="s">
        <v>7</v>
      </c>
      <c r="CS318" s="27" t="s">
        <v>8</v>
      </c>
      <c r="CT318" s="27" t="s">
        <v>7</v>
      </c>
      <c r="DE318" s="27" t="s">
        <v>8</v>
      </c>
      <c r="DF318" s="27" t="s">
        <v>7</v>
      </c>
      <c r="DG318" s="27" t="s">
        <v>8</v>
      </c>
      <c r="DW318" s="27" t="s">
        <v>8</v>
      </c>
      <c r="EI318" s="27" t="s">
        <v>8</v>
      </c>
      <c r="EJ318" s="27" t="s">
        <v>7</v>
      </c>
      <c r="EK318" s="27" t="s">
        <v>8</v>
      </c>
      <c r="EL318" s="27" t="s">
        <v>7</v>
      </c>
      <c r="EM318" s="27" t="s">
        <v>8</v>
      </c>
      <c r="EN318" s="27" t="s">
        <v>7</v>
      </c>
    </row>
    <row r="319" spans="1:150" x14ac:dyDescent="0.25">
      <c r="A319" s="30">
        <v>2.1185824653158377E-2</v>
      </c>
      <c r="B319"/>
      <c r="C319"/>
      <c r="D319"/>
      <c r="E319"/>
      <c r="F319" s="27" t="s">
        <v>7</v>
      </c>
      <c r="BY319" s="27" t="s">
        <v>8</v>
      </c>
      <c r="CA319" s="27" t="s">
        <v>8</v>
      </c>
      <c r="CB319" s="27" t="s">
        <v>7</v>
      </c>
      <c r="CC319" s="27" t="s">
        <v>8</v>
      </c>
      <c r="CH319" s="27" t="s">
        <v>7</v>
      </c>
      <c r="CJ319" s="27" t="s">
        <v>7</v>
      </c>
      <c r="CK319" s="27" t="s">
        <v>8</v>
      </c>
      <c r="CL319" s="27" t="s">
        <v>7</v>
      </c>
      <c r="CP319" s="27" t="s">
        <v>7</v>
      </c>
      <c r="CS319" s="27" t="s">
        <v>8</v>
      </c>
      <c r="CT319" s="27" t="s">
        <v>7</v>
      </c>
      <c r="CU319" s="27" t="s">
        <v>8</v>
      </c>
      <c r="CW319" s="27" t="s">
        <v>8</v>
      </c>
      <c r="DE319" s="27" t="s">
        <v>8</v>
      </c>
      <c r="DF319" s="27" t="s">
        <v>7</v>
      </c>
      <c r="DG319" s="27" t="s">
        <v>8</v>
      </c>
      <c r="DH319" s="27" t="s">
        <v>7</v>
      </c>
      <c r="DW319" s="27" t="s">
        <v>8</v>
      </c>
      <c r="DX319" s="27" t="s">
        <v>7</v>
      </c>
      <c r="EI319" s="27" t="s">
        <v>8</v>
      </c>
      <c r="EJ319" s="27" t="s">
        <v>7</v>
      </c>
      <c r="EK319" s="27" t="s">
        <v>8</v>
      </c>
      <c r="EL319" s="27" t="s">
        <v>7</v>
      </c>
      <c r="EM319" s="27" t="s">
        <v>8</v>
      </c>
      <c r="EN319" s="27" t="s">
        <v>7</v>
      </c>
      <c r="ES319" s="27" t="s">
        <v>8</v>
      </c>
    </row>
    <row r="320" spans="1:150" x14ac:dyDescent="0.25">
      <c r="A320" s="30">
        <v>2.0176975860150829E-2</v>
      </c>
      <c r="B320"/>
      <c r="C320"/>
      <c r="D320"/>
      <c r="E320"/>
      <c r="F320" s="27" t="s">
        <v>7</v>
      </c>
      <c r="BY320" s="27" t="s">
        <v>8</v>
      </c>
      <c r="BZ320" s="27" t="s">
        <v>7</v>
      </c>
      <c r="CA320" s="27" t="s">
        <v>8</v>
      </c>
      <c r="CB320" s="27" t="s">
        <v>7</v>
      </c>
      <c r="CC320" s="27" t="s">
        <v>8</v>
      </c>
      <c r="CJ320" s="27" t="s">
        <v>7</v>
      </c>
      <c r="CP320" s="27" t="s">
        <v>7</v>
      </c>
      <c r="CQ320" s="27" t="s">
        <v>8</v>
      </c>
      <c r="CS320" s="27" t="s">
        <v>8</v>
      </c>
      <c r="CT320" s="27" t="s">
        <v>7</v>
      </c>
      <c r="CU320" s="27" t="s">
        <v>8</v>
      </c>
      <c r="CV320" s="27" t="s">
        <v>7</v>
      </c>
      <c r="CW320" s="27" t="s">
        <v>8</v>
      </c>
      <c r="CX320" s="27" t="s">
        <v>7</v>
      </c>
      <c r="DE320" s="27" t="s">
        <v>8</v>
      </c>
      <c r="DF320" s="27" t="s">
        <v>7</v>
      </c>
      <c r="DG320" s="27" t="s">
        <v>8</v>
      </c>
      <c r="DH320" s="27" t="s">
        <v>7</v>
      </c>
      <c r="DW320" s="27" t="s">
        <v>8</v>
      </c>
      <c r="DX320" s="27" t="s">
        <v>7</v>
      </c>
      <c r="EI320" s="27" t="s">
        <v>8</v>
      </c>
      <c r="EJ320" s="27" t="s">
        <v>7</v>
      </c>
      <c r="EK320" s="27" t="s">
        <v>8</v>
      </c>
      <c r="EL320" s="27" t="s">
        <v>7</v>
      </c>
      <c r="EM320" s="27" t="s">
        <v>8</v>
      </c>
      <c r="EN320" s="27" t="s">
        <v>7</v>
      </c>
      <c r="ES320" s="27" t="s">
        <v>8</v>
      </c>
      <c r="ET320" s="27" t="s">
        <v>7</v>
      </c>
    </row>
    <row r="321" spans="1:158" x14ac:dyDescent="0.25">
      <c r="A321" s="30">
        <v>1.9216167485857926E-2</v>
      </c>
      <c r="B321"/>
      <c r="C321"/>
      <c r="D321"/>
      <c r="E321"/>
      <c r="F321" s="27" t="s">
        <v>7</v>
      </c>
      <c r="BY321" s="27" t="s">
        <v>8</v>
      </c>
      <c r="BZ321" s="27" t="s">
        <v>7</v>
      </c>
      <c r="CA321" s="27" t="s">
        <v>8</v>
      </c>
      <c r="CB321" s="27" t="s">
        <v>7</v>
      </c>
      <c r="CC321" s="27" t="s">
        <v>8</v>
      </c>
      <c r="CP321" s="27" t="s">
        <v>7</v>
      </c>
      <c r="CQ321" s="27" t="s">
        <v>8</v>
      </c>
      <c r="CR321" s="27" t="s">
        <v>7</v>
      </c>
      <c r="CS321" s="27" t="s">
        <v>8</v>
      </c>
      <c r="CT321" s="27" t="s">
        <v>7</v>
      </c>
      <c r="CU321" s="27" t="s">
        <v>8</v>
      </c>
      <c r="CV321" s="27" t="s">
        <v>7</v>
      </c>
      <c r="CW321" s="27" t="s">
        <v>8</v>
      </c>
      <c r="CX321" s="27" t="s">
        <v>7</v>
      </c>
      <c r="DE321" s="27" t="s">
        <v>8</v>
      </c>
      <c r="DF321" s="27" t="s">
        <v>7</v>
      </c>
      <c r="DG321" s="27" t="s">
        <v>8</v>
      </c>
      <c r="DH321" s="27" t="s">
        <v>7</v>
      </c>
      <c r="DU321" s="27" t="s">
        <v>8</v>
      </c>
      <c r="DW321" s="27" t="s">
        <v>8</v>
      </c>
      <c r="DX321" s="27" t="s">
        <v>7</v>
      </c>
      <c r="EA321" s="27" t="s">
        <v>8</v>
      </c>
      <c r="EE321" s="27" t="s">
        <v>8</v>
      </c>
      <c r="EI321" s="27" t="s">
        <v>8</v>
      </c>
      <c r="EJ321" s="27" t="s">
        <v>7</v>
      </c>
      <c r="EK321" s="27" t="s">
        <v>8</v>
      </c>
      <c r="EL321" s="27" t="s">
        <v>7</v>
      </c>
      <c r="EM321" s="27" t="s">
        <v>8</v>
      </c>
      <c r="EN321" s="27" t="s">
        <v>7</v>
      </c>
      <c r="EO321" s="27" t="s">
        <v>8</v>
      </c>
      <c r="EQ321" s="27" t="s">
        <v>8</v>
      </c>
      <c r="ES321" s="27" t="s">
        <v>8</v>
      </c>
      <c r="ET321" s="27" t="s">
        <v>7</v>
      </c>
    </row>
    <row r="322" spans="1:158" x14ac:dyDescent="0.25">
      <c r="A322" s="30">
        <v>1.8301111891293256E-2</v>
      </c>
      <c r="B322"/>
      <c r="C322"/>
      <c r="D322"/>
      <c r="E322"/>
      <c r="F322" s="27" t="s">
        <v>7</v>
      </c>
      <c r="BY322" s="27" t="s">
        <v>8</v>
      </c>
      <c r="BZ322" s="27" t="s">
        <v>7</v>
      </c>
      <c r="CA322" s="27" t="s">
        <v>8</v>
      </c>
      <c r="CB322" s="27" t="s">
        <v>7</v>
      </c>
      <c r="CC322" s="27" t="s">
        <v>8</v>
      </c>
      <c r="CP322" s="27" t="s">
        <v>7</v>
      </c>
      <c r="CQ322" s="27" t="s">
        <v>8</v>
      </c>
      <c r="CR322" s="27" t="s">
        <v>7</v>
      </c>
      <c r="CS322" s="27" t="s">
        <v>8</v>
      </c>
      <c r="CT322" s="27" t="s">
        <v>7</v>
      </c>
      <c r="CU322" s="27" t="s">
        <v>8</v>
      </c>
      <c r="CV322" s="27" t="s">
        <v>7</v>
      </c>
      <c r="CW322" s="27" t="s">
        <v>8</v>
      </c>
      <c r="CX322" s="27" t="s">
        <v>7</v>
      </c>
      <c r="DE322" s="27" t="s">
        <v>8</v>
      </c>
      <c r="DF322" s="27" t="s">
        <v>7</v>
      </c>
      <c r="DG322" s="27" t="s">
        <v>8</v>
      </c>
      <c r="DH322" s="27" t="s">
        <v>7</v>
      </c>
      <c r="DS322" s="27" t="s">
        <v>8</v>
      </c>
      <c r="DU322" s="27" t="s">
        <v>8</v>
      </c>
      <c r="DV322" s="27" t="s">
        <v>7</v>
      </c>
      <c r="DW322" s="27" t="s">
        <v>8</v>
      </c>
      <c r="DX322" s="27" t="s">
        <v>7</v>
      </c>
      <c r="DY322" s="27" t="s">
        <v>8</v>
      </c>
      <c r="EA322" s="27" t="s">
        <v>8</v>
      </c>
      <c r="EB322" s="27" t="s">
        <v>7</v>
      </c>
      <c r="EE322" s="27" t="s">
        <v>8</v>
      </c>
      <c r="EF322" s="27" t="s">
        <v>7</v>
      </c>
      <c r="EI322" s="27" t="s">
        <v>8</v>
      </c>
      <c r="EJ322" s="27" t="s">
        <v>7</v>
      </c>
      <c r="EL322" s="27" t="s">
        <v>7</v>
      </c>
      <c r="EN322" s="27" t="s">
        <v>7</v>
      </c>
      <c r="EO322" s="27" t="s">
        <v>8</v>
      </c>
      <c r="EP322" s="27" t="s">
        <v>7</v>
      </c>
      <c r="EQ322" s="27" t="s">
        <v>8</v>
      </c>
      <c r="ER322" s="27" t="s">
        <v>7</v>
      </c>
      <c r="ES322" s="27" t="s">
        <v>8</v>
      </c>
      <c r="ET322" s="27" t="s">
        <v>7</v>
      </c>
    </row>
    <row r="323" spans="1:158" x14ac:dyDescent="0.25">
      <c r="A323" s="30">
        <v>1.7429630372660238E-2</v>
      </c>
      <c r="B323"/>
      <c r="C323"/>
      <c r="D323"/>
      <c r="E323"/>
      <c r="F323" s="27" t="s">
        <v>7</v>
      </c>
      <c r="BY323" s="27" t="s">
        <v>8</v>
      </c>
      <c r="BZ323" s="27" t="s">
        <v>7</v>
      </c>
      <c r="CA323" s="27" t="s">
        <v>8</v>
      </c>
      <c r="CB323" s="27" t="s">
        <v>7</v>
      </c>
      <c r="CC323" s="27" t="s">
        <v>8</v>
      </c>
      <c r="CP323" s="27" t="s">
        <v>7</v>
      </c>
      <c r="CQ323" s="27" t="s">
        <v>8</v>
      </c>
      <c r="CR323" s="27" t="s">
        <v>7</v>
      </c>
      <c r="CS323" s="27" t="s">
        <v>8</v>
      </c>
      <c r="CT323" s="27" t="s">
        <v>7</v>
      </c>
      <c r="CV323" s="27" t="s">
        <v>7</v>
      </c>
      <c r="CW323" s="27" t="s">
        <v>8</v>
      </c>
      <c r="CX323" s="27" t="s">
        <v>7</v>
      </c>
      <c r="DE323" s="27" t="s">
        <v>8</v>
      </c>
      <c r="DF323" s="27" t="s">
        <v>7</v>
      </c>
      <c r="DG323" s="27" t="s">
        <v>8</v>
      </c>
      <c r="DH323" s="27" t="s">
        <v>7</v>
      </c>
      <c r="DI323" s="27" t="s">
        <v>8</v>
      </c>
      <c r="DS323" s="27" t="s">
        <v>8</v>
      </c>
      <c r="DT323" s="27" t="s">
        <v>7</v>
      </c>
      <c r="DU323" s="27" t="s">
        <v>8</v>
      </c>
      <c r="DV323" s="27" t="s">
        <v>7</v>
      </c>
      <c r="DW323" s="27" t="s">
        <v>8</v>
      </c>
      <c r="DX323" s="27" t="s">
        <v>7</v>
      </c>
      <c r="DY323" s="27" t="s">
        <v>8</v>
      </c>
      <c r="DZ323" s="27" t="s">
        <v>7</v>
      </c>
      <c r="EA323" s="27" t="s">
        <v>8</v>
      </c>
      <c r="EB323" s="27" t="s">
        <v>7</v>
      </c>
      <c r="EE323" s="27" t="s">
        <v>8</v>
      </c>
      <c r="EF323" s="27" t="s">
        <v>7</v>
      </c>
      <c r="EG323" s="27" t="s">
        <v>8</v>
      </c>
      <c r="EI323" s="27" t="s">
        <v>8</v>
      </c>
      <c r="EN323" s="27" t="s">
        <v>7</v>
      </c>
      <c r="EO323" s="27" t="s">
        <v>8</v>
      </c>
      <c r="EP323" s="27" t="s">
        <v>7</v>
      </c>
      <c r="EQ323" s="27" t="s">
        <v>8</v>
      </c>
      <c r="ER323" s="27" t="s">
        <v>7</v>
      </c>
      <c r="ES323" s="27" t="s">
        <v>8</v>
      </c>
      <c r="ET323" s="27" t="s">
        <v>7</v>
      </c>
    </row>
    <row r="324" spans="1:158" x14ac:dyDescent="0.25">
      <c r="A324" s="30">
        <v>1.6599647973962125E-2</v>
      </c>
      <c r="B324"/>
      <c r="C324"/>
      <c r="D324"/>
      <c r="E324"/>
      <c r="F324" s="27" t="s">
        <v>7</v>
      </c>
      <c r="BY324" s="27" t="s">
        <v>8</v>
      </c>
      <c r="BZ324" s="27" t="s">
        <v>7</v>
      </c>
      <c r="CA324" s="27" t="s">
        <v>8</v>
      </c>
      <c r="CB324" s="27" t="s">
        <v>7</v>
      </c>
      <c r="CP324" s="27" t="s">
        <v>7</v>
      </c>
      <c r="CQ324" s="27" t="s">
        <v>8</v>
      </c>
      <c r="CR324" s="27" t="s">
        <v>7</v>
      </c>
      <c r="CV324" s="27" t="s">
        <v>7</v>
      </c>
      <c r="CW324" s="27" t="s">
        <v>8</v>
      </c>
      <c r="CX324" s="27" t="s">
        <v>7</v>
      </c>
      <c r="CY324" s="27" t="s">
        <v>8</v>
      </c>
      <c r="DE324" s="27" t="s">
        <v>8</v>
      </c>
      <c r="DF324" s="27" t="s">
        <v>7</v>
      </c>
      <c r="DG324" s="27" t="s">
        <v>8</v>
      </c>
      <c r="DH324" s="27" t="s">
        <v>7</v>
      </c>
      <c r="DI324" s="27" t="s">
        <v>8</v>
      </c>
      <c r="DJ324" s="27" t="s">
        <v>7</v>
      </c>
      <c r="DS324" s="27" t="s">
        <v>8</v>
      </c>
      <c r="DT324" s="27" t="s">
        <v>7</v>
      </c>
      <c r="DU324" s="27" t="s">
        <v>8</v>
      </c>
      <c r="DV324" s="27" t="s">
        <v>7</v>
      </c>
      <c r="DW324" s="27" t="s">
        <v>8</v>
      </c>
      <c r="DX324" s="27" t="s">
        <v>7</v>
      </c>
      <c r="DY324" s="27" t="s">
        <v>8</v>
      </c>
      <c r="DZ324" s="27" t="s">
        <v>7</v>
      </c>
      <c r="EA324" s="27" t="s">
        <v>8</v>
      </c>
      <c r="EB324" s="27" t="s">
        <v>7</v>
      </c>
      <c r="EE324" s="27" t="s">
        <v>8</v>
      </c>
      <c r="EF324" s="27" t="s">
        <v>7</v>
      </c>
      <c r="EG324" s="27" t="s">
        <v>8</v>
      </c>
      <c r="EH324" s="27" t="s">
        <v>7</v>
      </c>
      <c r="EI324" s="27" t="s">
        <v>8</v>
      </c>
      <c r="EN324" s="27" t="s">
        <v>7</v>
      </c>
      <c r="EO324" s="27" t="s">
        <v>8</v>
      </c>
      <c r="EP324" s="27" t="s">
        <v>7</v>
      </c>
      <c r="EQ324" s="27" t="s">
        <v>8</v>
      </c>
      <c r="ER324" s="27" t="s">
        <v>7</v>
      </c>
      <c r="ET324" s="27" t="s">
        <v>7</v>
      </c>
    </row>
    <row r="325" spans="1:158" x14ac:dyDescent="0.25">
      <c r="A325" s="30">
        <v>1.580918854663059E-2</v>
      </c>
      <c r="B325"/>
      <c r="C325"/>
      <c r="D325"/>
      <c r="E325"/>
      <c r="F325" s="27" t="s">
        <v>7</v>
      </c>
      <c r="BY325" s="27" t="s">
        <v>8</v>
      </c>
      <c r="BZ325" s="27" t="s">
        <v>7</v>
      </c>
      <c r="CA325" s="27" t="s">
        <v>8</v>
      </c>
      <c r="CP325" s="27" t="s">
        <v>7</v>
      </c>
      <c r="CQ325" s="27" t="s">
        <v>8</v>
      </c>
      <c r="CV325" s="27" t="s">
        <v>7</v>
      </c>
      <c r="CX325" s="27" t="s">
        <v>7</v>
      </c>
      <c r="CY325" s="27" t="s">
        <v>8</v>
      </c>
      <c r="CZ325" s="27" t="s">
        <v>7</v>
      </c>
      <c r="DE325" s="27" t="s">
        <v>8</v>
      </c>
      <c r="DF325" s="27" t="s">
        <v>7</v>
      </c>
      <c r="DG325" s="27" t="s">
        <v>8</v>
      </c>
      <c r="DH325" s="27" t="s">
        <v>7</v>
      </c>
      <c r="DI325" s="27" t="s">
        <v>8</v>
      </c>
      <c r="DJ325" s="27" t="s">
        <v>7</v>
      </c>
      <c r="DS325" s="27" t="s">
        <v>8</v>
      </c>
      <c r="DT325" s="27" t="s">
        <v>7</v>
      </c>
      <c r="DU325" s="27" t="s">
        <v>8</v>
      </c>
      <c r="DV325" s="27" t="s">
        <v>7</v>
      </c>
      <c r="DW325" s="27" t="s">
        <v>8</v>
      </c>
      <c r="DX325" s="27" t="s">
        <v>7</v>
      </c>
      <c r="DY325" s="27" t="s">
        <v>8</v>
      </c>
      <c r="DZ325" s="27" t="s">
        <v>7</v>
      </c>
      <c r="EB325" s="27" t="s">
        <v>7</v>
      </c>
      <c r="EE325" s="27" t="s">
        <v>8</v>
      </c>
      <c r="EF325" s="27" t="s">
        <v>7</v>
      </c>
      <c r="EG325" s="27" t="s">
        <v>8</v>
      </c>
      <c r="EH325" s="27" t="s">
        <v>7</v>
      </c>
      <c r="EI325" s="27" t="s">
        <v>8</v>
      </c>
      <c r="EN325" s="27" t="s">
        <v>7</v>
      </c>
      <c r="EP325" s="27" t="s">
        <v>7</v>
      </c>
      <c r="ET325" s="27" t="s">
        <v>7</v>
      </c>
    </row>
    <row r="326" spans="1:158" x14ac:dyDescent="0.25">
      <c r="A326" s="30">
        <v>1.5056370044410079E-2</v>
      </c>
      <c r="B326"/>
      <c r="C326"/>
      <c r="D326"/>
      <c r="E326"/>
      <c r="F326" s="27" t="s">
        <v>7</v>
      </c>
      <c r="BY326" s="27" t="s">
        <v>8</v>
      </c>
      <c r="BZ326" s="27" t="s">
        <v>7</v>
      </c>
      <c r="CA326" s="27" t="s">
        <v>8</v>
      </c>
      <c r="CP326" s="27" t="s">
        <v>7</v>
      </c>
      <c r="CQ326" s="27" t="s">
        <v>8</v>
      </c>
      <c r="CX326" s="27" t="s">
        <v>7</v>
      </c>
      <c r="CY326" s="27" t="s">
        <v>8</v>
      </c>
      <c r="CZ326" s="27" t="s">
        <v>7</v>
      </c>
      <c r="DE326" s="27" t="s">
        <v>8</v>
      </c>
      <c r="DF326" s="27" t="s">
        <v>7</v>
      </c>
      <c r="DG326" s="27" t="s">
        <v>8</v>
      </c>
      <c r="DH326" s="27" t="s">
        <v>7</v>
      </c>
      <c r="DI326" s="27" t="s">
        <v>8</v>
      </c>
      <c r="DJ326" s="27" t="s">
        <v>7</v>
      </c>
      <c r="DS326" s="27" t="s">
        <v>8</v>
      </c>
      <c r="DT326" s="27" t="s">
        <v>7</v>
      </c>
      <c r="DU326" s="27" t="s">
        <v>8</v>
      </c>
      <c r="DV326" s="27" t="s">
        <v>7</v>
      </c>
      <c r="DW326" s="27" t="s">
        <v>8</v>
      </c>
      <c r="DX326" s="27" t="s">
        <v>7</v>
      </c>
      <c r="EB326" s="27" t="s">
        <v>7</v>
      </c>
      <c r="EC326" s="27" t="s">
        <v>8</v>
      </c>
      <c r="EE326" s="27" t="s">
        <v>8</v>
      </c>
      <c r="EF326" s="27" t="s">
        <v>7</v>
      </c>
      <c r="EG326" s="27" t="s">
        <v>8</v>
      </c>
      <c r="EH326" s="27" t="s">
        <v>7</v>
      </c>
      <c r="ET326" s="27" t="s">
        <v>7</v>
      </c>
      <c r="EU326" s="27" t="s">
        <v>8</v>
      </c>
      <c r="EW326" s="27" t="s">
        <v>8</v>
      </c>
    </row>
    <row r="327" spans="1:158" x14ac:dyDescent="0.25">
      <c r="A327" s="30">
        <v>1.4339400042295308E-2</v>
      </c>
      <c r="B327"/>
      <c r="C327"/>
      <c r="D327"/>
      <c r="E327"/>
      <c r="F327" s="27" t="s">
        <v>7</v>
      </c>
      <c r="BY327" s="27" t="s">
        <v>8</v>
      </c>
      <c r="BZ327" s="27" t="s">
        <v>7</v>
      </c>
      <c r="CA327" s="27" t="s">
        <v>8</v>
      </c>
      <c r="CP327" s="27" t="s">
        <v>7</v>
      </c>
      <c r="CX327" s="27" t="s">
        <v>7</v>
      </c>
      <c r="CY327" s="27" t="s">
        <v>8</v>
      </c>
      <c r="CZ327" s="27" t="s">
        <v>7</v>
      </c>
      <c r="DE327" s="27" t="s">
        <v>8</v>
      </c>
      <c r="DF327" s="27" t="s">
        <v>7</v>
      </c>
      <c r="DH327" s="27" t="s">
        <v>7</v>
      </c>
      <c r="DI327" s="27" t="s">
        <v>8</v>
      </c>
      <c r="DJ327" s="27" t="s">
        <v>7</v>
      </c>
      <c r="DK327" s="27" t="s">
        <v>8</v>
      </c>
      <c r="DQ327" s="27" t="s">
        <v>8</v>
      </c>
      <c r="DS327" s="27" t="s">
        <v>8</v>
      </c>
      <c r="DT327" s="27" t="s">
        <v>7</v>
      </c>
      <c r="DU327" s="27" t="s">
        <v>8</v>
      </c>
      <c r="DV327" s="27" t="s">
        <v>7</v>
      </c>
      <c r="EB327" s="27" t="s">
        <v>7</v>
      </c>
      <c r="EC327" s="27" t="s">
        <v>8</v>
      </c>
      <c r="ED327" s="27" t="s">
        <v>7</v>
      </c>
      <c r="EE327" s="27" t="s">
        <v>8</v>
      </c>
      <c r="EF327" s="27" t="s">
        <v>7</v>
      </c>
      <c r="EG327" s="27" t="s">
        <v>8</v>
      </c>
      <c r="ET327" s="27" t="s">
        <v>7</v>
      </c>
      <c r="EU327" s="27" t="s">
        <v>8</v>
      </c>
      <c r="EV327" s="27" t="s">
        <v>7</v>
      </c>
      <c r="EW327" s="27" t="s">
        <v>8</v>
      </c>
      <c r="EX327" s="27" t="s">
        <v>7</v>
      </c>
      <c r="EY327" s="27" t="s">
        <v>8</v>
      </c>
    </row>
    <row r="328" spans="1:158" x14ac:dyDescent="0.25">
      <c r="A328" s="30">
        <v>1.365657146885267E-2</v>
      </c>
      <c r="B328"/>
      <c r="C328"/>
      <c r="D328"/>
      <c r="E328"/>
      <c r="F328" s="27" t="s">
        <v>7</v>
      </c>
      <c r="BY328" s="27" t="s">
        <v>8</v>
      </c>
      <c r="BZ328" s="27" t="s">
        <v>7</v>
      </c>
      <c r="CA328" s="27" t="s">
        <v>8</v>
      </c>
      <c r="CX328" s="27" t="s">
        <v>7</v>
      </c>
      <c r="CY328" s="27" t="s">
        <v>8</v>
      </c>
      <c r="CZ328" s="27" t="s">
        <v>7</v>
      </c>
      <c r="DE328" s="27" t="s">
        <v>8</v>
      </c>
      <c r="DH328" s="27" t="s">
        <v>7</v>
      </c>
      <c r="DI328" s="27" t="s">
        <v>8</v>
      </c>
      <c r="DJ328" s="27" t="s">
        <v>7</v>
      </c>
      <c r="DK328" s="27" t="s">
        <v>8</v>
      </c>
      <c r="DL328" s="27" t="s">
        <v>7</v>
      </c>
      <c r="DO328" s="27" t="s">
        <v>8</v>
      </c>
      <c r="DQ328" s="27" t="s">
        <v>8</v>
      </c>
      <c r="DR328" s="27" t="s">
        <v>7</v>
      </c>
      <c r="DS328" s="27" t="s">
        <v>8</v>
      </c>
      <c r="DT328" s="27" t="s">
        <v>7</v>
      </c>
      <c r="EB328" s="27" t="s">
        <v>7</v>
      </c>
      <c r="EC328" s="27" t="s">
        <v>8</v>
      </c>
      <c r="ED328" s="27" t="s">
        <v>7</v>
      </c>
      <c r="EE328" s="27" t="s">
        <v>8</v>
      </c>
      <c r="EF328" s="27" t="s">
        <v>7</v>
      </c>
      <c r="EG328" s="27" t="s">
        <v>8</v>
      </c>
      <c r="ET328" s="27" t="s">
        <v>7</v>
      </c>
      <c r="EU328" s="27" t="s">
        <v>8</v>
      </c>
      <c r="EV328" s="27" t="s">
        <v>7</v>
      </c>
      <c r="EW328" s="27" t="s">
        <v>8</v>
      </c>
      <c r="EX328" s="27" t="s">
        <v>7</v>
      </c>
      <c r="EY328" s="27" t="s">
        <v>8</v>
      </c>
      <c r="EZ328" s="27" t="s">
        <v>7</v>
      </c>
    </row>
    <row r="329" spans="1:158" x14ac:dyDescent="0.25">
      <c r="A329" s="30">
        <v>1.3006258541764442E-2</v>
      </c>
      <c r="B329"/>
      <c r="C329"/>
      <c r="D329"/>
      <c r="E329"/>
      <c r="F329" s="27" t="s">
        <v>7</v>
      </c>
      <c r="BY329" s="27" t="s">
        <v>8</v>
      </c>
      <c r="BZ329" s="27" t="s">
        <v>7</v>
      </c>
      <c r="CX329" s="27" t="s">
        <v>7</v>
      </c>
      <c r="CY329" s="27" t="s">
        <v>8</v>
      </c>
      <c r="CZ329" s="27" t="s">
        <v>7</v>
      </c>
      <c r="DA329" s="27" t="s">
        <v>8</v>
      </c>
      <c r="DC329" s="27" t="s">
        <v>8</v>
      </c>
      <c r="DE329" s="27" t="s">
        <v>8</v>
      </c>
      <c r="DH329" s="27" t="s">
        <v>7</v>
      </c>
      <c r="DI329" s="27" t="s">
        <v>8</v>
      </c>
      <c r="DJ329" s="27" t="s">
        <v>7</v>
      </c>
      <c r="DK329" s="27" t="s">
        <v>8</v>
      </c>
      <c r="DL329" s="27" t="s">
        <v>7</v>
      </c>
      <c r="DO329" s="27" t="s">
        <v>8</v>
      </c>
      <c r="DP329" s="27" t="s">
        <v>7</v>
      </c>
      <c r="DQ329" s="27" t="s">
        <v>8</v>
      </c>
      <c r="DR329" s="27" t="s">
        <v>7</v>
      </c>
      <c r="DS329" s="27" t="s">
        <v>8</v>
      </c>
      <c r="EB329" s="27" t="s">
        <v>7</v>
      </c>
      <c r="EC329" s="27" t="s">
        <v>8</v>
      </c>
      <c r="ED329" s="27" t="s">
        <v>7</v>
      </c>
      <c r="EE329" s="27" t="s">
        <v>8</v>
      </c>
      <c r="EF329" s="27" t="s">
        <v>7</v>
      </c>
      <c r="ET329" s="27" t="s">
        <v>7</v>
      </c>
      <c r="EU329" s="27" t="s">
        <v>8</v>
      </c>
      <c r="EV329" s="27" t="s">
        <v>7</v>
      </c>
      <c r="EW329" s="27" t="s">
        <v>8</v>
      </c>
      <c r="EX329" s="27" t="s">
        <v>7</v>
      </c>
      <c r="EY329" s="27" t="s">
        <v>8</v>
      </c>
      <c r="EZ329" s="27" t="s">
        <v>7</v>
      </c>
    </row>
    <row r="330" spans="1:158" x14ac:dyDescent="0.25">
      <c r="A330" s="30">
        <v>1.2386912896918512E-2</v>
      </c>
      <c r="B330"/>
      <c r="C330"/>
      <c r="D330"/>
      <c r="E330"/>
      <c r="F330" s="27" t="s">
        <v>7</v>
      </c>
      <c r="BY330" s="27" t="s">
        <v>8</v>
      </c>
      <c r="CX330" s="27" t="s">
        <v>7</v>
      </c>
      <c r="CY330" s="27" t="s">
        <v>8</v>
      </c>
      <c r="CZ330" s="27" t="s">
        <v>7</v>
      </c>
      <c r="DA330" s="27" t="s">
        <v>8</v>
      </c>
      <c r="DB330" s="27" t="s">
        <v>7</v>
      </c>
      <c r="DC330" s="27" t="s">
        <v>8</v>
      </c>
      <c r="DD330" s="27" t="s">
        <v>7</v>
      </c>
      <c r="DE330" s="27" t="s">
        <v>8</v>
      </c>
      <c r="DH330" s="27" t="s">
        <v>7</v>
      </c>
      <c r="DJ330" s="27" t="s">
        <v>7</v>
      </c>
      <c r="DK330" s="27" t="s">
        <v>8</v>
      </c>
      <c r="DL330" s="27" t="s">
        <v>7</v>
      </c>
      <c r="DO330" s="27" t="s">
        <v>8</v>
      </c>
      <c r="DP330" s="27" t="s">
        <v>7</v>
      </c>
      <c r="DQ330" s="27" t="s">
        <v>8</v>
      </c>
      <c r="DR330" s="27" t="s">
        <v>7</v>
      </c>
      <c r="EB330" s="27" t="s">
        <v>7</v>
      </c>
      <c r="EC330" s="27" t="s">
        <v>8</v>
      </c>
      <c r="ED330" s="27" t="s">
        <v>7</v>
      </c>
      <c r="EE330" s="27" t="s">
        <v>8</v>
      </c>
      <c r="ET330" s="27" t="s">
        <v>7</v>
      </c>
      <c r="EV330" s="27" t="s">
        <v>7</v>
      </c>
      <c r="EX330" s="27" t="s">
        <v>7</v>
      </c>
      <c r="EY330" s="27" t="s">
        <v>8</v>
      </c>
      <c r="EZ330" s="27" t="s">
        <v>7</v>
      </c>
    </row>
    <row r="331" spans="1:158" x14ac:dyDescent="0.25">
      <c r="A331" s="30">
        <v>1.179705990182715E-2</v>
      </c>
      <c r="B331"/>
      <c r="C331"/>
      <c r="D331"/>
      <c r="E331"/>
      <c r="F331" s="27" t="s">
        <v>7</v>
      </c>
      <c r="BQ331" s="27" t="s">
        <v>8</v>
      </c>
      <c r="BY331" s="27" t="s">
        <v>8</v>
      </c>
      <c r="CX331" s="27" t="s">
        <v>7</v>
      </c>
      <c r="CY331" s="27" t="s">
        <v>8</v>
      </c>
      <c r="CZ331" s="27" t="s">
        <v>7</v>
      </c>
      <c r="DA331" s="27" t="s">
        <v>8</v>
      </c>
      <c r="DB331" s="27" t="s">
        <v>7</v>
      </c>
      <c r="DC331" s="27" t="s">
        <v>8</v>
      </c>
      <c r="DD331" s="27" t="s">
        <v>7</v>
      </c>
      <c r="DE331" s="27" t="s">
        <v>8</v>
      </c>
      <c r="DJ331" s="27" t="s">
        <v>7</v>
      </c>
      <c r="DK331" s="27" t="s">
        <v>8</v>
      </c>
      <c r="DL331" s="27" t="s">
        <v>7</v>
      </c>
      <c r="DM331" s="27" t="s">
        <v>8</v>
      </c>
      <c r="DO331" s="27" t="s">
        <v>8</v>
      </c>
      <c r="DP331" s="27" t="s">
        <v>7</v>
      </c>
      <c r="DQ331" s="27" t="s">
        <v>8</v>
      </c>
      <c r="EB331" s="27" t="s">
        <v>7</v>
      </c>
      <c r="ED331" s="27" t="s">
        <v>7</v>
      </c>
      <c r="EX331" s="27" t="s">
        <v>7</v>
      </c>
      <c r="EY331" s="27" t="s">
        <v>8</v>
      </c>
      <c r="EZ331" s="27" t="s">
        <v>7</v>
      </c>
    </row>
    <row r="332" spans="1:158" x14ac:dyDescent="0.25">
      <c r="A332" s="30">
        <v>1.1235295144597281E-2</v>
      </c>
      <c r="B332"/>
      <c r="C332"/>
      <c r="D332"/>
      <c r="E332"/>
      <c r="F332" s="27" t="s">
        <v>7</v>
      </c>
      <c r="BQ332" s="27" t="s">
        <v>8</v>
      </c>
      <c r="BR332" s="27" t="s">
        <v>7</v>
      </c>
      <c r="BY332" s="27" t="s">
        <v>8</v>
      </c>
      <c r="CX332" s="27" t="s">
        <v>7</v>
      </c>
      <c r="CY332" s="27" t="s">
        <v>8</v>
      </c>
      <c r="CZ332" s="27" t="s">
        <v>7</v>
      </c>
      <c r="DA332" s="27" t="s">
        <v>8</v>
      </c>
      <c r="DB332" s="27" t="s">
        <v>7</v>
      </c>
      <c r="DD332" s="27" t="s">
        <v>7</v>
      </c>
      <c r="DE332" s="27" t="s">
        <v>8</v>
      </c>
      <c r="DJ332" s="27" t="s">
        <v>7</v>
      </c>
      <c r="DL332" s="27" t="s">
        <v>7</v>
      </c>
      <c r="DM332" s="27" t="s">
        <v>8</v>
      </c>
      <c r="DN332" s="27" t="s">
        <v>7</v>
      </c>
      <c r="DO332" s="27" t="s">
        <v>8</v>
      </c>
      <c r="DP332" s="27" t="s">
        <v>7</v>
      </c>
      <c r="DQ332" s="27" t="s">
        <v>8</v>
      </c>
      <c r="EX332" s="27" t="s">
        <v>7</v>
      </c>
      <c r="EZ332" s="27" t="s">
        <v>7</v>
      </c>
    </row>
    <row r="333" spans="1:158" x14ac:dyDescent="0.25">
      <c r="A333" s="30">
        <v>1.0700281090092644E-2</v>
      </c>
      <c r="B333"/>
      <c r="C333"/>
      <c r="D333"/>
      <c r="E333"/>
      <c r="F333" s="27" t="s">
        <v>7</v>
      </c>
      <c r="BQ333" s="27" t="s">
        <v>8</v>
      </c>
      <c r="BR333" s="27" t="s">
        <v>7</v>
      </c>
      <c r="BS333" s="27" t="s">
        <v>8</v>
      </c>
      <c r="BY333" s="27" t="s">
        <v>8</v>
      </c>
      <c r="CX333" s="27" t="s">
        <v>7</v>
      </c>
      <c r="CY333" s="27" t="s">
        <v>8</v>
      </c>
      <c r="CZ333" s="27" t="s">
        <v>7</v>
      </c>
      <c r="DA333" s="27" t="s">
        <v>8</v>
      </c>
      <c r="DD333" s="27" t="s">
        <v>7</v>
      </c>
      <c r="DL333" s="27" t="s">
        <v>7</v>
      </c>
      <c r="DM333" s="27" t="s">
        <v>8</v>
      </c>
      <c r="DN333" s="27" t="s">
        <v>7</v>
      </c>
      <c r="DO333" s="27" t="s">
        <v>8</v>
      </c>
      <c r="DP333" s="27" t="s">
        <v>7</v>
      </c>
      <c r="DQ333" s="27" t="s">
        <v>8</v>
      </c>
      <c r="EZ333" s="27" t="s">
        <v>7</v>
      </c>
    </row>
    <row r="334" spans="1:158" x14ac:dyDescent="0.25">
      <c r="A334" s="30">
        <v>1.0190743895326324E-2</v>
      </c>
      <c r="B334"/>
      <c r="C334"/>
      <c r="D334"/>
      <c r="E334"/>
      <c r="F334" s="27" t="s">
        <v>7</v>
      </c>
      <c r="BQ334" s="27" t="s">
        <v>8</v>
      </c>
      <c r="BR334" s="27" t="s">
        <v>7</v>
      </c>
      <c r="BS334" s="27" t="s">
        <v>8</v>
      </c>
      <c r="BT334" s="27" t="s">
        <v>7</v>
      </c>
      <c r="BY334" s="27" t="s">
        <v>8</v>
      </c>
      <c r="CX334" s="27" t="s">
        <v>7</v>
      </c>
      <c r="CY334" s="27" t="s">
        <v>8</v>
      </c>
      <c r="CZ334" s="27" t="s">
        <v>7</v>
      </c>
      <c r="DA334" s="27" t="s">
        <v>8</v>
      </c>
      <c r="DL334" s="27" t="s">
        <v>7</v>
      </c>
      <c r="DM334" s="27" t="s">
        <v>8</v>
      </c>
      <c r="DN334" s="27" t="s">
        <v>7</v>
      </c>
      <c r="DO334" s="27" t="s">
        <v>8</v>
      </c>
      <c r="DP334" s="18" t="s">
        <v>7</v>
      </c>
      <c r="DQ334" s="27" t="s">
        <v>8</v>
      </c>
      <c r="EZ334" s="27" t="s">
        <v>7</v>
      </c>
    </row>
    <row r="335" spans="1:158" x14ac:dyDescent="0.25">
      <c r="A335" s="30">
        <v>9.7054703765012563E-3</v>
      </c>
      <c r="B335"/>
      <c r="C335"/>
      <c r="D335"/>
      <c r="E335"/>
      <c r="F335" s="27" t="s">
        <v>7</v>
      </c>
      <c r="BQ335" s="27" t="s">
        <v>8</v>
      </c>
      <c r="BR335" s="27" t="s">
        <v>7</v>
      </c>
      <c r="BS335" s="27" t="s">
        <v>8</v>
      </c>
      <c r="BT335" s="27" t="s">
        <v>7</v>
      </c>
      <c r="BW335" s="27" t="s">
        <v>8</v>
      </c>
      <c r="BY335" s="27" t="s">
        <v>8</v>
      </c>
      <c r="CX335" s="27" t="s">
        <v>7</v>
      </c>
      <c r="CY335" s="27" t="s">
        <v>8</v>
      </c>
      <c r="CZ335" s="27" t="s">
        <v>7</v>
      </c>
      <c r="DL335" s="27" t="s">
        <v>7</v>
      </c>
      <c r="DM335" s="27" t="s">
        <v>8</v>
      </c>
      <c r="DN335" s="27" t="s">
        <v>7</v>
      </c>
      <c r="DO335" s="27" t="s">
        <v>8</v>
      </c>
      <c r="DP335" s="27" t="s">
        <v>7</v>
      </c>
      <c r="DQ335" s="27" t="s">
        <v>8</v>
      </c>
      <c r="EZ335" s="27" t="s">
        <v>7</v>
      </c>
      <c r="FA335" s="27" t="s">
        <v>8</v>
      </c>
    </row>
    <row r="336" spans="1:158" x14ac:dyDescent="0.25">
      <c r="A336" s="30">
        <v>9.2433051204773835E-3</v>
      </c>
      <c r="B336"/>
      <c r="C336"/>
      <c r="D336"/>
      <c r="E336"/>
      <c r="F336" s="27" t="s">
        <v>7</v>
      </c>
      <c r="BQ336" s="27" t="s">
        <v>8</v>
      </c>
      <c r="BR336" s="27" t="s">
        <v>7</v>
      </c>
      <c r="BS336" s="27" t="s">
        <v>8</v>
      </c>
      <c r="BT336" s="27" t="s">
        <v>7</v>
      </c>
      <c r="BW336" s="27" t="s">
        <v>8</v>
      </c>
      <c r="BX336" s="27" t="s">
        <v>7</v>
      </c>
      <c r="BY336" s="27" t="s">
        <v>8</v>
      </c>
      <c r="CX336" s="27" t="s">
        <v>7</v>
      </c>
      <c r="DL336" s="27" t="s">
        <v>7</v>
      </c>
      <c r="DM336" s="27" t="s">
        <v>8</v>
      </c>
      <c r="DN336" s="27" t="s">
        <v>7</v>
      </c>
      <c r="DO336" s="27" t="s">
        <v>8</v>
      </c>
      <c r="DP336" s="27" t="s">
        <v>7</v>
      </c>
      <c r="EZ336" s="27" t="s">
        <v>7</v>
      </c>
      <c r="FA336" s="27" t="s">
        <v>8</v>
      </c>
      <c r="FB336" s="27" t="s">
        <v>7</v>
      </c>
    </row>
    <row r="337" spans="1:159" x14ac:dyDescent="0.25">
      <c r="A337" s="30">
        <v>8.8031477337879808E-3</v>
      </c>
      <c r="B337"/>
      <c r="C337"/>
      <c r="D337"/>
      <c r="E337"/>
      <c r="F337" s="27" t="s">
        <v>7</v>
      </c>
      <c r="AW337" s="27" t="s">
        <v>8</v>
      </c>
      <c r="BQ337" s="27" t="s">
        <v>8</v>
      </c>
      <c r="BR337" s="27" t="s">
        <v>7</v>
      </c>
      <c r="BS337" s="27" t="s">
        <v>8</v>
      </c>
      <c r="BT337" s="27" t="s">
        <v>7</v>
      </c>
      <c r="BW337" s="27" t="s">
        <v>8</v>
      </c>
      <c r="BX337" s="27" t="s">
        <v>7</v>
      </c>
      <c r="BY337" s="27" t="s">
        <v>8</v>
      </c>
      <c r="DL337" s="27" t="s">
        <v>7</v>
      </c>
      <c r="DM337" s="27" t="s">
        <v>8</v>
      </c>
      <c r="DN337" s="27" t="s">
        <v>7</v>
      </c>
      <c r="DO337" s="27" t="s">
        <v>8</v>
      </c>
      <c r="EZ337" s="27" t="s">
        <v>7</v>
      </c>
      <c r="FA337" s="27" t="s">
        <v>8</v>
      </c>
      <c r="FB337" s="27" t="s">
        <v>7</v>
      </c>
      <c r="FC337" s="27" t="s">
        <v>8</v>
      </c>
    </row>
    <row r="338" spans="1:159" x14ac:dyDescent="0.25">
      <c r="A338" s="30">
        <v>8.3839502226552166E-3</v>
      </c>
      <c r="B338"/>
      <c r="C338"/>
      <c r="D338"/>
      <c r="E338"/>
      <c r="F338" s="27" t="s">
        <v>7</v>
      </c>
      <c r="AW338" s="27" t="s">
        <v>8</v>
      </c>
      <c r="AX338" s="27" t="s">
        <v>7</v>
      </c>
      <c r="BK338" s="27" t="s">
        <v>8</v>
      </c>
      <c r="BQ338" s="27" t="s">
        <v>8</v>
      </c>
      <c r="BR338" s="27" t="s">
        <v>7</v>
      </c>
      <c r="BS338" s="27" t="s">
        <v>8</v>
      </c>
      <c r="BT338" s="27" t="s">
        <v>7</v>
      </c>
      <c r="BW338" s="27" t="s">
        <v>8</v>
      </c>
      <c r="BX338" s="27" t="s">
        <v>7</v>
      </c>
      <c r="BY338" s="27" t="s">
        <v>8</v>
      </c>
      <c r="DL338" s="27" t="s">
        <v>7</v>
      </c>
      <c r="DM338" s="27" t="s">
        <v>8</v>
      </c>
      <c r="DN338" s="27" t="s">
        <v>7</v>
      </c>
      <c r="EZ338" s="27" t="s">
        <v>7</v>
      </c>
      <c r="FA338" s="27" t="s">
        <v>8</v>
      </c>
      <c r="FB338" s="27" t="s">
        <v>7</v>
      </c>
      <c r="FC338" s="27" t="s">
        <v>8</v>
      </c>
    </row>
    <row r="339" spans="1:159" x14ac:dyDescent="0.25">
      <c r="A339" s="30">
        <v>7.9847144977668698E-3</v>
      </c>
      <c r="B339"/>
      <c r="C339"/>
      <c r="D339"/>
      <c r="E339"/>
      <c r="F339" s="27" t="s">
        <v>7</v>
      </c>
      <c r="AW339" s="27" t="s">
        <v>8</v>
      </c>
      <c r="AX339" s="27" t="s">
        <v>7</v>
      </c>
      <c r="BK339" s="27" t="s">
        <v>8</v>
      </c>
      <c r="BL339" s="27" t="s">
        <v>7</v>
      </c>
      <c r="BQ339" s="27" t="s">
        <v>8</v>
      </c>
      <c r="BR339" s="27" t="s">
        <v>7</v>
      </c>
      <c r="BS339" s="27" t="s">
        <v>8</v>
      </c>
      <c r="BT339" s="27" t="s">
        <v>7</v>
      </c>
      <c r="BU339" s="27" t="s">
        <v>8</v>
      </c>
      <c r="BW339" s="27" t="s">
        <v>8</v>
      </c>
      <c r="BX339" s="27" t="s">
        <v>7</v>
      </c>
      <c r="DL339" s="27" t="s">
        <v>7</v>
      </c>
      <c r="DM339" s="27" t="s">
        <v>8</v>
      </c>
      <c r="EZ339" s="27" t="s">
        <v>7</v>
      </c>
      <c r="FA339" s="27" t="s">
        <v>8</v>
      </c>
      <c r="FB339" s="27" t="s">
        <v>7</v>
      </c>
      <c r="FC339" s="27" t="s">
        <v>8</v>
      </c>
    </row>
    <row r="340" spans="1:159" x14ac:dyDescent="0.25">
      <c r="A340" s="30">
        <v>7.6044899978732058E-3</v>
      </c>
      <c r="B340"/>
      <c r="C340"/>
      <c r="D340"/>
      <c r="E340"/>
      <c r="F340" s="27" t="s">
        <v>7</v>
      </c>
      <c r="AW340" s="27" t="s">
        <v>8</v>
      </c>
      <c r="AX340" s="27" t="s">
        <v>7</v>
      </c>
      <c r="BK340" s="27" t="s">
        <v>8</v>
      </c>
      <c r="BL340" s="27" t="s">
        <v>7</v>
      </c>
      <c r="BO340" s="27" t="s">
        <v>8</v>
      </c>
      <c r="BQ340" s="27" t="s">
        <v>8</v>
      </c>
      <c r="BR340" s="27" t="s">
        <v>7</v>
      </c>
      <c r="BS340" s="27" t="s">
        <v>8</v>
      </c>
      <c r="BT340" s="27" t="s">
        <v>7</v>
      </c>
      <c r="BU340" s="27" t="s">
        <v>8</v>
      </c>
      <c r="BV340" s="27" t="s">
        <v>7</v>
      </c>
      <c r="BW340" s="27" t="s">
        <v>8</v>
      </c>
      <c r="DL340" s="27" t="s">
        <v>7</v>
      </c>
      <c r="DM340" s="27" t="s">
        <v>8</v>
      </c>
      <c r="EZ340" s="27" t="s">
        <v>7</v>
      </c>
      <c r="FB340" s="27" t="s">
        <v>7</v>
      </c>
    </row>
    <row r="341" spans="1:159" x14ac:dyDescent="0.25">
      <c r="A341" s="30">
        <v>7.2423714265459072E-3</v>
      </c>
      <c r="B341"/>
      <c r="C341"/>
      <c r="D341"/>
      <c r="E341"/>
      <c r="F341" s="27" t="s">
        <v>7</v>
      </c>
      <c r="AW341" s="27" t="s">
        <v>8</v>
      </c>
      <c r="AX341" s="27" t="s">
        <v>7</v>
      </c>
      <c r="BK341" s="27" t="s">
        <v>8</v>
      </c>
      <c r="BL341" s="27" t="s">
        <v>7</v>
      </c>
      <c r="BO341" s="27" t="s">
        <v>8</v>
      </c>
      <c r="BP341" s="27" t="s">
        <v>7</v>
      </c>
      <c r="BQ341" s="27" t="s">
        <v>8</v>
      </c>
      <c r="BR341" s="27" t="s">
        <v>7</v>
      </c>
      <c r="BT341" s="27" t="s">
        <v>7</v>
      </c>
      <c r="BU341" s="27" t="s">
        <v>8</v>
      </c>
      <c r="BV341" s="27" t="s">
        <v>7</v>
      </c>
      <c r="BW341" s="27" t="s">
        <v>8</v>
      </c>
      <c r="DL341" s="27" t="s">
        <v>7</v>
      </c>
      <c r="DM341" s="27" t="s">
        <v>8</v>
      </c>
    </row>
    <row r="342" spans="1:159" x14ac:dyDescent="0.25">
      <c r="A342" s="30">
        <v>6.8974965967103846E-3</v>
      </c>
      <c r="B342"/>
      <c r="C342"/>
      <c r="D342"/>
      <c r="E342"/>
      <c r="F342" s="27" t="s">
        <v>7</v>
      </c>
      <c r="AW342" s="27" t="s">
        <v>8</v>
      </c>
      <c r="AX342" s="27" t="s">
        <v>7</v>
      </c>
      <c r="BK342" s="27" t="s">
        <v>8</v>
      </c>
      <c r="BL342" s="27" t="s">
        <v>7</v>
      </c>
      <c r="BO342" s="27" t="s">
        <v>8</v>
      </c>
      <c r="BP342" s="27" t="s">
        <v>7</v>
      </c>
      <c r="BQ342" s="27" t="s">
        <v>8</v>
      </c>
      <c r="BT342" s="27" t="s">
        <v>7</v>
      </c>
      <c r="BU342" s="27" t="s">
        <v>8</v>
      </c>
      <c r="BV342" s="27" t="s">
        <v>7</v>
      </c>
      <c r="BW342" s="27" t="s">
        <v>8</v>
      </c>
      <c r="DL342" s="27" t="s">
        <v>7</v>
      </c>
      <c r="DM342" s="27" t="s">
        <v>8</v>
      </c>
    </row>
    <row r="343" spans="1:159" x14ac:dyDescent="0.25">
      <c r="A343" s="30">
        <v>6.5690443778194116E-3</v>
      </c>
      <c r="B343"/>
      <c r="C343"/>
      <c r="D343"/>
      <c r="E343"/>
      <c r="F343" s="27" t="s">
        <v>7</v>
      </c>
      <c r="AW343" s="27" t="s">
        <v>8</v>
      </c>
      <c r="AX343" s="27" t="s">
        <v>7</v>
      </c>
      <c r="BK343" s="27" t="s">
        <v>8</v>
      </c>
      <c r="BL343" s="27" t="s">
        <v>7</v>
      </c>
      <c r="BM343" s="27" t="s">
        <v>8</v>
      </c>
      <c r="BO343" s="27" t="s">
        <v>8</v>
      </c>
      <c r="BP343" s="27" t="s">
        <v>7</v>
      </c>
      <c r="BQ343" s="27" t="s">
        <v>8</v>
      </c>
      <c r="BT343" s="27" t="s">
        <v>7</v>
      </c>
      <c r="BU343" s="27" t="s">
        <v>8</v>
      </c>
      <c r="BV343" s="27" t="s">
        <v>7</v>
      </c>
      <c r="DL343" s="27" t="s">
        <v>7</v>
      </c>
      <c r="DM343" s="27" t="s">
        <v>8</v>
      </c>
    </row>
    <row r="344" spans="1:159" x14ac:dyDescent="0.25">
      <c r="A344" s="30">
        <v>6.2562327407803897E-3</v>
      </c>
      <c r="B344"/>
      <c r="C344"/>
      <c r="D344"/>
      <c r="E344"/>
      <c r="F344" s="27" t="s">
        <v>7</v>
      </c>
      <c r="AW344" s="27" t="s">
        <v>8</v>
      </c>
      <c r="AX344" s="27" t="s">
        <v>7</v>
      </c>
      <c r="BK344" s="27" t="s">
        <v>8</v>
      </c>
      <c r="BL344" s="27" t="s">
        <v>7</v>
      </c>
      <c r="BM344" s="27" t="s">
        <v>8</v>
      </c>
      <c r="BN344" s="27" t="s">
        <v>7</v>
      </c>
      <c r="BO344" s="27" t="s">
        <v>8</v>
      </c>
      <c r="BP344" s="27" t="s">
        <v>7</v>
      </c>
      <c r="BQ344" s="27" t="s">
        <v>8</v>
      </c>
      <c r="BT344" s="27" t="s">
        <v>7</v>
      </c>
      <c r="BU344" s="27" t="s">
        <v>8</v>
      </c>
      <c r="DL344" s="27" t="s">
        <v>7</v>
      </c>
      <c r="DM344" s="27" t="s">
        <v>8</v>
      </c>
    </row>
    <row r="345" spans="1:159" x14ac:dyDescent="0.25">
      <c r="A345" s="30">
        <v>5.9583168959813212E-3</v>
      </c>
      <c r="B345"/>
      <c r="C345"/>
      <c r="D345"/>
      <c r="E345"/>
      <c r="F345" s="27" t="s">
        <v>7</v>
      </c>
      <c r="AW345" s="27" t="s">
        <v>8</v>
      </c>
      <c r="AX345" s="27" t="s">
        <v>7</v>
      </c>
      <c r="BK345" s="27" t="s">
        <v>8</v>
      </c>
      <c r="BL345" s="27" t="s">
        <v>7</v>
      </c>
      <c r="BM345" s="27" t="s">
        <v>8</v>
      </c>
      <c r="BN345" s="27" t="s">
        <v>7</v>
      </c>
      <c r="BO345" s="27" t="s">
        <v>8</v>
      </c>
      <c r="BP345" s="27" t="s">
        <v>7</v>
      </c>
      <c r="BQ345" s="27" t="s">
        <v>8</v>
      </c>
      <c r="BT345" s="27" t="s">
        <v>7</v>
      </c>
      <c r="BU345" s="27" t="s">
        <v>8</v>
      </c>
      <c r="DL345" s="27" t="s">
        <v>7</v>
      </c>
      <c r="DM345" s="27" t="s">
        <v>8</v>
      </c>
    </row>
    <row r="346" spans="1:159" x14ac:dyDescent="0.25">
      <c r="A346" s="30">
        <v>5.6745875199822084E-3</v>
      </c>
      <c r="B346"/>
      <c r="C346"/>
      <c r="D346"/>
      <c r="E346"/>
      <c r="F346" s="27" t="s">
        <v>7</v>
      </c>
      <c r="AW346" s="27" t="s">
        <v>8</v>
      </c>
      <c r="AX346" s="27" t="s">
        <v>7</v>
      </c>
      <c r="BK346" s="27" t="s">
        <v>8</v>
      </c>
      <c r="BL346" s="27" t="s">
        <v>7</v>
      </c>
      <c r="BM346" s="27" t="s">
        <v>8</v>
      </c>
      <c r="BN346" s="27" t="s">
        <v>7</v>
      </c>
      <c r="BP346" s="27" t="s">
        <v>7</v>
      </c>
      <c r="BQ346" s="27" t="s">
        <v>8</v>
      </c>
      <c r="BT346" s="27" t="s">
        <v>7</v>
      </c>
      <c r="DL346" s="27" t="s">
        <v>7</v>
      </c>
    </row>
    <row r="347" spans="1:159" x14ac:dyDescent="0.25">
      <c r="A347" s="30">
        <v>5.4043690666497205E-3</v>
      </c>
      <c r="B347"/>
      <c r="C347"/>
      <c r="D347"/>
      <c r="E347"/>
      <c r="F347" s="27" t="s">
        <v>7</v>
      </c>
      <c r="AW347" s="27" t="s">
        <v>8</v>
      </c>
      <c r="AX347" s="27" t="s">
        <v>7</v>
      </c>
      <c r="BK347" s="27" t="s">
        <v>8</v>
      </c>
      <c r="BL347" s="27" t="s">
        <v>7</v>
      </c>
      <c r="BP347" s="27" t="s">
        <v>7</v>
      </c>
    </row>
    <row r="348" spans="1:159" x14ac:dyDescent="0.25">
      <c r="A348" s="30">
        <v>5.1470181587140174E-3</v>
      </c>
      <c r="B348"/>
      <c r="C348"/>
      <c r="D348"/>
      <c r="E348"/>
      <c r="F348" s="27" t="s">
        <v>7</v>
      </c>
      <c r="AW348" s="27" t="s">
        <v>8</v>
      </c>
      <c r="AX348" s="27" t="s">
        <v>7</v>
      </c>
      <c r="BE348" s="27" t="s">
        <v>8</v>
      </c>
      <c r="BK348" s="27" t="s">
        <v>8</v>
      </c>
    </row>
    <row r="349" spans="1:159" x14ac:dyDescent="0.25">
      <c r="A349" s="30">
        <v>4.9019220559181099E-3</v>
      </c>
      <c r="B349"/>
      <c r="C349"/>
      <c r="D349"/>
      <c r="E349"/>
      <c r="F349" s="27" t="s">
        <v>7</v>
      </c>
      <c r="AU349" s="27" t="s">
        <v>8</v>
      </c>
      <c r="AW349" s="27" t="s">
        <v>8</v>
      </c>
      <c r="AX349" s="27" t="s">
        <v>7</v>
      </c>
      <c r="BE349" s="27" t="s">
        <v>8</v>
      </c>
      <c r="BF349" s="27" t="s">
        <v>7</v>
      </c>
      <c r="BK349" s="27" t="s">
        <v>8</v>
      </c>
    </row>
    <row r="350" spans="1:159" x14ac:dyDescent="0.25">
      <c r="A350" s="30">
        <v>4.6684971961124836E-3</v>
      </c>
      <c r="B350"/>
      <c r="C350"/>
      <c r="D350"/>
      <c r="E350"/>
      <c r="F350" s="27" t="s">
        <v>7</v>
      </c>
      <c r="AE350" s="27" t="s">
        <v>8</v>
      </c>
      <c r="AU350" s="27" t="s">
        <v>8</v>
      </c>
      <c r="AV350" s="27" t="s">
        <v>7</v>
      </c>
      <c r="AW350" s="27" t="s">
        <v>8</v>
      </c>
      <c r="AX350" s="27" t="s">
        <v>7</v>
      </c>
      <c r="BE350" s="27" t="s">
        <v>8</v>
      </c>
      <c r="BF350" s="27" t="s">
        <v>7</v>
      </c>
      <c r="BI350" s="27" t="s">
        <v>8</v>
      </c>
      <c r="BK350" s="27" t="s">
        <v>8</v>
      </c>
    </row>
    <row r="351" spans="1:159" x14ac:dyDescent="0.25">
      <c r="A351" s="30">
        <v>4.4461878058214112E-3</v>
      </c>
      <c r="B351"/>
      <c r="C351"/>
      <c r="D351"/>
      <c r="E351"/>
      <c r="F351" s="27" t="s">
        <v>7</v>
      </c>
      <c r="AE351" s="27" t="s">
        <v>8</v>
      </c>
      <c r="AF351" s="27" t="s">
        <v>7</v>
      </c>
      <c r="AU351" s="27" t="s">
        <v>8</v>
      </c>
      <c r="AV351" s="27" t="s">
        <v>7</v>
      </c>
      <c r="AW351" s="27" t="s">
        <v>8</v>
      </c>
      <c r="AX351" s="27" t="s">
        <v>7</v>
      </c>
      <c r="BC351" s="27" t="s">
        <v>8</v>
      </c>
      <c r="BE351" s="27" t="s">
        <v>8</v>
      </c>
      <c r="BF351" s="27" t="s">
        <v>7</v>
      </c>
      <c r="BI351" s="27" t="s">
        <v>8</v>
      </c>
      <c r="BJ351" s="27" t="s">
        <v>7</v>
      </c>
      <c r="BK351" s="27" t="s">
        <v>8</v>
      </c>
    </row>
    <row r="352" spans="1:159" x14ac:dyDescent="0.25">
      <c r="A352" s="30">
        <v>4.2344645769727711E-3</v>
      </c>
      <c r="B352"/>
      <c r="C352"/>
      <c r="D352"/>
      <c r="E352"/>
      <c r="F352" s="27" t="s">
        <v>7</v>
      </c>
      <c r="AE352" s="27" t="s">
        <v>8</v>
      </c>
      <c r="AF352" s="27" t="s">
        <v>7</v>
      </c>
      <c r="AU352" s="27" t="s">
        <v>8</v>
      </c>
      <c r="AV352" s="27" t="s">
        <v>7</v>
      </c>
      <c r="AW352" s="27" t="s">
        <v>8</v>
      </c>
      <c r="AX352" s="27" t="s">
        <v>7</v>
      </c>
      <c r="AY352" s="27" t="s">
        <v>8</v>
      </c>
      <c r="BC352" s="27" t="s">
        <v>8</v>
      </c>
      <c r="BD352" s="27" t="s">
        <v>7</v>
      </c>
      <c r="BE352" s="27" t="s">
        <v>8</v>
      </c>
      <c r="BF352" s="27" t="s">
        <v>7</v>
      </c>
      <c r="BI352" s="27" t="s">
        <v>8</v>
      </c>
      <c r="BJ352" s="27" t="s">
        <v>7</v>
      </c>
      <c r="BK352" s="27" t="s">
        <v>8</v>
      </c>
    </row>
    <row r="353" spans="1:63" x14ac:dyDescent="0.25">
      <c r="A353" s="30">
        <v>4.0328234066407329E-3</v>
      </c>
      <c r="B353"/>
      <c r="C353"/>
      <c r="D353"/>
      <c r="E353"/>
      <c r="F353" s="27" t="s">
        <v>7</v>
      </c>
      <c r="AE353" s="27" t="s">
        <v>8</v>
      </c>
      <c r="AF353" s="27" t="s">
        <v>7</v>
      </c>
      <c r="AU353" s="27" t="s">
        <v>8</v>
      </c>
      <c r="AV353" s="27" t="s">
        <v>7</v>
      </c>
      <c r="AW353" s="27" t="s">
        <v>8</v>
      </c>
      <c r="AX353" s="27" t="s">
        <v>7</v>
      </c>
      <c r="AY353" s="27" t="s">
        <v>8</v>
      </c>
      <c r="AZ353" s="27" t="s">
        <v>7</v>
      </c>
      <c r="BC353" s="27" t="s">
        <v>8</v>
      </c>
      <c r="BD353" s="27" t="s">
        <v>7</v>
      </c>
      <c r="BE353" s="27" t="s">
        <v>8</v>
      </c>
      <c r="BF353" s="27" t="s">
        <v>7</v>
      </c>
      <c r="BG353" s="27" t="s">
        <v>8</v>
      </c>
      <c r="BI353" s="27" t="s">
        <v>8</v>
      </c>
      <c r="BJ353" s="27" t="s">
        <v>7</v>
      </c>
      <c r="BK353" s="27" t="s">
        <v>8</v>
      </c>
    </row>
    <row r="354" spans="1:63" x14ac:dyDescent="0.25">
      <c r="A354" s="30">
        <v>3.8407841968006963E-3</v>
      </c>
      <c r="B354"/>
      <c r="C354"/>
      <c r="D354"/>
      <c r="E354"/>
      <c r="F354" s="27" t="s">
        <v>7</v>
      </c>
      <c r="AE354" s="27" t="s">
        <v>8</v>
      </c>
      <c r="AF354" s="27" t="s">
        <v>7</v>
      </c>
      <c r="AU354" s="27" t="s">
        <v>8</v>
      </c>
      <c r="AV354" s="27" t="s">
        <v>7</v>
      </c>
      <c r="AW354" s="27" t="s">
        <v>8</v>
      </c>
      <c r="AX354" s="27" t="s">
        <v>7</v>
      </c>
      <c r="AY354" s="27" t="s">
        <v>8</v>
      </c>
      <c r="AZ354" s="27" t="s">
        <v>7</v>
      </c>
      <c r="BA354" s="27" t="s">
        <v>8</v>
      </c>
      <c r="BC354" s="27" t="s">
        <v>8</v>
      </c>
      <c r="BD354" s="27" t="s">
        <v>7</v>
      </c>
      <c r="BE354" s="27" t="s">
        <v>8</v>
      </c>
      <c r="BF354" s="27" t="s">
        <v>7</v>
      </c>
      <c r="BG354" s="27" t="s">
        <v>8</v>
      </c>
      <c r="BH354" s="27" t="s">
        <v>7</v>
      </c>
      <c r="BI354" s="27" t="s">
        <v>8</v>
      </c>
      <c r="BJ354" s="27" t="s">
        <v>7</v>
      </c>
    </row>
    <row r="355" spans="1:63" x14ac:dyDescent="0.25">
      <c r="A355" s="30">
        <v>3.6578897112387568E-3</v>
      </c>
      <c r="B355"/>
      <c r="C355"/>
      <c r="D355"/>
      <c r="E355"/>
      <c r="F355" s="27" t="s">
        <v>7</v>
      </c>
      <c r="AE355" s="27" t="s">
        <v>8</v>
      </c>
      <c r="AF355" s="27" t="s">
        <v>7</v>
      </c>
      <c r="AU355" s="27" t="s">
        <v>8</v>
      </c>
      <c r="AV355" s="27" t="s">
        <v>7</v>
      </c>
      <c r="AW355" s="27" t="s">
        <v>8</v>
      </c>
      <c r="AX355" s="27" t="s">
        <v>7</v>
      </c>
      <c r="AZ355" s="27" t="s">
        <v>7</v>
      </c>
      <c r="BA355" s="27" t="s">
        <v>8</v>
      </c>
      <c r="BB355" s="27" t="s">
        <v>7</v>
      </c>
      <c r="BC355" s="27" t="s">
        <v>8</v>
      </c>
      <c r="BD355" s="27" t="s">
        <v>7</v>
      </c>
      <c r="BF355" s="27" t="s">
        <v>7</v>
      </c>
      <c r="BG355" s="27" t="s">
        <v>8</v>
      </c>
      <c r="BH355" s="27" t="s">
        <v>7</v>
      </c>
      <c r="BI355" s="27" t="s">
        <v>8</v>
      </c>
    </row>
    <row r="356" spans="1:63" x14ac:dyDescent="0.25">
      <c r="A356" s="30">
        <v>3.4837044868940526E-3</v>
      </c>
      <c r="B356"/>
      <c r="C356"/>
      <c r="D356"/>
      <c r="E356"/>
      <c r="F356" s="27" t="s">
        <v>7</v>
      </c>
      <c r="AE356" s="27" t="s">
        <v>8</v>
      </c>
      <c r="AF356" s="27" t="s">
        <v>7</v>
      </c>
      <c r="AU356" s="27" t="s">
        <v>8</v>
      </c>
      <c r="AV356" s="27" t="s">
        <v>7</v>
      </c>
      <c r="AW356" s="27" t="s">
        <v>8</v>
      </c>
      <c r="AZ356" s="27" t="s">
        <v>7</v>
      </c>
      <c r="BA356" s="27" t="s">
        <v>8</v>
      </c>
      <c r="BB356" s="27" t="s">
        <v>7</v>
      </c>
      <c r="BC356" s="27" t="s">
        <v>8</v>
      </c>
      <c r="BF356" s="27" t="s">
        <v>7</v>
      </c>
      <c r="BG356" s="27" t="s">
        <v>8</v>
      </c>
      <c r="BH356" s="27" t="s">
        <v>7</v>
      </c>
    </row>
    <row r="357" spans="1:63" x14ac:dyDescent="0.25">
      <c r="A357" s="30">
        <v>3.3178137970419535E-3</v>
      </c>
      <c r="B357"/>
      <c r="C357"/>
      <c r="D357"/>
      <c r="E357"/>
      <c r="F357" s="27" t="s">
        <v>7</v>
      </c>
      <c r="AE357" s="27" t="s">
        <v>8</v>
      </c>
      <c r="AF357" s="27" t="s">
        <v>7</v>
      </c>
      <c r="AU357" s="27" t="s">
        <v>8</v>
      </c>
      <c r="AV357" s="27" t="s">
        <v>7</v>
      </c>
      <c r="AW357" s="27" t="s">
        <v>8</v>
      </c>
      <c r="AZ357" s="27" t="s">
        <v>7</v>
      </c>
      <c r="BA357" s="27" t="s">
        <v>8</v>
      </c>
      <c r="BB357" s="27" t="s">
        <v>7</v>
      </c>
      <c r="BF357" s="27" t="s">
        <v>7</v>
      </c>
    </row>
    <row r="358" spans="1:63" x14ac:dyDescent="0.25">
      <c r="A358" s="30">
        <v>3.1598226638494781E-3</v>
      </c>
      <c r="B358"/>
      <c r="C358"/>
      <c r="D358"/>
      <c r="E358"/>
      <c r="F358" s="27" t="s">
        <v>7</v>
      </c>
      <c r="AE358" s="27" t="s">
        <v>8</v>
      </c>
      <c r="AF358" s="27" t="s">
        <v>7</v>
      </c>
      <c r="AU358" s="27" t="s">
        <v>8</v>
      </c>
      <c r="AV358" s="27" t="s">
        <v>7</v>
      </c>
      <c r="AW358" s="27" t="s">
        <v>8</v>
      </c>
      <c r="AZ358" s="27" t="s">
        <v>7</v>
      </c>
      <c r="BA358" s="27" t="s">
        <v>8</v>
      </c>
    </row>
    <row r="359" spans="1:63" x14ac:dyDescent="0.25">
      <c r="A359" s="30">
        <v>3.0093549179518826E-3</v>
      </c>
      <c r="B359"/>
      <c r="C359"/>
      <c r="D359"/>
      <c r="E359"/>
      <c r="F359" s="27" t="s">
        <v>7</v>
      </c>
      <c r="AE359" s="27" t="s">
        <v>8</v>
      </c>
      <c r="AF359" s="27" t="s">
        <v>7</v>
      </c>
      <c r="AG359" s="27" t="s">
        <v>8</v>
      </c>
      <c r="AQ359" s="27" t="s">
        <v>8</v>
      </c>
      <c r="AU359" s="27" t="s">
        <v>8</v>
      </c>
      <c r="AV359" s="27" t="s">
        <v>7</v>
      </c>
      <c r="AW359" s="27" t="s">
        <v>8</v>
      </c>
      <c r="AZ359" s="27" t="s">
        <v>7</v>
      </c>
      <c r="BA359" s="27" t="s">
        <v>8</v>
      </c>
    </row>
    <row r="360" spans="1:63" x14ac:dyDescent="0.25">
      <c r="A360" s="30">
        <v>2.8660523028113155E-3</v>
      </c>
      <c r="B360"/>
      <c r="C360"/>
      <c r="D360"/>
      <c r="E360"/>
      <c r="F360" s="27" t="s">
        <v>7</v>
      </c>
      <c r="AA360" s="27" t="s">
        <v>8</v>
      </c>
      <c r="AE360" s="27" t="s">
        <v>8</v>
      </c>
      <c r="AF360" s="27" t="s">
        <v>7</v>
      </c>
      <c r="AG360" s="27" t="s">
        <v>8</v>
      </c>
      <c r="AH360" s="27" t="s">
        <v>7</v>
      </c>
      <c r="AO360" s="27" t="s">
        <v>8</v>
      </c>
      <c r="AQ360" s="27" t="s">
        <v>8</v>
      </c>
      <c r="AR360" s="27" t="s">
        <v>7</v>
      </c>
      <c r="AS360" s="27" t="s">
        <v>8</v>
      </c>
      <c r="AU360" s="27" t="s">
        <v>8</v>
      </c>
      <c r="AV360" s="27" t="s">
        <v>7</v>
      </c>
      <c r="AW360" s="27" t="s">
        <v>8</v>
      </c>
      <c r="AZ360" s="27" t="s">
        <v>7</v>
      </c>
    </row>
    <row r="361" spans="1:63" x14ac:dyDescent="0.25">
      <c r="A361" s="30">
        <v>2.7295736217250611E-3</v>
      </c>
      <c r="B361"/>
      <c r="C361"/>
      <c r="D361"/>
      <c r="E361"/>
      <c r="F361" s="27" t="s">
        <v>7</v>
      </c>
      <c r="Y361" s="27" t="s">
        <v>8</v>
      </c>
      <c r="AA361" s="27" t="s">
        <v>8</v>
      </c>
      <c r="AB361" s="27" t="s">
        <v>7</v>
      </c>
      <c r="AC361" s="27" t="s">
        <v>8</v>
      </c>
      <c r="AE361" s="27" t="s">
        <v>8</v>
      </c>
      <c r="AF361" s="27" t="s">
        <v>7</v>
      </c>
      <c r="AG361" s="27" t="s">
        <v>8</v>
      </c>
      <c r="AH361" s="27" t="s">
        <v>7</v>
      </c>
      <c r="AO361" s="27" t="s">
        <v>8</v>
      </c>
      <c r="AP361" s="27" t="s">
        <v>7</v>
      </c>
      <c r="AQ361" s="27" t="s">
        <v>8</v>
      </c>
      <c r="AR361" s="27" t="s">
        <v>7</v>
      </c>
      <c r="AS361" s="27" t="s">
        <v>8</v>
      </c>
      <c r="AT361" s="27" t="s">
        <v>7</v>
      </c>
      <c r="AU361" s="27" t="s">
        <v>8</v>
      </c>
      <c r="AV361" s="27" t="s">
        <v>7</v>
      </c>
    </row>
    <row r="362" spans="1:63" x14ac:dyDescent="0.25">
      <c r="A362" s="30">
        <v>2.5995939254524381E-3</v>
      </c>
      <c r="B362"/>
      <c r="C362"/>
      <c r="D362"/>
      <c r="E362"/>
      <c r="F362" s="27" t="s">
        <v>7</v>
      </c>
      <c r="K362" s="27" t="s">
        <v>8</v>
      </c>
      <c r="Y362" s="27" t="s">
        <v>8</v>
      </c>
      <c r="Z362" s="27" t="s">
        <v>7</v>
      </c>
      <c r="AA362" s="27" t="s">
        <v>8</v>
      </c>
      <c r="AB362" s="27" t="s">
        <v>7</v>
      </c>
      <c r="AC362" s="27" t="s">
        <v>8</v>
      </c>
      <c r="AD362" s="27" t="s">
        <v>7</v>
      </c>
      <c r="AE362" s="27" t="s">
        <v>8</v>
      </c>
      <c r="AF362" s="27" t="s">
        <v>7</v>
      </c>
      <c r="AG362" s="27" t="s">
        <v>8</v>
      </c>
      <c r="AH362" s="27" t="s">
        <v>7</v>
      </c>
      <c r="AI362" s="27" t="s">
        <v>8</v>
      </c>
      <c r="AK362" s="27" t="s">
        <v>8</v>
      </c>
      <c r="AM362" s="27" t="s">
        <v>8</v>
      </c>
      <c r="AO362" s="27" t="s">
        <v>8</v>
      </c>
      <c r="AP362" s="27" t="s">
        <v>7</v>
      </c>
      <c r="AQ362" s="27" t="s">
        <v>8</v>
      </c>
      <c r="AR362" s="27" t="s">
        <v>7</v>
      </c>
      <c r="AS362" s="27" t="s">
        <v>8</v>
      </c>
      <c r="AT362" s="27" t="s">
        <v>7</v>
      </c>
      <c r="AU362" s="27" t="s">
        <v>8</v>
      </c>
    </row>
    <row r="363" spans="1:63" x14ac:dyDescent="0.25">
      <c r="A363" s="30">
        <v>2.4758037385261304E-3</v>
      </c>
      <c r="B363"/>
      <c r="C363"/>
      <c r="D363"/>
      <c r="E363"/>
      <c r="F363" s="27" t="s">
        <v>7</v>
      </c>
      <c r="K363" s="27" t="s">
        <v>8</v>
      </c>
      <c r="L363" s="27" t="s">
        <v>7</v>
      </c>
      <c r="O363" s="27" t="s">
        <v>8</v>
      </c>
      <c r="W363" s="27" t="s">
        <v>8</v>
      </c>
      <c r="Y363" s="27" t="s">
        <v>8</v>
      </c>
      <c r="Z363" s="27" t="s">
        <v>7</v>
      </c>
      <c r="AA363" s="27" t="s">
        <v>8</v>
      </c>
      <c r="AB363" s="27" t="s">
        <v>7</v>
      </c>
      <c r="AC363" s="27" t="s">
        <v>8</v>
      </c>
      <c r="AD363" s="27" t="s">
        <v>7</v>
      </c>
      <c r="AE363" s="27" t="s">
        <v>8</v>
      </c>
      <c r="AF363" s="27" t="s">
        <v>7</v>
      </c>
      <c r="AG363" s="27" t="s">
        <v>8</v>
      </c>
      <c r="AH363" s="27" t="s">
        <v>7</v>
      </c>
      <c r="AI363" s="27" t="s">
        <v>8</v>
      </c>
      <c r="AJ363" s="27" t="s">
        <v>7</v>
      </c>
      <c r="AK363" s="27" t="s">
        <v>8</v>
      </c>
      <c r="AL363" s="27" t="s">
        <v>7</v>
      </c>
      <c r="AM363" s="27" t="s">
        <v>8</v>
      </c>
      <c r="AN363" s="27" t="s">
        <v>7</v>
      </c>
      <c r="AO363" s="27" t="s">
        <v>8</v>
      </c>
      <c r="AP363" s="27" t="s">
        <v>7</v>
      </c>
      <c r="AR363" s="27" t="s">
        <v>7</v>
      </c>
      <c r="AS363" s="27" t="s">
        <v>8</v>
      </c>
      <c r="AT363" s="27" t="s">
        <v>7</v>
      </c>
      <c r="AU363" s="27" t="s">
        <v>8</v>
      </c>
    </row>
    <row r="364" spans="1:63" x14ac:dyDescent="0.25">
      <c r="A364" s="30">
        <v>2.3579083224058374E-3</v>
      </c>
      <c r="B364"/>
      <c r="C364"/>
      <c r="D364"/>
      <c r="E364"/>
      <c r="F364" s="27" t="s">
        <v>7</v>
      </c>
      <c r="K364" s="27" t="s">
        <v>8</v>
      </c>
      <c r="L364" s="27" t="s">
        <v>7</v>
      </c>
      <c r="M364" s="27" t="s">
        <v>8</v>
      </c>
      <c r="O364" s="27" t="s">
        <v>8</v>
      </c>
      <c r="P364" s="27" t="s">
        <v>7</v>
      </c>
      <c r="Q364" s="27" t="s">
        <v>8</v>
      </c>
      <c r="W364" s="27" t="s">
        <v>8</v>
      </c>
      <c r="X364" s="27" t="s">
        <v>7</v>
      </c>
      <c r="Y364" s="27" t="s">
        <v>8</v>
      </c>
      <c r="Z364" s="27" t="s">
        <v>7</v>
      </c>
      <c r="AA364" s="27" t="s">
        <v>8</v>
      </c>
      <c r="AB364" s="27" t="s">
        <v>7</v>
      </c>
      <c r="AC364" s="27" t="s">
        <v>8</v>
      </c>
      <c r="AD364" s="27" t="s">
        <v>7</v>
      </c>
      <c r="AE364" s="27" t="s">
        <v>8</v>
      </c>
      <c r="AF364" s="27" t="s">
        <v>7</v>
      </c>
      <c r="AG364" s="27" t="s">
        <v>8</v>
      </c>
      <c r="AH364" s="27" t="s">
        <v>7</v>
      </c>
      <c r="AI364" s="27" t="s">
        <v>8</v>
      </c>
      <c r="AJ364" s="27" t="s">
        <v>7</v>
      </c>
      <c r="AK364" s="27" t="s">
        <v>8</v>
      </c>
      <c r="AL364" s="27" t="s">
        <v>7</v>
      </c>
      <c r="AM364" s="27" t="s">
        <v>8</v>
      </c>
      <c r="AN364" s="27" t="s">
        <v>7</v>
      </c>
      <c r="AO364" s="27" t="s">
        <v>8</v>
      </c>
      <c r="AR364" s="27" t="s">
        <v>7</v>
      </c>
      <c r="AT364" s="27" t="s">
        <v>7</v>
      </c>
      <c r="AU364" s="27" t="s">
        <v>8</v>
      </c>
    </row>
    <row r="365" spans="1:63" x14ac:dyDescent="0.25">
      <c r="A365" s="30">
        <v>2.245626973719844E-3</v>
      </c>
      <c r="B365"/>
      <c r="C365"/>
      <c r="D365"/>
      <c r="E365"/>
      <c r="F365" s="27" t="s">
        <v>7</v>
      </c>
      <c r="K365" s="27" t="s">
        <v>8</v>
      </c>
      <c r="L365" s="27" t="s">
        <v>7</v>
      </c>
      <c r="M365" s="27" t="s">
        <v>8</v>
      </c>
      <c r="N365" s="27" t="s">
        <v>7</v>
      </c>
      <c r="O365" s="27" t="s">
        <v>8</v>
      </c>
      <c r="P365" s="27" t="s">
        <v>7</v>
      </c>
      <c r="Q365" s="27" t="s">
        <v>8</v>
      </c>
      <c r="R365" s="27" t="s">
        <v>7</v>
      </c>
      <c r="S365" s="27" t="s">
        <v>8</v>
      </c>
      <c r="W365" s="27" t="s">
        <v>8</v>
      </c>
      <c r="X365" s="27" t="s">
        <v>7</v>
      </c>
      <c r="Y365" s="27" t="s">
        <v>8</v>
      </c>
      <c r="Z365" s="27" t="s">
        <v>7</v>
      </c>
      <c r="AB365" s="27" t="s">
        <v>7</v>
      </c>
      <c r="AD365" s="27" t="s">
        <v>7</v>
      </c>
      <c r="AF365" s="27" t="s">
        <v>7</v>
      </c>
      <c r="AG365" s="27" t="s">
        <v>8</v>
      </c>
      <c r="AH365" s="27" t="s">
        <v>7</v>
      </c>
      <c r="AJ365" s="27" t="s">
        <v>7</v>
      </c>
      <c r="AL365" s="27" t="s">
        <v>7</v>
      </c>
      <c r="AM365" s="27" t="s">
        <v>8</v>
      </c>
      <c r="AN365" s="27" t="s">
        <v>7</v>
      </c>
      <c r="AO365" s="27" t="s">
        <v>8</v>
      </c>
      <c r="AT365" s="27" t="s">
        <v>7</v>
      </c>
      <c r="AU365" s="27" t="s">
        <v>8</v>
      </c>
    </row>
    <row r="366" spans="1:63" x14ac:dyDescent="0.25">
      <c r="A366" s="30">
        <v>2.1386923559236601E-3</v>
      </c>
      <c r="B366"/>
      <c r="C366"/>
      <c r="D366"/>
      <c r="E366"/>
      <c r="F366" s="27" t="s">
        <v>7</v>
      </c>
      <c r="K366" s="27" t="s">
        <v>8</v>
      </c>
      <c r="L366" s="27" t="s">
        <v>7</v>
      </c>
      <c r="M366" s="27" t="s">
        <v>8</v>
      </c>
      <c r="N366" s="27" t="s">
        <v>7</v>
      </c>
      <c r="O366" s="27" t="s">
        <v>8</v>
      </c>
      <c r="P366" s="27" t="s">
        <v>7</v>
      </c>
      <c r="Q366" s="27" t="s">
        <v>8</v>
      </c>
      <c r="R366" s="27" t="s">
        <v>7</v>
      </c>
      <c r="S366" s="27" t="s">
        <v>8</v>
      </c>
      <c r="T366" s="27" t="s">
        <v>7</v>
      </c>
      <c r="U366" s="27" t="s">
        <v>8</v>
      </c>
      <c r="W366" s="27" t="s">
        <v>8</v>
      </c>
      <c r="X366" s="27" t="s">
        <v>7</v>
      </c>
      <c r="Y366" s="27" t="s">
        <v>8</v>
      </c>
      <c r="AF366" s="27" t="s">
        <v>7</v>
      </c>
      <c r="AG366" s="27" t="s">
        <v>8</v>
      </c>
      <c r="AL366" s="27" t="s">
        <v>7</v>
      </c>
      <c r="AM366" s="27" t="s">
        <v>8</v>
      </c>
      <c r="AN366" s="27" t="s">
        <v>7</v>
      </c>
      <c r="AT366" s="27" t="s">
        <v>7</v>
      </c>
    </row>
    <row r="367" spans="1:63" x14ac:dyDescent="0.25">
      <c r="A367" s="30">
        <v>2.0368498627844375E-3</v>
      </c>
      <c r="B367"/>
      <c r="C367"/>
      <c r="D367"/>
      <c r="E367"/>
      <c r="F367" s="27" t="s">
        <v>7</v>
      </c>
      <c r="K367" s="27" t="s">
        <v>8</v>
      </c>
      <c r="L367" s="27" t="s">
        <v>7</v>
      </c>
      <c r="M367" s="27" t="s">
        <v>8</v>
      </c>
      <c r="N367" s="27" t="s">
        <v>7</v>
      </c>
      <c r="O367" s="27" t="s">
        <v>8</v>
      </c>
      <c r="P367" s="27" t="s">
        <v>7</v>
      </c>
      <c r="R367" s="27" t="s">
        <v>7</v>
      </c>
      <c r="S367" s="27" t="s">
        <v>8</v>
      </c>
      <c r="T367" s="27" t="s">
        <v>7</v>
      </c>
      <c r="U367" s="27" t="s">
        <v>8</v>
      </c>
      <c r="V367" s="27" t="s">
        <v>7</v>
      </c>
      <c r="W367" s="27" t="s">
        <v>8</v>
      </c>
      <c r="X367" s="27" t="s">
        <v>7</v>
      </c>
      <c r="AF367" s="27" t="s">
        <v>7</v>
      </c>
      <c r="AG367" s="27" t="s">
        <v>8</v>
      </c>
      <c r="AL367" s="27" t="s">
        <v>7</v>
      </c>
      <c r="AM367" s="27" t="s">
        <v>8</v>
      </c>
    </row>
    <row r="368" spans="1:63" x14ac:dyDescent="0.25">
      <c r="A368" s="30">
        <v>1.9398570121756541E-3</v>
      </c>
      <c r="B368"/>
      <c r="C368"/>
      <c r="D368"/>
      <c r="E368"/>
      <c r="F368" s="27" t="s">
        <v>7</v>
      </c>
      <c r="G368" s="27" t="s">
        <v>8</v>
      </c>
      <c r="I368" s="27" t="s">
        <v>8</v>
      </c>
      <c r="K368" s="27" t="s">
        <v>8</v>
      </c>
      <c r="L368" s="27" t="s">
        <v>7</v>
      </c>
      <c r="M368" s="27" t="s">
        <v>8</v>
      </c>
      <c r="N368" s="27" t="s">
        <v>7</v>
      </c>
      <c r="O368" s="27" t="s">
        <v>8</v>
      </c>
      <c r="R368" s="27" t="s">
        <v>7</v>
      </c>
      <c r="S368" s="27" t="s">
        <v>8</v>
      </c>
      <c r="T368" s="27" t="s">
        <v>7</v>
      </c>
      <c r="U368" s="27" t="s">
        <v>8</v>
      </c>
      <c r="V368" s="27" t="s">
        <v>7</v>
      </c>
      <c r="W368" s="27" t="s">
        <v>8</v>
      </c>
      <c r="AF368" s="27" t="s">
        <v>7</v>
      </c>
      <c r="AL368" s="27" t="s">
        <v>7</v>
      </c>
      <c r="AM368" s="27" t="s">
        <v>8</v>
      </c>
    </row>
    <row r="369" spans="1:39" x14ac:dyDescent="0.25">
      <c r="A369" s="30">
        <v>1.8474828687387174E-3</v>
      </c>
      <c r="B369"/>
      <c r="C369"/>
      <c r="D369"/>
      <c r="E369"/>
      <c r="F369" s="27" t="s">
        <v>7</v>
      </c>
      <c r="G369" s="27" t="s">
        <v>8</v>
      </c>
      <c r="H369" s="27" t="s">
        <v>7</v>
      </c>
      <c r="I369" s="27" t="s">
        <v>8</v>
      </c>
      <c r="J369" s="27" t="s">
        <v>7</v>
      </c>
      <c r="K369" s="27" t="s">
        <v>8</v>
      </c>
      <c r="L369" s="27" t="s">
        <v>7</v>
      </c>
      <c r="N369" s="27" t="s">
        <v>7</v>
      </c>
      <c r="R369" s="27" t="s">
        <v>7</v>
      </c>
      <c r="S369" s="27" t="s">
        <v>8</v>
      </c>
      <c r="T369" s="27" t="s">
        <v>7</v>
      </c>
      <c r="V369" s="27" t="s">
        <v>7</v>
      </c>
      <c r="AL369" s="27" t="s">
        <v>7</v>
      </c>
      <c r="AM369" s="27" t="s">
        <v>8</v>
      </c>
    </row>
    <row r="370" spans="1:39" x14ac:dyDescent="0.25">
      <c r="A370" s="30">
        <v>1.759507494036873E-3</v>
      </c>
      <c r="B370"/>
      <c r="C370"/>
      <c r="D370"/>
      <c r="E370"/>
      <c r="F370" s="27" t="s">
        <v>7</v>
      </c>
      <c r="G370" s="27" t="s">
        <v>8</v>
      </c>
      <c r="H370" s="27" t="s">
        <v>7</v>
      </c>
      <c r="I370" s="27" t="s">
        <v>8</v>
      </c>
      <c r="J370" s="27" t="s">
        <v>7</v>
      </c>
      <c r="K370" s="27" t="s">
        <v>8</v>
      </c>
      <c r="R370" s="27" t="s">
        <v>7</v>
      </c>
      <c r="AL370" s="27" t="s">
        <v>7</v>
      </c>
    </row>
    <row r="371" spans="1:39" x14ac:dyDescent="0.25">
      <c r="A371" s="30">
        <v>1.6757214228922594E-3</v>
      </c>
      <c r="B371"/>
      <c r="C371"/>
      <c r="D371"/>
      <c r="E371"/>
      <c r="F371" s="27" t="s">
        <v>7</v>
      </c>
      <c r="G371" s="27" t="s">
        <v>8</v>
      </c>
      <c r="H371" s="27" t="s">
        <v>7</v>
      </c>
      <c r="J371" s="27" t="s">
        <v>7</v>
      </c>
      <c r="K371" s="27" t="s">
        <v>8</v>
      </c>
    </row>
    <row r="372" spans="1:39" x14ac:dyDescent="0.25">
      <c r="A372" s="30">
        <v>1.595925164659294E-3</v>
      </c>
      <c r="B372"/>
      <c r="C372"/>
      <c r="D372"/>
      <c r="E372"/>
      <c r="F372" s="27" t="s">
        <v>7</v>
      </c>
      <c r="J372" s="27" t="s">
        <v>7</v>
      </c>
      <c r="K372" s="27" t="s">
        <v>8</v>
      </c>
    </row>
    <row r="373" spans="1:39" x14ac:dyDescent="0.25">
      <c r="A373" s="30">
        <v>1.5199287282469461E-3</v>
      </c>
      <c r="B373"/>
      <c r="C373"/>
      <c r="D373"/>
      <c r="E373"/>
      <c r="J373" s="27" t="s">
        <v>7</v>
      </c>
      <c r="K373" s="27" t="s">
        <v>8</v>
      </c>
    </row>
    <row r="374" spans="1:39" x14ac:dyDescent="0.25">
      <c r="A374" s="30">
        <v>1.4475511697589958E-3</v>
      </c>
      <c r="B374"/>
      <c r="C374"/>
      <c r="D374"/>
      <c r="E374"/>
      <c r="J374" s="27" t="s">
        <v>7</v>
      </c>
    </row>
    <row r="375" spans="1:39" x14ac:dyDescent="0.25">
      <c r="A375" s="30">
        <v>1.3786201616752334E-3</v>
      </c>
      <c r="B375"/>
      <c r="C375"/>
      <c r="D375"/>
      <c r="E375"/>
    </row>
    <row r="376" spans="1:39" x14ac:dyDescent="0.25">
      <c r="A376" s="30">
        <v>1.3129715825478407E-3</v>
      </c>
      <c r="B376"/>
      <c r="C376"/>
      <c r="D376"/>
      <c r="E376"/>
    </row>
    <row r="377" spans="1:39" x14ac:dyDescent="0.25">
      <c r="A377" s="30">
        <v>1.2504491262360382E-3</v>
      </c>
      <c r="B377"/>
      <c r="C377"/>
      <c r="D377"/>
      <c r="E377"/>
    </row>
    <row r="378" spans="1:39" x14ac:dyDescent="0.25">
      <c r="A378" s="30">
        <v>1.1909039297486072E-3</v>
      </c>
      <c r="B378"/>
      <c r="C378"/>
      <c r="D378"/>
      <c r="E378"/>
    </row>
    <row r="379" spans="1:39" x14ac:dyDescent="0.25">
      <c r="A379" s="30">
        <v>1.1341942188081969E-3</v>
      </c>
      <c r="B379"/>
      <c r="C379"/>
      <c r="D379"/>
      <c r="E379"/>
    </row>
    <row r="380" spans="1:39" x14ac:dyDescent="0.25">
      <c r="A380" s="30">
        <v>1.0801849702935203E-3</v>
      </c>
      <c r="B380"/>
      <c r="C380"/>
      <c r="D380"/>
      <c r="E380"/>
    </row>
    <row r="381" spans="1:39" x14ac:dyDescent="0.25">
      <c r="A381" s="30">
        <v>1.0287475907557332E-3</v>
      </c>
      <c r="B381"/>
      <c r="C381"/>
      <c r="D381"/>
      <c r="E381"/>
    </row>
    <row r="382" spans="1:39" x14ac:dyDescent="0.25">
      <c r="A382" s="30">
        <v>9.7731021121794646E-4</v>
      </c>
    </row>
    <row r="383" spans="1:39" x14ac:dyDescent="0.25">
      <c r="A383" s="30">
        <v>9.2844470065704904E-4</v>
      </c>
    </row>
    <row r="384" spans="1:39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09" operator="equal">
      <formula>$U$1</formula>
    </cfRule>
    <cfRule type="cellIs" dxfId="67" priority="1010" operator="equal">
      <formula>$S$1</formula>
    </cfRule>
  </conditionalFormatting>
  <conditionalFormatting sqref="D136">
    <cfRule type="cellIs" dxfId="66" priority="1007" operator="equal">
      <formula>$S$1</formula>
    </cfRule>
    <cfRule type="cellIs" dxfId="65" priority="1008" operator="equal">
      <formula>$U$1</formula>
    </cfRule>
  </conditionalFormatting>
  <conditionalFormatting sqref="C162">
    <cfRule type="cellIs" dxfId="64" priority="1005" operator="equal">
      <formula>$U$1</formula>
    </cfRule>
    <cfRule type="cellIs" dxfId="63" priority="1006" operator="equal">
      <formula>$S$1</formula>
    </cfRule>
  </conditionalFormatting>
  <conditionalFormatting sqref="D162">
    <cfRule type="cellIs" dxfId="62" priority="1003" operator="equal">
      <formula>$S$1</formula>
    </cfRule>
    <cfRule type="cellIs" dxfId="61" priority="1004" operator="equal">
      <formula>$U$1</formula>
    </cfRule>
  </conditionalFormatting>
  <conditionalFormatting sqref="C187">
    <cfRule type="cellIs" dxfId="60" priority="1001" operator="equal">
      <formula>$U$1</formula>
    </cfRule>
    <cfRule type="cellIs" dxfId="59" priority="1002" operator="equal">
      <formula>$S$1</formula>
    </cfRule>
  </conditionalFormatting>
  <conditionalFormatting sqref="D187">
    <cfRule type="cellIs" dxfId="58" priority="999" operator="equal">
      <formula>$S$1</formula>
    </cfRule>
    <cfRule type="cellIs" dxfId="57" priority="1000" operator="equal">
      <formula>$U$1</formula>
    </cfRule>
  </conditionalFormatting>
  <conditionalFormatting sqref="C212">
    <cfRule type="cellIs" dxfId="56" priority="997" operator="equal">
      <formula>$U$1</formula>
    </cfRule>
    <cfRule type="cellIs" dxfId="55" priority="998" operator="equal">
      <formula>$S$1</formula>
    </cfRule>
  </conditionalFormatting>
  <conditionalFormatting sqref="D212">
    <cfRule type="cellIs" dxfId="54" priority="995" operator="equal">
      <formula>$S$1</formula>
    </cfRule>
    <cfRule type="cellIs" dxfId="53" priority="996" operator="equal">
      <formula>$U$1</formula>
    </cfRule>
  </conditionalFormatting>
  <conditionalFormatting sqref="C237">
    <cfRule type="cellIs" dxfId="52" priority="993" operator="equal">
      <formula>$U$1</formula>
    </cfRule>
    <cfRule type="cellIs" dxfId="51" priority="994" operator="equal">
      <formula>$S$1</formula>
    </cfRule>
  </conditionalFormatting>
  <conditionalFormatting sqref="D237">
    <cfRule type="cellIs" dxfId="50" priority="991" operator="equal">
      <formula>$S$1</formula>
    </cfRule>
    <cfRule type="cellIs" dxfId="49" priority="992" operator="equal">
      <formula>$U$1</formula>
    </cfRule>
  </conditionalFormatting>
  <conditionalFormatting sqref="C106">
    <cfRule type="cellIs" dxfId="48" priority="989" operator="equal">
      <formula>$U$1</formula>
    </cfRule>
    <cfRule type="cellIs" dxfId="47" priority="990" operator="equal">
      <formula>$S$1</formula>
    </cfRule>
  </conditionalFormatting>
  <conditionalFormatting sqref="D106">
    <cfRule type="cellIs" dxfId="46" priority="987" operator="equal">
      <formula>$S$1</formula>
    </cfRule>
    <cfRule type="cellIs" dxfId="45" priority="988" operator="equal">
      <formula>$U$1</formula>
    </cfRule>
  </conditionalFormatting>
  <conditionalFormatting sqref="C81">
    <cfRule type="cellIs" dxfId="44" priority="985" operator="equal">
      <formula>$U$1</formula>
    </cfRule>
    <cfRule type="cellIs" dxfId="43" priority="986" operator="equal">
      <formula>$S$1</formula>
    </cfRule>
  </conditionalFormatting>
  <conditionalFormatting sqref="D81">
    <cfRule type="cellIs" dxfId="42" priority="983" operator="equal">
      <formula>$S$1</formula>
    </cfRule>
    <cfRule type="cellIs" dxfId="41" priority="984" operator="equal">
      <formula>$U$1</formula>
    </cfRule>
  </conditionalFormatting>
  <conditionalFormatting sqref="C56">
    <cfRule type="cellIs" dxfId="40" priority="981" operator="equal">
      <formula>$U$1</formula>
    </cfRule>
    <cfRule type="cellIs" dxfId="39" priority="982" operator="equal">
      <formula>$S$1</formula>
    </cfRule>
  </conditionalFormatting>
  <conditionalFormatting sqref="D56">
    <cfRule type="cellIs" dxfId="38" priority="979" operator="equal">
      <formula>$S$1</formula>
    </cfRule>
    <cfRule type="cellIs" dxfId="37" priority="980" operator="equal">
      <formula>$U$1</formula>
    </cfRule>
  </conditionalFormatting>
  <conditionalFormatting sqref="C31">
    <cfRule type="cellIs" dxfId="36" priority="977" operator="equal">
      <formula>$U$1</formula>
    </cfRule>
    <cfRule type="cellIs" dxfId="35" priority="978" operator="equal">
      <formula>$S$1</formula>
    </cfRule>
  </conditionalFormatting>
  <conditionalFormatting sqref="D31">
    <cfRule type="cellIs" dxfId="34" priority="975" operator="equal">
      <formula>$S$1</formula>
    </cfRule>
    <cfRule type="cellIs" dxfId="33" priority="97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P172" sqref="BP17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$A$171</v>
      </c>
      <c r="D111" s="1" t="str">
        <f>ADDRESS(C121-1,D121,1,1)</f>
        <v>$BP$171</v>
      </c>
      <c r="E111"/>
    </row>
    <row r="112" spans="1:5" x14ac:dyDescent="0.25">
      <c r="A112" s="30">
        <v>2.3579476910000019</v>
      </c>
      <c r="C112" s="1" t="str">
        <f>ADDRESS(C121,1,1,1)</f>
        <v>$A$172</v>
      </c>
      <c r="D112" s="1" t="str">
        <f>ADDRESS(C121,D121-1,1,1)</f>
        <v>$BO$172</v>
      </c>
      <c r="E112"/>
    </row>
    <row r="113" spans="1:6" x14ac:dyDescent="0.25">
      <c r="A113" s="30">
        <v>2.1435888100000016</v>
      </c>
      <c r="C113" s="1" t="str">
        <f>ADDRESS(C121+1,1,1,1)</f>
        <v>$A$173</v>
      </c>
      <c r="D113" s="1" t="str">
        <f>ADDRESS(C121-1,D121+1,1,1)</f>
        <v>$BQ$171</v>
      </c>
    </row>
    <row r="114" spans="1:6" x14ac:dyDescent="0.25">
      <c r="A114" s="30">
        <v>1.9487171000000014</v>
      </c>
      <c r="C114" s="1" t="str">
        <f>ADDRESS(C121,D121,1,1)</f>
        <v>$BP$172</v>
      </c>
      <c r="D114" s="1" t="str">
        <f>ADDRESS(C121+1,D121+1,1,1)</f>
        <v>$BQ$173</v>
      </c>
    </row>
    <row r="115" spans="1:6" x14ac:dyDescent="0.25">
      <c r="A115" s="30">
        <v>1.7715610000000011</v>
      </c>
      <c r="C115" s="1" t="str">
        <f>ADDRESS(C121+1,D121,1,1)</f>
        <v>$BP$173</v>
      </c>
    </row>
    <row r="116" spans="1:6" x14ac:dyDescent="0.25">
      <c r="A116" s="30">
        <v>1.6105100000000008</v>
      </c>
      <c r="C116" s="1">
        <f>C117-1</f>
        <v>171</v>
      </c>
    </row>
    <row r="117" spans="1:6" x14ac:dyDescent="0.25">
      <c r="A117" s="30">
        <v>1.4641000000000006</v>
      </c>
      <c r="C117" s="1">
        <f>C121</f>
        <v>172</v>
      </c>
      <c r="D117" s="1">
        <f>D121</f>
        <v>68</v>
      </c>
    </row>
    <row r="118" spans="1:6" x14ac:dyDescent="0.25">
      <c r="A118" s="30">
        <v>1.3310000000000004</v>
      </c>
      <c r="C118" s="1">
        <f>C117+1</f>
        <v>173</v>
      </c>
      <c r="D118" s="1">
        <f>D117+1</f>
        <v>69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172</v>
      </c>
      <c r="D121" s="19">
        <v>68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R172</v>
      </c>
      <c r="D123" s="1" t="str">
        <f>"C"&amp;D121</f>
        <v>C68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7.744137526818704E-3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7" x14ac:dyDescent="0.25">
      <c r="A145" s="30">
        <v>0.10152559799477026</v>
      </c>
      <c r="B145"/>
      <c r="C145"/>
      <c r="D145"/>
      <c r="E145"/>
      <c r="F145" s="27" t="s">
        <v>7</v>
      </c>
    </row>
    <row r="146" spans="1:67" x14ac:dyDescent="0.25">
      <c r="A146" s="30">
        <v>9.2295998177063854E-2</v>
      </c>
      <c r="B146"/>
      <c r="C146"/>
      <c r="D146"/>
      <c r="E146"/>
      <c r="F146" s="27" t="s">
        <v>7</v>
      </c>
    </row>
    <row r="147" spans="1:67" x14ac:dyDescent="0.25">
      <c r="A147" s="30">
        <v>8.3905452888239848E-2</v>
      </c>
      <c r="B147"/>
      <c r="C147"/>
      <c r="D147"/>
      <c r="E147"/>
      <c r="F147" s="27" t="s">
        <v>7</v>
      </c>
    </row>
    <row r="148" spans="1:67" x14ac:dyDescent="0.25">
      <c r="A148" s="30">
        <v>7.6277684443854396E-2</v>
      </c>
      <c r="B148"/>
      <c r="C148"/>
      <c r="D148"/>
      <c r="E148"/>
      <c r="F148" s="27" t="s">
        <v>7</v>
      </c>
    </row>
    <row r="149" spans="1:67" x14ac:dyDescent="0.25">
      <c r="A149" s="30">
        <v>6.9343349494413078E-2</v>
      </c>
      <c r="B149"/>
      <c r="C149"/>
      <c r="D149"/>
      <c r="E149"/>
      <c r="F149" s="27" t="s">
        <v>7</v>
      </c>
    </row>
    <row r="150" spans="1:67" x14ac:dyDescent="0.25">
      <c r="A150" s="30">
        <v>6.3039408631284613E-2</v>
      </c>
      <c r="B150"/>
      <c r="C150"/>
      <c r="D150"/>
      <c r="E150"/>
      <c r="F150" s="27" t="s">
        <v>7</v>
      </c>
    </row>
    <row r="151" spans="1:67" x14ac:dyDescent="0.25">
      <c r="A151" s="30">
        <v>5.7308553301167818E-2</v>
      </c>
      <c r="B151"/>
      <c r="C151"/>
      <c r="D151"/>
      <c r="E151"/>
      <c r="F151" s="27" t="s">
        <v>7</v>
      </c>
    </row>
    <row r="152" spans="1:67" x14ac:dyDescent="0.25">
      <c r="A152" s="30">
        <v>5.2098684819243464E-2</v>
      </c>
      <c r="B152"/>
      <c r="C152"/>
      <c r="D152"/>
      <c r="E152"/>
      <c r="F152" s="27" t="s">
        <v>7</v>
      </c>
    </row>
    <row r="153" spans="1:67" x14ac:dyDescent="0.25">
      <c r="A153" s="30">
        <v>4.7362440744766775E-2</v>
      </c>
      <c r="B153"/>
      <c r="C153"/>
      <c r="D153"/>
      <c r="E153"/>
      <c r="F153" s="27" t="s">
        <v>7</v>
      </c>
    </row>
    <row r="154" spans="1:67" x14ac:dyDescent="0.25">
      <c r="A154" s="30">
        <v>4.3056764313424332E-2</v>
      </c>
      <c r="B154"/>
      <c r="C154"/>
      <c r="D154"/>
      <c r="E154"/>
      <c r="F154" s="27" t="s">
        <v>7</v>
      </c>
    </row>
    <row r="155" spans="1:67" x14ac:dyDescent="0.25">
      <c r="A155" s="30">
        <v>3.9142513012203929E-2</v>
      </c>
      <c r="B155"/>
      <c r="C155"/>
      <c r="D155"/>
      <c r="E155"/>
      <c r="F155" s="27" t="s">
        <v>7</v>
      </c>
      <c r="AG155" s="27" t="s">
        <v>8</v>
      </c>
      <c r="AI155" s="27" t="s">
        <v>8</v>
      </c>
      <c r="AO155" s="27" t="s">
        <v>8</v>
      </c>
    </row>
    <row r="156" spans="1:67" x14ac:dyDescent="0.25">
      <c r="A156" s="30">
        <v>3.55841027383672E-2</v>
      </c>
      <c r="B156"/>
      <c r="C156"/>
      <c r="D156"/>
      <c r="E156"/>
      <c r="F156" s="27" t="s">
        <v>7</v>
      </c>
      <c r="AG156" s="27" t="s">
        <v>8</v>
      </c>
      <c r="AH156" s="27" t="s">
        <v>7</v>
      </c>
      <c r="AI156" s="27" t="s">
        <v>8</v>
      </c>
      <c r="AJ156" s="27" t="s">
        <v>7</v>
      </c>
      <c r="AK156" s="27" t="s">
        <v>8</v>
      </c>
      <c r="AO156" s="27" t="s">
        <v>8</v>
      </c>
      <c r="AP156" s="27" t="s">
        <v>7</v>
      </c>
    </row>
    <row r="157" spans="1:67" x14ac:dyDescent="0.25">
      <c r="A157" s="30">
        <v>3.2349184307606541E-2</v>
      </c>
      <c r="B157"/>
      <c r="C157"/>
      <c r="D157"/>
      <c r="E157"/>
      <c r="F157" s="27" t="s">
        <v>7</v>
      </c>
      <c r="AG157" s="27" t="s">
        <v>8</v>
      </c>
      <c r="AH157" s="27" t="s">
        <v>7</v>
      </c>
      <c r="AI157" s="27" t="s">
        <v>8</v>
      </c>
      <c r="AJ157" s="27" t="s">
        <v>7</v>
      </c>
      <c r="AK157" s="27" t="s">
        <v>8</v>
      </c>
      <c r="AL157" s="27" t="s">
        <v>7</v>
      </c>
      <c r="AO157" s="27" t="s">
        <v>8</v>
      </c>
      <c r="AP157" s="27" t="s">
        <v>7</v>
      </c>
      <c r="AU157" s="27" t="s">
        <v>8</v>
      </c>
    </row>
    <row r="158" spans="1:67" x14ac:dyDescent="0.25">
      <c r="A158" s="30">
        <v>2.9408349370551395E-2</v>
      </c>
      <c r="B158"/>
      <c r="C158"/>
      <c r="D158"/>
      <c r="E158"/>
      <c r="F158" s="27" t="s">
        <v>7</v>
      </c>
      <c r="AG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  <c r="AL158" s="27" t="s">
        <v>7</v>
      </c>
      <c r="AM158" s="27" t="s">
        <v>8</v>
      </c>
      <c r="AO158" s="27" t="s">
        <v>8</v>
      </c>
      <c r="AP158" s="27" t="s">
        <v>7</v>
      </c>
      <c r="AU158" s="27" t="s">
        <v>8</v>
      </c>
      <c r="AV158" s="27" t="s">
        <v>7</v>
      </c>
      <c r="BK158" s="27" t="s">
        <v>8</v>
      </c>
    </row>
    <row r="159" spans="1:67" x14ac:dyDescent="0.25">
      <c r="A159" s="30">
        <v>2.6734863064137627E-2</v>
      </c>
      <c r="B159"/>
      <c r="C159"/>
      <c r="D159"/>
      <c r="E159"/>
      <c r="F159" s="27" t="s">
        <v>7</v>
      </c>
      <c r="AG159" s="27" t="s">
        <v>8</v>
      </c>
      <c r="AH159" s="27" t="s">
        <v>7</v>
      </c>
      <c r="AJ159" s="27" t="s">
        <v>7</v>
      </c>
      <c r="AK159" s="27" t="s">
        <v>8</v>
      </c>
      <c r="AL159" s="27" t="s">
        <v>7</v>
      </c>
      <c r="AM159" s="27" t="s">
        <v>8</v>
      </c>
      <c r="AN159" s="27" t="s">
        <v>7</v>
      </c>
      <c r="AO159" s="27" t="s">
        <v>8</v>
      </c>
      <c r="AP159" s="27" t="s">
        <v>7</v>
      </c>
      <c r="AQ159" s="27" t="s">
        <v>8</v>
      </c>
      <c r="AU159" s="27" t="s">
        <v>8</v>
      </c>
      <c r="AV159" s="27" t="s">
        <v>7</v>
      </c>
      <c r="BK159" s="27" t="s">
        <v>8</v>
      </c>
      <c r="BL159" s="27" t="s">
        <v>7</v>
      </c>
    </row>
    <row r="160" spans="1:67" x14ac:dyDescent="0.25">
      <c r="A160" s="30">
        <v>2.4304420967397839E-2</v>
      </c>
      <c r="B160"/>
      <c r="C160"/>
      <c r="D160"/>
      <c r="E160"/>
      <c r="F160" s="27" t="s">
        <v>7</v>
      </c>
      <c r="AE160" s="27" t="s">
        <v>8</v>
      </c>
      <c r="AG160" s="27" t="s">
        <v>8</v>
      </c>
      <c r="AJ160" s="27" t="s">
        <v>7</v>
      </c>
      <c r="AK160" s="27" t="s">
        <v>8</v>
      </c>
      <c r="AL160" s="27" t="s">
        <v>7</v>
      </c>
      <c r="AM160" s="27" t="s">
        <v>8</v>
      </c>
      <c r="AN160" s="27" t="s">
        <v>7</v>
      </c>
      <c r="AO160" s="27" t="s">
        <v>8</v>
      </c>
      <c r="AP160" s="27" t="s">
        <v>7</v>
      </c>
      <c r="AQ160" s="27" t="s">
        <v>8</v>
      </c>
      <c r="AR160" s="27" t="s">
        <v>7</v>
      </c>
      <c r="AU160" s="27" t="s">
        <v>8</v>
      </c>
      <c r="AV160" s="27" t="s">
        <v>7</v>
      </c>
      <c r="BK160" s="27" t="s">
        <v>8</v>
      </c>
      <c r="BL160" s="27" t="s">
        <v>7</v>
      </c>
      <c r="BM160" s="27" t="s">
        <v>8</v>
      </c>
      <c r="BO160" s="27" t="s">
        <v>8</v>
      </c>
    </row>
    <row r="161" spans="1:68" x14ac:dyDescent="0.25">
      <c r="A161" s="30">
        <v>2.2094928152179852E-2</v>
      </c>
      <c r="B161"/>
      <c r="C161"/>
      <c r="D161"/>
      <c r="E161"/>
      <c r="F161" s="27" t="s">
        <v>7</v>
      </c>
      <c r="AE161" s="27" t="s">
        <v>8</v>
      </c>
      <c r="AF161" s="27" t="s">
        <v>7</v>
      </c>
      <c r="AG161" s="27" t="s">
        <v>8</v>
      </c>
      <c r="AJ161" s="27" t="s">
        <v>7</v>
      </c>
      <c r="AL161" s="27" t="s">
        <v>7</v>
      </c>
      <c r="AM161" s="27" t="s">
        <v>8</v>
      </c>
      <c r="AN161" s="27" t="s">
        <v>7</v>
      </c>
      <c r="AP161" s="27" t="s">
        <v>7</v>
      </c>
      <c r="AQ161" s="27" t="s">
        <v>8</v>
      </c>
      <c r="AR161" s="27" t="s">
        <v>7</v>
      </c>
      <c r="AU161" s="27" t="s">
        <v>8</v>
      </c>
      <c r="AV161" s="27" t="s">
        <v>7</v>
      </c>
      <c r="AW161" s="27" t="s">
        <v>8</v>
      </c>
      <c r="BG161" s="27" t="s">
        <v>8</v>
      </c>
      <c r="BK161" s="27" t="s">
        <v>8</v>
      </c>
      <c r="BL161" s="27" t="s">
        <v>7</v>
      </c>
      <c r="BM161" s="27" t="s">
        <v>8</v>
      </c>
      <c r="BN161" s="27" t="s">
        <v>7</v>
      </c>
      <c r="BO161" s="27" t="s">
        <v>8</v>
      </c>
      <c r="BP161" s="27" t="s">
        <v>7</v>
      </c>
    </row>
    <row r="162" spans="1:68" x14ac:dyDescent="0.25">
      <c r="A162" s="30">
        <v>2.0086298320163499E-2</v>
      </c>
      <c r="B162"/>
      <c r="C162"/>
      <c r="D162"/>
      <c r="E162"/>
      <c r="F162" s="27" t="s">
        <v>7</v>
      </c>
      <c r="AC162" s="27" t="s">
        <v>8</v>
      </c>
      <c r="AE162" s="27" t="s">
        <v>8</v>
      </c>
      <c r="AF162" s="27" t="s">
        <v>7</v>
      </c>
      <c r="AG162" s="27" t="s">
        <v>8</v>
      </c>
      <c r="AL162" s="27" t="s">
        <v>7</v>
      </c>
      <c r="AP162" s="27" t="s">
        <v>7</v>
      </c>
      <c r="AQ162" s="27" t="s">
        <v>8</v>
      </c>
      <c r="AR162" s="27" t="s">
        <v>7</v>
      </c>
      <c r="AU162" s="27" t="s">
        <v>8</v>
      </c>
      <c r="AV162" s="27" t="s">
        <v>7</v>
      </c>
      <c r="AW162" s="27" t="s">
        <v>8</v>
      </c>
      <c r="AX162" s="27" t="s">
        <v>7</v>
      </c>
      <c r="BG162" s="27" t="s">
        <v>8</v>
      </c>
      <c r="BH162" s="27" t="s">
        <v>7</v>
      </c>
      <c r="BK162" s="27" t="s">
        <v>8</v>
      </c>
      <c r="BL162" s="27" t="s">
        <v>7</v>
      </c>
      <c r="BM162" s="27" t="s">
        <v>8</v>
      </c>
      <c r="BN162" s="27" t="s">
        <v>7</v>
      </c>
      <c r="BO162" s="27" t="s">
        <v>8</v>
      </c>
      <c r="BP162" s="27" t="s">
        <v>7</v>
      </c>
    </row>
    <row r="163" spans="1:68" x14ac:dyDescent="0.25">
      <c r="A163" s="30">
        <v>1.8260271200148632E-2</v>
      </c>
      <c r="B163"/>
      <c r="C163"/>
      <c r="D163"/>
      <c r="E163"/>
      <c r="F163" s="27" t="s">
        <v>7</v>
      </c>
      <c r="AC163" s="27" t="s">
        <v>8</v>
      </c>
      <c r="AD163" s="27" t="s">
        <v>7</v>
      </c>
      <c r="AE163" s="27" t="s">
        <v>8</v>
      </c>
      <c r="AF163" s="27" t="s">
        <v>7</v>
      </c>
      <c r="AG163" s="27" t="s">
        <v>8</v>
      </c>
      <c r="AP163" s="27" t="s">
        <v>7</v>
      </c>
      <c r="AQ163" s="27" t="s">
        <v>8</v>
      </c>
      <c r="AR163" s="27" t="s">
        <v>7</v>
      </c>
      <c r="AU163" s="27" t="s">
        <v>8</v>
      </c>
      <c r="AV163" s="27" t="s">
        <v>7</v>
      </c>
      <c r="AW163" s="27" t="s">
        <v>8</v>
      </c>
      <c r="AX163" s="27" t="s">
        <v>7</v>
      </c>
      <c r="BE163" s="27" t="s">
        <v>8</v>
      </c>
      <c r="BG163" s="27" t="s">
        <v>8</v>
      </c>
      <c r="BH163" s="27" t="s">
        <v>7</v>
      </c>
      <c r="BI163" s="27" t="s">
        <v>8</v>
      </c>
      <c r="BK163" s="27" t="s">
        <v>8</v>
      </c>
      <c r="BL163" s="27" t="s">
        <v>7</v>
      </c>
      <c r="BN163" s="27" t="s">
        <v>7</v>
      </c>
      <c r="BP163" s="27" t="s">
        <v>7</v>
      </c>
    </row>
    <row r="164" spans="1:68" x14ac:dyDescent="0.25">
      <c r="A164" s="30">
        <v>1.6600246545589663E-2</v>
      </c>
      <c r="B164"/>
      <c r="C164"/>
      <c r="D164"/>
      <c r="E164"/>
      <c r="F164" s="27" t="s">
        <v>7</v>
      </c>
      <c r="AC164" s="27" t="s">
        <v>8</v>
      </c>
      <c r="AD164" s="27" t="s">
        <v>7</v>
      </c>
      <c r="AE164" s="27" t="s">
        <v>8</v>
      </c>
      <c r="AF164" s="27" t="s">
        <v>7</v>
      </c>
      <c r="AP164" s="27" t="s">
        <v>7</v>
      </c>
      <c r="AQ164" s="27" t="s">
        <v>8</v>
      </c>
      <c r="AR164" s="27" t="s">
        <v>7</v>
      </c>
      <c r="AS164" s="27" t="s">
        <v>8</v>
      </c>
      <c r="AU164" s="27" t="s">
        <v>8</v>
      </c>
      <c r="AV164" s="27" t="s">
        <v>7</v>
      </c>
      <c r="AW164" s="27" t="s">
        <v>8</v>
      </c>
      <c r="AX164" s="27" t="s">
        <v>7</v>
      </c>
      <c r="AY164" s="27" t="s">
        <v>8</v>
      </c>
      <c r="BE164" s="27" t="s">
        <v>8</v>
      </c>
      <c r="BF164" s="27" t="s">
        <v>7</v>
      </c>
      <c r="BG164" s="27" t="s">
        <v>8</v>
      </c>
      <c r="BH164" s="27" t="s">
        <v>7</v>
      </c>
      <c r="BI164" s="27" t="s">
        <v>8</v>
      </c>
      <c r="BJ164" s="27" t="s">
        <v>7</v>
      </c>
      <c r="BK164" s="27" t="s">
        <v>8</v>
      </c>
      <c r="BP164" s="27" t="s">
        <v>7</v>
      </c>
    </row>
    <row r="165" spans="1:68" x14ac:dyDescent="0.25">
      <c r="A165" s="30">
        <v>1.5091133223263328E-2</v>
      </c>
      <c r="B165"/>
      <c r="C165"/>
      <c r="D165"/>
      <c r="E165"/>
      <c r="F165" s="27" t="s">
        <v>7</v>
      </c>
      <c r="AC165" s="27" t="s">
        <v>8</v>
      </c>
      <c r="AD165" s="27" t="s">
        <v>7</v>
      </c>
      <c r="AE165" s="27" t="s">
        <v>8</v>
      </c>
      <c r="AP165" s="27" t="s">
        <v>7</v>
      </c>
      <c r="AR165" s="27" t="s">
        <v>7</v>
      </c>
      <c r="AS165" s="27" t="s">
        <v>8</v>
      </c>
      <c r="AT165" s="27" t="s">
        <v>7</v>
      </c>
      <c r="AU165" s="27" t="s">
        <v>8</v>
      </c>
      <c r="AV165" s="27" t="s">
        <v>7</v>
      </c>
      <c r="AX165" s="27" t="s">
        <v>7</v>
      </c>
      <c r="AY165" s="27" t="s">
        <v>8</v>
      </c>
      <c r="AZ165" s="27" t="s">
        <v>7</v>
      </c>
      <c r="BE165" s="27" t="s">
        <v>8</v>
      </c>
      <c r="BF165" s="27" t="s">
        <v>7</v>
      </c>
      <c r="BG165" s="27" t="s">
        <v>8</v>
      </c>
      <c r="BH165" s="27" t="s">
        <v>7</v>
      </c>
      <c r="BI165" s="27" t="s">
        <v>8</v>
      </c>
      <c r="BJ165" s="27" t="s">
        <v>7</v>
      </c>
      <c r="BK165" s="27" t="s">
        <v>8</v>
      </c>
      <c r="BP165" s="27" t="s">
        <v>7</v>
      </c>
    </row>
    <row r="166" spans="1:68" x14ac:dyDescent="0.25">
      <c r="A166" s="30">
        <v>1.3719212021148477E-2</v>
      </c>
      <c r="B166"/>
      <c r="C166"/>
      <c r="D166"/>
      <c r="E166"/>
      <c r="F166" s="27" t="s">
        <v>7</v>
      </c>
      <c r="AC166" s="27" t="s">
        <v>8</v>
      </c>
      <c r="AD166" s="27" t="s">
        <v>7</v>
      </c>
      <c r="AR166" s="27" t="s">
        <v>7</v>
      </c>
      <c r="AS166" s="27" t="s">
        <v>8</v>
      </c>
      <c r="AT166" s="27" t="s">
        <v>7</v>
      </c>
      <c r="AU166" s="27" t="s">
        <v>8</v>
      </c>
      <c r="AX166" s="27" t="s">
        <v>7</v>
      </c>
      <c r="AY166" s="27" t="s">
        <v>8</v>
      </c>
      <c r="AZ166" s="27" t="s">
        <v>7</v>
      </c>
      <c r="BC166" s="27" t="s">
        <v>8</v>
      </c>
      <c r="BE166" s="27" t="s">
        <v>8</v>
      </c>
      <c r="BF166" s="27" t="s">
        <v>7</v>
      </c>
      <c r="BH166" s="27" t="s">
        <v>7</v>
      </c>
      <c r="BI166" s="27" t="s">
        <v>8</v>
      </c>
      <c r="BJ166" s="27" t="s">
        <v>7</v>
      </c>
      <c r="BK166" s="27" t="s">
        <v>8</v>
      </c>
      <c r="BP166" s="27" t="s">
        <v>7</v>
      </c>
    </row>
    <row r="167" spans="1:68" x14ac:dyDescent="0.25">
      <c r="A167" s="30">
        <v>1.2472010928316795E-2</v>
      </c>
      <c r="B167"/>
      <c r="C167"/>
      <c r="D167"/>
      <c r="E167"/>
      <c r="F167" s="27" t="s">
        <v>7</v>
      </c>
      <c r="AC167" s="27" t="s">
        <v>8</v>
      </c>
      <c r="AR167" s="27" t="s">
        <v>7</v>
      </c>
      <c r="AS167" s="27" t="s">
        <v>8</v>
      </c>
      <c r="AT167" s="27" t="s">
        <v>7</v>
      </c>
      <c r="AU167" s="27" t="s">
        <v>8</v>
      </c>
      <c r="AX167" s="27" t="s">
        <v>7</v>
      </c>
      <c r="AZ167" s="27" t="s">
        <v>7</v>
      </c>
      <c r="BC167" s="27" t="s">
        <v>8</v>
      </c>
      <c r="BD167" s="27" t="s">
        <v>7</v>
      </c>
      <c r="BE167" s="27" t="s">
        <v>8</v>
      </c>
      <c r="BH167" s="27" t="s">
        <v>7</v>
      </c>
      <c r="BI167" s="27" t="s">
        <v>8</v>
      </c>
      <c r="BJ167" s="27" t="s">
        <v>7</v>
      </c>
      <c r="BP167" s="27" t="s">
        <v>7</v>
      </c>
    </row>
    <row r="168" spans="1:68" x14ac:dyDescent="0.25">
      <c r="A168" s="30">
        <v>1.1338191753015267E-2</v>
      </c>
      <c r="B168"/>
      <c r="C168"/>
      <c r="D168"/>
      <c r="E168"/>
      <c r="F168" s="27" t="s">
        <v>7</v>
      </c>
      <c r="Y168" s="27" t="s">
        <v>8</v>
      </c>
      <c r="AC168" s="27" t="s">
        <v>8</v>
      </c>
      <c r="AR168" s="27" t="s">
        <v>7</v>
      </c>
      <c r="AS168" s="27" t="s">
        <v>8</v>
      </c>
      <c r="AT168" s="27" t="s">
        <v>7</v>
      </c>
      <c r="AU168" s="27" t="s">
        <v>8</v>
      </c>
      <c r="AZ168" s="27" t="s">
        <v>7</v>
      </c>
      <c r="BA168" s="27" t="s">
        <v>8</v>
      </c>
      <c r="BC168" s="27" t="s">
        <v>8</v>
      </c>
      <c r="BD168" s="27" t="s">
        <v>7</v>
      </c>
      <c r="BE168" s="27" t="s">
        <v>8</v>
      </c>
      <c r="BH168" s="27" t="s">
        <v>7</v>
      </c>
      <c r="BP168" s="27" t="s">
        <v>7</v>
      </c>
    </row>
    <row r="169" spans="1:68" x14ac:dyDescent="0.25">
      <c r="A169" s="30">
        <v>1.0307447048195697E-2</v>
      </c>
      <c r="B169"/>
      <c r="C169"/>
      <c r="D169"/>
      <c r="E169"/>
      <c r="F169" s="27" t="s">
        <v>7</v>
      </c>
      <c r="Y169" s="27" t="s">
        <v>8</v>
      </c>
      <c r="Z169" s="27" t="s">
        <v>7</v>
      </c>
      <c r="AA169" s="27" t="s">
        <v>8</v>
      </c>
      <c r="AC169" s="27" t="s">
        <v>8</v>
      </c>
      <c r="AR169" s="27" t="s">
        <v>7</v>
      </c>
      <c r="AS169" s="27" t="s">
        <v>8</v>
      </c>
      <c r="AT169" s="27" t="s">
        <v>7</v>
      </c>
      <c r="AZ169" s="27" t="s">
        <v>7</v>
      </c>
      <c r="BA169" s="27" t="s">
        <v>8</v>
      </c>
      <c r="BB169" s="27" t="s">
        <v>7</v>
      </c>
      <c r="BC169" s="27" t="s">
        <v>8</v>
      </c>
      <c r="BD169" s="18" t="s">
        <v>7</v>
      </c>
      <c r="BE169" s="27" t="s">
        <v>8</v>
      </c>
      <c r="BP169" s="27" t="s">
        <v>7</v>
      </c>
    </row>
    <row r="170" spans="1:68" x14ac:dyDescent="0.25">
      <c r="A170" s="30">
        <v>9.3704064074506318E-3</v>
      </c>
      <c r="B170"/>
      <c r="C170"/>
      <c r="D170"/>
      <c r="E170"/>
      <c r="F170" s="27" t="s">
        <v>7</v>
      </c>
      <c r="Y170" s="27" t="s">
        <v>8</v>
      </c>
      <c r="Z170" s="27" t="s">
        <v>7</v>
      </c>
      <c r="AA170" s="27" t="s">
        <v>8</v>
      </c>
      <c r="AB170" s="27" t="s">
        <v>7</v>
      </c>
      <c r="AC170" s="27" t="s">
        <v>8</v>
      </c>
      <c r="AR170" s="27" t="s">
        <v>7</v>
      </c>
      <c r="AZ170" s="27" t="s">
        <v>7</v>
      </c>
      <c r="BA170" s="27" t="s">
        <v>8</v>
      </c>
      <c r="BB170" s="27" t="s">
        <v>7</v>
      </c>
      <c r="BC170" s="27" t="s">
        <v>8</v>
      </c>
      <c r="BD170" s="27" t="s">
        <v>7</v>
      </c>
      <c r="BP170" s="27" t="s">
        <v>7</v>
      </c>
    </row>
    <row r="171" spans="1:68" x14ac:dyDescent="0.25">
      <c r="A171" s="30">
        <v>8.5185512795005747E-3</v>
      </c>
      <c r="F171" s="27" t="s">
        <v>7</v>
      </c>
      <c r="S171" s="27" t="s">
        <v>8</v>
      </c>
      <c r="Y171" s="27" t="s">
        <v>8</v>
      </c>
      <c r="Z171" s="27" t="s">
        <v>7</v>
      </c>
      <c r="AA171" s="27" t="s">
        <v>8</v>
      </c>
      <c r="AB171" s="27" t="s">
        <v>7</v>
      </c>
      <c r="AC171" s="27" t="s">
        <v>8</v>
      </c>
      <c r="AZ171" s="27" t="s">
        <v>7</v>
      </c>
      <c r="BA171" s="27" t="s">
        <v>8</v>
      </c>
      <c r="BB171" s="27" t="s">
        <v>7</v>
      </c>
      <c r="BP171" s="27" t="s">
        <v>7</v>
      </c>
    </row>
    <row r="172" spans="1:68" x14ac:dyDescent="0.25">
      <c r="A172" s="30">
        <v>7.744137526818704E-3</v>
      </c>
      <c r="F172" s="27" t="s">
        <v>7</v>
      </c>
      <c r="S172" s="27" t="s">
        <v>8</v>
      </c>
      <c r="T172" s="27" t="s">
        <v>7</v>
      </c>
      <c r="W172" s="27" t="s">
        <v>8</v>
      </c>
      <c r="Y172" s="27" t="s">
        <v>8</v>
      </c>
      <c r="Z172" s="27" t="s">
        <v>7</v>
      </c>
      <c r="AA172" s="27" t="s">
        <v>8</v>
      </c>
      <c r="AB172" s="27" t="s">
        <v>7</v>
      </c>
      <c r="AC172" s="27" t="s">
        <v>8</v>
      </c>
      <c r="AZ172" s="27" t="s">
        <v>7</v>
      </c>
      <c r="BA172" s="27" t="s">
        <v>8</v>
      </c>
      <c r="BP172" s="27" t="s">
        <v>7</v>
      </c>
    </row>
    <row r="173" spans="1:68" x14ac:dyDescent="0.25">
      <c r="A173" s="30">
        <v>7.0401250243806394E-3</v>
      </c>
      <c r="F173" s="27" t="s">
        <v>7</v>
      </c>
      <c r="S173" s="27" t="s">
        <v>8</v>
      </c>
      <c r="T173" s="27" t="s">
        <v>7</v>
      </c>
      <c r="W173" s="27" t="s">
        <v>8</v>
      </c>
      <c r="X173" s="27" t="s">
        <v>7</v>
      </c>
      <c r="Y173" s="27" t="s">
        <v>8</v>
      </c>
      <c r="Z173" s="27" t="s">
        <v>7</v>
      </c>
      <c r="AB173" s="27" t="s">
        <v>7</v>
      </c>
      <c r="AC173" s="27" t="s">
        <v>8</v>
      </c>
      <c r="AZ173" s="27" t="s">
        <v>7</v>
      </c>
      <c r="BA173" s="27" t="s">
        <v>8</v>
      </c>
    </row>
    <row r="174" spans="1:68" x14ac:dyDescent="0.25">
      <c r="A174" s="30">
        <v>6.4001136585278536E-3</v>
      </c>
      <c r="F174" s="27" t="s">
        <v>7</v>
      </c>
      <c r="S174" s="27" t="s">
        <v>8</v>
      </c>
      <c r="T174" s="27" t="s">
        <v>7</v>
      </c>
      <c r="W174" s="27" t="s">
        <v>8</v>
      </c>
      <c r="X174" s="27" t="s">
        <v>7</v>
      </c>
      <c r="Y174" s="27" t="s">
        <v>8</v>
      </c>
      <c r="AB174" s="27" t="s">
        <v>7</v>
      </c>
      <c r="AC174" s="27" t="s">
        <v>8</v>
      </c>
      <c r="AZ174" s="27" t="s">
        <v>7</v>
      </c>
      <c r="BA174" s="27" t="s">
        <v>8</v>
      </c>
    </row>
    <row r="175" spans="1:68" x14ac:dyDescent="0.25">
      <c r="A175" s="30">
        <v>5.8182851441162305E-3</v>
      </c>
      <c r="F175" s="27" t="s">
        <v>7</v>
      </c>
      <c r="S175" s="27" t="s">
        <v>8</v>
      </c>
      <c r="T175" s="27" t="s">
        <v>7</v>
      </c>
      <c r="W175" s="27" t="s">
        <v>8</v>
      </c>
      <c r="X175" s="27" t="s">
        <v>7</v>
      </c>
      <c r="Y175" s="27" t="s">
        <v>8</v>
      </c>
      <c r="AB175" s="27" t="s">
        <v>7</v>
      </c>
      <c r="AZ175" s="27" t="s">
        <v>7</v>
      </c>
    </row>
    <row r="176" spans="1:68" x14ac:dyDescent="0.25">
      <c r="A176" s="30">
        <v>5.2893501310147546E-3</v>
      </c>
      <c r="F176" s="27" t="s">
        <v>7</v>
      </c>
      <c r="S176" s="27" t="s">
        <v>8</v>
      </c>
      <c r="T176" s="27" t="s">
        <v>7</v>
      </c>
      <c r="U176" s="27" t="s">
        <v>8</v>
      </c>
      <c r="W176" s="27" t="s">
        <v>8</v>
      </c>
      <c r="X176" s="27" t="s">
        <v>7</v>
      </c>
    </row>
    <row r="177" spans="1:23" x14ac:dyDescent="0.25">
      <c r="A177" s="30">
        <v>4.8085001191043222E-3</v>
      </c>
      <c r="F177" s="27" t="s">
        <v>7</v>
      </c>
      <c r="Q177" s="27" t="s">
        <v>8</v>
      </c>
      <c r="S177" s="27" t="s">
        <v>8</v>
      </c>
      <c r="T177" s="27" t="s">
        <v>7</v>
      </c>
      <c r="U177" s="27" t="s">
        <v>8</v>
      </c>
      <c r="V177" s="27" t="s">
        <v>7</v>
      </c>
      <c r="W177" s="27" t="s">
        <v>8</v>
      </c>
    </row>
    <row r="178" spans="1:23" x14ac:dyDescent="0.25">
      <c r="A178" s="30">
        <v>4.3713637446402926E-3</v>
      </c>
      <c r="F178" s="27" t="s">
        <v>7</v>
      </c>
      <c r="K178" s="27" t="s">
        <v>8</v>
      </c>
      <c r="Q178" s="27" t="s">
        <v>8</v>
      </c>
      <c r="R178" s="27" t="s">
        <v>7</v>
      </c>
      <c r="S178" s="27" t="s">
        <v>8</v>
      </c>
      <c r="T178" s="27" t="s">
        <v>7</v>
      </c>
      <c r="U178" s="27" t="s">
        <v>8</v>
      </c>
      <c r="V178" s="27" t="s">
        <v>7</v>
      </c>
      <c r="W178" s="27" t="s">
        <v>8</v>
      </c>
    </row>
    <row r="179" spans="1:23" x14ac:dyDescent="0.25">
      <c r="A179" s="30">
        <v>3.9739670405820838E-3</v>
      </c>
      <c r="F179" s="27" t="s">
        <v>7</v>
      </c>
      <c r="K179" s="27" t="s">
        <v>8</v>
      </c>
      <c r="L179" s="27" t="s">
        <v>7</v>
      </c>
      <c r="Q179" s="27" t="s">
        <v>8</v>
      </c>
      <c r="R179" s="27" t="s">
        <v>7</v>
      </c>
      <c r="S179" s="27" t="s">
        <v>8</v>
      </c>
      <c r="T179" s="27" t="s">
        <v>7</v>
      </c>
      <c r="U179" s="27" t="s">
        <v>8</v>
      </c>
      <c r="V179" s="27" t="s">
        <v>7</v>
      </c>
      <c r="W179" s="27" t="s">
        <v>8</v>
      </c>
    </row>
    <row r="180" spans="1:23" x14ac:dyDescent="0.25">
      <c r="A180" s="30">
        <v>3.6126973096200759E-3</v>
      </c>
      <c r="F180" s="27" t="s">
        <v>7</v>
      </c>
      <c r="K180" s="27" t="s">
        <v>8</v>
      </c>
      <c r="L180" s="27" t="s">
        <v>7</v>
      </c>
      <c r="Q180" s="27" t="s">
        <v>8</v>
      </c>
      <c r="R180" s="27" t="s">
        <v>7</v>
      </c>
      <c r="S180" s="27" t="s">
        <v>8</v>
      </c>
      <c r="T180" s="27" t="s">
        <v>7</v>
      </c>
      <c r="U180" s="27" t="s">
        <v>8</v>
      </c>
      <c r="V180" s="27" t="s">
        <v>7</v>
      </c>
    </row>
    <row r="181" spans="1:23" x14ac:dyDescent="0.25">
      <c r="A181" s="30">
        <v>3.2842702814727962E-3</v>
      </c>
      <c r="F181" s="27" t="s">
        <v>7</v>
      </c>
      <c r="K181" s="27" t="s">
        <v>8</v>
      </c>
      <c r="L181" s="27" t="s">
        <v>7</v>
      </c>
      <c r="Q181" s="27" t="s">
        <v>8</v>
      </c>
      <c r="R181" s="27" t="s">
        <v>7</v>
      </c>
      <c r="S181" s="27" t="s">
        <v>8</v>
      </c>
      <c r="T181" s="27" t="s">
        <v>7</v>
      </c>
      <c r="U181" s="27" t="s">
        <v>8</v>
      </c>
    </row>
    <row r="182" spans="1:23" x14ac:dyDescent="0.25">
      <c r="A182" s="30">
        <v>2.9857002558843601E-3</v>
      </c>
      <c r="F182" s="27" t="s">
        <v>7</v>
      </c>
      <c r="K182" s="27" t="s">
        <v>8</v>
      </c>
      <c r="L182" s="27" t="s">
        <v>7</v>
      </c>
      <c r="M182" s="27" t="s">
        <v>8</v>
      </c>
      <c r="O182" s="27" t="s">
        <v>8</v>
      </c>
      <c r="Q182" s="27" t="s">
        <v>8</v>
      </c>
      <c r="R182" s="27" t="s">
        <v>7</v>
      </c>
      <c r="T182" s="27" t="s">
        <v>7</v>
      </c>
    </row>
    <row r="183" spans="1:23" x14ac:dyDescent="0.25">
      <c r="A183" s="30">
        <v>2.7142729598948726E-3</v>
      </c>
      <c r="F183" s="27" t="s">
        <v>7</v>
      </c>
      <c r="K183" s="27" t="s">
        <v>8</v>
      </c>
      <c r="L183" s="27" t="s">
        <v>7</v>
      </c>
      <c r="M183" s="27" t="s">
        <v>8</v>
      </c>
      <c r="N183" s="27" t="s">
        <v>7</v>
      </c>
      <c r="O183" s="27" t="s">
        <v>8</v>
      </c>
      <c r="P183" s="27" t="s">
        <v>7</v>
      </c>
      <c r="Q183" s="27" t="s">
        <v>8</v>
      </c>
    </row>
    <row r="184" spans="1:23" x14ac:dyDescent="0.25">
      <c r="A184" s="30">
        <v>2.4675208726317021E-3</v>
      </c>
      <c r="F184" s="27" t="s">
        <v>7</v>
      </c>
      <c r="G184" s="27" t="s">
        <v>8</v>
      </c>
      <c r="I184" s="27" t="s">
        <v>8</v>
      </c>
      <c r="K184" s="27" t="s">
        <v>8</v>
      </c>
      <c r="L184" s="27" t="s">
        <v>7</v>
      </c>
      <c r="M184" s="27" t="s">
        <v>8</v>
      </c>
      <c r="N184" s="27" t="s">
        <v>7</v>
      </c>
      <c r="O184" s="27" t="s">
        <v>8</v>
      </c>
      <c r="P184" s="27" t="s">
        <v>7</v>
      </c>
      <c r="Q184" s="27" t="s">
        <v>8</v>
      </c>
    </row>
    <row r="185" spans="1:23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K185" s="27" t="s">
        <v>8</v>
      </c>
      <c r="L185" s="27" t="s">
        <v>7</v>
      </c>
      <c r="M185" s="27" t="s">
        <v>8</v>
      </c>
      <c r="N185" s="27" t="s">
        <v>7</v>
      </c>
      <c r="O185" s="27" t="s">
        <v>8</v>
      </c>
      <c r="P185" s="27" t="s">
        <v>7</v>
      </c>
    </row>
    <row r="186" spans="1:23" x14ac:dyDescent="0.25">
      <c r="A186" s="30">
        <v>2.0392734484559519E-3</v>
      </c>
      <c r="F186" s="27" t="s">
        <v>7</v>
      </c>
      <c r="G186" s="27" t="s">
        <v>8</v>
      </c>
      <c r="H186" s="27" t="s">
        <v>7</v>
      </c>
      <c r="I186" s="27" t="s">
        <v>8</v>
      </c>
      <c r="J186" s="27" t="s">
        <v>7</v>
      </c>
      <c r="K186" s="27" t="s">
        <v>8</v>
      </c>
      <c r="L186" s="27" t="s">
        <v>7</v>
      </c>
      <c r="N186" s="27" t="s">
        <v>7</v>
      </c>
      <c r="O186" s="27" t="s">
        <v>8</v>
      </c>
    </row>
    <row r="187" spans="1:23" x14ac:dyDescent="0.25">
      <c r="A187" s="30">
        <v>1.8538849531417744E-3</v>
      </c>
      <c r="F187" s="27" t="s">
        <v>7</v>
      </c>
      <c r="G187" s="27" t="s">
        <v>8</v>
      </c>
      <c r="H187" s="27" t="s">
        <v>7</v>
      </c>
      <c r="J187" s="27" t="s">
        <v>7</v>
      </c>
      <c r="N187" s="27" t="s">
        <v>7</v>
      </c>
      <c r="O187" s="27" t="s">
        <v>8</v>
      </c>
    </row>
    <row r="188" spans="1:23" x14ac:dyDescent="0.25">
      <c r="A188" s="30">
        <v>1.6853499574016129E-3</v>
      </c>
      <c r="F188" s="27" t="s">
        <v>7</v>
      </c>
      <c r="G188" s="27" t="s">
        <v>8</v>
      </c>
      <c r="N188" s="27" t="s">
        <v>7</v>
      </c>
    </row>
    <row r="189" spans="1:23" x14ac:dyDescent="0.25">
      <c r="A189" s="30">
        <v>1.5321363249105571E-3</v>
      </c>
      <c r="F189" s="27" t="s">
        <v>7</v>
      </c>
    </row>
    <row r="190" spans="1:23" x14ac:dyDescent="0.25">
      <c r="A190" s="30">
        <v>1.3928512044641427E-3</v>
      </c>
    </row>
    <row r="191" spans="1:23" x14ac:dyDescent="0.25">
      <c r="A191" s="30">
        <v>1.2662283676946752E-3</v>
      </c>
    </row>
    <row r="192" spans="1:23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93" operator="equal">
      <formula>$U$1</formula>
    </cfRule>
    <cfRule type="cellIs" dxfId="30" priority="994" operator="equal">
      <formula>$S$1</formula>
    </cfRule>
  </conditionalFormatting>
  <conditionalFormatting sqref="D136">
    <cfRule type="cellIs" dxfId="29" priority="991" operator="equal">
      <formula>$S$1</formula>
    </cfRule>
    <cfRule type="cellIs" dxfId="28" priority="992" operator="equal">
      <formula>$U$1</formula>
    </cfRule>
  </conditionalFormatting>
  <conditionalFormatting sqref="C102">
    <cfRule type="cellIs" dxfId="27" priority="989" operator="equal">
      <formula>$U$1</formula>
    </cfRule>
    <cfRule type="cellIs" dxfId="26" priority="990" operator="equal">
      <formula>$S$1</formula>
    </cfRule>
  </conditionalFormatting>
  <conditionalFormatting sqref="D102">
    <cfRule type="cellIs" dxfId="25" priority="987" operator="equal">
      <formula>$S$1</formula>
    </cfRule>
    <cfRule type="cellIs" dxfId="24" priority="988" operator="equal">
      <formula>$U$1</formula>
    </cfRule>
  </conditionalFormatting>
  <conditionalFormatting sqref="C77">
    <cfRule type="cellIs" dxfId="23" priority="985" operator="equal">
      <formula>$U$1</formula>
    </cfRule>
    <cfRule type="cellIs" dxfId="22" priority="986" operator="equal">
      <formula>$S$1</formula>
    </cfRule>
  </conditionalFormatting>
  <conditionalFormatting sqref="D77">
    <cfRule type="cellIs" dxfId="21" priority="983" operator="equal">
      <formula>$S$1</formula>
    </cfRule>
    <cfRule type="cellIs" dxfId="20" priority="984" operator="equal">
      <formula>$U$1</formula>
    </cfRule>
  </conditionalFormatting>
  <conditionalFormatting sqref="C52">
    <cfRule type="cellIs" dxfId="19" priority="981" operator="equal">
      <formula>$U$1</formula>
    </cfRule>
    <cfRule type="cellIs" dxfId="18" priority="982" operator="equal">
      <formula>$S$1</formula>
    </cfRule>
  </conditionalFormatting>
  <conditionalFormatting sqref="D52">
    <cfRule type="cellIs" dxfId="17" priority="979" operator="equal">
      <formula>$S$1</formula>
    </cfRule>
    <cfRule type="cellIs" dxfId="16" priority="980" operator="equal">
      <formula>$U$1</formula>
    </cfRule>
  </conditionalFormatting>
  <conditionalFormatting sqref="C26">
    <cfRule type="cellIs" dxfId="15" priority="977" operator="equal">
      <formula>$U$1</formula>
    </cfRule>
    <cfRule type="cellIs" dxfId="14" priority="978" operator="equal">
      <formula>$S$1</formula>
    </cfRule>
  </conditionalFormatting>
  <conditionalFormatting sqref="D26">
    <cfRule type="cellIs" dxfId="13" priority="975" operator="equal">
      <formula>$S$1</formula>
    </cfRule>
    <cfRule type="cellIs" dxfId="12" priority="97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2022-01-28T01:17:52Z</dcterms:modified>
</cp:coreProperties>
</file>