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BA1CB5A-5F2B-46FB-86F6-CC2500E27CA2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48" i="1"/>
  <c r="Q1048" i="1" s="1"/>
  <c r="R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48" i="1"/>
  <c r="T1048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6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22" i="4"/>
  <c r="C133" i="4" s="1"/>
  <c r="D136" i="4" s="1"/>
  <c r="C118" i="4"/>
  <c r="D118" i="4"/>
  <c r="R1047" i="1"/>
  <c r="S1047" i="1" s="1"/>
  <c r="T1047" i="1" s="1"/>
  <c r="C116" i="3"/>
  <c r="C122" i="3"/>
  <c r="C133" i="3" s="1"/>
  <c r="C136" i="3" s="1"/>
  <c r="C136" i="5" l="1"/>
  <c r="C138" i="5" s="1"/>
  <c r="C136" i="4"/>
  <c r="C138" i="4" s="1"/>
  <c r="R1046" i="1"/>
  <c r="D136" i="3"/>
  <c r="C138" i="3" s="1"/>
  <c r="R1045" i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S368" i="1" l="1"/>
  <c r="T368" i="1" s="1"/>
  <c r="R367" i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S344" i="1" l="1"/>
  <c r="T344" i="1" s="1"/>
  <c r="R343" i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S320" i="1" l="1"/>
  <c r="T320" i="1" s="1"/>
  <c r="R319" i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S256" i="1" l="1"/>
  <c r="T256" i="1" s="1"/>
  <c r="R255" i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<sst xmlns="http://schemas.openxmlformats.org/spreadsheetml/2006/main" count="8459" uniqueCount="34">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</sst>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85.6</c:v>
                </c:pt>
                <c:pt idx="1">
                  <c:v>89.8</c:v>
                </c:pt>
                <c:pt idx="2">
                  <c:v>90.3</c:v>
                </c:pt>
                <c:pt idx="3">
                  <c:v>94.4</c:v>
                </c:pt>
                <c:pt idx="4">
                  <c:v>97.5</c:v>
                </c:pt>
                <c:pt idx="5">
                  <c:v>94.6</c:v>
                </c:pt>
                <c:pt idx="6">
                  <c:v>102.3</c:v>
                </c:pt>
                <c:pt idx="7">
                  <c:v>118.8</c:v>
                </c:pt>
                <c:pt idx="8">
                  <c:v>125.9</c:v>
                </c:pt>
                <c:pt idx="9">
                  <c:v>131.80000000000001</c:v>
                </c:pt>
                <c:pt idx="10">
                  <c:v>138.9</c:v>
                </c:pt>
                <c:pt idx="11">
                  <c:v>141.19999999999999</c:v>
                </c:pt>
                <c:pt idx="12">
                  <c:v>144.4</c:v>
                </c:pt>
                <c:pt idx="13">
                  <c:v>142.4</c:v>
                </c:pt>
                <c:pt idx="14">
                  <c:v>143.30000000000001</c:v>
                </c:pt>
                <c:pt idx="15">
                  <c:v>144.5</c:v>
                </c:pt>
                <c:pt idx="16">
                  <c:v>141.30000000000001</c:v>
                </c:pt>
                <c:pt idx="17">
                  <c:v>141.30000000000001</c:v>
                </c:pt>
                <c:pt idx="18">
                  <c:v>144.1</c:v>
                </c:pt>
                <c:pt idx="19">
                  <c:v>143.6</c:v>
                </c:pt>
                <c:pt idx="20">
                  <c:v>139.6</c:v>
                </c:pt>
                <c:pt idx="21">
                  <c:v>137.4</c:v>
                </c:pt>
                <c:pt idx="22">
                  <c:v>136.80000000000001</c:v>
                </c:pt>
                <c:pt idx="23">
                  <c:v>147.30000000000001</c:v>
                </c:pt>
                <c:pt idx="24">
                  <c:v>150.5</c:v>
                </c:pt>
                <c:pt idx="25">
                  <c:v>153</c:v>
                </c:pt>
                <c:pt idx="26">
                  <c:v>150.30000000000001</c:v>
                </c:pt>
                <c:pt idx="27">
                  <c:v>146.5</c:v>
                </c:pt>
                <c:pt idx="28">
                  <c:v>153.69999999999999</c:v>
                </c:pt>
                <c:pt idx="29">
                  <c:v>146.6</c:v>
                </c:pt>
                <c:pt idx="30">
                  <c:v>149.69999999999999</c:v>
                </c:pt>
                <c:pt idx="31">
                  <c:v>169.5</c:v>
                </c:pt>
                <c:pt idx="32">
                  <c:v>167.5</c:v>
                </c:pt>
                <c:pt idx="33">
                  <c:v>169.5</c:v>
                </c:pt>
                <c:pt idx="34">
                  <c:v>165</c:v>
                </c:pt>
                <c:pt idx="35">
                  <c:v>167.6</c:v>
                </c:pt>
                <c:pt idx="36">
                  <c:v>165.5</c:v>
                </c:pt>
                <c:pt idx="37">
                  <c:v>162.19999999999999</c:v>
                </c:pt>
                <c:pt idx="38">
                  <c:v>156.69999999999999</c:v>
                </c:pt>
                <c:pt idx="39">
                  <c:v>157.80000000000001</c:v>
                </c:pt>
                <c:pt idx="40">
                  <c:v>157.6</c:v>
                </c:pt>
                <c:pt idx="41">
                  <c:v>149.9</c:v>
                </c:pt>
                <c:pt idx="42">
                  <c:v>152.30000000000001</c:v>
                </c:pt>
                <c:pt idx="43">
                  <c:v>159.5</c:v>
                </c:pt>
                <c:pt idx="44">
                  <c:v>151.6</c:v>
                </c:pt>
                <c:pt idx="45">
                  <c:v>147.9</c:v>
                </c:pt>
                <c:pt idx="46">
                  <c:v>169.6</c:v>
                </c:pt>
                <c:pt idx="47">
                  <c:v>160.9</c:v>
                </c:pt>
                <c:pt idx="48">
                  <c:v>159.4</c:v>
                </c:pt>
                <c:pt idx="49">
                  <c:v>164.1</c:v>
                </c:pt>
                <c:pt idx="50">
                  <c:v>178.8</c:v>
                </c:pt>
                <c:pt idx="51">
                  <c:v>174.1</c:v>
                </c:pt>
                <c:pt idx="52">
                  <c:v>179.8</c:v>
                </c:pt>
                <c:pt idx="53">
                  <c:v>182.6</c:v>
                </c:pt>
                <c:pt idx="54">
                  <c:v>187.6</c:v>
                </c:pt>
                <c:pt idx="55">
                  <c:v>206.2</c:v>
                </c:pt>
                <c:pt idx="56">
                  <c:v>225.4</c:v>
                </c:pt>
                <c:pt idx="57">
                  <c:v>229.8</c:v>
                </c:pt>
                <c:pt idx="58">
                  <c:v>220.2</c:v>
                </c:pt>
                <c:pt idx="59">
                  <c:v>246.7</c:v>
                </c:pt>
                <c:pt idx="60">
                  <c:v>241.2</c:v>
                </c:pt>
                <c:pt idx="61">
                  <c:v>243.5</c:v>
                </c:pt>
                <c:pt idx="62">
                  <c:v>246.6</c:v>
                </c:pt>
                <c:pt idx="63">
                  <c:v>294.5</c:v>
                </c:pt>
                <c:pt idx="64">
                  <c:v>251</c:v>
                </c:pt>
                <c:pt idx="65">
                  <c:v>218.7</c:v>
                </c:pt>
                <c:pt idx="66">
                  <c:v>206</c:v>
                </c:pt>
                <c:pt idx="67">
                  <c:v>229.4</c:v>
                </c:pt>
                <c:pt idx="68">
                  <c:v>179.3</c:v>
                </c:pt>
                <c:pt idx="69">
                  <c:v>158.80000000000001</c:v>
                </c:pt>
                <c:pt idx="70">
                  <c:v>148.19999999999999</c:v>
                </c:pt>
                <c:pt idx="71">
                  <c:v>159.30000000000001</c:v>
                </c:pt>
                <c:pt idx="72">
                  <c:v>165.7</c:v>
                </c:pt>
                <c:pt idx="73">
                  <c:v>195.5</c:v>
                </c:pt>
                <c:pt idx="74">
                  <c:v>201.8</c:v>
                </c:pt>
                <c:pt idx="75">
                  <c:v>199.1</c:v>
                </c:pt>
                <c:pt idx="76">
                  <c:v>202.1</c:v>
                </c:pt>
                <c:pt idx="77">
                  <c:v>204.5</c:v>
                </c:pt>
                <c:pt idx="78">
                  <c:v>179.8</c:v>
                </c:pt>
                <c:pt idx="79">
                  <c:v>200.1</c:v>
                </c:pt>
                <c:pt idx="80">
                  <c:v>170.8</c:v>
                </c:pt>
                <c:pt idx="81">
                  <c:v>164.1</c:v>
                </c:pt>
                <c:pt idx="82">
                  <c:v>159.6</c:v>
                </c:pt>
                <c:pt idx="83">
                  <c:v>162.80000000000001</c:v>
                </c:pt>
                <c:pt idx="84">
                  <c:v>163.69999999999999</c:v>
                </c:pt>
                <c:pt idx="85">
                  <c:v>168.3</c:v>
                </c:pt>
                <c:pt idx="86">
                  <c:v>171.8</c:v>
                </c:pt>
                <c:pt idx="87">
                  <c:v>169.7</c:v>
                </c:pt>
                <c:pt idx="88">
                  <c:v>167</c:v>
                </c:pt>
                <c:pt idx="89">
                  <c:v>153.30000000000001</c:v>
                </c:pt>
                <c:pt idx="90">
                  <c:v>162.6</c:v>
                </c:pt>
                <c:pt idx="91">
                  <c:v>159</c:v>
                </c:pt>
                <c:pt idx="92">
                  <c:v>147.1</c:v>
                </c:pt>
                <c:pt idx="93">
                  <c:v>161.1</c:v>
                </c:pt>
                <c:pt idx="94">
                  <c:v>170.1</c:v>
                </c:pt>
                <c:pt idx="95">
                  <c:v>173</c:v>
                </c:pt>
                <c:pt idx="96">
                  <c:v>173.6</c:v>
                </c:pt>
                <c:pt idx="97">
                  <c:v>165</c:v>
                </c:pt>
                <c:pt idx="98">
                  <c:v>155</c:v>
                </c:pt>
                <c:pt idx="99">
                  <c:v>149.9</c:v>
                </c:pt>
                <c:pt idx="100">
                  <c:v>144.1</c:v>
                </c:pt>
                <c:pt idx="101">
                  <c:v>140.69999999999999</c:v>
                </c:pt>
                <c:pt idx="102">
                  <c:v>137.69999999999999</c:v>
                </c:pt>
                <c:pt idx="103">
                  <c:v>126.1</c:v>
                </c:pt>
                <c:pt idx="104">
                  <c:v>126.2</c:v>
                </c:pt>
                <c:pt idx="105">
                  <c:v>121.8</c:v>
                </c:pt>
                <c:pt idx="106">
                  <c:v>119.4</c:v>
                </c:pt>
                <c:pt idx="107">
                  <c:v>116.3</c:v>
                </c:pt>
                <c:pt idx="108">
                  <c:v>119.7</c:v>
                </c:pt>
                <c:pt idx="109">
                  <c:v>119.5</c:v>
                </c:pt>
                <c:pt idx="110">
                  <c:v>127.6</c:v>
                </c:pt>
                <c:pt idx="111">
                  <c:v>123.4</c:v>
                </c:pt>
                <c:pt idx="112">
                  <c:v>125.3</c:v>
                </c:pt>
                <c:pt idx="113">
                  <c:v>125.4</c:v>
                </c:pt>
                <c:pt idx="114">
                  <c:v>123.1</c:v>
                </c:pt>
                <c:pt idx="115">
                  <c:v>116.6</c:v>
                </c:pt>
                <c:pt idx="116">
                  <c:v>118.6</c:v>
                </c:pt>
                <c:pt idx="117">
                  <c:v>114.2</c:v>
                </c:pt>
                <c:pt idx="118">
                  <c:v>114.9</c:v>
                </c:pt>
                <c:pt idx="119">
                  <c:v>107.1</c:v>
                </c:pt>
                <c:pt idx="120">
                  <c:v>103.7</c:v>
                </c:pt>
                <c:pt idx="121">
                  <c:v>100.8</c:v>
                </c:pt>
                <c:pt idx="122">
                  <c:v>104.5</c:v>
                </c:pt>
                <c:pt idx="123">
                  <c:v>111.2</c:v>
                </c:pt>
                <c:pt idx="124">
                  <c:v>110.7</c:v>
                </c:pt>
                <c:pt idx="125">
                  <c:v>110.6</c:v>
                </c:pt>
                <c:pt idx="126">
                  <c:v>122.6</c:v>
                </c:pt>
                <c:pt idx="127">
                  <c:v>121.3</c:v>
                </c:pt>
                <c:pt idx="128">
                  <c:v>111.7</c:v>
                </c:pt>
                <c:pt idx="129">
                  <c:v>123.4</c:v>
                </c:pt>
                <c:pt idx="130">
                  <c:v>133.6</c:v>
                </c:pt>
                <c:pt idx="131">
                  <c:v>138.6</c:v>
                </c:pt>
                <c:pt idx="132">
                  <c:v>134.5</c:v>
                </c:pt>
                <c:pt idx="133">
                  <c:v>137.9</c:v>
                </c:pt>
                <c:pt idx="134">
                  <c:v>139.80000000000001</c:v>
                </c:pt>
                <c:pt idx="135">
                  <c:v>133.80000000000001</c:v>
                </c:pt>
                <c:pt idx="136">
                  <c:v>127.8</c:v>
                </c:pt>
                <c:pt idx="137">
                  <c:v>131.30000000000001</c:v>
                </c:pt>
                <c:pt idx="138">
                  <c:v>128.5</c:v>
                </c:pt>
                <c:pt idx="139">
                  <c:v>128.19999999999999</c:v>
                </c:pt>
                <c:pt idx="140">
                  <c:v>137.6</c:v>
                </c:pt>
                <c:pt idx="141">
                  <c:v>135.4</c:v>
                </c:pt>
                <c:pt idx="142">
                  <c:v>136.4</c:v>
                </c:pt>
                <c:pt idx="143">
                  <c:v>171.1</c:v>
                </c:pt>
                <c:pt idx="144">
                  <c:v>172.8</c:v>
                </c:pt>
                <c:pt idx="145">
                  <c:v>160.1</c:v>
                </c:pt>
                <c:pt idx="146">
                  <c:v>156.4</c:v>
                </c:pt>
                <c:pt idx="147">
                  <c:v>150.69999999999999</c:v>
                </c:pt>
                <c:pt idx="148">
                  <c:v>151.69999999999999</c:v>
                </c:pt>
                <c:pt idx="149">
                  <c:v>143.80000000000001</c:v>
                </c:pt>
                <c:pt idx="150">
                  <c:v>141.19999999999999</c:v>
                </c:pt>
                <c:pt idx="151">
                  <c:v>148.30000000000001</c:v>
                </c:pt>
                <c:pt idx="152">
                  <c:v>150.5</c:v>
                </c:pt>
                <c:pt idx="153">
                  <c:v>152.30000000000001</c:v>
                </c:pt>
                <c:pt idx="154">
                  <c:v>144</c:v>
                </c:pt>
                <c:pt idx="155">
                  <c:v>163.80000000000001</c:v>
                </c:pt>
                <c:pt idx="156">
                  <c:v>155.30000000000001</c:v>
                </c:pt>
                <c:pt idx="157">
                  <c:v>165.12</c:v>
                </c:pt>
                <c:pt idx="158">
                  <c:v>159.13</c:v>
                </c:pt>
                <c:pt idx="159">
                  <c:v>155.88999999999999</c:v>
                </c:pt>
                <c:pt idx="160">
                  <c:v>153.75</c:v>
                </c:pt>
                <c:pt idx="161">
                  <c:v>147.37</c:v>
                </c:pt>
                <c:pt idx="162">
                  <c:v>140.76</c:v>
                </c:pt>
                <c:pt idx="163">
                  <c:v>141.44999999999999</c:v>
                </c:pt>
                <c:pt idx="164">
                  <c:v>150.12</c:v>
                </c:pt>
                <c:pt idx="165">
                  <c:v>154.82</c:v>
                </c:pt>
                <c:pt idx="166">
                  <c:v>144.88999999999999</c:v>
                </c:pt>
                <c:pt idx="167">
                  <c:v>144.93</c:v>
                </c:pt>
                <c:pt idx="168">
                  <c:v>133.6</c:v>
                </c:pt>
                <c:pt idx="169">
                  <c:v>137.18</c:v>
                </c:pt>
                <c:pt idx="170">
                  <c:v>131.87</c:v>
                </c:pt>
                <c:pt idx="171">
                  <c:v>130.65</c:v>
                </c:pt>
                <c:pt idx="172">
                  <c:v>123.48</c:v>
                </c:pt>
                <c:pt idx="173">
                  <c:v>134.16999999999999</c:v>
                </c:pt>
                <c:pt idx="174">
                  <c:v>126.93</c:v>
                </c:pt>
                <c:pt idx="175">
                  <c:v>119.03</c:v>
                </c:pt>
                <c:pt idx="176">
                  <c:v>118.08</c:v>
                </c:pt>
                <c:pt idx="177">
                  <c:v>114.05</c:v>
                </c:pt>
                <c:pt idx="178">
                  <c:v>115.26</c:v>
                </c:pt>
                <c:pt idx="179">
                  <c:v>115.53</c:v>
                </c:pt>
                <c:pt idx="180">
                  <c:v>111.15</c:v>
                </c:pt>
                <c:pt idx="181">
                  <c:v>109.91</c:v>
                </c:pt>
                <c:pt idx="182">
                  <c:v>107.84</c:v>
                </c:pt>
                <c:pt idx="183">
                  <c:v>105.88</c:v>
                </c:pt>
                <c:pt idx="184">
                  <c:v>102.85</c:v>
                </c:pt>
                <c:pt idx="185">
                  <c:v>101.33</c:v>
                </c:pt>
                <c:pt idx="186">
                  <c:v>100.44</c:v>
                </c:pt>
                <c:pt idx="187">
                  <c:v>99.26</c:v>
                </c:pt>
                <c:pt idx="188">
                  <c:v>97.73</c:v>
                </c:pt>
                <c:pt idx="189">
                  <c:v>97.6</c:v>
                </c:pt>
                <c:pt idx="190">
                  <c:v>95.18</c:v>
                </c:pt>
                <c:pt idx="191">
                  <c:v>85.65</c:v>
                </c:pt>
                <c:pt idx="192">
                  <c:v>89.25</c:v>
                </c:pt>
                <c:pt idx="193">
                  <c:v>93.95</c:v>
                </c:pt>
                <c:pt idx="194">
                  <c:v>93.16</c:v>
                </c:pt>
                <c:pt idx="195">
                  <c:v>93.06</c:v>
                </c:pt>
                <c:pt idx="196">
                  <c:v>100.17</c:v>
                </c:pt>
                <c:pt idx="197">
                  <c:v>104.55</c:v>
                </c:pt>
                <c:pt idx="198">
                  <c:v>104.1</c:v>
                </c:pt>
                <c:pt idx="199">
                  <c:v>107.68</c:v>
                </c:pt>
                <c:pt idx="200">
                  <c:v>110.84</c:v>
                </c:pt>
                <c:pt idx="201">
                  <c:v>108.12</c:v>
                </c:pt>
                <c:pt idx="202">
                  <c:v>111.01</c:v>
                </c:pt>
                <c:pt idx="203">
                  <c:v>109.46</c:v>
                </c:pt>
                <c:pt idx="204">
                  <c:v>118.55</c:v>
                </c:pt>
                <c:pt idx="205">
                  <c:v>117.51</c:v>
                </c:pt>
                <c:pt idx="206">
                  <c:v>111.17</c:v>
                </c:pt>
                <c:pt idx="207">
                  <c:v>120.25</c:v>
                </c:pt>
                <c:pt idx="208">
                  <c:v>116.22</c:v>
                </c:pt>
                <c:pt idx="209">
                  <c:v>118.5</c:v>
                </c:pt>
                <c:pt idx="210">
                  <c:v>120.17</c:v>
                </c:pt>
                <c:pt idx="211">
                  <c:v>130.91</c:v>
                </c:pt>
                <c:pt idx="212">
                  <c:v>126.49</c:v>
                </c:pt>
                <c:pt idx="213">
                  <c:v>118</c:v>
                </c:pt>
                <c:pt idx="214">
                  <c:v>107.71</c:v>
                </c:pt>
                <c:pt idx="215">
                  <c:v>103.61</c:v>
                </c:pt>
                <c:pt idx="216">
                  <c:v>100.08</c:v>
                </c:pt>
                <c:pt idx="217">
                  <c:v>112.82</c:v>
                </c:pt>
                <c:pt idx="218">
                  <c:v>111.79</c:v>
                </c:pt>
                <c:pt idx="219">
                  <c:v>106.5</c:v>
                </c:pt>
                <c:pt idx="220">
                  <c:v>101.3</c:v>
                </c:pt>
                <c:pt idx="221">
                  <c:v>131.81</c:v>
                </c:pt>
                <c:pt idx="222">
                  <c:v>127.9</c:v>
                </c:pt>
                <c:pt idx="223">
                  <c:v>132.88</c:v>
                </c:pt>
                <c:pt idx="224">
                  <c:v>142.27000000000001</c:v>
                </c:pt>
                <c:pt idx="225">
                  <c:v>137.31</c:v>
                </c:pt>
                <c:pt idx="226">
                  <c:v>136.58000000000001</c:v>
                </c:pt>
                <c:pt idx="227">
                  <c:v>139</c:v>
                </c:pt>
                <c:pt idx="228">
                  <c:v>133.06</c:v>
                </c:pt>
                <c:pt idx="229">
                  <c:v>125.85</c:v>
                </c:pt>
                <c:pt idx="230">
                  <c:v>124.74</c:v>
                </c:pt>
                <c:pt idx="231">
                  <c:v>134</c:v>
                </c:pt>
                <c:pt idx="232">
                  <c:v>145.05000000000001</c:v>
                </c:pt>
                <c:pt idx="233">
                  <c:v>130.88</c:v>
                </c:pt>
                <c:pt idx="234">
                  <c:v>135.72</c:v>
                </c:pt>
                <c:pt idx="235">
                  <c:v>149.63</c:v>
                </c:pt>
                <c:pt idx="236">
                  <c:v>153.16999999999999</c:v>
                </c:pt>
                <c:pt idx="237">
                  <c:v>155.28</c:v>
                </c:pt>
                <c:pt idx="238">
                  <c:v>172.95</c:v>
                </c:pt>
                <c:pt idx="239">
                  <c:v>164.35</c:v>
                </c:pt>
                <c:pt idx="240">
                  <c:v>154.04</c:v>
                </c:pt>
                <c:pt idx="241">
                  <c:v>161.65</c:v>
                </c:pt>
                <c:pt idx="242">
                  <c:v>149.84</c:v>
                </c:pt>
                <c:pt idx="243">
                  <c:v>149.24</c:v>
                </c:pt>
                <c:pt idx="244">
                  <c:v>164.62</c:v>
                </c:pt>
                <c:pt idx="245">
                  <c:v>150.27000000000001</c:v>
                </c:pt>
                <c:pt idx="246">
                  <c:v>158.6</c:v>
                </c:pt>
                <c:pt idx="247">
                  <c:v>145.4</c:v>
                </c:pt>
                <c:pt idx="248">
                  <c:v>149.16</c:v>
                </c:pt>
                <c:pt idx="249">
                  <c:v>114.32</c:v>
                </c:pt>
                <c:pt idx="250">
                  <c:v>142.57</c:v>
                </c:pt>
                <c:pt idx="251">
                  <c:v>156.26</c:v>
                </c:pt>
                <c:pt idx="252">
                  <c:v>182.4</c:v>
                </c:pt>
                <c:pt idx="253">
                  <c:v>146.22</c:v>
                </c:pt>
                <c:pt idx="254">
                  <c:v>254.91</c:v>
                </c:pt>
                <c:pt idx="255">
                  <c:v>235.52</c:v>
                </c:pt>
                <c:pt idx="256">
                  <c:v>262.39999999999998</c:v>
                </c:pt>
                <c:pt idx="257">
                  <c:v>271.08</c:v>
                </c:pt>
                <c:pt idx="258">
                  <c:v>305.67</c:v>
                </c:pt>
                <c:pt idx="259">
                  <c:v>296.36</c:v>
                </c:pt>
                <c:pt idx="260">
                  <c:v>280.13</c:v>
                </c:pt>
                <c:pt idx="261">
                  <c:v>302.07</c:v>
                </c:pt>
                <c:pt idx="262">
                  <c:v>283.76</c:v>
                </c:pt>
                <c:pt idx="263">
                  <c:v>305.39999999999998</c:v>
                </c:pt>
                <c:pt idx="264">
                  <c:v>316.25</c:v>
                </c:pt>
                <c:pt idx="265">
                  <c:v>320.01</c:v>
                </c:pt>
                <c:pt idx="266">
                  <c:v>308.57</c:v>
                </c:pt>
                <c:pt idx="267">
                  <c:v>292.01</c:v>
                </c:pt>
                <c:pt idx="268">
                  <c:v>241</c:v>
                </c:pt>
                <c:pt idx="269">
                  <c:v>250.48</c:v>
                </c:pt>
                <c:pt idx="270">
                  <c:v>243.3</c:v>
                </c:pt>
                <c:pt idx="271">
                  <c:v>257.39999999999998</c:v>
                </c:pt>
                <c:pt idx="272">
                  <c:v>245.37</c:v>
                </c:pt>
                <c:pt idx="273">
                  <c:v>229.42</c:v>
                </c:pt>
                <c:pt idx="274">
                  <c:v>240.65</c:v>
                </c:pt>
                <c:pt idx="275">
                  <c:v>241.89</c:v>
                </c:pt>
                <c:pt idx="276">
                  <c:v>227.09</c:v>
                </c:pt>
                <c:pt idx="277">
                  <c:v>202.31</c:v>
                </c:pt>
                <c:pt idx="278">
                  <c:v>198.46</c:v>
                </c:pt>
                <c:pt idx="279">
                  <c:v>220.31</c:v>
                </c:pt>
                <c:pt idx="280">
                  <c:v>223.91</c:v>
                </c:pt>
                <c:pt idx="281">
                  <c:v>237.29</c:v>
                </c:pt>
                <c:pt idx="282">
                  <c:v>249.64</c:v>
                </c:pt>
                <c:pt idx="283">
                  <c:v>225.55</c:v>
                </c:pt>
                <c:pt idx="284">
                  <c:v>260.05</c:v>
                </c:pt>
                <c:pt idx="285">
                  <c:v>279.95</c:v>
                </c:pt>
                <c:pt idx="286">
                  <c:v>270.02999999999997</c:v>
                </c:pt>
                <c:pt idx="287">
                  <c:v>252.27</c:v>
                </c:pt>
                <c:pt idx="288">
                  <c:v>237.5</c:v>
                </c:pt>
                <c:pt idx="289">
                  <c:v>225.98</c:v>
                </c:pt>
                <c:pt idx="290">
                  <c:v>221.39</c:v>
                </c:pt>
                <c:pt idx="291">
                  <c:v>222.31</c:v>
                </c:pt>
                <c:pt idx="292">
                  <c:v>206.15</c:v>
                </c:pt>
                <c:pt idx="293">
                  <c:v>194.65</c:v>
                </c:pt>
                <c:pt idx="294">
                  <c:v>184.74</c:v>
                </c:pt>
                <c:pt idx="295">
                  <c:v>171.26</c:v>
                </c:pt>
                <c:pt idx="296">
                  <c:v>191.11</c:v>
                </c:pt>
                <c:pt idx="297">
                  <c:v>197.13</c:v>
                </c:pt>
                <c:pt idx="298">
                  <c:v>187.14</c:v>
                </c:pt>
                <c:pt idx="299">
                  <c:v>171.61</c:v>
                </c:pt>
                <c:pt idx="300">
                  <c:v>169.52</c:v>
                </c:pt>
                <c:pt idx="301">
                  <c:v>165.53</c:v>
                </c:pt>
                <c:pt idx="302">
                  <c:v>158.22</c:v>
                </c:pt>
                <c:pt idx="303">
                  <c:v>154.6</c:v>
                </c:pt>
                <c:pt idx="304">
                  <c:v>149.18</c:v>
                </c:pt>
                <c:pt idx="305">
                  <c:v>144.87</c:v>
                </c:pt>
                <c:pt idx="306">
                  <c:v>133.62</c:v>
                </c:pt>
                <c:pt idx="307">
                  <c:v>133.46</c:v>
                </c:pt>
                <c:pt idx="308">
                  <c:v>123.02</c:v>
                </c:pt>
                <c:pt idx="309">
                  <c:v>127.67</c:v>
                </c:pt>
                <c:pt idx="310">
                  <c:v>136.02000000000001</c:v>
                </c:pt>
                <c:pt idx="311">
                  <c:v>139.53</c:v>
                </c:pt>
                <c:pt idx="312">
                  <c:v>148.18</c:v>
                </c:pt>
                <c:pt idx="313">
                  <c:v>155.03</c:v>
                </c:pt>
                <c:pt idx="314">
                  <c:v>150.31</c:v>
                </c:pt>
                <c:pt idx="315">
                  <c:v>142.97</c:v>
                </c:pt>
                <c:pt idx="316">
                  <c:v>146.02000000000001</c:v>
                </c:pt>
                <c:pt idx="317">
                  <c:v>139.41</c:v>
                </c:pt>
                <c:pt idx="318">
                  <c:v>135.1</c:v>
                </c:pt>
                <c:pt idx="319">
                  <c:v>143.18</c:v>
                </c:pt>
                <c:pt idx="320">
                  <c:v>156.12</c:v>
                </c:pt>
                <c:pt idx="321">
                  <c:v>145.36000000000001</c:v>
                </c:pt>
                <c:pt idx="322">
                  <c:v>151.86000000000001</c:v>
                </c:pt>
                <c:pt idx="323">
                  <c:v>139.82</c:v>
                </c:pt>
                <c:pt idx="324">
                  <c:v>137.69</c:v>
                </c:pt>
                <c:pt idx="325">
                  <c:v>129.55000000000001</c:v>
                </c:pt>
                <c:pt idx="326">
                  <c:v>130.08000000000001</c:v>
                </c:pt>
                <c:pt idx="327">
                  <c:v>125.19</c:v>
                </c:pt>
                <c:pt idx="328">
                  <c:v>121.12</c:v>
                </c:pt>
                <c:pt idx="329">
                  <c:v>122.03</c:v>
                </c:pt>
                <c:pt idx="330">
                  <c:v>126.69</c:v>
                </c:pt>
                <c:pt idx="331">
                  <c:v>120.51</c:v>
                </c:pt>
                <c:pt idx="332">
                  <c:v>124.4</c:v>
                </c:pt>
                <c:pt idx="333">
                  <c:v>111.31</c:v>
                </c:pt>
                <c:pt idx="334">
                  <c:v>119.78</c:v>
                </c:pt>
                <c:pt idx="335">
                  <c:v>118.23</c:v>
                </c:pt>
                <c:pt idx="336">
                  <c:v>121.25</c:v>
                </c:pt>
                <c:pt idx="337">
                  <c:v>130.96</c:v>
                </c:pt>
                <c:pt idx="338">
                  <c:v>127.13</c:v>
                </c:pt>
                <c:pt idx="339">
                  <c:v>144.38999999999999</c:v>
                </c:pt>
                <c:pt idx="340">
                  <c:v>161.87</c:v>
                </c:pt>
                <c:pt idx="341">
                  <c:v>164.09</c:v>
                </c:pt>
                <c:pt idx="342">
                  <c:v>180.19</c:v>
                </c:pt>
                <c:pt idx="343">
                  <c:v>169.25</c:v>
                </c:pt>
                <c:pt idx="344">
                  <c:v>168.37</c:v>
                </c:pt>
                <c:pt idx="345">
                  <c:v>155.68</c:v>
                </c:pt>
                <c:pt idx="346">
                  <c:v>158.61000000000001</c:v>
                </c:pt>
                <c:pt idx="347">
                  <c:v>156.33000000000001</c:v>
                </c:pt>
                <c:pt idx="348">
                  <c:v>176.11</c:v>
                </c:pt>
                <c:pt idx="349">
                  <c:v>142.79</c:v>
                </c:pt>
                <c:pt idx="350">
                  <c:v>142.34</c:v>
                </c:pt>
                <c:pt idx="351">
                  <c:v>116.41</c:v>
                </c:pt>
                <c:pt idx="352">
                  <c:v>108.77</c:v>
                </c:pt>
                <c:pt idx="353">
                  <c:v>98.01</c:v>
                </c:pt>
                <c:pt idx="354">
                  <c:v>92.3</c:v>
                </c:pt>
                <c:pt idx="355">
                  <c:v>94.24</c:v>
                </c:pt>
                <c:pt idx="356">
                  <c:v>96.44</c:v>
                </c:pt>
                <c:pt idx="357">
                  <c:v>90</c:v>
                </c:pt>
                <c:pt idx="358">
                  <c:v>95.23</c:v>
                </c:pt>
                <c:pt idx="359">
                  <c:v>92.37</c:v>
                </c:pt>
                <c:pt idx="360">
                  <c:v>88.69</c:v>
                </c:pt>
                <c:pt idx="361">
                  <c:v>85.65</c:v>
                </c:pt>
                <c:pt idx="362">
                  <c:v>84.51</c:v>
                </c:pt>
                <c:pt idx="363">
                  <c:v>85.49</c:v>
                </c:pt>
                <c:pt idx="364">
                  <c:v>86.82</c:v>
                </c:pt>
                <c:pt idx="365">
                  <c:v>78.41</c:v>
                </c:pt>
                <c:pt idx="366">
                  <c:v>89.26</c:v>
                </c:pt>
                <c:pt idx="367">
                  <c:v>87.89</c:v>
                </c:pt>
                <c:pt idx="368">
                  <c:v>90</c:v>
                </c:pt>
                <c:pt idx="369">
                  <c:v>85.95</c:v>
                </c:pt>
                <c:pt idx="370">
                  <c:v>86.94</c:v>
                </c:pt>
                <c:pt idx="371">
                  <c:v>82.92</c:v>
                </c:pt>
                <c:pt idx="372">
                  <c:v>98.99</c:v>
                </c:pt>
                <c:pt idx="373">
                  <c:v>102.42</c:v>
                </c:pt>
                <c:pt idx="374">
                  <c:v>103.98</c:v>
                </c:pt>
                <c:pt idx="375">
                  <c:v>102.25</c:v>
                </c:pt>
                <c:pt idx="376">
                  <c:v>108.08</c:v>
                </c:pt>
                <c:pt idx="377">
                  <c:v>103.25</c:v>
                </c:pt>
                <c:pt idx="378">
                  <c:v>111.71</c:v>
                </c:pt>
                <c:pt idx="379">
                  <c:v>117.35</c:v>
                </c:pt>
                <c:pt idx="380">
                  <c:v>99.72</c:v>
                </c:pt>
                <c:pt idx="381">
                  <c:v>88.24</c:v>
                </c:pt>
                <c:pt idx="382">
                  <c:v>96.37</c:v>
                </c:pt>
                <c:pt idx="383">
                  <c:v>78.44</c:v>
                </c:pt>
                <c:pt idx="384">
                  <c:v>68.59</c:v>
                </c:pt>
                <c:pt idx="385">
                  <c:v>67.75</c:v>
                </c:pt>
                <c:pt idx="386">
                  <c:v>63.92</c:v>
                </c:pt>
                <c:pt idx="387">
                  <c:v>59.64</c:v>
                </c:pt>
                <c:pt idx="388">
                  <c:v>60.34</c:v>
                </c:pt>
                <c:pt idx="389">
                  <c:v>59.35</c:v>
                </c:pt>
                <c:pt idx="390">
                  <c:v>57.46</c:v>
                </c:pt>
                <c:pt idx="391">
                  <c:v>56.6</c:v>
                </c:pt>
                <c:pt idx="392">
                  <c:v>63.91</c:v>
                </c:pt>
                <c:pt idx="393">
                  <c:v>64.09</c:v>
                </c:pt>
                <c:pt idx="394">
                  <c:v>65.33</c:v>
                </c:pt>
                <c:pt idx="395">
                  <c:v>69.040000000000006</c:v>
                </c:pt>
                <c:pt idx="396">
                  <c:v>66.97</c:v>
                </c:pt>
                <c:pt idx="397">
                  <c:v>66.56</c:v>
                </c:pt>
                <c:pt idx="398">
                  <c:v>64.27</c:v>
                </c:pt>
                <c:pt idx="399">
                  <c:v>62.1</c:v>
                </c:pt>
                <c:pt idx="400">
                  <c:v>55.42</c:v>
                </c:pt>
                <c:pt idx="401">
                  <c:v>67.64</c:v>
                </c:pt>
                <c:pt idx="402">
                  <c:v>67.77</c:v>
                </c:pt>
                <c:pt idx="403">
                  <c:v>73.69</c:v>
                </c:pt>
                <c:pt idx="404">
                  <c:v>73.5</c:v>
                </c:pt>
                <c:pt idx="405">
                  <c:v>73.89</c:v>
                </c:pt>
                <c:pt idx="406">
                  <c:v>74.28</c:v>
                </c:pt>
                <c:pt idx="407">
                  <c:v>73.209999999999994</c:v>
                </c:pt>
                <c:pt idx="408">
                  <c:v>67.63</c:v>
                </c:pt>
                <c:pt idx="409">
                  <c:v>68</c:v>
                </c:pt>
                <c:pt idx="410">
                  <c:v>68.25</c:v>
                </c:pt>
                <c:pt idx="411">
                  <c:v>65.95</c:v>
                </c:pt>
                <c:pt idx="412">
                  <c:v>63.71</c:v>
                </c:pt>
                <c:pt idx="413">
                  <c:v>65.959999999999994</c:v>
                </c:pt>
                <c:pt idx="414">
                  <c:v>69.38</c:v>
                </c:pt>
                <c:pt idx="415">
                  <c:v>69.61</c:v>
                </c:pt>
                <c:pt idx="416">
                  <c:v>75.569999999999993</c:v>
                </c:pt>
                <c:pt idx="417">
                  <c:v>74.61</c:v>
                </c:pt>
                <c:pt idx="418">
                  <c:v>71.83</c:v>
                </c:pt>
                <c:pt idx="419">
                  <c:v>69.010000000000005</c:v>
                </c:pt>
                <c:pt idx="420">
                  <c:v>75.69</c:v>
                </c:pt>
                <c:pt idx="421">
                  <c:v>76.66</c:v>
                </c:pt>
                <c:pt idx="422">
                  <c:v>74.819999999999993</c:v>
                </c:pt>
                <c:pt idx="423">
                  <c:v>78.91</c:v>
                </c:pt>
                <c:pt idx="424">
                  <c:v>75.06</c:v>
                </c:pt>
                <c:pt idx="425">
                  <c:v>75.31</c:v>
                </c:pt>
                <c:pt idx="426">
                  <c:v>69.5</c:v>
                </c:pt>
                <c:pt idx="427">
                  <c:v>70.16</c:v>
                </c:pt>
                <c:pt idx="428">
                  <c:v>78.150000000000006</c:v>
                </c:pt>
                <c:pt idx="429">
                  <c:v>86.8</c:v>
                </c:pt>
                <c:pt idx="430">
                  <c:v>79.52</c:v>
                </c:pt>
                <c:pt idx="431">
                  <c:v>68.790000000000006</c:v>
                </c:pt>
                <c:pt idx="432">
                  <c:v>72.62</c:v>
                </c:pt>
                <c:pt idx="433">
                  <c:v>63.23</c:v>
                </c:pt>
                <c:pt idx="434">
                  <c:v>62.38</c:v>
                </c:pt>
                <c:pt idx="435">
                  <c:v>63.17</c:v>
                </c:pt>
                <c:pt idx="436">
                  <c:v>66.819999999999993</c:v>
                </c:pt>
                <c:pt idx="437">
                  <c:v>64.55</c:v>
                </c:pt>
                <c:pt idx="438">
                  <c:v>61.16</c:v>
                </c:pt>
                <c:pt idx="439">
                  <c:v>63.9</c:v>
                </c:pt>
                <c:pt idx="440">
                  <c:v>65.8</c:v>
                </c:pt>
                <c:pt idx="441">
                  <c:v>62.99</c:v>
                </c:pt>
                <c:pt idx="442">
                  <c:v>58.92</c:v>
                </c:pt>
                <c:pt idx="443">
                  <c:v>59.06</c:v>
                </c:pt>
                <c:pt idx="444">
                  <c:v>58.42</c:v>
                </c:pt>
                <c:pt idx="445">
                  <c:v>60.61</c:v>
                </c:pt>
                <c:pt idx="446">
                  <c:v>57.4</c:v>
                </c:pt>
                <c:pt idx="447">
                  <c:v>61.57</c:v>
                </c:pt>
                <c:pt idx="448">
                  <c:v>56.69</c:v>
                </c:pt>
                <c:pt idx="449">
                  <c:v>54.09</c:v>
                </c:pt>
                <c:pt idx="450">
                  <c:v>53.2</c:v>
                </c:pt>
                <c:pt idx="451">
                  <c:v>54.77</c:v>
                </c:pt>
                <c:pt idx="452">
                  <c:v>58.17</c:v>
                </c:pt>
                <c:pt idx="453">
                  <c:v>58.16</c:v>
                </c:pt>
                <c:pt idx="454">
                  <c:v>58.21</c:v>
                </c:pt>
                <c:pt idx="455">
                  <c:v>56.87</c:v>
                </c:pt>
                <c:pt idx="456">
                  <c:v>56.8</c:v>
                </c:pt>
                <c:pt idx="457">
                  <c:v>61.2</c:v>
                </c:pt>
                <c:pt idx="458">
                  <c:v>60.2</c:v>
                </c:pt>
                <c:pt idx="459">
                  <c:v>62.77</c:v>
                </c:pt>
                <c:pt idx="460">
                  <c:v>64.14</c:v>
                </c:pt>
                <c:pt idx="461">
                  <c:v>63.26</c:v>
                </c:pt>
                <c:pt idx="462">
                  <c:v>65.540000000000006</c:v>
                </c:pt>
                <c:pt idx="463">
                  <c:v>62.72</c:v>
                </c:pt>
                <c:pt idx="464">
                  <c:v>57.85</c:v>
                </c:pt>
                <c:pt idx="465">
                  <c:v>64.08</c:v>
                </c:pt>
                <c:pt idx="466">
                  <c:v>64.42</c:v>
                </c:pt>
                <c:pt idx="467">
                  <c:v>62.99</c:v>
                </c:pt>
                <c:pt idx="468">
                  <c:v>62.59</c:v>
                </c:pt>
                <c:pt idx="469">
                  <c:v>68.239999999999995</c:v>
                </c:pt>
                <c:pt idx="470">
                  <c:v>68.75</c:v>
                </c:pt>
                <c:pt idx="471">
                  <c:v>70.069999999999993</c:v>
                </c:pt>
                <c:pt idx="472">
                  <c:v>72.930000000000007</c:v>
                </c:pt>
                <c:pt idx="473">
                  <c:v>72.459999999999994</c:v>
                </c:pt>
                <c:pt idx="474">
                  <c:v>66.790000000000006</c:v>
                </c:pt>
                <c:pt idx="475">
                  <c:v>63.52</c:v>
                </c:pt>
                <c:pt idx="476">
                  <c:v>61.99</c:v>
                </c:pt>
                <c:pt idx="477">
                  <c:v>61.48</c:v>
                </c:pt>
                <c:pt idx="478">
                  <c:v>61.48</c:v>
                </c:pt>
                <c:pt idx="479">
                  <c:v>65.760000000000005</c:v>
                </c:pt>
                <c:pt idx="480">
                  <c:v>63.12</c:v>
                </c:pt>
                <c:pt idx="481">
                  <c:v>60.73</c:v>
                </c:pt>
                <c:pt idx="482">
                  <c:v>63.85</c:v>
                </c:pt>
                <c:pt idx="483">
                  <c:v>64.67</c:v>
                </c:pt>
                <c:pt idx="484">
                  <c:v>64.099999999999994</c:v>
                </c:pt>
                <c:pt idx="485">
                  <c:v>61.25</c:v>
                </c:pt>
                <c:pt idx="486">
                  <c:v>56.22</c:v>
                </c:pt>
                <c:pt idx="487">
                  <c:v>55.55</c:v>
                </c:pt>
                <c:pt idx="488">
                  <c:v>56.2</c:v>
                </c:pt>
                <c:pt idx="489">
                  <c:v>54.87</c:v>
                </c:pt>
                <c:pt idx="490">
                  <c:v>55.16</c:v>
                </c:pt>
                <c:pt idx="491">
                  <c:v>51.84</c:v>
                </c:pt>
                <c:pt idx="492">
                  <c:v>53.31</c:v>
                </c:pt>
                <c:pt idx="493">
                  <c:v>51.63</c:v>
                </c:pt>
                <c:pt idx="494">
                  <c:v>57.6</c:v>
                </c:pt>
                <c:pt idx="495">
                  <c:v>57.97</c:v>
                </c:pt>
                <c:pt idx="496">
                  <c:v>57.9</c:v>
                </c:pt>
                <c:pt idx="497">
                  <c:v>59.65</c:v>
                </c:pt>
                <c:pt idx="498">
                  <c:v>58.34</c:v>
                </c:pt>
                <c:pt idx="499">
                  <c:v>59.4</c:v>
                </c:pt>
                <c:pt idx="500">
                  <c:v>63.28</c:v>
                </c:pt>
                <c:pt idx="501">
                  <c:v>62.54</c:v>
                </c:pt>
                <c:pt idx="502">
                  <c:v>65.680000000000007</c:v>
                </c:pt>
                <c:pt idx="503">
                  <c:v>63.32</c:v>
                </c:pt>
                <c:pt idx="504">
                  <c:v>62.07</c:v>
                </c:pt>
                <c:pt idx="505">
                  <c:v>59.92</c:v>
                </c:pt>
                <c:pt idx="506">
                  <c:v>58.69</c:v>
                </c:pt>
                <c:pt idx="507">
                  <c:v>61.86</c:v>
                </c:pt>
                <c:pt idx="508">
                  <c:v>58.92</c:v>
                </c:pt>
                <c:pt idx="509">
                  <c:v>55.98</c:v>
                </c:pt>
                <c:pt idx="510">
                  <c:v>59.64</c:v>
                </c:pt>
                <c:pt idx="511">
                  <c:v>56.77</c:v>
                </c:pt>
                <c:pt idx="512">
                  <c:v>75.900000000000006</c:v>
                </c:pt>
                <c:pt idx="513">
                  <c:v>83.17</c:v>
                </c:pt>
                <c:pt idx="514">
                  <c:v>78.290000000000006</c:v>
                </c:pt>
                <c:pt idx="515">
                  <c:v>81.11</c:v>
                </c:pt>
                <c:pt idx="516">
                  <c:v>78.680000000000007</c:v>
                </c:pt>
                <c:pt idx="517">
                  <c:v>76.239999999999995</c:v>
                </c:pt>
                <c:pt idx="518">
                  <c:v>72.13</c:v>
                </c:pt>
                <c:pt idx="519">
                  <c:v>75</c:v>
                </c:pt>
                <c:pt idx="520">
                  <c:v>72.930000000000007</c:v>
                </c:pt>
                <c:pt idx="521">
                  <c:v>80.260000000000005</c:v>
                </c:pt>
                <c:pt idx="522">
                  <c:v>84.36</c:v>
                </c:pt>
                <c:pt idx="523">
                  <c:v>76.88</c:v>
                </c:pt>
                <c:pt idx="524">
                  <c:v>73.56</c:v>
                </c:pt>
                <c:pt idx="525">
                  <c:v>78.87</c:v>
                </c:pt>
                <c:pt idx="526">
                  <c:v>76.3</c:v>
                </c:pt>
                <c:pt idx="527">
                  <c:v>83.14</c:v>
                </c:pt>
                <c:pt idx="528">
                  <c:v>86.74</c:v>
                </c:pt>
                <c:pt idx="529">
                  <c:v>85.3</c:v>
                </c:pt>
                <c:pt idx="530">
                  <c:v>85.12</c:v>
                </c:pt>
                <c:pt idx="531">
                  <c:v>85.03</c:v>
                </c:pt>
                <c:pt idx="532">
                  <c:v>87.4</c:v>
                </c:pt>
                <c:pt idx="533">
                  <c:v>83.52</c:v>
                </c:pt>
                <c:pt idx="534">
                  <c:v>80.88</c:v>
                </c:pt>
                <c:pt idx="535">
                  <c:v>89.01</c:v>
                </c:pt>
                <c:pt idx="536">
                  <c:v>92.01</c:v>
                </c:pt>
                <c:pt idx="537">
                  <c:v>97.08</c:v>
                </c:pt>
                <c:pt idx="538">
                  <c:v>94.42</c:v>
                </c:pt>
                <c:pt idx="539">
                  <c:v>96.75</c:v>
                </c:pt>
                <c:pt idx="540">
                  <c:v>97.46</c:v>
                </c:pt>
                <c:pt idx="541">
                  <c:v>84.93</c:v>
                </c:pt>
                <c:pt idx="542">
                  <c:v>82.3</c:v>
                </c:pt>
                <c:pt idx="543">
                  <c:v>84.31</c:v>
                </c:pt>
                <c:pt idx="544">
                  <c:v>89.37</c:v>
                </c:pt>
                <c:pt idx="545">
                  <c:v>74.900000000000006</c:v>
                </c:pt>
                <c:pt idx="546">
                  <c:v>70.48</c:v>
                </c:pt>
                <c:pt idx="547">
                  <c:v>72.13</c:v>
                </c:pt>
                <c:pt idx="548">
                  <c:v>70.569999999999993</c:v>
                </c:pt>
                <c:pt idx="549">
                  <c:v>70.77</c:v>
                </c:pt>
                <c:pt idx="550">
                  <c:v>66.150000000000006</c:v>
                </c:pt>
                <c:pt idx="551">
                  <c:v>65.69</c:v>
                </c:pt>
                <c:pt idx="552">
                  <c:v>63.01</c:v>
                </c:pt>
                <c:pt idx="553">
                  <c:v>63.51</c:v>
                </c:pt>
                <c:pt idx="554">
                  <c:v>64.28</c:v>
                </c:pt>
                <c:pt idx="555">
                  <c:v>62.45</c:v>
                </c:pt>
                <c:pt idx="556">
                  <c:v>57.05</c:v>
                </c:pt>
                <c:pt idx="557">
                  <c:v>58.38</c:v>
                </c:pt>
                <c:pt idx="558">
                  <c:v>59.06</c:v>
                </c:pt>
                <c:pt idx="559">
                  <c:v>59.5</c:v>
                </c:pt>
                <c:pt idx="560">
                  <c:v>59.1</c:v>
                </c:pt>
                <c:pt idx="561">
                  <c:v>61.14</c:v>
                </c:pt>
                <c:pt idx="562">
                  <c:v>62.02</c:v>
                </c:pt>
                <c:pt idx="563">
                  <c:v>61.26</c:v>
                </c:pt>
                <c:pt idx="564">
                  <c:v>58.65</c:v>
                </c:pt>
                <c:pt idx="565">
                  <c:v>55.84</c:v>
                </c:pt>
                <c:pt idx="566">
                  <c:v>56.07</c:v>
                </c:pt>
                <c:pt idx="567">
                  <c:v>56.86</c:v>
                </c:pt>
                <c:pt idx="568">
                  <c:v>57.94</c:v>
                </c:pt>
                <c:pt idx="569">
                  <c:v>55.08</c:v>
                </c:pt>
                <c:pt idx="570">
                  <c:v>55.55</c:v>
                </c:pt>
                <c:pt idx="571">
                  <c:v>51.16</c:v>
                </c:pt>
                <c:pt idx="572">
                  <c:v>51.43</c:v>
                </c:pt>
                <c:pt idx="573">
                  <c:v>51.11</c:v>
                </c:pt>
                <c:pt idx="574">
                  <c:v>51.18</c:v>
                </c:pt>
                <c:pt idx="575">
                  <c:v>51.86</c:v>
                </c:pt>
                <c:pt idx="576">
                  <c:v>51.44</c:v>
                </c:pt>
                <c:pt idx="577">
                  <c:v>52.42</c:v>
                </c:pt>
                <c:pt idx="578">
                  <c:v>51.81</c:v>
                </c:pt>
                <c:pt idx="579">
                  <c:v>52.24</c:v>
                </c:pt>
                <c:pt idx="580">
                  <c:v>55.7</c:v>
                </c:pt>
                <c:pt idx="581">
                  <c:v>55.81</c:v>
                </c:pt>
                <c:pt idx="582">
                  <c:v>55.2</c:v>
                </c:pt>
                <c:pt idx="583">
                  <c:v>58.23</c:v>
                </c:pt>
                <c:pt idx="584">
                  <c:v>53.53</c:v>
                </c:pt>
                <c:pt idx="585">
                  <c:v>50.51</c:v>
                </c:pt>
                <c:pt idx="586">
                  <c:v>51.4</c:v>
                </c:pt>
                <c:pt idx="587">
                  <c:v>51.41</c:v>
                </c:pt>
                <c:pt idx="588">
                  <c:v>51.95</c:v>
                </c:pt>
                <c:pt idx="589">
                  <c:v>52.91</c:v>
                </c:pt>
                <c:pt idx="590">
                  <c:v>52.97</c:v>
                </c:pt>
                <c:pt idx="591">
                  <c:v>52.2</c:v>
                </c:pt>
                <c:pt idx="592">
                  <c:v>51.1</c:v>
                </c:pt>
                <c:pt idx="593">
                  <c:v>52.81</c:v>
                </c:pt>
                <c:pt idx="594">
                  <c:v>51.61</c:v>
                </c:pt>
                <c:pt idx="595">
                  <c:v>49.64</c:v>
                </c:pt>
                <c:pt idx="596">
                  <c:v>55.21</c:v>
                </c:pt>
                <c:pt idx="597">
                  <c:v>51.98</c:v>
                </c:pt>
                <c:pt idx="598">
                  <c:v>52.5</c:v>
                </c:pt>
                <c:pt idx="599">
                  <c:v>52.21</c:v>
                </c:pt>
                <c:pt idx="600">
                  <c:v>52.83</c:v>
                </c:pt>
                <c:pt idx="601">
                  <c:v>52.57</c:v>
                </c:pt>
                <c:pt idx="602">
                  <c:v>52.24</c:v>
                </c:pt>
                <c:pt idx="603">
                  <c:v>52.83</c:v>
                </c:pt>
                <c:pt idx="604">
                  <c:v>51.48</c:v>
                </c:pt>
                <c:pt idx="605">
                  <c:v>54.65</c:v>
                </c:pt>
                <c:pt idx="606">
                  <c:v>51.51</c:v>
                </c:pt>
                <c:pt idx="607">
                  <c:v>54.55</c:v>
                </c:pt>
                <c:pt idx="608">
                  <c:v>46.6</c:v>
                </c:pt>
                <c:pt idx="609">
                  <c:v>47.73</c:v>
                </c:pt>
                <c:pt idx="610">
                  <c:v>46.21</c:v>
                </c:pt>
                <c:pt idx="611">
                  <c:v>44.85</c:v>
                </c:pt>
                <c:pt idx="612">
                  <c:v>45.94</c:v>
                </c:pt>
                <c:pt idx="613">
                  <c:v>45</c:v>
                </c:pt>
                <c:pt idx="614">
                  <c:v>46.91</c:v>
                </c:pt>
                <c:pt idx="615">
                  <c:v>47.7</c:v>
                </c:pt>
                <c:pt idx="616">
                  <c:v>46</c:v>
                </c:pt>
                <c:pt idx="617">
                  <c:v>48.39</c:v>
                </c:pt>
                <c:pt idx="618">
                  <c:v>48.97</c:v>
                </c:pt>
                <c:pt idx="619">
                  <c:v>48.07</c:v>
                </c:pt>
                <c:pt idx="620">
                  <c:v>46.25</c:v>
                </c:pt>
                <c:pt idx="621">
                  <c:v>42.51</c:v>
                </c:pt>
                <c:pt idx="622">
                  <c:v>41.87</c:v>
                </c:pt>
                <c:pt idx="623">
                  <c:v>43.2</c:v>
                </c:pt>
                <c:pt idx="624">
                  <c:v>42.89</c:v>
                </c:pt>
                <c:pt idx="625">
                  <c:v>42.21</c:v>
                </c:pt>
                <c:pt idx="626">
                  <c:v>39.68</c:v>
                </c:pt>
                <c:pt idx="627">
                  <c:v>40.9</c:v>
                </c:pt>
                <c:pt idx="628">
                  <c:v>45</c:v>
                </c:pt>
                <c:pt idx="629">
                  <c:v>46.76</c:v>
                </c:pt>
                <c:pt idx="630">
                  <c:v>44.17</c:v>
                </c:pt>
                <c:pt idx="631">
                  <c:v>42.3</c:v>
                </c:pt>
                <c:pt idx="632">
                  <c:v>43.84</c:v>
                </c:pt>
                <c:pt idx="633">
                  <c:v>44.02</c:v>
                </c:pt>
                <c:pt idx="634">
                  <c:v>44.78</c:v>
                </c:pt>
                <c:pt idx="635">
                  <c:v>46.5</c:v>
                </c:pt>
                <c:pt idx="636">
                  <c:v>45.73</c:v>
                </c:pt>
                <c:pt idx="637">
                  <c:v>44.76</c:v>
                </c:pt>
                <c:pt idx="638">
                  <c:v>47.07</c:v>
                </c:pt>
                <c:pt idx="639">
                  <c:v>44.62</c:v>
                </c:pt>
                <c:pt idx="640">
                  <c:v>44.46</c:v>
                </c:pt>
                <c:pt idx="641">
                  <c:v>44.59</c:v>
                </c:pt>
                <c:pt idx="642">
                  <c:v>44.7</c:v>
                </c:pt>
                <c:pt idx="643">
                  <c:v>44.08</c:v>
                </c:pt>
                <c:pt idx="644">
                  <c:v>44.46</c:v>
                </c:pt>
                <c:pt idx="645">
                  <c:v>45.53</c:v>
                </c:pt>
                <c:pt idx="646">
                  <c:v>42.09</c:v>
                </c:pt>
                <c:pt idx="647">
                  <c:v>41.89</c:v>
                </c:pt>
                <c:pt idx="648">
                  <c:v>46.44</c:v>
                </c:pt>
                <c:pt idx="649">
                  <c:v>42.13</c:v>
                </c:pt>
                <c:pt idx="650">
                  <c:v>40.4</c:v>
                </c:pt>
                <c:pt idx="651">
                  <c:v>38.74</c:v>
                </c:pt>
                <c:pt idx="652">
                  <c:v>35.08</c:v>
                </c:pt>
                <c:pt idx="653">
                  <c:v>35.51</c:v>
                </c:pt>
                <c:pt idx="654">
                  <c:v>35.75</c:v>
                </c:pt>
                <c:pt idx="655">
                  <c:v>36.380000000000003</c:v>
                </c:pt>
                <c:pt idx="656">
                  <c:v>36.200000000000003</c:v>
                </c:pt>
                <c:pt idx="657">
                  <c:v>36.619999999999997</c:v>
                </c:pt>
                <c:pt idx="658">
                  <c:v>40.71</c:v>
                </c:pt>
                <c:pt idx="659">
                  <c:v>37.86</c:v>
                </c:pt>
                <c:pt idx="660">
                  <c:v>36.450000000000003</c:v>
                </c:pt>
                <c:pt idx="661">
                  <c:v>37.56</c:v>
                </c:pt>
                <c:pt idx="662">
                  <c:v>32.520000000000003</c:v>
                </c:pt>
                <c:pt idx="663">
                  <c:v>33.03</c:v>
                </c:pt>
                <c:pt idx="664">
                  <c:v>32.659999999999997</c:v>
                </c:pt>
                <c:pt idx="665">
                  <c:v>32.229999999999997</c:v>
                </c:pt>
                <c:pt idx="666">
                  <c:v>31.32</c:v>
                </c:pt>
                <c:pt idx="667">
                  <c:v>30.9</c:v>
                </c:pt>
                <c:pt idx="668">
                  <c:v>30.54</c:v>
                </c:pt>
                <c:pt idx="669">
                  <c:v>28.22</c:v>
                </c:pt>
                <c:pt idx="670">
                  <c:v>30.38</c:v>
                </c:pt>
                <c:pt idx="671">
                  <c:v>31.01</c:v>
                </c:pt>
                <c:pt idx="672">
                  <c:v>32.46</c:v>
                </c:pt>
                <c:pt idx="673">
                  <c:v>32.200000000000003</c:v>
                </c:pt>
                <c:pt idx="674">
                  <c:v>32.79</c:v>
                </c:pt>
                <c:pt idx="675">
                  <c:v>32.049999999999997</c:v>
                </c:pt>
                <c:pt idx="676">
                  <c:v>29.49</c:v>
                </c:pt>
                <c:pt idx="677">
                  <c:v>33.03</c:v>
                </c:pt>
                <c:pt idx="678">
                  <c:v>33.08</c:v>
                </c:pt>
                <c:pt idx="679">
                  <c:v>31.95</c:v>
                </c:pt>
                <c:pt idx="680">
                  <c:v>29.73</c:v>
                </c:pt>
                <c:pt idx="681">
                  <c:v>25.06</c:v>
                </c:pt>
                <c:pt idx="682">
                  <c:v>24.68</c:v>
                </c:pt>
                <c:pt idx="683">
                  <c:v>25.68</c:v>
                </c:pt>
                <c:pt idx="684">
                  <c:v>24.95</c:v>
                </c:pt>
                <c:pt idx="685">
                  <c:v>27.34</c:v>
                </c:pt>
                <c:pt idx="686">
                  <c:v>25.45</c:v>
                </c:pt>
                <c:pt idx="687">
                  <c:v>40.24</c:v>
                </c:pt>
                <c:pt idx="688">
                  <c:v>41.4</c:v>
                </c:pt>
                <c:pt idx="689">
                  <c:v>42.18</c:v>
                </c:pt>
                <c:pt idx="690">
                  <c:v>42.83</c:v>
                </c:pt>
                <c:pt idx="691">
                  <c:v>50.59</c:v>
                </c:pt>
                <c:pt idx="692">
                  <c:v>53.3</c:v>
                </c:pt>
                <c:pt idx="693">
                  <c:v>51.84</c:v>
                </c:pt>
                <c:pt idx="694">
                  <c:v>50.17</c:v>
                </c:pt>
                <c:pt idx="695">
                  <c:v>50.78</c:v>
                </c:pt>
                <c:pt idx="696">
                  <c:v>52.33</c:v>
                </c:pt>
                <c:pt idx="697">
                  <c:v>49.1</c:v>
                </c:pt>
                <c:pt idx="698">
                  <c:v>48.96</c:v>
                </c:pt>
                <c:pt idx="699">
                  <c:v>50.83</c:v>
                </c:pt>
                <c:pt idx="700">
                  <c:v>52.96</c:v>
                </c:pt>
                <c:pt idx="701">
                  <c:v>51.33</c:v>
                </c:pt>
                <c:pt idx="702">
                  <c:v>57.06</c:v>
                </c:pt>
                <c:pt idx="703">
                  <c:v>60.7</c:v>
                </c:pt>
                <c:pt idx="704">
                  <c:v>63.32</c:v>
                </c:pt>
                <c:pt idx="705">
                  <c:v>60.73</c:v>
                </c:pt>
                <c:pt idx="706">
                  <c:v>61.56</c:v>
                </c:pt>
                <c:pt idx="707">
                  <c:v>60.79</c:v>
                </c:pt>
                <c:pt idx="708">
                  <c:v>62.1</c:v>
                </c:pt>
                <c:pt idx="709">
                  <c:v>65.739999999999995</c:v>
                </c:pt>
                <c:pt idx="710">
                  <c:v>64.2</c:v>
                </c:pt>
                <c:pt idx="711">
                  <c:v>60</c:v>
                </c:pt>
                <c:pt idx="712">
                  <c:v>64.459999999999994</c:v>
                </c:pt>
                <c:pt idx="713">
                  <c:v>72.92</c:v>
                </c:pt>
                <c:pt idx="714">
                  <c:v>72.010000000000005</c:v>
                </c:pt>
                <c:pt idx="715">
                  <c:v>73.12</c:v>
                </c:pt>
                <c:pt idx="716">
                  <c:v>72.680000000000007</c:v>
                </c:pt>
                <c:pt idx="717">
                  <c:v>69.77</c:v>
                </c:pt>
                <c:pt idx="718">
                  <c:v>71.33</c:v>
                </c:pt>
                <c:pt idx="719">
                  <c:v>70.02</c:v>
                </c:pt>
                <c:pt idx="720">
                  <c:v>68.38</c:v>
                </c:pt>
                <c:pt idx="721">
                  <c:v>70.14</c:v>
                </c:pt>
                <c:pt idx="722">
                  <c:v>71.19</c:v>
                </c:pt>
                <c:pt idx="723">
                  <c:v>64.34</c:v>
                </c:pt>
                <c:pt idx="724">
                  <c:v>65.52</c:v>
                </c:pt>
                <c:pt idx="725">
                  <c:v>66.36</c:v>
                </c:pt>
                <c:pt idx="726">
                  <c:v>66.03</c:v>
                </c:pt>
                <c:pt idx="727">
                  <c:v>66.510000000000005</c:v>
                </c:pt>
                <c:pt idx="728">
                  <c:v>66.3</c:v>
                </c:pt>
                <c:pt idx="729">
                  <c:v>61.74</c:v>
                </c:pt>
                <c:pt idx="730">
                  <c:v>56.74</c:v>
                </c:pt>
                <c:pt idx="731">
                  <c:v>55.18</c:v>
                </c:pt>
                <c:pt idx="732">
                  <c:v>53.65</c:v>
                </c:pt>
                <c:pt idx="733">
                  <c:v>48.72</c:v>
                </c:pt>
                <c:pt idx="734">
                  <c:v>48.82</c:v>
                </c:pt>
                <c:pt idx="735">
                  <c:v>49.6</c:v>
                </c:pt>
                <c:pt idx="736">
                  <c:v>52.21</c:v>
                </c:pt>
                <c:pt idx="737">
                  <c:v>53.26</c:v>
                </c:pt>
                <c:pt idx="738">
                  <c:v>53.68</c:v>
                </c:pt>
                <c:pt idx="739">
                  <c:v>51.56</c:v>
                </c:pt>
                <c:pt idx="740">
                  <c:v>51.16</c:v>
                </c:pt>
                <c:pt idx="741">
                  <c:v>61.54</c:v>
                </c:pt>
                <c:pt idx="742">
                  <c:v>50.8</c:v>
                </c:pt>
                <c:pt idx="743">
                  <c:v>54.97</c:v>
                </c:pt>
                <c:pt idx="744">
                  <c:v>43.83</c:v>
                </c:pt>
                <c:pt idx="745">
                  <c:v>38.32</c:v>
                </c:pt>
                <c:pt idx="746">
                  <c:v>35.520000000000003</c:v>
                </c:pt>
                <c:pt idx="747">
                  <c:v>34.880000000000003</c:v>
                </c:pt>
                <c:pt idx="748">
                  <c:v>33.69</c:v>
                </c:pt>
                <c:pt idx="749">
                  <c:v>30.83</c:v>
                </c:pt>
                <c:pt idx="750">
                  <c:v>30.88</c:v>
                </c:pt>
                <c:pt idx="751">
                  <c:v>32.24</c:v>
                </c:pt>
                <c:pt idx="752">
                  <c:v>32.86</c:v>
                </c:pt>
                <c:pt idx="753">
                  <c:v>30.81</c:v>
                </c:pt>
                <c:pt idx="754">
                  <c:v>29.91</c:v>
                </c:pt>
                <c:pt idx="755">
                  <c:v>28.41</c:v>
                </c:pt>
                <c:pt idx="756">
                  <c:v>27.02</c:v>
                </c:pt>
                <c:pt idx="757">
                  <c:v>28.07</c:v>
                </c:pt>
                <c:pt idx="758">
                  <c:v>27.54</c:v>
                </c:pt>
                <c:pt idx="759">
                  <c:v>28.35</c:v>
                </c:pt>
                <c:pt idx="760">
                  <c:v>29.14</c:v>
                </c:pt>
                <c:pt idx="761">
                  <c:v>28.16</c:v>
                </c:pt>
                <c:pt idx="762">
                  <c:v>27.62</c:v>
                </c:pt>
                <c:pt idx="763">
                  <c:v>27.61</c:v>
                </c:pt>
                <c:pt idx="764">
                  <c:v>27.37</c:v>
                </c:pt>
                <c:pt idx="765">
                  <c:v>28.06</c:v>
                </c:pt>
                <c:pt idx="766">
                  <c:v>28.29</c:v>
                </c:pt>
                <c:pt idx="767">
                  <c:v>29.09</c:v>
                </c:pt>
                <c:pt idx="768">
                  <c:v>28.32</c:v>
                </c:pt>
                <c:pt idx="769">
                  <c:v>28.36</c:v>
                </c:pt>
                <c:pt idx="770">
                  <c:v>28.52</c:v>
                </c:pt>
                <c:pt idx="771">
                  <c:v>29.3</c:v>
                </c:pt>
                <c:pt idx="772">
                  <c:v>27.73</c:v>
                </c:pt>
                <c:pt idx="773">
                  <c:v>29.52</c:v>
                </c:pt>
                <c:pt idx="774">
                  <c:v>32.89</c:v>
                </c:pt>
                <c:pt idx="775">
                  <c:v>32.11</c:v>
                </c:pt>
                <c:pt idx="776">
                  <c:v>33.28</c:v>
                </c:pt>
                <c:pt idx="777">
                  <c:v>31.83</c:v>
                </c:pt>
                <c:pt idx="778">
                  <c:v>31.37</c:v>
                </c:pt>
                <c:pt idx="779">
                  <c:v>30.03</c:v>
                </c:pt>
                <c:pt idx="780">
                  <c:v>30.93</c:v>
                </c:pt>
                <c:pt idx="781">
                  <c:v>29.25</c:v>
                </c:pt>
                <c:pt idx="782">
                  <c:v>29.5</c:v>
                </c:pt>
                <c:pt idx="783">
                  <c:v>29.13</c:v>
                </c:pt>
                <c:pt idx="784">
                  <c:v>30.17</c:v>
                </c:pt>
                <c:pt idx="785">
                  <c:v>26.66</c:v>
                </c:pt>
                <c:pt idx="786">
                  <c:v>27.3</c:v>
                </c:pt>
                <c:pt idx="787">
                  <c:v>27.66</c:v>
                </c:pt>
                <c:pt idx="788">
                  <c:v>27.93</c:v>
                </c:pt>
                <c:pt idx="789">
                  <c:v>29.01</c:v>
                </c:pt>
                <c:pt idx="790">
                  <c:v>29.33</c:v>
                </c:pt>
                <c:pt idx="791">
                  <c:v>28.59</c:v>
                </c:pt>
                <c:pt idx="792">
                  <c:v>28.45</c:v>
                </c:pt>
                <c:pt idx="793">
                  <c:v>28.22</c:v>
                </c:pt>
                <c:pt idx="794">
                  <c:v>27.22</c:v>
                </c:pt>
                <c:pt idx="795">
                  <c:v>27.26</c:v>
                </c:pt>
                <c:pt idx="796">
                  <c:v>29.54</c:v>
                </c:pt>
                <c:pt idx="797">
                  <c:v>29</c:v>
                </c:pt>
                <c:pt idx="798">
                  <c:v>31.37</c:v>
                </c:pt>
                <c:pt idx="799">
                  <c:v>33.75</c:v>
                </c:pt>
                <c:pt idx="800">
                  <c:v>33.99</c:v>
                </c:pt>
                <c:pt idx="801">
                  <c:v>34.659999999999997</c:v>
                </c:pt>
                <c:pt idx="802">
                  <c:v>35.78</c:v>
                </c:pt>
                <c:pt idx="803">
                  <c:v>35.86</c:v>
                </c:pt>
                <c:pt idx="804">
                  <c:v>36.130000000000003</c:v>
                </c:pt>
                <c:pt idx="805">
                  <c:v>36.4</c:v>
                </c:pt>
                <c:pt idx="806">
                  <c:v>36.840000000000003</c:v>
                </c:pt>
                <c:pt idx="807">
                  <c:v>36.840000000000003</c:v>
                </c:pt>
                <c:pt idx="808">
                  <c:v>36.630000000000003</c:v>
                </c:pt>
                <c:pt idx="809">
                  <c:v>37.58</c:v>
                </c:pt>
                <c:pt idx="810">
                  <c:v>36.75</c:v>
                </c:pt>
                <c:pt idx="811">
                  <c:v>36.43</c:v>
                </c:pt>
                <c:pt idx="812">
                  <c:v>38.6</c:v>
                </c:pt>
                <c:pt idx="813">
                  <c:v>38.82</c:v>
                </c:pt>
                <c:pt idx="814">
                  <c:v>38.68</c:v>
                </c:pt>
                <c:pt idx="815">
                  <c:v>37.770000000000003</c:v>
                </c:pt>
                <c:pt idx="816">
                  <c:v>37.03</c:v>
                </c:pt>
                <c:pt idx="817">
                  <c:v>37.619999999999997</c:v>
                </c:pt>
                <c:pt idx="818">
                  <c:v>37.659999999999997</c:v>
                </c:pt>
                <c:pt idx="819">
                  <c:v>37.53</c:v>
                </c:pt>
                <c:pt idx="820">
                  <c:v>38.369999999999997</c:v>
                </c:pt>
                <c:pt idx="821">
                  <c:v>39.21</c:v>
                </c:pt>
                <c:pt idx="822">
                  <c:v>37.79</c:v>
                </c:pt>
                <c:pt idx="823">
                  <c:v>37.32</c:v>
                </c:pt>
                <c:pt idx="824">
                  <c:v>36</c:v>
                </c:pt>
                <c:pt idx="825">
                  <c:v>37.11</c:v>
                </c:pt>
                <c:pt idx="826">
                  <c:v>33.130000000000003</c:v>
                </c:pt>
                <c:pt idx="827">
                  <c:v>32.909999999999997</c:v>
                </c:pt>
                <c:pt idx="828">
                  <c:v>35.840000000000003</c:v>
                </c:pt>
                <c:pt idx="829">
                  <c:v>36.700000000000003</c:v>
                </c:pt>
                <c:pt idx="830">
                  <c:v>36.32</c:v>
                </c:pt>
                <c:pt idx="831">
                  <c:v>35.89</c:v>
                </c:pt>
                <c:pt idx="832">
                  <c:v>35.83</c:v>
                </c:pt>
                <c:pt idx="833">
                  <c:v>36.130000000000003</c:v>
                </c:pt>
                <c:pt idx="834">
                  <c:v>35.79</c:v>
                </c:pt>
                <c:pt idx="835">
                  <c:v>36.82</c:v>
                </c:pt>
                <c:pt idx="836">
                  <c:v>37.04</c:v>
                </c:pt>
                <c:pt idx="837">
                  <c:v>36.9</c:v>
                </c:pt>
                <c:pt idx="838">
                  <c:v>36.590000000000003</c:v>
                </c:pt>
                <c:pt idx="839">
                  <c:v>36.07</c:v>
                </c:pt>
                <c:pt idx="840">
                  <c:v>37.43</c:v>
                </c:pt>
                <c:pt idx="841">
                  <c:v>37.99</c:v>
                </c:pt>
                <c:pt idx="842">
                  <c:v>36.479999999999997</c:v>
                </c:pt>
                <c:pt idx="843">
                  <c:v>37.4</c:v>
                </c:pt>
                <c:pt idx="844">
                  <c:v>35.57</c:v>
                </c:pt>
                <c:pt idx="845">
                  <c:v>36.85</c:v>
                </c:pt>
                <c:pt idx="846">
                  <c:v>37.04</c:v>
                </c:pt>
                <c:pt idx="847">
                  <c:v>37.229999999999997</c:v>
                </c:pt>
                <c:pt idx="848">
                  <c:v>38.130000000000003</c:v>
                </c:pt>
                <c:pt idx="849">
                  <c:v>38.18</c:v>
                </c:pt>
                <c:pt idx="850">
                  <c:v>38.69</c:v>
                </c:pt>
                <c:pt idx="851">
                  <c:v>37.74</c:v>
                </c:pt>
                <c:pt idx="852">
                  <c:v>40.299999999999997</c:v>
                </c:pt>
                <c:pt idx="853">
                  <c:v>37.47</c:v>
                </c:pt>
                <c:pt idx="854">
                  <c:v>34.92</c:v>
                </c:pt>
                <c:pt idx="855">
                  <c:v>37.909999999999997</c:v>
                </c:pt>
                <c:pt idx="856">
                  <c:v>35.92</c:v>
                </c:pt>
                <c:pt idx="857">
                  <c:v>44.09</c:v>
                </c:pt>
                <c:pt idx="858">
                  <c:v>46.13</c:v>
                </c:pt>
                <c:pt idx="859">
                  <c:v>47.7</c:v>
                </c:pt>
                <c:pt idx="860">
                  <c:v>48.87</c:v>
                </c:pt>
                <c:pt idx="861">
                  <c:v>51.14</c:v>
                </c:pt>
                <c:pt idx="862">
                  <c:v>52.74</c:v>
                </c:pt>
                <c:pt idx="863">
                  <c:v>50.64</c:v>
                </c:pt>
                <c:pt idx="864">
                  <c:v>48.62</c:v>
                </c:pt>
                <c:pt idx="865">
                  <c:v>46.63</c:v>
                </c:pt>
                <c:pt idx="866">
                  <c:v>46.19</c:v>
                </c:pt>
                <c:pt idx="867">
                  <c:v>44.65</c:v>
                </c:pt>
                <c:pt idx="868">
                  <c:v>44.6</c:v>
                </c:pt>
                <c:pt idx="869">
                  <c:v>44.32</c:v>
                </c:pt>
                <c:pt idx="870">
                  <c:v>44.93</c:v>
                </c:pt>
                <c:pt idx="871">
                  <c:v>47.1</c:v>
                </c:pt>
                <c:pt idx="872">
                  <c:v>48.28</c:v>
                </c:pt>
                <c:pt idx="873">
                  <c:v>46.98</c:v>
                </c:pt>
                <c:pt idx="874">
                  <c:v>45.86</c:v>
                </c:pt>
                <c:pt idx="875">
                  <c:v>44.98</c:v>
                </c:pt>
                <c:pt idx="876">
                  <c:v>44.83</c:v>
                </c:pt>
                <c:pt idx="877">
                  <c:v>45.7</c:v>
                </c:pt>
                <c:pt idx="878">
                  <c:v>46.82</c:v>
                </c:pt>
                <c:pt idx="879">
                  <c:v>45.21</c:v>
                </c:pt>
                <c:pt idx="880">
                  <c:v>44.6</c:v>
                </c:pt>
                <c:pt idx="881">
                  <c:v>44.54</c:v>
                </c:pt>
                <c:pt idx="882">
                  <c:v>44.98</c:v>
                </c:pt>
                <c:pt idx="883">
                  <c:v>46.42</c:v>
                </c:pt>
                <c:pt idx="884">
                  <c:v>50.5</c:v>
                </c:pt>
                <c:pt idx="885">
                  <c:v>51.47</c:v>
                </c:pt>
                <c:pt idx="886">
                  <c:v>50.15</c:v>
                </c:pt>
                <c:pt idx="887">
                  <c:v>50.1</c:v>
                </c:pt>
                <c:pt idx="888">
                  <c:v>50.85</c:v>
                </c:pt>
                <c:pt idx="889">
                  <c:v>50.77</c:v>
                </c:pt>
                <c:pt idx="890">
                  <c:v>49.79</c:v>
                </c:pt>
                <c:pt idx="891">
                  <c:v>51.99</c:v>
                </c:pt>
                <c:pt idx="892">
                  <c:v>54.3</c:v>
                </c:pt>
                <c:pt idx="893">
                  <c:v>52.62</c:v>
                </c:pt>
                <c:pt idx="894">
                  <c:v>50.01</c:v>
                </c:pt>
                <c:pt idx="895">
                  <c:v>48.88</c:v>
                </c:pt>
                <c:pt idx="896">
                  <c:v>50.57</c:v>
                </c:pt>
                <c:pt idx="897">
                  <c:v>50.56</c:v>
                </c:pt>
                <c:pt idx="898">
                  <c:v>55.45</c:v>
                </c:pt>
                <c:pt idx="899">
                  <c:v>56.85</c:v>
                </c:pt>
                <c:pt idx="900">
                  <c:v>59.91</c:v>
                </c:pt>
                <c:pt idx="901">
                  <c:v>56.71</c:v>
                </c:pt>
                <c:pt idx="902">
                  <c:v>58.77</c:v>
                </c:pt>
                <c:pt idx="903">
                  <c:v>62.38</c:v>
                </c:pt>
                <c:pt idx="904">
                  <c:v>62.18</c:v>
                </c:pt>
                <c:pt idx="905">
                  <c:v>62.47</c:v>
                </c:pt>
                <c:pt idx="906">
                  <c:v>66.709999999999994</c:v>
                </c:pt>
                <c:pt idx="907">
                  <c:v>65.73</c:v>
                </c:pt>
                <c:pt idx="908">
                  <c:v>65.150000000000006</c:v>
                </c:pt>
                <c:pt idx="909">
                  <c:v>66.41</c:v>
                </c:pt>
                <c:pt idx="910">
                  <c:v>67.61</c:v>
                </c:pt>
                <c:pt idx="911">
                  <c:v>68.12</c:v>
                </c:pt>
                <c:pt idx="912">
                  <c:v>66.67</c:v>
                </c:pt>
                <c:pt idx="913">
                  <c:v>67.38</c:v>
                </c:pt>
                <c:pt idx="914">
                  <c:v>68.72</c:v>
                </c:pt>
                <c:pt idx="915">
                  <c:v>69.12</c:v>
                </c:pt>
                <c:pt idx="916">
                  <c:v>71.319999999999993</c:v>
                </c:pt>
                <c:pt idx="917">
                  <c:v>69.94</c:v>
                </c:pt>
                <c:pt idx="918">
                  <c:v>70.989999999999995</c:v>
                </c:pt>
                <c:pt idx="919">
                  <c:v>70.59</c:v>
                </c:pt>
                <c:pt idx="920">
                  <c:v>72.989999999999995</c:v>
                </c:pt>
                <c:pt idx="921">
                  <c:v>75.37</c:v>
                </c:pt>
                <c:pt idx="922">
                  <c:v>77.709999999999994</c:v>
                </c:pt>
                <c:pt idx="923">
                  <c:v>75.55</c:v>
                </c:pt>
                <c:pt idx="924">
                  <c:v>79.040000000000006</c:v>
                </c:pt>
                <c:pt idx="925">
                  <c:v>73.790000000000006</c:v>
                </c:pt>
                <c:pt idx="926">
                  <c:v>67.05</c:v>
                </c:pt>
                <c:pt idx="927">
                  <c:v>80.37</c:v>
                </c:pt>
                <c:pt idx="928">
                  <c:v>82.29</c:v>
                </c:pt>
                <c:pt idx="929">
                  <c:v>89.84</c:v>
                </c:pt>
                <c:pt idx="930">
                  <c:v>93.04</c:v>
                </c:pt>
                <c:pt idx="931">
                  <c:v>88.12</c:v>
                </c:pt>
                <c:pt idx="932">
                  <c:v>97.02</c:v>
                </c:pt>
                <c:pt idx="933">
                  <c:v>100.73</c:v>
                </c:pt>
                <c:pt idx="934">
                  <c:v>105.03</c:v>
                </c:pt>
                <c:pt idx="935">
                  <c:v>106.45</c:v>
                </c:pt>
                <c:pt idx="936">
                  <c:v>103.76</c:v>
                </c:pt>
                <c:pt idx="937">
                  <c:v>99.99</c:v>
                </c:pt>
                <c:pt idx="938">
                  <c:v>100.87</c:v>
                </c:pt>
                <c:pt idx="939">
                  <c:v>105.82</c:v>
                </c:pt>
                <c:pt idx="940">
                  <c:v>101.54</c:v>
                </c:pt>
                <c:pt idx="941">
                  <c:v>103.72</c:v>
                </c:pt>
                <c:pt idx="942">
                  <c:v>103.3</c:v>
                </c:pt>
                <c:pt idx="943">
                  <c:v>113.89</c:v>
                </c:pt>
                <c:pt idx="944">
                  <c:v>111.97</c:v>
                </c:pt>
                <c:pt idx="945">
                  <c:v>106.96</c:v>
                </c:pt>
                <c:pt idx="946">
                  <c:v>114.12</c:v>
                </c:pt>
                <c:pt idx="947">
                  <c:v>105.57</c:v>
                </c:pt>
                <c:pt idx="948">
                  <c:v>109.19</c:v>
                </c:pt>
                <c:pt idx="949">
                  <c:v>110.25</c:v>
                </c:pt>
                <c:pt idx="950">
                  <c:v>113.51</c:v>
                </c:pt>
                <c:pt idx="951">
                  <c:v>109.75</c:v>
                </c:pt>
                <c:pt idx="952">
                  <c:v>109.39</c:v>
                </c:pt>
                <c:pt idx="953">
                  <c:v>110.66</c:v>
                </c:pt>
                <c:pt idx="954">
                  <c:v>111.95</c:v>
                </c:pt>
                <c:pt idx="955">
                  <c:v>102.09</c:v>
                </c:pt>
                <c:pt idx="956">
                  <c:v>93.51</c:v>
                </c:pt>
                <c:pt idx="957">
                  <c:v>92.08</c:v>
                </c:pt>
                <c:pt idx="958">
                  <c:v>90.68</c:v>
                </c:pt>
                <c:pt idx="959">
                  <c:v>87.84</c:v>
                </c:pt>
                <c:pt idx="960">
                  <c:v>91.1</c:v>
                </c:pt>
                <c:pt idx="961">
                  <c:v>79.5</c:v>
                </c:pt>
                <c:pt idx="962">
                  <c:v>80.12</c:v>
                </c:pt>
                <c:pt idx="963">
                  <c:v>77.349999999999994</c:v>
                </c:pt>
                <c:pt idx="964">
                  <c:v>80.44</c:v>
                </c:pt>
                <c:pt idx="965">
                  <c:v>83.13</c:v>
                </c:pt>
                <c:pt idx="966">
                  <c:v>79.650000000000006</c:v>
                </c:pt>
                <c:pt idx="967">
                  <c:v>80.41</c:v>
                </c:pt>
                <c:pt idx="968">
                  <c:v>77.69</c:v>
                </c:pt>
                <c:pt idx="969">
                  <c:v>83.63</c:v>
                </c:pt>
                <c:pt idx="970">
                  <c:v>88.86</c:v>
                </c:pt>
                <c:pt idx="971">
                  <c:v>86.17</c:v>
                </c:pt>
                <c:pt idx="972">
                  <c:v>90.2</c:v>
                </c:pt>
                <c:pt idx="973">
                  <c:v>82.99</c:v>
                </c:pt>
                <c:pt idx="974">
                  <c:v>85.08</c:v>
                </c:pt>
                <c:pt idx="975">
                  <c:v>85.12</c:v>
                </c:pt>
                <c:pt idx="976">
                  <c:v>76.22</c:v>
                </c:pt>
                <c:pt idx="977">
                  <c:v>75.319999999999993</c:v>
                </c:pt>
                <c:pt idx="978">
                  <c:v>72.3</c:v>
                </c:pt>
                <c:pt idx="979">
                  <c:v>72.38</c:v>
                </c:pt>
                <c:pt idx="980">
                  <c:v>71.91</c:v>
                </c:pt>
                <c:pt idx="981">
                  <c:v>69.73</c:v>
                </c:pt>
                <c:pt idx="982">
                  <c:v>74.510000000000005</c:v>
                </c:pt>
                <c:pt idx="983">
                  <c:v>75.95</c:v>
                </c:pt>
                <c:pt idx="984">
                  <c:v>77.599999999999994</c:v>
                </c:pt>
                <c:pt idx="985">
                  <c:v>71.91</c:v>
                </c:pt>
                <c:pt idx="986">
                  <c:v>73.34</c:v>
                </c:pt>
                <c:pt idx="987">
                  <c:v>75.260000000000005</c:v>
                </c:pt>
                <c:pt idx="988">
                  <c:v>77</c:v>
                </c:pt>
                <c:pt idx="989">
                  <c:v>67.510000000000005</c:v>
                </c:pt>
                <c:pt idx="990">
                  <c:v>63.58</c:v>
                </c:pt>
                <c:pt idx="991">
                  <c:v>60.67</c:v>
                </c:pt>
                <c:pt idx="992">
                  <c:v>63.08</c:v>
                </c:pt>
                <c:pt idx="993">
                  <c:v>57.46</c:v>
                </c:pt>
                <c:pt idx="994">
                  <c:v>56.58</c:v>
                </c:pt>
                <c:pt idx="995">
                  <c:v>58.25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5-4662-B2C4-C6D014838B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0.21224536065609864</c:v>
                </c:pt>
                <c:pt idx="1">
                  <c:v>0.21287487245917558</c:v>
                </c:pt>
                <c:pt idx="2">
                  <c:v>0.21475810208047053</c:v>
                </c:pt>
                <c:pt idx="3">
                  <c:v>0.21641909842956145</c:v>
                </c:pt>
                <c:pt idx="4">
                  <c:v>0.21407453253887962</c:v>
                </c:pt>
                <c:pt idx="5">
                  <c:v>0.21203957235942017</c:v>
                </c:pt>
                <c:pt idx="6">
                  <c:v>0.21152888516163307</c:v>
                </c:pt>
                <c:pt idx="7">
                  <c:v>0.21472986117163306</c:v>
                </c:pt>
                <c:pt idx="8">
                  <c:v>0.21667807762087551</c:v>
                </c:pt>
                <c:pt idx="9">
                  <c:v>0.21821381654341279</c:v>
                </c:pt>
                <c:pt idx="10">
                  <c:v>0.21915250838210132</c:v>
                </c:pt>
                <c:pt idx="11">
                  <c:v>0.21911922475900611</c:v>
                </c:pt>
                <c:pt idx="12">
                  <c:v>0.2195858193153219</c:v>
                </c:pt>
                <c:pt idx="13">
                  <c:v>0.21935327495777804</c:v>
                </c:pt>
                <c:pt idx="14">
                  <c:v>0.21856778893631462</c:v>
                </c:pt>
                <c:pt idx="15">
                  <c:v>0.2194950618720593</c:v>
                </c:pt>
                <c:pt idx="16">
                  <c:v>0.21936522398332689</c:v>
                </c:pt>
                <c:pt idx="17">
                  <c:v>0.21962190534845508</c:v>
                </c:pt>
                <c:pt idx="18">
                  <c:v>0.2206085705662329</c:v>
                </c:pt>
                <c:pt idx="19">
                  <c:v>0.21802541680272922</c:v>
                </c:pt>
                <c:pt idx="20">
                  <c:v>0.21923773181437101</c:v>
                </c:pt>
                <c:pt idx="21">
                  <c:v>0.21747381986367334</c:v>
                </c:pt>
                <c:pt idx="22">
                  <c:v>0.21552971589290409</c:v>
                </c:pt>
                <c:pt idx="23">
                  <c:v>0.21607641434248392</c:v>
                </c:pt>
                <c:pt idx="24">
                  <c:v>0.21776724769181724</c:v>
                </c:pt>
                <c:pt idx="25">
                  <c:v>0.21776724769181724</c:v>
                </c:pt>
                <c:pt idx="26">
                  <c:v>0.21733537646134105</c:v>
                </c:pt>
                <c:pt idx="27">
                  <c:v>0.21671013977245215</c:v>
                </c:pt>
                <c:pt idx="28">
                  <c:v>0.21756944714459503</c:v>
                </c:pt>
                <c:pt idx="29">
                  <c:v>0.21560834225187656</c:v>
                </c:pt>
                <c:pt idx="30">
                  <c:v>0.21541882334168788</c:v>
                </c:pt>
                <c:pt idx="31">
                  <c:v>0.21776207401646266</c:v>
                </c:pt>
                <c:pt idx="32">
                  <c:v>0.21793531483892845</c:v>
                </c:pt>
                <c:pt idx="33">
                  <c:v>0.21805322632555763</c:v>
                </c:pt>
                <c:pt idx="34">
                  <c:v>0.21759168352885175</c:v>
                </c:pt>
                <c:pt idx="35">
                  <c:v>0.21834608607532233</c:v>
                </c:pt>
                <c:pt idx="36">
                  <c:v>0.21701301144785964</c:v>
                </c:pt>
                <c:pt idx="37">
                  <c:v>0.2166150833471778</c:v>
                </c:pt>
                <c:pt idx="38">
                  <c:v>0.21537650937703695</c:v>
                </c:pt>
                <c:pt idx="39">
                  <c:v>0.21541310449480011</c:v>
                </c:pt>
                <c:pt idx="40">
                  <c:v>0.21654706684249239</c:v>
                </c:pt>
                <c:pt idx="41">
                  <c:v>0.21645292192466634</c:v>
                </c:pt>
                <c:pt idx="42">
                  <c:v>0.2163411487834575</c:v>
                </c:pt>
                <c:pt idx="43">
                  <c:v>0.21833468969906258</c:v>
                </c:pt>
                <c:pt idx="44">
                  <c:v>0.2160769737921876</c:v>
                </c:pt>
                <c:pt idx="45">
                  <c:v>0.2150946564194457</c:v>
                </c:pt>
                <c:pt idx="46">
                  <c:v>0.21826495131065324</c:v>
                </c:pt>
                <c:pt idx="47">
                  <c:v>0.21744170626594247</c:v>
                </c:pt>
                <c:pt idx="48">
                  <c:v>0.21725460048197423</c:v>
                </c:pt>
                <c:pt idx="49">
                  <c:v>0.22038211217288331</c:v>
                </c:pt>
                <c:pt idx="50">
                  <c:v>0.22402394969300096</c:v>
                </c:pt>
                <c:pt idx="51">
                  <c:v>0.22167744694214206</c:v>
                </c:pt>
                <c:pt idx="52">
                  <c:v>0.22427675881214204</c:v>
                </c:pt>
                <c:pt idx="53">
                  <c:v>0.22035497956488395</c:v>
                </c:pt>
                <c:pt idx="54">
                  <c:v>0.22018646500659131</c:v>
                </c:pt>
                <c:pt idx="55">
                  <c:v>0.216287717029327</c:v>
                </c:pt>
                <c:pt idx="56">
                  <c:v>0.21949286664720102</c:v>
                </c:pt>
                <c:pt idx="57">
                  <c:v>0.21808375906527333</c:v>
                </c:pt>
                <c:pt idx="58">
                  <c:v>0.21896345336958523</c:v>
                </c:pt>
                <c:pt idx="59">
                  <c:v>0.22283856557359119</c:v>
                </c:pt>
                <c:pt idx="60">
                  <c:v>0.22265962509917259</c:v>
                </c:pt>
                <c:pt idx="61">
                  <c:v>0.21833564289665511</c:v>
                </c:pt>
                <c:pt idx="62">
                  <c:v>0.2216689480262283</c:v>
                </c:pt>
                <c:pt idx="63">
                  <c:v>0.22792820836061237</c:v>
                </c:pt>
                <c:pt idx="64">
                  <c:v>0.22328851629425764</c:v>
                </c:pt>
                <c:pt idx="65">
                  <c:v>0.21986114127045761</c:v>
                </c:pt>
                <c:pt idx="66">
                  <c:v>0.21533927076251988</c:v>
                </c:pt>
                <c:pt idx="67">
                  <c:v>0.22053196016563983</c:v>
                </c:pt>
                <c:pt idx="68">
                  <c:v>0.21070731965355274</c:v>
                </c:pt>
                <c:pt idx="69">
                  <c:v>0.20718898625225704</c:v>
                </c:pt>
                <c:pt idx="70">
                  <c:v>0.20555874835623494</c:v>
                </c:pt>
                <c:pt idx="71">
                  <c:v>0.2075466910229016</c:v>
                </c:pt>
                <c:pt idx="72">
                  <c:v>0.20828246734573946</c:v>
                </c:pt>
                <c:pt idx="73">
                  <c:v>0.21324862015899101</c:v>
                </c:pt>
                <c:pt idx="74">
                  <c:v>0.21460361336196621</c:v>
                </c:pt>
                <c:pt idx="75">
                  <c:v>0.21287150506490737</c:v>
                </c:pt>
                <c:pt idx="76">
                  <c:v>0.21645134200918323</c:v>
                </c:pt>
                <c:pt idx="77">
                  <c:v>0.21589009017305258</c:v>
                </c:pt>
                <c:pt idx="78">
                  <c:v>0.21347219693891836</c:v>
                </c:pt>
                <c:pt idx="79">
                  <c:v>0.21671821506639716</c:v>
                </c:pt>
                <c:pt idx="80">
                  <c:v>0.211009143458502</c:v>
                </c:pt>
                <c:pt idx="81">
                  <c:v>0.20985521757135914</c:v>
                </c:pt>
                <c:pt idx="82">
                  <c:v>0.20894444148312383</c:v>
                </c:pt>
                <c:pt idx="83">
                  <c:v>0.20929525329618689</c:v>
                </c:pt>
                <c:pt idx="84">
                  <c:v>0.21014774575772535</c:v>
                </c:pt>
                <c:pt idx="85">
                  <c:v>0.21090931641704738</c:v>
                </c:pt>
                <c:pt idx="86">
                  <c:v>0.2098975350240474</c:v>
                </c:pt>
                <c:pt idx="87">
                  <c:v>0.21064290188570092</c:v>
                </c:pt>
                <c:pt idx="88">
                  <c:v>0.20967588413511268</c:v>
                </c:pt>
                <c:pt idx="89">
                  <c:v>0.21087132888775734</c:v>
                </c:pt>
                <c:pt idx="90">
                  <c:v>0.21156519066661228</c:v>
                </c:pt>
                <c:pt idx="91">
                  <c:v>0.21029529342280948</c:v>
                </c:pt>
                <c:pt idx="92">
                  <c:v>0.20770314163995232</c:v>
                </c:pt>
                <c:pt idx="93">
                  <c:v>0.20954304589609868</c:v>
                </c:pt>
                <c:pt idx="94">
                  <c:v>0.21084293075155325</c:v>
                </c:pt>
                <c:pt idx="95">
                  <c:v>0.21274385541821991</c:v>
                </c:pt>
                <c:pt idx="96">
                  <c:v>0.21842884149125022</c:v>
                </c:pt>
                <c:pt idx="97">
                  <c:v>0.21545840165953592</c:v>
                </c:pt>
                <c:pt idx="98">
                  <c:v>0.21270308011257938</c:v>
                </c:pt>
                <c:pt idx="99">
                  <c:v>0.21089617108919595</c:v>
                </c:pt>
                <c:pt idx="100">
                  <c:v>0.20945520401453843</c:v>
                </c:pt>
                <c:pt idx="101">
                  <c:v>0.20918597809351278</c:v>
                </c:pt>
                <c:pt idx="102">
                  <c:v>0.20926095596333735</c:v>
                </c:pt>
                <c:pt idx="103">
                  <c:v>0.20702165113869453</c:v>
                </c:pt>
                <c:pt idx="104">
                  <c:v>0.20685308078521625</c:v>
                </c:pt>
                <c:pt idx="105">
                  <c:v>0.20518602284065929</c:v>
                </c:pt>
                <c:pt idx="106">
                  <c:v>0.20456171072954821</c:v>
                </c:pt>
                <c:pt idx="107">
                  <c:v>0.20254699101136636</c:v>
                </c:pt>
                <c:pt idx="108">
                  <c:v>0.20219646910473987</c:v>
                </c:pt>
                <c:pt idx="109">
                  <c:v>0.20267557909750586</c:v>
                </c:pt>
                <c:pt idx="110">
                  <c:v>0.20411564638647137</c:v>
                </c:pt>
                <c:pt idx="111">
                  <c:v>0.20317829009227781</c:v>
                </c:pt>
                <c:pt idx="112">
                  <c:v>0.20445183179747783</c:v>
                </c:pt>
                <c:pt idx="113">
                  <c:v>0.20462651572216917</c:v>
                </c:pt>
                <c:pt idx="114">
                  <c:v>0.20249479579071758</c:v>
                </c:pt>
                <c:pt idx="115">
                  <c:v>0.20111837080071757</c:v>
                </c:pt>
                <c:pt idx="116">
                  <c:v>0.20072751648799034</c:v>
                </c:pt>
                <c:pt idx="117">
                  <c:v>0.19950245199113317</c:v>
                </c:pt>
                <c:pt idx="118">
                  <c:v>0.19974184685949681</c:v>
                </c:pt>
                <c:pt idx="119">
                  <c:v>0.19691833134857725</c:v>
                </c:pt>
                <c:pt idx="120">
                  <c:v>0.19591386628617727</c:v>
                </c:pt>
                <c:pt idx="121">
                  <c:v>0.19623359159592726</c:v>
                </c:pt>
                <c:pt idx="122">
                  <c:v>0.19766002325807464</c:v>
                </c:pt>
                <c:pt idx="123">
                  <c:v>0.19939263244105337</c:v>
                </c:pt>
                <c:pt idx="124">
                  <c:v>0.19723479956375156</c:v>
                </c:pt>
                <c:pt idx="125">
                  <c:v>0.19666183230227616</c:v>
                </c:pt>
                <c:pt idx="126">
                  <c:v>0.1980800292467414</c:v>
                </c:pt>
                <c:pt idx="127">
                  <c:v>0.19713319216292322</c:v>
                </c:pt>
                <c:pt idx="128">
                  <c:v>0.19561295340578033</c:v>
                </c:pt>
                <c:pt idx="129">
                  <c:v>0.19681122861472408</c:v>
                </c:pt>
                <c:pt idx="130">
                  <c:v>0.19801381730440151</c:v>
                </c:pt>
                <c:pt idx="131">
                  <c:v>0.19889354834945414</c:v>
                </c:pt>
                <c:pt idx="132">
                  <c:v>0.19882187907821519</c:v>
                </c:pt>
                <c:pt idx="133">
                  <c:v>0.19942726154954049</c:v>
                </c:pt>
                <c:pt idx="134">
                  <c:v>0.20046044536349397</c:v>
                </c:pt>
                <c:pt idx="135">
                  <c:v>0.19891677072349395</c:v>
                </c:pt>
                <c:pt idx="136">
                  <c:v>0.19748687438059923</c:v>
                </c:pt>
                <c:pt idx="137">
                  <c:v>0.19691439055026025</c:v>
                </c:pt>
                <c:pt idx="138">
                  <c:v>0.19626002006131288</c:v>
                </c:pt>
                <c:pt idx="139">
                  <c:v>0.1973202499946462</c:v>
                </c:pt>
                <c:pt idx="140">
                  <c:v>0.19880450639464622</c:v>
                </c:pt>
                <c:pt idx="141">
                  <c:v>0.19877693691216755</c:v>
                </c:pt>
                <c:pt idx="142">
                  <c:v>0.19609822443848335</c:v>
                </c:pt>
                <c:pt idx="143">
                  <c:v>0.19805467530852794</c:v>
                </c:pt>
                <c:pt idx="144">
                  <c:v>0.19756344730852793</c:v>
                </c:pt>
                <c:pt idx="145">
                  <c:v>0.19579662656126806</c:v>
                </c:pt>
                <c:pt idx="146">
                  <c:v>0.19507652299741671</c:v>
                </c:pt>
                <c:pt idx="147">
                  <c:v>0.1936938028835434</c:v>
                </c:pt>
                <c:pt idx="148">
                  <c:v>0.1946153426483434</c:v>
                </c:pt>
                <c:pt idx="149">
                  <c:v>0.19309746718798626</c:v>
                </c:pt>
                <c:pt idx="150">
                  <c:v>0.19304819778658722</c:v>
                </c:pt>
                <c:pt idx="151">
                  <c:v>0.19412777199739181</c:v>
                </c:pt>
                <c:pt idx="152">
                  <c:v>0.19468539460324544</c:v>
                </c:pt>
                <c:pt idx="153">
                  <c:v>0.19442211420324546</c:v>
                </c:pt>
                <c:pt idx="154">
                  <c:v>0.19192628925226118</c:v>
                </c:pt>
                <c:pt idx="155">
                  <c:v>0.19483847236078453</c:v>
                </c:pt>
                <c:pt idx="156">
                  <c:v>0.19304221588240375</c:v>
                </c:pt>
                <c:pt idx="157">
                  <c:v>0.19506638497125942</c:v>
                </c:pt>
                <c:pt idx="158">
                  <c:v>0.1945174297831867</c:v>
                </c:pt>
                <c:pt idx="159">
                  <c:v>0.19440357137753989</c:v>
                </c:pt>
                <c:pt idx="160">
                  <c:v>0.19297579803832907</c:v>
                </c:pt>
                <c:pt idx="161">
                  <c:v>0.19199159636495991</c:v>
                </c:pt>
                <c:pt idx="162">
                  <c:v>0.18982477724445232</c:v>
                </c:pt>
                <c:pt idx="163">
                  <c:v>0.18939138188369309</c:v>
                </c:pt>
                <c:pt idx="164">
                  <c:v>0.19213603906227747</c:v>
                </c:pt>
                <c:pt idx="165">
                  <c:v>0.19361988421030688</c:v>
                </c:pt>
                <c:pt idx="166">
                  <c:v>0.19161586371369596</c:v>
                </c:pt>
                <c:pt idx="167">
                  <c:v>0.19062689342430778</c:v>
                </c:pt>
                <c:pt idx="168">
                  <c:v>0.18913231911403583</c:v>
                </c:pt>
                <c:pt idx="169">
                  <c:v>0.19018895311070483</c:v>
                </c:pt>
                <c:pt idx="170">
                  <c:v>0.19017165624987187</c:v>
                </c:pt>
                <c:pt idx="171">
                  <c:v>0.18981106448199564</c:v>
                </c:pt>
                <c:pt idx="172">
                  <c:v>0.18812070137082421</c:v>
                </c:pt>
                <c:pt idx="173">
                  <c:v>0.18973203620692286</c:v>
                </c:pt>
                <c:pt idx="174">
                  <c:v>0.18736693296633339</c:v>
                </c:pt>
                <c:pt idx="175">
                  <c:v>0.18611758326527059</c:v>
                </c:pt>
                <c:pt idx="176">
                  <c:v>0.1852257572229106</c:v>
                </c:pt>
                <c:pt idx="177">
                  <c:v>0.18467295835960026</c:v>
                </c:pt>
                <c:pt idx="178">
                  <c:v>0.18423063205825424</c:v>
                </c:pt>
                <c:pt idx="179">
                  <c:v>0.18493468791148596</c:v>
                </c:pt>
                <c:pt idx="180">
                  <c:v>0.18558575015370005</c:v>
                </c:pt>
                <c:pt idx="181">
                  <c:v>0.18521204947214884</c:v>
                </c:pt>
                <c:pt idx="182">
                  <c:v>0.18328693283535669</c:v>
                </c:pt>
                <c:pt idx="183">
                  <c:v>0.18228426378273779</c:v>
                </c:pt>
                <c:pt idx="184">
                  <c:v>0.18034397211661499</c:v>
                </c:pt>
                <c:pt idx="185">
                  <c:v>0.17891634921714067</c:v>
                </c:pt>
                <c:pt idx="186">
                  <c:v>0.18164333720337977</c:v>
                </c:pt>
                <c:pt idx="187">
                  <c:v>0.18011635061076045</c:v>
                </c:pt>
                <c:pt idx="188">
                  <c:v>0.18046343322521008</c:v>
                </c:pt>
                <c:pt idx="189">
                  <c:v>0.17939184315382323</c:v>
                </c:pt>
                <c:pt idx="190">
                  <c:v>0.17778051353982291</c:v>
                </c:pt>
                <c:pt idx="191">
                  <c:v>0.17521660133280689</c:v>
                </c:pt>
                <c:pt idx="192">
                  <c:v>0.17645313534169255</c:v>
                </c:pt>
                <c:pt idx="193">
                  <c:v>0.18130142559355475</c:v>
                </c:pt>
                <c:pt idx="194">
                  <c:v>0.18244331854516602</c:v>
                </c:pt>
                <c:pt idx="195">
                  <c:v>0.18303003751023203</c:v>
                </c:pt>
                <c:pt idx="196">
                  <c:v>0.18504068646453747</c:v>
                </c:pt>
                <c:pt idx="197">
                  <c:v>0.18614794016023992</c:v>
                </c:pt>
                <c:pt idx="198">
                  <c:v>0.18453684940199083</c:v>
                </c:pt>
                <c:pt idx="199">
                  <c:v>0.18508483020148106</c:v>
                </c:pt>
                <c:pt idx="200">
                  <c:v>0.18556173441002674</c:v>
                </c:pt>
                <c:pt idx="201">
                  <c:v>0.18505493265171619</c:v>
                </c:pt>
                <c:pt idx="202">
                  <c:v>0.18566534440913665</c:v>
                </c:pt>
                <c:pt idx="203">
                  <c:v>0.1846874058501147</c:v>
                </c:pt>
                <c:pt idx="204">
                  <c:v>0.18597957427916814</c:v>
                </c:pt>
                <c:pt idx="205">
                  <c:v>0.18612282639861469</c:v>
                </c:pt>
                <c:pt idx="206">
                  <c:v>0.1846943139704125</c:v>
                </c:pt>
                <c:pt idx="207">
                  <c:v>0.18624195009460093</c:v>
                </c:pt>
                <c:pt idx="208">
                  <c:v>0.18595842465738097</c:v>
                </c:pt>
                <c:pt idx="209">
                  <c:v>0.18585014929257992</c:v>
                </c:pt>
                <c:pt idx="210">
                  <c:v>0.18513351586218663</c:v>
                </c:pt>
                <c:pt idx="211">
                  <c:v>0.18654068456140857</c:v>
                </c:pt>
                <c:pt idx="212">
                  <c:v>0.1842967693497774</c:v>
                </c:pt>
                <c:pt idx="213">
                  <c:v>0.1828069662240544</c:v>
                </c:pt>
                <c:pt idx="214">
                  <c:v>0.18041355150315441</c:v>
                </c:pt>
                <c:pt idx="215">
                  <c:v>0.17837941747434713</c:v>
                </c:pt>
                <c:pt idx="216">
                  <c:v>0.17598028004874713</c:v>
                </c:pt>
                <c:pt idx="217">
                  <c:v>0.17948589258068112</c:v>
                </c:pt>
                <c:pt idx="218">
                  <c:v>0.17905869590058884</c:v>
                </c:pt>
                <c:pt idx="219">
                  <c:v>0.17825541951983156</c:v>
                </c:pt>
                <c:pt idx="220">
                  <c:v>0.17367660644570646</c:v>
                </c:pt>
                <c:pt idx="221">
                  <c:v>0.17860587472040584</c:v>
                </c:pt>
                <c:pt idx="222">
                  <c:v>0.17699364973264065</c:v>
                </c:pt>
                <c:pt idx="223">
                  <c:v>0.1780141499018052</c:v>
                </c:pt>
                <c:pt idx="224">
                  <c:v>0.17891978654806576</c:v>
                </c:pt>
                <c:pt idx="225">
                  <c:v>0.17865727383300387</c:v>
                </c:pt>
                <c:pt idx="226">
                  <c:v>0.17906432072056525</c:v>
                </c:pt>
                <c:pt idx="227">
                  <c:v>0.17929543421213817</c:v>
                </c:pt>
                <c:pt idx="228">
                  <c:v>0.17759759867583125</c:v>
                </c:pt>
                <c:pt idx="229">
                  <c:v>0.17595403825119485</c:v>
                </c:pt>
                <c:pt idx="230">
                  <c:v>0.17527569955175532</c:v>
                </c:pt>
                <c:pt idx="231">
                  <c:v>0.17653229972991921</c:v>
                </c:pt>
                <c:pt idx="232">
                  <c:v>0.17874205172697022</c:v>
                </c:pt>
                <c:pt idx="233">
                  <c:v>0.17551057367824374</c:v>
                </c:pt>
                <c:pt idx="234">
                  <c:v>0.17480237285357572</c:v>
                </c:pt>
                <c:pt idx="235">
                  <c:v>0.17662604055584871</c:v>
                </c:pt>
                <c:pt idx="236">
                  <c:v>0.17745855263889171</c:v>
                </c:pt>
                <c:pt idx="237">
                  <c:v>0.17795550508164465</c:v>
                </c:pt>
                <c:pt idx="238">
                  <c:v>0.1791664446576518</c:v>
                </c:pt>
                <c:pt idx="239">
                  <c:v>0.17738756345139375</c:v>
                </c:pt>
                <c:pt idx="240">
                  <c:v>0.17614219733798728</c:v>
                </c:pt>
                <c:pt idx="241">
                  <c:v>0.17687438665706523</c:v>
                </c:pt>
                <c:pt idx="242">
                  <c:v>0.1734345260063026</c:v>
                </c:pt>
                <c:pt idx="243">
                  <c:v>0.17302294785488839</c:v>
                </c:pt>
                <c:pt idx="244">
                  <c:v>0.1793792347734709</c:v>
                </c:pt>
                <c:pt idx="245">
                  <c:v>0.17253033485713462</c:v>
                </c:pt>
                <c:pt idx="246">
                  <c:v>0.17245980968938751</c:v>
                </c:pt>
                <c:pt idx="247">
                  <c:v>0.1686839906885115</c:v>
                </c:pt>
                <c:pt idx="248">
                  <c:v>0.16725122113785124</c:v>
                </c:pt>
                <c:pt idx="249">
                  <c:v>0.15883450982360603</c:v>
                </c:pt>
                <c:pt idx="250">
                  <c:v>0.1602792660934631</c:v>
                </c:pt>
                <c:pt idx="251">
                  <c:v>0.16231918373414483</c:v>
                </c:pt>
                <c:pt idx="252">
                  <c:v>0.16492808109826665</c:v>
                </c:pt>
                <c:pt idx="253">
                  <c:v>0.15972629597165164</c:v>
                </c:pt>
                <c:pt idx="254">
                  <c:v>0.16611310229449566</c:v>
                </c:pt>
                <c:pt idx="255">
                  <c:v>0.16404550646567881</c:v>
                </c:pt>
                <c:pt idx="256">
                  <c:v>0.1664121800408393</c:v>
                </c:pt>
                <c:pt idx="257">
                  <c:v>0.16747630272137715</c:v>
                </c:pt>
                <c:pt idx="258">
                  <c:v>0.17091075787453561</c:v>
                </c:pt>
                <c:pt idx="259">
                  <c:v>0.17055087848078448</c:v>
                </c:pt>
                <c:pt idx="260">
                  <c:v>0.16788640749932351</c:v>
                </c:pt>
                <c:pt idx="261">
                  <c:v>0.18061204009526449</c:v>
                </c:pt>
                <c:pt idx="262">
                  <c:v>0.17759480123479485</c:v>
                </c:pt>
                <c:pt idx="263">
                  <c:v>0.17955432900234342</c:v>
                </c:pt>
                <c:pt idx="264">
                  <c:v>0.17909602783740775</c:v>
                </c:pt>
                <c:pt idx="265">
                  <c:v>0.17963479004378252</c:v>
                </c:pt>
                <c:pt idx="266">
                  <c:v>0.17947740547253987</c:v>
                </c:pt>
                <c:pt idx="267">
                  <c:v>0.17694779952763079</c:v>
                </c:pt>
                <c:pt idx="268">
                  <c:v>0.17204983703246618</c:v>
                </c:pt>
                <c:pt idx="269">
                  <c:v>0.17438338204051437</c:v>
                </c:pt>
                <c:pt idx="270">
                  <c:v>0.17374915847614314</c:v>
                </c:pt>
                <c:pt idx="271">
                  <c:v>0.17508080535468737</c:v>
                </c:pt>
                <c:pt idx="272">
                  <c:v>0.17342144827998768</c:v>
                </c:pt>
                <c:pt idx="273">
                  <c:v>0.17173523032394178</c:v>
                </c:pt>
                <c:pt idx="274">
                  <c:v>0.17245871857939499</c:v>
                </c:pt>
                <c:pt idx="275">
                  <c:v>0.17082948296865519</c:v>
                </c:pt>
                <c:pt idx="276">
                  <c:v>0.16854236855025817</c:v>
                </c:pt>
                <c:pt idx="277">
                  <c:v>0.16606116355283382</c:v>
                </c:pt>
                <c:pt idx="278">
                  <c:v>0.16625791794216768</c:v>
                </c:pt>
                <c:pt idx="279">
                  <c:v>0.16892124038070394</c:v>
                </c:pt>
                <c:pt idx="280">
                  <c:v>0.16345979098008881</c:v>
                </c:pt>
                <c:pt idx="281">
                  <c:v>0.16563084710527021</c:v>
                </c:pt>
                <c:pt idx="282">
                  <c:v>0.16742770045356162</c:v>
                </c:pt>
                <c:pt idx="283">
                  <c:v>0.16195717194892381</c:v>
                </c:pt>
                <c:pt idx="284">
                  <c:v>0.16638006046620832</c:v>
                </c:pt>
                <c:pt idx="285">
                  <c:v>0.16204320219957719</c:v>
                </c:pt>
                <c:pt idx="286">
                  <c:v>0.16354071534076439</c:v>
                </c:pt>
                <c:pt idx="287">
                  <c:v>0.15945006604029965</c:v>
                </c:pt>
                <c:pt idx="288">
                  <c:v>0.15655795729455416</c:v>
                </c:pt>
                <c:pt idx="289">
                  <c:v>0.15415244530448474</c:v>
                </c:pt>
                <c:pt idx="290">
                  <c:v>0.15360418903937431</c:v>
                </c:pt>
                <c:pt idx="291">
                  <c:v>0.15427238940597965</c:v>
                </c:pt>
                <c:pt idx="292">
                  <c:v>0.15311562243078564</c:v>
                </c:pt>
                <c:pt idx="293">
                  <c:v>0.15113072194458019</c:v>
                </c:pt>
                <c:pt idx="294">
                  <c:v>0.14974802324383321</c:v>
                </c:pt>
                <c:pt idx="295">
                  <c:v>0.1480084372211726</c:v>
                </c:pt>
                <c:pt idx="296">
                  <c:v>0.14974921719586734</c:v>
                </c:pt>
                <c:pt idx="297">
                  <c:v>0.14968441028532847</c:v>
                </c:pt>
                <c:pt idx="298">
                  <c:v>0.14690218047680961</c:v>
                </c:pt>
                <c:pt idx="299">
                  <c:v>0.14418867117111267</c:v>
                </c:pt>
                <c:pt idx="300">
                  <c:v>0.14413250062916069</c:v>
                </c:pt>
                <c:pt idx="301">
                  <c:v>0.14475786201955046</c:v>
                </c:pt>
                <c:pt idx="302">
                  <c:v>0.14198991639131497</c:v>
                </c:pt>
                <c:pt idx="303">
                  <c:v>0.13965241378826665</c:v>
                </c:pt>
                <c:pt idx="304">
                  <c:v>0.13783421042576072</c:v>
                </c:pt>
                <c:pt idx="305">
                  <c:v>0.13863623847794548</c:v>
                </c:pt>
                <c:pt idx="306">
                  <c:v>0.13556140447772408</c:v>
                </c:pt>
                <c:pt idx="307">
                  <c:v>0.1346697596410342</c:v>
                </c:pt>
                <c:pt idx="308">
                  <c:v>0.13294125346371902</c:v>
                </c:pt>
                <c:pt idx="309">
                  <c:v>0.13271383868733441</c:v>
                </c:pt>
                <c:pt idx="310">
                  <c:v>0.13402240444209443</c:v>
                </c:pt>
                <c:pt idx="311">
                  <c:v>0.13537103790089819</c:v>
                </c:pt>
                <c:pt idx="312">
                  <c:v>0.13685276916597641</c:v>
                </c:pt>
                <c:pt idx="313">
                  <c:v>0.13758119011402431</c:v>
                </c:pt>
                <c:pt idx="314">
                  <c:v>0.13766884251405648</c:v>
                </c:pt>
                <c:pt idx="315">
                  <c:v>0.1369520217176583</c:v>
                </c:pt>
                <c:pt idx="316">
                  <c:v>0.13807381874669586</c:v>
                </c:pt>
                <c:pt idx="317">
                  <c:v>0.13655650474691503</c:v>
                </c:pt>
                <c:pt idx="318">
                  <c:v>0.13536157304785026</c:v>
                </c:pt>
                <c:pt idx="319">
                  <c:v>0.13728590258653717</c:v>
                </c:pt>
                <c:pt idx="320">
                  <c:v>0.13903119923558699</c:v>
                </c:pt>
                <c:pt idx="321">
                  <c:v>0.13716378267423651</c:v>
                </c:pt>
                <c:pt idx="322">
                  <c:v>0.13841877738413555</c:v>
                </c:pt>
                <c:pt idx="323">
                  <c:v>0.13663204277369162</c:v>
                </c:pt>
                <c:pt idx="324">
                  <c:v>0.13541715889964545</c:v>
                </c:pt>
                <c:pt idx="325">
                  <c:v>0.13354319100621281</c:v>
                </c:pt>
                <c:pt idx="326">
                  <c:v>0.13322772601626329</c:v>
                </c:pt>
                <c:pt idx="327">
                  <c:v>0.13203720876347222</c:v>
                </c:pt>
                <c:pt idx="328">
                  <c:v>0.13113353144747339</c:v>
                </c:pt>
                <c:pt idx="329">
                  <c:v>0.1301135871713659</c:v>
                </c:pt>
                <c:pt idx="330">
                  <c:v>0.13069847808147733</c:v>
                </c:pt>
                <c:pt idx="331">
                  <c:v>0.12993614917282503</c:v>
                </c:pt>
                <c:pt idx="332">
                  <c:v>0.13056197735604577</c:v>
                </c:pt>
                <c:pt idx="333">
                  <c:v>0.12810020079703521</c:v>
                </c:pt>
                <c:pt idx="334">
                  <c:v>0.1285276541700249</c:v>
                </c:pt>
                <c:pt idx="335">
                  <c:v>0.1294180863542809</c:v>
                </c:pt>
                <c:pt idx="336">
                  <c:v>0.13009418592417779</c:v>
                </c:pt>
                <c:pt idx="337">
                  <c:v>0.13342368473620941</c:v>
                </c:pt>
                <c:pt idx="338">
                  <c:v>0.13157997323340784</c:v>
                </c:pt>
                <c:pt idx="339">
                  <c:v>0.13041333032373642</c:v>
                </c:pt>
                <c:pt idx="340">
                  <c:v>0.12962219419660348</c:v>
                </c:pt>
                <c:pt idx="341">
                  <c:v>0.130388356734322</c:v>
                </c:pt>
                <c:pt idx="342">
                  <c:v>0.1327476809557904</c:v>
                </c:pt>
                <c:pt idx="343">
                  <c:v>0.13105962615447928</c:v>
                </c:pt>
                <c:pt idx="344">
                  <c:v>0.13072363102616796</c:v>
                </c:pt>
                <c:pt idx="345">
                  <c:v>0.12772958382315361</c:v>
                </c:pt>
                <c:pt idx="346">
                  <c:v>0.12916614158195644</c:v>
                </c:pt>
                <c:pt idx="347">
                  <c:v>0.1269210600064764</c:v>
                </c:pt>
                <c:pt idx="348">
                  <c:v>0.13150887184438048</c:v>
                </c:pt>
                <c:pt idx="349">
                  <c:v>0.12746334513602084</c:v>
                </c:pt>
                <c:pt idx="350">
                  <c:v>0.12633574935495154</c:v>
                </c:pt>
                <c:pt idx="351">
                  <c:v>0.12090374028481161</c:v>
                </c:pt>
                <c:pt idx="352">
                  <c:v>0.11896534871445767</c:v>
                </c:pt>
                <c:pt idx="353">
                  <c:v>0.11475635771280999</c:v>
                </c:pt>
                <c:pt idx="354">
                  <c:v>0.11224228186720712</c:v>
                </c:pt>
                <c:pt idx="355">
                  <c:v>0.11214002764124362</c:v>
                </c:pt>
                <c:pt idx="356">
                  <c:v>0.11351139302670152</c:v>
                </c:pt>
                <c:pt idx="357">
                  <c:v>0.1106538554739657</c:v>
                </c:pt>
                <c:pt idx="358">
                  <c:v>0.11263486216755199</c:v>
                </c:pt>
                <c:pt idx="359">
                  <c:v>0.11211690828263872</c:v>
                </c:pt>
                <c:pt idx="360">
                  <c:v>0.11087819795122845</c:v>
                </c:pt>
                <c:pt idx="361">
                  <c:v>0.10911400149745412</c:v>
                </c:pt>
                <c:pt idx="362">
                  <c:v>0.10854249683786217</c:v>
                </c:pt>
                <c:pt idx="363">
                  <c:v>0.10859127696673147</c:v>
                </c:pt>
                <c:pt idx="364">
                  <c:v>0.10934340101365596</c:v>
                </c:pt>
                <c:pt idx="365">
                  <c:v>0.10714335172206957</c:v>
                </c:pt>
                <c:pt idx="366">
                  <c:v>0.10932938734573218</c:v>
                </c:pt>
                <c:pt idx="367">
                  <c:v>0.10687486478631597</c:v>
                </c:pt>
                <c:pt idx="368">
                  <c:v>0.11101604252934522</c:v>
                </c:pt>
                <c:pt idx="369">
                  <c:v>0.10991486021209047</c:v>
                </c:pt>
                <c:pt idx="370">
                  <c:v>0.11080288491691177</c:v>
                </c:pt>
                <c:pt idx="371">
                  <c:v>0.10936799253981178</c:v>
                </c:pt>
                <c:pt idx="372">
                  <c:v>0.11283766710544159</c:v>
                </c:pt>
                <c:pt idx="373">
                  <c:v>0.11154852197637899</c:v>
                </c:pt>
                <c:pt idx="374">
                  <c:v>0.11577533350758124</c:v>
                </c:pt>
                <c:pt idx="375">
                  <c:v>0.11499424191023486</c:v>
                </c:pt>
                <c:pt idx="376">
                  <c:v>0.11603803009107649</c:v>
                </c:pt>
                <c:pt idx="377">
                  <c:v>0.11577951340900122</c:v>
                </c:pt>
                <c:pt idx="378">
                  <c:v>0.1166995216487907</c:v>
                </c:pt>
                <c:pt idx="379">
                  <c:v>0.1173418420025527</c:v>
                </c:pt>
                <c:pt idx="380">
                  <c:v>0.10869167157870818</c:v>
                </c:pt>
                <c:pt idx="381">
                  <c:v>0.10195726413189002</c:v>
                </c:pt>
                <c:pt idx="382">
                  <c:v>0.1108153888271604</c:v>
                </c:pt>
                <c:pt idx="383">
                  <c:v>9.4466101475109324E-2</c:v>
                </c:pt>
                <c:pt idx="384">
                  <c:v>9.037238221724947E-2</c:v>
                </c:pt>
                <c:pt idx="385">
                  <c:v>8.6792577300582791E-2</c:v>
                </c:pt>
                <c:pt idx="386">
                  <c:v>8.8059048727986228E-2</c:v>
                </c:pt>
                <c:pt idx="387">
                  <c:v>8.5833626247657779E-2</c:v>
                </c:pt>
                <c:pt idx="388">
                  <c:v>8.5691471913829559E-2</c:v>
                </c:pt>
                <c:pt idx="389">
                  <c:v>8.6250051739627159E-2</c:v>
                </c:pt>
                <c:pt idx="390">
                  <c:v>8.5870378805178407E-2</c:v>
                </c:pt>
                <c:pt idx="391">
                  <c:v>8.6049756747973299E-2</c:v>
                </c:pt>
                <c:pt idx="392">
                  <c:v>9.1442849093478121E-2</c:v>
                </c:pt>
                <c:pt idx="393">
                  <c:v>9.065305435395446E-2</c:v>
                </c:pt>
                <c:pt idx="394">
                  <c:v>9.1103833929614908E-2</c:v>
                </c:pt>
                <c:pt idx="395">
                  <c:v>9.1551873349815904E-2</c:v>
                </c:pt>
                <c:pt idx="396">
                  <c:v>9.1340577657198316E-2</c:v>
                </c:pt>
                <c:pt idx="397">
                  <c:v>9.1551260842854296E-2</c:v>
                </c:pt>
                <c:pt idx="398">
                  <c:v>9.1834877848436525E-2</c:v>
                </c:pt>
                <c:pt idx="399">
                  <c:v>9.0113400862484649E-2</c:v>
                </c:pt>
                <c:pt idx="400">
                  <c:v>8.689480093289137E-2</c:v>
                </c:pt>
                <c:pt idx="401">
                  <c:v>8.7904666679723215E-2</c:v>
                </c:pt>
                <c:pt idx="402">
                  <c:v>8.6590956963155136E-2</c:v>
                </c:pt>
                <c:pt idx="403">
                  <c:v>8.940044675483079E-2</c:v>
                </c:pt>
                <c:pt idx="404">
                  <c:v>9.0460390615415415E-2</c:v>
                </c:pt>
                <c:pt idx="405">
                  <c:v>9.147277534093988E-2</c:v>
                </c:pt>
                <c:pt idx="406">
                  <c:v>9.1583291673746556E-2</c:v>
                </c:pt>
                <c:pt idx="407">
                  <c:v>9.2464427126420459E-2</c:v>
                </c:pt>
                <c:pt idx="408">
                  <c:v>9.0614587355060963E-2</c:v>
                </c:pt>
                <c:pt idx="409">
                  <c:v>9.070813283870055E-2</c:v>
                </c:pt>
                <c:pt idx="410">
                  <c:v>9.0229698762954322E-2</c:v>
                </c:pt>
                <c:pt idx="411">
                  <c:v>8.9572045727528554E-2</c:v>
                </c:pt>
                <c:pt idx="412">
                  <c:v>8.9081049073528568E-2</c:v>
                </c:pt>
                <c:pt idx="413">
                  <c:v>8.9603981317461903E-2</c:v>
                </c:pt>
                <c:pt idx="414">
                  <c:v>9.0719276365941098E-2</c:v>
                </c:pt>
                <c:pt idx="415">
                  <c:v>8.9813614756915017E-2</c:v>
                </c:pt>
                <c:pt idx="416">
                  <c:v>9.1170200586279684E-2</c:v>
                </c:pt>
                <c:pt idx="417">
                  <c:v>9.069834299047215E-2</c:v>
                </c:pt>
                <c:pt idx="418">
                  <c:v>8.9632586553796245E-2</c:v>
                </c:pt>
                <c:pt idx="419">
                  <c:v>8.8997296392114428E-2</c:v>
                </c:pt>
                <c:pt idx="420">
                  <c:v>9.0773050069459474E-2</c:v>
                </c:pt>
                <c:pt idx="421">
                  <c:v>9.0779451648208609E-2</c:v>
                </c:pt>
                <c:pt idx="422">
                  <c:v>8.9114705330559693E-2</c:v>
                </c:pt>
                <c:pt idx="423">
                  <c:v>9.1096563425490676E-2</c:v>
                </c:pt>
                <c:pt idx="424">
                  <c:v>8.8883120392722809E-2</c:v>
                </c:pt>
                <c:pt idx="425">
                  <c:v>8.8075490405935972E-2</c:v>
                </c:pt>
                <c:pt idx="426">
                  <c:v>8.5915258019224908E-2</c:v>
                </c:pt>
                <c:pt idx="427">
                  <c:v>8.514808431290731E-2</c:v>
                </c:pt>
                <c:pt idx="428">
                  <c:v>8.6780320891564303E-2</c:v>
                </c:pt>
                <c:pt idx="429">
                  <c:v>9.0788851218031735E-2</c:v>
                </c:pt>
                <c:pt idx="430">
                  <c:v>8.5583091482907409E-2</c:v>
                </c:pt>
                <c:pt idx="431">
                  <c:v>8.0083225434131267E-2</c:v>
                </c:pt>
                <c:pt idx="432">
                  <c:v>8.1116606205841088E-2</c:v>
                </c:pt>
                <c:pt idx="433">
                  <c:v>7.4611823293959587E-2</c:v>
                </c:pt>
                <c:pt idx="434">
                  <c:v>7.4801688522734874E-2</c:v>
                </c:pt>
                <c:pt idx="435">
                  <c:v>7.4499565748125385E-2</c:v>
                </c:pt>
                <c:pt idx="436">
                  <c:v>7.5491502910717545E-2</c:v>
                </c:pt>
                <c:pt idx="437">
                  <c:v>7.3217599320908516E-2</c:v>
                </c:pt>
                <c:pt idx="438">
                  <c:v>7.261581008838125E-2</c:v>
                </c:pt>
                <c:pt idx="439">
                  <c:v>7.3370083724773452E-2</c:v>
                </c:pt>
                <c:pt idx="440">
                  <c:v>7.3049829927867807E-2</c:v>
                </c:pt>
                <c:pt idx="441">
                  <c:v>7.0145496375858665E-2</c:v>
                </c:pt>
                <c:pt idx="442">
                  <c:v>6.6621914517124306E-2</c:v>
                </c:pt>
                <c:pt idx="443">
                  <c:v>6.7726994716803199E-2</c:v>
                </c:pt>
                <c:pt idx="444">
                  <c:v>6.9175279926030481E-2</c:v>
                </c:pt>
                <c:pt idx="445">
                  <c:v>6.9165892493439435E-2</c:v>
                </c:pt>
                <c:pt idx="446">
                  <c:v>6.8395819843547423E-2</c:v>
                </c:pt>
                <c:pt idx="447">
                  <c:v>7.0443412198262112E-2</c:v>
                </c:pt>
                <c:pt idx="448">
                  <c:v>6.7687334374888566E-2</c:v>
                </c:pt>
                <c:pt idx="449">
                  <c:v>6.5967242576981014E-2</c:v>
                </c:pt>
                <c:pt idx="450">
                  <c:v>6.4807822663664597E-2</c:v>
                </c:pt>
                <c:pt idx="451">
                  <c:v>6.4905942993007462E-2</c:v>
                </c:pt>
                <c:pt idx="452">
                  <c:v>6.654820276568893E-2</c:v>
                </c:pt>
                <c:pt idx="453">
                  <c:v>6.6196584046150211E-2</c:v>
                </c:pt>
                <c:pt idx="454">
                  <c:v>6.6464531953429939E-2</c:v>
                </c:pt>
                <c:pt idx="455">
                  <c:v>6.5345326197714632E-2</c:v>
                </c:pt>
                <c:pt idx="456">
                  <c:v>6.4592761160254933E-2</c:v>
                </c:pt>
                <c:pt idx="457">
                  <c:v>6.5914022894440635E-2</c:v>
                </c:pt>
                <c:pt idx="458">
                  <c:v>6.5568601573670976E-2</c:v>
                </c:pt>
                <c:pt idx="459">
                  <c:v>6.6429632476621259E-2</c:v>
                </c:pt>
                <c:pt idx="460">
                  <c:v>6.7117575029730592E-2</c:v>
                </c:pt>
                <c:pt idx="461">
                  <c:v>6.6673504303507922E-2</c:v>
                </c:pt>
                <c:pt idx="462">
                  <c:v>6.6537021093761015E-2</c:v>
                </c:pt>
                <c:pt idx="463">
                  <c:v>6.573918762131023E-2</c:v>
                </c:pt>
                <c:pt idx="464">
                  <c:v>6.447607519249289E-2</c:v>
                </c:pt>
                <c:pt idx="465">
                  <c:v>6.6371722562349356E-2</c:v>
                </c:pt>
                <c:pt idx="466">
                  <c:v>6.6053337975144913E-2</c:v>
                </c:pt>
                <c:pt idx="467">
                  <c:v>6.5119866632356901E-2</c:v>
                </c:pt>
                <c:pt idx="468">
                  <c:v>6.4054622596366309E-2</c:v>
                </c:pt>
                <c:pt idx="469">
                  <c:v>6.6384757289732976E-2</c:v>
                </c:pt>
                <c:pt idx="470">
                  <c:v>6.432536555420551E-2</c:v>
                </c:pt>
                <c:pt idx="471">
                  <c:v>6.4890041188079797E-2</c:v>
                </c:pt>
                <c:pt idx="472">
                  <c:v>6.5734343479534565E-2</c:v>
                </c:pt>
                <c:pt idx="473">
                  <c:v>6.5820927414245417E-2</c:v>
                </c:pt>
                <c:pt idx="474">
                  <c:v>6.3017721886297479E-2</c:v>
                </c:pt>
                <c:pt idx="475">
                  <c:v>6.1672541520459513E-2</c:v>
                </c:pt>
                <c:pt idx="476">
                  <c:v>6.0716955272577866E-2</c:v>
                </c:pt>
                <c:pt idx="477">
                  <c:v>5.9953526220753624E-2</c:v>
                </c:pt>
                <c:pt idx="478">
                  <c:v>5.9255671513514345E-2</c:v>
                </c:pt>
                <c:pt idx="479">
                  <c:v>6.0353515758730096E-2</c:v>
                </c:pt>
                <c:pt idx="480">
                  <c:v>5.9046752818930098E-2</c:v>
                </c:pt>
                <c:pt idx="481">
                  <c:v>5.7825626909262538E-2</c:v>
                </c:pt>
                <c:pt idx="482">
                  <c:v>5.9296744668330736E-2</c:v>
                </c:pt>
                <c:pt idx="483">
                  <c:v>5.7924109992630243E-2</c:v>
                </c:pt>
                <c:pt idx="484">
                  <c:v>5.8551125949932954E-2</c:v>
                </c:pt>
                <c:pt idx="485">
                  <c:v>5.6846520544438478E-2</c:v>
                </c:pt>
                <c:pt idx="486">
                  <c:v>5.5184921590056009E-2</c:v>
                </c:pt>
                <c:pt idx="487">
                  <c:v>5.622556816370583E-2</c:v>
                </c:pt>
                <c:pt idx="488">
                  <c:v>5.6010236820905834E-2</c:v>
                </c:pt>
                <c:pt idx="489">
                  <c:v>5.5356895976465689E-2</c:v>
                </c:pt>
                <c:pt idx="490">
                  <c:v>5.5135785662859579E-2</c:v>
                </c:pt>
                <c:pt idx="491">
                  <c:v>5.3707354129299591E-2</c:v>
                </c:pt>
                <c:pt idx="492">
                  <c:v>5.3888944994969719E-2</c:v>
                </c:pt>
                <c:pt idx="493">
                  <c:v>5.3195020862232698E-2</c:v>
                </c:pt>
                <c:pt idx="494">
                  <c:v>5.4970360626874569E-2</c:v>
                </c:pt>
                <c:pt idx="495">
                  <c:v>5.3858641217792567E-2</c:v>
                </c:pt>
                <c:pt idx="496">
                  <c:v>5.4227373548828027E-2</c:v>
                </c:pt>
                <c:pt idx="497">
                  <c:v>5.4783443637346496E-2</c:v>
                </c:pt>
                <c:pt idx="498">
                  <c:v>5.3770046856554801E-2</c:v>
                </c:pt>
                <c:pt idx="499">
                  <c:v>5.3462115180686165E-2</c:v>
                </c:pt>
                <c:pt idx="500">
                  <c:v>5.4933066848633007E-2</c:v>
                </c:pt>
                <c:pt idx="501">
                  <c:v>5.432254595102326E-2</c:v>
                </c:pt>
                <c:pt idx="502">
                  <c:v>5.5139966545345941E-2</c:v>
                </c:pt>
                <c:pt idx="503">
                  <c:v>5.406557242931178E-2</c:v>
                </c:pt>
                <c:pt idx="504">
                  <c:v>5.1979995292314091E-2</c:v>
                </c:pt>
                <c:pt idx="505">
                  <c:v>5.0823722514431346E-2</c:v>
                </c:pt>
                <c:pt idx="506">
                  <c:v>5.0332139166502282E-2</c:v>
                </c:pt>
                <c:pt idx="507">
                  <c:v>5.2382577213118557E-2</c:v>
                </c:pt>
                <c:pt idx="508">
                  <c:v>4.9435131943830549E-2</c:v>
                </c:pt>
                <c:pt idx="509">
                  <c:v>4.7263447261260041E-2</c:v>
                </c:pt>
                <c:pt idx="510">
                  <c:v>4.7440905147214933E-2</c:v>
                </c:pt>
                <c:pt idx="511">
                  <c:v>4.4247397242297169E-2</c:v>
                </c:pt>
                <c:pt idx="512">
                  <c:v>4.7446654828444373E-2</c:v>
                </c:pt>
                <c:pt idx="513">
                  <c:v>4.8612005337123627E-2</c:v>
                </c:pt>
                <c:pt idx="514">
                  <c:v>4.7490347568965953E-2</c:v>
                </c:pt>
                <c:pt idx="515">
                  <c:v>4.837308777357828E-2</c:v>
                </c:pt>
                <c:pt idx="516">
                  <c:v>4.7454806778060465E-2</c:v>
                </c:pt>
                <c:pt idx="517">
                  <c:v>4.6897361854844978E-2</c:v>
                </c:pt>
                <c:pt idx="518">
                  <c:v>4.5152993723758812E-2</c:v>
                </c:pt>
                <c:pt idx="519">
                  <c:v>4.6044597157859961E-2</c:v>
                </c:pt>
                <c:pt idx="520">
                  <c:v>4.6015276285604291E-2</c:v>
                </c:pt>
                <c:pt idx="521">
                  <c:v>4.9760431404153892E-2</c:v>
                </c:pt>
                <c:pt idx="522">
                  <c:v>5.0995715684910355E-2</c:v>
                </c:pt>
                <c:pt idx="523">
                  <c:v>4.785160434814259E-2</c:v>
                </c:pt>
                <c:pt idx="524">
                  <c:v>4.6458148647460791E-2</c:v>
                </c:pt>
                <c:pt idx="525">
                  <c:v>4.9539317222756257E-2</c:v>
                </c:pt>
                <c:pt idx="526">
                  <c:v>4.8296912517365904E-2</c:v>
                </c:pt>
                <c:pt idx="527">
                  <c:v>5.0049784205842059E-2</c:v>
                </c:pt>
                <c:pt idx="528">
                  <c:v>5.2109695382099634E-2</c:v>
                </c:pt>
                <c:pt idx="529">
                  <c:v>5.1949407894436035E-2</c:v>
                </c:pt>
                <c:pt idx="530">
                  <c:v>5.0353457373757605E-2</c:v>
                </c:pt>
                <c:pt idx="531">
                  <c:v>5.157053791329038E-2</c:v>
                </c:pt>
                <c:pt idx="532">
                  <c:v>5.1922111331328354E-2</c:v>
                </c:pt>
                <c:pt idx="533">
                  <c:v>4.8142603860646692E-2</c:v>
                </c:pt>
                <c:pt idx="534">
                  <c:v>4.5131562196241058E-2</c:v>
                </c:pt>
                <c:pt idx="535">
                  <c:v>4.75889923899308E-2</c:v>
                </c:pt>
                <c:pt idx="536">
                  <c:v>4.9537808967175703E-2</c:v>
                </c:pt>
                <c:pt idx="537">
                  <c:v>5.0331578690841081E-2</c:v>
                </c:pt>
                <c:pt idx="538">
                  <c:v>4.9427688611316752E-2</c:v>
                </c:pt>
                <c:pt idx="539">
                  <c:v>4.7856384842081282E-2</c:v>
                </c:pt>
                <c:pt idx="540">
                  <c:v>4.8433826827181475E-2</c:v>
                </c:pt>
                <c:pt idx="541">
                  <c:v>4.3784395135416231E-2</c:v>
                </c:pt>
                <c:pt idx="542">
                  <c:v>4.1971592779751238E-2</c:v>
                </c:pt>
                <c:pt idx="543">
                  <c:v>4.386759215104067E-2</c:v>
                </c:pt>
                <c:pt idx="544">
                  <c:v>4.2326141875027985E-2</c:v>
                </c:pt>
                <c:pt idx="545">
                  <c:v>3.9279648338556204E-2</c:v>
                </c:pt>
                <c:pt idx="546">
                  <c:v>3.7291605457587397E-2</c:v>
                </c:pt>
                <c:pt idx="547">
                  <c:v>3.7924254529252667E-2</c:v>
                </c:pt>
                <c:pt idx="548">
                  <c:v>3.8078278727362788E-2</c:v>
                </c:pt>
                <c:pt idx="549">
                  <c:v>3.8356907891754777E-2</c:v>
                </c:pt>
                <c:pt idx="550">
                  <c:v>3.662001757601941E-2</c:v>
                </c:pt>
                <c:pt idx="551">
                  <c:v>3.5901167757468551E-2</c:v>
                </c:pt>
                <c:pt idx="552">
                  <c:v>3.4791119124039455E-2</c:v>
                </c:pt>
                <c:pt idx="553">
                  <c:v>3.4979669912879839E-2</c:v>
                </c:pt>
                <c:pt idx="554">
                  <c:v>3.5423030112127996E-2</c:v>
                </c:pt>
                <c:pt idx="555">
                  <c:v>3.3900293127275202E-2</c:v>
                </c:pt>
                <c:pt idx="556">
                  <c:v>3.2122362087899328E-2</c:v>
                </c:pt>
                <c:pt idx="557">
                  <c:v>3.2790973696058628E-2</c:v>
                </c:pt>
                <c:pt idx="558">
                  <c:v>3.263853565370807E-2</c:v>
                </c:pt>
                <c:pt idx="559">
                  <c:v>3.2559522884344431E-2</c:v>
                </c:pt>
                <c:pt idx="560">
                  <c:v>3.2125513496891425E-2</c:v>
                </c:pt>
                <c:pt idx="561">
                  <c:v>3.2398346689609427E-2</c:v>
                </c:pt>
                <c:pt idx="562">
                  <c:v>3.3203275472330721E-2</c:v>
                </c:pt>
                <c:pt idx="563">
                  <c:v>3.2262052788659908E-2</c:v>
                </c:pt>
                <c:pt idx="564">
                  <c:v>3.2229542154179253E-2</c:v>
                </c:pt>
                <c:pt idx="565">
                  <c:v>3.2030481835005904E-2</c:v>
                </c:pt>
                <c:pt idx="566">
                  <c:v>3.2026170260891697E-2</c:v>
                </c:pt>
                <c:pt idx="567">
                  <c:v>3.1668771283390254E-2</c:v>
                </c:pt>
                <c:pt idx="568">
                  <c:v>3.1921730690050248E-2</c:v>
                </c:pt>
                <c:pt idx="569">
                  <c:v>3.0693012574191086E-2</c:v>
                </c:pt>
                <c:pt idx="570">
                  <c:v>3.0400076878413701E-2</c:v>
                </c:pt>
                <c:pt idx="571">
                  <c:v>2.8969043424368741E-2</c:v>
                </c:pt>
                <c:pt idx="572">
                  <c:v>2.8651833376513402E-2</c:v>
                </c:pt>
                <c:pt idx="573">
                  <c:v>2.8367570237110076E-2</c:v>
                </c:pt>
                <c:pt idx="574">
                  <c:v>2.859148855994445E-2</c:v>
                </c:pt>
                <c:pt idx="575">
                  <c:v>2.9109366450104205E-2</c:v>
                </c:pt>
                <c:pt idx="576">
                  <c:v>2.90688728874012E-2</c:v>
                </c:pt>
                <c:pt idx="577">
                  <c:v>2.9568643829832691E-2</c:v>
                </c:pt>
                <c:pt idx="578">
                  <c:v>2.9595853237669272E-2</c:v>
                </c:pt>
                <c:pt idx="579">
                  <c:v>3.0441034180150539E-2</c:v>
                </c:pt>
                <c:pt idx="580">
                  <c:v>3.1043382453037859E-2</c:v>
                </c:pt>
                <c:pt idx="581">
                  <c:v>3.0930884805037855E-2</c:v>
                </c:pt>
                <c:pt idx="582">
                  <c:v>3.0210739838273454E-2</c:v>
                </c:pt>
                <c:pt idx="583">
                  <c:v>3.1395780425751751E-2</c:v>
                </c:pt>
                <c:pt idx="584">
                  <c:v>3.1017841330009715E-2</c:v>
                </c:pt>
                <c:pt idx="585">
                  <c:v>3.0114276833880935E-2</c:v>
                </c:pt>
                <c:pt idx="586">
                  <c:v>3.0441919957900524E-2</c:v>
                </c:pt>
                <c:pt idx="587">
                  <c:v>3.0178017562306082E-2</c:v>
                </c:pt>
                <c:pt idx="588">
                  <c:v>3.0351951229806086E-2</c:v>
                </c:pt>
                <c:pt idx="589">
                  <c:v>3.0528705730759081E-2</c:v>
                </c:pt>
                <c:pt idx="590">
                  <c:v>3.0269913041325917E-2</c:v>
                </c:pt>
                <c:pt idx="591">
                  <c:v>3.0056949813345335E-2</c:v>
                </c:pt>
                <c:pt idx="592">
                  <c:v>2.9063102030022256E-2</c:v>
                </c:pt>
                <c:pt idx="593">
                  <c:v>2.9365361514469456E-2</c:v>
                </c:pt>
                <c:pt idx="594">
                  <c:v>2.883373269652351E-2</c:v>
                </c:pt>
                <c:pt idx="595">
                  <c:v>2.8147441791661159E-2</c:v>
                </c:pt>
                <c:pt idx="596">
                  <c:v>2.9719900926980208E-2</c:v>
                </c:pt>
                <c:pt idx="597">
                  <c:v>2.8473853353608202E-2</c:v>
                </c:pt>
                <c:pt idx="598">
                  <c:v>2.8637412205809402E-2</c:v>
                </c:pt>
                <c:pt idx="599">
                  <c:v>2.8183442918566282E-2</c:v>
                </c:pt>
                <c:pt idx="600">
                  <c:v>2.7998329611636594E-2</c:v>
                </c:pt>
                <c:pt idx="601">
                  <c:v>2.8001886178821961E-2</c:v>
                </c:pt>
                <c:pt idx="602">
                  <c:v>2.8604962757597472E-2</c:v>
                </c:pt>
                <c:pt idx="603">
                  <c:v>2.8574679637299465E-2</c:v>
                </c:pt>
                <c:pt idx="604">
                  <c:v>2.7590763055267125E-2</c:v>
                </c:pt>
                <c:pt idx="605">
                  <c:v>2.8620913631661752E-2</c:v>
                </c:pt>
                <c:pt idx="606">
                  <c:v>2.7046417462918318E-2</c:v>
                </c:pt>
                <c:pt idx="607">
                  <c:v>2.8585014729846942E-2</c:v>
                </c:pt>
                <c:pt idx="608">
                  <c:v>2.6680726325917673E-2</c:v>
                </c:pt>
                <c:pt idx="609">
                  <c:v>2.701178225992569E-2</c:v>
                </c:pt>
                <c:pt idx="610">
                  <c:v>2.6321155295725693E-2</c:v>
                </c:pt>
                <c:pt idx="611">
                  <c:v>2.5516067697903714E-2</c:v>
                </c:pt>
                <c:pt idx="612">
                  <c:v>2.5796485581706153E-2</c:v>
                </c:pt>
                <c:pt idx="613">
                  <c:v>2.5254254879193354E-2</c:v>
                </c:pt>
                <c:pt idx="614">
                  <c:v>2.6031313188160255E-2</c:v>
                </c:pt>
                <c:pt idx="615">
                  <c:v>2.6419741098792516E-2</c:v>
                </c:pt>
                <c:pt idx="616">
                  <c:v>2.5639291000377557E-2</c:v>
                </c:pt>
                <c:pt idx="617">
                  <c:v>2.61783199793689E-2</c:v>
                </c:pt>
                <c:pt idx="618">
                  <c:v>2.6305338978815176E-2</c:v>
                </c:pt>
                <c:pt idx="619">
                  <c:v>2.4647828219765758E-2</c:v>
                </c:pt>
                <c:pt idx="620">
                  <c:v>2.4404080162196258E-2</c:v>
                </c:pt>
                <c:pt idx="621">
                  <c:v>2.3162657190447741E-2</c:v>
                </c:pt>
                <c:pt idx="622">
                  <c:v>2.2846795777847748E-2</c:v>
                </c:pt>
                <c:pt idx="623">
                  <c:v>2.3300740729099968E-2</c:v>
                </c:pt>
                <c:pt idx="624">
                  <c:v>2.2788739778985059E-2</c:v>
                </c:pt>
                <c:pt idx="625">
                  <c:v>2.2456292071598851E-2</c:v>
                </c:pt>
                <c:pt idx="626">
                  <c:v>2.17255905319674E-2</c:v>
                </c:pt>
                <c:pt idx="627">
                  <c:v>2.1833028921943737E-2</c:v>
                </c:pt>
                <c:pt idx="628">
                  <c:v>2.2523751140411823E-2</c:v>
                </c:pt>
                <c:pt idx="629">
                  <c:v>2.3599733837639421E-2</c:v>
                </c:pt>
                <c:pt idx="630">
                  <c:v>2.2624667643469962E-2</c:v>
                </c:pt>
                <c:pt idx="631">
                  <c:v>2.1839478694261703E-2</c:v>
                </c:pt>
                <c:pt idx="632">
                  <c:v>2.2533424119379884E-2</c:v>
                </c:pt>
                <c:pt idx="633">
                  <c:v>2.2670794026278127E-2</c:v>
                </c:pt>
                <c:pt idx="634">
                  <c:v>2.2285484988041226E-2</c:v>
                </c:pt>
                <c:pt idx="635">
                  <c:v>2.3025219482913022E-2</c:v>
                </c:pt>
                <c:pt idx="636">
                  <c:v>2.263476680675016E-2</c:v>
                </c:pt>
                <c:pt idx="637">
                  <c:v>2.2468050684305723E-2</c:v>
                </c:pt>
                <c:pt idx="638">
                  <c:v>2.4631655072731528E-2</c:v>
                </c:pt>
                <c:pt idx="639">
                  <c:v>2.3035332159937222E-2</c:v>
                </c:pt>
                <c:pt idx="640">
                  <c:v>2.1923954462107341E-2</c:v>
                </c:pt>
                <c:pt idx="641">
                  <c:v>2.1191897508143705E-2</c:v>
                </c:pt>
                <c:pt idx="642">
                  <c:v>2.131467750077333E-2</c:v>
                </c:pt>
                <c:pt idx="643">
                  <c:v>2.1272681786435394E-2</c:v>
                </c:pt>
                <c:pt idx="644">
                  <c:v>2.2017952072879231E-2</c:v>
                </c:pt>
                <c:pt idx="645">
                  <c:v>2.3217569561848707E-2</c:v>
                </c:pt>
                <c:pt idx="646">
                  <c:v>2.1147219469350297E-2</c:v>
                </c:pt>
                <c:pt idx="647">
                  <c:v>2.0934597840263334E-2</c:v>
                </c:pt>
                <c:pt idx="648">
                  <c:v>2.5250181512175975E-2</c:v>
                </c:pt>
                <c:pt idx="649">
                  <c:v>2.2937753021361213E-2</c:v>
                </c:pt>
                <c:pt idx="650">
                  <c:v>2.1980007500209068E-2</c:v>
                </c:pt>
                <c:pt idx="651">
                  <c:v>2.1508049393940021E-2</c:v>
                </c:pt>
                <c:pt idx="652">
                  <c:v>1.9646327157989297E-2</c:v>
                </c:pt>
                <c:pt idx="653">
                  <c:v>2.028000768756601E-2</c:v>
                </c:pt>
                <c:pt idx="654">
                  <c:v>2.0490947437128613E-2</c:v>
                </c:pt>
                <c:pt idx="655">
                  <c:v>1.9981426085419311E-2</c:v>
                </c:pt>
                <c:pt idx="656">
                  <c:v>2.0231063542335979E-2</c:v>
                </c:pt>
                <c:pt idx="657">
                  <c:v>2.058555057655204E-2</c:v>
                </c:pt>
                <c:pt idx="658">
                  <c:v>2.2207903403774883E-2</c:v>
                </c:pt>
                <c:pt idx="659">
                  <c:v>2.1238246418511561E-2</c:v>
                </c:pt>
                <c:pt idx="660">
                  <c:v>2.0333954161112597E-2</c:v>
                </c:pt>
                <c:pt idx="661">
                  <c:v>2.0916799446872469E-2</c:v>
                </c:pt>
                <c:pt idx="662">
                  <c:v>1.8164183543675935E-2</c:v>
                </c:pt>
                <c:pt idx="663">
                  <c:v>1.8279728780123933E-2</c:v>
                </c:pt>
                <c:pt idx="664">
                  <c:v>1.7820653354938747E-2</c:v>
                </c:pt>
                <c:pt idx="665">
                  <c:v>1.7488520222830779E-2</c:v>
                </c:pt>
                <c:pt idx="666">
                  <c:v>1.7674747927578203E-2</c:v>
                </c:pt>
                <c:pt idx="667">
                  <c:v>1.7028160785431606E-2</c:v>
                </c:pt>
                <c:pt idx="668">
                  <c:v>1.7134727095878811E-2</c:v>
                </c:pt>
                <c:pt idx="669">
                  <c:v>1.6687988948091828E-2</c:v>
                </c:pt>
                <c:pt idx="670">
                  <c:v>1.7524442512523136E-2</c:v>
                </c:pt>
                <c:pt idx="671">
                  <c:v>1.7061771966926122E-2</c:v>
                </c:pt>
                <c:pt idx="672">
                  <c:v>1.807956863300593E-2</c:v>
                </c:pt>
                <c:pt idx="673">
                  <c:v>1.7307924755539026E-2</c:v>
                </c:pt>
                <c:pt idx="674">
                  <c:v>1.6885351577942884E-2</c:v>
                </c:pt>
                <c:pt idx="675">
                  <c:v>1.6236115067725748E-2</c:v>
                </c:pt>
                <c:pt idx="676">
                  <c:v>1.5392794829785899E-2</c:v>
                </c:pt>
                <c:pt idx="677">
                  <c:v>1.7116140563218162E-2</c:v>
                </c:pt>
                <c:pt idx="678">
                  <c:v>1.8194900325551492E-2</c:v>
                </c:pt>
                <c:pt idx="679">
                  <c:v>1.8050341898796916E-2</c:v>
                </c:pt>
                <c:pt idx="680">
                  <c:v>1.6746587258650112E-2</c:v>
                </c:pt>
                <c:pt idx="681">
                  <c:v>1.3856781340560356E-2</c:v>
                </c:pt>
                <c:pt idx="682">
                  <c:v>1.3160151305881711E-2</c:v>
                </c:pt>
                <c:pt idx="683">
                  <c:v>1.1883851796394441E-2</c:v>
                </c:pt>
                <c:pt idx="684">
                  <c:v>1.2064534851286106E-2</c:v>
                </c:pt>
                <c:pt idx="685">
                  <c:v>1.4585782019221401E-2</c:v>
                </c:pt>
                <c:pt idx="686">
                  <c:v>1.0980358761888647E-2</c:v>
                </c:pt>
                <c:pt idx="687">
                  <c:v>1.476472782499913E-2</c:v>
                </c:pt>
                <c:pt idx="688">
                  <c:v>1.4549424015249647E-2</c:v>
                </c:pt>
                <c:pt idx="689">
                  <c:v>1.4564515161433767E-2</c:v>
                </c:pt>
                <c:pt idx="690">
                  <c:v>1.3964503702096747E-2</c:v>
                </c:pt>
                <c:pt idx="691">
                  <c:v>1.5559254045785535E-2</c:v>
                </c:pt>
                <c:pt idx="692">
                  <c:v>1.6014088399085535E-2</c:v>
                </c:pt>
                <c:pt idx="693">
                  <c:v>1.5271956887286329E-2</c:v>
                </c:pt>
                <c:pt idx="694">
                  <c:v>1.5162381197014234E-2</c:v>
                </c:pt>
                <c:pt idx="695">
                  <c:v>1.5181555057119659E-2</c:v>
                </c:pt>
                <c:pt idx="696">
                  <c:v>1.5388781408292073E-2</c:v>
                </c:pt>
                <c:pt idx="697">
                  <c:v>1.4738130800186692E-2</c:v>
                </c:pt>
                <c:pt idx="698">
                  <c:v>1.5232837448254898E-2</c:v>
                </c:pt>
                <c:pt idx="699">
                  <c:v>1.6632078191129662E-2</c:v>
                </c:pt>
                <c:pt idx="700">
                  <c:v>1.7013486105908367E-2</c:v>
                </c:pt>
                <c:pt idx="701">
                  <c:v>1.6101628516881648E-2</c:v>
                </c:pt>
                <c:pt idx="702">
                  <c:v>1.6922430832044436E-2</c:v>
                </c:pt>
                <c:pt idx="703">
                  <c:v>1.7706015757788237E-2</c:v>
                </c:pt>
                <c:pt idx="704">
                  <c:v>1.8017381894095928E-2</c:v>
                </c:pt>
                <c:pt idx="705">
                  <c:v>1.7331617281848278E-2</c:v>
                </c:pt>
                <c:pt idx="706">
                  <c:v>1.7622294793508634E-2</c:v>
                </c:pt>
                <c:pt idx="707">
                  <c:v>1.7758287385857115E-2</c:v>
                </c:pt>
                <c:pt idx="708">
                  <c:v>1.7887633223487215E-2</c:v>
                </c:pt>
                <c:pt idx="709">
                  <c:v>1.8748099950145942E-2</c:v>
                </c:pt>
                <c:pt idx="710">
                  <c:v>1.6625075537497685E-2</c:v>
                </c:pt>
                <c:pt idx="711">
                  <c:v>1.4482838522188974E-2</c:v>
                </c:pt>
                <c:pt idx="712">
                  <c:v>1.4611219716892349E-2</c:v>
                </c:pt>
                <c:pt idx="713">
                  <c:v>1.5832497412753291E-2</c:v>
                </c:pt>
                <c:pt idx="714">
                  <c:v>1.5101794570667119E-2</c:v>
                </c:pt>
                <c:pt idx="715">
                  <c:v>1.559077632875485E-2</c:v>
                </c:pt>
                <c:pt idx="716">
                  <c:v>1.6150716433779386E-2</c:v>
                </c:pt>
                <c:pt idx="717">
                  <c:v>1.4714532886939215E-2</c:v>
                </c:pt>
                <c:pt idx="718">
                  <c:v>1.4598875107072012E-2</c:v>
                </c:pt>
                <c:pt idx="719">
                  <c:v>1.4201778638935675E-2</c:v>
                </c:pt>
                <c:pt idx="720">
                  <c:v>1.3694209459933401E-2</c:v>
                </c:pt>
                <c:pt idx="721">
                  <c:v>1.4812952550404542E-2</c:v>
                </c:pt>
                <c:pt idx="722">
                  <c:v>1.5205253252986179E-2</c:v>
                </c:pt>
                <c:pt idx="723">
                  <c:v>1.3944299827791504E-2</c:v>
                </c:pt>
                <c:pt idx="724">
                  <c:v>1.3846431116301423E-2</c:v>
                </c:pt>
                <c:pt idx="725">
                  <c:v>1.4391831659361424E-2</c:v>
                </c:pt>
                <c:pt idx="726">
                  <c:v>1.4004954961283546E-2</c:v>
                </c:pt>
                <c:pt idx="727">
                  <c:v>1.4595318442586202E-2</c:v>
                </c:pt>
                <c:pt idx="728">
                  <c:v>1.4073070262667875E-2</c:v>
                </c:pt>
                <c:pt idx="729">
                  <c:v>1.3306856100074769E-2</c:v>
                </c:pt>
                <c:pt idx="730">
                  <c:v>1.2384061703290799E-2</c:v>
                </c:pt>
                <c:pt idx="731">
                  <c:v>1.1128212849585695E-2</c:v>
                </c:pt>
                <c:pt idx="732">
                  <c:v>1.1697836385420459E-2</c:v>
                </c:pt>
                <c:pt idx="733">
                  <c:v>1.0539793793635939E-2</c:v>
                </c:pt>
                <c:pt idx="734">
                  <c:v>1.0599459936569629E-2</c:v>
                </c:pt>
                <c:pt idx="735">
                  <c:v>1.0478184278975627E-2</c:v>
                </c:pt>
                <c:pt idx="736">
                  <c:v>1.0807603724202227E-2</c:v>
                </c:pt>
                <c:pt idx="737">
                  <c:v>1.1201308126930697E-2</c:v>
                </c:pt>
                <c:pt idx="738">
                  <c:v>1.0532399079605475E-2</c:v>
                </c:pt>
                <c:pt idx="739">
                  <c:v>9.7206713091836563E-3</c:v>
                </c:pt>
                <c:pt idx="740">
                  <c:v>9.6747697813724422E-3</c:v>
                </c:pt>
                <c:pt idx="741">
                  <c:v>1.359877474184088E-2</c:v>
                </c:pt>
                <c:pt idx="742">
                  <c:v>1.1291867574117978E-2</c:v>
                </c:pt>
                <c:pt idx="743">
                  <c:v>1.1911832867932931E-2</c:v>
                </c:pt>
                <c:pt idx="744">
                  <c:v>8.4223888426821821E-3</c:v>
                </c:pt>
                <c:pt idx="745">
                  <c:v>6.0006168865014316E-3</c:v>
                </c:pt>
                <c:pt idx="746">
                  <c:v>4.2349650301407435E-3</c:v>
                </c:pt>
                <c:pt idx="747">
                  <c:v>4.1596243956117081E-3</c:v>
                </c:pt>
                <c:pt idx="748">
                  <c:v>4.2765436824279447E-3</c:v>
                </c:pt>
                <c:pt idx="749">
                  <c:v>3.5218003772940452E-3</c:v>
                </c:pt>
                <c:pt idx="750">
                  <c:v>3.673733624939501E-3</c:v>
                </c:pt>
                <c:pt idx="751">
                  <c:v>3.9661836850741171E-3</c:v>
                </c:pt>
                <c:pt idx="752">
                  <c:v>3.7512698375299384E-3</c:v>
                </c:pt>
                <c:pt idx="753">
                  <c:v>3.1350173499779389E-3</c:v>
                </c:pt>
                <c:pt idx="754">
                  <c:v>3.2172307816961208E-3</c:v>
                </c:pt>
                <c:pt idx="755">
                  <c:v>2.9504505886813527E-3</c:v>
                </c:pt>
                <c:pt idx="756">
                  <c:v>2.5896373593205287E-3</c:v>
                </c:pt>
                <c:pt idx="757">
                  <c:v>2.7150792483136795E-3</c:v>
                </c:pt>
                <c:pt idx="758">
                  <c:v>2.6210951167851093E-3</c:v>
                </c:pt>
                <c:pt idx="759">
                  <c:v>2.7710446435547718E-3</c:v>
                </c:pt>
                <c:pt idx="760">
                  <c:v>2.9949609163808576E-3</c:v>
                </c:pt>
                <c:pt idx="761">
                  <c:v>2.8825353952247734E-3</c:v>
                </c:pt>
                <c:pt idx="762">
                  <c:v>2.7977560598294237E-3</c:v>
                </c:pt>
                <c:pt idx="763">
                  <c:v>2.6916808523921097E-3</c:v>
                </c:pt>
                <c:pt idx="764">
                  <c:v>2.7940939314331694E-3</c:v>
                </c:pt>
                <c:pt idx="765">
                  <c:v>2.9035176993462124E-3</c:v>
                </c:pt>
                <c:pt idx="766">
                  <c:v>2.9907535894876775E-3</c:v>
                </c:pt>
                <c:pt idx="767">
                  <c:v>3.3025418192787767E-3</c:v>
                </c:pt>
                <c:pt idx="768">
                  <c:v>2.8872695544490479E-3</c:v>
                </c:pt>
                <c:pt idx="769">
                  <c:v>2.7365682648490481E-3</c:v>
                </c:pt>
                <c:pt idx="770">
                  <c:v>2.6687103678567402E-3</c:v>
                </c:pt>
                <c:pt idx="771">
                  <c:v>3.0112578005666176E-3</c:v>
                </c:pt>
                <c:pt idx="772">
                  <c:v>2.2510870150203484E-3</c:v>
                </c:pt>
                <c:pt idx="773">
                  <c:v>2.319320390943254E-3</c:v>
                </c:pt>
                <c:pt idx="774">
                  <c:v>3.5842505745880119E-3</c:v>
                </c:pt>
                <c:pt idx="775">
                  <c:v>3.1339496046657871E-3</c:v>
                </c:pt>
                <c:pt idx="776">
                  <c:v>2.8781780363822435E-3</c:v>
                </c:pt>
                <c:pt idx="777">
                  <c:v>1.8284925363005482E-3</c:v>
                </c:pt>
                <c:pt idx="778">
                  <c:v>1.0318011254701405E-3</c:v>
                </c:pt>
                <c:pt idx="779">
                  <c:v>6.5358693031413904E-4</c:v>
                </c:pt>
                <c:pt idx="780">
                  <c:v>9.1434205157047636E-4</c:v>
                </c:pt>
                <c:pt idx="781">
                  <c:v>6.4165315667047862E-4</c:v>
                </c:pt>
                <c:pt idx="782">
                  <c:v>7.0531537598224326E-4</c:v>
                </c:pt>
                <c:pt idx="783">
                  <c:v>8.3716480281974303E-4</c:v>
                </c:pt>
                <c:pt idx="784">
                  <c:v>9.840729245973053E-4</c:v>
                </c:pt>
                <c:pt idx="785">
                  <c:v>-2.5574057070561031E-5</c:v>
                </c:pt>
                <c:pt idx="786">
                  <c:v>4.2310334280636162E-4</c:v>
                </c:pt>
                <c:pt idx="787">
                  <c:v>5.6055825190834201E-4</c:v>
                </c:pt>
                <c:pt idx="788">
                  <c:v>5.7456167282598928E-4</c:v>
                </c:pt>
                <c:pt idx="789">
                  <c:v>6.4575635329570372E-4</c:v>
                </c:pt>
                <c:pt idx="790">
                  <c:v>5.7089047789415264E-4</c:v>
                </c:pt>
                <c:pt idx="791">
                  <c:v>4.470026409445354E-4</c:v>
                </c:pt>
                <c:pt idx="792">
                  <c:v>5.1592242631953559E-4</c:v>
                </c:pt>
                <c:pt idx="793">
                  <c:v>3.4700457837937541E-4</c:v>
                </c:pt>
                <c:pt idx="794">
                  <c:v>4.729574730290587E-5</c:v>
                </c:pt>
                <c:pt idx="795">
                  <c:v>-2.1908195462697188E-4</c:v>
                </c:pt>
                <c:pt idx="796">
                  <c:v>1.0435814262064635E-4</c:v>
                </c:pt>
                <c:pt idx="797">
                  <c:v>-6.4495548424608025E-5</c:v>
                </c:pt>
                <c:pt idx="798">
                  <c:v>1.7425123523481223E-4</c:v>
                </c:pt>
                <c:pt idx="799">
                  <c:v>4.4503078261569812E-4</c:v>
                </c:pt>
                <c:pt idx="800">
                  <c:v>6.9136494428298945E-4</c:v>
                </c:pt>
                <c:pt idx="801">
                  <c:v>6.70855583127088E-4</c:v>
                </c:pt>
                <c:pt idx="802">
                  <c:v>7.2939277844600811E-4</c:v>
                </c:pt>
                <c:pt idx="803">
                  <c:v>7.3756806659738383E-4</c:v>
                </c:pt>
                <c:pt idx="804">
                  <c:v>8.0088467619212104E-4</c:v>
                </c:pt>
                <c:pt idx="805">
                  <c:v>5.17976470279195E-4</c:v>
                </c:pt>
                <c:pt idx="806">
                  <c:v>5.4984734466286933E-4</c:v>
                </c:pt>
                <c:pt idx="807">
                  <c:v>5.5537519240572545E-4</c:v>
                </c:pt>
                <c:pt idx="808">
                  <c:v>5.6060782510750833E-4</c:v>
                </c:pt>
                <c:pt idx="809">
                  <c:v>7.2525259808552112E-4</c:v>
                </c:pt>
                <c:pt idx="810">
                  <c:v>5.5034637082608778E-4</c:v>
                </c:pt>
                <c:pt idx="811">
                  <c:v>5.5466584035336109E-4</c:v>
                </c:pt>
                <c:pt idx="812">
                  <c:v>8.7905784196667133E-4</c:v>
                </c:pt>
                <c:pt idx="813">
                  <c:v>1.1263155995217126E-3</c:v>
                </c:pt>
                <c:pt idx="814">
                  <c:v>1.1560697303789654E-3</c:v>
                </c:pt>
                <c:pt idx="815">
                  <c:v>9.0676277801229877E-4</c:v>
                </c:pt>
                <c:pt idx="816">
                  <c:v>7.6864803474408557E-4</c:v>
                </c:pt>
                <c:pt idx="817">
                  <c:v>8.2869333811908495E-4</c:v>
                </c:pt>
                <c:pt idx="818">
                  <c:v>8.4469251842876495E-4</c:v>
                </c:pt>
                <c:pt idx="819">
                  <c:v>6.9798821226338067E-4</c:v>
                </c:pt>
                <c:pt idx="820">
                  <c:v>7.8163527361367992E-4</c:v>
                </c:pt>
                <c:pt idx="821">
                  <c:v>8.2161762056943326E-4</c:v>
                </c:pt>
                <c:pt idx="822">
                  <c:v>5.6699039892840709E-4</c:v>
                </c:pt>
                <c:pt idx="823">
                  <c:v>1.4472316395361636E-3</c:v>
                </c:pt>
                <c:pt idx="824">
                  <c:v>1.4456366853887953E-3</c:v>
                </c:pt>
                <c:pt idx="825">
                  <c:v>1.9415863968652487E-3</c:v>
                </c:pt>
                <c:pt idx="826">
                  <c:v>1.4377657115722657E-3</c:v>
                </c:pt>
                <c:pt idx="827">
                  <c:v>1.3167103333826997E-3</c:v>
                </c:pt>
                <c:pt idx="828">
                  <c:v>1.577976094741136E-3</c:v>
                </c:pt>
                <c:pt idx="829">
                  <c:v>1.721684790760054E-3</c:v>
                </c:pt>
                <c:pt idx="830">
                  <c:v>1.6280782336829103E-3</c:v>
                </c:pt>
                <c:pt idx="831">
                  <c:v>1.5854338869379103E-3</c:v>
                </c:pt>
                <c:pt idx="832">
                  <c:v>1.5955357635133486E-3</c:v>
                </c:pt>
                <c:pt idx="833">
                  <c:v>1.6894104097809743E-3</c:v>
                </c:pt>
                <c:pt idx="834">
                  <c:v>1.7007822830125523E-3</c:v>
                </c:pt>
                <c:pt idx="835">
                  <c:v>1.7708817706357162E-3</c:v>
                </c:pt>
                <c:pt idx="836">
                  <c:v>1.925044806150003E-3</c:v>
                </c:pt>
                <c:pt idx="837">
                  <c:v>1.8641919626357177E-3</c:v>
                </c:pt>
                <c:pt idx="838">
                  <c:v>1.8594960354113709E-3</c:v>
                </c:pt>
                <c:pt idx="839">
                  <c:v>1.8127065228800265E-3</c:v>
                </c:pt>
                <c:pt idx="840">
                  <c:v>2.1003830932893081E-3</c:v>
                </c:pt>
                <c:pt idx="841">
                  <c:v>2.135078581099654E-3</c:v>
                </c:pt>
                <c:pt idx="842">
                  <c:v>1.9317963574867507E-3</c:v>
                </c:pt>
                <c:pt idx="843">
                  <c:v>2.0589691854636743E-3</c:v>
                </c:pt>
                <c:pt idx="844">
                  <c:v>1.8725246953516606E-3</c:v>
                </c:pt>
                <c:pt idx="845">
                  <c:v>1.962390770528065E-3</c:v>
                </c:pt>
                <c:pt idx="846">
                  <c:v>1.9418721003593904E-3</c:v>
                </c:pt>
                <c:pt idx="847">
                  <c:v>1.8957820100111548E-3</c:v>
                </c:pt>
                <c:pt idx="848">
                  <c:v>1.9081602467307317E-3</c:v>
                </c:pt>
                <c:pt idx="849">
                  <c:v>1.8462564457928001E-3</c:v>
                </c:pt>
                <c:pt idx="850">
                  <c:v>1.9348846843797564E-3</c:v>
                </c:pt>
                <c:pt idx="851">
                  <c:v>1.848528505288068E-3</c:v>
                </c:pt>
                <c:pt idx="852">
                  <c:v>1.928015556847318E-3</c:v>
                </c:pt>
                <c:pt idx="853">
                  <c:v>1.5627995007364106E-3</c:v>
                </c:pt>
                <c:pt idx="854">
                  <c:v>1.3218297498495608E-3</c:v>
                </c:pt>
                <c:pt idx="855">
                  <c:v>1.4891498549555306E-3</c:v>
                </c:pt>
                <c:pt idx="856">
                  <c:v>9.9775411673163478E-4</c:v>
                </c:pt>
                <c:pt idx="857">
                  <c:v>1.1111988737775988E-3</c:v>
                </c:pt>
                <c:pt idx="858">
                  <c:v>1.1947027026467162E-3</c:v>
                </c:pt>
                <c:pt idx="859">
                  <c:v>1.2423320412048109E-3</c:v>
                </c:pt>
                <c:pt idx="860">
                  <c:v>1.2929275135366289E-3</c:v>
                </c:pt>
                <c:pt idx="861">
                  <c:v>1.3476455240450322E-3</c:v>
                </c:pt>
                <c:pt idx="862">
                  <c:v>1.2824420745925879E-3</c:v>
                </c:pt>
                <c:pt idx="863">
                  <c:v>1.1813366929373083E-3</c:v>
                </c:pt>
                <c:pt idx="864">
                  <c:v>1.0969653209888545E-3</c:v>
                </c:pt>
                <c:pt idx="865">
                  <c:v>1.070072128308132E-3</c:v>
                </c:pt>
                <c:pt idx="866">
                  <c:v>1.0696452285517866E-3</c:v>
                </c:pt>
                <c:pt idx="867">
                  <c:v>1.0371190292077868E-3</c:v>
                </c:pt>
                <c:pt idx="868">
                  <c:v>9.5041553837815697E-4</c:v>
                </c:pt>
                <c:pt idx="869">
                  <c:v>9.152872014751717E-4</c:v>
                </c:pt>
                <c:pt idx="870">
                  <c:v>9.522918828640608E-4</c:v>
                </c:pt>
                <c:pt idx="871">
                  <c:v>1.0045731593192333E-3</c:v>
                </c:pt>
                <c:pt idx="872">
                  <c:v>9.8021624060363999E-4</c:v>
                </c:pt>
                <c:pt idx="873">
                  <c:v>9.3085252332050718E-4</c:v>
                </c:pt>
                <c:pt idx="874">
                  <c:v>8.64975361453687E-4</c:v>
                </c:pt>
                <c:pt idx="875">
                  <c:v>8.4132164952130308E-4</c:v>
                </c:pt>
                <c:pt idx="876">
                  <c:v>8.389707452404816E-4</c:v>
                </c:pt>
                <c:pt idx="877">
                  <c:v>8.7741380634807692E-4</c:v>
                </c:pt>
                <c:pt idx="878">
                  <c:v>9.2334989647321008E-4</c:v>
                </c:pt>
                <c:pt idx="879">
                  <c:v>8.8896481330067465E-4</c:v>
                </c:pt>
                <c:pt idx="880">
                  <c:v>8.7606373917896907E-4</c:v>
                </c:pt>
                <c:pt idx="881">
                  <c:v>8.7199680692255882E-4</c:v>
                </c:pt>
                <c:pt idx="882">
                  <c:v>8.7163282103995012E-4</c:v>
                </c:pt>
                <c:pt idx="883">
                  <c:v>8.8782290008780759E-4</c:v>
                </c:pt>
                <c:pt idx="884">
                  <c:v>9.3591483630538089E-4</c:v>
                </c:pt>
                <c:pt idx="885">
                  <c:v>9.6310934023395253E-4</c:v>
                </c:pt>
                <c:pt idx="886">
                  <c:v>9.9686016178830695E-4</c:v>
                </c:pt>
                <c:pt idx="887">
                  <c:v>1.0146754091686539E-3</c:v>
                </c:pt>
                <c:pt idx="888">
                  <c:v>1.0181831172554306E-3</c:v>
                </c:pt>
                <c:pt idx="889">
                  <c:v>1.0086282196287637E-3</c:v>
                </c:pt>
                <c:pt idx="890">
                  <c:v>9.5594139827732581E-4</c:v>
                </c:pt>
                <c:pt idx="891">
                  <c:v>9.74373234627728E-4</c:v>
                </c:pt>
                <c:pt idx="892">
                  <c:v>1.0030697086166936E-3</c:v>
                </c:pt>
                <c:pt idx="893">
                  <c:v>9.310933893373341E-4</c:v>
                </c:pt>
                <c:pt idx="894">
                  <c:v>8.8544986207183727E-4</c:v>
                </c:pt>
                <c:pt idx="895">
                  <c:v>8.174889619344749E-4</c:v>
                </c:pt>
                <c:pt idx="896">
                  <c:v>8.7633256629833414E-4</c:v>
                </c:pt>
                <c:pt idx="897">
                  <c:v>8.6543644228898823E-4</c:v>
                </c:pt>
                <c:pt idx="898">
                  <c:v>1.0549439473639514E-3</c:v>
                </c:pt>
                <c:pt idx="899">
                  <c:v>1.1122631141003148E-3</c:v>
                </c:pt>
                <c:pt idx="900">
                  <c:v>1.1990604056310607E-3</c:v>
                </c:pt>
                <c:pt idx="901">
                  <c:v>1.1259962366449428E-3</c:v>
                </c:pt>
                <c:pt idx="902">
                  <c:v>1.1790106028846609E-3</c:v>
                </c:pt>
                <c:pt idx="903">
                  <c:v>1.2680719701282503E-3</c:v>
                </c:pt>
                <c:pt idx="904">
                  <c:v>1.4207966155639976E-3</c:v>
                </c:pt>
                <c:pt idx="905">
                  <c:v>1.4134648643271555E-3</c:v>
                </c:pt>
                <c:pt idx="906">
                  <c:v>1.5007584572148975E-3</c:v>
                </c:pt>
                <c:pt idx="907">
                  <c:v>1.5252204574140137E-3</c:v>
                </c:pt>
                <c:pt idx="908">
                  <c:v>1.4767113822782793E-3</c:v>
                </c:pt>
                <c:pt idx="909">
                  <c:v>1.5885612990095951E-3</c:v>
                </c:pt>
                <c:pt idx="910">
                  <c:v>1.624983594496047E-3</c:v>
                </c:pt>
                <c:pt idx="911">
                  <c:v>1.602302314247221E-3</c:v>
                </c:pt>
                <c:pt idx="912">
                  <c:v>1.5486391922310918E-3</c:v>
                </c:pt>
                <c:pt idx="913">
                  <c:v>1.5410614416059732E-3</c:v>
                </c:pt>
                <c:pt idx="914">
                  <c:v>1.5686928544748884E-3</c:v>
                </c:pt>
                <c:pt idx="915">
                  <c:v>1.5452579471229608E-3</c:v>
                </c:pt>
                <c:pt idx="916">
                  <c:v>1.6114481842249371E-3</c:v>
                </c:pt>
                <c:pt idx="917">
                  <c:v>1.5786311481898858E-3</c:v>
                </c:pt>
                <c:pt idx="918">
                  <c:v>1.6388175890378856E-3</c:v>
                </c:pt>
                <c:pt idx="919">
                  <c:v>1.5752881484915444E-3</c:v>
                </c:pt>
                <c:pt idx="920">
                  <c:v>1.6070728803838522E-3</c:v>
                </c:pt>
                <c:pt idx="921">
                  <c:v>1.6317353420920006E-3</c:v>
                </c:pt>
                <c:pt idx="922">
                  <c:v>1.6433420022871758E-3</c:v>
                </c:pt>
                <c:pt idx="923">
                  <c:v>1.6043425466009311E-3</c:v>
                </c:pt>
                <c:pt idx="924">
                  <c:v>1.6050912152306221E-3</c:v>
                </c:pt>
                <c:pt idx="925">
                  <c:v>1.4836544294379386E-3</c:v>
                </c:pt>
                <c:pt idx="926">
                  <c:v>1.3703503550758665E-3</c:v>
                </c:pt>
                <c:pt idx="927">
                  <c:v>1.5867204903996551E-3</c:v>
                </c:pt>
                <c:pt idx="928">
                  <c:v>1.47684118486038E-3</c:v>
                </c:pt>
                <c:pt idx="929">
                  <c:v>1.6006740728014837E-3</c:v>
                </c:pt>
                <c:pt idx="930">
                  <c:v>1.6059035024485421E-3</c:v>
                </c:pt>
                <c:pt idx="931">
                  <c:v>1.4756248848191141E-3</c:v>
                </c:pt>
                <c:pt idx="932">
                  <c:v>1.5959583865847687E-3</c:v>
                </c:pt>
                <c:pt idx="933">
                  <c:v>1.7372343898331226E-3</c:v>
                </c:pt>
                <c:pt idx="934">
                  <c:v>1.8126247611194065E-3</c:v>
                </c:pt>
                <c:pt idx="935">
                  <c:v>1.8391650129129548E-3</c:v>
                </c:pt>
                <c:pt idx="936">
                  <c:v>1.7610750646210884E-3</c:v>
                </c:pt>
                <c:pt idx="937">
                  <c:v>1.7370895832437483E-3</c:v>
                </c:pt>
                <c:pt idx="938">
                  <c:v>1.7766304909624347E-3</c:v>
                </c:pt>
                <c:pt idx="939">
                  <c:v>1.8636085407527029E-3</c:v>
                </c:pt>
                <c:pt idx="940">
                  <c:v>1.7622463750204586E-3</c:v>
                </c:pt>
                <c:pt idx="941">
                  <c:v>1.7002987871870851E-3</c:v>
                </c:pt>
                <c:pt idx="942">
                  <c:v>1.6366703041012882E-3</c:v>
                </c:pt>
                <c:pt idx="943">
                  <c:v>1.8018263108099649E-3</c:v>
                </c:pt>
                <c:pt idx="944">
                  <c:v>1.6530097709353648E-3</c:v>
                </c:pt>
                <c:pt idx="945">
                  <c:v>1.5936446544183981E-3</c:v>
                </c:pt>
                <c:pt idx="946">
                  <c:v>1.5497885947345121E-3</c:v>
                </c:pt>
                <c:pt idx="947">
                  <c:v>1.6452939878745319E-3</c:v>
                </c:pt>
                <c:pt idx="948">
                  <c:v>1.723553255080196E-3</c:v>
                </c:pt>
                <c:pt idx="949">
                  <c:v>1.6279904378498878E-3</c:v>
                </c:pt>
                <c:pt idx="950">
                  <c:v>1.7989229849141365E-3</c:v>
                </c:pt>
                <c:pt idx="951">
                  <c:v>1.7553892932108391E-3</c:v>
                </c:pt>
                <c:pt idx="952">
                  <c:v>1.8750980271673612E-3</c:v>
                </c:pt>
                <c:pt idx="953">
                  <c:v>1.7916446787734381E-3</c:v>
                </c:pt>
                <c:pt idx="954">
                  <c:v>1.8478518050161949E-3</c:v>
                </c:pt>
                <c:pt idx="955">
                  <c:v>1.1924895937799448E-3</c:v>
                </c:pt>
                <c:pt idx="956">
                  <c:v>9.9185182839273936E-4</c:v>
                </c:pt>
                <c:pt idx="957">
                  <c:v>9.3448400251490242E-4</c:v>
                </c:pt>
                <c:pt idx="958">
                  <c:v>9.1057037502886872E-4</c:v>
                </c:pt>
                <c:pt idx="959">
                  <c:v>9.7792550493995436E-4</c:v>
                </c:pt>
                <c:pt idx="960">
                  <c:v>1.081947880123718E-3</c:v>
                </c:pt>
                <c:pt idx="961">
                  <c:v>7.9191748720614256E-4</c:v>
                </c:pt>
                <c:pt idx="962">
                  <c:v>7.5233805417406743E-4</c:v>
                </c:pt>
                <c:pt idx="963">
                  <c:v>6.9340343243098424E-4</c:v>
                </c:pt>
                <c:pt idx="964">
                  <c:v>7.3900777402248171E-4</c:v>
                </c:pt>
                <c:pt idx="965">
                  <c:v>9.1368698274807436E-4</c:v>
                </c:pt>
                <c:pt idx="966">
                  <c:v>8.6001991041554195E-4</c:v>
                </c:pt>
                <c:pt idx="967">
                  <c:v>8.1610186512407845E-4</c:v>
                </c:pt>
                <c:pt idx="968">
                  <c:v>6.9315581885052708E-4</c:v>
                </c:pt>
                <c:pt idx="969">
                  <c:v>8.9038147326368517E-4</c:v>
                </c:pt>
                <c:pt idx="970">
                  <c:v>9.8467107527589327E-4</c:v>
                </c:pt>
                <c:pt idx="971">
                  <c:v>8.8750918896505842E-4</c:v>
                </c:pt>
                <c:pt idx="972">
                  <c:v>9.62593093304364E-4</c:v>
                </c:pt>
                <c:pt idx="973">
                  <c:v>7.3028514827031357E-4</c:v>
                </c:pt>
                <c:pt idx="974">
                  <c:v>1.2165937654623777E-3</c:v>
                </c:pt>
                <c:pt idx="975">
                  <c:v>1.1506629132013385E-3</c:v>
                </c:pt>
                <c:pt idx="976">
                  <c:v>1.0023074378566527E-3</c:v>
                </c:pt>
                <c:pt idx="977">
                  <c:v>9.9779283669834142E-4</c:v>
                </c:pt>
                <c:pt idx="978">
                  <c:v>9.3412809502006614E-4</c:v>
                </c:pt>
                <c:pt idx="979">
                  <c:v>9.4401569207006627E-4</c:v>
                </c:pt>
                <c:pt idx="980">
                  <c:v>9.6211736185605355E-4</c:v>
                </c:pt>
                <c:pt idx="981">
                  <c:v>8.7986348816310742E-4</c:v>
                </c:pt>
                <c:pt idx="982">
                  <c:v>9.577603595271627E-4</c:v>
                </c:pt>
                <c:pt idx="983">
                  <c:v>1.0094179523377049E-3</c:v>
                </c:pt>
                <c:pt idx="984">
                  <c:v>9.6214521203770464E-4</c:v>
                </c:pt>
                <c:pt idx="985">
                  <c:v>8.8574912948812998E-4</c:v>
                </c:pt>
                <c:pt idx="986">
                  <c:v>8.9404549285351451E-4</c:v>
                </c:pt>
                <c:pt idx="987">
                  <c:v>7.920800317410523E-4</c:v>
                </c:pt>
                <c:pt idx="988">
                  <c:v>8.6087833036682724E-4</c:v>
                </c:pt>
                <c:pt idx="989">
                  <c:v>7.4882582740178158E-4</c:v>
                </c:pt>
                <c:pt idx="990">
                  <c:v>6.5283882918478777E-4</c:v>
                </c:pt>
                <c:pt idx="991">
                  <c:v>6.2561105064794589E-4</c:v>
                </c:pt>
                <c:pt idx="992">
                  <c:v>6.6087739209499572E-4</c:v>
                </c:pt>
                <c:pt idx="993">
                  <c:v>6.0756767252356737E-4</c:v>
                </c:pt>
                <c:pt idx="994">
                  <c:v>5.7768281525966483E-4</c:v>
                </c:pt>
                <c:pt idx="995">
                  <c:v>6.0832866682707445E-4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75-4662-B2C4-C6D014838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8407599"/>
        <c:axId val="318406351"/>
      </c:lineChart>
      <c:dateAx>
        <c:axId val="3184075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06351"/>
        <c:crosses val="autoZero"/>
        <c:auto val="1"/>
        <c:lblOffset val="100"/>
        <c:baseTimeUnit val="days"/>
      </c:dateAx>
      <c:valAx>
        <c:axId val="31840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40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50F4019-54AD-4900-95B3-F15BED8D0E39}">
  <sheetPr codeName="Chart9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942B57-33FE-4937-A58C-71D0C94DD07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372</v>
      </c>
      <c r="D2" s="4">
        <f>MIN(D3:D1912)</f>
        <v>17.13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89.8</v>
      </c>
      <c r="C5">
        <v>90.6</v>
      </c>
      <c r="D5">
        <v>85.4</v>
      </c>
      <c r="E5">
        <v>85.6</v>
      </c>
      <c r="F5">
        <v>68197.111999999994</v>
      </c>
      <c r="G5">
        <v>85.6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-0.92307692307692724</v>
      </c>
      <c r="Q5">
        <f t="shared" ref="Q5" si="1">F5*P5</f>
        <v>-62951.180307692586</v>
      </c>
      <c r="R5">
        <f t="shared" ref="R5" si="2">R6+Q5</f>
        <v>21224536.065609865</v>
      </c>
      <c r="S5">
        <f t="shared" ref="S5" si="3">R5/100000</f>
        <v>212.24536065609865</v>
      </c>
      <c r="T5">
        <f t="shared" ref="T5" si="4">S5/1000</f>
        <v>0.21224536065609864</v>
      </c>
    </row>
    <row r="6" spans="1:20" x14ac:dyDescent="0.25">
      <c r="A6" s="5">
        <v>44587</v>
      </c>
      <c r="B6">
        <v>90.4</v>
      </c>
      <c r="C6">
        <v>100.3</v>
      </c>
      <c r="D6">
        <v>86.4</v>
      </c>
      <c r="E6">
        <v>89.8</v>
      </c>
      <c r="F6">
        <v>368688.61599999998</v>
      </c>
      <c r="G6">
        <v>89.8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-0.51079136690647575</v>
      </c>
      <c r="Q6">
        <f t="shared" ref="Q6" si="6">F6*P6</f>
        <v>-188322.96212949674</v>
      </c>
      <c r="R6">
        <f t="shared" ref="R6" si="7">R7+Q6</f>
        <v>21287487.245917559</v>
      </c>
      <c r="S6">
        <f t="shared" ref="S6" si="8">R6/100000</f>
        <v>212.87487245917558</v>
      </c>
      <c r="T6">
        <f t="shared" ref="T6" si="9">S6/1000</f>
        <v>0.21287487245917558</v>
      </c>
    </row>
    <row r="7" spans="1:20" x14ac:dyDescent="0.25">
      <c r="A7" s="5">
        <v>44586</v>
      </c>
      <c r="B7">
        <v>94.4</v>
      </c>
      <c r="C7">
        <v>96.6</v>
      </c>
      <c r="D7">
        <v>88.9</v>
      </c>
      <c r="E7">
        <v>90.3</v>
      </c>
      <c r="F7">
        <v>261013.712</v>
      </c>
      <c r="G7">
        <v>90.3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-0.63636363636363802</v>
      </c>
      <c r="Q7">
        <f t="shared" ref="Q7" si="11">F7*P7</f>
        <v>-166099.63490909134</v>
      </c>
      <c r="R7">
        <f t="shared" ref="R7" si="12">R8+Q7</f>
        <v>21475810.208047055</v>
      </c>
      <c r="S7">
        <f t="shared" ref="S7" si="13">R7/100000</f>
        <v>214.75810208047054</v>
      </c>
      <c r="T7">
        <f t="shared" ref="T7" si="14">S7/1000</f>
        <v>0.21475810208047053</v>
      </c>
    </row>
    <row r="8" spans="1:20" x14ac:dyDescent="0.25">
      <c r="A8" s="5">
        <v>44585</v>
      </c>
      <c r="B8">
        <v>97.4</v>
      </c>
      <c r="C8">
        <v>97.9</v>
      </c>
      <c r="D8">
        <v>81.400000000000006</v>
      </c>
      <c r="E8">
        <v>94.4</v>
      </c>
      <c r="F8">
        <v>407214.07575000002</v>
      </c>
      <c r="G8">
        <v>94.4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0.5757575757575758</v>
      </c>
      <c r="Q8">
        <f t="shared" ref="Q8" si="16">F8*P8</f>
        <v>234456.58906818184</v>
      </c>
      <c r="R8">
        <f t="shared" ref="R8" si="17">R9+Q8</f>
        <v>21641909.842956144</v>
      </c>
      <c r="S8">
        <f t="shared" ref="S8" si="18">R8/100000</f>
        <v>216.41909842956144</v>
      </c>
      <c r="T8">
        <f t="shared" ref="T8" si="19">S8/1000</f>
        <v>0.21641909842956145</v>
      </c>
    </row>
    <row r="9" spans="1:20" x14ac:dyDescent="0.25">
      <c r="A9" s="5">
        <v>44584</v>
      </c>
      <c r="B9">
        <v>94.5</v>
      </c>
      <c r="C9">
        <v>98.1</v>
      </c>
      <c r="D9">
        <v>90.7</v>
      </c>
      <c r="E9">
        <v>97.5</v>
      </c>
      <c r="F9">
        <v>242882.34400000001</v>
      </c>
      <c r="G9">
        <v>97.5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0.83783783783783916</v>
      </c>
      <c r="Q9">
        <f t="shared" ref="Q9" si="21">F9*P9</f>
        <v>203496.01794594628</v>
      </c>
      <c r="R9">
        <f t="shared" ref="R9" si="22">R10+Q9</f>
        <v>21407453.253887963</v>
      </c>
      <c r="S9">
        <f t="shared" ref="S9" si="23">R9/100000</f>
        <v>214.07453253887962</v>
      </c>
      <c r="T9">
        <f t="shared" ref="T9" si="24">S9/1000</f>
        <v>0.21407453253887962</v>
      </c>
    </row>
    <row r="10" spans="1:20" x14ac:dyDescent="0.25">
      <c r="A10" s="5">
        <v>44583</v>
      </c>
      <c r="B10">
        <v>102.2</v>
      </c>
      <c r="C10">
        <v>104.5</v>
      </c>
      <c r="D10">
        <v>82.8</v>
      </c>
      <c r="E10">
        <v>94.6</v>
      </c>
      <c r="F10">
        <v>583258.53642000002</v>
      </c>
      <c r="G10">
        <v>94.6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8.7557603686635538E-2</v>
      </c>
      <c r="Q10">
        <f t="shared" ref="Q10" si="26">F10*P10</f>
        <v>51068.719778709441</v>
      </c>
      <c r="R10">
        <f t="shared" ref="R10" si="27">R11+Q10</f>
        <v>21203957.235942017</v>
      </c>
      <c r="S10">
        <f t="shared" ref="S10" si="28">R10/100000</f>
        <v>212.03957235942016</v>
      </c>
      <c r="T10">
        <f t="shared" ref="T10" si="29">S10/1000</f>
        <v>0.21203957235942017</v>
      </c>
    </row>
    <row r="11" spans="1:20" x14ac:dyDescent="0.25">
      <c r="A11" s="5">
        <v>44582</v>
      </c>
      <c r="B11">
        <v>118.8</v>
      </c>
      <c r="C11">
        <v>120.5</v>
      </c>
      <c r="D11">
        <v>100.2</v>
      </c>
      <c r="E11">
        <v>102.3</v>
      </c>
      <c r="F11">
        <v>403601.32299999997</v>
      </c>
      <c r="G11">
        <v>102.3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-0.79310344827586265</v>
      </c>
      <c r="Q11">
        <f t="shared" ref="Q11" si="31">F11*P11</f>
        <v>-320097.6010000002</v>
      </c>
      <c r="R11">
        <f t="shared" ref="R11" si="32">R12+Q11</f>
        <v>21152888.516163308</v>
      </c>
      <c r="S11">
        <f t="shared" ref="S11" si="33">R11/100000</f>
        <v>211.52888516163307</v>
      </c>
      <c r="T11">
        <f t="shared" ref="T11" si="34">S11/1000</f>
        <v>0.21152888516163307</v>
      </c>
    </row>
    <row r="12" spans="1:20" x14ac:dyDescent="0.25">
      <c r="A12" s="5">
        <v>44581</v>
      </c>
      <c r="B12">
        <v>125.8</v>
      </c>
      <c r="C12">
        <v>131.9</v>
      </c>
      <c r="D12">
        <v>118.7</v>
      </c>
      <c r="E12">
        <v>118.8</v>
      </c>
      <c r="F12">
        <v>197818.90100000001</v>
      </c>
      <c r="G12">
        <v>118.8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-0.98484848484848575</v>
      </c>
      <c r="Q12">
        <f t="shared" ref="Q12" si="36">F12*P12</f>
        <v>-194821.6449242426</v>
      </c>
      <c r="R12">
        <f t="shared" ref="R12" si="37">R13+Q12</f>
        <v>21472986.117163308</v>
      </c>
      <c r="S12">
        <f t="shared" ref="S12" si="38">R12/100000</f>
        <v>214.72986117163308</v>
      </c>
      <c r="T12">
        <f t="shared" ref="T12" si="39">S12/1000</f>
        <v>0.21472986117163306</v>
      </c>
    </row>
    <row r="13" spans="1:20" x14ac:dyDescent="0.25">
      <c r="A13" s="5">
        <v>44580</v>
      </c>
      <c r="B13">
        <v>131.69999999999999</v>
      </c>
      <c r="C13">
        <v>132.30000000000001</v>
      </c>
      <c r="D13">
        <v>125.6</v>
      </c>
      <c r="E13">
        <v>125.9</v>
      </c>
      <c r="F13">
        <v>168679.52100000001</v>
      </c>
      <c r="G13">
        <v>125.9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-0.91044776119402671</v>
      </c>
      <c r="Q13">
        <f t="shared" ref="Q13" si="41">F13*P13</f>
        <v>-153573.89225373082</v>
      </c>
      <c r="R13">
        <f t="shared" ref="R13" si="42">R14+Q13</f>
        <v>21667807.76208755</v>
      </c>
      <c r="S13">
        <f t="shared" ref="S13" si="43">R13/100000</f>
        <v>216.67807762087551</v>
      </c>
      <c r="T13">
        <f t="shared" ref="T13" si="44">S13/1000</f>
        <v>0.21667807762087551</v>
      </c>
    </row>
    <row r="14" spans="1:20" x14ac:dyDescent="0.25">
      <c r="A14" s="5">
        <v>44579</v>
      </c>
      <c r="B14">
        <v>138.80000000000001</v>
      </c>
      <c r="C14">
        <v>140.69999999999999</v>
      </c>
      <c r="D14">
        <v>128.5</v>
      </c>
      <c r="E14">
        <v>131.80000000000001</v>
      </c>
      <c r="F14">
        <v>204500.72200000001</v>
      </c>
      <c r="G14">
        <v>131.80000000000001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-0.45901639344262057</v>
      </c>
      <c r="Q14">
        <f t="shared" ref="Q14" si="46">F14*P14</f>
        <v>-93869.183868851978</v>
      </c>
      <c r="R14">
        <f t="shared" ref="R14" si="47">R15+Q14</f>
        <v>21821381.65434128</v>
      </c>
      <c r="S14">
        <f t="shared" ref="S14" si="48">R14/100000</f>
        <v>218.2138165434128</v>
      </c>
      <c r="T14">
        <f t="shared" ref="T14" si="49">S14/1000</f>
        <v>0.21821381654341279</v>
      </c>
    </row>
    <row r="15" spans="1:20" x14ac:dyDescent="0.25">
      <c r="A15" s="5">
        <v>44578</v>
      </c>
      <c r="B15">
        <v>141.19999999999999</v>
      </c>
      <c r="C15">
        <v>143</v>
      </c>
      <c r="D15">
        <v>134.6</v>
      </c>
      <c r="E15">
        <v>138.9</v>
      </c>
      <c r="F15">
        <v>139791.217</v>
      </c>
      <c r="G15">
        <v>138.9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2.3809523809525824E-2</v>
      </c>
      <c r="Q15">
        <f t="shared" ref="Q15" si="51">F15*P15</f>
        <v>3328.3623095240914</v>
      </c>
      <c r="R15">
        <f t="shared" ref="R15" si="52">R16+Q15</f>
        <v>21915250.838210132</v>
      </c>
      <c r="S15">
        <f t="shared" ref="S15" si="53">R15/100000</f>
        <v>219.15250838210133</v>
      </c>
      <c r="T15">
        <f t="shared" ref="T15" si="54">S15/1000</f>
        <v>0.21915250838210132</v>
      </c>
    </row>
    <row r="16" spans="1:20" x14ac:dyDescent="0.25">
      <c r="A16" s="5">
        <v>44577</v>
      </c>
      <c r="B16">
        <v>144.4</v>
      </c>
      <c r="C16">
        <v>145.9</v>
      </c>
      <c r="D16">
        <v>140.19999999999999</v>
      </c>
      <c r="E16">
        <v>141.19999999999999</v>
      </c>
      <c r="F16">
        <v>71880.782999999996</v>
      </c>
      <c r="G16">
        <v>141.19999999999999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-0.64912280701754488</v>
      </c>
      <c r="Q16">
        <f t="shared" ref="Q16" si="56">F16*P16</f>
        <v>-46659.455631579018</v>
      </c>
      <c r="R16">
        <f t="shared" ref="R16" si="57">R17+Q16</f>
        <v>21911922.475900609</v>
      </c>
      <c r="S16">
        <f t="shared" ref="S16" si="58">R16/100000</f>
        <v>219.1192247590061</v>
      </c>
      <c r="T16">
        <f t="shared" ref="T16" si="59">S16/1000</f>
        <v>0.21911922475900611</v>
      </c>
    </row>
    <row r="17" spans="1:20" x14ac:dyDescent="0.25">
      <c r="A17" s="5">
        <v>44576</v>
      </c>
      <c r="B17">
        <v>142.5</v>
      </c>
      <c r="C17">
        <v>146.69999999999999</v>
      </c>
      <c r="D17">
        <v>141</v>
      </c>
      <c r="E17">
        <v>144.4</v>
      </c>
      <c r="F17">
        <v>120500.258</v>
      </c>
      <c r="G17">
        <v>144.4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0.19298245614035525</v>
      </c>
      <c r="Q17">
        <f t="shared" ref="Q17" si="61">F17*P17</f>
        <v>23254.435754386493</v>
      </c>
      <c r="R17">
        <f t="shared" ref="R17" si="62">R18+Q17</f>
        <v>21958581.931532189</v>
      </c>
      <c r="S17">
        <f t="shared" ref="S17" si="63">R17/100000</f>
        <v>219.58581931532188</v>
      </c>
      <c r="T17">
        <f t="shared" ref="T17" si="64">S17/1000</f>
        <v>0.2195858193153219</v>
      </c>
    </row>
    <row r="18" spans="1:20" x14ac:dyDescent="0.25">
      <c r="A18" s="5">
        <v>44575</v>
      </c>
      <c r="B18">
        <v>143.19999999999999</v>
      </c>
      <c r="C18">
        <v>144.9</v>
      </c>
      <c r="D18">
        <v>136.69999999999999</v>
      </c>
      <c r="E18">
        <v>142.4</v>
      </c>
      <c r="F18">
        <v>201280.79300000001</v>
      </c>
      <c r="G18">
        <v>142.4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0.39024390243902568</v>
      </c>
      <c r="Q18">
        <f t="shared" ref="Q18" si="66">F18*P18</f>
        <v>78548.602146341727</v>
      </c>
      <c r="R18">
        <f t="shared" ref="R18" si="67">R19+Q18</f>
        <v>21935327.495777804</v>
      </c>
      <c r="S18">
        <f t="shared" ref="S18" si="68">R18/100000</f>
        <v>219.35327495777804</v>
      </c>
      <c r="T18">
        <f t="shared" ref="T18" si="69">S18/1000</f>
        <v>0.21935327495777804</v>
      </c>
    </row>
    <row r="19" spans="1:20" x14ac:dyDescent="0.25">
      <c r="A19" s="5">
        <v>44574</v>
      </c>
      <c r="B19">
        <v>144.4</v>
      </c>
      <c r="C19">
        <v>149.9</v>
      </c>
      <c r="D19">
        <v>140.5</v>
      </c>
      <c r="E19">
        <v>143.30000000000001</v>
      </c>
      <c r="F19">
        <v>229378.04199999999</v>
      </c>
      <c r="G19">
        <v>143.30000000000001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-0.40425531914893409</v>
      </c>
      <c r="Q19">
        <f t="shared" ref="Q19" si="71">F19*P19</f>
        <v>-92727.293574467607</v>
      </c>
      <c r="R19">
        <f t="shared" ref="R19" si="72">R20+Q19</f>
        <v>21856778.893631462</v>
      </c>
      <c r="S19">
        <f t="shared" ref="S19" si="73">R19/100000</f>
        <v>218.56778893631463</v>
      </c>
      <c r="T19">
        <f t="shared" ref="T19" si="74">S19/1000</f>
        <v>0.21856778893631462</v>
      </c>
    </row>
    <row r="20" spans="1:20" x14ac:dyDescent="0.25">
      <c r="A20" s="5">
        <v>44573</v>
      </c>
      <c r="B20">
        <v>141.30000000000001</v>
      </c>
      <c r="C20">
        <v>147.80000000000001</v>
      </c>
      <c r="D20">
        <v>140.69999999999999</v>
      </c>
      <c r="E20">
        <v>144.5</v>
      </c>
      <c r="F20">
        <v>184369.802</v>
      </c>
      <c r="G20">
        <v>144.5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7.0422535211267387E-2</v>
      </c>
      <c r="Q20">
        <f t="shared" ref="Q20" si="76">F20*P20</f>
        <v>12983.788873239397</v>
      </c>
      <c r="R20">
        <f t="shared" ref="R20" si="77">R21+Q20</f>
        <v>21949506.187205929</v>
      </c>
      <c r="S20">
        <f t="shared" ref="S20" si="78">R20/100000</f>
        <v>219.4950618720593</v>
      </c>
      <c r="T20">
        <f t="shared" ref="T20" si="79">S20/1000</f>
        <v>0.2194950618720593</v>
      </c>
    </row>
    <row r="21" spans="1:20" x14ac:dyDescent="0.25">
      <c r="A21" s="5">
        <v>44572</v>
      </c>
      <c r="B21">
        <v>141.30000000000001</v>
      </c>
      <c r="C21">
        <v>145.6</v>
      </c>
      <c r="D21">
        <v>137.80000000000001</v>
      </c>
      <c r="E21">
        <v>141.30000000000001</v>
      </c>
      <c r="F21">
        <v>250264.33100000001</v>
      </c>
      <c r="G21">
        <v>141.30000000000001</v>
      </c>
      <c r="L21" t="s">
        <v>7</v>
      </c>
      <c r="M21" t="s">
        <v>8</v>
      </c>
      <c r="N21" t="s">
        <v>7</v>
      </c>
      <c r="P21">
        <f t="shared" ref="P21" si="80">IF(C21=D21,0,((E21-D21)-(C21-E21))/(C21-D21))</f>
        <v>-0.1025641025641006</v>
      </c>
      <c r="Q21">
        <f t="shared" ref="Q21" si="81">F21*P21</f>
        <v>-25668.136512820023</v>
      </c>
      <c r="R21">
        <f t="shared" ref="R21" si="82">R22+Q21</f>
        <v>21936522.398332689</v>
      </c>
      <c r="S21">
        <f t="shared" ref="S21" si="83">R21/100000</f>
        <v>219.3652239833269</v>
      </c>
      <c r="T21">
        <f t="shared" ref="T21" si="84">S21/1000</f>
        <v>0.21936522398332689</v>
      </c>
    </row>
    <row r="22" spans="1:20" x14ac:dyDescent="0.25">
      <c r="A22" s="5">
        <v>44571</v>
      </c>
      <c r="B22">
        <v>144.19999999999999</v>
      </c>
      <c r="C22">
        <v>148.9</v>
      </c>
      <c r="D22">
        <v>136.30000000000001</v>
      </c>
      <c r="E22">
        <v>141.30000000000001</v>
      </c>
      <c r="F22">
        <v>478153.14399999997</v>
      </c>
      <c r="G22">
        <v>141.30000000000001</v>
      </c>
      <c r="L22" t="s">
        <v>8</v>
      </c>
      <c r="M22" t="s">
        <v>8</v>
      </c>
      <c r="N22" t="s">
        <v>7</v>
      </c>
      <c r="P22">
        <f t="shared" ref="P22" si="85">IF(C22=D22,0,((E22-D22)-(C22-E22))/(C22-D22))</f>
        <v>-0.206349206349206</v>
      </c>
      <c r="Q22">
        <f t="shared" ref="Q22" si="86">F22*P22</f>
        <v>-98666.521777777612</v>
      </c>
      <c r="R22">
        <f t="shared" ref="R22" si="87">R23+Q22</f>
        <v>21962190.534845509</v>
      </c>
      <c r="S22">
        <f t="shared" ref="S22" si="88">R22/100000</f>
        <v>219.62190534845507</v>
      </c>
      <c r="T22">
        <f t="shared" ref="T22" si="89">S22/1000</f>
        <v>0.21962190534845508</v>
      </c>
    </row>
    <row r="23" spans="1:20" x14ac:dyDescent="0.25">
      <c r="A23" s="5">
        <v>44570</v>
      </c>
      <c r="B23">
        <v>143.5</v>
      </c>
      <c r="C23">
        <v>147</v>
      </c>
      <c r="D23">
        <v>133.30000000000001</v>
      </c>
      <c r="E23">
        <v>144.1</v>
      </c>
      <c r="F23">
        <v>447964.64</v>
      </c>
      <c r="G23">
        <v>144.1</v>
      </c>
      <c r="L23" t="s">
        <v>7</v>
      </c>
      <c r="M23" t="s">
        <v>8</v>
      </c>
      <c r="N23" t="s">
        <v>7</v>
      </c>
      <c r="P23">
        <f t="shared" ref="P23" si="90">IF(C23=D23,0,((E23-D23)-(C23-E23))/(C23-D23))</f>
        <v>0.57664233576642221</v>
      </c>
      <c r="Q23">
        <f t="shared" ref="Q23" si="91">F23*P23</f>
        <v>258315.37635036444</v>
      </c>
      <c r="R23">
        <f t="shared" ref="R23" si="92">R24+Q23</f>
        <v>22060857.056623287</v>
      </c>
      <c r="S23">
        <f t="shared" ref="S23" si="93">R23/100000</f>
        <v>220.60857056623288</v>
      </c>
      <c r="T23">
        <f t="shared" ref="T23" si="94">S23/1000</f>
        <v>0.2206085705662329</v>
      </c>
    </row>
    <row r="24" spans="1:20" x14ac:dyDescent="0.25">
      <c r="A24" s="5">
        <v>44569</v>
      </c>
      <c r="B24">
        <v>139.6</v>
      </c>
      <c r="C24">
        <v>156.1</v>
      </c>
      <c r="D24">
        <v>136</v>
      </c>
      <c r="E24">
        <v>143.6</v>
      </c>
      <c r="F24">
        <v>497296.56599999999</v>
      </c>
      <c r="G24">
        <v>143.6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-0.24378109452736355</v>
      </c>
      <c r="Q24">
        <f t="shared" ref="Q24" si="96">F24*P24</f>
        <v>-121231.50116417928</v>
      </c>
      <c r="R24">
        <f t="shared" ref="R24" si="97">R25+Q24</f>
        <v>21802541.680272922</v>
      </c>
      <c r="S24">
        <f t="shared" ref="S24" si="98">R24/100000</f>
        <v>218.02541680272921</v>
      </c>
      <c r="T24">
        <f t="shared" ref="T24" si="99">S24/1000</f>
        <v>0.21802541680272922</v>
      </c>
    </row>
    <row r="25" spans="1:20" x14ac:dyDescent="0.25">
      <c r="A25" s="5">
        <v>44568</v>
      </c>
      <c r="B25">
        <v>137.30000000000001</v>
      </c>
      <c r="C25">
        <v>143.5</v>
      </c>
      <c r="D25">
        <v>130.6</v>
      </c>
      <c r="E25">
        <v>139.6</v>
      </c>
      <c r="F25">
        <v>446165.96399999998</v>
      </c>
      <c r="G25">
        <v>139.6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0.3953488372093017</v>
      </c>
      <c r="Q25">
        <f t="shared" ref="Q25" si="101">F25*P25</f>
        <v>176391.19506976716</v>
      </c>
      <c r="R25">
        <f t="shared" ref="R25" si="102">R26+Q25</f>
        <v>21923773.181437101</v>
      </c>
      <c r="S25">
        <f t="shared" ref="S25" si="103">R25/100000</f>
        <v>219.23773181437102</v>
      </c>
      <c r="T25">
        <f t="shared" ref="T25" si="104">S25/1000</f>
        <v>0.21923773181437101</v>
      </c>
    </row>
    <row r="26" spans="1:20" x14ac:dyDescent="0.25">
      <c r="A26" s="5">
        <v>44567</v>
      </c>
      <c r="B26">
        <v>136.9</v>
      </c>
      <c r="C26">
        <v>138.80000000000001</v>
      </c>
      <c r="D26">
        <v>129.69999999999999</v>
      </c>
      <c r="E26">
        <v>137.4</v>
      </c>
      <c r="F26">
        <v>280815.01799999998</v>
      </c>
      <c r="G26">
        <v>137.4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0.69230769230769185</v>
      </c>
      <c r="Q26">
        <f t="shared" ref="Q26" si="106">F26*P26</f>
        <v>194410.39707692293</v>
      </c>
      <c r="R26">
        <f t="shared" ref="R26" si="107">R27+Q26</f>
        <v>21747381.986367334</v>
      </c>
      <c r="S26">
        <f t="shared" ref="S26" si="108">R26/100000</f>
        <v>217.47381986367333</v>
      </c>
      <c r="T26">
        <f t="shared" ref="T26" si="109">S26/1000</f>
        <v>0.21747381986367334</v>
      </c>
    </row>
    <row r="27" spans="1:20" x14ac:dyDescent="0.25">
      <c r="A27" s="5">
        <v>44566</v>
      </c>
      <c r="B27">
        <v>147.30000000000001</v>
      </c>
      <c r="C27">
        <v>151.30000000000001</v>
      </c>
      <c r="D27">
        <v>127.5</v>
      </c>
      <c r="E27">
        <v>136.80000000000001</v>
      </c>
      <c r="F27">
        <v>250219.67499999999</v>
      </c>
      <c r="G27">
        <v>136.80000000000001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-0.21848739495798261</v>
      </c>
      <c r="Q27">
        <f t="shared" ref="Q27" si="111">F27*P27</f>
        <v>-54669.844957983049</v>
      </c>
      <c r="R27">
        <f t="shared" ref="R27" si="112">R28+Q27</f>
        <v>21552971.58929041</v>
      </c>
      <c r="S27">
        <f t="shared" ref="S27" si="113">R27/100000</f>
        <v>215.52971589290411</v>
      </c>
      <c r="T27">
        <f t="shared" ref="T27" si="114">S27/1000</f>
        <v>0.21552971589290409</v>
      </c>
    </row>
    <row r="28" spans="1:20" x14ac:dyDescent="0.25">
      <c r="A28" s="5">
        <v>44565</v>
      </c>
      <c r="B28">
        <v>150.5</v>
      </c>
      <c r="C28">
        <v>156.19999999999999</v>
      </c>
      <c r="D28">
        <v>147.19999999999999</v>
      </c>
      <c r="E28">
        <v>147.30000000000001</v>
      </c>
      <c r="F28">
        <v>172926.13800000001</v>
      </c>
      <c r="G28">
        <v>147.30000000000001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-0.97777777777777275</v>
      </c>
      <c r="Q28">
        <f t="shared" ref="Q28" si="116">F28*P28</f>
        <v>-169083.33493333246</v>
      </c>
      <c r="R28">
        <f t="shared" ref="R28" si="117">R29+Q28</f>
        <v>21607641.434248392</v>
      </c>
      <c r="S28">
        <f t="shared" ref="S28" si="118">R28/100000</f>
        <v>216.07641434248393</v>
      </c>
      <c r="T28">
        <f t="shared" ref="T28" si="119">S28/1000</f>
        <v>0.21607641434248392</v>
      </c>
    </row>
    <row r="29" spans="1:20" x14ac:dyDescent="0.25">
      <c r="A29" s="5">
        <v>44564</v>
      </c>
      <c r="B29">
        <v>153</v>
      </c>
      <c r="C29">
        <v>154.19999999999999</v>
      </c>
      <c r="D29">
        <v>146.80000000000001</v>
      </c>
      <c r="E29">
        <v>150.5</v>
      </c>
      <c r="F29">
        <v>82365.793000000005</v>
      </c>
      <c r="G29">
        <v>150.5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</v>
      </c>
      <c r="Q29">
        <f t="shared" ref="Q29" si="121">F29*P29</f>
        <v>0</v>
      </c>
      <c r="R29">
        <f t="shared" ref="R29" si="122">R30+Q29</f>
        <v>21776724.769181725</v>
      </c>
      <c r="S29">
        <f t="shared" ref="S29" si="123">R29/100000</f>
        <v>217.76724769181723</v>
      </c>
      <c r="T29">
        <f t="shared" ref="T29" si="124">S29/1000</f>
        <v>0.21776724769181724</v>
      </c>
    </row>
    <row r="30" spans="1:20" x14ac:dyDescent="0.25">
      <c r="A30" s="5">
        <v>44563</v>
      </c>
      <c r="B30">
        <v>150.30000000000001</v>
      </c>
      <c r="C30">
        <v>155.6</v>
      </c>
      <c r="D30">
        <v>147.19999999999999</v>
      </c>
      <c r="E30">
        <v>153</v>
      </c>
      <c r="F30">
        <v>113366.198</v>
      </c>
      <c r="G30">
        <v>153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0.38095238095238271</v>
      </c>
      <c r="Q30">
        <f t="shared" ref="Q30" si="126">F30*P30</f>
        <v>43187.12304761925</v>
      </c>
      <c r="R30">
        <f t="shared" ref="R30" si="127">R31+Q30</f>
        <v>21776724.769181725</v>
      </c>
      <c r="S30">
        <f t="shared" ref="S30" si="128">R30/100000</f>
        <v>217.76724769181723</v>
      </c>
      <c r="T30">
        <f t="shared" ref="T30" si="129">S30/1000</f>
        <v>0.21776724769181724</v>
      </c>
    </row>
    <row r="31" spans="1:20" x14ac:dyDescent="0.25">
      <c r="A31" s="5">
        <v>44562</v>
      </c>
      <c r="B31">
        <v>146.5</v>
      </c>
      <c r="C31">
        <v>151</v>
      </c>
      <c r="D31">
        <v>145.6</v>
      </c>
      <c r="E31">
        <v>150.30000000000001</v>
      </c>
      <c r="F31">
        <v>84406.952999999994</v>
      </c>
      <c r="G31">
        <v>150.30000000000001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0.74074074074074525</v>
      </c>
      <c r="Q31">
        <f t="shared" ref="Q31" si="131">F31*P31</f>
        <v>62523.668888889268</v>
      </c>
      <c r="R31">
        <f t="shared" ref="R31" si="132">R32+Q31</f>
        <v>21733537.646134105</v>
      </c>
      <c r="S31">
        <f t="shared" ref="S31" si="133">R31/100000</f>
        <v>217.33537646134104</v>
      </c>
      <c r="T31">
        <f t="shared" ref="T31" si="134">S31/1000</f>
        <v>0.21733537646134105</v>
      </c>
    </row>
    <row r="32" spans="1:20" x14ac:dyDescent="0.25">
      <c r="A32" s="5">
        <v>44561</v>
      </c>
      <c r="B32">
        <v>153.69999999999999</v>
      </c>
      <c r="C32">
        <v>157.19999999999999</v>
      </c>
      <c r="D32">
        <v>143.19999999999999</v>
      </c>
      <c r="E32">
        <v>146.5</v>
      </c>
      <c r="F32">
        <v>162571.66500000001</v>
      </c>
      <c r="G32">
        <v>146.5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-0.52857142857142692</v>
      </c>
      <c r="Q32">
        <f t="shared" ref="Q32" si="136">F32*P32</f>
        <v>-85930.737214285444</v>
      </c>
      <c r="R32">
        <f t="shared" ref="R32" si="137">R33+Q32</f>
        <v>21671013.977245215</v>
      </c>
      <c r="S32">
        <f t="shared" ref="S32" si="138">R32/100000</f>
        <v>216.71013977245215</v>
      </c>
      <c r="T32">
        <f t="shared" ref="T32" si="139">S32/1000</f>
        <v>0.21671013977245215</v>
      </c>
    </row>
    <row r="33" spans="1:20" x14ac:dyDescent="0.25">
      <c r="A33" s="5">
        <v>44560</v>
      </c>
      <c r="B33">
        <v>146.6</v>
      </c>
      <c r="C33">
        <v>154</v>
      </c>
      <c r="D33">
        <v>143.69999999999999</v>
      </c>
      <c r="E33">
        <v>153.69999999999999</v>
      </c>
      <c r="F33">
        <v>208241.035</v>
      </c>
      <c r="G33">
        <v>153.69999999999999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0.94174757281553179</v>
      </c>
      <c r="Q33">
        <f t="shared" ref="Q33" si="141">F33*P33</f>
        <v>196110.48927184421</v>
      </c>
      <c r="R33">
        <f t="shared" ref="R33" si="142">R34+Q33</f>
        <v>21756944.714459501</v>
      </c>
      <c r="S33">
        <f t="shared" ref="S33" si="143">R33/100000</f>
        <v>217.56944714459502</v>
      </c>
      <c r="T33">
        <f t="shared" ref="T33" si="144">S33/1000</f>
        <v>0.21756944714459503</v>
      </c>
    </row>
    <row r="34" spans="1:20" x14ac:dyDescent="0.25">
      <c r="A34" s="5">
        <v>44559</v>
      </c>
      <c r="B34">
        <v>149.69999999999999</v>
      </c>
      <c r="C34">
        <v>151.5</v>
      </c>
      <c r="D34">
        <v>140.9</v>
      </c>
      <c r="E34">
        <v>146.6</v>
      </c>
      <c r="F34">
        <v>251112.55600000001</v>
      </c>
      <c r="G34">
        <v>146.6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7.5471698113205976E-2</v>
      </c>
      <c r="Q34">
        <f t="shared" ref="Q34" si="146">F34*P34</f>
        <v>18951.891018867529</v>
      </c>
      <c r="R34">
        <f t="shared" ref="R34" si="147">R35+Q34</f>
        <v>21560834.225187656</v>
      </c>
      <c r="S34">
        <f t="shared" ref="S34" si="148">R34/100000</f>
        <v>215.60834225187656</v>
      </c>
      <c r="T34">
        <f t="shared" ref="T34" si="149">S34/1000</f>
        <v>0.21560834225187656</v>
      </c>
    </row>
    <row r="35" spans="1:20" x14ac:dyDescent="0.25">
      <c r="A35" s="5">
        <v>44558</v>
      </c>
      <c r="B35">
        <v>169.6</v>
      </c>
      <c r="C35">
        <v>170.6</v>
      </c>
      <c r="D35">
        <v>148.4</v>
      </c>
      <c r="E35">
        <v>149.69999999999999</v>
      </c>
      <c r="F35">
        <v>265409.005</v>
      </c>
      <c r="G35">
        <v>149.69999999999999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-0.88288288288288441</v>
      </c>
      <c r="Q35">
        <f t="shared" ref="Q35" si="151">F35*P35</f>
        <v>-234325.06747747789</v>
      </c>
      <c r="R35">
        <f t="shared" ref="R35" si="152">R36+Q35</f>
        <v>21541882.334168788</v>
      </c>
      <c r="S35">
        <f t="shared" ref="S35" si="153">R35/100000</f>
        <v>215.41882334168787</v>
      </c>
      <c r="T35">
        <f t="shared" ref="T35" si="154">S35/1000</f>
        <v>0.21541882334168788</v>
      </c>
    </row>
    <row r="36" spans="1:20" x14ac:dyDescent="0.25">
      <c r="A36" s="5">
        <v>44557</v>
      </c>
      <c r="B36">
        <v>167.6</v>
      </c>
      <c r="C36">
        <v>173.6</v>
      </c>
      <c r="D36">
        <v>166.3</v>
      </c>
      <c r="E36">
        <v>169.5</v>
      </c>
      <c r="F36">
        <v>140517.55600000001</v>
      </c>
      <c r="G36">
        <v>169.5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-0.12328767123287777</v>
      </c>
      <c r="Q36">
        <f t="shared" ref="Q36" si="156">F36*P36</f>
        <v>-17324.082246575494</v>
      </c>
      <c r="R36">
        <f t="shared" ref="R36" si="157">R37+Q36</f>
        <v>21776207.401646268</v>
      </c>
      <c r="S36">
        <f t="shared" ref="S36" si="158">R36/100000</f>
        <v>217.76207401646266</v>
      </c>
      <c r="T36">
        <f t="shared" ref="T36" si="159">S36/1000</f>
        <v>0.21776207401646266</v>
      </c>
    </row>
    <row r="37" spans="1:20" x14ac:dyDescent="0.25">
      <c r="A37" s="5">
        <v>44556</v>
      </c>
      <c r="B37">
        <v>169.5</v>
      </c>
      <c r="C37">
        <v>172.3</v>
      </c>
      <c r="D37">
        <v>163.4</v>
      </c>
      <c r="E37">
        <v>167.5</v>
      </c>
      <c r="F37">
        <v>149916.033</v>
      </c>
      <c r="G37">
        <v>167.5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-7.8651685393260298E-2</v>
      </c>
      <c r="Q37">
        <f t="shared" ref="Q37" si="161">F37*P37</f>
        <v>-11791.148662921629</v>
      </c>
      <c r="R37">
        <f t="shared" ref="R37" si="162">R38+Q37</f>
        <v>21793531.483892843</v>
      </c>
      <c r="S37">
        <f t="shared" ref="S37" si="163">R37/100000</f>
        <v>217.93531483892843</v>
      </c>
      <c r="T37">
        <f t="shared" ref="T37" si="164">S37/1000</f>
        <v>0.21793531483892845</v>
      </c>
    </row>
    <row r="38" spans="1:20" x14ac:dyDescent="0.25">
      <c r="A38" s="5">
        <v>44555</v>
      </c>
      <c r="B38">
        <v>165.1</v>
      </c>
      <c r="C38">
        <v>172.6</v>
      </c>
      <c r="D38">
        <v>164.1</v>
      </c>
      <c r="E38">
        <v>169.5</v>
      </c>
      <c r="F38">
        <v>170570.16399999999</v>
      </c>
      <c r="G38">
        <v>169.5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0.27058823529411896</v>
      </c>
      <c r="Q38">
        <f t="shared" ref="Q38" si="166">F38*P38</f>
        <v>46154.279670588454</v>
      </c>
      <c r="R38">
        <f t="shared" ref="R38" si="167">R39+Q38</f>
        <v>21805322.632555764</v>
      </c>
      <c r="S38">
        <f t="shared" ref="S38" si="168">R38/100000</f>
        <v>218.05322632555763</v>
      </c>
      <c r="T38">
        <f t="shared" ref="T38" si="169">S38/1000</f>
        <v>0.21805322632555763</v>
      </c>
    </row>
    <row r="39" spans="1:20" x14ac:dyDescent="0.25">
      <c r="A39" s="5">
        <v>44554</v>
      </c>
      <c r="B39">
        <v>167.6</v>
      </c>
      <c r="C39">
        <v>171</v>
      </c>
      <c r="D39">
        <v>162.5</v>
      </c>
      <c r="E39">
        <v>165</v>
      </c>
      <c r="F39">
        <v>183212.04699999999</v>
      </c>
      <c r="G39">
        <v>165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-0.41176470588235292</v>
      </c>
      <c r="Q39">
        <f t="shared" ref="Q39" si="171">F39*P39</f>
        <v>-75440.254647058813</v>
      </c>
      <c r="R39">
        <f t="shared" ref="R39" si="172">R40+Q39</f>
        <v>21759168.352885175</v>
      </c>
      <c r="S39">
        <f t="shared" ref="S39" si="173">R39/100000</f>
        <v>217.59168352885175</v>
      </c>
      <c r="T39">
        <f t="shared" ref="T39" si="174">S39/1000</f>
        <v>0.21759168352885175</v>
      </c>
    </row>
    <row r="40" spans="1:20" x14ac:dyDescent="0.25">
      <c r="A40" s="5">
        <v>44553</v>
      </c>
      <c r="B40">
        <v>165.5</v>
      </c>
      <c r="C40">
        <v>170</v>
      </c>
      <c r="D40">
        <v>156.6</v>
      </c>
      <c r="E40">
        <v>167.6</v>
      </c>
      <c r="F40">
        <v>207711.628</v>
      </c>
      <c r="G40">
        <v>167.6</v>
      </c>
      <c r="L40" t="s">
        <v>7</v>
      </c>
      <c r="M40" t="s">
        <v>8</v>
      </c>
      <c r="N40" t="s">
        <v>8</v>
      </c>
      <c r="P40">
        <f t="shared" ref="P40" si="175">IF(C40=D40,0,((E40-D40)-(C40-E40))/(C40-D40))</f>
        <v>0.6417910447761187</v>
      </c>
      <c r="Q40">
        <f t="shared" ref="Q40" si="176">F40*P40</f>
        <v>133307.46274626852</v>
      </c>
      <c r="R40">
        <f t="shared" ref="R40" si="177">R41+Q40</f>
        <v>21834608.607532233</v>
      </c>
      <c r="S40">
        <f t="shared" ref="S40" si="178">R40/100000</f>
        <v>218.34608607532232</v>
      </c>
      <c r="T40">
        <f t="shared" ref="T40" si="179">S40/1000</f>
        <v>0.21834608607532233</v>
      </c>
    </row>
    <row r="41" spans="1:20" x14ac:dyDescent="0.25">
      <c r="A41" s="5">
        <v>44552</v>
      </c>
      <c r="B41">
        <v>162.30000000000001</v>
      </c>
      <c r="C41">
        <v>169</v>
      </c>
      <c r="D41">
        <v>160.19999999999999</v>
      </c>
      <c r="E41">
        <v>165.5</v>
      </c>
      <c r="F41">
        <v>194542.62700000001</v>
      </c>
      <c r="G41">
        <v>165.5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0.20454545454545559</v>
      </c>
      <c r="Q41">
        <f t="shared" ref="Q41" si="181">F41*P41</f>
        <v>39792.810068182021</v>
      </c>
      <c r="R41">
        <f t="shared" ref="R41" si="182">R42+Q41</f>
        <v>21701301.144785963</v>
      </c>
      <c r="S41">
        <f t="shared" ref="S41" si="183">R41/100000</f>
        <v>217.01301144785964</v>
      </c>
      <c r="T41">
        <f t="shared" ref="T41" si="184">S41/1000</f>
        <v>0.21701301144785964</v>
      </c>
    </row>
    <row r="42" spans="1:20" x14ac:dyDescent="0.25">
      <c r="A42" s="5">
        <v>44551</v>
      </c>
      <c r="B42">
        <v>156.69999999999999</v>
      </c>
      <c r="C42">
        <v>162.80000000000001</v>
      </c>
      <c r="D42">
        <v>155.69999999999999</v>
      </c>
      <c r="E42">
        <v>162.19999999999999</v>
      </c>
      <c r="F42">
        <v>149048.73199999999</v>
      </c>
      <c r="G42">
        <v>162.19999999999999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0.83098591549295187</v>
      </c>
      <c r="Q42">
        <f t="shared" ref="Q42" si="186">F42*P42</f>
        <v>123857.39701408362</v>
      </c>
      <c r="R42">
        <f t="shared" ref="R42" si="187">R43+Q42</f>
        <v>21661508.33471778</v>
      </c>
      <c r="S42">
        <f t="shared" ref="S42" si="188">R42/100000</f>
        <v>216.6150833471778</v>
      </c>
      <c r="T42">
        <f t="shared" ref="T42" si="189">S42/1000</f>
        <v>0.2166150833471778</v>
      </c>
    </row>
    <row r="43" spans="1:20" x14ac:dyDescent="0.25">
      <c r="A43" s="5">
        <v>44550</v>
      </c>
      <c r="B43">
        <v>157.69999999999999</v>
      </c>
      <c r="C43">
        <v>164.4</v>
      </c>
      <c r="D43">
        <v>149.19999999999999</v>
      </c>
      <c r="E43">
        <v>156.69999999999999</v>
      </c>
      <c r="F43">
        <v>278122.89500000002</v>
      </c>
      <c r="G43">
        <v>156.69999999999999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-1.3157894736843213E-2</v>
      </c>
      <c r="Q43">
        <f t="shared" ref="Q43" si="191">F43*P43</f>
        <v>-3659.5117763160979</v>
      </c>
      <c r="R43">
        <f t="shared" ref="R43" si="192">R44+Q43</f>
        <v>21537650.937703695</v>
      </c>
      <c r="S43">
        <f t="shared" ref="S43" si="193">R43/100000</f>
        <v>215.37650937703694</v>
      </c>
      <c r="T43">
        <f t="shared" ref="T43" si="194">S43/1000</f>
        <v>0.21537650937703695</v>
      </c>
    </row>
    <row r="44" spans="1:20" x14ac:dyDescent="0.25">
      <c r="A44" s="5">
        <v>44549</v>
      </c>
      <c r="B44">
        <v>157.6</v>
      </c>
      <c r="C44">
        <v>167.1</v>
      </c>
      <c r="D44">
        <v>155.4</v>
      </c>
      <c r="E44">
        <v>157.80000000000001</v>
      </c>
      <c r="F44">
        <v>192280.57199999999</v>
      </c>
      <c r="G44">
        <v>157.80000000000001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-0.58974358974358843</v>
      </c>
      <c r="Q44">
        <f t="shared" ref="Q44" si="196">F44*P44</f>
        <v>-113396.2347692305</v>
      </c>
      <c r="R44">
        <f t="shared" ref="R44" si="197">R45+Q44</f>
        <v>21541310.449480012</v>
      </c>
      <c r="S44">
        <f t="shared" ref="S44" si="198">R44/100000</f>
        <v>215.41310449480011</v>
      </c>
      <c r="T44">
        <f t="shared" ref="T44" si="199">S44/1000</f>
        <v>0.21541310449480011</v>
      </c>
    </row>
    <row r="45" spans="1:20" x14ac:dyDescent="0.25">
      <c r="A45" s="5">
        <v>44548</v>
      </c>
      <c r="B45">
        <v>149.9</v>
      </c>
      <c r="C45">
        <v>165.3</v>
      </c>
      <c r="D45">
        <v>149.19999999999999</v>
      </c>
      <c r="E45">
        <v>157.6</v>
      </c>
      <c r="F45">
        <v>216533.31099999999</v>
      </c>
      <c r="G45">
        <v>157.6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4.3478260869564453E-2</v>
      </c>
      <c r="Q45">
        <f t="shared" ref="Q45" si="201">F45*P45</f>
        <v>9414.4917826085293</v>
      </c>
      <c r="R45">
        <f t="shared" ref="R45" si="202">R46+Q45</f>
        <v>21654706.684249241</v>
      </c>
      <c r="S45">
        <f t="shared" ref="S45" si="203">R45/100000</f>
        <v>216.5470668424924</v>
      </c>
      <c r="T45">
        <f t="shared" ref="T45" si="204">S45/1000</f>
        <v>0.21654706684249239</v>
      </c>
    </row>
    <row r="46" spans="1:20" x14ac:dyDescent="0.25">
      <c r="A46" s="5">
        <v>44547</v>
      </c>
      <c r="B46">
        <v>152.19999999999999</v>
      </c>
      <c r="C46">
        <v>154.19999999999999</v>
      </c>
      <c r="D46">
        <v>145.1</v>
      </c>
      <c r="E46">
        <v>149.9</v>
      </c>
      <c r="F46">
        <v>203427.117</v>
      </c>
      <c r="G46">
        <v>149.9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5.4945054945058101E-2</v>
      </c>
      <c r="Q46">
        <f t="shared" ref="Q46" si="206">F46*P46</f>
        <v>11177.314120879762</v>
      </c>
      <c r="R46">
        <f t="shared" ref="R46" si="207">R47+Q46</f>
        <v>21645292.192466632</v>
      </c>
      <c r="S46">
        <f t="shared" ref="S46" si="208">R46/100000</f>
        <v>216.45292192466633</v>
      </c>
      <c r="T46">
        <f t="shared" ref="T46" si="209">S46/1000</f>
        <v>0.21645292192466634</v>
      </c>
    </row>
    <row r="47" spans="1:20" x14ac:dyDescent="0.25">
      <c r="A47" s="5">
        <v>44546</v>
      </c>
      <c r="B47">
        <v>159.6</v>
      </c>
      <c r="C47">
        <v>166.9</v>
      </c>
      <c r="D47">
        <v>151.19999999999999</v>
      </c>
      <c r="E47">
        <v>152.30000000000001</v>
      </c>
      <c r="F47">
        <v>231841.42499999999</v>
      </c>
      <c r="G47">
        <v>152.30000000000001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-0.85987261146496541</v>
      </c>
      <c r="Q47">
        <f t="shared" ref="Q47" si="211">F47*P47</f>
        <v>-199354.09156050891</v>
      </c>
      <c r="R47">
        <f t="shared" ref="R47" si="212">R48+Q47</f>
        <v>21634114.87834575</v>
      </c>
      <c r="S47">
        <f t="shared" ref="S47" si="213">R47/100000</f>
        <v>216.3411487834575</v>
      </c>
      <c r="T47">
        <f t="shared" ref="T47" si="214">S47/1000</f>
        <v>0.2163411487834575</v>
      </c>
    </row>
    <row r="48" spans="1:20" x14ac:dyDescent="0.25">
      <c r="A48" s="5">
        <v>44545</v>
      </c>
      <c r="B48">
        <v>151.5</v>
      </c>
      <c r="C48">
        <v>162.5</v>
      </c>
      <c r="D48">
        <v>143.30000000000001</v>
      </c>
      <c r="E48">
        <v>159.5</v>
      </c>
      <c r="F48">
        <v>328395.04100000003</v>
      </c>
      <c r="G48">
        <v>159.5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0.68749999999999978</v>
      </c>
      <c r="Q48">
        <f t="shared" ref="Q48" si="216">F48*P48</f>
        <v>225771.59068749993</v>
      </c>
      <c r="R48">
        <f t="shared" ref="R48" si="217">R49+Q48</f>
        <v>21833468.969906259</v>
      </c>
      <c r="S48">
        <f t="shared" ref="S48" si="218">R48/100000</f>
        <v>218.33468969906258</v>
      </c>
      <c r="T48">
        <f t="shared" ref="T48" si="219">S48/1000</f>
        <v>0.21833468969906258</v>
      </c>
    </row>
    <row r="49" spans="1:20" x14ac:dyDescent="0.25">
      <c r="A49" s="5">
        <v>44544</v>
      </c>
      <c r="B49">
        <v>147.9</v>
      </c>
      <c r="C49">
        <v>155.9</v>
      </c>
      <c r="D49">
        <v>143.5</v>
      </c>
      <c r="E49">
        <v>151.6</v>
      </c>
      <c r="F49">
        <v>320545.66899999999</v>
      </c>
      <c r="G49">
        <v>151.6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0.30645161290322431</v>
      </c>
      <c r="Q49">
        <f t="shared" ref="Q49" si="221">F49*P49</f>
        <v>98231.737274193074</v>
      </c>
      <c r="R49">
        <f t="shared" ref="R49" si="222">R50+Q49</f>
        <v>21607697.379218761</v>
      </c>
      <c r="S49">
        <f t="shared" ref="S49" si="223">R49/100000</f>
        <v>216.0769737921876</v>
      </c>
      <c r="T49">
        <f t="shared" ref="T49" si="224">S49/1000</f>
        <v>0.2160769737921876</v>
      </c>
    </row>
    <row r="50" spans="1:20" x14ac:dyDescent="0.25">
      <c r="A50" s="5">
        <v>44543</v>
      </c>
      <c r="B50">
        <v>169.6</v>
      </c>
      <c r="C50">
        <v>172.3</v>
      </c>
      <c r="D50">
        <v>145.80000000000001</v>
      </c>
      <c r="E50">
        <v>147.9</v>
      </c>
      <c r="F50">
        <v>376739.07900000003</v>
      </c>
      <c r="G50">
        <v>147.9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-0.84150943396226463</v>
      </c>
      <c r="Q50">
        <f t="shared" ref="Q50" si="226">F50*P50</f>
        <v>-317029.48912075494</v>
      </c>
      <c r="R50">
        <f t="shared" ref="R50" si="227">R51+Q50</f>
        <v>21509465.641944569</v>
      </c>
      <c r="S50">
        <f t="shared" ref="S50" si="228">R50/100000</f>
        <v>215.0946564194457</v>
      </c>
      <c r="T50">
        <f t="shared" ref="T50" si="229">S50/1000</f>
        <v>0.2150946564194457</v>
      </c>
    </row>
    <row r="51" spans="1:20" x14ac:dyDescent="0.25">
      <c r="A51" s="5">
        <v>44542</v>
      </c>
      <c r="B51">
        <v>168.3</v>
      </c>
      <c r="C51">
        <v>173</v>
      </c>
      <c r="D51">
        <v>160.9</v>
      </c>
      <c r="E51">
        <v>169.6</v>
      </c>
      <c r="F51">
        <v>187948.397</v>
      </c>
      <c r="G51">
        <v>169.6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0.43801652892561865</v>
      </c>
      <c r="Q51">
        <f t="shared" ref="Q51" si="231">F51*P51</f>
        <v>82324.504471074164</v>
      </c>
      <c r="R51">
        <f t="shared" ref="R51" si="232">R52+Q51</f>
        <v>21826495.131065324</v>
      </c>
      <c r="S51">
        <f t="shared" ref="S51" si="233">R51/100000</f>
        <v>218.26495131065323</v>
      </c>
      <c r="T51">
        <f t="shared" ref="T51" si="234">S51/1000</f>
        <v>0.21826495131065324</v>
      </c>
    </row>
    <row r="52" spans="1:20" x14ac:dyDescent="0.25">
      <c r="A52" s="5">
        <v>44541</v>
      </c>
      <c r="B52">
        <v>159.5</v>
      </c>
      <c r="C52">
        <v>161.9</v>
      </c>
      <c r="D52">
        <v>155.6</v>
      </c>
      <c r="E52">
        <v>160.9</v>
      </c>
      <c r="F52">
        <v>27413.172999999999</v>
      </c>
      <c r="G52">
        <v>160.9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0.68253968253968311</v>
      </c>
      <c r="Q52">
        <f t="shared" ref="Q52" si="236">F52*P52</f>
        <v>18710.578396825411</v>
      </c>
      <c r="R52">
        <f t="shared" ref="R52" si="237">R53+Q52</f>
        <v>21744170.626594249</v>
      </c>
      <c r="S52">
        <f t="shared" ref="S52" si="238">R52/100000</f>
        <v>217.44170626594249</v>
      </c>
      <c r="T52">
        <f t="shared" ref="T52" si="239">S52/1000</f>
        <v>0.21744170626594247</v>
      </c>
    </row>
    <row r="53" spans="1:20" x14ac:dyDescent="0.25">
      <c r="A53" s="5">
        <v>44540</v>
      </c>
      <c r="B53">
        <v>164</v>
      </c>
      <c r="C53">
        <v>174.1</v>
      </c>
      <c r="D53">
        <v>158.69999999999999</v>
      </c>
      <c r="E53">
        <v>159.4</v>
      </c>
      <c r="F53">
        <v>344026.28600000002</v>
      </c>
      <c r="G53">
        <v>159.4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-0.90909090909090695</v>
      </c>
      <c r="Q53">
        <f t="shared" ref="Q53" si="241">F53*P53</f>
        <v>-312751.16909090837</v>
      </c>
      <c r="R53">
        <f t="shared" ref="R53" si="242">R54+Q53</f>
        <v>21725460.048197422</v>
      </c>
      <c r="S53">
        <f t="shared" ref="S53" si="243">R53/100000</f>
        <v>217.25460048197422</v>
      </c>
      <c r="T53">
        <f t="shared" ref="T53" si="244">S53/1000</f>
        <v>0.21725460048197423</v>
      </c>
    </row>
    <row r="54" spans="1:20" x14ac:dyDescent="0.25">
      <c r="A54" s="5">
        <v>44539</v>
      </c>
      <c r="B54">
        <v>178.9</v>
      </c>
      <c r="C54">
        <v>186.9</v>
      </c>
      <c r="D54">
        <v>161.4</v>
      </c>
      <c r="E54">
        <v>164.1</v>
      </c>
      <c r="F54">
        <v>462024.163</v>
      </c>
      <c r="G54">
        <v>164.1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-0.78823529411764792</v>
      </c>
      <c r="Q54">
        <f t="shared" ref="Q54" si="246">F54*P54</f>
        <v>-364183.75201176509</v>
      </c>
      <c r="R54">
        <f t="shared" ref="R54" si="247">R55+Q54</f>
        <v>22038211.21728833</v>
      </c>
      <c r="S54">
        <f t="shared" ref="S54" si="248">R54/100000</f>
        <v>220.3821121728833</v>
      </c>
      <c r="T54">
        <f t="shared" ref="T54" si="249">S54/1000</f>
        <v>0.22038211217288331</v>
      </c>
    </row>
    <row r="55" spans="1:20" x14ac:dyDescent="0.25">
      <c r="A55" s="5">
        <v>44538</v>
      </c>
      <c r="B55">
        <v>174.1</v>
      </c>
      <c r="C55">
        <v>182.5</v>
      </c>
      <c r="D55">
        <v>166.2</v>
      </c>
      <c r="E55">
        <v>178.8</v>
      </c>
      <c r="F55">
        <v>429752.75099999999</v>
      </c>
      <c r="G55">
        <v>178.8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0.54601226993865204</v>
      </c>
      <c r="Q55">
        <f t="shared" ref="Q55" si="251">F55*P55</f>
        <v>234650.27508589032</v>
      </c>
      <c r="R55">
        <f t="shared" ref="R55" si="252">R56+Q55</f>
        <v>22402394.969300095</v>
      </c>
      <c r="S55">
        <f t="shared" ref="S55" si="253">R55/100000</f>
        <v>224.02394969300096</v>
      </c>
      <c r="T55">
        <f t="shared" ref="T55" si="254">S55/1000</f>
        <v>0.22402394969300096</v>
      </c>
    </row>
    <row r="56" spans="1:20" x14ac:dyDescent="0.25">
      <c r="A56" s="5">
        <v>44537</v>
      </c>
      <c r="B56">
        <v>179.8</v>
      </c>
      <c r="C56">
        <v>186</v>
      </c>
      <c r="D56">
        <v>171.5</v>
      </c>
      <c r="E56">
        <v>174.1</v>
      </c>
      <c r="F56">
        <v>405269.05499999999</v>
      </c>
      <c r="G56">
        <v>174.1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-0.64137931034482842</v>
      </c>
      <c r="Q56">
        <f t="shared" ref="Q56" si="256">F56*P56</f>
        <v>-259931.18700000033</v>
      </c>
      <c r="R56">
        <f t="shared" ref="R56" si="257">R57+Q56</f>
        <v>22167744.694214206</v>
      </c>
      <c r="S56">
        <f t="shared" ref="S56" si="258">R56/100000</f>
        <v>221.67744694214207</v>
      </c>
      <c r="T56">
        <f t="shared" ref="T56" si="259">S56/1000</f>
        <v>0.22167744694214206</v>
      </c>
    </row>
    <row r="57" spans="1:20" x14ac:dyDescent="0.25">
      <c r="A57" s="5">
        <v>44536</v>
      </c>
      <c r="B57">
        <v>182.7</v>
      </c>
      <c r="C57">
        <v>184.8</v>
      </c>
      <c r="D57">
        <v>160</v>
      </c>
      <c r="E57">
        <v>179.8</v>
      </c>
      <c r="F57">
        <v>657163.00899999996</v>
      </c>
      <c r="G57">
        <v>179.8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0.59677419354838723</v>
      </c>
      <c r="Q57">
        <f t="shared" ref="Q57" si="261">F57*P57</f>
        <v>392177.92472580652</v>
      </c>
      <c r="R57">
        <f t="shared" ref="R57" si="262">R58+Q57</f>
        <v>22427675.881214205</v>
      </c>
      <c r="S57">
        <f t="shared" ref="S57" si="263">R57/100000</f>
        <v>224.27675881214205</v>
      </c>
      <c r="T57">
        <f t="shared" ref="T57" si="264">S57/1000</f>
        <v>0.22427675881214204</v>
      </c>
    </row>
    <row r="58" spans="1:20" x14ac:dyDescent="0.25">
      <c r="A58" s="5">
        <v>44535</v>
      </c>
      <c r="B58">
        <v>187.6</v>
      </c>
      <c r="C58">
        <v>194.6</v>
      </c>
      <c r="D58">
        <v>170</v>
      </c>
      <c r="E58">
        <v>182.6</v>
      </c>
      <c r="F58">
        <v>690909.68900000001</v>
      </c>
      <c r="G58">
        <v>182.6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2.43902439024388E-2</v>
      </c>
      <c r="Q58">
        <f t="shared" ref="Q58" si="266">F58*P58</f>
        <v>16851.455829268139</v>
      </c>
      <c r="R58">
        <f t="shared" ref="R58" si="267">R59+Q58</f>
        <v>22035497.956488397</v>
      </c>
      <c r="S58">
        <f t="shared" ref="S58" si="268">R58/100000</f>
        <v>220.35497956488396</v>
      </c>
      <c r="T58">
        <f t="shared" ref="T58" si="269">S58/1000</f>
        <v>0.22035497956488395</v>
      </c>
    </row>
    <row r="59" spans="1:20" x14ac:dyDescent="0.25">
      <c r="A59" s="5">
        <v>44534</v>
      </c>
      <c r="B59">
        <v>206.1</v>
      </c>
      <c r="C59">
        <v>206.6</v>
      </c>
      <c r="D59">
        <v>141.9</v>
      </c>
      <c r="E59">
        <v>187.6</v>
      </c>
      <c r="F59">
        <v>944752.78700000001</v>
      </c>
      <c r="G59">
        <v>187.6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0.41267387944358569</v>
      </c>
      <c r="Q59">
        <f t="shared" ref="Q59" si="271">F59*P59</f>
        <v>389874.79772642959</v>
      </c>
      <c r="R59">
        <f t="shared" ref="R59" si="272">R60+Q59</f>
        <v>22018646.500659131</v>
      </c>
      <c r="S59">
        <f t="shared" ref="S59" si="273">R59/100000</f>
        <v>220.18646500659131</v>
      </c>
      <c r="T59">
        <f t="shared" ref="T59" si="274">S59/1000</f>
        <v>0.22018646500659131</v>
      </c>
    </row>
    <row r="60" spans="1:20" x14ac:dyDescent="0.25">
      <c r="A60" s="5">
        <v>44533</v>
      </c>
      <c r="B60">
        <v>225.4</v>
      </c>
      <c r="C60">
        <v>238.1</v>
      </c>
      <c r="D60">
        <v>200</v>
      </c>
      <c r="E60">
        <v>206.2</v>
      </c>
      <c r="F60">
        <v>475160.31300000002</v>
      </c>
      <c r="G60">
        <v>206.2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-0.67454068241469867</v>
      </c>
      <c r="Q60">
        <f t="shared" ref="Q60" si="276">F60*P60</f>
        <v>-320514.96178740181</v>
      </c>
      <c r="R60">
        <f t="shared" ref="R60" si="277">R61+Q60</f>
        <v>21628771.702932701</v>
      </c>
      <c r="S60">
        <f t="shared" ref="S60" si="278">R60/100000</f>
        <v>216.28771702932701</v>
      </c>
      <c r="T60">
        <f t="shared" ref="T60" si="279">S60/1000</f>
        <v>0.216287717029327</v>
      </c>
    </row>
    <row r="61" spans="1:20" x14ac:dyDescent="0.25">
      <c r="A61" s="5">
        <v>44532</v>
      </c>
      <c r="B61">
        <v>229.8</v>
      </c>
      <c r="C61">
        <v>230.2</v>
      </c>
      <c r="D61">
        <v>213.6</v>
      </c>
      <c r="E61">
        <v>225.4</v>
      </c>
      <c r="F61">
        <v>334159.79800000001</v>
      </c>
      <c r="G61">
        <v>225.4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0.42168674698795366</v>
      </c>
      <c r="Q61">
        <f t="shared" ref="Q61" si="281">F61*P61</f>
        <v>140910.7581927717</v>
      </c>
      <c r="R61">
        <f t="shared" ref="R61" si="282">R62+Q61</f>
        <v>21949286.664720103</v>
      </c>
      <c r="S61">
        <f t="shared" ref="S61" si="283">R61/100000</f>
        <v>219.49286664720103</v>
      </c>
      <c r="T61">
        <f t="shared" ref="T61" si="284">S61/1000</f>
        <v>0.21949286664720102</v>
      </c>
    </row>
    <row r="62" spans="1:20" x14ac:dyDescent="0.25">
      <c r="A62" s="5">
        <v>44531</v>
      </c>
      <c r="B62">
        <v>220.3</v>
      </c>
      <c r="C62">
        <v>248.5</v>
      </c>
      <c r="D62">
        <v>215.8</v>
      </c>
      <c r="E62">
        <v>229.8</v>
      </c>
      <c r="F62">
        <v>612042.63300000003</v>
      </c>
      <c r="G62">
        <v>229.8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-0.14373088685015262</v>
      </c>
      <c r="Q62">
        <f t="shared" ref="Q62" si="286">F62*P62</f>
        <v>-87969.430431192493</v>
      </c>
      <c r="R62">
        <f t="shared" ref="R62" si="287">R63+Q62</f>
        <v>21808375.906527333</v>
      </c>
      <c r="S62">
        <f t="shared" ref="S62" si="288">R62/100000</f>
        <v>218.08375906527334</v>
      </c>
      <c r="T62">
        <f t="shared" ref="T62" si="289">S62/1000</f>
        <v>0.21808375906527333</v>
      </c>
    </row>
    <row r="63" spans="1:20" x14ac:dyDescent="0.25">
      <c r="A63" s="5">
        <v>44530</v>
      </c>
      <c r="B63">
        <v>246.6</v>
      </c>
      <c r="C63">
        <v>247.6</v>
      </c>
      <c r="D63">
        <v>213.9</v>
      </c>
      <c r="E63">
        <v>220.2</v>
      </c>
      <c r="F63">
        <v>618916.02500000002</v>
      </c>
      <c r="G63">
        <v>220.2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-0.62611275964391777</v>
      </c>
      <c r="Q63">
        <f t="shared" ref="Q63" si="291">F63*P63</f>
        <v>-387511.220400594</v>
      </c>
      <c r="R63">
        <f t="shared" ref="R63" si="292">R64+Q63</f>
        <v>21896345.336958524</v>
      </c>
      <c r="S63">
        <f t="shared" ref="S63" si="293">R63/100000</f>
        <v>218.96345336958524</v>
      </c>
      <c r="T63">
        <f t="shared" ref="T63" si="294">S63/1000</f>
        <v>0.21896345336958523</v>
      </c>
    </row>
    <row r="64" spans="1:20" x14ac:dyDescent="0.25">
      <c r="A64" s="5">
        <v>44529</v>
      </c>
      <c r="B64">
        <v>241.1</v>
      </c>
      <c r="C64">
        <v>254.9</v>
      </c>
      <c r="D64">
        <v>237.7</v>
      </c>
      <c r="E64">
        <v>246.7</v>
      </c>
      <c r="F64">
        <v>384722.02</v>
      </c>
      <c r="G64">
        <v>246.7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4.651162790697571E-2</v>
      </c>
      <c r="Q64">
        <f t="shared" ref="Q64" si="296">F64*P64</f>
        <v>17894.047441860068</v>
      </c>
      <c r="R64">
        <f t="shared" ref="R64" si="297">R65+Q64</f>
        <v>22283856.557359118</v>
      </c>
      <c r="S64">
        <f t="shared" ref="S64" si="298">R64/100000</f>
        <v>222.83856557359118</v>
      </c>
      <c r="T64">
        <f t="shared" ref="T64" si="299">S64/1000</f>
        <v>0.22283856557359119</v>
      </c>
    </row>
    <row r="65" spans="1:20" x14ac:dyDescent="0.25">
      <c r="A65" s="5">
        <v>44528</v>
      </c>
      <c r="B65">
        <v>243.4</v>
      </c>
      <c r="C65">
        <v>243.6</v>
      </c>
      <c r="D65">
        <v>215</v>
      </c>
      <c r="E65">
        <v>241.2</v>
      </c>
      <c r="F65">
        <v>519604.58399999997</v>
      </c>
      <c r="G65">
        <v>241.2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0.83216783216783174</v>
      </c>
      <c r="Q65">
        <f t="shared" ref="Q65" si="301">F65*P65</f>
        <v>432398.22025174799</v>
      </c>
      <c r="R65">
        <f t="shared" ref="R65" si="302">R66+Q65</f>
        <v>22265962.509917259</v>
      </c>
      <c r="S65">
        <f t="shared" ref="S65" si="303">R65/100000</f>
        <v>222.65962509917259</v>
      </c>
      <c r="T65">
        <f t="shared" ref="T65" si="304">S65/1000</f>
        <v>0.22265962509917259</v>
      </c>
    </row>
    <row r="66" spans="1:20" x14ac:dyDescent="0.25">
      <c r="A66" s="5">
        <v>44527</v>
      </c>
      <c r="B66">
        <v>246.5</v>
      </c>
      <c r="C66">
        <v>272.39999999999998</v>
      </c>
      <c r="D66">
        <v>239.6</v>
      </c>
      <c r="E66">
        <v>243.5</v>
      </c>
      <c r="F66">
        <v>437329.63299999997</v>
      </c>
      <c r="G66">
        <v>243.5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-0.76219512195121908</v>
      </c>
      <c r="Q66">
        <f t="shared" ref="Q66" si="306">F66*P66</f>
        <v>-333330.51295731688</v>
      </c>
      <c r="R66">
        <f t="shared" ref="R66" si="307">R67+Q66</f>
        <v>21833564.289665513</v>
      </c>
      <c r="S66">
        <f t="shared" ref="S66" si="308">R66/100000</f>
        <v>218.33564289665512</v>
      </c>
      <c r="T66">
        <f t="shared" ref="T66" si="309">S66/1000</f>
        <v>0.21833564289665511</v>
      </c>
    </row>
    <row r="67" spans="1:20" x14ac:dyDescent="0.25">
      <c r="A67" s="5">
        <v>44526</v>
      </c>
      <c r="B67">
        <v>294.5</v>
      </c>
      <c r="C67">
        <v>296.5</v>
      </c>
      <c r="D67">
        <v>241.3</v>
      </c>
      <c r="E67">
        <v>246.6</v>
      </c>
      <c r="F67">
        <v>774688.723</v>
      </c>
      <c r="G67">
        <v>246.6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-0.80797101449275421</v>
      </c>
      <c r="Q67">
        <f t="shared" ref="Q67" si="311">F67*P67</f>
        <v>-625926.0334384063</v>
      </c>
      <c r="R67">
        <f t="shared" ref="R67" si="312">R68+Q67</f>
        <v>22166894.802622829</v>
      </c>
      <c r="S67">
        <f t="shared" ref="S67" si="313">R67/100000</f>
        <v>221.66894802622829</v>
      </c>
      <c r="T67">
        <f t="shared" ref="T67" si="314">S67/1000</f>
        <v>0.2216689480262283</v>
      </c>
    </row>
    <row r="68" spans="1:20" x14ac:dyDescent="0.25">
      <c r="A68" s="5">
        <v>44525</v>
      </c>
      <c r="B68">
        <v>260.89999999999998</v>
      </c>
      <c r="C68">
        <v>305</v>
      </c>
      <c r="D68">
        <v>252</v>
      </c>
      <c r="E68">
        <v>294.5</v>
      </c>
      <c r="F68">
        <v>768448.99849000003</v>
      </c>
      <c r="G68">
        <v>294.5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0.60377358490566035</v>
      </c>
      <c r="Q68">
        <f t="shared" ref="Q68" si="316">F68*P68</f>
        <v>463969.20663547172</v>
      </c>
      <c r="R68">
        <f t="shared" ref="R68" si="317">R69+Q68</f>
        <v>22792820.836061236</v>
      </c>
      <c r="S68">
        <f t="shared" ref="S68" si="318">R68/100000</f>
        <v>227.92820836061236</v>
      </c>
      <c r="T68">
        <f t="shared" ref="T68" si="319">S68/1000</f>
        <v>0.22792820836061237</v>
      </c>
    </row>
    <row r="69" spans="1:20" x14ac:dyDescent="0.25">
      <c r="A69" s="5">
        <v>44524</v>
      </c>
      <c r="B69">
        <v>218.8</v>
      </c>
      <c r="C69">
        <v>260.39999999999998</v>
      </c>
      <c r="D69">
        <v>217.2</v>
      </c>
      <c r="E69">
        <v>251</v>
      </c>
      <c r="F69">
        <v>606813.93863999995</v>
      </c>
      <c r="G69">
        <v>251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0.56481481481481577</v>
      </c>
      <c r="Q69">
        <f t="shared" ref="Q69" si="321">F69*P69</f>
        <v>342737.50238000054</v>
      </c>
      <c r="R69">
        <f t="shared" ref="R69" si="322">R70+Q69</f>
        <v>22328851.629425764</v>
      </c>
      <c r="S69">
        <f t="shared" ref="S69" si="323">R69/100000</f>
        <v>223.28851629425765</v>
      </c>
      <c r="T69">
        <f t="shared" ref="T69" si="324">S69/1000</f>
        <v>0.22328851629425764</v>
      </c>
    </row>
    <row r="70" spans="1:20" x14ac:dyDescent="0.25">
      <c r="A70" s="5">
        <v>44523</v>
      </c>
      <c r="B70">
        <v>205.9</v>
      </c>
      <c r="C70">
        <v>221</v>
      </c>
      <c r="D70">
        <v>195.3</v>
      </c>
      <c r="E70">
        <v>218.7</v>
      </c>
      <c r="F70">
        <v>550768.11399999994</v>
      </c>
      <c r="G70">
        <v>218.7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0.82101167315175005</v>
      </c>
      <c r="Q70">
        <f t="shared" ref="Q70" si="326">F70*P70</f>
        <v>452187.05079377379</v>
      </c>
      <c r="R70">
        <f t="shared" ref="R70" si="327">R71+Q70</f>
        <v>21986114.127045762</v>
      </c>
      <c r="S70">
        <f t="shared" ref="S70" si="328">R70/100000</f>
        <v>219.86114127045761</v>
      </c>
      <c r="T70">
        <f t="shared" ref="T70" si="329">S70/1000</f>
        <v>0.21986114127045761</v>
      </c>
    </row>
    <row r="71" spans="1:20" x14ac:dyDescent="0.25">
      <c r="A71" s="5">
        <v>44522</v>
      </c>
      <c r="B71">
        <v>229.6</v>
      </c>
      <c r="C71">
        <v>237.6</v>
      </c>
      <c r="D71">
        <v>197.6</v>
      </c>
      <c r="E71">
        <v>206</v>
      </c>
      <c r="F71">
        <v>895291.27639999997</v>
      </c>
      <c r="G71">
        <v>206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-0.57999999999999974</v>
      </c>
      <c r="Q71">
        <f t="shared" ref="Q71" si="331">F71*P71</f>
        <v>-519268.94031199976</v>
      </c>
      <c r="R71">
        <f t="shared" ref="R71" si="332">R72+Q71</f>
        <v>21533927.076251987</v>
      </c>
      <c r="S71">
        <f t="shared" ref="S71" si="333">R71/100000</f>
        <v>215.33927076251987</v>
      </c>
      <c r="T71">
        <f t="shared" ref="T71" si="334">S71/1000</f>
        <v>0.21533927076251988</v>
      </c>
    </row>
    <row r="72" spans="1:20" x14ac:dyDescent="0.25">
      <c r="A72" s="5">
        <v>44521</v>
      </c>
      <c r="B72">
        <v>179.4</v>
      </c>
      <c r="C72">
        <v>234.2</v>
      </c>
      <c r="D72">
        <v>176.8</v>
      </c>
      <c r="E72">
        <v>229.4</v>
      </c>
      <c r="F72">
        <v>1179779.0071</v>
      </c>
      <c r="G72">
        <v>229.4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0.8327526132404186</v>
      </c>
      <c r="Q72">
        <f t="shared" ref="Q72" si="336">F72*P72</f>
        <v>982464.05120871146</v>
      </c>
      <c r="R72">
        <f t="shared" ref="R72" si="337">R73+Q72</f>
        <v>22053196.016563985</v>
      </c>
      <c r="S72">
        <f t="shared" ref="S72" si="338">R72/100000</f>
        <v>220.53196016563984</v>
      </c>
      <c r="T72">
        <f t="shared" ref="T72" si="339">S72/1000</f>
        <v>0.22053196016563983</v>
      </c>
    </row>
    <row r="73" spans="1:20" x14ac:dyDescent="0.25">
      <c r="A73" s="5">
        <v>44520</v>
      </c>
      <c r="B73">
        <v>158.80000000000001</v>
      </c>
      <c r="C73">
        <v>188.8</v>
      </c>
      <c r="D73">
        <v>158.69999999999999</v>
      </c>
      <c r="E73">
        <v>179.3</v>
      </c>
      <c r="F73">
        <v>954070.58900000004</v>
      </c>
      <c r="G73">
        <v>179.3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0.3687707641196018</v>
      </c>
      <c r="Q73">
        <f t="shared" ref="Q73" si="341">F73*P73</f>
        <v>351833.34012956859</v>
      </c>
      <c r="R73">
        <f t="shared" ref="R73" si="342">R74+Q73</f>
        <v>21070731.965355273</v>
      </c>
      <c r="S73">
        <f t="shared" ref="S73" si="343">R73/100000</f>
        <v>210.70731965355273</v>
      </c>
      <c r="T73">
        <f t="shared" ref="T73" si="344">S73/1000</f>
        <v>0.21070731965355274</v>
      </c>
    </row>
    <row r="74" spans="1:20" x14ac:dyDescent="0.25">
      <c r="A74" s="5">
        <v>44519</v>
      </c>
      <c r="B74">
        <v>148.19999999999999</v>
      </c>
      <c r="C74">
        <v>164.3</v>
      </c>
      <c r="D74">
        <v>146.19999999999999</v>
      </c>
      <c r="E74">
        <v>158.80000000000001</v>
      </c>
      <c r="F74">
        <v>415595.85800000001</v>
      </c>
      <c r="G74">
        <v>158.80000000000001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0.39226519337016652</v>
      </c>
      <c r="Q74">
        <f t="shared" ref="Q74" si="346">F74*P74</f>
        <v>163023.78960221028</v>
      </c>
      <c r="R74">
        <f t="shared" ref="R74" si="347">R75+Q74</f>
        <v>20718898.625225704</v>
      </c>
      <c r="S74">
        <f t="shared" ref="S74" si="348">R74/100000</f>
        <v>207.18898625225705</v>
      </c>
      <c r="T74">
        <f t="shared" ref="T74" si="349">S74/1000</f>
        <v>0.20718898625225704</v>
      </c>
    </row>
    <row r="75" spans="1:20" x14ac:dyDescent="0.25">
      <c r="A75" s="5">
        <v>44518</v>
      </c>
      <c r="B75">
        <v>159.19999999999999</v>
      </c>
      <c r="C75">
        <v>162.19999999999999</v>
      </c>
      <c r="D75">
        <v>141.19999999999999</v>
      </c>
      <c r="E75">
        <v>148.19999999999999</v>
      </c>
      <c r="F75">
        <v>596382.80000000005</v>
      </c>
      <c r="G75">
        <v>148.19999999999999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-0.33333333333333331</v>
      </c>
      <c r="Q75">
        <f t="shared" ref="Q75" si="351">F75*P75</f>
        <v>-198794.26666666666</v>
      </c>
      <c r="R75">
        <f t="shared" ref="R75" si="352">R76+Q75</f>
        <v>20555874.835623495</v>
      </c>
      <c r="S75">
        <f t="shared" ref="S75" si="353">R75/100000</f>
        <v>205.55874835623496</v>
      </c>
      <c r="T75">
        <f t="shared" ref="T75" si="354">S75/1000</f>
        <v>0.20555874835623494</v>
      </c>
    </row>
    <row r="76" spans="1:20" x14ac:dyDescent="0.25">
      <c r="A76" s="5">
        <v>44517</v>
      </c>
      <c r="B76">
        <v>165.7</v>
      </c>
      <c r="C76">
        <v>167.8</v>
      </c>
      <c r="D76">
        <v>153</v>
      </c>
      <c r="E76">
        <v>159.30000000000001</v>
      </c>
      <c r="F76">
        <v>494976.799</v>
      </c>
      <c r="G76">
        <v>159.30000000000001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-0.14864864864864777</v>
      </c>
      <c r="Q76">
        <f t="shared" ref="Q76" si="356">F76*P76</f>
        <v>-73577.632283783343</v>
      </c>
      <c r="R76">
        <f t="shared" ref="R76" si="357">R77+Q76</f>
        <v>20754669.102290161</v>
      </c>
      <c r="S76">
        <f t="shared" ref="S76" si="358">R76/100000</f>
        <v>207.5466910229016</v>
      </c>
      <c r="T76">
        <f t="shared" ref="T76" si="359">S76/1000</f>
        <v>0.2075466910229016</v>
      </c>
    </row>
    <row r="77" spans="1:20" x14ac:dyDescent="0.25">
      <c r="A77" s="5">
        <v>44516</v>
      </c>
      <c r="B77">
        <v>195.5</v>
      </c>
      <c r="C77">
        <v>195.6</v>
      </c>
      <c r="D77">
        <v>163</v>
      </c>
      <c r="E77">
        <v>165.7</v>
      </c>
      <c r="F77">
        <v>595208.02099999995</v>
      </c>
      <c r="G77">
        <v>165.7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-0.83435582822085952</v>
      </c>
      <c r="Q77">
        <f t="shared" ref="Q77" si="361">F77*P77</f>
        <v>-496615.28132515372</v>
      </c>
      <c r="R77">
        <f t="shared" ref="R77" si="362">R78+Q77</f>
        <v>20828246.734573945</v>
      </c>
      <c r="S77">
        <f t="shared" ref="S77" si="363">R77/100000</f>
        <v>208.28246734573946</v>
      </c>
      <c r="T77">
        <f t="shared" ref="T77" si="364">S77/1000</f>
        <v>0.20828246734573946</v>
      </c>
    </row>
    <row r="78" spans="1:20" x14ac:dyDescent="0.25">
      <c r="A78" s="5">
        <v>44515</v>
      </c>
      <c r="B78">
        <v>201.8</v>
      </c>
      <c r="C78">
        <v>204.4</v>
      </c>
      <c r="D78">
        <v>192.3</v>
      </c>
      <c r="E78">
        <v>195.5</v>
      </c>
      <c r="F78">
        <v>287638.908</v>
      </c>
      <c r="G78">
        <v>195.5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-0.47107438016529091</v>
      </c>
      <c r="Q78">
        <f t="shared" ref="Q78" si="366">F78*P78</f>
        <v>-135499.32029752113</v>
      </c>
      <c r="R78">
        <f t="shared" ref="R78" si="367">R79+Q78</f>
        <v>21324862.015899099</v>
      </c>
      <c r="S78">
        <f t="shared" ref="S78" si="368">R78/100000</f>
        <v>213.248620158991</v>
      </c>
      <c r="T78">
        <f t="shared" ref="T78" si="369">S78/1000</f>
        <v>0.21324862015899101</v>
      </c>
    </row>
    <row r="79" spans="1:20" x14ac:dyDescent="0.25">
      <c r="A79" s="5">
        <v>44514</v>
      </c>
      <c r="B79">
        <v>199.1</v>
      </c>
      <c r="C79">
        <v>202.4</v>
      </c>
      <c r="D79">
        <v>192.2</v>
      </c>
      <c r="E79">
        <v>201.8</v>
      </c>
      <c r="F79">
        <v>196305.60699999999</v>
      </c>
      <c r="G79">
        <v>201.8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0.88235294117647189</v>
      </c>
      <c r="Q79">
        <f t="shared" ref="Q79" si="371">F79*P79</f>
        <v>173210.82970588261</v>
      </c>
      <c r="R79">
        <f t="shared" ref="R79" si="372">R80+Q79</f>
        <v>21460361.33619662</v>
      </c>
      <c r="S79">
        <f t="shared" ref="S79" si="373">R79/100000</f>
        <v>214.60361336196621</v>
      </c>
      <c r="T79">
        <f t="shared" ref="T79" si="374">S79/1000</f>
        <v>0.21460361336196621</v>
      </c>
    </row>
    <row r="80" spans="1:20" x14ac:dyDescent="0.25">
      <c r="A80" s="5">
        <v>44513</v>
      </c>
      <c r="B80">
        <v>202.2</v>
      </c>
      <c r="C80">
        <v>213.3</v>
      </c>
      <c r="D80">
        <v>198.8</v>
      </c>
      <c r="E80">
        <v>199.1</v>
      </c>
      <c r="F80">
        <v>373436.228</v>
      </c>
      <c r="G80">
        <v>199.1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-0.95862068965517477</v>
      </c>
      <c r="Q80">
        <f t="shared" ref="Q80" si="376">F80*P80</f>
        <v>-357983.69442758709</v>
      </c>
      <c r="R80">
        <f t="shared" ref="R80" si="377">R81+Q80</f>
        <v>21287150.506490737</v>
      </c>
      <c r="S80">
        <f t="shared" ref="S80" si="378">R80/100000</f>
        <v>212.87150506490738</v>
      </c>
      <c r="T80">
        <f t="shared" ref="T80" si="379">S80/1000</f>
        <v>0.21287150506490737</v>
      </c>
    </row>
    <row r="81" spans="1:20" x14ac:dyDescent="0.25">
      <c r="A81" s="5">
        <v>44512</v>
      </c>
      <c r="B81">
        <v>204.4</v>
      </c>
      <c r="C81">
        <v>210.5</v>
      </c>
      <c r="D81">
        <v>190.6</v>
      </c>
      <c r="E81">
        <v>202.1</v>
      </c>
      <c r="F81">
        <v>360287.46899999998</v>
      </c>
      <c r="G81">
        <v>202.1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0.15577889447236148</v>
      </c>
      <c r="Q81">
        <f t="shared" ref="Q81" si="381">F81*P81</f>
        <v>56125.183613065208</v>
      </c>
      <c r="R81">
        <f t="shared" ref="R81" si="382">R82+Q81</f>
        <v>21645134.200918324</v>
      </c>
      <c r="S81">
        <f t="shared" ref="S81" si="383">R81/100000</f>
        <v>216.45134200918324</v>
      </c>
      <c r="T81">
        <f t="shared" ref="T81" si="384">S81/1000</f>
        <v>0.21645134200918323</v>
      </c>
    </row>
    <row r="82" spans="1:20" x14ac:dyDescent="0.25">
      <c r="A82" s="5">
        <v>44511</v>
      </c>
      <c r="B82">
        <v>179.8</v>
      </c>
      <c r="C82">
        <v>219.9</v>
      </c>
      <c r="D82">
        <v>176.7</v>
      </c>
      <c r="E82">
        <v>204.5</v>
      </c>
      <c r="F82">
        <v>842362.80414999998</v>
      </c>
      <c r="G82">
        <v>204.5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0.28703703703703703</v>
      </c>
      <c r="Q82">
        <f t="shared" ref="Q82" si="386">F82*P82</f>
        <v>241789.32341342591</v>
      </c>
      <c r="R82">
        <f t="shared" ref="R82" si="387">R83+Q82</f>
        <v>21589009.017305259</v>
      </c>
      <c r="S82">
        <f t="shared" ref="S82" si="388">R82/100000</f>
        <v>215.89009017305258</v>
      </c>
      <c r="T82">
        <f t="shared" ref="T82" si="389">S82/1000</f>
        <v>0.21589009017305258</v>
      </c>
    </row>
    <row r="83" spans="1:20" x14ac:dyDescent="0.25">
      <c r="A83" s="5">
        <v>44510</v>
      </c>
      <c r="B83">
        <v>200.1</v>
      </c>
      <c r="C83">
        <v>205.5</v>
      </c>
      <c r="D83">
        <v>171.5</v>
      </c>
      <c r="E83">
        <v>179.8</v>
      </c>
      <c r="F83">
        <v>634279.40422000003</v>
      </c>
      <c r="G83">
        <v>179.8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-0.51176470588235223</v>
      </c>
      <c r="Q83">
        <f t="shared" ref="Q83" si="391">F83*P83</f>
        <v>-324601.81274788192</v>
      </c>
      <c r="R83">
        <f t="shared" ref="R83" si="392">R84+Q83</f>
        <v>21347219.693891834</v>
      </c>
      <c r="S83">
        <f t="shared" ref="S83" si="393">R83/100000</f>
        <v>213.47219693891836</v>
      </c>
      <c r="T83">
        <f t="shared" ref="T83" si="394">S83/1000</f>
        <v>0.21347219693891836</v>
      </c>
    </row>
    <row r="84" spans="1:20" x14ac:dyDescent="0.25">
      <c r="A84" s="5">
        <v>44509</v>
      </c>
      <c r="B84">
        <v>170.7</v>
      </c>
      <c r="C84">
        <v>200.5</v>
      </c>
      <c r="D84">
        <v>169.4</v>
      </c>
      <c r="E84">
        <v>200.1</v>
      </c>
      <c r="F84">
        <v>585980.61717999994</v>
      </c>
      <c r="G84">
        <v>200.1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0.9742765273311893</v>
      </c>
      <c r="Q84">
        <f t="shared" ref="Q84" si="396">F84*P84</f>
        <v>570907.16078951734</v>
      </c>
      <c r="R84">
        <f t="shared" ref="R84" si="397">R85+Q84</f>
        <v>21671821.506639715</v>
      </c>
      <c r="S84">
        <f t="shared" ref="S84" si="398">R84/100000</f>
        <v>216.71821506639716</v>
      </c>
      <c r="T84">
        <f t="shared" ref="T84" si="399">S84/1000</f>
        <v>0.21671821506639716</v>
      </c>
    </row>
    <row r="85" spans="1:20" x14ac:dyDescent="0.25">
      <c r="A85" s="5">
        <v>44508</v>
      </c>
      <c r="B85">
        <v>164.1</v>
      </c>
      <c r="C85">
        <v>171.9</v>
      </c>
      <c r="D85">
        <v>163.5</v>
      </c>
      <c r="E85">
        <v>170.8</v>
      </c>
      <c r="F85">
        <v>156338.34599999999</v>
      </c>
      <c r="G85">
        <v>170.8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0.73809523809523958</v>
      </c>
      <c r="Q85">
        <f t="shared" ref="Q85" si="401">F85*P85</f>
        <v>115392.58871428594</v>
      </c>
      <c r="R85">
        <f t="shared" ref="R85" si="402">R86+Q85</f>
        <v>21100914.345850199</v>
      </c>
      <c r="S85">
        <f t="shared" ref="S85" si="403">R85/100000</f>
        <v>211.009143458502</v>
      </c>
      <c r="T85">
        <f t="shared" ref="T85" si="404">S85/1000</f>
        <v>0.211009143458502</v>
      </c>
    </row>
    <row r="86" spans="1:20" x14ac:dyDescent="0.25">
      <c r="A86" s="5">
        <v>44507</v>
      </c>
      <c r="B86">
        <v>159.6</v>
      </c>
      <c r="C86">
        <v>165</v>
      </c>
      <c r="D86">
        <v>158.19999999999999</v>
      </c>
      <c r="E86">
        <v>164.1</v>
      </c>
      <c r="F86">
        <v>123865.548</v>
      </c>
      <c r="G86">
        <v>164.1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0.73529411764705754</v>
      </c>
      <c r="Q86">
        <f t="shared" ref="Q86" si="406">F86*P86</f>
        <v>91077.608823529255</v>
      </c>
      <c r="R86">
        <f t="shared" ref="R86" si="407">R87+Q86</f>
        <v>20985521.757135913</v>
      </c>
      <c r="S86">
        <f t="shared" ref="S86" si="408">R86/100000</f>
        <v>209.85521757135913</v>
      </c>
      <c r="T86">
        <f t="shared" ref="T86" si="409">S86/1000</f>
        <v>0.20985521757135914</v>
      </c>
    </row>
    <row r="87" spans="1:20" x14ac:dyDescent="0.25">
      <c r="A87" s="5">
        <v>44506</v>
      </c>
      <c r="B87">
        <v>162.69999999999999</v>
      </c>
      <c r="C87">
        <v>166.4</v>
      </c>
      <c r="D87">
        <v>155.30000000000001</v>
      </c>
      <c r="E87">
        <v>159.6</v>
      </c>
      <c r="F87">
        <v>155760.44500000001</v>
      </c>
      <c r="G87">
        <v>159.6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-0.22522522522522789</v>
      </c>
      <c r="Q87">
        <f t="shared" ref="Q87" si="411">F87*P87</f>
        <v>-35081.181306306724</v>
      </c>
      <c r="R87">
        <f t="shared" ref="R87" si="412">R88+Q87</f>
        <v>20894444.148312382</v>
      </c>
      <c r="S87">
        <f t="shared" ref="S87" si="413">R87/100000</f>
        <v>208.94444148312382</v>
      </c>
      <c r="T87">
        <f t="shared" ref="T87" si="414">S87/1000</f>
        <v>0.20894444148312383</v>
      </c>
    </row>
    <row r="88" spans="1:20" x14ac:dyDescent="0.25">
      <c r="A88" s="5">
        <v>44505</v>
      </c>
      <c r="B88">
        <v>163.69999999999999</v>
      </c>
      <c r="C88">
        <v>169.6</v>
      </c>
      <c r="D88">
        <v>160.5</v>
      </c>
      <c r="E88">
        <v>162.80000000000001</v>
      </c>
      <c r="F88">
        <v>172392.92</v>
      </c>
      <c r="G88">
        <v>162.80000000000001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-0.49450549450549169</v>
      </c>
      <c r="Q88">
        <f t="shared" ref="Q88" si="416">F88*P88</f>
        <v>-85249.24615384567</v>
      </c>
      <c r="R88">
        <f t="shared" ref="R88" si="417">R89+Q88</f>
        <v>20929525.329618689</v>
      </c>
      <c r="S88">
        <f t="shared" ref="S88" si="418">R88/100000</f>
        <v>209.2952532961869</v>
      </c>
      <c r="T88">
        <f t="shared" ref="T88" si="419">S88/1000</f>
        <v>0.20929525329618689</v>
      </c>
    </row>
    <row r="89" spans="1:20" x14ac:dyDescent="0.25">
      <c r="A89" s="5">
        <v>44504</v>
      </c>
      <c r="B89">
        <v>168.4</v>
      </c>
      <c r="C89">
        <v>171.9</v>
      </c>
      <c r="D89">
        <v>160.1</v>
      </c>
      <c r="E89">
        <v>163.69999999999999</v>
      </c>
      <c r="F89">
        <v>195359.43</v>
      </c>
      <c r="G89">
        <v>163.69999999999999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-0.38983050847457784</v>
      </c>
      <c r="Q89">
        <f t="shared" ref="Q89" si="421">F89*P89</f>
        <v>-76157.065932203695</v>
      </c>
      <c r="R89">
        <f t="shared" ref="R89" si="422">R90+Q89</f>
        <v>21014774.575772535</v>
      </c>
      <c r="S89">
        <f t="shared" ref="S89" si="423">R89/100000</f>
        <v>210.14774575772535</v>
      </c>
      <c r="T89">
        <f t="shared" ref="T89" si="424">S89/1000</f>
        <v>0.21014774575772535</v>
      </c>
    </row>
    <row r="90" spans="1:20" x14ac:dyDescent="0.25">
      <c r="A90" s="5">
        <v>44503</v>
      </c>
      <c r="B90">
        <v>171.7</v>
      </c>
      <c r="C90">
        <v>172.2</v>
      </c>
      <c r="D90">
        <v>160.19999999999999</v>
      </c>
      <c r="E90">
        <v>168.3</v>
      </c>
      <c r="F90">
        <v>289080.39799999999</v>
      </c>
      <c r="G90">
        <v>168.3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0.35000000000000381</v>
      </c>
      <c r="Q90">
        <f t="shared" ref="Q90" si="426">F90*P90</f>
        <v>101178.1393000011</v>
      </c>
      <c r="R90">
        <f t="shared" ref="R90" si="427">R91+Q90</f>
        <v>21090931.641704738</v>
      </c>
      <c r="S90">
        <f t="shared" ref="S90" si="428">R90/100000</f>
        <v>210.90931641704739</v>
      </c>
      <c r="T90">
        <f t="shared" ref="T90" si="429">S90/1000</f>
        <v>0.21090931641704738</v>
      </c>
    </row>
    <row r="91" spans="1:20" x14ac:dyDescent="0.25">
      <c r="A91" s="5">
        <v>44502</v>
      </c>
      <c r="B91">
        <v>169.6</v>
      </c>
      <c r="C91">
        <v>180</v>
      </c>
      <c r="D91">
        <v>167.3</v>
      </c>
      <c r="E91">
        <v>171.8</v>
      </c>
      <c r="F91">
        <v>255842.139</v>
      </c>
      <c r="G91">
        <v>171.8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-0.29133858267716473</v>
      </c>
      <c r="Q91">
        <f t="shared" ref="Q91" si="431">F91*P91</f>
        <v>-74536.686165354171</v>
      </c>
      <c r="R91">
        <f t="shared" ref="R91" si="432">R92+Q91</f>
        <v>20989753.502404738</v>
      </c>
      <c r="S91">
        <f t="shared" ref="S91" si="433">R91/100000</f>
        <v>209.89753502404739</v>
      </c>
      <c r="T91">
        <f t="shared" ref="T91" si="434">S91/1000</f>
        <v>0.2098975350240474</v>
      </c>
    </row>
    <row r="92" spans="1:20" x14ac:dyDescent="0.25">
      <c r="A92" s="5">
        <v>44501</v>
      </c>
      <c r="B92">
        <v>167.2</v>
      </c>
      <c r="C92">
        <v>173.2</v>
      </c>
      <c r="D92">
        <v>161.30000000000001</v>
      </c>
      <c r="E92">
        <v>169.7</v>
      </c>
      <c r="F92">
        <v>234847.16800000001</v>
      </c>
      <c r="G92">
        <v>169.7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0.41176470588235181</v>
      </c>
      <c r="Q92">
        <f t="shared" ref="Q92" si="436">F92*P92</f>
        <v>96701.775058823259</v>
      </c>
      <c r="R92">
        <f t="shared" ref="R92" si="437">R93+Q92</f>
        <v>21064290.188570093</v>
      </c>
      <c r="S92">
        <f t="shared" ref="S92" si="438">R92/100000</f>
        <v>210.64290188570092</v>
      </c>
      <c r="T92">
        <f t="shared" ref="T92" si="439">S92/1000</f>
        <v>0.21064290188570092</v>
      </c>
    </row>
    <row r="93" spans="1:20" x14ac:dyDescent="0.25">
      <c r="A93" s="5">
        <v>44500</v>
      </c>
      <c r="B93">
        <v>153.30000000000001</v>
      </c>
      <c r="C93">
        <v>188</v>
      </c>
      <c r="D93">
        <v>151.69999999999999</v>
      </c>
      <c r="E93">
        <v>167</v>
      </c>
      <c r="F93">
        <v>761309.55299999996</v>
      </c>
      <c r="G93">
        <v>167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-0.1570247933884294</v>
      </c>
      <c r="Q93">
        <f t="shared" ref="Q93" si="441">F93*P93</f>
        <v>-119544.47526446253</v>
      </c>
      <c r="R93">
        <f t="shared" ref="R93" si="442">R94+Q93</f>
        <v>20967588.413511269</v>
      </c>
      <c r="S93">
        <f t="shared" ref="S93" si="443">R93/100000</f>
        <v>209.67588413511268</v>
      </c>
      <c r="T93">
        <f t="shared" ref="T93" si="444">S93/1000</f>
        <v>0.20967588413511268</v>
      </c>
    </row>
    <row r="94" spans="1:20" x14ac:dyDescent="0.25">
      <c r="A94" s="5">
        <v>44499</v>
      </c>
      <c r="B94">
        <v>162.6</v>
      </c>
      <c r="C94">
        <v>162.69999999999999</v>
      </c>
      <c r="D94">
        <v>149.6</v>
      </c>
      <c r="E94">
        <v>153.30000000000001</v>
      </c>
      <c r="F94">
        <v>159466.47899999999</v>
      </c>
      <c r="G94">
        <v>153.30000000000001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-0.43511450381679107</v>
      </c>
      <c r="Q94">
        <f t="shared" ref="Q94" si="446">F94*P94</f>
        <v>-69386.177885495723</v>
      </c>
      <c r="R94">
        <f t="shared" ref="R94" si="447">R95+Q94</f>
        <v>21087132.888775732</v>
      </c>
      <c r="S94">
        <f t="shared" ref="S94" si="448">R94/100000</f>
        <v>210.87132888775733</v>
      </c>
      <c r="T94">
        <f t="shared" ref="T94" si="449">S94/1000</f>
        <v>0.21087132888775734</v>
      </c>
    </row>
    <row r="95" spans="1:20" x14ac:dyDescent="0.25">
      <c r="A95" s="5">
        <v>44498</v>
      </c>
      <c r="B95">
        <v>159.1</v>
      </c>
      <c r="C95">
        <v>163.69999999999999</v>
      </c>
      <c r="D95">
        <v>156.6</v>
      </c>
      <c r="E95">
        <v>162.6</v>
      </c>
      <c r="F95">
        <v>184005.519</v>
      </c>
      <c r="G95">
        <v>162.6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0.69014084507042384</v>
      </c>
      <c r="Q95">
        <f t="shared" ref="Q95" si="451">F95*P95</f>
        <v>126989.72438028193</v>
      </c>
      <c r="R95">
        <f t="shared" ref="R95" si="452">R96+Q95</f>
        <v>21156519.066661227</v>
      </c>
      <c r="S95">
        <f t="shared" ref="S95" si="453">R95/100000</f>
        <v>211.56519066661227</v>
      </c>
      <c r="T95">
        <f t="shared" ref="T95" si="454">S95/1000</f>
        <v>0.21156519066661228</v>
      </c>
    </row>
    <row r="96" spans="1:20" x14ac:dyDescent="0.25">
      <c r="A96" s="5">
        <v>44497</v>
      </c>
      <c r="B96">
        <v>147.19999999999999</v>
      </c>
      <c r="C96">
        <v>160.5</v>
      </c>
      <c r="D96">
        <v>143.69999999999999</v>
      </c>
      <c r="E96">
        <v>159</v>
      </c>
      <c r="F96">
        <v>315566.304</v>
      </c>
      <c r="G96">
        <v>159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0.82142857142857151</v>
      </c>
      <c r="Q96">
        <f t="shared" ref="Q96" si="456">F96*P96</f>
        <v>259215.17828571433</v>
      </c>
      <c r="R96">
        <f t="shared" ref="R96" si="457">R97+Q96</f>
        <v>21029529.342280947</v>
      </c>
      <c r="S96">
        <f t="shared" ref="S96" si="458">R96/100000</f>
        <v>210.29529342280946</v>
      </c>
      <c r="T96">
        <f t="shared" ref="T96" si="459">S96/1000</f>
        <v>0.21029529342280948</v>
      </c>
    </row>
    <row r="97" spans="1:20" x14ac:dyDescent="0.25">
      <c r="A97" s="5">
        <v>44496</v>
      </c>
      <c r="B97">
        <v>161.1</v>
      </c>
      <c r="C97">
        <v>162.80000000000001</v>
      </c>
      <c r="D97">
        <v>142.30000000000001</v>
      </c>
      <c r="E97">
        <v>147.1</v>
      </c>
      <c r="F97">
        <v>346037.03899999999</v>
      </c>
      <c r="G97">
        <v>147.1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-0.53170731707317243</v>
      </c>
      <c r="Q97">
        <f t="shared" ref="Q97" si="461">F97*P97</f>
        <v>-183990.42561463473</v>
      </c>
      <c r="R97">
        <f t="shared" ref="R97" si="462">R98+Q97</f>
        <v>20770314.163995232</v>
      </c>
      <c r="S97">
        <f t="shared" ref="S97" si="463">R97/100000</f>
        <v>207.70314163995232</v>
      </c>
      <c r="T97">
        <f t="shared" ref="T97" si="464">S97/1000</f>
        <v>0.20770314163995232</v>
      </c>
    </row>
    <row r="98" spans="1:20" x14ac:dyDescent="0.25">
      <c r="A98" s="5">
        <v>44495</v>
      </c>
      <c r="B98">
        <v>170.2</v>
      </c>
      <c r="C98">
        <v>171.6</v>
      </c>
      <c r="D98">
        <v>158.4</v>
      </c>
      <c r="E98">
        <v>161.1</v>
      </c>
      <c r="F98">
        <v>219980.514</v>
      </c>
      <c r="G98">
        <v>161.1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-0.59090909090909227</v>
      </c>
      <c r="Q98">
        <f t="shared" ref="Q98" si="466">F98*P98</f>
        <v>-129988.48554545484</v>
      </c>
      <c r="R98">
        <f t="shared" ref="R98" si="467">R99+Q98</f>
        <v>20954304.589609869</v>
      </c>
      <c r="S98">
        <f t="shared" ref="S98" si="468">R98/100000</f>
        <v>209.54304589609868</v>
      </c>
      <c r="T98">
        <f t="shared" ref="T98" si="469">S98/1000</f>
        <v>0.20954304589609868</v>
      </c>
    </row>
    <row r="99" spans="1:20" x14ac:dyDescent="0.25">
      <c r="A99" s="5">
        <v>44494</v>
      </c>
      <c r="B99">
        <v>172.9</v>
      </c>
      <c r="C99">
        <v>177.3</v>
      </c>
      <c r="D99">
        <v>169.2</v>
      </c>
      <c r="E99">
        <v>170.1</v>
      </c>
      <c r="F99">
        <v>244404.6</v>
      </c>
      <c r="G99">
        <v>170.1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-0.77777777777777701</v>
      </c>
      <c r="Q99">
        <f t="shared" ref="Q99" si="471">F99*P99</f>
        <v>-190092.46666666647</v>
      </c>
      <c r="R99">
        <f t="shared" ref="R99" si="472">R100+Q99</f>
        <v>21084293.075155325</v>
      </c>
      <c r="S99">
        <f t="shared" ref="S99" si="473">R99/100000</f>
        <v>210.84293075155324</v>
      </c>
      <c r="T99">
        <f t="shared" ref="T99" si="474">S99/1000</f>
        <v>0.21084293075155325</v>
      </c>
    </row>
    <row r="100" spans="1:20" x14ac:dyDescent="0.25">
      <c r="A100" s="5">
        <v>44493</v>
      </c>
      <c r="B100">
        <v>173.6</v>
      </c>
      <c r="C100">
        <v>190.4</v>
      </c>
      <c r="D100">
        <v>170.6</v>
      </c>
      <c r="E100">
        <v>173</v>
      </c>
      <c r="F100">
        <v>750418.16163999995</v>
      </c>
      <c r="G100">
        <v>173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-0.75757575757575712</v>
      </c>
      <c r="Q100">
        <f t="shared" ref="Q100" si="476">F100*P100</f>
        <v>-568498.60730302997</v>
      </c>
      <c r="R100">
        <f t="shared" ref="R100" si="477">R101+Q100</f>
        <v>21274385.54182199</v>
      </c>
      <c r="S100">
        <f t="shared" ref="S100" si="478">R100/100000</f>
        <v>212.74385541821991</v>
      </c>
      <c r="T100">
        <f t="shared" ref="T100" si="479">S100/1000</f>
        <v>0.21274385541821991</v>
      </c>
    </row>
    <row r="101" spans="1:20" x14ac:dyDescent="0.25">
      <c r="A101" s="5">
        <v>44492</v>
      </c>
      <c r="B101">
        <v>165</v>
      </c>
      <c r="C101">
        <v>174.5</v>
      </c>
      <c r="D101">
        <v>164</v>
      </c>
      <c r="E101">
        <v>173.6</v>
      </c>
      <c r="F101">
        <v>358501.359</v>
      </c>
      <c r="G101">
        <v>173.6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0.82857142857142752</v>
      </c>
      <c r="Q101">
        <f t="shared" ref="Q101" si="481">F101*P101</f>
        <v>297043.9831714282</v>
      </c>
      <c r="R101">
        <f t="shared" ref="R101" si="482">R102+Q101</f>
        <v>21842884.149125021</v>
      </c>
      <c r="S101">
        <f t="shared" ref="S101" si="483">R101/100000</f>
        <v>218.42884149125021</v>
      </c>
      <c r="T101">
        <f t="shared" ref="T101" si="484">S101/1000</f>
        <v>0.21842884149125022</v>
      </c>
    </row>
    <row r="102" spans="1:20" x14ac:dyDescent="0.25">
      <c r="A102" s="5">
        <v>44491</v>
      </c>
      <c r="B102">
        <v>155</v>
      </c>
      <c r="C102">
        <v>166.4</v>
      </c>
      <c r="D102">
        <v>154.9</v>
      </c>
      <c r="E102">
        <v>165</v>
      </c>
      <c r="F102">
        <v>364209.17</v>
      </c>
      <c r="G102">
        <v>165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0.75652173913043375</v>
      </c>
      <c r="Q102">
        <f t="shared" ref="Q102" si="486">F102*P102</f>
        <v>275532.15469565179</v>
      </c>
      <c r="R102">
        <f t="shared" ref="R102" si="487">R103+Q102</f>
        <v>21545840.165953591</v>
      </c>
      <c r="S102">
        <f t="shared" ref="S102" si="488">R102/100000</f>
        <v>215.45840165953592</v>
      </c>
      <c r="T102">
        <f t="shared" ref="T102" si="489">S102/1000</f>
        <v>0.21545840165953592</v>
      </c>
    </row>
    <row r="103" spans="1:20" x14ac:dyDescent="0.25">
      <c r="A103" s="5">
        <v>44490</v>
      </c>
      <c r="B103">
        <v>149.9</v>
      </c>
      <c r="C103">
        <v>159</v>
      </c>
      <c r="D103">
        <v>145.69999999999999</v>
      </c>
      <c r="E103">
        <v>155</v>
      </c>
      <c r="F103">
        <v>453431.88699999999</v>
      </c>
      <c r="G103">
        <v>155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0.39849624060150429</v>
      </c>
      <c r="Q103">
        <f t="shared" ref="Q103" si="491">F103*P103</f>
        <v>180690.90233834609</v>
      </c>
      <c r="R103">
        <f t="shared" ref="R103" si="492">R104+Q103</f>
        <v>21270308.011257939</v>
      </c>
      <c r="S103">
        <f t="shared" ref="S103" si="493">R103/100000</f>
        <v>212.70308011257939</v>
      </c>
      <c r="T103">
        <f t="shared" ref="T103" si="494">S103/1000</f>
        <v>0.21270308011257938</v>
      </c>
    </row>
    <row r="104" spans="1:20" x14ac:dyDescent="0.25">
      <c r="A104" s="5">
        <v>44489</v>
      </c>
      <c r="B104">
        <v>144.1</v>
      </c>
      <c r="C104">
        <v>151.30000000000001</v>
      </c>
      <c r="D104">
        <v>144</v>
      </c>
      <c r="E104">
        <v>149.9</v>
      </c>
      <c r="F104">
        <v>233756.88099999999</v>
      </c>
      <c r="G104">
        <v>149.9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0.61643835616438258</v>
      </c>
      <c r="Q104">
        <f t="shared" ref="Q104" si="496">F104*P104</f>
        <v>144096.70746575319</v>
      </c>
      <c r="R104">
        <f t="shared" ref="R104" si="497">R105+Q104</f>
        <v>21089617.108919594</v>
      </c>
      <c r="S104">
        <f t="shared" ref="S104" si="498">R104/100000</f>
        <v>210.89617108919595</v>
      </c>
      <c r="T104">
        <f t="shared" ref="T104" si="499">S104/1000</f>
        <v>0.21089617108919595</v>
      </c>
    </row>
    <row r="105" spans="1:20" x14ac:dyDescent="0.25">
      <c r="A105" s="5">
        <v>44488</v>
      </c>
      <c r="B105">
        <v>140.69999999999999</v>
      </c>
      <c r="C105">
        <v>147.6</v>
      </c>
      <c r="D105">
        <v>139.80000000000001</v>
      </c>
      <c r="E105">
        <v>144.1</v>
      </c>
      <c r="F105">
        <v>262495.27299999999</v>
      </c>
      <c r="G105">
        <v>144.1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0.1025641025641006</v>
      </c>
      <c r="Q105">
        <f t="shared" ref="Q105" si="501">F105*P105</f>
        <v>26922.592102563587</v>
      </c>
      <c r="R105">
        <f t="shared" ref="R105" si="502">R106+Q105</f>
        <v>20945520.401453841</v>
      </c>
      <c r="S105">
        <f t="shared" ref="S105" si="503">R105/100000</f>
        <v>209.45520401453842</v>
      </c>
      <c r="T105">
        <f t="shared" ref="T105" si="504">S105/1000</f>
        <v>0.20945520401453843</v>
      </c>
    </row>
    <row r="106" spans="1:20" x14ac:dyDescent="0.25">
      <c r="A106" s="5">
        <v>44487</v>
      </c>
      <c r="B106">
        <v>137.80000000000001</v>
      </c>
      <c r="C106">
        <v>146.5</v>
      </c>
      <c r="D106">
        <v>135.1</v>
      </c>
      <c r="E106">
        <v>140.69999999999999</v>
      </c>
      <c r="F106">
        <v>427373.85800000001</v>
      </c>
      <c r="G106">
        <v>140.69999999999999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-1.7543859649124294E-2</v>
      </c>
      <c r="Q106">
        <f t="shared" ref="Q106" si="506">F106*P106</f>
        <v>-7497.7869824567761</v>
      </c>
      <c r="R106">
        <f t="shared" ref="R106" si="507">R107+Q106</f>
        <v>20918597.809351277</v>
      </c>
      <c r="S106">
        <f t="shared" ref="S106" si="508">R106/100000</f>
        <v>209.18597809351277</v>
      </c>
      <c r="T106">
        <f t="shared" ref="T106" si="509">S106/1000</f>
        <v>0.20918597809351278</v>
      </c>
    </row>
    <row r="107" spans="1:20" x14ac:dyDescent="0.25">
      <c r="A107" s="5">
        <v>44486</v>
      </c>
      <c r="B107">
        <v>126.1</v>
      </c>
      <c r="C107">
        <v>141</v>
      </c>
      <c r="D107">
        <v>124.2</v>
      </c>
      <c r="E107">
        <v>137.69999999999999</v>
      </c>
      <c r="F107">
        <v>368826.67700000003</v>
      </c>
      <c r="G107">
        <v>137.69999999999999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0.60714285714285576</v>
      </c>
      <c r="Q107">
        <f t="shared" ref="Q107" si="511">F107*P107</f>
        <v>223930.48246428522</v>
      </c>
      <c r="R107">
        <f t="shared" ref="R107" si="512">R108+Q107</f>
        <v>20926095.596333735</v>
      </c>
      <c r="S107">
        <f t="shared" ref="S107" si="513">R107/100000</f>
        <v>209.26095596333735</v>
      </c>
      <c r="T107">
        <f t="shared" ref="T107" si="514">S107/1000</f>
        <v>0.20926095596333735</v>
      </c>
    </row>
    <row r="108" spans="1:20" x14ac:dyDescent="0.25">
      <c r="A108" s="5">
        <v>44485</v>
      </c>
      <c r="B108">
        <v>126.3</v>
      </c>
      <c r="C108">
        <v>128.1</v>
      </c>
      <c r="D108">
        <v>123.5</v>
      </c>
      <c r="E108">
        <v>126.1</v>
      </c>
      <c r="F108">
        <v>129237.27099999999</v>
      </c>
      <c r="G108">
        <v>126.1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0.13043478260869457</v>
      </c>
      <c r="Q108">
        <f t="shared" ref="Q108" si="516">F108*P108</f>
        <v>16857.035347825946</v>
      </c>
      <c r="R108">
        <f t="shared" ref="R108" si="517">R109+Q108</f>
        <v>20702165.113869451</v>
      </c>
      <c r="S108">
        <f t="shared" ref="S108" si="518">R108/100000</f>
        <v>207.02165113869452</v>
      </c>
      <c r="T108">
        <f t="shared" ref="T108" si="519">S108/1000</f>
        <v>0.20702165113869453</v>
      </c>
    </row>
    <row r="109" spans="1:20" x14ac:dyDescent="0.25">
      <c r="A109" s="5">
        <v>44484</v>
      </c>
      <c r="B109">
        <v>121.8</v>
      </c>
      <c r="C109">
        <v>127</v>
      </c>
      <c r="D109">
        <v>119.1</v>
      </c>
      <c r="E109">
        <v>126.2</v>
      </c>
      <c r="F109">
        <v>209043.774</v>
      </c>
      <c r="G109">
        <v>126.2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0.79746835443038067</v>
      </c>
      <c r="Q109">
        <f t="shared" ref="Q109" si="521">F109*P109</f>
        <v>166705.79445569639</v>
      </c>
      <c r="R109">
        <f t="shared" ref="R109" si="522">R110+Q109</f>
        <v>20685308.078521624</v>
      </c>
      <c r="S109">
        <f t="shared" ref="S109" si="523">R109/100000</f>
        <v>206.85308078521624</v>
      </c>
      <c r="T109">
        <f t="shared" ref="T109" si="524">S109/1000</f>
        <v>0.20685308078521625</v>
      </c>
    </row>
    <row r="110" spans="1:20" x14ac:dyDescent="0.25">
      <c r="A110" s="5">
        <v>44483</v>
      </c>
      <c r="B110">
        <v>119.4</v>
      </c>
      <c r="C110">
        <v>122.6</v>
      </c>
      <c r="D110">
        <v>119</v>
      </c>
      <c r="E110">
        <v>121.8</v>
      </c>
      <c r="F110">
        <v>112376.18</v>
      </c>
      <c r="G110">
        <v>121.8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0.55555555555555647</v>
      </c>
      <c r="Q110">
        <f t="shared" ref="Q110" si="526">F110*P110</f>
        <v>62431.21111111121</v>
      </c>
      <c r="R110">
        <f t="shared" ref="R110" si="527">R111+Q110</f>
        <v>20518602.284065928</v>
      </c>
      <c r="S110">
        <f t="shared" ref="S110" si="528">R110/100000</f>
        <v>205.18602284065929</v>
      </c>
      <c r="T110">
        <f t="shared" ref="T110" si="529">S110/1000</f>
        <v>0.20518602284065929</v>
      </c>
    </row>
    <row r="111" spans="1:20" x14ac:dyDescent="0.25">
      <c r="A111" s="5">
        <v>44482</v>
      </c>
      <c r="B111">
        <v>116.2</v>
      </c>
      <c r="C111">
        <v>119.7</v>
      </c>
      <c r="D111">
        <v>113.1</v>
      </c>
      <c r="E111">
        <v>119.4</v>
      </c>
      <c r="F111">
        <v>221619.16899999999</v>
      </c>
      <c r="G111">
        <v>119.4</v>
      </c>
      <c r="L111" t="s">
        <v>7</v>
      </c>
      <c r="M111" t="s">
        <v>8</v>
      </c>
      <c r="N111" t="s">
        <v>7</v>
      </c>
      <c r="P111">
        <f t="shared" ref="P111" si="530">IF(C111=D111,0,((E111-D111)-(C111-E111))/(C111-D111))</f>
        <v>0.90909090909091006</v>
      </c>
      <c r="Q111">
        <f t="shared" ref="Q111" si="531">F111*P111</f>
        <v>201471.97181818204</v>
      </c>
      <c r="R111">
        <f t="shared" ref="R111" si="532">R112+Q111</f>
        <v>20456171.072954819</v>
      </c>
      <c r="S111">
        <f t="shared" ref="S111" si="533">R111/100000</f>
        <v>204.5617107295482</v>
      </c>
      <c r="T111">
        <f t="shared" ref="T111" si="534">S111/1000</f>
        <v>0.20456171072954821</v>
      </c>
    </row>
    <row r="112" spans="1:20" x14ac:dyDescent="0.25">
      <c r="A112" s="5">
        <v>44481</v>
      </c>
      <c r="B112">
        <v>119.6</v>
      </c>
      <c r="C112">
        <v>119.7</v>
      </c>
      <c r="D112">
        <v>111.4</v>
      </c>
      <c r="E112">
        <v>116.3</v>
      </c>
      <c r="F112">
        <v>193955.45499999999</v>
      </c>
      <c r="G112">
        <v>116.3</v>
      </c>
      <c r="L112" t="s">
        <v>7</v>
      </c>
      <c r="M112" t="s">
        <v>8</v>
      </c>
      <c r="N112" t="s">
        <v>7</v>
      </c>
      <c r="P112">
        <f t="shared" ref="P112" si="535">IF(C112=D112,0,((E112-D112)-(C112-E112))/(C112-D112))</f>
        <v>0.18072289156626342</v>
      </c>
      <c r="Q112">
        <f t="shared" ref="Q112" si="536">F112*P112</f>
        <v>35052.190662650282</v>
      </c>
      <c r="R112">
        <f t="shared" ref="R112" si="537">R113+Q112</f>
        <v>20254699.101136636</v>
      </c>
      <c r="S112">
        <f t="shared" ref="S112" si="538">R112/100000</f>
        <v>202.54699101136637</v>
      </c>
      <c r="T112">
        <f t="shared" ref="T112" si="539">S112/1000</f>
        <v>0.20254699101136636</v>
      </c>
    </row>
    <row r="113" spans="1:20" x14ac:dyDescent="0.25">
      <c r="A113" s="5">
        <v>44480</v>
      </c>
      <c r="B113">
        <v>119.4</v>
      </c>
      <c r="C113">
        <v>125.8</v>
      </c>
      <c r="D113">
        <v>116.4</v>
      </c>
      <c r="E113">
        <v>119.7</v>
      </c>
      <c r="F113">
        <v>160844.06899999999</v>
      </c>
      <c r="G113">
        <v>119.7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-0.2978723404255319</v>
      </c>
      <c r="Q113">
        <f t="shared" ref="Q113" si="541">F113*P113</f>
        <v>-47910.999276595736</v>
      </c>
      <c r="R113">
        <f t="shared" ref="R113" si="542">R114+Q113</f>
        <v>20219646.910473987</v>
      </c>
      <c r="S113">
        <f t="shared" ref="S113" si="543">R113/100000</f>
        <v>202.19646910473986</v>
      </c>
      <c r="T113">
        <f t="shared" ref="T113" si="544">S113/1000</f>
        <v>0.20219646910473987</v>
      </c>
    </row>
    <row r="114" spans="1:20" x14ac:dyDescent="0.25">
      <c r="A114" s="5">
        <v>44479</v>
      </c>
      <c r="B114">
        <v>127.6</v>
      </c>
      <c r="C114">
        <v>127.9</v>
      </c>
      <c r="D114">
        <v>119.2</v>
      </c>
      <c r="E114">
        <v>119.5</v>
      </c>
      <c r="F114">
        <v>154673.894</v>
      </c>
      <c r="G114">
        <v>119.5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-0.93103448275862133</v>
      </c>
      <c r="Q114">
        <f t="shared" ref="Q114" si="546">F114*P114</f>
        <v>-144006.72889655182</v>
      </c>
      <c r="R114">
        <f t="shared" ref="R114" si="547">R115+Q114</f>
        <v>20267557.909750585</v>
      </c>
      <c r="S114">
        <f t="shared" ref="S114" si="548">R114/100000</f>
        <v>202.67557909750585</v>
      </c>
      <c r="T114">
        <f t="shared" ref="T114" si="549">S114/1000</f>
        <v>0.20267557909750586</v>
      </c>
    </row>
    <row r="115" spans="1:20" x14ac:dyDescent="0.25">
      <c r="A115" s="5">
        <v>44478</v>
      </c>
      <c r="B115">
        <v>123.5</v>
      </c>
      <c r="C115">
        <v>128.30000000000001</v>
      </c>
      <c r="D115">
        <v>122.1</v>
      </c>
      <c r="E115">
        <v>127.6</v>
      </c>
      <c r="F115">
        <v>121075.18799999999</v>
      </c>
      <c r="G115">
        <v>127.6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0.77419354838709187</v>
      </c>
      <c r="Q115">
        <f t="shared" ref="Q115" si="551">F115*P115</f>
        <v>93735.629419354242</v>
      </c>
      <c r="R115">
        <f t="shared" ref="R115" si="552">R116+Q115</f>
        <v>20411564.638647135</v>
      </c>
      <c r="S115">
        <f t="shared" ref="S115" si="553">R115/100000</f>
        <v>204.11564638647135</v>
      </c>
      <c r="T115">
        <f t="shared" ref="T115" si="554">S115/1000</f>
        <v>0.20411564638647137</v>
      </c>
    </row>
    <row r="116" spans="1:20" x14ac:dyDescent="0.25">
      <c r="A116" s="5">
        <v>44477</v>
      </c>
      <c r="B116">
        <v>125.3</v>
      </c>
      <c r="C116">
        <v>127.8</v>
      </c>
      <c r="D116">
        <v>122.8</v>
      </c>
      <c r="E116">
        <v>123.4</v>
      </c>
      <c r="F116">
        <v>167571.277</v>
      </c>
      <c r="G116">
        <v>123.4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-0.75999999999999657</v>
      </c>
      <c r="Q116">
        <f t="shared" ref="Q116" si="556">F116*P116</f>
        <v>-127354.17051999943</v>
      </c>
      <c r="R116">
        <f t="shared" ref="R116" si="557">R117+Q116</f>
        <v>20317829.009227782</v>
      </c>
      <c r="S116">
        <f t="shared" ref="S116" si="558">R116/100000</f>
        <v>203.17829009227782</v>
      </c>
      <c r="T116">
        <f t="shared" ref="T116" si="559">S116/1000</f>
        <v>0.20317829009227781</v>
      </c>
    </row>
    <row r="117" spans="1:20" x14ac:dyDescent="0.25">
      <c r="A117" s="5">
        <v>44476</v>
      </c>
      <c r="B117">
        <v>125.3</v>
      </c>
      <c r="C117">
        <v>129.6</v>
      </c>
      <c r="D117">
        <v>121.5</v>
      </c>
      <c r="E117">
        <v>125.3</v>
      </c>
      <c r="F117">
        <v>282987.95799999998</v>
      </c>
      <c r="G117">
        <v>125.3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-6.172839506172844E-2</v>
      </c>
      <c r="Q117">
        <f t="shared" ref="Q117" si="561">F117*P117</f>
        <v>-17468.392469135815</v>
      </c>
      <c r="R117">
        <f t="shared" ref="R117" si="562">R118+Q117</f>
        <v>20445183.179747783</v>
      </c>
      <c r="S117">
        <f t="shared" ref="S117" si="563">R117/100000</f>
        <v>204.45183179747784</v>
      </c>
      <c r="T117">
        <f t="shared" ref="T117" si="564">S117/1000</f>
        <v>0.20445183179747783</v>
      </c>
    </row>
    <row r="118" spans="1:20" x14ac:dyDescent="0.25">
      <c r="A118" s="5">
        <v>44475</v>
      </c>
      <c r="B118">
        <v>123.1</v>
      </c>
      <c r="C118">
        <v>127.1</v>
      </c>
      <c r="D118">
        <v>114.7</v>
      </c>
      <c r="E118">
        <v>125.4</v>
      </c>
      <c r="F118">
        <v>293703.63500000001</v>
      </c>
      <c r="G118">
        <v>125.4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0.72580645161290491</v>
      </c>
      <c r="Q118">
        <f t="shared" ref="Q118" si="566">F118*P118</f>
        <v>213171.9931451618</v>
      </c>
      <c r="R118">
        <f t="shared" ref="R118" si="567">R119+Q118</f>
        <v>20462651.572216917</v>
      </c>
      <c r="S118">
        <f t="shared" ref="S118" si="568">R118/100000</f>
        <v>204.62651572216916</v>
      </c>
      <c r="T118">
        <f t="shared" ref="T118" si="569">S118/1000</f>
        <v>0.20462651572216917</v>
      </c>
    </row>
    <row r="119" spans="1:20" x14ac:dyDescent="0.25">
      <c r="A119" s="5">
        <v>44474</v>
      </c>
      <c r="B119">
        <v>116.9</v>
      </c>
      <c r="C119">
        <v>124.2</v>
      </c>
      <c r="D119">
        <v>115.4</v>
      </c>
      <c r="E119">
        <v>123.1</v>
      </c>
      <c r="F119">
        <v>183523.33199999999</v>
      </c>
      <c r="G119">
        <v>123.1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0.749999999999998</v>
      </c>
      <c r="Q119">
        <f t="shared" ref="Q119" si="571">F119*P119</f>
        <v>137642.49899999963</v>
      </c>
      <c r="R119">
        <f t="shared" ref="R119" si="572">R120+Q119</f>
        <v>20249479.579071756</v>
      </c>
      <c r="S119">
        <f t="shared" ref="S119" si="573">R119/100000</f>
        <v>202.49479579071757</v>
      </c>
      <c r="T119">
        <f t="shared" ref="T119" si="574">S119/1000</f>
        <v>0.20249479579071758</v>
      </c>
    </row>
    <row r="120" spans="1:20" x14ac:dyDescent="0.25">
      <c r="A120" s="5">
        <v>44473</v>
      </c>
      <c r="B120">
        <v>118.7</v>
      </c>
      <c r="C120">
        <v>119.1</v>
      </c>
      <c r="D120">
        <v>112.5</v>
      </c>
      <c r="E120">
        <v>116.6</v>
      </c>
      <c r="F120">
        <v>161227.40400000001</v>
      </c>
      <c r="G120">
        <v>116.6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0.24242424242424176</v>
      </c>
      <c r="Q120">
        <f t="shared" ref="Q120" si="576">F120*P120</f>
        <v>39085.431272727168</v>
      </c>
      <c r="R120">
        <f t="shared" ref="R120" si="577">R121+Q120</f>
        <v>20111837.080071758</v>
      </c>
      <c r="S120">
        <f t="shared" ref="S120" si="578">R120/100000</f>
        <v>201.11837080071757</v>
      </c>
      <c r="T120">
        <f t="shared" ref="T120" si="579">S120/1000</f>
        <v>0.20111837080071757</v>
      </c>
    </row>
    <row r="121" spans="1:20" x14ac:dyDescent="0.25">
      <c r="A121" s="5">
        <v>44472</v>
      </c>
      <c r="B121">
        <v>114.1</v>
      </c>
      <c r="C121">
        <v>119.4</v>
      </c>
      <c r="D121">
        <v>112.4</v>
      </c>
      <c r="E121">
        <v>118.6</v>
      </c>
      <c r="F121">
        <v>158804.65700000001</v>
      </c>
      <c r="G121">
        <v>118.6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0.77142857142856813</v>
      </c>
      <c r="Q121">
        <f t="shared" ref="Q121" si="581">F121*P121</f>
        <v>122506.44968571377</v>
      </c>
      <c r="R121">
        <f t="shared" ref="R121" si="582">R122+Q121</f>
        <v>20072751.648799032</v>
      </c>
      <c r="S121">
        <f t="shared" ref="S121" si="583">R121/100000</f>
        <v>200.72751648799033</v>
      </c>
      <c r="T121">
        <f t="shared" ref="T121" si="584">S121/1000</f>
        <v>0.20072751648799034</v>
      </c>
    </row>
    <row r="122" spans="1:20" x14ac:dyDescent="0.25">
      <c r="A122" s="5">
        <v>44471</v>
      </c>
      <c r="B122">
        <v>114.9</v>
      </c>
      <c r="C122">
        <v>117.4</v>
      </c>
      <c r="D122">
        <v>111.9</v>
      </c>
      <c r="E122">
        <v>114.2</v>
      </c>
      <c r="F122">
        <v>146296.864</v>
      </c>
      <c r="G122">
        <v>114.2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-0.16363636363636466</v>
      </c>
      <c r="Q122">
        <f t="shared" ref="Q122" si="586">F122*P122</f>
        <v>-23939.486836363787</v>
      </c>
      <c r="R122">
        <f t="shared" ref="R122" si="587">R123+Q122</f>
        <v>19950245.199113317</v>
      </c>
      <c r="S122">
        <f t="shared" ref="S122" si="588">R122/100000</f>
        <v>199.50245199113317</v>
      </c>
      <c r="T122">
        <f t="shared" ref="T122" si="589">S122/1000</f>
        <v>0.19950245199113317</v>
      </c>
    </row>
    <row r="123" spans="1:20" x14ac:dyDescent="0.25">
      <c r="A123" s="5">
        <v>44470</v>
      </c>
      <c r="B123">
        <v>107.1</v>
      </c>
      <c r="C123">
        <v>115</v>
      </c>
      <c r="D123">
        <v>106.3</v>
      </c>
      <c r="E123">
        <v>114.9</v>
      </c>
      <c r="F123">
        <v>288995.11700000003</v>
      </c>
      <c r="G123">
        <v>114.9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0.97701149425287492</v>
      </c>
      <c r="Q123">
        <f t="shared" ref="Q123" si="591">F123*P123</f>
        <v>282351.55109195446</v>
      </c>
      <c r="R123">
        <f t="shared" ref="R123" si="592">R124+Q123</f>
        <v>19974184.685949679</v>
      </c>
      <c r="S123">
        <f t="shared" ref="S123" si="593">R123/100000</f>
        <v>199.7418468594968</v>
      </c>
      <c r="T123">
        <f t="shared" ref="T123" si="594">S123/1000</f>
        <v>0.19974184685949681</v>
      </c>
    </row>
    <row r="124" spans="1:20" x14ac:dyDescent="0.25">
      <c r="A124" s="5">
        <v>44469</v>
      </c>
      <c r="B124">
        <v>103.6</v>
      </c>
      <c r="C124">
        <v>108</v>
      </c>
      <c r="D124">
        <v>103</v>
      </c>
      <c r="E124">
        <v>107.1</v>
      </c>
      <c r="F124">
        <v>156947.666</v>
      </c>
      <c r="G124">
        <v>107.1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0.63999999999999768</v>
      </c>
      <c r="Q124">
        <f t="shared" ref="Q124" si="596">F124*P124</f>
        <v>100446.50623999964</v>
      </c>
      <c r="R124">
        <f t="shared" ref="R124" si="597">R125+Q124</f>
        <v>19691833.134857725</v>
      </c>
      <c r="S124">
        <f t="shared" ref="S124" si="598">R124/100000</f>
        <v>196.91833134857725</v>
      </c>
      <c r="T124">
        <f t="shared" ref="T124" si="599">S124/1000</f>
        <v>0.19691833134857725</v>
      </c>
    </row>
    <row r="125" spans="1:20" x14ac:dyDescent="0.25">
      <c r="A125" s="5">
        <v>44468</v>
      </c>
      <c r="B125">
        <v>100.7</v>
      </c>
      <c r="C125">
        <v>108.4</v>
      </c>
      <c r="D125">
        <v>100.4</v>
      </c>
      <c r="E125">
        <v>103.7</v>
      </c>
      <c r="F125">
        <v>182700.177</v>
      </c>
      <c r="G125">
        <v>103.7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-0.17500000000000071</v>
      </c>
      <c r="Q125">
        <f t="shared" ref="Q125" si="601">F125*P125</f>
        <v>-31972.530975000129</v>
      </c>
      <c r="R125">
        <f t="shared" ref="R125" si="602">R126+Q125</f>
        <v>19591386.628617726</v>
      </c>
      <c r="S125">
        <f t="shared" ref="S125" si="603">R125/100000</f>
        <v>195.91386628617727</v>
      </c>
      <c r="T125">
        <f t="shared" ref="T125" si="604">S125/1000</f>
        <v>0.19591386628617727</v>
      </c>
    </row>
    <row r="126" spans="1:20" x14ac:dyDescent="0.25">
      <c r="A126" s="5">
        <v>44467</v>
      </c>
      <c r="B126">
        <v>104.6</v>
      </c>
      <c r="C126">
        <v>107.8</v>
      </c>
      <c r="D126">
        <v>100.2</v>
      </c>
      <c r="E126">
        <v>100.8</v>
      </c>
      <c r="F126">
        <v>169388.75988</v>
      </c>
      <c r="G126">
        <v>100.8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-0.84210526315789613</v>
      </c>
      <c r="Q126">
        <f t="shared" ref="Q126" si="606">F126*P126</f>
        <v>-142643.16621473708</v>
      </c>
      <c r="R126">
        <f t="shared" ref="R126" si="607">R127+Q126</f>
        <v>19623359.159592725</v>
      </c>
      <c r="S126">
        <f t="shared" ref="S126" si="608">R126/100000</f>
        <v>196.23359159592727</v>
      </c>
      <c r="T126">
        <f t="shared" ref="T126" si="609">S126/1000</f>
        <v>0.19623359159592726</v>
      </c>
    </row>
    <row r="127" spans="1:20" x14ac:dyDescent="0.25">
      <c r="A127" s="5">
        <v>44466</v>
      </c>
      <c r="B127">
        <v>111.1</v>
      </c>
      <c r="C127">
        <v>113.8</v>
      </c>
      <c r="D127">
        <v>104.4</v>
      </c>
      <c r="E127">
        <v>104.5</v>
      </c>
      <c r="F127">
        <v>177027.46</v>
      </c>
      <c r="G127">
        <v>104.5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-0.97872340425532034</v>
      </c>
      <c r="Q127">
        <f t="shared" ref="Q127" si="611">F127*P127</f>
        <v>-173260.91829787253</v>
      </c>
      <c r="R127">
        <f t="shared" ref="R127" si="612">R128+Q127</f>
        <v>19766002.325807463</v>
      </c>
      <c r="S127">
        <f t="shared" ref="S127" si="613">R127/100000</f>
        <v>197.66002325807463</v>
      </c>
      <c r="T127">
        <f t="shared" ref="T127" si="614">S127/1000</f>
        <v>0.19766002325807464</v>
      </c>
    </row>
    <row r="128" spans="1:20" x14ac:dyDescent="0.25">
      <c r="A128" s="5">
        <v>44465</v>
      </c>
      <c r="B128">
        <v>110.7</v>
      </c>
      <c r="C128">
        <v>113.1</v>
      </c>
      <c r="D128">
        <v>101.9</v>
      </c>
      <c r="E128">
        <v>111.2</v>
      </c>
      <c r="F128">
        <v>326590.92197000002</v>
      </c>
      <c r="G128">
        <v>111.2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0.66071428571428692</v>
      </c>
      <c r="Q128">
        <f t="shared" ref="Q128" si="616">F128*P128</f>
        <v>215783.28773017897</v>
      </c>
      <c r="R128">
        <f t="shared" ref="R128" si="617">R129+Q128</f>
        <v>19939263.244105335</v>
      </c>
      <c r="S128">
        <f t="shared" ref="S128" si="618">R128/100000</f>
        <v>199.39263244105337</v>
      </c>
      <c r="T128">
        <f t="shared" ref="T128" si="619">S128/1000</f>
        <v>0.19939263244105337</v>
      </c>
    </row>
    <row r="129" spans="1:20" x14ac:dyDescent="0.25">
      <c r="A129" s="5">
        <v>44464</v>
      </c>
      <c r="B129">
        <v>110.6</v>
      </c>
      <c r="C129">
        <v>112.9</v>
      </c>
      <c r="D129">
        <v>106.8</v>
      </c>
      <c r="E129">
        <v>110.7</v>
      </c>
      <c r="F129">
        <v>205594.13500000001</v>
      </c>
      <c r="G129">
        <v>110.7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0.27868852459016402</v>
      </c>
      <c r="Q129">
        <f t="shared" ref="Q129" si="621">F129*P129</f>
        <v>57296.726147541005</v>
      </c>
      <c r="R129">
        <f t="shared" ref="R129" si="622">R130+Q129</f>
        <v>19723479.956375156</v>
      </c>
      <c r="S129">
        <f t="shared" ref="S129" si="623">R129/100000</f>
        <v>197.23479956375155</v>
      </c>
      <c r="T129">
        <f t="shared" ref="T129" si="624">S129/1000</f>
        <v>0.19723479956375156</v>
      </c>
    </row>
    <row r="130" spans="1:20" x14ac:dyDescent="0.25">
      <c r="A130" s="5">
        <v>44463</v>
      </c>
      <c r="B130">
        <v>122.6</v>
      </c>
      <c r="C130">
        <v>123.4</v>
      </c>
      <c r="D130">
        <v>105</v>
      </c>
      <c r="E130">
        <v>110.6</v>
      </c>
      <c r="F130">
        <v>362428.10803</v>
      </c>
      <c r="G130">
        <v>110.6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-0.39130434782608775</v>
      </c>
      <c r="Q130">
        <f t="shared" ref="Q130" si="626">F130*P130</f>
        <v>-141819.69444652201</v>
      </c>
      <c r="R130">
        <f t="shared" ref="R130" si="627">R131+Q130</f>
        <v>19666183.230227616</v>
      </c>
      <c r="S130">
        <f t="shared" ref="S130" si="628">R130/100000</f>
        <v>196.66183230227617</v>
      </c>
      <c r="T130">
        <f t="shared" ref="T130" si="629">S130/1000</f>
        <v>0.19666183230227616</v>
      </c>
    </row>
    <row r="131" spans="1:20" x14ac:dyDescent="0.25">
      <c r="A131" s="5">
        <v>44462</v>
      </c>
      <c r="B131">
        <v>121.4</v>
      </c>
      <c r="C131">
        <v>123.5</v>
      </c>
      <c r="D131">
        <v>118</v>
      </c>
      <c r="E131">
        <v>122.6</v>
      </c>
      <c r="F131">
        <v>140746.05300000001</v>
      </c>
      <c r="G131">
        <v>122.6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0.67272727272727062</v>
      </c>
      <c r="Q131">
        <f t="shared" ref="Q131" si="631">F131*P131</f>
        <v>94683.708381817894</v>
      </c>
      <c r="R131">
        <f t="shared" ref="R131" si="632">R132+Q131</f>
        <v>19808002.924674138</v>
      </c>
      <c r="S131">
        <f t="shared" ref="S131" si="633">R131/100000</f>
        <v>198.08002924674139</v>
      </c>
      <c r="T131">
        <f t="shared" ref="T131" si="634">S131/1000</f>
        <v>0.1980800292467414</v>
      </c>
    </row>
    <row r="132" spans="1:20" x14ac:dyDescent="0.25">
      <c r="A132" s="5">
        <v>44461</v>
      </c>
      <c r="B132">
        <v>111.7</v>
      </c>
      <c r="C132">
        <v>121.7</v>
      </c>
      <c r="D132">
        <v>110.5</v>
      </c>
      <c r="E132">
        <v>121.3</v>
      </c>
      <c r="F132">
        <v>163718.01999999999</v>
      </c>
      <c r="G132">
        <v>121.3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0.9285714285714276</v>
      </c>
      <c r="Q132">
        <f t="shared" ref="Q132" si="636">F132*P132</f>
        <v>152023.87571428553</v>
      </c>
      <c r="R132">
        <f t="shared" ref="R132" si="637">R133+Q132</f>
        <v>19713319.216292322</v>
      </c>
      <c r="S132">
        <f t="shared" ref="S132" si="638">R132/100000</f>
        <v>197.13319216292322</v>
      </c>
      <c r="T132">
        <f t="shared" ref="T132" si="639">S132/1000</f>
        <v>0.19713319216292322</v>
      </c>
    </row>
    <row r="133" spans="1:20" x14ac:dyDescent="0.25">
      <c r="A133" s="5">
        <v>44460</v>
      </c>
      <c r="B133">
        <v>119.1</v>
      </c>
      <c r="C133">
        <v>120.9</v>
      </c>
      <c r="D133">
        <v>108.1</v>
      </c>
      <c r="E133">
        <v>111.7</v>
      </c>
      <c r="F133">
        <v>273891.47632999998</v>
      </c>
      <c r="G133">
        <v>111.7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-0.43749999999999917</v>
      </c>
      <c r="Q133">
        <f t="shared" ref="Q133" si="641">F133*P133</f>
        <v>-119827.52089437476</v>
      </c>
      <c r="R133">
        <f t="shared" ref="R133" si="642">R134+Q133</f>
        <v>19561295.340578035</v>
      </c>
      <c r="S133">
        <f t="shared" ref="S133" si="643">R133/100000</f>
        <v>195.61295340578033</v>
      </c>
      <c r="T133">
        <f t="shared" ref="T133" si="644">S133/1000</f>
        <v>0.19561295340578033</v>
      </c>
    </row>
    <row r="134" spans="1:20" x14ac:dyDescent="0.25">
      <c r="A134" s="5">
        <v>44459</v>
      </c>
      <c r="B134">
        <v>133.6</v>
      </c>
      <c r="C134">
        <v>134</v>
      </c>
      <c r="D134">
        <v>121.6</v>
      </c>
      <c r="E134">
        <v>123.4</v>
      </c>
      <c r="F134">
        <v>169455.679</v>
      </c>
      <c r="G134">
        <v>123.4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-0.70967741935483697</v>
      </c>
      <c r="Q134">
        <f t="shared" ref="Q134" si="646">F134*P134</f>
        <v>-120258.86896774164</v>
      </c>
      <c r="R134">
        <f t="shared" ref="R134" si="647">R135+Q134</f>
        <v>19681122.861472409</v>
      </c>
      <c r="S134">
        <f t="shared" ref="S134" si="648">R134/100000</f>
        <v>196.81122861472409</v>
      </c>
      <c r="T134">
        <f t="shared" ref="T134" si="649">S134/1000</f>
        <v>0.19681122861472408</v>
      </c>
    </row>
    <row r="135" spans="1:20" x14ac:dyDescent="0.25">
      <c r="A135" s="5">
        <v>44458</v>
      </c>
      <c r="B135">
        <v>138.5</v>
      </c>
      <c r="C135">
        <v>141.5</v>
      </c>
      <c r="D135">
        <v>132</v>
      </c>
      <c r="E135">
        <v>133.6</v>
      </c>
      <c r="F135">
        <v>132657.856</v>
      </c>
      <c r="G135">
        <v>133.6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-0.66315789473684328</v>
      </c>
      <c r="Q135">
        <f t="shared" ref="Q135" si="651">F135*P135</f>
        <v>-87973.104505263313</v>
      </c>
      <c r="R135">
        <f t="shared" ref="R135" si="652">R136+Q135</f>
        <v>19801381.730440151</v>
      </c>
      <c r="S135">
        <f t="shared" ref="S135" si="653">R135/100000</f>
        <v>198.0138173044015</v>
      </c>
      <c r="T135">
        <f t="shared" ref="T135" si="654">S135/1000</f>
        <v>0.19801381730440151</v>
      </c>
    </row>
    <row r="136" spans="1:20" x14ac:dyDescent="0.25">
      <c r="A136" s="5">
        <v>44457</v>
      </c>
      <c r="B136">
        <v>134.5</v>
      </c>
      <c r="C136">
        <v>144</v>
      </c>
      <c r="D136">
        <v>132.69999999999999</v>
      </c>
      <c r="E136">
        <v>138.6</v>
      </c>
      <c r="F136">
        <v>161972.55300000001</v>
      </c>
      <c r="G136">
        <v>138.6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4.4247787610619427E-2</v>
      </c>
      <c r="Q136">
        <f t="shared" ref="Q136" si="656">F136*P136</f>
        <v>7166.927123893799</v>
      </c>
      <c r="R136">
        <f t="shared" ref="R136" si="657">R137+Q136</f>
        <v>19889354.834945414</v>
      </c>
      <c r="S136">
        <f t="shared" ref="S136" si="658">R136/100000</f>
        <v>198.89354834945414</v>
      </c>
      <c r="T136">
        <f t="shared" ref="T136" si="659">S136/1000</f>
        <v>0.19889354834945414</v>
      </c>
    </row>
    <row r="137" spans="1:20" x14ac:dyDescent="0.25">
      <c r="A137" s="5">
        <v>44456</v>
      </c>
      <c r="B137">
        <v>137.80000000000001</v>
      </c>
      <c r="C137">
        <v>140.30000000000001</v>
      </c>
      <c r="D137">
        <v>132</v>
      </c>
      <c r="E137">
        <v>134.5</v>
      </c>
      <c r="F137">
        <v>152262.864</v>
      </c>
      <c r="G137">
        <v>134.5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-0.39759036144578397</v>
      </c>
      <c r="Q137">
        <f t="shared" ref="Q137" si="661">F137*P137</f>
        <v>-60538.247132530247</v>
      </c>
      <c r="R137">
        <f t="shared" ref="R137" si="662">R138+Q137</f>
        <v>19882187.907821521</v>
      </c>
      <c r="S137">
        <f t="shared" ref="S137" si="663">R137/100000</f>
        <v>198.8218790782152</v>
      </c>
      <c r="T137">
        <f t="shared" ref="T137" si="664">S137/1000</f>
        <v>0.19882187907821519</v>
      </c>
    </row>
    <row r="138" spans="1:20" x14ac:dyDescent="0.25">
      <c r="A138" s="5">
        <v>44455</v>
      </c>
      <c r="B138">
        <v>139.9</v>
      </c>
      <c r="C138">
        <v>146.6</v>
      </c>
      <c r="D138">
        <v>133.69999999999999</v>
      </c>
      <c r="E138">
        <v>137.9</v>
      </c>
      <c r="F138">
        <v>296179.36</v>
      </c>
      <c r="G138">
        <v>137.9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-0.3488372093023232</v>
      </c>
      <c r="Q138">
        <f t="shared" ref="Q138" si="666">F138*P138</f>
        <v>-103318.38139534813</v>
      </c>
      <c r="R138">
        <f t="shared" ref="R138" si="667">R139+Q138</f>
        <v>19942726.15495405</v>
      </c>
      <c r="S138">
        <f t="shared" ref="S138" si="668">R138/100000</f>
        <v>199.4272615495405</v>
      </c>
      <c r="T138">
        <f t="shared" ref="T138" si="669">S138/1000</f>
        <v>0.19942726154954049</v>
      </c>
    </row>
    <row r="139" spans="1:20" x14ac:dyDescent="0.25">
      <c r="A139" s="5">
        <v>44454</v>
      </c>
      <c r="B139">
        <v>133.80000000000001</v>
      </c>
      <c r="C139">
        <v>140.1</v>
      </c>
      <c r="D139">
        <v>130.80000000000001</v>
      </c>
      <c r="E139">
        <v>139.80000000000001</v>
      </c>
      <c r="F139">
        <v>165013.49600000001</v>
      </c>
      <c r="G139">
        <v>139.80000000000001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0.93548387096774543</v>
      </c>
      <c r="Q139">
        <f t="shared" ref="Q139" si="671">F139*P139</f>
        <v>154367.46400000059</v>
      </c>
      <c r="R139">
        <f t="shared" ref="R139" si="672">R140+Q139</f>
        <v>20046044.536349397</v>
      </c>
      <c r="S139">
        <f t="shared" ref="S139" si="673">R139/100000</f>
        <v>200.46044536349396</v>
      </c>
      <c r="T139">
        <f t="shared" ref="T139" si="674">S139/1000</f>
        <v>0.20046044536349397</v>
      </c>
    </row>
    <row r="140" spans="1:20" x14ac:dyDescent="0.25">
      <c r="A140" s="5">
        <v>44453</v>
      </c>
      <c r="B140">
        <v>127.8</v>
      </c>
      <c r="C140">
        <v>133.9</v>
      </c>
      <c r="D140">
        <v>126.3</v>
      </c>
      <c r="E140">
        <v>133.80000000000001</v>
      </c>
      <c r="F140">
        <v>146854.21900000001</v>
      </c>
      <c r="G140">
        <v>133.80000000000001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0.97368421052631726</v>
      </c>
      <c r="Q140">
        <f t="shared" ref="Q140" si="676">F140*P140</f>
        <v>142989.63428947391</v>
      </c>
      <c r="R140">
        <f t="shared" ref="R140" si="677">R141+Q140</f>
        <v>19891677.072349396</v>
      </c>
      <c r="S140">
        <f t="shared" ref="S140" si="678">R140/100000</f>
        <v>198.91677072349395</v>
      </c>
      <c r="T140">
        <f t="shared" ref="T140" si="679">S140/1000</f>
        <v>0.19891677072349395</v>
      </c>
    </row>
    <row r="141" spans="1:20" x14ac:dyDescent="0.25">
      <c r="A141" s="5">
        <v>44452</v>
      </c>
      <c r="B141">
        <v>131.30000000000001</v>
      </c>
      <c r="C141">
        <v>132.6</v>
      </c>
      <c r="D141">
        <v>120.8</v>
      </c>
      <c r="E141">
        <v>127.8</v>
      </c>
      <c r="F141">
        <v>307059.50900000002</v>
      </c>
      <c r="G141">
        <v>127.8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0.18644067796610198</v>
      </c>
      <c r="Q141">
        <f t="shared" ref="Q141" si="681">F141*P141</f>
        <v>57248.383033898397</v>
      </c>
      <c r="R141">
        <f t="shared" ref="R141" si="682">R142+Q141</f>
        <v>19748687.438059922</v>
      </c>
      <c r="S141">
        <f t="shared" ref="S141" si="683">R141/100000</f>
        <v>197.48687438059923</v>
      </c>
      <c r="T141">
        <f t="shared" ref="T141" si="684">S141/1000</f>
        <v>0.19748687438059923</v>
      </c>
    </row>
    <row r="142" spans="1:20" x14ac:dyDescent="0.25">
      <c r="A142" s="5">
        <v>44451</v>
      </c>
      <c r="B142">
        <v>128.5</v>
      </c>
      <c r="C142">
        <v>133.69999999999999</v>
      </c>
      <c r="D142">
        <v>126.1</v>
      </c>
      <c r="E142">
        <v>131.30000000000001</v>
      </c>
      <c r="F142">
        <v>177614.84700000001</v>
      </c>
      <c r="G142">
        <v>131.30000000000001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0.36842105263158448</v>
      </c>
      <c r="Q142">
        <f t="shared" ref="Q142" si="686">F142*P142</f>
        <v>65437.048894737825</v>
      </c>
      <c r="R142">
        <f t="shared" ref="R142" si="687">R143+Q142</f>
        <v>19691439.055026025</v>
      </c>
      <c r="S142">
        <f t="shared" ref="S142" si="688">R142/100000</f>
        <v>196.91439055026024</v>
      </c>
      <c r="T142">
        <f t="shared" ref="T142" si="689">S142/1000</f>
        <v>0.19691439055026025</v>
      </c>
    </row>
    <row r="143" spans="1:20" x14ac:dyDescent="0.25">
      <c r="A143" s="5">
        <v>44450</v>
      </c>
      <c r="B143">
        <v>128.1</v>
      </c>
      <c r="C143">
        <v>134.4</v>
      </c>
      <c r="D143">
        <v>126.6</v>
      </c>
      <c r="E143">
        <v>128.5</v>
      </c>
      <c r="F143">
        <v>206744.837</v>
      </c>
      <c r="G143">
        <v>128.5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-0.51282051282051211</v>
      </c>
      <c r="Q143">
        <f t="shared" ref="Q143" si="691">F143*P143</f>
        <v>-106022.99333333319</v>
      </c>
      <c r="R143">
        <f t="shared" ref="R143" si="692">R144+Q143</f>
        <v>19626002.006131288</v>
      </c>
      <c r="S143">
        <f t="shared" ref="S143" si="693">R143/100000</f>
        <v>196.26002006131287</v>
      </c>
      <c r="T143">
        <f t="shared" ref="T143" si="694">S143/1000</f>
        <v>0.19626002006131288</v>
      </c>
    </row>
    <row r="144" spans="1:20" x14ac:dyDescent="0.25">
      <c r="A144" s="5">
        <v>44449</v>
      </c>
      <c r="B144">
        <v>137.69999999999999</v>
      </c>
      <c r="C144">
        <v>142.6</v>
      </c>
      <c r="D144">
        <v>124.8</v>
      </c>
      <c r="E144">
        <v>128.19999999999999</v>
      </c>
      <c r="F144">
        <v>240179.67199999999</v>
      </c>
      <c r="G144">
        <v>128.19999999999999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-0.61797752808988848</v>
      </c>
      <c r="Q144">
        <f t="shared" ref="Q144" si="696">F144*P144</f>
        <v>-148425.64000000019</v>
      </c>
      <c r="R144">
        <f t="shared" ref="R144" si="697">R145+Q144</f>
        <v>19732024.99946462</v>
      </c>
      <c r="S144">
        <f t="shared" ref="S144" si="698">R144/100000</f>
        <v>197.32024999464619</v>
      </c>
      <c r="T144">
        <f t="shared" ref="T144" si="699">S144/1000</f>
        <v>0.1973202499946462</v>
      </c>
    </row>
    <row r="145" spans="1:20" x14ac:dyDescent="0.25">
      <c r="A145" s="5">
        <v>44448</v>
      </c>
      <c r="B145">
        <v>135.5</v>
      </c>
      <c r="C145">
        <v>143.4</v>
      </c>
      <c r="D145">
        <v>131.69999999999999</v>
      </c>
      <c r="E145">
        <v>137.6</v>
      </c>
      <c r="F145">
        <v>322562.94500000001</v>
      </c>
      <c r="G145">
        <v>137.6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8.5470085470080483E-3</v>
      </c>
      <c r="Q145">
        <f t="shared" ref="Q145" si="701">F145*P145</f>
        <v>2756.9482478630871</v>
      </c>
      <c r="R145">
        <f t="shared" ref="R145" si="702">R146+Q145</f>
        <v>19880450.639464621</v>
      </c>
      <c r="S145">
        <f t="shared" ref="S145" si="703">R145/100000</f>
        <v>198.80450639464621</v>
      </c>
      <c r="T145">
        <f t="shared" ref="T145" si="704">S145/1000</f>
        <v>0.19880450639464622</v>
      </c>
    </row>
    <row r="146" spans="1:20" x14ac:dyDescent="0.25">
      <c r="A146" s="5">
        <v>44447</v>
      </c>
      <c r="B146">
        <v>136.4</v>
      </c>
      <c r="C146">
        <v>139.4</v>
      </c>
      <c r="D146">
        <v>120.4</v>
      </c>
      <c r="E146">
        <v>135.4</v>
      </c>
      <c r="F146">
        <v>462686.7</v>
      </c>
      <c r="G146">
        <v>135.4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0.57894736842105265</v>
      </c>
      <c r="Q146">
        <f t="shared" ref="Q146" si="706">F146*P146</f>
        <v>267871.24736842106</v>
      </c>
      <c r="R146">
        <f t="shared" ref="R146" si="707">R147+Q146</f>
        <v>19877693.691216756</v>
      </c>
      <c r="S146">
        <f t="shared" ref="S146" si="708">R146/100000</f>
        <v>198.77693691216754</v>
      </c>
      <c r="T146">
        <f t="shared" ref="T146" si="709">S146/1000</f>
        <v>0.19877693691216755</v>
      </c>
    </row>
    <row r="147" spans="1:20" x14ac:dyDescent="0.25">
      <c r="A147" s="5">
        <v>44446</v>
      </c>
      <c r="B147">
        <v>171</v>
      </c>
      <c r="C147">
        <v>171.7</v>
      </c>
      <c r="D147">
        <v>117.9</v>
      </c>
      <c r="E147">
        <v>136.4</v>
      </c>
      <c r="F147">
        <v>626530.10005000001</v>
      </c>
      <c r="G147">
        <v>136.4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-0.31226765799256484</v>
      </c>
      <c r="Q147">
        <f t="shared" ref="Q147" si="711">F147*P147</f>
        <v>-195645.08700446083</v>
      </c>
      <c r="R147">
        <f t="shared" ref="R147" si="712">R148+Q147</f>
        <v>19609822.443848334</v>
      </c>
      <c r="S147">
        <f t="shared" ref="S147" si="713">R147/100000</f>
        <v>196.09822443848336</v>
      </c>
      <c r="T147">
        <f t="shared" ref="T147" si="714">S147/1000</f>
        <v>0.19609822443848335</v>
      </c>
    </row>
    <row r="148" spans="1:20" x14ac:dyDescent="0.25">
      <c r="A148" s="5">
        <v>44445</v>
      </c>
      <c r="B148">
        <v>172.9</v>
      </c>
      <c r="C148">
        <v>175.9</v>
      </c>
      <c r="D148">
        <v>163.9</v>
      </c>
      <c r="E148">
        <v>171.1</v>
      </c>
      <c r="F148">
        <v>245614</v>
      </c>
      <c r="G148">
        <v>171.1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0.1999999999999981</v>
      </c>
      <c r="Q148">
        <f t="shared" ref="Q148" si="716">F148*P148</f>
        <v>49122.79999999953</v>
      </c>
      <c r="R148">
        <f t="shared" ref="R148" si="717">R149+Q148</f>
        <v>19805467.530852795</v>
      </c>
      <c r="S148">
        <f t="shared" ref="S148" si="718">R148/100000</f>
        <v>198.05467530852795</v>
      </c>
      <c r="T148">
        <f t="shared" ref="T148" si="719">S148/1000</f>
        <v>0.19805467530852794</v>
      </c>
    </row>
    <row r="149" spans="1:20" x14ac:dyDescent="0.25">
      <c r="A149" s="5">
        <v>44444</v>
      </c>
      <c r="B149">
        <v>160.19999999999999</v>
      </c>
      <c r="C149">
        <v>175.8</v>
      </c>
      <c r="D149">
        <v>159.1</v>
      </c>
      <c r="E149">
        <v>172.8</v>
      </c>
      <c r="F149">
        <v>275756.13532</v>
      </c>
      <c r="G149">
        <v>172.8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0.64071856287425188</v>
      </c>
      <c r="Q149">
        <f t="shared" ref="Q149" si="721">F149*P149</f>
        <v>176682.07472598812</v>
      </c>
      <c r="R149">
        <f t="shared" ref="R149" si="722">R150+Q149</f>
        <v>19756344.730852794</v>
      </c>
      <c r="S149">
        <f t="shared" ref="S149" si="723">R149/100000</f>
        <v>197.56344730852794</v>
      </c>
      <c r="T149">
        <f t="shared" ref="T149" si="724">S149/1000</f>
        <v>0.19756344730852793</v>
      </c>
    </row>
    <row r="150" spans="1:20" x14ac:dyDescent="0.25">
      <c r="A150" s="5">
        <v>44443</v>
      </c>
      <c r="B150">
        <v>156.5</v>
      </c>
      <c r="C150">
        <v>162.30000000000001</v>
      </c>
      <c r="D150">
        <v>154.9</v>
      </c>
      <c r="E150">
        <v>160.1</v>
      </c>
      <c r="F150">
        <v>177625.54574999999</v>
      </c>
      <c r="G150">
        <v>160.1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0.40540540540540126</v>
      </c>
      <c r="Q150">
        <f t="shared" ref="Q150" si="726">F150*P150</f>
        <v>72010.356385134393</v>
      </c>
      <c r="R150">
        <f t="shared" ref="R150" si="727">R151+Q150</f>
        <v>19579662.656126805</v>
      </c>
      <c r="S150">
        <f t="shared" ref="S150" si="728">R150/100000</f>
        <v>195.79662656126806</v>
      </c>
      <c r="T150">
        <f t="shared" ref="T150" si="729">S150/1000</f>
        <v>0.19579662656126806</v>
      </c>
    </row>
    <row r="151" spans="1:20" x14ac:dyDescent="0.25">
      <c r="A151" s="5">
        <v>44442</v>
      </c>
      <c r="B151">
        <v>150.6</v>
      </c>
      <c r="C151">
        <v>159.9</v>
      </c>
      <c r="D151">
        <v>146.80000000000001</v>
      </c>
      <c r="E151">
        <v>156.4</v>
      </c>
      <c r="F151">
        <v>296944.81134000001</v>
      </c>
      <c r="G151">
        <v>156.4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0.46564885496183184</v>
      </c>
      <c r="Q151">
        <f t="shared" ref="Q151" si="731">F151*P151</f>
        <v>138272.01138732818</v>
      </c>
      <c r="R151">
        <f t="shared" ref="R151" si="732">R152+Q151</f>
        <v>19507652.29974167</v>
      </c>
      <c r="S151">
        <f t="shared" ref="S151" si="733">R151/100000</f>
        <v>195.0765229974167</v>
      </c>
      <c r="T151">
        <f t="shared" ref="T151" si="734">S151/1000</f>
        <v>0.19507652299741671</v>
      </c>
    </row>
    <row r="152" spans="1:20" x14ac:dyDescent="0.25">
      <c r="A152" s="5">
        <v>44441</v>
      </c>
      <c r="B152">
        <v>151.69999999999999</v>
      </c>
      <c r="C152">
        <v>155</v>
      </c>
      <c r="D152">
        <v>150</v>
      </c>
      <c r="E152">
        <v>150.69999999999999</v>
      </c>
      <c r="F152">
        <v>127991.63400000001</v>
      </c>
      <c r="G152">
        <v>150.69999999999999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-0.72000000000000453</v>
      </c>
      <c r="Q152">
        <f t="shared" ref="Q152" si="736">F152*P152</f>
        <v>-92153.97648000058</v>
      </c>
      <c r="R152">
        <f t="shared" ref="R152" si="737">R153+Q152</f>
        <v>19369380.288354341</v>
      </c>
      <c r="S152">
        <f t="shared" ref="S152" si="738">R152/100000</f>
        <v>193.69380288354341</v>
      </c>
      <c r="T152">
        <f t="shared" ref="T152" si="739">S152/1000</f>
        <v>0.1936938028835434</v>
      </c>
    </row>
    <row r="153" spans="1:20" x14ac:dyDescent="0.25">
      <c r="A153" s="5">
        <v>44440</v>
      </c>
      <c r="B153">
        <v>143.80000000000001</v>
      </c>
      <c r="C153">
        <v>151.9</v>
      </c>
      <c r="D153">
        <v>140.69999999999999</v>
      </c>
      <c r="E153">
        <v>151.69999999999999</v>
      </c>
      <c r="F153">
        <v>157409.307</v>
      </c>
      <c r="G153">
        <v>151.69999999999999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0.9642857142857113</v>
      </c>
      <c r="Q153">
        <f t="shared" ref="Q153" si="741">F153*P153</f>
        <v>151787.54603571381</v>
      </c>
      <c r="R153">
        <f t="shared" ref="R153" si="742">R154+Q153</f>
        <v>19461534.264834341</v>
      </c>
      <c r="S153">
        <f t="shared" ref="S153" si="743">R153/100000</f>
        <v>194.61534264834341</v>
      </c>
      <c r="T153">
        <f t="shared" ref="T153" si="744">S153/1000</f>
        <v>0.1946153426483434</v>
      </c>
    </row>
    <row r="154" spans="1:20" x14ac:dyDescent="0.25">
      <c r="A154" s="5">
        <v>44439</v>
      </c>
      <c r="B154">
        <v>141.1</v>
      </c>
      <c r="C154">
        <v>148.30000000000001</v>
      </c>
      <c r="D154">
        <v>138.99</v>
      </c>
      <c r="E154">
        <v>143.80000000000001</v>
      </c>
      <c r="F154">
        <v>147967.13774999999</v>
      </c>
      <c r="G154">
        <v>143.80000000000001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3.3297529538131275E-2</v>
      </c>
      <c r="Q154">
        <f t="shared" ref="Q154" si="746">F154*P154</f>
        <v>4926.9401399033641</v>
      </c>
      <c r="R154">
        <f t="shared" ref="R154" si="747">R155+Q154</f>
        <v>19309746.718798626</v>
      </c>
      <c r="S154">
        <f t="shared" ref="S154" si="748">R154/100000</f>
        <v>193.09746718798627</v>
      </c>
      <c r="T154">
        <f t="shared" ref="T154" si="749">S154/1000</f>
        <v>0.19309746718798626</v>
      </c>
    </row>
    <row r="155" spans="1:20" x14ac:dyDescent="0.25">
      <c r="A155" s="5">
        <v>44438</v>
      </c>
      <c r="B155">
        <v>148.4</v>
      </c>
      <c r="C155">
        <v>149.1</v>
      </c>
      <c r="D155">
        <v>140.4</v>
      </c>
      <c r="E155">
        <v>141.19999999999999</v>
      </c>
      <c r="F155">
        <v>132285.85399999999</v>
      </c>
      <c r="G155">
        <v>141.19999999999999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-0.81609195402299217</v>
      </c>
      <c r="Q155">
        <f t="shared" ref="Q155" si="751">F155*P155</f>
        <v>-107957.42108046025</v>
      </c>
      <c r="R155">
        <f t="shared" ref="R155" si="752">R156+Q155</f>
        <v>19304819.778658722</v>
      </c>
      <c r="S155">
        <f t="shared" ref="S155" si="753">R155/100000</f>
        <v>193.04819778658722</v>
      </c>
      <c r="T155">
        <f t="shared" ref="T155" si="754">S155/1000</f>
        <v>0.19304819778658722</v>
      </c>
    </row>
    <row r="156" spans="1:20" x14ac:dyDescent="0.25">
      <c r="A156" s="5">
        <v>44437</v>
      </c>
      <c r="B156">
        <v>150.6</v>
      </c>
      <c r="C156">
        <v>154.19999999999999</v>
      </c>
      <c r="D156">
        <v>146</v>
      </c>
      <c r="E156">
        <v>148.30000000000001</v>
      </c>
      <c r="F156">
        <v>127014.038</v>
      </c>
      <c r="G156">
        <v>148.30000000000001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-0.43902439024389889</v>
      </c>
      <c r="Q156">
        <f t="shared" ref="Q156" si="756">F156*P156</f>
        <v>-55762.260585365402</v>
      </c>
      <c r="R156">
        <f t="shared" ref="R156" si="757">R157+Q156</f>
        <v>19412777.199739181</v>
      </c>
      <c r="S156">
        <f t="shared" ref="S156" si="758">R156/100000</f>
        <v>194.12777199739182</v>
      </c>
      <c r="T156">
        <f t="shared" ref="T156" si="759">S156/1000</f>
        <v>0.19412777199739181</v>
      </c>
    </row>
    <row r="157" spans="1:20" x14ac:dyDescent="0.25">
      <c r="A157" s="5">
        <v>44436</v>
      </c>
      <c r="B157">
        <v>152.30000000000001</v>
      </c>
      <c r="C157">
        <v>152.6</v>
      </c>
      <c r="D157">
        <v>146.80000000000001</v>
      </c>
      <c r="E157">
        <v>150.5</v>
      </c>
      <c r="F157">
        <v>95439.145000000004</v>
      </c>
      <c r="G157">
        <v>150.5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0.27586206896551707</v>
      </c>
      <c r="Q157">
        <f t="shared" ref="Q157" si="761">F157*P157</f>
        <v>26328.039999999986</v>
      </c>
      <c r="R157">
        <f t="shared" ref="R157" si="762">R158+Q157</f>
        <v>19468539.460324544</v>
      </c>
      <c r="S157">
        <f t="shared" ref="S157" si="763">R157/100000</f>
        <v>194.68539460324544</v>
      </c>
      <c r="T157">
        <f t="shared" ref="T157" si="764">S157/1000</f>
        <v>0.19468539460324544</v>
      </c>
    </row>
    <row r="158" spans="1:20" x14ac:dyDescent="0.25">
      <c r="A158" s="5">
        <v>44435</v>
      </c>
      <c r="B158">
        <v>144</v>
      </c>
      <c r="C158">
        <v>152.4</v>
      </c>
      <c r="D158">
        <v>139.69999999999999</v>
      </c>
      <c r="E158">
        <v>152.30000000000001</v>
      </c>
      <c r="F158">
        <v>253575.81502000001</v>
      </c>
      <c r="G158">
        <v>152.30000000000001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0.98425196850393792</v>
      </c>
      <c r="Q158">
        <f t="shared" ref="Q158" si="766">F158*P158</f>
        <v>249582.49509842542</v>
      </c>
      <c r="R158">
        <f t="shared" ref="R158" si="767">R159+Q158</f>
        <v>19442211.420324545</v>
      </c>
      <c r="S158">
        <f t="shared" ref="S158" si="768">R158/100000</f>
        <v>194.42211420324546</v>
      </c>
      <c r="T158">
        <f t="shared" ref="T158" si="769">S158/1000</f>
        <v>0.19442211420324546</v>
      </c>
    </row>
    <row r="159" spans="1:20" x14ac:dyDescent="0.25">
      <c r="A159" s="5">
        <v>44434</v>
      </c>
      <c r="B159">
        <v>163.78</v>
      </c>
      <c r="C159">
        <v>165.12</v>
      </c>
      <c r="D159">
        <v>143.19999999999999</v>
      </c>
      <c r="E159">
        <v>144</v>
      </c>
      <c r="F159">
        <v>314148.88650999998</v>
      </c>
      <c r="G159">
        <v>144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-0.92700729927007197</v>
      </c>
      <c r="Q159">
        <f t="shared" ref="Q159" si="771">F159*P159</f>
        <v>-291218.31085233542</v>
      </c>
      <c r="R159">
        <f t="shared" ref="R159" si="772">R160+Q159</f>
        <v>19192628.925226118</v>
      </c>
      <c r="S159">
        <f t="shared" ref="S159" si="773">R159/100000</f>
        <v>191.92628925226117</v>
      </c>
      <c r="T159">
        <f t="shared" ref="T159" si="774">S159/1000</f>
        <v>0.19192628925226118</v>
      </c>
    </row>
    <row r="160" spans="1:20" x14ac:dyDescent="0.25">
      <c r="A160" s="5">
        <v>44433</v>
      </c>
      <c r="B160">
        <v>155.29</v>
      </c>
      <c r="C160">
        <v>164.55</v>
      </c>
      <c r="D160">
        <v>150.59</v>
      </c>
      <c r="E160">
        <v>163.80000000000001</v>
      </c>
      <c r="F160">
        <v>201249.92326000001</v>
      </c>
      <c r="G160">
        <v>163.80000000000001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0.89255014326647575</v>
      </c>
      <c r="Q160">
        <f t="shared" ref="Q160" si="776">F160*P160</f>
        <v>179625.64783808027</v>
      </c>
      <c r="R160">
        <f t="shared" ref="R160" si="777">R161+Q160</f>
        <v>19483847.236078452</v>
      </c>
      <c r="S160">
        <f t="shared" ref="S160" si="778">R160/100000</f>
        <v>194.83847236078452</v>
      </c>
      <c r="T160">
        <f t="shared" ref="T160" si="779">S160/1000</f>
        <v>0.19483847236078453</v>
      </c>
    </row>
    <row r="161" spans="1:20" x14ac:dyDescent="0.25">
      <c r="A161" s="5">
        <v>44432</v>
      </c>
      <c r="B161">
        <v>165.1</v>
      </c>
      <c r="C161">
        <v>170.99</v>
      </c>
      <c r="D161">
        <v>152.35</v>
      </c>
      <c r="E161">
        <v>155.30000000000001</v>
      </c>
      <c r="F161">
        <v>296157.86355000001</v>
      </c>
      <c r="G161">
        <v>155.30000000000001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-0.68347639484978384</v>
      </c>
      <c r="Q161">
        <f t="shared" ref="Q161" si="781">F161*P161</f>
        <v>-202416.90888556821</v>
      </c>
      <c r="R161">
        <f t="shared" ref="R161" si="782">R162+Q161</f>
        <v>19304221.588240374</v>
      </c>
      <c r="S161">
        <f t="shared" ref="S161" si="783">R161/100000</f>
        <v>193.04221588240375</v>
      </c>
      <c r="T161">
        <f t="shared" ref="T161" si="784">S161/1000</f>
        <v>0.19304221588240375</v>
      </c>
    </row>
    <row r="162" spans="1:20" x14ac:dyDescent="0.25">
      <c r="A162" s="5">
        <v>44431</v>
      </c>
      <c r="B162">
        <v>160.55000000000001</v>
      </c>
      <c r="C162">
        <v>168.68</v>
      </c>
      <c r="D162">
        <v>159.6</v>
      </c>
      <c r="E162">
        <v>165.12</v>
      </c>
      <c r="F162">
        <v>254311.89324999999</v>
      </c>
      <c r="G162">
        <v>165.12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0.21585903083700497</v>
      </c>
      <c r="Q162">
        <f t="shared" ref="Q162" si="786">F162*P162</f>
        <v>54895.518807268869</v>
      </c>
      <c r="R162">
        <f t="shared" ref="R162" si="787">R163+Q162</f>
        <v>19506638.497125942</v>
      </c>
      <c r="S162">
        <f t="shared" ref="S162" si="788">R162/100000</f>
        <v>195.06638497125942</v>
      </c>
      <c r="T162">
        <f t="shared" ref="T162" si="789">S162/1000</f>
        <v>0.19506638497125942</v>
      </c>
    </row>
    <row r="163" spans="1:20" x14ac:dyDescent="0.25">
      <c r="A163" s="5">
        <v>44430</v>
      </c>
      <c r="B163">
        <v>155.91999999999999</v>
      </c>
      <c r="C163">
        <v>161.6</v>
      </c>
      <c r="D163">
        <v>155.72999999999999</v>
      </c>
      <c r="E163">
        <v>159.13</v>
      </c>
      <c r="F163">
        <v>71865.466790000006</v>
      </c>
      <c r="G163">
        <v>159.13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0.15843270868824635</v>
      </c>
      <c r="Q163">
        <f t="shared" ref="Q163" si="791">F163*P163</f>
        <v>11385.840564684913</v>
      </c>
      <c r="R163">
        <f t="shared" ref="R163" si="792">R164+Q163</f>
        <v>19451742.978318673</v>
      </c>
      <c r="S163">
        <f t="shared" ref="S163" si="793">R163/100000</f>
        <v>194.51742978318671</v>
      </c>
      <c r="T163">
        <f t="shared" ref="T163" si="794">S163/1000</f>
        <v>0.1945174297831867</v>
      </c>
    </row>
    <row r="164" spans="1:20" x14ac:dyDescent="0.25">
      <c r="A164" s="5">
        <v>44429</v>
      </c>
      <c r="B164">
        <v>153.75</v>
      </c>
      <c r="C164">
        <v>157.86000000000001</v>
      </c>
      <c r="D164">
        <v>147.88</v>
      </c>
      <c r="E164">
        <v>155.88999999999999</v>
      </c>
      <c r="F164">
        <v>235913.54181</v>
      </c>
      <c r="G164">
        <v>155.88999999999999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0.60521042084167864</v>
      </c>
      <c r="Q164">
        <f t="shared" ref="Q164" si="796">F164*P164</f>
        <v>142777.33392108104</v>
      </c>
      <c r="R164">
        <f t="shared" ref="R164" si="797">R165+Q164</f>
        <v>19440357.13775399</v>
      </c>
      <c r="S164">
        <f t="shared" ref="S164" si="798">R164/100000</f>
        <v>194.40357137753989</v>
      </c>
      <c r="T164">
        <f t="shared" ref="T164" si="799">S164/1000</f>
        <v>0.19440357137753989</v>
      </c>
    </row>
    <row r="165" spans="1:20" x14ac:dyDescent="0.25">
      <c r="A165" s="5">
        <v>44428</v>
      </c>
      <c r="B165">
        <v>147.35</v>
      </c>
      <c r="C165">
        <v>156</v>
      </c>
      <c r="D165">
        <v>146.08000000000001</v>
      </c>
      <c r="E165">
        <v>153.75</v>
      </c>
      <c r="F165">
        <v>180134.32840999999</v>
      </c>
      <c r="G165">
        <v>153.75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0.54637096774193494</v>
      </c>
      <c r="Q165">
        <f t="shared" ref="Q165" si="801">F165*P165</f>
        <v>98420.167336915212</v>
      </c>
      <c r="R165">
        <f t="shared" ref="R165" si="802">R166+Q165</f>
        <v>19297579.803832907</v>
      </c>
      <c r="S165">
        <f t="shared" ref="S165" si="803">R165/100000</f>
        <v>192.97579803832906</v>
      </c>
      <c r="T165">
        <f t="shared" ref="T165" si="804">S165/1000</f>
        <v>0.19297579803832907</v>
      </c>
    </row>
    <row r="166" spans="1:20" x14ac:dyDescent="0.25">
      <c r="A166" s="5">
        <v>44427</v>
      </c>
      <c r="B166">
        <v>140.79</v>
      </c>
      <c r="C166">
        <v>147.82</v>
      </c>
      <c r="D166">
        <v>137.59</v>
      </c>
      <c r="E166">
        <v>147.37</v>
      </c>
      <c r="F166">
        <v>237583.70421</v>
      </c>
      <c r="G166">
        <v>147.37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0.91202346041055937</v>
      </c>
      <c r="Q166">
        <f t="shared" ref="Q166" si="806">F166*P166</f>
        <v>216681.91205076297</v>
      </c>
      <c r="R166">
        <f t="shared" ref="R166" si="807">R167+Q166</f>
        <v>19199159.636495993</v>
      </c>
      <c r="S166">
        <f t="shared" ref="S166" si="808">R166/100000</f>
        <v>191.99159636495992</v>
      </c>
      <c r="T166">
        <f t="shared" ref="T166" si="809">S166/1000</f>
        <v>0.19199159636495991</v>
      </c>
    </row>
    <row r="167" spans="1:20" x14ac:dyDescent="0.25">
      <c r="A167" s="5">
        <v>44426</v>
      </c>
      <c r="B167">
        <v>141.46</v>
      </c>
      <c r="C167">
        <v>144.97</v>
      </c>
      <c r="D167">
        <v>134.97</v>
      </c>
      <c r="E167">
        <v>140.76</v>
      </c>
      <c r="F167">
        <v>274300.86124</v>
      </c>
      <c r="G167">
        <v>140.76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0.15799999999999842</v>
      </c>
      <c r="Q167">
        <f t="shared" ref="Q167" si="811">F167*P167</f>
        <v>43339.536075919568</v>
      </c>
      <c r="R167">
        <f t="shared" ref="R167" si="812">R168+Q167</f>
        <v>18982477.724445231</v>
      </c>
      <c r="S167">
        <f t="shared" ref="S167" si="813">R167/100000</f>
        <v>189.82477724445232</v>
      </c>
      <c r="T167">
        <f t="shared" ref="T167" si="814">S167/1000</f>
        <v>0.18982477724445232</v>
      </c>
    </row>
    <row r="168" spans="1:20" x14ac:dyDescent="0.25">
      <c r="A168" s="5">
        <v>44425</v>
      </c>
      <c r="B168">
        <v>150.1</v>
      </c>
      <c r="C168">
        <v>159.85</v>
      </c>
      <c r="D168">
        <v>140.69999999999999</v>
      </c>
      <c r="E168">
        <v>141.44999999999999</v>
      </c>
      <c r="F168">
        <v>297791.41626000003</v>
      </c>
      <c r="G168">
        <v>141.44999999999999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-0.92167101827676245</v>
      </c>
      <c r="Q168">
        <f t="shared" ref="Q168" si="816">F168*P168</f>
        <v>-274465.71785843343</v>
      </c>
      <c r="R168">
        <f t="shared" ref="R168" si="817">R169+Q168</f>
        <v>18939138.188369311</v>
      </c>
      <c r="S168">
        <f t="shared" ref="S168" si="818">R168/100000</f>
        <v>189.3913818836931</v>
      </c>
      <c r="T168">
        <f t="shared" ref="T168" si="819">S168/1000</f>
        <v>0.18939138188369309</v>
      </c>
    </row>
    <row r="169" spans="1:20" x14ac:dyDescent="0.25">
      <c r="A169" s="5">
        <v>44424</v>
      </c>
      <c r="B169">
        <v>154.82</v>
      </c>
      <c r="C169">
        <v>157.91999999999999</v>
      </c>
      <c r="D169">
        <v>148.44999999999999</v>
      </c>
      <c r="E169">
        <v>150.12</v>
      </c>
      <c r="F169">
        <v>229233.50003</v>
      </c>
      <c r="G169">
        <v>150.12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-0.6473072861668393</v>
      </c>
      <c r="Q169">
        <f t="shared" ref="Q169" si="821">F169*P169</f>
        <v>-148384.51480294537</v>
      </c>
      <c r="R169">
        <f t="shared" ref="R169" si="822">R170+Q169</f>
        <v>19213603.906227745</v>
      </c>
      <c r="S169">
        <f t="shared" ref="S169" si="823">R169/100000</f>
        <v>192.13603906227746</v>
      </c>
      <c r="T169">
        <f t="shared" ref="T169" si="824">S169/1000</f>
        <v>0.19213603906227747</v>
      </c>
    </row>
    <row r="170" spans="1:20" x14ac:dyDescent="0.25">
      <c r="A170" s="5">
        <v>44423</v>
      </c>
      <c r="B170">
        <v>144.91</v>
      </c>
      <c r="C170">
        <v>156.34</v>
      </c>
      <c r="D170">
        <v>140.62</v>
      </c>
      <c r="E170">
        <v>154.82</v>
      </c>
      <c r="F170">
        <v>248447.96693</v>
      </c>
      <c r="G170">
        <v>154.82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0.80661577608142365</v>
      </c>
      <c r="Q170">
        <f t="shared" ref="Q170" si="826">F170*P170</f>
        <v>200402.04966109383</v>
      </c>
      <c r="R170">
        <f t="shared" ref="R170" si="827">R171+Q170</f>
        <v>19361988.421030689</v>
      </c>
      <c r="S170">
        <f t="shared" ref="S170" si="828">R170/100000</f>
        <v>193.61988421030688</v>
      </c>
      <c r="T170">
        <f t="shared" ref="T170" si="829">S170/1000</f>
        <v>0.19361988421030688</v>
      </c>
    </row>
    <row r="171" spans="1:20" x14ac:dyDescent="0.25">
      <c r="A171" s="5">
        <v>44422</v>
      </c>
      <c r="B171">
        <v>144.94</v>
      </c>
      <c r="C171">
        <v>147.72</v>
      </c>
      <c r="D171">
        <v>137.22</v>
      </c>
      <c r="E171">
        <v>144.88999999999999</v>
      </c>
      <c r="F171">
        <v>214549.33963999999</v>
      </c>
      <c r="G171">
        <v>144.88999999999999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0.46095238095237856</v>
      </c>
      <c r="Q171">
        <f t="shared" ref="Q171" si="831">F171*P171</f>
        <v>98897.028938818534</v>
      </c>
      <c r="R171">
        <f t="shared" ref="R171" si="832">R172+Q171</f>
        <v>19161586.371369597</v>
      </c>
      <c r="S171">
        <f t="shared" ref="S171" si="833">R171/100000</f>
        <v>191.61586371369597</v>
      </c>
      <c r="T171">
        <f t="shared" ref="T171" si="834">S171/1000</f>
        <v>0.19161586371369596</v>
      </c>
    </row>
    <row r="172" spans="1:20" x14ac:dyDescent="0.25">
      <c r="A172" s="5">
        <v>44421</v>
      </c>
      <c r="B172">
        <v>133.59</v>
      </c>
      <c r="C172">
        <v>145.22999999999999</v>
      </c>
      <c r="D172">
        <v>132.66999999999999</v>
      </c>
      <c r="E172">
        <v>144.93</v>
      </c>
      <c r="F172">
        <v>156955.29545999999</v>
      </c>
      <c r="G172">
        <v>144.93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0.95222929936306</v>
      </c>
      <c r="Q172">
        <f t="shared" ref="Q172" si="836">F172*P172</f>
        <v>149457.43102719786</v>
      </c>
      <c r="R172">
        <f t="shared" ref="R172" si="837">R173+Q172</f>
        <v>19062689.342430778</v>
      </c>
      <c r="S172">
        <f t="shared" ref="S172" si="838">R172/100000</f>
        <v>190.62689342430778</v>
      </c>
      <c r="T172">
        <f t="shared" ref="T172" si="839">S172/1000</f>
        <v>0.19062689342430778</v>
      </c>
    </row>
    <row r="173" spans="1:20" x14ac:dyDescent="0.25">
      <c r="A173" s="5">
        <v>44420</v>
      </c>
      <c r="B173">
        <v>137.16999999999999</v>
      </c>
      <c r="C173">
        <v>142.88999999999999</v>
      </c>
      <c r="D173">
        <v>130.37</v>
      </c>
      <c r="E173">
        <v>133.6</v>
      </c>
      <c r="F173">
        <v>218301.28116000001</v>
      </c>
      <c r="G173">
        <v>133.6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-0.48402555910543221</v>
      </c>
      <c r="Q173">
        <f t="shared" ref="Q173" si="841">F173*P173</f>
        <v>-105663.39966690117</v>
      </c>
      <c r="R173">
        <f t="shared" ref="R173" si="842">R174+Q173</f>
        <v>18913231.911403582</v>
      </c>
      <c r="S173">
        <f t="shared" ref="S173" si="843">R173/100000</f>
        <v>189.13231911403582</v>
      </c>
      <c r="T173">
        <f t="shared" ref="T173" si="844">S173/1000</f>
        <v>0.18913231911403583</v>
      </c>
    </row>
    <row r="174" spans="1:20" x14ac:dyDescent="0.25">
      <c r="A174" s="5">
        <v>44419</v>
      </c>
      <c r="B174">
        <v>131.88</v>
      </c>
      <c r="C174">
        <v>142.63999999999999</v>
      </c>
      <c r="D174">
        <v>131.63</v>
      </c>
      <c r="E174">
        <v>137.18</v>
      </c>
      <c r="F174">
        <v>211598.26418999999</v>
      </c>
      <c r="G174">
        <v>137.18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8.1743869209838244E-3</v>
      </c>
      <c r="Q174">
        <f t="shared" ref="Q174" si="846">F174*P174</f>
        <v>1729.6860832976158</v>
      </c>
      <c r="R174">
        <f t="shared" ref="R174" si="847">R175+Q174</f>
        <v>19018895.311070483</v>
      </c>
      <c r="S174">
        <f t="shared" ref="S174" si="848">R174/100000</f>
        <v>190.18895311070483</v>
      </c>
      <c r="T174">
        <f t="shared" ref="T174" si="849">S174/1000</f>
        <v>0.19018895311070483</v>
      </c>
    </row>
    <row r="175" spans="1:20" x14ac:dyDescent="0.25">
      <c r="A175" s="5">
        <v>44418</v>
      </c>
      <c r="B175">
        <v>130.65</v>
      </c>
      <c r="C175">
        <v>134.38999999999999</v>
      </c>
      <c r="D175">
        <v>127.96</v>
      </c>
      <c r="E175">
        <v>131.87</v>
      </c>
      <c r="F175">
        <v>166806.11996000001</v>
      </c>
      <c r="G175">
        <v>131.87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0.21617418351477924</v>
      </c>
      <c r="Q175">
        <f t="shared" ref="Q175" si="851">F175*P175</f>
        <v>36059.17678762132</v>
      </c>
      <c r="R175">
        <f t="shared" ref="R175" si="852">R176+Q175</f>
        <v>19017165.624987185</v>
      </c>
      <c r="S175">
        <f t="shared" ref="S175" si="853">R175/100000</f>
        <v>190.17165624987186</v>
      </c>
      <c r="T175">
        <f t="shared" ref="T175" si="854">S175/1000</f>
        <v>0.19017165624987187</v>
      </c>
    </row>
    <row r="176" spans="1:20" x14ac:dyDescent="0.25">
      <c r="A176" s="5">
        <v>44417</v>
      </c>
      <c r="B176">
        <v>123.46</v>
      </c>
      <c r="C176">
        <v>132.4</v>
      </c>
      <c r="D176">
        <v>118.68</v>
      </c>
      <c r="E176">
        <v>130.65</v>
      </c>
      <c r="F176">
        <v>226925.45876000001</v>
      </c>
      <c r="G176">
        <v>130.65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0.74489795918367341</v>
      </c>
      <c r="Q176">
        <f t="shared" ref="Q176" si="856">F176*P176</f>
        <v>169036.31111714285</v>
      </c>
      <c r="R176">
        <f t="shared" ref="R176" si="857">R177+Q176</f>
        <v>18981106.448199563</v>
      </c>
      <c r="S176">
        <f t="shared" ref="S176" si="858">R176/100000</f>
        <v>189.81106448199563</v>
      </c>
      <c r="T176">
        <f t="shared" ref="T176" si="859">S176/1000</f>
        <v>0.18981106448199564</v>
      </c>
    </row>
    <row r="177" spans="1:20" x14ac:dyDescent="0.25">
      <c r="A177" s="5">
        <v>44416</v>
      </c>
      <c r="B177">
        <v>134.16</v>
      </c>
      <c r="C177">
        <v>136.30000000000001</v>
      </c>
      <c r="D177">
        <v>121.5</v>
      </c>
      <c r="E177">
        <v>123.48</v>
      </c>
      <c r="F177">
        <v>219997.74515</v>
      </c>
      <c r="G177">
        <v>123.48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-0.73243243243243206</v>
      </c>
      <c r="Q177">
        <f t="shared" ref="Q177" si="861">F177*P177</f>
        <v>-161133.48360986478</v>
      </c>
      <c r="R177">
        <f t="shared" ref="R177" si="862">R178+Q177</f>
        <v>18812070.13708242</v>
      </c>
      <c r="S177">
        <f t="shared" ref="S177" si="863">R177/100000</f>
        <v>188.12070137082421</v>
      </c>
      <c r="T177">
        <f t="shared" ref="T177" si="864">S177/1000</f>
        <v>0.18812070137082421</v>
      </c>
    </row>
    <row r="178" spans="1:20" x14ac:dyDescent="0.25">
      <c r="A178" s="5">
        <v>44415</v>
      </c>
      <c r="B178">
        <v>126.93</v>
      </c>
      <c r="C178">
        <v>134.91999999999999</v>
      </c>
      <c r="D178">
        <v>125.42</v>
      </c>
      <c r="E178">
        <v>134.16999999999999</v>
      </c>
      <c r="F178">
        <v>280856.00981999998</v>
      </c>
      <c r="G178">
        <v>134.16999999999999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0.84210526315789447</v>
      </c>
      <c r="Q178">
        <f t="shared" ref="Q178" si="866">F178*P178</f>
        <v>236510.32405894727</v>
      </c>
      <c r="R178">
        <f t="shared" ref="R178" si="867">R179+Q178</f>
        <v>18973203.620692287</v>
      </c>
      <c r="S178">
        <f t="shared" ref="S178" si="868">R178/100000</f>
        <v>189.73203620692286</v>
      </c>
      <c r="T178">
        <f t="shared" ref="T178" si="869">S178/1000</f>
        <v>0.18973203620692286</v>
      </c>
    </row>
    <row r="179" spans="1:20" x14ac:dyDescent="0.25">
      <c r="A179" s="5">
        <v>44414</v>
      </c>
      <c r="B179">
        <v>119.05</v>
      </c>
      <c r="C179">
        <v>128.66999999999999</v>
      </c>
      <c r="D179">
        <v>117.46</v>
      </c>
      <c r="E179">
        <v>126.93</v>
      </c>
      <c r="F179">
        <v>181179.95018000001</v>
      </c>
      <c r="G179">
        <v>126.93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0.68956289027654205</v>
      </c>
      <c r="Q179">
        <f t="shared" ref="Q179" si="871">F179*P179</f>
        <v>124934.9701062807</v>
      </c>
      <c r="R179">
        <f t="shared" ref="R179" si="872">R180+Q179</f>
        <v>18736693.29663334</v>
      </c>
      <c r="S179">
        <f t="shared" ref="S179" si="873">R179/100000</f>
        <v>187.36693296633339</v>
      </c>
      <c r="T179">
        <f t="shared" ref="T179" si="874">S179/1000</f>
        <v>0.18736693296633339</v>
      </c>
    </row>
    <row r="180" spans="1:20" x14ac:dyDescent="0.25">
      <c r="A180" s="5">
        <v>44413</v>
      </c>
      <c r="B180">
        <v>118.07</v>
      </c>
      <c r="C180">
        <v>120.85</v>
      </c>
      <c r="D180">
        <v>114.2</v>
      </c>
      <c r="E180">
        <v>119.03</v>
      </c>
      <c r="F180">
        <v>197031.33494</v>
      </c>
      <c r="G180">
        <v>119.03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0.45263157894736977</v>
      </c>
      <c r="Q180">
        <f t="shared" ref="Q180" si="876">F180*P180</f>
        <v>89182.604236000261</v>
      </c>
      <c r="R180">
        <f t="shared" ref="R180" si="877">R181+Q180</f>
        <v>18611758.326527059</v>
      </c>
      <c r="S180">
        <f t="shared" ref="S180" si="878">R180/100000</f>
        <v>186.11758326527058</v>
      </c>
      <c r="T180">
        <f t="shared" ref="T180" si="879">S180/1000</f>
        <v>0.18611758326527059</v>
      </c>
    </row>
    <row r="181" spans="1:20" x14ac:dyDescent="0.25">
      <c r="A181" s="5">
        <v>44412</v>
      </c>
      <c r="B181">
        <v>114.08</v>
      </c>
      <c r="C181">
        <v>120.74</v>
      </c>
      <c r="D181">
        <v>112.62</v>
      </c>
      <c r="E181">
        <v>118.08</v>
      </c>
      <c r="F181">
        <v>160311.67035999999</v>
      </c>
      <c r="G181">
        <v>118.08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0.34482758620689663</v>
      </c>
      <c r="Q181">
        <f t="shared" ref="Q181" si="881">F181*P181</f>
        <v>55279.88633103449</v>
      </c>
      <c r="R181">
        <f t="shared" ref="R181" si="882">R182+Q181</f>
        <v>18522575.72229106</v>
      </c>
      <c r="S181">
        <f t="shared" ref="S181" si="883">R181/100000</f>
        <v>185.2257572229106</v>
      </c>
      <c r="T181">
        <f t="shared" ref="T181" si="884">S181/1000</f>
        <v>0.1852257572229106</v>
      </c>
    </row>
    <row r="182" spans="1:20" x14ac:dyDescent="0.25">
      <c r="A182" s="5">
        <v>44411</v>
      </c>
      <c r="B182">
        <v>115.26</v>
      </c>
      <c r="C182">
        <v>116.82</v>
      </c>
      <c r="D182">
        <v>109.26</v>
      </c>
      <c r="E182">
        <v>114.05</v>
      </c>
      <c r="F182">
        <v>165543.90288000001</v>
      </c>
      <c r="G182">
        <v>114.05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0.2671957671957671</v>
      </c>
      <c r="Q182">
        <f t="shared" ref="Q182" si="886">F182*P182</f>
        <v>44232.630134603161</v>
      </c>
      <c r="R182">
        <f t="shared" ref="R182" si="887">R183+Q182</f>
        <v>18467295.835960027</v>
      </c>
      <c r="S182">
        <f t="shared" ref="S182" si="888">R182/100000</f>
        <v>184.67295835960027</v>
      </c>
      <c r="T182">
        <f t="shared" ref="T182" si="889">S182/1000</f>
        <v>0.18467295835960026</v>
      </c>
    </row>
    <row r="183" spans="1:20" x14ac:dyDescent="0.25">
      <c r="A183" s="5">
        <v>44410</v>
      </c>
      <c r="B183">
        <v>115.54</v>
      </c>
      <c r="C183">
        <v>119.99</v>
      </c>
      <c r="D183">
        <v>113.22</v>
      </c>
      <c r="E183">
        <v>115.26</v>
      </c>
      <c r="F183">
        <v>177191.75190999999</v>
      </c>
      <c r="G183">
        <v>115.26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-0.39734121122599486</v>
      </c>
      <c r="Q183">
        <f t="shared" ref="Q183" si="891">F183*P183</f>
        <v>-70405.585323175386</v>
      </c>
      <c r="R183">
        <f t="shared" ref="R183" si="892">R184+Q183</f>
        <v>18423063.205825422</v>
      </c>
      <c r="S183">
        <f t="shared" ref="S183" si="893">R183/100000</f>
        <v>184.23063205825423</v>
      </c>
      <c r="T183">
        <f t="shared" ref="T183" si="894">S183/1000</f>
        <v>0.18423063205825424</v>
      </c>
    </row>
    <row r="184" spans="1:20" x14ac:dyDescent="0.25">
      <c r="A184" s="5">
        <v>44409</v>
      </c>
      <c r="B184">
        <v>111.15</v>
      </c>
      <c r="C184">
        <v>123.54</v>
      </c>
      <c r="D184">
        <v>110.39</v>
      </c>
      <c r="E184">
        <v>115.53</v>
      </c>
      <c r="F184">
        <v>298309.00644999999</v>
      </c>
      <c r="G184">
        <v>115.53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-0.21825095057034247</v>
      </c>
      <c r="Q184">
        <f t="shared" ref="Q184" si="896">F184*P184</f>
        <v>-65106.224221406919</v>
      </c>
      <c r="R184">
        <f t="shared" ref="R184" si="897">R185+Q184</f>
        <v>18493468.791148596</v>
      </c>
      <c r="S184">
        <f t="shared" ref="S184" si="898">R184/100000</f>
        <v>184.93468791148595</v>
      </c>
      <c r="T184">
        <f t="shared" ref="T184" si="899">S184/1000</f>
        <v>0.18493468791148596</v>
      </c>
    </row>
    <row r="185" spans="1:20" x14ac:dyDescent="0.25">
      <c r="A185" s="5">
        <v>44408</v>
      </c>
      <c r="B185">
        <v>109.89</v>
      </c>
      <c r="C185">
        <v>112.56</v>
      </c>
      <c r="D185">
        <v>108.81</v>
      </c>
      <c r="E185">
        <v>111.15</v>
      </c>
      <c r="F185">
        <v>150685.75868999999</v>
      </c>
      <c r="G185">
        <v>111.15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0.24800000000000183</v>
      </c>
      <c r="Q185">
        <f t="shared" ref="Q185" si="901">F185*P185</f>
        <v>37370.068155120272</v>
      </c>
      <c r="R185">
        <f t="shared" ref="R185" si="902">R186+Q185</f>
        <v>18558575.015370004</v>
      </c>
      <c r="S185">
        <f t="shared" ref="S185" si="903">R185/100000</f>
        <v>185.58575015370005</v>
      </c>
      <c r="T185">
        <f t="shared" ref="T185" si="904">S185/1000</f>
        <v>0.18558575015370005</v>
      </c>
    </row>
    <row r="186" spans="1:20" x14ac:dyDescent="0.25">
      <c r="A186" s="5">
        <v>44407</v>
      </c>
      <c r="B186">
        <v>107.83</v>
      </c>
      <c r="C186">
        <v>110.11</v>
      </c>
      <c r="D186">
        <v>102.84</v>
      </c>
      <c r="E186">
        <v>109.91</v>
      </c>
      <c r="F186">
        <v>203720.49416999999</v>
      </c>
      <c r="G186">
        <v>109.91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0.94497936726272269</v>
      </c>
      <c r="Q186">
        <f t="shared" ref="Q186" si="906">F186*P186</f>
        <v>192511.66367921577</v>
      </c>
      <c r="R186">
        <f t="shared" ref="R186" si="907">R187+Q186</f>
        <v>18521204.947214883</v>
      </c>
      <c r="S186">
        <f t="shared" ref="S186" si="908">R186/100000</f>
        <v>185.21204947214883</v>
      </c>
      <c r="T186">
        <f t="shared" ref="T186" si="909">S186/1000</f>
        <v>0.18521204947214884</v>
      </c>
    </row>
    <row r="187" spans="1:20" x14ac:dyDescent="0.25">
      <c r="A187" s="5">
        <v>44406</v>
      </c>
      <c r="B187">
        <v>105.9</v>
      </c>
      <c r="C187">
        <v>108.85</v>
      </c>
      <c r="D187">
        <v>104.3</v>
      </c>
      <c r="E187">
        <v>107.84</v>
      </c>
      <c r="F187">
        <v>180321.90471999999</v>
      </c>
      <c r="G187">
        <v>107.84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0.55604395604395973</v>
      </c>
      <c r="Q187">
        <f t="shared" ref="Q187" si="911">F187*P187</f>
        <v>100266.90526189077</v>
      </c>
      <c r="R187">
        <f t="shared" ref="R187" si="912">R188+Q187</f>
        <v>18328693.283535667</v>
      </c>
      <c r="S187">
        <f t="shared" ref="S187" si="913">R187/100000</f>
        <v>183.28693283535668</v>
      </c>
      <c r="T187">
        <f t="shared" ref="T187" si="914">S187/1000</f>
        <v>0.18328693283535669</v>
      </c>
    </row>
    <row r="188" spans="1:20" x14ac:dyDescent="0.25">
      <c r="A188" s="5">
        <v>44405</v>
      </c>
      <c r="B188">
        <v>102.83</v>
      </c>
      <c r="C188">
        <v>106.04</v>
      </c>
      <c r="D188">
        <v>101.48</v>
      </c>
      <c r="E188">
        <v>105.88</v>
      </c>
      <c r="F188">
        <v>208672.87729999999</v>
      </c>
      <c r="G188">
        <v>105.88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0.92982456140350411</v>
      </c>
      <c r="Q188">
        <f t="shared" ref="Q188" si="916">F188*P188</f>
        <v>194029.16661227972</v>
      </c>
      <c r="R188">
        <f t="shared" ref="R188" si="917">R189+Q188</f>
        <v>18228426.378273778</v>
      </c>
      <c r="S188">
        <f t="shared" ref="S188" si="918">R188/100000</f>
        <v>182.28426378273778</v>
      </c>
      <c r="T188">
        <f t="shared" ref="T188" si="919">S188/1000</f>
        <v>0.18228426378273779</v>
      </c>
    </row>
    <row r="189" spans="1:20" x14ac:dyDescent="0.25">
      <c r="A189" s="5">
        <v>44404</v>
      </c>
      <c r="B189">
        <v>101.39</v>
      </c>
      <c r="C189">
        <v>103.64</v>
      </c>
      <c r="D189">
        <v>97.99</v>
      </c>
      <c r="E189">
        <v>102.85</v>
      </c>
      <c r="F189">
        <v>198183.52290000001</v>
      </c>
      <c r="G189">
        <v>102.85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0.72035398230088299</v>
      </c>
      <c r="Q189">
        <f t="shared" ref="Q189" si="921">F189*P189</f>
        <v>142762.28994743325</v>
      </c>
      <c r="R189">
        <f t="shared" ref="R189" si="922">R190+Q189</f>
        <v>18034397.211661499</v>
      </c>
      <c r="S189">
        <f t="shared" ref="S189" si="923">R189/100000</f>
        <v>180.34397211661499</v>
      </c>
      <c r="T189">
        <f t="shared" ref="T189" si="924">S189/1000</f>
        <v>0.18034397211661499</v>
      </c>
    </row>
    <row r="190" spans="1:20" x14ac:dyDescent="0.25">
      <c r="A190" s="5">
        <v>44403</v>
      </c>
      <c r="B190">
        <v>100.42</v>
      </c>
      <c r="C190">
        <v>109.68</v>
      </c>
      <c r="D190">
        <v>100.07</v>
      </c>
      <c r="E190">
        <v>101.33</v>
      </c>
      <c r="F190">
        <v>369624.18261999998</v>
      </c>
      <c r="G190">
        <v>101.33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-0.73777315296566004</v>
      </c>
      <c r="Q190">
        <f t="shared" ref="Q190" si="926">F190*P190</f>
        <v>-272698.79862391233</v>
      </c>
      <c r="R190">
        <f t="shared" ref="R190" si="927">R191+Q190</f>
        <v>17891634.921714067</v>
      </c>
      <c r="S190">
        <f t="shared" ref="S190" si="928">R190/100000</f>
        <v>178.91634921714066</v>
      </c>
      <c r="T190">
        <f t="shared" ref="T190" si="929">S190/1000</f>
        <v>0.17891634921714067</v>
      </c>
    </row>
    <row r="191" spans="1:20" x14ac:dyDescent="0.25">
      <c r="A191" s="5">
        <v>44402</v>
      </c>
      <c r="B191">
        <v>99.24</v>
      </c>
      <c r="C191">
        <v>100.6</v>
      </c>
      <c r="D191">
        <v>95.64</v>
      </c>
      <c r="E191">
        <v>100.44</v>
      </c>
      <c r="F191">
        <v>163229.60128</v>
      </c>
      <c r="G191">
        <v>100.44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0.93548387096774321</v>
      </c>
      <c r="Q191">
        <f t="shared" ref="Q191" si="931">F191*P191</f>
        <v>152698.65926193568</v>
      </c>
      <c r="R191">
        <f t="shared" ref="R191" si="932">R192+Q191</f>
        <v>18164333.720337979</v>
      </c>
      <c r="S191">
        <f t="shared" ref="S191" si="933">R191/100000</f>
        <v>181.64333720337979</v>
      </c>
      <c r="T191">
        <f t="shared" ref="T191:T197" si="934">S191/1000</f>
        <v>0.18164333720337977</v>
      </c>
    </row>
    <row r="192" spans="1:20" x14ac:dyDescent="0.25">
      <c r="A192" s="5">
        <v>44401</v>
      </c>
      <c r="B192">
        <v>97.76</v>
      </c>
      <c r="C192">
        <v>102.69</v>
      </c>
      <c r="D192">
        <v>97.01</v>
      </c>
      <c r="E192">
        <v>99.26</v>
      </c>
      <c r="F192">
        <v>167070.27543000001</v>
      </c>
      <c r="G192">
        <v>99.26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-0.20774647887323841</v>
      </c>
      <c r="Q192">
        <f t="shared" ref="Q192" si="936">F192*P192</f>
        <v>-34708.261444964621</v>
      </c>
      <c r="R192">
        <f t="shared" ref="R192" si="937">R193+Q192</f>
        <v>18011635.061076045</v>
      </c>
      <c r="S192">
        <f t="shared" ref="S192" si="938">R192/100000</f>
        <v>180.11635061076046</v>
      </c>
      <c r="T192">
        <f t="shared" si="934"/>
        <v>0.18011635061076045</v>
      </c>
    </row>
    <row r="193" spans="1:20" x14ac:dyDescent="0.25">
      <c r="A193" s="5">
        <v>44400</v>
      </c>
      <c r="B193">
        <v>97.6</v>
      </c>
      <c r="C193">
        <v>99.1</v>
      </c>
      <c r="D193">
        <v>92.1</v>
      </c>
      <c r="E193">
        <v>97.73</v>
      </c>
      <c r="F193">
        <v>176082.87557999999</v>
      </c>
      <c r="G193">
        <v>97.73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0.60857142857143132</v>
      </c>
      <c r="Q193">
        <f t="shared" ref="Q193" si="940">F193*P193</f>
        <v>107159.0071386862</v>
      </c>
      <c r="R193">
        <f t="shared" ref="R193" si="941">R194+Q193</f>
        <v>18046343.322521009</v>
      </c>
      <c r="S193">
        <f t="shared" ref="S193" si="942">R193/100000</f>
        <v>180.46343322521008</v>
      </c>
      <c r="T193">
        <f t="shared" si="934"/>
        <v>0.18046343322521008</v>
      </c>
    </row>
    <row r="194" spans="1:20" x14ac:dyDescent="0.25">
      <c r="A194" s="5">
        <v>44399</v>
      </c>
      <c r="B194">
        <v>95.21</v>
      </c>
      <c r="C194">
        <v>97.96</v>
      </c>
      <c r="D194">
        <v>91.41</v>
      </c>
      <c r="E194">
        <v>97.6</v>
      </c>
      <c r="F194">
        <v>181032.74393999999</v>
      </c>
      <c r="G194">
        <v>97.6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0.89007633587786272</v>
      </c>
      <c r="Q194">
        <f t="shared" ref="Q194" si="944">F194*P194</f>
        <v>161132.96140003056</v>
      </c>
      <c r="R194">
        <f t="shared" ref="R194" si="945">R195+Q194</f>
        <v>17939184.315382324</v>
      </c>
      <c r="S194">
        <f t="shared" ref="S194" si="946">R194/100000</f>
        <v>179.39184315382323</v>
      </c>
      <c r="T194">
        <f t="shared" si="934"/>
        <v>0.17939184315382323</v>
      </c>
    </row>
    <row r="195" spans="1:20" x14ac:dyDescent="0.25">
      <c r="A195" s="5">
        <v>44398</v>
      </c>
      <c r="B195">
        <v>85.65</v>
      </c>
      <c r="C195">
        <v>95.58</v>
      </c>
      <c r="D195">
        <v>84.2</v>
      </c>
      <c r="E195">
        <v>95.18</v>
      </c>
      <c r="F195">
        <v>275778.08049000002</v>
      </c>
      <c r="G195">
        <v>95.18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0.92970123022847251</v>
      </c>
      <c r="Q195">
        <f t="shared" ref="Q195" si="948">F195*P195</f>
        <v>256391.22070159973</v>
      </c>
      <c r="R195">
        <f t="shared" ref="R195" si="949">R196+Q195</f>
        <v>17778051.353982292</v>
      </c>
      <c r="S195">
        <f t="shared" ref="S195" si="950">R195/100000</f>
        <v>177.78051353982292</v>
      </c>
      <c r="T195">
        <f t="shared" si="934"/>
        <v>0.17778051353982291</v>
      </c>
    </row>
    <row r="196" spans="1:20" x14ac:dyDescent="0.25">
      <c r="A196" s="5">
        <v>44397</v>
      </c>
      <c r="B196">
        <v>89.29</v>
      </c>
      <c r="C196">
        <v>91.8</v>
      </c>
      <c r="D196">
        <v>83.02</v>
      </c>
      <c r="E196">
        <v>85.65</v>
      </c>
      <c r="F196">
        <v>308430.92608</v>
      </c>
      <c r="G196">
        <v>85.65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-0.40091116173120517</v>
      </c>
      <c r="Q196">
        <f t="shared" ref="Q196" si="952">F196*P196</f>
        <v>-123653.40088856427</v>
      </c>
      <c r="R196">
        <f t="shared" ref="R196" si="953">R197+Q196</f>
        <v>17521660.133280691</v>
      </c>
      <c r="S196">
        <f t="shared" ref="S196" si="954">R196/100000</f>
        <v>175.2166013328069</v>
      </c>
      <c r="T196">
        <f t="shared" si="934"/>
        <v>0.17521660133280689</v>
      </c>
    </row>
    <row r="197" spans="1:20" x14ac:dyDescent="0.25">
      <c r="A197" s="5">
        <v>44396</v>
      </c>
      <c r="B197">
        <v>93.94</v>
      </c>
      <c r="C197">
        <v>100.75</v>
      </c>
      <c r="D197">
        <v>88.88</v>
      </c>
      <c r="E197">
        <v>89.25</v>
      </c>
      <c r="F197">
        <v>517063.83908000001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-0.93765796124684009</v>
      </c>
      <c r="Q197">
        <f t="shared" ref="Q197" si="956">F197*P197</f>
        <v>-484829.02518621698</v>
      </c>
      <c r="R197">
        <f t="shared" ref="R197" si="957">R198+Q197</f>
        <v>17645313.534169257</v>
      </c>
      <c r="S197">
        <f t="shared" ref="S197" si="958">R197/100000</f>
        <v>176.45313534169256</v>
      </c>
      <c r="T197">
        <f t="shared" si="934"/>
        <v>0.17645313534169255</v>
      </c>
    </row>
    <row r="198" spans="1:20" x14ac:dyDescent="0.25">
      <c r="A198" s="5">
        <v>44395</v>
      </c>
      <c r="B198">
        <v>93.18</v>
      </c>
      <c r="C198">
        <v>99.64</v>
      </c>
      <c r="D198">
        <v>92.36</v>
      </c>
      <c r="E198">
        <v>93.95</v>
      </c>
      <c r="F198">
        <v>202755.62653000001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-0.5631868131868123</v>
      </c>
      <c r="Q198">
        <f t="shared" ref="Q198:Q261" si="960">F198*P198</f>
        <v>-114189.2951611262</v>
      </c>
      <c r="R198">
        <f t="shared" ref="R198:R261" si="961">R199+Q198</f>
        <v>18130142.559355475</v>
      </c>
      <c r="S198">
        <f t="shared" ref="S198:S261" si="962">R198/100000</f>
        <v>181.30142559355474</v>
      </c>
      <c r="T198">
        <f t="shared" ref="T198:T261" si="963">S198/1000</f>
        <v>0.18130142559355475</v>
      </c>
    </row>
    <row r="199" spans="1:20" x14ac:dyDescent="0.25">
      <c r="A199" s="5">
        <v>44394</v>
      </c>
      <c r="B199">
        <v>93.07</v>
      </c>
      <c r="C199">
        <v>95.84</v>
      </c>
      <c r="D199">
        <v>91.84</v>
      </c>
      <c r="E199">
        <v>93.16</v>
      </c>
      <c r="F199">
        <v>172564.40148999999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-0.34000000000000341</v>
      </c>
      <c r="Q199">
        <f t="shared" si="960"/>
        <v>-58671.896506600584</v>
      </c>
      <c r="R199">
        <f t="shared" si="961"/>
        <v>18244331.854516603</v>
      </c>
      <c r="S199">
        <f t="shared" si="962"/>
        <v>182.44331854516602</v>
      </c>
      <c r="T199">
        <f t="shared" si="963"/>
        <v>0.18244331854516602</v>
      </c>
    </row>
    <row r="200" spans="1:20" x14ac:dyDescent="0.25">
      <c r="A200" s="5">
        <v>44393</v>
      </c>
      <c r="B200">
        <v>100.17</v>
      </c>
      <c r="C200">
        <v>102.45</v>
      </c>
      <c r="D200">
        <v>92.54</v>
      </c>
      <c r="E200">
        <v>93.06</v>
      </c>
      <c r="F200">
        <v>224639.58441000001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-0.89505549949545993</v>
      </c>
      <c r="Q200">
        <f t="shared" si="960"/>
        <v>-201064.89543054509</v>
      </c>
      <c r="R200">
        <f t="shared" si="961"/>
        <v>18303003.751023203</v>
      </c>
      <c r="S200">
        <f t="shared" si="962"/>
        <v>183.03003751023203</v>
      </c>
      <c r="T200">
        <f t="shared" si="963"/>
        <v>0.18303003751023203</v>
      </c>
    </row>
    <row r="201" spans="1:20" x14ac:dyDescent="0.25">
      <c r="A201" s="5">
        <v>44392</v>
      </c>
      <c r="B201">
        <v>104.52</v>
      </c>
      <c r="C201">
        <v>106.16</v>
      </c>
      <c r="D201">
        <v>97.92</v>
      </c>
      <c r="E201">
        <v>100.17</v>
      </c>
      <c r="F201">
        <v>243951.08162000001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-0.45388349514563076</v>
      </c>
      <c r="Q201">
        <f t="shared" si="960"/>
        <v>-110725.36957024265</v>
      </c>
      <c r="R201">
        <f t="shared" si="961"/>
        <v>18504068.646453749</v>
      </c>
      <c r="S201">
        <f t="shared" si="962"/>
        <v>185.04068646453749</v>
      </c>
      <c r="T201">
        <f t="shared" si="963"/>
        <v>0.18504068646453747</v>
      </c>
    </row>
    <row r="202" spans="1:20" x14ac:dyDescent="0.25">
      <c r="A202" s="5">
        <v>44391</v>
      </c>
      <c r="B202">
        <v>104.1</v>
      </c>
      <c r="C202">
        <v>105.88</v>
      </c>
      <c r="D202">
        <v>97.47</v>
      </c>
      <c r="E202">
        <v>104.55</v>
      </c>
      <c r="F202">
        <v>235639.53524999999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0.68370986920332966</v>
      </c>
      <c r="Q202">
        <f t="shared" si="960"/>
        <v>161109.07582491089</v>
      </c>
      <c r="R202">
        <f t="shared" si="961"/>
        <v>18614794.016023993</v>
      </c>
      <c r="S202">
        <f t="shared" si="962"/>
        <v>186.14794016023993</v>
      </c>
      <c r="T202">
        <f t="shared" si="963"/>
        <v>0.18614794016023992</v>
      </c>
    </row>
    <row r="203" spans="1:20" x14ac:dyDescent="0.25">
      <c r="A203" s="5">
        <v>44390</v>
      </c>
      <c r="B203">
        <v>107.68</v>
      </c>
      <c r="C203">
        <v>108.61</v>
      </c>
      <c r="D203">
        <v>101.83</v>
      </c>
      <c r="E203">
        <v>104.1</v>
      </c>
      <c r="F203">
        <v>165862.04556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-0.33038348082595997</v>
      </c>
      <c r="Q203">
        <f t="shared" si="960"/>
        <v>-54798.07994902676</v>
      </c>
      <c r="R203">
        <f t="shared" si="961"/>
        <v>18453684.940199081</v>
      </c>
      <c r="S203">
        <f t="shared" si="962"/>
        <v>184.53684940199082</v>
      </c>
      <c r="T203">
        <f t="shared" si="963"/>
        <v>0.18453684940199083</v>
      </c>
    </row>
    <row r="204" spans="1:20" x14ac:dyDescent="0.25">
      <c r="A204" s="5">
        <v>44389</v>
      </c>
      <c r="B204">
        <v>110.86</v>
      </c>
      <c r="C204">
        <v>112.99</v>
      </c>
      <c r="D204">
        <v>104.67</v>
      </c>
      <c r="E204">
        <v>107.68</v>
      </c>
      <c r="F204">
        <v>172514.9137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-0.27644230769230588</v>
      </c>
      <c r="Q204">
        <f t="shared" si="960"/>
        <v>-47690.420854566997</v>
      </c>
      <c r="R204">
        <f t="shared" si="961"/>
        <v>18508483.020148106</v>
      </c>
      <c r="S204">
        <f t="shared" si="962"/>
        <v>185.08483020148105</v>
      </c>
      <c r="T204">
        <f t="shared" si="963"/>
        <v>0.18508483020148106</v>
      </c>
    </row>
    <row r="205" spans="1:20" x14ac:dyDescent="0.25">
      <c r="A205" s="5">
        <v>44388</v>
      </c>
      <c r="B205">
        <v>108.14</v>
      </c>
      <c r="C205">
        <v>112.54</v>
      </c>
      <c r="D205">
        <v>106.08</v>
      </c>
      <c r="E205">
        <v>110.84</v>
      </c>
      <c r="F205">
        <v>106991.48231000001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0.47368421052631554</v>
      </c>
      <c r="Q205">
        <f t="shared" si="960"/>
        <v>50680.175831052606</v>
      </c>
      <c r="R205">
        <f t="shared" si="961"/>
        <v>18556173.441002674</v>
      </c>
      <c r="S205">
        <f t="shared" si="962"/>
        <v>185.56173441002673</v>
      </c>
      <c r="T205">
        <f t="shared" si="963"/>
        <v>0.18556173441002674</v>
      </c>
    </row>
    <row r="206" spans="1:20" x14ac:dyDescent="0.25">
      <c r="A206" s="5">
        <v>44387</v>
      </c>
      <c r="B206">
        <v>111.01</v>
      </c>
      <c r="C206">
        <v>113.21</v>
      </c>
      <c r="D206">
        <v>106.32</v>
      </c>
      <c r="E206">
        <v>108.12</v>
      </c>
      <c r="F206">
        <v>127833.95163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-0.47750362844702143</v>
      </c>
      <c r="Q206">
        <f t="shared" si="960"/>
        <v>-61041.175742046027</v>
      </c>
      <c r="R206">
        <f t="shared" si="961"/>
        <v>18505493.265171621</v>
      </c>
      <c r="S206">
        <f t="shared" si="962"/>
        <v>185.0549326517162</v>
      </c>
      <c r="T206">
        <f t="shared" si="963"/>
        <v>0.18505493265171619</v>
      </c>
    </row>
    <row r="207" spans="1:20" x14ac:dyDescent="0.25">
      <c r="A207" s="5">
        <v>44386</v>
      </c>
      <c r="B207">
        <v>109.45</v>
      </c>
      <c r="C207">
        <v>112.96</v>
      </c>
      <c r="D207">
        <v>105.14</v>
      </c>
      <c r="E207">
        <v>111.01</v>
      </c>
      <c r="F207">
        <v>195088.76355999999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0.50127877237851914</v>
      </c>
      <c r="Q207">
        <f t="shared" si="960"/>
        <v>97793.855902199983</v>
      </c>
      <c r="R207">
        <f t="shared" si="961"/>
        <v>18566534.440913666</v>
      </c>
      <c r="S207">
        <f t="shared" si="962"/>
        <v>185.66534440913665</v>
      </c>
      <c r="T207">
        <f t="shared" si="963"/>
        <v>0.18566534440913665</v>
      </c>
    </row>
    <row r="208" spans="1:20" x14ac:dyDescent="0.25">
      <c r="A208" s="5">
        <v>44385</v>
      </c>
      <c r="B208">
        <v>118.56</v>
      </c>
      <c r="C208">
        <v>118.73</v>
      </c>
      <c r="D208">
        <v>107.04</v>
      </c>
      <c r="E208">
        <v>109.46</v>
      </c>
      <c r="F208">
        <v>220517.50271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-0.58597091531223477</v>
      </c>
      <c r="Q208">
        <f t="shared" si="960"/>
        <v>-129216.84290534692</v>
      </c>
      <c r="R208">
        <f t="shared" si="961"/>
        <v>18468740.585011467</v>
      </c>
      <c r="S208">
        <f t="shared" si="962"/>
        <v>184.68740585011469</v>
      </c>
      <c r="T208">
        <f t="shared" si="963"/>
        <v>0.1846874058501147</v>
      </c>
    </row>
    <row r="209" spans="1:20" x14ac:dyDescent="0.25">
      <c r="A209" s="5">
        <v>44384</v>
      </c>
      <c r="B209">
        <v>117.47</v>
      </c>
      <c r="C209">
        <v>122.2</v>
      </c>
      <c r="D209">
        <v>115.41</v>
      </c>
      <c r="E209">
        <v>118.55</v>
      </c>
      <c r="F209">
        <v>190721.93942000001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-7.5110456553756214E-2</v>
      </c>
      <c r="Q209">
        <f t="shared" si="960"/>
        <v>-14325.211944654035</v>
      </c>
      <c r="R209">
        <f t="shared" si="961"/>
        <v>18597957.427916814</v>
      </c>
      <c r="S209">
        <f t="shared" si="962"/>
        <v>185.97957427916813</v>
      </c>
      <c r="T209">
        <f t="shared" si="963"/>
        <v>0.18597957427916814</v>
      </c>
    </row>
    <row r="210" spans="1:20" x14ac:dyDescent="0.25">
      <c r="A210" s="5">
        <v>44383</v>
      </c>
      <c r="B210">
        <v>111.17</v>
      </c>
      <c r="C210">
        <v>119.05</v>
      </c>
      <c r="D210">
        <v>110.83</v>
      </c>
      <c r="E210">
        <v>117.51</v>
      </c>
      <c r="F210">
        <v>228450.82023000001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0.62530413625304326</v>
      </c>
      <c r="Q210">
        <f t="shared" si="960"/>
        <v>142851.24282021943</v>
      </c>
      <c r="R210">
        <f t="shared" si="961"/>
        <v>18612282.639861468</v>
      </c>
      <c r="S210">
        <f t="shared" si="962"/>
        <v>186.12282639861468</v>
      </c>
      <c r="T210">
        <f t="shared" si="963"/>
        <v>0.18612282639861469</v>
      </c>
    </row>
    <row r="211" spans="1:20" x14ac:dyDescent="0.25">
      <c r="A211" s="5">
        <v>44382</v>
      </c>
      <c r="B211">
        <v>120.28</v>
      </c>
      <c r="C211">
        <v>120.3</v>
      </c>
      <c r="D211">
        <v>110.28</v>
      </c>
      <c r="E211">
        <v>111.17</v>
      </c>
      <c r="F211">
        <v>188195.55781999999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-0.82235528942115754</v>
      </c>
      <c r="Q211">
        <f t="shared" si="960"/>
        <v>-154763.61241884227</v>
      </c>
      <c r="R211">
        <f t="shared" si="961"/>
        <v>18469431.39704125</v>
      </c>
      <c r="S211">
        <f t="shared" si="962"/>
        <v>184.69431397041251</v>
      </c>
      <c r="T211">
        <f t="shared" si="963"/>
        <v>0.1846943139704125</v>
      </c>
    </row>
    <row r="212" spans="1:20" x14ac:dyDescent="0.25">
      <c r="A212" s="5">
        <v>44381</v>
      </c>
      <c r="B212">
        <v>116.23</v>
      </c>
      <c r="C212">
        <v>125.68</v>
      </c>
      <c r="D212">
        <v>113.25</v>
      </c>
      <c r="E212">
        <v>120.25</v>
      </c>
      <c r="F212">
        <v>224472.68692000001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0.12630732099758588</v>
      </c>
      <c r="Q212">
        <f t="shared" si="960"/>
        <v>28352.543721995036</v>
      </c>
      <c r="R212">
        <f t="shared" si="961"/>
        <v>18624195.009460092</v>
      </c>
      <c r="S212">
        <f t="shared" si="962"/>
        <v>186.24195009460092</v>
      </c>
      <c r="T212">
        <f t="shared" si="963"/>
        <v>0.18624195009460093</v>
      </c>
    </row>
    <row r="213" spans="1:20" x14ac:dyDescent="0.25">
      <c r="A213" s="5">
        <v>44380</v>
      </c>
      <c r="B213">
        <v>118.49</v>
      </c>
      <c r="C213">
        <v>118.96</v>
      </c>
      <c r="D213">
        <v>113.02</v>
      </c>
      <c r="E213">
        <v>116.22</v>
      </c>
      <c r="F213">
        <v>139816.44933</v>
      </c>
      <c r="G213">
        <v>0</v>
      </c>
      <c r="L213" t="s">
        <v>7</v>
      </c>
      <c r="M213" t="s">
        <v>7</v>
      </c>
      <c r="N213" t="s">
        <v>8</v>
      </c>
      <c r="P213">
        <f t="shared" si="959"/>
        <v>7.7441077441078809E-2</v>
      </c>
      <c r="Q213">
        <f t="shared" si="960"/>
        <v>10827.536480101202</v>
      </c>
      <c r="R213">
        <f t="shared" si="961"/>
        <v>18595842.465738095</v>
      </c>
      <c r="S213">
        <f t="shared" si="962"/>
        <v>185.95842465738096</v>
      </c>
      <c r="T213">
        <f t="shared" si="963"/>
        <v>0.18595842465738097</v>
      </c>
    </row>
    <row r="214" spans="1:20" x14ac:dyDescent="0.25">
      <c r="A214" s="5">
        <v>44379</v>
      </c>
      <c r="B214">
        <v>120.15</v>
      </c>
      <c r="C214">
        <v>121.66</v>
      </c>
      <c r="D214">
        <v>112.43</v>
      </c>
      <c r="E214">
        <v>118.5</v>
      </c>
      <c r="F214">
        <v>227303.31830000001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0.31527627302275185</v>
      </c>
      <c r="Q214">
        <f t="shared" si="960"/>
        <v>71663.343039328276</v>
      </c>
      <c r="R214">
        <f t="shared" si="961"/>
        <v>18585014.929257993</v>
      </c>
      <c r="S214">
        <f t="shared" si="962"/>
        <v>185.85014929257991</v>
      </c>
      <c r="T214">
        <f t="shared" si="963"/>
        <v>0.18585014929257992</v>
      </c>
    </row>
    <row r="215" spans="1:20" x14ac:dyDescent="0.25">
      <c r="A215" s="5">
        <v>44378</v>
      </c>
      <c r="B215">
        <v>130.91999999999999</v>
      </c>
      <c r="C215">
        <v>130.94</v>
      </c>
      <c r="D215">
        <v>118.51</v>
      </c>
      <c r="E215">
        <v>120.17</v>
      </c>
      <c r="F215">
        <v>191998.97839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-0.73290426387771557</v>
      </c>
      <c r="Q215">
        <f t="shared" si="960"/>
        <v>-140716.86992219638</v>
      </c>
      <c r="R215">
        <f t="shared" si="961"/>
        <v>18513351.586218663</v>
      </c>
      <c r="S215">
        <f t="shared" si="962"/>
        <v>185.13351586218661</v>
      </c>
      <c r="T215">
        <f t="shared" si="963"/>
        <v>0.18513351586218663</v>
      </c>
    </row>
    <row r="216" spans="1:20" x14ac:dyDescent="0.25">
      <c r="A216" s="5">
        <v>44377</v>
      </c>
      <c r="B216">
        <v>126.5</v>
      </c>
      <c r="C216">
        <v>133.22</v>
      </c>
      <c r="D216">
        <v>122.05</v>
      </c>
      <c r="E216">
        <v>130.91</v>
      </c>
      <c r="F216">
        <v>382664.62463999999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0.58639212175469979</v>
      </c>
      <c r="Q216">
        <f t="shared" si="960"/>
        <v>224391.52116311537</v>
      </c>
      <c r="R216">
        <f t="shared" si="961"/>
        <v>18654068.456140857</v>
      </c>
      <c r="S216">
        <f t="shared" si="962"/>
        <v>186.54068456140857</v>
      </c>
      <c r="T216">
        <f t="shared" si="963"/>
        <v>0.18654068456140857</v>
      </c>
    </row>
    <row r="217" spans="1:20" x14ac:dyDescent="0.25">
      <c r="A217" s="5">
        <v>44376</v>
      </c>
      <c r="B217">
        <v>118</v>
      </c>
      <c r="C217">
        <v>129.66999999999999</v>
      </c>
      <c r="D217">
        <v>116.1</v>
      </c>
      <c r="E217">
        <v>126.49</v>
      </c>
      <c r="F217">
        <v>280397.06540999998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0.53131908621960289</v>
      </c>
      <c r="Q217">
        <f t="shared" si="960"/>
        <v>148980.31257229942</v>
      </c>
      <c r="R217">
        <f t="shared" si="961"/>
        <v>18429676.93497774</v>
      </c>
      <c r="S217">
        <f t="shared" si="962"/>
        <v>184.29676934977741</v>
      </c>
      <c r="T217">
        <f t="shared" si="963"/>
        <v>0.1842967693497774</v>
      </c>
    </row>
    <row r="218" spans="1:20" x14ac:dyDescent="0.25">
      <c r="A218" s="5">
        <v>44375</v>
      </c>
      <c r="B218">
        <v>107.71</v>
      </c>
      <c r="C218">
        <v>118</v>
      </c>
      <c r="D218">
        <v>104.58</v>
      </c>
      <c r="E218">
        <v>118</v>
      </c>
      <c r="F218">
        <v>239341.47209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1</v>
      </c>
      <c r="Q218">
        <f t="shared" si="960"/>
        <v>239341.47209</v>
      </c>
      <c r="R218">
        <f t="shared" si="961"/>
        <v>18280696.62240544</v>
      </c>
      <c r="S218">
        <f t="shared" si="962"/>
        <v>182.80696622405441</v>
      </c>
      <c r="T218">
        <f t="shared" si="963"/>
        <v>0.1828069662240544</v>
      </c>
    </row>
    <row r="219" spans="1:20" x14ac:dyDescent="0.25">
      <c r="A219" s="5">
        <v>44374</v>
      </c>
      <c r="B219">
        <v>103.59</v>
      </c>
      <c r="C219">
        <v>107.81</v>
      </c>
      <c r="D219">
        <v>98.74</v>
      </c>
      <c r="E219">
        <v>107.71</v>
      </c>
      <c r="F219">
        <v>207999.95086000001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0.97794928335170705</v>
      </c>
      <c r="Q219">
        <f t="shared" si="960"/>
        <v>203413.40288072728</v>
      </c>
      <c r="R219">
        <f t="shared" si="961"/>
        <v>18041355.150315441</v>
      </c>
      <c r="S219">
        <f t="shared" si="962"/>
        <v>180.41355150315442</v>
      </c>
      <c r="T219">
        <f t="shared" si="963"/>
        <v>0.18041355150315441</v>
      </c>
    </row>
    <row r="220" spans="1:20" x14ac:dyDescent="0.25">
      <c r="A220" s="5">
        <v>44373</v>
      </c>
      <c r="B220">
        <v>100.1</v>
      </c>
      <c r="C220">
        <v>103.61</v>
      </c>
      <c r="D220">
        <v>96.57</v>
      </c>
      <c r="E220">
        <v>103.61</v>
      </c>
      <c r="F220">
        <v>239913.74256000001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1</v>
      </c>
      <c r="Q220">
        <f t="shared" si="960"/>
        <v>239913.74256000001</v>
      </c>
      <c r="R220">
        <f t="shared" si="961"/>
        <v>17837941.747434713</v>
      </c>
      <c r="S220">
        <f t="shared" si="962"/>
        <v>178.37941747434712</v>
      </c>
      <c r="T220">
        <f t="shared" si="963"/>
        <v>0.17837941747434713</v>
      </c>
    </row>
    <row r="221" spans="1:20" x14ac:dyDescent="0.25">
      <c r="A221" s="5">
        <v>44372</v>
      </c>
      <c r="B221">
        <v>112.85</v>
      </c>
      <c r="C221">
        <v>116.67</v>
      </c>
      <c r="D221">
        <v>99.77</v>
      </c>
      <c r="E221">
        <v>100.08</v>
      </c>
      <c r="F221">
        <v>363911.86602999998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-0.96331360946745537</v>
      </c>
      <c r="Q221">
        <f t="shared" si="960"/>
        <v>-350561.25319339632</v>
      </c>
      <c r="R221">
        <f t="shared" si="961"/>
        <v>17598028.004874714</v>
      </c>
      <c r="S221">
        <f t="shared" si="962"/>
        <v>175.98028004874715</v>
      </c>
      <c r="T221">
        <f t="shared" si="963"/>
        <v>0.17598028004874713</v>
      </c>
    </row>
    <row r="222" spans="1:20" x14ac:dyDescent="0.25">
      <c r="A222" s="5">
        <v>44371</v>
      </c>
      <c r="B222">
        <v>111.79</v>
      </c>
      <c r="C222">
        <v>116.8</v>
      </c>
      <c r="D222">
        <v>106.75</v>
      </c>
      <c r="E222">
        <v>112.82</v>
      </c>
      <c r="F222">
        <v>205422.32702999999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0.20796019900497412</v>
      </c>
      <c r="Q222">
        <f t="shared" si="960"/>
        <v>42719.668009223671</v>
      </c>
      <c r="R222">
        <f t="shared" si="961"/>
        <v>17948589.258068111</v>
      </c>
      <c r="S222">
        <f t="shared" si="962"/>
        <v>179.48589258068111</v>
      </c>
      <c r="T222">
        <f t="shared" si="963"/>
        <v>0.17948589258068112</v>
      </c>
    </row>
    <row r="223" spans="1:20" x14ac:dyDescent="0.25">
      <c r="A223" s="5">
        <v>44370</v>
      </c>
      <c r="B223">
        <v>106.5</v>
      </c>
      <c r="C223">
        <v>117.61</v>
      </c>
      <c r="D223">
        <v>102.56</v>
      </c>
      <c r="E223">
        <v>111.79</v>
      </c>
      <c r="F223">
        <v>354525.20617000002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0.22657807308970176</v>
      </c>
      <c r="Q223">
        <f t="shared" si="960"/>
        <v>80327.638075727853</v>
      </c>
      <c r="R223">
        <f t="shared" si="961"/>
        <v>17905869.590058886</v>
      </c>
      <c r="S223">
        <f t="shared" si="962"/>
        <v>179.05869590058884</v>
      </c>
      <c r="T223">
        <f t="shared" si="963"/>
        <v>0.17905869590058884</v>
      </c>
    </row>
    <row r="224" spans="1:20" x14ac:dyDescent="0.25">
      <c r="A224" s="5">
        <v>44369</v>
      </c>
      <c r="B224">
        <v>101.26</v>
      </c>
      <c r="C224">
        <v>110.5</v>
      </c>
      <c r="D224">
        <v>86.27</v>
      </c>
      <c r="E224">
        <v>106.5</v>
      </c>
      <c r="F224">
        <v>683577.57724000001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0.66983078827899301</v>
      </c>
      <c r="Q224">
        <f t="shared" si="960"/>
        <v>457881.30741251342</v>
      </c>
      <c r="R224">
        <f t="shared" si="961"/>
        <v>17825541.951983158</v>
      </c>
      <c r="S224">
        <f t="shared" si="962"/>
        <v>178.25541951983158</v>
      </c>
      <c r="T224">
        <f t="shared" si="963"/>
        <v>0.17825541951983156</v>
      </c>
    </row>
    <row r="225" spans="1:20" x14ac:dyDescent="0.25">
      <c r="A225" s="5">
        <v>44368</v>
      </c>
      <c r="B225">
        <v>131.82</v>
      </c>
      <c r="C225">
        <v>133.18</v>
      </c>
      <c r="D225">
        <v>100.9</v>
      </c>
      <c r="E225">
        <v>101.3</v>
      </c>
      <c r="F225">
        <v>505453.55751999997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-0.97521685254027313</v>
      </c>
      <c r="Q225">
        <f t="shared" si="960"/>
        <v>-492926.82746993826</v>
      </c>
      <c r="R225">
        <f t="shared" si="961"/>
        <v>17367660.644570645</v>
      </c>
      <c r="S225">
        <f t="shared" si="962"/>
        <v>173.67660644570645</v>
      </c>
      <c r="T225">
        <f t="shared" si="963"/>
        <v>0.17367660644570646</v>
      </c>
    </row>
    <row r="226" spans="1:20" x14ac:dyDescent="0.25">
      <c r="A226" s="5">
        <v>44367</v>
      </c>
      <c r="B226">
        <v>127.9</v>
      </c>
      <c r="C226">
        <v>132.33000000000001</v>
      </c>
      <c r="D226">
        <v>119.47</v>
      </c>
      <c r="E226">
        <v>131.81</v>
      </c>
      <c r="F226">
        <v>175407.89629999999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0.91912908242612601</v>
      </c>
      <c r="Q226">
        <f t="shared" si="960"/>
        <v>161222.49877651606</v>
      </c>
      <c r="R226">
        <f t="shared" si="961"/>
        <v>17860587.472040582</v>
      </c>
      <c r="S226">
        <f t="shared" si="962"/>
        <v>178.60587472040584</v>
      </c>
      <c r="T226">
        <f t="shared" si="963"/>
        <v>0.17860587472040584</v>
      </c>
    </row>
    <row r="227" spans="1:20" x14ac:dyDescent="0.25">
      <c r="A227" s="5">
        <v>44366</v>
      </c>
      <c r="B227">
        <v>132.87</v>
      </c>
      <c r="C227">
        <v>134.88999999999999</v>
      </c>
      <c r="D227">
        <v>127.11</v>
      </c>
      <c r="E227">
        <v>127.9</v>
      </c>
      <c r="F227">
        <v>128056.31155</v>
      </c>
      <c r="G227">
        <v>0</v>
      </c>
      <c r="L227" t="s">
        <v>7</v>
      </c>
      <c r="M227" t="s">
        <v>8</v>
      </c>
      <c r="N227" t="s">
        <v>7</v>
      </c>
      <c r="P227">
        <f t="shared" si="959"/>
        <v>-0.79691516709511379</v>
      </c>
      <c r="Q227">
        <f t="shared" si="960"/>
        <v>-102050.01691645219</v>
      </c>
      <c r="R227">
        <f t="shared" si="961"/>
        <v>17699364.973264065</v>
      </c>
      <c r="S227">
        <f t="shared" si="962"/>
        <v>176.99364973264065</v>
      </c>
      <c r="T227">
        <f t="shared" si="963"/>
        <v>0.17699364973264065</v>
      </c>
    </row>
    <row r="228" spans="1:20" x14ac:dyDescent="0.25">
      <c r="A228" s="5">
        <v>44365</v>
      </c>
      <c r="B228">
        <v>142.30000000000001</v>
      </c>
      <c r="C228">
        <v>143.1</v>
      </c>
      <c r="D228">
        <v>129</v>
      </c>
      <c r="E228">
        <v>132.88</v>
      </c>
      <c r="F228">
        <v>201411.30460999999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-0.44964539007092241</v>
      </c>
      <c r="Q228">
        <f t="shared" si="960"/>
        <v>-90563.664626056823</v>
      </c>
      <c r="R228">
        <f t="shared" si="961"/>
        <v>17801414.990180518</v>
      </c>
      <c r="S228">
        <f t="shared" si="962"/>
        <v>178.01414990180518</v>
      </c>
      <c r="T228">
        <f t="shared" si="963"/>
        <v>0.1780141499018052</v>
      </c>
    </row>
    <row r="229" spans="1:20" x14ac:dyDescent="0.25">
      <c r="A229" s="5">
        <v>44364</v>
      </c>
      <c r="B229">
        <v>137.25</v>
      </c>
      <c r="C229">
        <v>146.72</v>
      </c>
      <c r="D229">
        <v>136.47999999999999</v>
      </c>
      <c r="E229">
        <v>142.27000000000001</v>
      </c>
      <c r="F229">
        <v>200606.73151000001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0.130859375000003</v>
      </c>
      <c r="Q229">
        <f t="shared" si="960"/>
        <v>26251.27150619201</v>
      </c>
      <c r="R229">
        <f t="shared" si="961"/>
        <v>17891978.654806577</v>
      </c>
      <c r="S229">
        <f t="shared" si="962"/>
        <v>178.91978654806576</v>
      </c>
      <c r="T229">
        <f t="shared" si="963"/>
        <v>0.17891978654806576</v>
      </c>
    </row>
    <row r="230" spans="1:20" x14ac:dyDescent="0.25">
      <c r="A230" s="5">
        <v>44363</v>
      </c>
      <c r="B230">
        <v>136.58000000000001</v>
      </c>
      <c r="C230">
        <v>143.97999999999999</v>
      </c>
      <c r="D230">
        <v>132.28</v>
      </c>
      <c r="E230">
        <v>137.31</v>
      </c>
      <c r="F230">
        <v>290393.20637000003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-0.14017094017093915</v>
      </c>
      <c r="Q230">
        <f t="shared" si="960"/>
        <v>-40704.688756136457</v>
      </c>
      <c r="R230">
        <f t="shared" si="961"/>
        <v>17865727.383300386</v>
      </c>
      <c r="S230">
        <f t="shared" si="962"/>
        <v>178.65727383300387</v>
      </c>
      <c r="T230">
        <f t="shared" si="963"/>
        <v>0.17865727383300387</v>
      </c>
    </row>
    <row r="231" spans="1:20" x14ac:dyDescent="0.25">
      <c r="A231" s="5">
        <v>44362</v>
      </c>
      <c r="B231">
        <v>139</v>
      </c>
      <c r="C231">
        <v>141.19999999999999</v>
      </c>
      <c r="D231">
        <v>133.33000000000001</v>
      </c>
      <c r="E231">
        <v>136.58000000000001</v>
      </c>
      <c r="F231">
        <v>132763.73566999999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-0.17407878017788822</v>
      </c>
      <c r="Q231">
        <f t="shared" si="960"/>
        <v>-23111.349157293185</v>
      </c>
      <c r="R231">
        <f t="shared" si="961"/>
        <v>17906432.072056524</v>
      </c>
      <c r="S231">
        <f t="shared" si="962"/>
        <v>179.06432072056523</v>
      </c>
      <c r="T231">
        <f t="shared" si="963"/>
        <v>0.17906432072056525</v>
      </c>
    </row>
    <row r="232" spans="1:20" x14ac:dyDescent="0.25">
      <c r="A232" s="5">
        <v>44361</v>
      </c>
      <c r="B232">
        <v>133.04</v>
      </c>
      <c r="C232">
        <v>139.31</v>
      </c>
      <c r="D232">
        <v>128.58000000000001</v>
      </c>
      <c r="E232">
        <v>139</v>
      </c>
      <c r="F232">
        <v>180195.60143000001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0.94221808014911412</v>
      </c>
      <c r="Q232">
        <f t="shared" si="960"/>
        <v>169783.55363068957</v>
      </c>
      <c r="R232">
        <f t="shared" si="961"/>
        <v>17929543.421213817</v>
      </c>
      <c r="S232">
        <f t="shared" si="962"/>
        <v>179.29543421213816</v>
      </c>
      <c r="T232">
        <f t="shared" si="963"/>
        <v>0.17929543421213817</v>
      </c>
    </row>
    <row r="233" spans="1:20" x14ac:dyDescent="0.25">
      <c r="A233" s="5">
        <v>44360</v>
      </c>
      <c r="B233">
        <v>125.86</v>
      </c>
      <c r="C233">
        <v>133.22999999999999</v>
      </c>
      <c r="D233">
        <v>120.93</v>
      </c>
      <c r="E233">
        <v>133.06</v>
      </c>
      <c r="F233">
        <v>169028.37143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0.97235772357723782</v>
      </c>
      <c r="Q233">
        <f t="shared" si="960"/>
        <v>164356.04246364263</v>
      </c>
      <c r="R233">
        <f t="shared" si="961"/>
        <v>17759759.867583126</v>
      </c>
      <c r="S233">
        <f t="shared" si="962"/>
        <v>177.59759867583125</v>
      </c>
      <c r="T233">
        <f t="shared" si="963"/>
        <v>0.17759759867583125</v>
      </c>
    </row>
    <row r="234" spans="1:20" x14ac:dyDescent="0.25">
      <c r="A234" s="5">
        <v>44359</v>
      </c>
      <c r="B234">
        <v>124.73</v>
      </c>
      <c r="C234">
        <v>129.24</v>
      </c>
      <c r="D234">
        <v>118.77</v>
      </c>
      <c r="E234">
        <v>125.85</v>
      </c>
      <c r="F234">
        <v>192471.71228000001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0.35243553008595785</v>
      </c>
      <c r="Q234">
        <f t="shared" si="960"/>
        <v>67833.86994395376</v>
      </c>
      <c r="R234">
        <f t="shared" si="961"/>
        <v>17595403.825119484</v>
      </c>
      <c r="S234">
        <f t="shared" si="962"/>
        <v>175.95403825119485</v>
      </c>
      <c r="T234">
        <f t="shared" si="963"/>
        <v>0.17595403825119485</v>
      </c>
    </row>
    <row r="235" spans="1:20" x14ac:dyDescent="0.25">
      <c r="A235" s="5">
        <v>44358</v>
      </c>
      <c r="B235">
        <v>134.11000000000001</v>
      </c>
      <c r="C235">
        <v>135.78</v>
      </c>
      <c r="D235">
        <v>122.57</v>
      </c>
      <c r="E235">
        <v>124.74</v>
      </c>
      <c r="F235">
        <v>187144.17535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-0.67146101438304306</v>
      </c>
      <c r="Q235">
        <f t="shared" si="960"/>
        <v>-125660.01781638908</v>
      </c>
      <c r="R235">
        <f t="shared" si="961"/>
        <v>17527569.95517553</v>
      </c>
      <c r="S235">
        <f t="shared" si="962"/>
        <v>175.27569955175531</v>
      </c>
      <c r="T235">
        <f t="shared" si="963"/>
        <v>0.17527569955175532</v>
      </c>
    </row>
    <row r="236" spans="1:20" x14ac:dyDescent="0.25">
      <c r="A236" s="5">
        <v>44357</v>
      </c>
      <c r="B236">
        <v>145.07</v>
      </c>
      <c r="C236">
        <v>151.71</v>
      </c>
      <c r="D236">
        <v>131.87</v>
      </c>
      <c r="E236">
        <v>134</v>
      </c>
      <c r="F236">
        <v>281395.88974000001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-0.78528225806451657</v>
      </c>
      <c r="Q236">
        <f t="shared" si="960"/>
        <v>-220975.19970510094</v>
      </c>
      <c r="R236">
        <f t="shared" si="961"/>
        <v>17653229.972991921</v>
      </c>
      <c r="S236">
        <f t="shared" si="962"/>
        <v>176.5322997299192</v>
      </c>
      <c r="T236">
        <f t="shared" si="963"/>
        <v>0.17653229972991921</v>
      </c>
    </row>
    <row r="237" spans="1:20" x14ac:dyDescent="0.25">
      <c r="A237" s="5">
        <v>44356</v>
      </c>
      <c r="B237">
        <v>130.93</v>
      </c>
      <c r="C237">
        <v>145.09</v>
      </c>
      <c r="D237">
        <v>124.19</v>
      </c>
      <c r="E237">
        <v>145.05000000000001</v>
      </c>
      <c r="F237">
        <v>324389.48712000001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0.99617224880382849</v>
      </c>
      <c r="Q237">
        <f t="shared" si="960"/>
        <v>323147.80487265094</v>
      </c>
      <c r="R237">
        <f t="shared" si="961"/>
        <v>17874205.172697023</v>
      </c>
      <c r="S237">
        <f t="shared" si="962"/>
        <v>178.74205172697023</v>
      </c>
      <c r="T237">
        <f t="shared" si="963"/>
        <v>0.17874205172697022</v>
      </c>
    </row>
    <row r="238" spans="1:20" x14ac:dyDescent="0.25">
      <c r="A238" s="5">
        <v>44355</v>
      </c>
      <c r="B238">
        <v>135.79</v>
      </c>
      <c r="C238">
        <v>139.15</v>
      </c>
      <c r="D238">
        <v>119.14</v>
      </c>
      <c r="E238">
        <v>130.88</v>
      </c>
      <c r="F238">
        <v>408389.00581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0.17341329335332253</v>
      </c>
      <c r="Q238">
        <f t="shared" si="960"/>
        <v>70820.082466801265</v>
      </c>
      <c r="R238">
        <f t="shared" si="961"/>
        <v>17551057.367824372</v>
      </c>
      <c r="S238">
        <f t="shared" si="962"/>
        <v>175.51057367824373</v>
      </c>
      <c r="T238">
        <f t="shared" si="963"/>
        <v>0.17551057367824374</v>
      </c>
    </row>
    <row r="239" spans="1:20" x14ac:dyDescent="0.25">
      <c r="A239" s="5">
        <v>44354</v>
      </c>
      <c r="B239">
        <v>149.62</v>
      </c>
      <c r="C239">
        <v>154.9</v>
      </c>
      <c r="D239">
        <v>134.47999999999999</v>
      </c>
      <c r="E239">
        <v>135.72</v>
      </c>
      <c r="F239">
        <v>207576.89231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-0.8785504407443675</v>
      </c>
      <c r="Q239">
        <f t="shared" si="960"/>
        <v>-182366.7702272966</v>
      </c>
      <c r="R239">
        <f t="shared" si="961"/>
        <v>17480237.285357572</v>
      </c>
      <c r="S239">
        <f t="shared" si="962"/>
        <v>174.80237285357572</v>
      </c>
      <c r="T239">
        <f t="shared" si="963"/>
        <v>0.17480237285357572</v>
      </c>
    </row>
    <row r="240" spans="1:20" x14ac:dyDescent="0.25">
      <c r="A240" s="5">
        <v>44353</v>
      </c>
      <c r="B240">
        <v>153.16</v>
      </c>
      <c r="C240">
        <v>156.58000000000001</v>
      </c>
      <c r="D240">
        <v>147</v>
      </c>
      <c r="E240">
        <v>149.63</v>
      </c>
      <c r="F240">
        <v>184617.26285999999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-0.45093945720250689</v>
      </c>
      <c r="Q240">
        <f t="shared" si="960"/>
        <v>-83251.208304300933</v>
      </c>
      <c r="R240">
        <f t="shared" si="961"/>
        <v>17662604.05558487</v>
      </c>
      <c r="S240">
        <f t="shared" si="962"/>
        <v>176.6260405558487</v>
      </c>
      <c r="T240">
        <f t="shared" si="963"/>
        <v>0.17662604055584871</v>
      </c>
    </row>
    <row r="241" spans="1:20" x14ac:dyDescent="0.25">
      <c r="A241" s="5">
        <v>44352</v>
      </c>
      <c r="B241">
        <v>155.26</v>
      </c>
      <c r="C241">
        <v>161.31</v>
      </c>
      <c r="D241">
        <v>147.63</v>
      </c>
      <c r="E241">
        <v>153.16999999999999</v>
      </c>
      <c r="F241">
        <v>261473.43911000001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-0.19005847953216531</v>
      </c>
      <c r="Q241">
        <f t="shared" si="960"/>
        <v>-49695.244275292811</v>
      </c>
      <c r="R241">
        <f t="shared" si="961"/>
        <v>17745855.263889171</v>
      </c>
      <c r="S241">
        <f t="shared" si="962"/>
        <v>177.45855263889172</v>
      </c>
      <c r="T241">
        <f t="shared" si="963"/>
        <v>0.17745855263889171</v>
      </c>
    </row>
    <row r="242" spans="1:20" x14ac:dyDescent="0.25">
      <c r="A242" s="5">
        <v>44351</v>
      </c>
      <c r="B242">
        <v>173.01</v>
      </c>
      <c r="C242">
        <v>173.04</v>
      </c>
      <c r="D242">
        <v>146.16</v>
      </c>
      <c r="E242">
        <v>155.28</v>
      </c>
      <c r="F242">
        <v>376736.75698000001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-0.32142857142857095</v>
      </c>
      <c r="Q242">
        <f t="shared" si="960"/>
        <v>-121093.95760071411</v>
      </c>
      <c r="R242">
        <f t="shared" si="961"/>
        <v>17795550.508164465</v>
      </c>
      <c r="S242">
        <f t="shared" si="962"/>
        <v>177.95550508164465</v>
      </c>
      <c r="T242">
        <f t="shared" si="963"/>
        <v>0.17795550508164465</v>
      </c>
    </row>
    <row r="243" spans="1:20" x14ac:dyDescent="0.25">
      <c r="A243" s="5">
        <v>44350</v>
      </c>
      <c r="B243">
        <v>164.39</v>
      </c>
      <c r="C243">
        <v>175.15</v>
      </c>
      <c r="D243">
        <v>160.13999999999999</v>
      </c>
      <c r="E243">
        <v>172.95</v>
      </c>
      <c r="F243">
        <v>251658.87753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0.70686209193870564</v>
      </c>
      <c r="Q243">
        <f t="shared" si="960"/>
        <v>177888.12062580232</v>
      </c>
      <c r="R243">
        <f t="shared" si="961"/>
        <v>17916644.465765178</v>
      </c>
      <c r="S243">
        <f t="shared" si="962"/>
        <v>179.16644465765179</v>
      </c>
      <c r="T243">
        <f t="shared" si="963"/>
        <v>0.1791664446576518</v>
      </c>
    </row>
    <row r="244" spans="1:20" x14ac:dyDescent="0.25">
      <c r="A244" s="5">
        <v>44349</v>
      </c>
      <c r="B244">
        <v>154.03</v>
      </c>
      <c r="C244">
        <v>170.45</v>
      </c>
      <c r="D244">
        <v>148.85</v>
      </c>
      <c r="E244">
        <v>164.35</v>
      </c>
      <c r="F244">
        <v>286169.23456999997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0.43518518518518556</v>
      </c>
      <c r="Q244">
        <f t="shared" si="960"/>
        <v>124536.61134064825</v>
      </c>
      <c r="R244">
        <f t="shared" si="961"/>
        <v>17738756.345139377</v>
      </c>
      <c r="S244">
        <f t="shared" si="962"/>
        <v>177.38756345139376</v>
      </c>
      <c r="T244">
        <f t="shared" si="963"/>
        <v>0.17738756345139375</v>
      </c>
    </row>
    <row r="245" spans="1:20" x14ac:dyDescent="0.25">
      <c r="A245" s="5">
        <v>44348</v>
      </c>
      <c r="B245">
        <v>161.68</v>
      </c>
      <c r="C245">
        <v>164.48</v>
      </c>
      <c r="D245">
        <v>148.16</v>
      </c>
      <c r="E245">
        <v>154.04</v>
      </c>
      <c r="F245">
        <v>262046.70366999999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-0.27941176470588258</v>
      </c>
      <c r="Q245">
        <f t="shared" si="960"/>
        <v>-73218.931907794176</v>
      </c>
      <c r="R245">
        <f t="shared" si="961"/>
        <v>17614219.733798727</v>
      </c>
      <c r="S245">
        <f t="shared" si="962"/>
        <v>176.14219733798728</v>
      </c>
      <c r="T245">
        <f t="shared" si="963"/>
        <v>0.17614219733798728</v>
      </c>
    </row>
    <row r="246" spans="1:20" x14ac:dyDescent="0.25">
      <c r="A246" s="5">
        <v>44347</v>
      </c>
      <c r="B246">
        <v>149.87</v>
      </c>
      <c r="C246">
        <v>162.57</v>
      </c>
      <c r="D246">
        <v>140.85</v>
      </c>
      <c r="E246">
        <v>161.65</v>
      </c>
      <c r="F246">
        <v>375823.80953000003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0.91528545119705451</v>
      </c>
      <c r="Q246">
        <f t="shared" si="960"/>
        <v>343986.06507626193</v>
      </c>
      <c r="R246">
        <f t="shared" si="961"/>
        <v>17687438.665706523</v>
      </c>
      <c r="S246">
        <f t="shared" si="962"/>
        <v>176.87438665706523</v>
      </c>
      <c r="T246">
        <f t="shared" si="963"/>
        <v>0.17687438665706523</v>
      </c>
    </row>
    <row r="247" spans="1:20" x14ac:dyDescent="0.25">
      <c r="A247" s="5">
        <v>44346</v>
      </c>
      <c r="B247">
        <v>149.22</v>
      </c>
      <c r="C247">
        <v>160</v>
      </c>
      <c r="D247">
        <v>137.46</v>
      </c>
      <c r="E247">
        <v>149.84</v>
      </c>
      <c r="F247">
        <v>417881.60058000003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9.8491570541259968E-2</v>
      </c>
      <c r="Q247">
        <f t="shared" si="960"/>
        <v>41157.815141419698</v>
      </c>
      <c r="R247">
        <f t="shared" si="961"/>
        <v>17343452.600630261</v>
      </c>
      <c r="S247">
        <f t="shared" si="962"/>
        <v>173.4345260063026</v>
      </c>
      <c r="T247">
        <f t="shared" si="963"/>
        <v>0.1734345260063026</v>
      </c>
    </row>
    <row r="248" spans="1:20" x14ac:dyDescent="0.25">
      <c r="A248" s="5">
        <v>44345</v>
      </c>
      <c r="B248">
        <v>164.66</v>
      </c>
      <c r="C248">
        <v>186.86</v>
      </c>
      <c r="D248">
        <v>141.54</v>
      </c>
      <c r="E248">
        <v>149.24</v>
      </c>
      <c r="F248">
        <v>962790.51855000004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-0.66019417475728093</v>
      </c>
      <c r="Q248">
        <f t="shared" si="960"/>
        <v>-635628.69185825181</v>
      </c>
      <c r="R248">
        <f t="shared" si="961"/>
        <v>17302294.78548884</v>
      </c>
      <c r="S248">
        <f t="shared" si="962"/>
        <v>173.0229478548884</v>
      </c>
      <c r="T248">
        <f t="shared" si="963"/>
        <v>0.17302294785488839</v>
      </c>
    </row>
    <row r="249" spans="1:20" x14ac:dyDescent="0.25">
      <c r="A249" s="5">
        <v>44344</v>
      </c>
      <c r="B249">
        <v>150.22</v>
      </c>
      <c r="C249">
        <v>168</v>
      </c>
      <c r="D249">
        <v>131.02000000000001</v>
      </c>
      <c r="E249">
        <v>164.62</v>
      </c>
      <c r="F249">
        <v>838095.03278000001</v>
      </c>
      <c r="G249">
        <v>0</v>
      </c>
      <c r="L249" t="s">
        <v>7</v>
      </c>
      <c r="M249" t="s">
        <v>8</v>
      </c>
      <c r="N249" t="s">
        <v>8</v>
      </c>
      <c r="P249">
        <f t="shared" si="959"/>
        <v>0.81719848566792885</v>
      </c>
      <c r="Q249">
        <f t="shared" si="960"/>
        <v>684889.99163362919</v>
      </c>
      <c r="R249">
        <f t="shared" si="961"/>
        <v>17937923.477347091</v>
      </c>
      <c r="S249">
        <f t="shared" si="962"/>
        <v>179.3792347734709</v>
      </c>
      <c r="T249">
        <f t="shared" si="963"/>
        <v>0.1793792347734709</v>
      </c>
    </row>
    <row r="250" spans="1:20" x14ac:dyDescent="0.25">
      <c r="A250" s="5">
        <v>44343</v>
      </c>
      <c r="B250">
        <v>158.62</v>
      </c>
      <c r="C250">
        <v>159.5</v>
      </c>
      <c r="D250">
        <v>140.62</v>
      </c>
      <c r="E250">
        <v>150.27000000000001</v>
      </c>
      <c r="F250">
        <v>317027.42073000001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2.2245762711865257E-2</v>
      </c>
      <c r="Q250">
        <f t="shared" si="960"/>
        <v>7052.5167747142523</v>
      </c>
      <c r="R250">
        <f t="shared" si="961"/>
        <v>17253033.485713463</v>
      </c>
      <c r="S250">
        <f t="shared" si="962"/>
        <v>172.53033485713462</v>
      </c>
      <c r="T250">
        <f t="shared" si="963"/>
        <v>0.17253033485713462</v>
      </c>
    </row>
    <row r="251" spans="1:20" x14ac:dyDescent="0.25">
      <c r="A251" s="5">
        <v>44342</v>
      </c>
      <c r="B251">
        <v>145.38</v>
      </c>
      <c r="C251">
        <v>159.72</v>
      </c>
      <c r="D251">
        <v>143.03</v>
      </c>
      <c r="E251">
        <v>158.6</v>
      </c>
      <c r="F251">
        <v>436113.62715999997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0.86578789694427749</v>
      </c>
      <c r="Q251">
        <f t="shared" si="960"/>
        <v>377581.90008759714</v>
      </c>
      <c r="R251">
        <f t="shared" si="961"/>
        <v>17245980.968938749</v>
      </c>
      <c r="S251">
        <f t="shared" si="962"/>
        <v>172.4598096893875</v>
      </c>
      <c r="T251">
        <f t="shared" si="963"/>
        <v>0.17245980968938751</v>
      </c>
    </row>
    <row r="252" spans="1:20" x14ac:dyDescent="0.25">
      <c r="A252" s="5">
        <v>44341</v>
      </c>
      <c r="B252">
        <v>149.38</v>
      </c>
      <c r="C252">
        <v>154.76</v>
      </c>
      <c r="D252">
        <v>130</v>
      </c>
      <c r="E252">
        <v>145.4</v>
      </c>
      <c r="F252">
        <v>587340.63037000003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0.24394184168013017</v>
      </c>
      <c r="Q252">
        <f t="shared" si="960"/>
        <v>143276.95506602639</v>
      </c>
      <c r="R252">
        <f t="shared" si="961"/>
        <v>16868399.068851151</v>
      </c>
      <c r="S252">
        <f t="shared" si="962"/>
        <v>168.6839906885115</v>
      </c>
      <c r="T252">
        <f t="shared" si="963"/>
        <v>0.1686839906885115</v>
      </c>
    </row>
    <row r="253" spans="1:20" x14ac:dyDescent="0.25">
      <c r="A253" s="5">
        <v>44340</v>
      </c>
      <c r="B253">
        <v>114.53</v>
      </c>
      <c r="C253">
        <v>149.44999999999999</v>
      </c>
      <c r="D253">
        <v>114.4</v>
      </c>
      <c r="E253">
        <v>149.16</v>
      </c>
      <c r="F253">
        <v>855833.27985000005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0.98345221112696191</v>
      </c>
      <c r="Q253">
        <f t="shared" si="960"/>
        <v>841671.13142452249</v>
      </c>
      <c r="R253">
        <f t="shared" si="961"/>
        <v>16725122.113785125</v>
      </c>
      <c r="S253">
        <f t="shared" si="962"/>
        <v>167.25122113785125</v>
      </c>
      <c r="T253">
        <f t="shared" si="963"/>
        <v>0.16725122113785124</v>
      </c>
    </row>
    <row r="254" spans="1:20" x14ac:dyDescent="0.25">
      <c r="A254" s="5">
        <v>44339</v>
      </c>
      <c r="B254">
        <v>142.55000000000001</v>
      </c>
      <c r="C254">
        <v>148.9</v>
      </c>
      <c r="D254">
        <v>87.08</v>
      </c>
      <c r="E254">
        <v>114.32</v>
      </c>
      <c r="F254">
        <v>1216823.3324599999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-0.11873180200582363</v>
      </c>
      <c r="Q254">
        <f t="shared" si="960"/>
        <v>-144475.6269857072</v>
      </c>
      <c r="R254">
        <f t="shared" si="961"/>
        <v>15883450.982360603</v>
      </c>
      <c r="S254">
        <f t="shared" si="962"/>
        <v>158.83450982360603</v>
      </c>
      <c r="T254">
        <f t="shared" si="963"/>
        <v>0.15883450982360603</v>
      </c>
    </row>
    <row r="255" spans="1:20" x14ac:dyDescent="0.25">
      <c r="A255" s="5">
        <v>44338</v>
      </c>
      <c r="B255">
        <v>156.16999999999999</v>
      </c>
      <c r="C255">
        <v>160.94</v>
      </c>
      <c r="D255">
        <v>133.02000000000001</v>
      </c>
      <c r="E255">
        <v>142.57</v>
      </c>
      <c r="F255">
        <v>645742.63636999996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-0.31590257879656253</v>
      </c>
      <c r="Q255">
        <f t="shared" si="960"/>
        <v>-203991.76406817394</v>
      </c>
      <c r="R255">
        <f t="shared" si="961"/>
        <v>16027926.60934631</v>
      </c>
      <c r="S255">
        <f t="shared" si="962"/>
        <v>160.27926609346309</v>
      </c>
      <c r="T255">
        <f t="shared" si="963"/>
        <v>0.1602792660934631</v>
      </c>
    </row>
    <row r="256" spans="1:20" x14ac:dyDescent="0.25">
      <c r="A256" s="5">
        <v>44337</v>
      </c>
      <c r="B256">
        <v>182.32</v>
      </c>
      <c r="C256">
        <v>191.84</v>
      </c>
      <c r="D256">
        <v>136.22999999999999</v>
      </c>
      <c r="E256">
        <v>156.26</v>
      </c>
      <c r="F256">
        <v>932995.38532999996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-0.27962596655277844</v>
      </c>
      <c r="Q256">
        <f t="shared" si="960"/>
        <v>-260889.73641218321</v>
      </c>
      <c r="R256">
        <f t="shared" si="961"/>
        <v>16231918.373414483</v>
      </c>
      <c r="S256">
        <f t="shared" si="962"/>
        <v>162.31918373414484</v>
      </c>
      <c r="T256">
        <f t="shared" si="963"/>
        <v>0.16231918373414483</v>
      </c>
    </row>
    <row r="257" spans="1:20" x14ac:dyDescent="0.25">
      <c r="A257" s="5">
        <v>44336</v>
      </c>
      <c r="B257">
        <v>146.5</v>
      </c>
      <c r="C257">
        <v>194.68</v>
      </c>
      <c r="D257">
        <v>133.44</v>
      </c>
      <c r="E257">
        <v>182.4</v>
      </c>
      <c r="F257">
        <v>868476.88428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0.59895493141737433</v>
      </c>
      <c r="Q257">
        <f t="shared" si="960"/>
        <v>520178.51266150235</v>
      </c>
      <c r="R257">
        <f t="shared" si="961"/>
        <v>16492808.109826665</v>
      </c>
      <c r="S257">
        <f t="shared" si="962"/>
        <v>164.92808109826666</v>
      </c>
      <c r="T257">
        <f t="shared" si="963"/>
        <v>0.16492808109826665</v>
      </c>
    </row>
    <row r="258" spans="1:20" x14ac:dyDescent="0.25">
      <c r="A258" s="5">
        <v>44335</v>
      </c>
      <c r="B258">
        <v>254.99</v>
      </c>
      <c r="C258">
        <v>262.95</v>
      </c>
      <c r="D258">
        <v>100</v>
      </c>
      <c r="E258">
        <v>146.22</v>
      </c>
      <c r="F258">
        <v>1476003.5318499999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-0.43270942006750535</v>
      </c>
      <c r="Q258">
        <f t="shared" si="960"/>
        <v>-638680.63228440308</v>
      </c>
      <c r="R258">
        <f t="shared" si="961"/>
        <v>15972629.597165164</v>
      </c>
      <c r="S258">
        <f t="shared" si="962"/>
        <v>159.72629597165164</v>
      </c>
      <c r="T258">
        <f t="shared" si="963"/>
        <v>0.15972629597165164</v>
      </c>
    </row>
    <row r="259" spans="1:20" x14ac:dyDescent="0.25">
      <c r="A259" s="5">
        <v>44334</v>
      </c>
      <c r="B259">
        <v>235.54</v>
      </c>
      <c r="C259">
        <v>262.3</v>
      </c>
      <c r="D259">
        <v>232.75</v>
      </c>
      <c r="E259">
        <v>254.91</v>
      </c>
      <c r="F259">
        <v>413659.15194000001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0.49983079526226654</v>
      </c>
      <c r="Q259">
        <f t="shared" si="960"/>
        <v>206759.58288168494</v>
      </c>
      <c r="R259">
        <f t="shared" si="961"/>
        <v>16611310.229449566</v>
      </c>
      <c r="S259">
        <f t="shared" si="962"/>
        <v>166.11310229449566</v>
      </c>
      <c r="T259">
        <f t="shared" si="963"/>
        <v>0.16611310229449566</v>
      </c>
    </row>
    <row r="260" spans="1:20" x14ac:dyDescent="0.25">
      <c r="A260" s="5">
        <v>44333</v>
      </c>
      <c r="B260">
        <v>262.25</v>
      </c>
      <c r="C260">
        <v>262.33</v>
      </c>
      <c r="D260">
        <v>226.33</v>
      </c>
      <c r="E260">
        <v>235.52</v>
      </c>
      <c r="F260">
        <v>483542.84168999997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-0.48944444444444418</v>
      </c>
      <c r="Q260">
        <f t="shared" si="960"/>
        <v>-236667.35751604987</v>
      </c>
      <c r="R260">
        <f t="shared" si="961"/>
        <v>16404550.646567881</v>
      </c>
      <c r="S260">
        <f t="shared" si="962"/>
        <v>164.04550646567881</v>
      </c>
      <c r="T260">
        <f t="shared" si="963"/>
        <v>0.16404550646567881</v>
      </c>
    </row>
    <row r="261" spans="1:20" x14ac:dyDescent="0.25">
      <c r="A261" s="5">
        <v>44332</v>
      </c>
      <c r="B261">
        <v>271.02</v>
      </c>
      <c r="C261">
        <v>291</v>
      </c>
      <c r="D261">
        <v>245.63</v>
      </c>
      <c r="E261">
        <v>262.39999999999998</v>
      </c>
      <c r="F261">
        <v>408108.58847000002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-0.2607449856733533</v>
      </c>
      <c r="Q261">
        <f t="shared" si="960"/>
        <v>-106412.26805378259</v>
      </c>
      <c r="R261">
        <f t="shared" si="961"/>
        <v>16641218.004083931</v>
      </c>
      <c r="S261">
        <f t="shared" si="962"/>
        <v>166.4121800408393</v>
      </c>
      <c r="T261">
        <f t="shared" si="963"/>
        <v>0.1664121800408393</v>
      </c>
    </row>
    <row r="262" spans="1:20" x14ac:dyDescent="0.25">
      <c r="A262" s="5">
        <v>44331</v>
      </c>
      <c r="B262">
        <v>305.69</v>
      </c>
      <c r="C262">
        <v>316.05</v>
      </c>
      <c r="D262">
        <v>267.8</v>
      </c>
      <c r="E262">
        <v>271.08</v>
      </c>
      <c r="F262">
        <v>397487.31384000002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-0.86404145077720318</v>
      </c>
      <c r="Q262">
        <f t="shared" ref="Q262:Q325" si="965">F262*P262</f>
        <v>-343445.51531584706</v>
      </c>
      <c r="R262">
        <f t="shared" ref="R262:R325" si="966">R263+Q262</f>
        <v>16747630.272137715</v>
      </c>
      <c r="S262">
        <f t="shared" ref="S262:S325" si="967">R262/100000</f>
        <v>167.47630272137715</v>
      </c>
      <c r="T262">
        <f t="shared" ref="T262:T325" si="968">S262/1000</f>
        <v>0.16747630272137715</v>
      </c>
    </row>
    <row r="263" spans="1:20" x14ac:dyDescent="0.25">
      <c r="A263" s="5">
        <v>44330</v>
      </c>
      <c r="B263">
        <v>296.47000000000003</v>
      </c>
      <c r="C263">
        <v>323</v>
      </c>
      <c r="D263">
        <v>285.56</v>
      </c>
      <c r="E263">
        <v>305.67</v>
      </c>
      <c r="F263">
        <v>484672.10438999999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7.4252136752137543E-2</v>
      </c>
      <c r="Q263">
        <f t="shared" si="965"/>
        <v>35987.939375112561</v>
      </c>
      <c r="R263">
        <f t="shared" si="966"/>
        <v>17091075.787453562</v>
      </c>
      <c r="S263">
        <f t="shared" si="967"/>
        <v>170.91075787453562</v>
      </c>
      <c r="T263">
        <f t="shared" si="968"/>
        <v>0.17091075787453561</v>
      </c>
    </row>
    <row r="264" spans="1:20" x14ac:dyDescent="0.25">
      <c r="A264" s="5">
        <v>44329</v>
      </c>
      <c r="B264">
        <v>280.88</v>
      </c>
      <c r="C264">
        <v>323.89999999999998</v>
      </c>
      <c r="D264">
        <v>249</v>
      </c>
      <c r="E264">
        <v>296.36</v>
      </c>
      <c r="F264">
        <v>1006906.54143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0.26461949265687656</v>
      </c>
      <c r="Q264">
        <f t="shared" si="965"/>
        <v>266447.09814609686</v>
      </c>
      <c r="R264">
        <f t="shared" si="966"/>
        <v>17055087.848078448</v>
      </c>
      <c r="S264">
        <f t="shared" si="967"/>
        <v>170.55087848078449</v>
      </c>
      <c r="T264">
        <f t="shared" si="968"/>
        <v>0.17055087848078448</v>
      </c>
    </row>
    <row r="265" spans="1:20" x14ac:dyDescent="0.25">
      <c r="A265" s="5">
        <v>44328</v>
      </c>
      <c r="B265">
        <v>302.07</v>
      </c>
      <c r="C265">
        <v>372</v>
      </c>
      <c r="D265">
        <v>272.27</v>
      </c>
      <c r="E265">
        <v>280.13</v>
      </c>
      <c r="F265">
        <v>1510686.0359400001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-0.84237441090945531</v>
      </c>
      <c r="Q265">
        <f t="shared" si="965"/>
        <v>-1272563.2595940977</v>
      </c>
      <c r="R265">
        <f t="shared" si="966"/>
        <v>16788640.749932352</v>
      </c>
      <c r="S265">
        <f t="shared" si="967"/>
        <v>167.88640749932352</v>
      </c>
      <c r="T265">
        <f t="shared" si="968"/>
        <v>0.16788640749932351</v>
      </c>
    </row>
    <row r="266" spans="1:20" x14ac:dyDescent="0.25">
      <c r="A266" s="5">
        <v>44327</v>
      </c>
      <c r="B266">
        <v>283.86</v>
      </c>
      <c r="C266">
        <v>302.72000000000003</v>
      </c>
      <c r="D266">
        <v>272.01</v>
      </c>
      <c r="E266">
        <v>302.07</v>
      </c>
      <c r="F266">
        <v>315060.88202999998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0.95766851188537716</v>
      </c>
      <c r="Q266">
        <f t="shared" si="965"/>
        <v>301723.88604696444</v>
      </c>
      <c r="R266">
        <f t="shared" si="966"/>
        <v>18061204.00952645</v>
      </c>
      <c r="S266">
        <f t="shared" si="967"/>
        <v>180.61204009526449</v>
      </c>
      <c r="T266">
        <f t="shared" si="968"/>
        <v>0.18061204009526449</v>
      </c>
    </row>
    <row r="267" spans="1:20" x14ac:dyDescent="0.25">
      <c r="A267" s="5">
        <v>44326</v>
      </c>
      <c r="B267">
        <v>305.48</v>
      </c>
      <c r="C267">
        <v>330.57</v>
      </c>
      <c r="D267">
        <v>265.2</v>
      </c>
      <c r="E267">
        <v>283.76</v>
      </c>
      <c r="F267">
        <v>453431.25722000003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-0.43215542297690068</v>
      </c>
      <c r="Q267">
        <f t="shared" si="965"/>
        <v>-195952.77675485695</v>
      </c>
      <c r="R267">
        <f t="shared" si="966"/>
        <v>17759480.123479486</v>
      </c>
      <c r="S267">
        <f t="shared" si="967"/>
        <v>177.59480123479486</v>
      </c>
      <c r="T267">
        <f t="shared" si="968"/>
        <v>0.17759480123479485</v>
      </c>
    </row>
    <row r="268" spans="1:20" x14ac:dyDescent="0.25">
      <c r="A268" s="5">
        <v>44325</v>
      </c>
      <c r="B268">
        <v>316.05</v>
      </c>
      <c r="C268">
        <v>318.10000000000002</v>
      </c>
      <c r="D268">
        <v>287.89</v>
      </c>
      <c r="E268">
        <v>305.39999999999998</v>
      </c>
      <c r="F268">
        <v>287843.62147000001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0.15921880172128233</v>
      </c>
      <c r="Q268">
        <f t="shared" si="965"/>
        <v>45830.116493567781</v>
      </c>
      <c r="R268">
        <f t="shared" si="966"/>
        <v>17955432.900234342</v>
      </c>
      <c r="S268">
        <f t="shared" si="967"/>
        <v>179.55432900234342</v>
      </c>
      <c r="T268">
        <f t="shared" si="968"/>
        <v>0.17955432900234342</v>
      </c>
    </row>
    <row r="269" spans="1:20" x14ac:dyDescent="0.25">
      <c r="A269" s="5">
        <v>44324</v>
      </c>
      <c r="B269">
        <v>319.74</v>
      </c>
      <c r="C269">
        <v>343.8</v>
      </c>
      <c r="D269">
        <v>294.85000000000002</v>
      </c>
      <c r="E269">
        <v>316.25</v>
      </c>
      <c r="F269">
        <v>428819.67482999997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-0.12563840653728367</v>
      </c>
      <c r="Q269">
        <f t="shared" si="965"/>
        <v>-53876.220637477323</v>
      </c>
      <c r="R269">
        <f t="shared" si="966"/>
        <v>17909602.783740774</v>
      </c>
      <c r="S269">
        <f t="shared" si="967"/>
        <v>179.09602783740775</v>
      </c>
      <c r="T269">
        <f t="shared" si="968"/>
        <v>0.17909602783740775</v>
      </c>
    </row>
    <row r="270" spans="1:20" x14ac:dyDescent="0.25">
      <c r="A270" s="5">
        <v>44323</v>
      </c>
      <c r="B270">
        <v>308.68</v>
      </c>
      <c r="C270">
        <v>343.1</v>
      </c>
      <c r="D270">
        <v>295.62</v>
      </c>
      <c r="E270">
        <v>320.01</v>
      </c>
      <c r="F270">
        <v>574816.88020000001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2.7379949452400042E-2</v>
      </c>
      <c r="Q270">
        <f t="shared" si="965"/>
        <v>15738.457124262291</v>
      </c>
      <c r="R270">
        <f t="shared" si="966"/>
        <v>17963479.004378252</v>
      </c>
      <c r="S270">
        <f t="shared" si="967"/>
        <v>179.63479004378252</v>
      </c>
      <c r="T270">
        <f t="shared" si="968"/>
        <v>0.17963479004378252</v>
      </c>
    </row>
    <row r="271" spans="1:20" x14ac:dyDescent="0.25">
      <c r="A271" s="5">
        <v>44322</v>
      </c>
      <c r="B271">
        <v>292</v>
      </c>
      <c r="C271">
        <v>325.41000000000003</v>
      </c>
      <c r="D271">
        <v>271.16000000000003</v>
      </c>
      <c r="E271">
        <v>308.57</v>
      </c>
      <c r="F271">
        <v>667142.06374000001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0.3791705069124412</v>
      </c>
      <c r="Q271">
        <f t="shared" si="965"/>
        <v>252960.59449090797</v>
      </c>
      <c r="R271">
        <f t="shared" si="966"/>
        <v>17947740.547253989</v>
      </c>
      <c r="S271">
        <f t="shared" si="967"/>
        <v>179.47740547253989</v>
      </c>
      <c r="T271">
        <f t="shared" si="968"/>
        <v>0.17947740547253987</v>
      </c>
    </row>
    <row r="272" spans="1:20" x14ac:dyDescent="0.25">
      <c r="A272" s="5">
        <v>44321</v>
      </c>
      <c r="B272">
        <v>241.17</v>
      </c>
      <c r="C272">
        <v>299.83</v>
      </c>
      <c r="D272">
        <v>237.33</v>
      </c>
      <c r="E272">
        <v>292.01</v>
      </c>
      <c r="F272">
        <v>653270.71265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0.74976000000000009</v>
      </c>
      <c r="Q272">
        <f t="shared" si="965"/>
        <v>489796.24951646407</v>
      </c>
      <c r="R272">
        <f t="shared" si="966"/>
        <v>17694779.952763081</v>
      </c>
      <c r="S272">
        <f t="shared" si="967"/>
        <v>176.94779952763079</v>
      </c>
      <c r="T272">
        <f t="shared" si="968"/>
        <v>0.17694779952763079</v>
      </c>
    </row>
    <row r="273" spans="1:20" x14ac:dyDescent="0.25">
      <c r="A273" s="5">
        <v>44320</v>
      </c>
      <c r="B273">
        <v>250.44</v>
      </c>
      <c r="C273">
        <v>267.87</v>
      </c>
      <c r="D273">
        <v>230.32</v>
      </c>
      <c r="E273">
        <v>241</v>
      </c>
      <c r="F273">
        <v>541226.77610999998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-0.43115845539280939</v>
      </c>
      <c r="Q273">
        <f t="shared" si="965"/>
        <v>-233354.50080481745</v>
      </c>
      <c r="R273">
        <f t="shared" si="966"/>
        <v>17204983.703246616</v>
      </c>
      <c r="S273">
        <f t="shared" si="967"/>
        <v>172.04983703246617</v>
      </c>
      <c r="T273">
        <f t="shared" si="968"/>
        <v>0.17204983703246618</v>
      </c>
    </row>
    <row r="274" spans="1:20" x14ac:dyDescent="0.25">
      <c r="A274" s="5">
        <v>44319</v>
      </c>
      <c r="B274">
        <v>243.27</v>
      </c>
      <c r="C274">
        <v>254.63</v>
      </c>
      <c r="D274">
        <v>242.55</v>
      </c>
      <c r="E274">
        <v>250.48</v>
      </c>
      <c r="F274">
        <v>202683.08618000001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0.31291390728476637</v>
      </c>
      <c r="Q274">
        <f t="shared" si="965"/>
        <v>63422.356437118833</v>
      </c>
      <c r="R274">
        <f t="shared" si="966"/>
        <v>17438338.204051435</v>
      </c>
      <c r="S274">
        <f t="shared" si="967"/>
        <v>174.38338204051436</v>
      </c>
      <c r="T274">
        <f t="shared" si="968"/>
        <v>0.17438338204051437</v>
      </c>
    </row>
    <row r="275" spans="1:20" x14ac:dyDescent="0.25">
      <c r="A275" s="5">
        <v>44318</v>
      </c>
      <c r="B275">
        <v>257.35000000000002</v>
      </c>
      <c r="C275">
        <v>259.33999999999997</v>
      </c>
      <c r="D275">
        <v>241.24</v>
      </c>
      <c r="E275">
        <v>243.3</v>
      </c>
      <c r="F275">
        <v>172409.21674999999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-0.77237569060773414</v>
      </c>
      <c r="Q275">
        <f t="shared" si="965"/>
        <v>-133164.68785441978</v>
      </c>
      <c r="R275">
        <f t="shared" si="966"/>
        <v>17374915.847614314</v>
      </c>
      <c r="S275">
        <f t="shared" si="967"/>
        <v>173.74915847614315</v>
      </c>
      <c r="T275">
        <f t="shared" si="968"/>
        <v>0.17374915847614314</v>
      </c>
    </row>
    <row r="276" spans="1:20" x14ac:dyDescent="0.25">
      <c r="A276" s="5">
        <v>44317</v>
      </c>
      <c r="B276">
        <v>245.42</v>
      </c>
      <c r="C276">
        <v>258.64999999999998</v>
      </c>
      <c r="D276">
        <v>243.3</v>
      </c>
      <c r="E276">
        <v>257.39999999999998</v>
      </c>
      <c r="F276">
        <v>198218.91904000001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0.83713355048859894</v>
      </c>
      <c r="Q276">
        <f t="shared" si="965"/>
        <v>165935.70746996734</v>
      </c>
      <c r="R276">
        <f t="shared" si="966"/>
        <v>17508080.535468735</v>
      </c>
      <c r="S276">
        <f t="shared" si="967"/>
        <v>175.08080535468736</v>
      </c>
      <c r="T276">
        <f t="shared" si="968"/>
        <v>0.17508080535468737</v>
      </c>
    </row>
    <row r="277" spans="1:20" x14ac:dyDescent="0.25">
      <c r="A277" s="5">
        <v>44316</v>
      </c>
      <c r="B277">
        <v>229.41</v>
      </c>
      <c r="C277">
        <v>249.14</v>
      </c>
      <c r="D277">
        <v>223</v>
      </c>
      <c r="E277">
        <v>245.37</v>
      </c>
      <c r="F277">
        <v>236977.08264000001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0.71155317521040673</v>
      </c>
      <c r="Q277">
        <f t="shared" si="965"/>
        <v>168621.79560459097</v>
      </c>
      <c r="R277">
        <f t="shared" si="966"/>
        <v>17342144.827998769</v>
      </c>
      <c r="S277">
        <f t="shared" si="967"/>
        <v>173.42144827998769</v>
      </c>
      <c r="T277">
        <f t="shared" si="968"/>
        <v>0.17342144827998768</v>
      </c>
    </row>
    <row r="278" spans="1:20" x14ac:dyDescent="0.25">
      <c r="A278" s="5">
        <v>44315</v>
      </c>
      <c r="B278">
        <v>240.71</v>
      </c>
      <c r="C278">
        <v>241.21</v>
      </c>
      <c r="D278">
        <v>223.17</v>
      </c>
      <c r="E278">
        <v>229.42</v>
      </c>
      <c r="F278">
        <v>235590.76044000001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-0.30709534368071034</v>
      </c>
      <c r="Q278">
        <f t="shared" si="965"/>
        <v>-72348.825545321699</v>
      </c>
      <c r="R278">
        <f t="shared" si="966"/>
        <v>17173523.032394178</v>
      </c>
      <c r="S278">
        <f t="shared" si="967"/>
        <v>171.73523032394178</v>
      </c>
      <c r="T278">
        <f t="shared" si="968"/>
        <v>0.17173523032394178</v>
      </c>
    </row>
    <row r="279" spans="1:20" x14ac:dyDescent="0.25">
      <c r="A279" s="5">
        <v>44314</v>
      </c>
      <c r="B279">
        <v>241.78</v>
      </c>
      <c r="C279">
        <v>243.5</v>
      </c>
      <c r="D279">
        <v>226.16</v>
      </c>
      <c r="E279">
        <v>240.65</v>
      </c>
      <c r="F279">
        <v>242705.71726999999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0.67128027681660973</v>
      </c>
      <c r="Q279">
        <f t="shared" si="965"/>
        <v>162923.56107397942</v>
      </c>
      <c r="R279">
        <f t="shared" si="966"/>
        <v>17245871.8579395</v>
      </c>
      <c r="S279">
        <f t="shared" si="967"/>
        <v>172.458718579395</v>
      </c>
      <c r="T279">
        <f t="shared" si="968"/>
        <v>0.17245871857939499</v>
      </c>
    </row>
    <row r="280" spans="1:20" x14ac:dyDescent="0.25">
      <c r="A280" s="5">
        <v>44313</v>
      </c>
      <c r="B280">
        <v>226.94</v>
      </c>
      <c r="C280">
        <v>242</v>
      </c>
      <c r="D280">
        <v>222.48</v>
      </c>
      <c r="E280">
        <v>241.89</v>
      </c>
      <c r="F280">
        <v>231318.51527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0.9887295081967199</v>
      </c>
      <c r="Q280">
        <f t="shared" si="965"/>
        <v>228711.44183970254</v>
      </c>
      <c r="R280">
        <f t="shared" si="966"/>
        <v>17082948.296865519</v>
      </c>
      <c r="S280">
        <f t="shared" si="967"/>
        <v>170.82948296865519</v>
      </c>
      <c r="T280">
        <f t="shared" si="968"/>
        <v>0.17082948296865519</v>
      </c>
    </row>
    <row r="281" spans="1:20" x14ac:dyDescent="0.25">
      <c r="A281" s="5">
        <v>44312</v>
      </c>
      <c r="B281">
        <v>202.29</v>
      </c>
      <c r="C281">
        <v>228.08</v>
      </c>
      <c r="D281">
        <v>200.08</v>
      </c>
      <c r="E281">
        <v>227.09</v>
      </c>
      <c r="F281">
        <v>267001.30641000002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0.9292857142857136</v>
      </c>
      <c r="Q281">
        <f t="shared" si="965"/>
        <v>248120.49974243555</v>
      </c>
      <c r="R281">
        <f t="shared" si="966"/>
        <v>16854236.855025817</v>
      </c>
      <c r="S281">
        <f t="shared" si="967"/>
        <v>168.54236855025817</v>
      </c>
      <c r="T281">
        <f t="shared" si="968"/>
        <v>0.16854236855025817</v>
      </c>
    </row>
    <row r="282" spans="1:20" x14ac:dyDescent="0.25">
      <c r="A282" s="5">
        <v>44311</v>
      </c>
      <c r="B282">
        <v>198.45</v>
      </c>
      <c r="C282">
        <v>215.71</v>
      </c>
      <c r="D282">
        <v>191.18</v>
      </c>
      <c r="E282">
        <v>202.31</v>
      </c>
      <c r="F282">
        <v>212616.08679999999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-9.2539747248267842E-2</v>
      </c>
      <c r="Q282">
        <f t="shared" si="965"/>
        <v>-19675.438933387777</v>
      </c>
      <c r="R282">
        <f t="shared" si="966"/>
        <v>16606116.355283381</v>
      </c>
      <c r="S282">
        <f t="shared" si="967"/>
        <v>166.06116355283382</v>
      </c>
      <c r="T282">
        <f t="shared" si="968"/>
        <v>0.16606116355283382</v>
      </c>
    </row>
    <row r="283" spans="1:20" x14ac:dyDescent="0.25">
      <c r="A283" s="5">
        <v>44310</v>
      </c>
      <c r="B283">
        <v>220.2</v>
      </c>
      <c r="C283">
        <v>220.31</v>
      </c>
      <c r="D283">
        <v>196.87</v>
      </c>
      <c r="E283">
        <v>198.46</v>
      </c>
      <c r="F283">
        <v>308135.62664999999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-0.86433447098976079</v>
      </c>
      <c r="Q283">
        <f t="shared" si="965"/>
        <v>-266332.24385362619</v>
      </c>
      <c r="R283">
        <f t="shared" si="966"/>
        <v>16625791.794216769</v>
      </c>
      <c r="S283">
        <f t="shared" si="967"/>
        <v>166.25791794216769</v>
      </c>
      <c r="T283">
        <f t="shared" si="968"/>
        <v>0.16625791794216768</v>
      </c>
    </row>
    <row r="284" spans="1:20" x14ac:dyDescent="0.25">
      <c r="A284" s="5">
        <v>44309</v>
      </c>
      <c r="B284">
        <v>224.04</v>
      </c>
      <c r="C284">
        <v>226.76</v>
      </c>
      <c r="D284">
        <v>167</v>
      </c>
      <c r="E284">
        <v>220.31</v>
      </c>
      <c r="F284">
        <v>696492.13867000001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0.78413654618473927</v>
      </c>
      <c r="Q284">
        <f t="shared" si="965"/>
        <v>546144.94006151624</v>
      </c>
      <c r="R284">
        <f t="shared" si="966"/>
        <v>16892124.038070396</v>
      </c>
      <c r="S284">
        <f t="shared" si="967"/>
        <v>168.92124038070395</v>
      </c>
      <c r="T284">
        <f t="shared" si="968"/>
        <v>0.16892124038070394</v>
      </c>
    </row>
    <row r="285" spans="1:20" x14ac:dyDescent="0.25">
      <c r="A285" s="5">
        <v>44308</v>
      </c>
      <c r="B285">
        <v>237.3</v>
      </c>
      <c r="C285">
        <v>248.28</v>
      </c>
      <c r="D285">
        <v>218.35</v>
      </c>
      <c r="E285">
        <v>223.91</v>
      </c>
      <c r="F285">
        <v>345453.00280000002</v>
      </c>
      <c r="G285">
        <v>0</v>
      </c>
      <c r="L285" t="s">
        <v>7</v>
      </c>
      <c r="M285" t="s">
        <v>8</v>
      </c>
      <c r="N285" t="s">
        <v>8</v>
      </c>
      <c r="P285">
        <f t="shared" si="964"/>
        <v>-0.6284664216505178</v>
      </c>
      <c r="Q285">
        <f t="shared" si="965"/>
        <v>-217105.61251814233</v>
      </c>
      <c r="R285">
        <f t="shared" si="966"/>
        <v>16345979.098008879</v>
      </c>
      <c r="S285">
        <f t="shared" si="967"/>
        <v>163.4597909800888</v>
      </c>
      <c r="T285">
        <f t="shared" si="968"/>
        <v>0.16345979098008881</v>
      </c>
    </row>
    <row r="286" spans="1:20" x14ac:dyDescent="0.25">
      <c r="A286" s="5">
        <v>44307</v>
      </c>
      <c r="B286">
        <v>249.69</v>
      </c>
      <c r="C286">
        <v>256.18</v>
      </c>
      <c r="D286">
        <v>231.28</v>
      </c>
      <c r="E286">
        <v>237.29</v>
      </c>
      <c r="F286">
        <v>347373.04637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-0.51726907630522168</v>
      </c>
      <c r="Q286">
        <f t="shared" si="965"/>
        <v>-179685.33482914083</v>
      </c>
      <c r="R286">
        <f t="shared" si="966"/>
        <v>16563084.710527021</v>
      </c>
      <c r="S286">
        <f t="shared" si="967"/>
        <v>165.63084710527022</v>
      </c>
      <c r="T286">
        <f t="shared" si="968"/>
        <v>0.16563084710527021</v>
      </c>
    </row>
    <row r="287" spans="1:20" x14ac:dyDescent="0.25">
      <c r="A287" s="5">
        <v>44306</v>
      </c>
      <c r="B287">
        <v>225.68</v>
      </c>
      <c r="C287">
        <v>250.54</v>
      </c>
      <c r="D287">
        <v>209.15</v>
      </c>
      <c r="E287">
        <v>249.64</v>
      </c>
      <c r="F287">
        <v>571925.17001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0.95651123459772858</v>
      </c>
      <c r="Q287">
        <f t="shared" si="965"/>
        <v>547052.85046378092</v>
      </c>
      <c r="R287">
        <f t="shared" si="966"/>
        <v>16742770.045356162</v>
      </c>
      <c r="S287">
        <f t="shared" si="967"/>
        <v>167.42770045356161</v>
      </c>
      <c r="T287">
        <f t="shared" si="968"/>
        <v>0.16742770045356162</v>
      </c>
    </row>
    <row r="288" spans="1:20" x14ac:dyDescent="0.25">
      <c r="A288" s="5">
        <v>44305</v>
      </c>
      <c r="B288">
        <v>260.04000000000002</v>
      </c>
      <c r="C288">
        <v>265.77999999999997</v>
      </c>
      <c r="D288">
        <v>221</v>
      </c>
      <c r="E288">
        <v>225.55</v>
      </c>
      <c r="F288">
        <v>555092.34250000003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-0.79678427869584578</v>
      </c>
      <c r="Q288">
        <f t="shared" si="965"/>
        <v>-442288.85172844992</v>
      </c>
      <c r="R288">
        <f t="shared" si="966"/>
        <v>16195717.19489238</v>
      </c>
      <c r="S288">
        <f t="shared" si="967"/>
        <v>161.95717194892381</v>
      </c>
      <c r="T288">
        <f t="shared" si="968"/>
        <v>0.16195717194892381</v>
      </c>
    </row>
    <row r="289" spans="1:20" x14ac:dyDescent="0.25">
      <c r="A289" s="5">
        <v>44304</v>
      </c>
      <c r="B289">
        <v>279.83</v>
      </c>
      <c r="C289">
        <v>285.97000000000003</v>
      </c>
      <c r="D289">
        <v>186.43</v>
      </c>
      <c r="E289">
        <v>260.05</v>
      </c>
      <c r="F289">
        <v>905012.30998000002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0.47920433996383344</v>
      </c>
      <c r="Q289">
        <f t="shared" si="965"/>
        <v>433685.82666311011</v>
      </c>
      <c r="R289">
        <f t="shared" si="966"/>
        <v>16638006.046620831</v>
      </c>
      <c r="S289">
        <f t="shared" si="967"/>
        <v>166.38006046620831</v>
      </c>
      <c r="T289">
        <f t="shared" si="968"/>
        <v>0.16638006046620832</v>
      </c>
    </row>
    <row r="290" spans="1:20" x14ac:dyDescent="0.25">
      <c r="A290" s="5">
        <v>44303</v>
      </c>
      <c r="B290">
        <v>270.02999999999997</v>
      </c>
      <c r="C290">
        <v>299.13</v>
      </c>
      <c r="D290">
        <v>269.10000000000002</v>
      </c>
      <c r="E290">
        <v>279.95</v>
      </c>
      <c r="F290">
        <v>539859.77946999995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-0.27738927738927899</v>
      </c>
      <c r="Q290">
        <f t="shared" si="965"/>
        <v>-149751.31411871879</v>
      </c>
      <c r="R290">
        <f t="shared" si="966"/>
        <v>16204320.21995772</v>
      </c>
      <c r="S290">
        <f t="shared" si="967"/>
        <v>162.04320219957719</v>
      </c>
      <c r="T290">
        <f t="shared" si="968"/>
        <v>0.16204320219957719</v>
      </c>
    </row>
    <row r="291" spans="1:20" x14ac:dyDescent="0.25">
      <c r="A291" s="5">
        <v>44302</v>
      </c>
      <c r="B291">
        <v>252.22</v>
      </c>
      <c r="C291">
        <v>271.86</v>
      </c>
      <c r="D291">
        <v>234.92</v>
      </c>
      <c r="E291">
        <v>270.02999999999997</v>
      </c>
      <c r="F291">
        <v>454052.23905999999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0.90092041147807045</v>
      </c>
      <c r="Q291">
        <f t="shared" si="965"/>
        <v>409064.93004647439</v>
      </c>
      <c r="R291">
        <f t="shared" si="966"/>
        <v>16354071.534076439</v>
      </c>
      <c r="S291">
        <f t="shared" si="967"/>
        <v>163.54071534076439</v>
      </c>
      <c r="T291">
        <f t="shared" si="968"/>
        <v>0.16354071534076439</v>
      </c>
    </row>
    <row r="292" spans="1:20" x14ac:dyDescent="0.25">
      <c r="A292" s="5">
        <v>44301</v>
      </c>
      <c r="B292">
        <v>237.52</v>
      </c>
      <c r="C292">
        <v>255</v>
      </c>
      <c r="D292">
        <v>235.03</v>
      </c>
      <c r="E292">
        <v>252.27</v>
      </c>
      <c r="F292">
        <v>398038.67437999998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0.72658988482724185</v>
      </c>
      <c r="Q292">
        <f t="shared" si="965"/>
        <v>289210.87457455223</v>
      </c>
      <c r="R292">
        <f t="shared" si="966"/>
        <v>15945006.604029965</v>
      </c>
      <c r="S292">
        <f t="shared" si="967"/>
        <v>159.45006604029965</v>
      </c>
      <c r="T292">
        <f t="shared" si="968"/>
        <v>0.15945006604029965</v>
      </c>
    </row>
    <row r="293" spans="1:20" x14ac:dyDescent="0.25">
      <c r="A293" s="5">
        <v>44300</v>
      </c>
      <c r="B293">
        <v>225.97</v>
      </c>
      <c r="C293">
        <v>243.72</v>
      </c>
      <c r="D293">
        <v>217.78</v>
      </c>
      <c r="E293">
        <v>237.5</v>
      </c>
      <c r="F293">
        <v>462214.67424000002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0.52043176561295301</v>
      </c>
      <c r="Q293">
        <f t="shared" si="965"/>
        <v>240551.19900693913</v>
      </c>
      <c r="R293">
        <f t="shared" si="966"/>
        <v>15655795.729455413</v>
      </c>
      <c r="S293">
        <f t="shared" si="967"/>
        <v>156.55795729455414</v>
      </c>
      <c r="T293">
        <f t="shared" si="968"/>
        <v>0.15655795729455416</v>
      </c>
    </row>
    <row r="294" spans="1:20" x14ac:dyDescent="0.25">
      <c r="A294" s="5">
        <v>44299</v>
      </c>
      <c r="B294">
        <v>221.36</v>
      </c>
      <c r="C294">
        <v>232.5</v>
      </c>
      <c r="D294">
        <v>217.14</v>
      </c>
      <c r="E294">
        <v>225.98</v>
      </c>
      <c r="F294">
        <v>362983.45828000002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0.15104166666666607</v>
      </c>
      <c r="Q294">
        <f t="shared" si="965"/>
        <v>54825.626511041453</v>
      </c>
      <c r="R294">
        <f t="shared" si="966"/>
        <v>15415244.530448474</v>
      </c>
      <c r="S294">
        <f t="shared" si="967"/>
        <v>154.15244530448473</v>
      </c>
      <c r="T294">
        <f t="shared" si="968"/>
        <v>0.15415244530448474</v>
      </c>
    </row>
    <row r="295" spans="1:20" x14ac:dyDescent="0.25">
      <c r="A295" s="5">
        <v>44298</v>
      </c>
      <c r="B295">
        <v>222.27</v>
      </c>
      <c r="C295">
        <v>237</v>
      </c>
      <c r="D295">
        <v>209.08</v>
      </c>
      <c r="E295">
        <v>221.39</v>
      </c>
      <c r="F295">
        <v>565338.00714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-0.11819484240687828</v>
      </c>
      <c r="Q295">
        <f t="shared" si="965"/>
        <v>-66820.036660530925</v>
      </c>
      <c r="R295">
        <f t="shared" si="966"/>
        <v>15360418.903937433</v>
      </c>
      <c r="S295">
        <f t="shared" si="967"/>
        <v>153.60418903937432</v>
      </c>
      <c r="T295">
        <f t="shared" si="968"/>
        <v>0.15360418903937431</v>
      </c>
    </row>
    <row r="296" spans="1:20" x14ac:dyDescent="0.25">
      <c r="A296" s="5">
        <v>44297</v>
      </c>
      <c r="B296">
        <v>206.2</v>
      </c>
      <c r="C296">
        <v>231.89</v>
      </c>
      <c r="D296">
        <v>206</v>
      </c>
      <c r="E296">
        <v>222.31</v>
      </c>
      <c r="F296">
        <v>445002.92700999998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0.25994592506759451</v>
      </c>
      <c r="Q296">
        <f t="shared" si="965"/>
        <v>115676.69751940168</v>
      </c>
      <c r="R296">
        <f t="shared" si="966"/>
        <v>15427238.940597964</v>
      </c>
      <c r="S296">
        <f t="shared" si="967"/>
        <v>154.27238940597965</v>
      </c>
      <c r="T296">
        <f t="shared" si="968"/>
        <v>0.15427238940597965</v>
      </c>
    </row>
    <row r="297" spans="1:20" x14ac:dyDescent="0.25">
      <c r="A297" s="5">
        <v>44296</v>
      </c>
      <c r="B297">
        <v>194.57</v>
      </c>
      <c r="C297">
        <v>210</v>
      </c>
      <c r="D297">
        <v>193.49</v>
      </c>
      <c r="E297">
        <v>206.15</v>
      </c>
      <c r="F297">
        <v>371971.70292000001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0.53361599030890416</v>
      </c>
      <c r="Q297">
        <f t="shared" si="965"/>
        <v>198490.04862054531</v>
      </c>
      <c r="R297">
        <f t="shared" si="966"/>
        <v>15311562.243078563</v>
      </c>
      <c r="S297">
        <f t="shared" si="967"/>
        <v>153.11562243078563</v>
      </c>
      <c r="T297">
        <f t="shared" si="968"/>
        <v>0.15311562243078564</v>
      </c>
    </row>
    <row r="298" spans="1:20" x14ac:dyDescent="0.25">
      <c r="A298" s="5">
        <v>44295</v>
      </c>
      <c r="B298">
        <v>184.68</v>
      </c>
      <c r="C298">
        <v>198.86</v>
      </c>
      <c r="D298">
        <v>183.66</v>
      </c>
      <c r="E298">
        <v>194.65</v>
      </c>
      <c r="F298">
        <v>309985.54943000001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0.44605263157894692</v>
      </c>
      <c r="Q298">
        <f t="shared" si="965"/>
        <v>138269.87007469725</v>
      </c>
      <c r="R298">
        <f t="shared" si="966"/>
        <v>15113072.194458019</v>
      </c>
      <c r="S298">
        <f t="shared" si="967"/>
        <v>151.13072194458019</v>
      </c>
      <c r="T298">
        <f t="shared" si="968"/>
        <v>0.15113072194458019</v>
      </c>
    </row>
    <row r="299" spans="1:20" x14ac:dyDescent="0.25">
      <c r="A299" s="5">
        <v>44294</v>
      </c>
      <c r="B299">
        <v>171.37</v>
      </c>
      <c r="C299">
        <v>185.79</v>
      </c>
      <c r="D299">
        <v>170.21</v>
      </c>
      <c r="E299">
        <v>184.74</v>
      </c>
      <c r="F299">
        <v>201058.97799000001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0.86521181001283898</v>
      </c>
      <c r="Q299">
        <f t="shared" si="965"/>
        <v>173958.60226605946</v>
      </c>
      <c r="R299">
        <f t="shared" si="966"/>
        <v>14974802.324383322</v>
      </c>
      <c r="S299">
        <f t="shared" si="967"/>
        <v>149.74802324383322</v>
      </c>
      <c r="T299">
        <f t="shared" si="968"/>
        <v>0.14974802324383321</v>
      </c>
    </row>
    <row r="300" spans="1:20" x14ac:dyDescent="0.25">
      <c r="A300" s="5">
        <v>44293</v>
      </c>
      <c r="B300">
        <v>191.17</v>
      </c>
      <c r="C300">
        <v>194.23</v>
      </c>
      <c r="D300">
        <v>162.34</v>
      </c>
      <c r="E300">
        <v>171.26</v>
      </c>
      <c r="F300">
        <v>395113.68962999998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-0.44057698338037055</v>
      </c>
      <c r="Q300">
        <f t="shared" si="965"/>
        <v>-174077.9974694734</v>
      </c>
      <c r="R300">
        <f t="shared" si="966"/>
        <v>14800843.722117262</v>
      </c>
      <c r="S300">
        <f t="shared" si="967"/>
        <v>148.00843722117261</v>
      </c>
      <c r="T300">
        <f t="shared" si="968"/>
        <v>0.1480084372211726</v>
      </c>
    </row>
    <row r="301" spans="1:20" x14ac:dyDescent="0.25">
      <c r="A301" s="5">
        <v>44292</v>
      </c>
      <c r="B301">
        <v>197.05</v>
      </c>
      <c r="C301">
        <v>200.32</v>
      </c>
      <c r="D301">
        <v>181.53</v>
      </c>
      <c r="E301">
        <v>191.11</v>
      </c>
      <c r="F301">
        <v>329114.01325000002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1.9691325172966106E-2</v>
      </c>
      <c r="Q301">
        <f t="shared" si="965"/>
        <v>6480.6910538856255</v>
      </c>
      <c r="R301">
        <f t="shared" si="966"/>
        <v>14974921.719586736</v>
      </c>
      <c r="S301">
        <f t="shared" si="967"/>
        <v>149.74921719586735</v>
      </c>
      <c r="T301">
        <f t="shared" si="968"/>
        <v>0.14974921719586734</v>
      </c>
    </row>
    <row r="302" spans="1:20" x14ac:dyDescent="0.25">
      <c r="A302" s="5">
        <v>44291</v>
      </c>
      <c r="B302">
        <v>187.13</v>
      </c>
      <c r="C302">
        <v>200.31</v>
      </c>
      <c r="D302">
        <v>182.85</v>
      </c>
      <c r="E302">
        <v>197.13</v>
      </c>
      <c r="F302">
        <v>437637.22934000002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0.63573883161511968</v>
      </c>
      <c r="Q302">
        <f t="shared" si="965"/>
        <v>278222.98085188976</v>
      </c>
      <c r="R302">
        <f t="shared" si="966"/>
        <v>14968441.02853285</v>
      </c>
      <c r="S302">
        <f t="shared" si="967"/>
        <v>149.68441028532848</v>
      </c>
      <c r="T302">
        <f t="shared" si="968"/>
        <v>0.14968441028532847</v>
      </c>
    </row>
    <row r="303" spans="1:20" x14ac:dyDescent="0.25">
      <c r="A303" s="5">
        <v>44290</v>
      </c>
      <c r="B303">
        <v>171.49</v>
      </c>
      <c r="C303">
        <v>195</v>
      </c>
      <c r="D303">
        <v>169</v>
      </c>
      <c r="E303">
        <v>187.14</v>
      </c>
      <c r="F303">
        <v>686296.12789999996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0.39538461538461434</v>
      </c>
      <c r="Q303">
        <f t="shared" si="965"/>
        <v>271350.93056969158</v>
      </c>
      <c r="R303">
        <f t="shared" si="966"/>
        <v>14690218.047680959</v>
      </c>
      <c r="S303">
        <f t="shared" si="967"/>
        <v>146.9021804768096</v>
      </c>
      <c r="T303">
        <f t="shared" si="968"/>
        <v>0.14690218047680961</v>
      </c>
    </row>
    <row r="304" spans="1:20" x14ac:dyDescent="0.25">
      <c r="A304" s="5">
        <v>44289</v>
      </c>
      <c r="B304">
        <v>169.5</v>
      </c>
      <c r="C304">
        <v>179.58</v>
      </c>
      <c r="D304">
        <v>163.38</v>
      </c>
      <c r="E304">
        <v>171.61</v>
      </c>
      <c r="F304">
        <v>349985.68446999998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1.604938271605056E-2</v>
      </c>
      <c r="Q304">
        <f t="shared" si="965"/>
        <v>5617.0541951979421</v>
      </c>
      <c r="R304">
        <f t="shared" si="966"/>
        <v>14418867.117111268</v>
      </c>
      <c r="S304">
        <f t="shared" si="967"/>
        <v>144.18867117111267</v>
      </c>
      <c r="T304">
        <f t="shared" si="968"/>
        <v>0.14418867117111267</v>
      </c>
    </row>
    <row r="305" spans="1:20" x14ac:dyDescent="0.25">
      <c r="A305" s="5">
        <v>44288</v>
      </c>
      <c r="B305">
        <v>165.55</v>
      </c>
      <c r="C305">
        <v>177.75</v>
      </c>
      <c r="D305">
        <v>163.69</v>
      </c>
      <c r="E305">
        <v>169.52</v>
      </c>
      <c r="F305">
        <v>366357.54787000001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-0.17069701280227431</v>
      </c>
      <c r="Q305">
        <f t="shared" si="965"/>
        <v>-62536.139038975212</v>
      </c>
      <c r="R305">
        <f t="shared" si="966"/>
        <v>14413250.06291607</v>
      </c>
      <c r="S305">
        <f t="shared" si="967"/>
        <v>144.13250062916069</v>
      </c>
      <c r="T305">
        <f t="shared" si="968"/>
        <v>0.14413250062916069</v>
      </c>
    </row>
    <row r="306" spans="1:20" x14ac:dyDescent="0.25">
      <c r="A306" s="5">
        <v>44287</v>
      </c>
      <c r="B306">
        <v>158.16</v>
      </c>
      <c r="C306">
        <v>167</v>
      </c>
      <c r="D306">
        <v>152.71</v>
      </c>
      <c r="E306">
        <v>165.53</v>
      </c>
      <c r="F306">
        <v>348492.89010999998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0.79426172148355501</v>
      </c>
      <c r="Q306">
        <f t="shared" si="965"/>
        <v>276794.56282354792</v>
      </c>
      <c r="R306">
        <f t="shared" si="966"/>
        <v>14475786.201955045</v>
      </c>
      <c r="S306">
        <f t="shared" si="967"/>
        <v>144.75786201955046</v>
      </c>
      <c r="T306">
        <f t="shared" si="968"/>
        <v>0.14475786201955046</v>
      </c>
    </row>
    <row r="307" spans="1:20" x14ac:dyDescent="0.25">
      <c r="A307" s="5">
        <v>44286</v>
      </c>
      <c r="B307">
        <v>154.57</v>
      </c>
      <c r="C307">
        <v>158.38</v>
      </c>
      <c r="D307">
        <v>146.69</v>
      </c>
      <c r="E307">
        <v>158.22</v>
      </c>
      <c r="F307">
        <v>240328.98355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0.97262617621899117</v>
      </c>
      <c r="Q307">
        <f t="shared" si="965"/>
        <v>233750.26030483333</v>
      </c>
      <c r="R307">
        <f t="shared" si="966"/>
        <v>14198991.639131498</v>
      </c>
      <c r="S307">
        <f t="shared" si="967"/>
        <v>141.98991639131498</v>
      </c>
      <c r="T307">
        <f t="shared" si="968"/>
        <v>0.14198991639131497</v>
      </c>
    </row>
    <row r="308" spans="1:20" x14ac:dyDescent="0.25">
      <c r="A308" s="5">
        <v>44285</v>
      </c>
      <c r="B308">
        <v>149.13</v>
      </c>
      <c r="C308">
        <v>156.99</v>
      </c>
      <c r="D308">
        <v>145.68</v>
      </c>
      <c r="E308">
        <v>154.6</v>
      </c>
      <c r="F308">
        <v>314913.93614000001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0.57736516357205758</v>
      </c>
      <c r="Q308">
        <f t="shared" si="965"/>
        <v>181820.33625059159</v>
      </c>
      <c r="R308">
        <f t="shared" si="966"/>
        <v>13965241.378826665</v>
      </c>
      <c r="S308">
        <f t="shared" si="967"/>
        <v>139.65241378826664</v>
      </c>
      <c r="T308">
        <f t="shared" si="968"/>
        <v>0.13965241378826665</v>
      </c>
    </row>
    <row r="309" spans="1:20" x14ac:dyDescent="0.25">
      <c r="A309" s="5">
        <v>44284</v>
      </c>
      <c r="B309">
        <v>144.84</v>
      </c>
      <c r="C309">
        <v>159.75</v>
      </c>
      <c r="D309">
        <v>141.84</v>
      </c>
      <c r="E309">
        <v>149.18</v>
      </c>
      <c r="F309">
        <v>444715.86423000001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-0.18034617532104916</v>
      </c>
      <c r="Q309">
        <f t="shared" si="965"/>
        <v>-80202.805218475478</v>
      </c>
      <c r="R309">
        <f t="shared" si="966"/>
        <v>13783421.042576073</v>
      </c>
      <c r="S309">
        <f t="shared" si="967"/>
        <v>137.83421042576072</v>
      </c>
      <c r="T309">
        <f t="shared" si="968"/>
        <v>0.13783421042576072</v>
      </c>
    </row>
    <row r="310" spans="1:20" x14ac:dyDescent="0.25">
      <c r="A310" s="5">
        <v>44283</v>
      </c>
      <c r="B310">
        <v>133.61000000000001</v>
      </c>
      <c r="C310">
        <v>145.06</v>
      </c>
      <c r="D310">
        <v>129.93</v>
      </c>
      <c r="E310">
        <v>144.87</v>
      </c>
      <c r="F310">
        <v>315405.00625999999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0.97488433575677491</v>
      </c>
      <c r="Q310">
        <f t="shared" si="965"/>
        <v>307483.40002214152</v>
      </c>
      <c r="R310">
        <f t="shared" si="966"/>
        <v>13863623.847794548</v>
      </c>
      <c r="S310">
        <f t="shared" si="967"/>
        <v>138.63623847794548</v>
      </c>
      <c r="T310">
        <f t="shared" si="968"/>
        <v>0.13863623847794548</v>
      </c>
    </row>
    <row r="311" spans="1:20" x14ac:dyDescent="0.25">
      <c r="A311" s="5">
        <v>44282</v>
      </c>
      <c r="B311">
        <v>133.44999999999999</v>
      </c>
      <c r="C311">
        <v>135.56</v>
      </c>
      <c r="D311">
        <v>126.29</v>
      </c>
      <c r="E311">
        <v>133.62</v>
      </c>
      <c r="F311">
        <v>153349.67785000001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0.58144552319309628</v>
      </c>
      <c r="Q311">
        <f t="shared" si="965"/>
        <v>89164.483668986024</v>
      </c>
      <c r="R311">
        <f t="shared" si="966"/>
        <v>13556140.447772406</v>
      </c>
      <c r="S311">
        <f t="shared" si="967"/>
        <v>135.56140447772407</v>
      </c>
      <c r="T311">
        <f t="shared" si="968"/>
        <v>0.13556140447772408</v>
      </c>
    </row>
    <row r="312" spans="1:20" x14ac:dyDescent="0.25">
      <c r="A312" s="5">
        <v>44281</v>
      </c>
      <c r="B312">
        <v>123.04</v>
      </c>
      <c r="C312">
        <v>133.55000000000001</v>
      </c>
      <c r="D312">
        <v>123</v>
      </c>
      <c r="E312">
        <v>133.46</v>
      </c>
      <c r="F312">
        <v>175850.91774999999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0.9829383886255918</v>
      </c>
      <c r="Q312">
        <f t="shared" si="965"/>
        <v>172850.61773151648</v>
      </c>
      <c r="R312">
        <f t="shared" si="966"/>
        <v>13466975.964103419</v>
      </c>
      <c r="S312">
        <f t="shared" si="967"/>
        <v>134.6697596410342</v>
      </c>
      <c r="T312">
        <f t="shared" si="968"/>
        <v>0.1346697596410342</v>
      </c>
    </row>
    <row r="313" spans="1:20" x14ac:dyDescent="0.25">
      <c r="A313" s="5">
        <v>44280</v>
      </c>
      <c r="B313">
        <v>127.67</v>
      </c>
      <c r="C313">
        <v>128.9</v>
      </c>
      <c r="D313">
        <v>116.16</v>
      </c>
      <c r="E313">
        <v>123.02</v>
      </c>
      <c r="F313">
        <v>295639.20929999999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7.6923076923076067E-2</v>
      </c>
      <c r="Q313">
        <f t="shared" si="965"/>
        <v>22741.477638461285</v>
      </c>
      <c r="R313">
        <f t="shared" si="966"/>
        <v>13294125.346371902</v>
      </c>
      <c r="S313">
        <f t="shared" si="967"/>
        <v>132.94125346371902</v>
      </c>
      <c r="T313">
        <f t="shared" si="968"/>
        <v>0.13294125346371902</v>
      </c>
    </row>
    <row r="314" spans="1:20" x14ac:dyDescent="0.25">
      <c r="A314" s="5">
        <v>44279</v>
      </c>
      <c r="B314">
        <v>136.02000000000001</v>
      </c>
      <c r="C314">
        <v>141.71</v>
      </c>
      <c r="D314">
        <v>125.51</v>
      </c>
      <c r="E314">
        <v>127.67</v>
      </c>
      <c r="F314">
        <v>178440.78474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-0.73333333333333384</v>
      </c>
      <c r="Q314">
        <f t="shared" si="965"/>
        <v>-130856.57547600009</v>
      </c>
      <c r="R314">
        <f t="shared" si="966"/>
        <v>13271383.868733441</v>
      </c>
      <c r="S314">
        <f t="shared" si="967"/>
        <v>132.7138386873344</v>
      </c>
      <c r="T314">
        <f t="shared" si="968"/>
        <v>0.13271383868733441</v>
      </c>
    </row>
    <row r="315" spans="1:20" x14ac:dyDescent="0.25">
      <c r="A315" s="5">
        <v>44278</v>
      </c>
      <c r="B315">
        <v>139.55000000000001</v>
      </c>
      <c r="C315">
        <v>143.47</v>
      </c>
      <c r="D315">
        <v>134.97999999999999</v>
      </c>
      <c r="E315">
        <v>136.02000000000001</v>
      </c>
      <c r="F315">
        <v>178625.55484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-0.75500588928150314</v>
      </c>
      <c r="Q315">
        <f t="shared" si="965"/>
        <v>-134863.34588037612</v>
      </c>
      <c r="R315">
        <f t="shared" si="966"/>
        <v>13402240.444209442</v>
      </c>
      <c r="S315">
        <f t="shared" si="967"/>
        <v>134.02240444209443</v>
      </c>
      <c r="T315">
        <f t="shared" si="968"/>
        <v>0.13402240444209443</v>
      </c>
    </row>
    <row r="316" spans="1:20" x14ac:dyDescent="0.25">
      <c r="A316" s="5">
        <v>44277</v>
      </c>
      <c r="B316">
        <v>148.18</v>
      </c>
      <c r="C316">
        <v>149.69999999999999</v>
      </c>
      <c r="D316">
        <v>139.5</v>
      </c>
      <c r="E316">
        <v>139.53</v>
      </c>
      <c r="F316">
        <v>149049.89056999999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-0.99411764705882333</v>
      </c>
      <c r="Q316">
        <f t="shared" si="965"/>
        <v>-148173.1265078235</v>
      </c>
      <c r="R316">
        <f t="shared" si="966"/>
        <v>13537103.790089818</v>
      </c>
      <c r="S316">
        <f t="shared" si="967"/>
        <v>135.37103790089819</v>
      </c>
      <c r="T316">
        <f t="shared" si="968"/>
        <v>0.13537103790089819</v>
      </c>
    </row>
    <row r="317" spans="1:20" x14ac:dyDescent="0.25">
      <c r="A317" s="5">
        <v>44276</v>
      </c>
      <c r="B317">
        <v>155</v>
      </c>
      <c r="C317">
        <v>156.49</v>
      </c>
      <c r="D317">
        <v>145.09</v>
      </c>
      <c r="E317">
        <v>148.18</v>
      </c>
      <c r="F317">
        <v>159080.43693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-0.45789473684210491</v>
      </c>
      <c r="Q317">
        <f t="shared" si="965"/>
        <v>-72842.09480478942</v>
      </c>
      <c r="R317">
        <f t="shared" si="966"/>
        <v>13685276.916597642</v>
      </c>
      <c r="S317">
        <f t="shared" si="967"/>
        <v>136.85276916597641</v>
      </c>
      <c r="T317">
        <f t="shared" si="968"/>
        <v>0.13685276916597641</v>
      </c>
    </row>
    <row r="318" spans="1:20" x14ac:dyDescent="0.25">
      <c r="A318" s="5">
        <v>44275</v>
      </c>
      <c r="B318">
        <v>150.22999999999999</v>
      </c>
      <c r="C318">
        <v>161.19999999999999</v>
      </c>
      <c r="D318">
        <v>149.29</v>
      </c>
      <c r="E318">
        <v>155.03</v>
      </c>
      <c r="F318">
        <v>242776.76381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-3.6104114189754705E-2</v>
      </c>
      <c r="Q318">
        <f t="shared" si="965"/>
        <v>-8765.2400032153473</v>
      </c>
      <c r="R318">
        <f t="shared" si="966"/>
        <v>13758119.011402432</v>
      </c>
      <c r="S318">
        <f t="shared" si="967"/>
        <v>137.58119011402431</v>
      </c>
      <c r="T318">
        <f t="shared" si="968"/>
        <v>0.13758119011402431</v>
      </c>
    </row>
    <row r="319" spans="1:20" x14ac:dyDescent="0.25">
      <c r="A319" s="5">
        <v>44274</v>
      </c>
      <c r="B319">
        <v>142.97999999999999</v>
      </c>
      <c r="C319">
        <v>153.25</v>
      </c>
      <c r="D319">
        <v>140.35</v>
      </c>
      <c r="E319">
        <v>150.31</v>
      </c>
      <c r="F319">
        <v>131723.47967999999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0.5441860465116285</v>
      </c>
      <c r="Q319">
        <f t="shared" si="965"/>
        <v>71682.079639814023</v>
      </c>
      <c r="R319">
        <f t="shared" si="966"/>
        <v>13766884.251405647</v>
      </c>
      <c r="S319">
        <f t="shared" si="967"/>
        <v>137.66884251405648</v>
      </c>
      <c r="T319">
        <f t="shared" si="968"/>
        <v>0.13766884251405648</v>
      </c>
    </row>
    <row r="320" spans="1:20" x14ac:dyDescent="0.25">
      <c r="A320" s="5">
        <v>44273</v>
      </c>
      <c r="B320">
        <v>146.03</v>
      </c>
      <c r="C320">
        <v>150.88</v>
      </c>
      <c r="D320">
        <v>141.82</v>
      </c>
      <c r="E320">
        <v>142.97</v>
      </c>
      <c r="F320">
        <v>150347.35329999999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-0.74613686534216217</v>
      </c>
      <c r="Q320">
        <f t="shared" si="965"/>
        <v>-112179.70290375258</v>
      </c>
      <c r="R320">
        <f t="shared" si="966"/>
        <v>13695202.171765832</v>
      </c>
      <c r="S320">
        <f t="shared" si="967"/>
        <v>136.95202171765831</v>
      </c>
      <c r="T320">
        <f t="shared" si="968"/>
        <v>0.1369520217176583</v>
      </c>
    </row>
    <row r="321" spans="1:20" x14ac:dyDescent="0.25">
      <c r="A321" s="5">
        <v>44272</v>
      </c>
      <c r="B321">
        <v>139.37</v>
      </c>
      <c r="C321">
        <v>146.97</v>
      </c>
      <c r="D321">
        <v>134.47</v>
      </c>
      <c r="E321">
        <v>146.02000000000001</v>
      </c>
      <c r="F321">
        <v>178928.53771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0.84800000000000186</v>
      </c>
      <c r="Q321">
        <f t="shared" si="965"/>
        <v>151731.39997808033</v>
      </c>
      <c r="R321">
        <f t="shared" si="966"/>
        <v>13807381.874669585</v>
      </c>
      <c r="S321">
        <f t="shared" si="967"/>
        <v>138.07381874669585</v>
      </c>
      <c r="T321">
        <f t="shared" si="968"/>
        <v>0.13807381874669586</v>
      </c>
    </row>
    <row r="322" spans="1:20" x14ac:dyDescent="0.25">
      <c r="A322" s="5">
        <v>44271</v>
      </c>
      <c r="B322">
        <v>135.19</v>
      </c>
      <c r="C322">
        <v>140.38</v>
      </c>
      <c r="D322">
        <v>130.05000000000001</v>
      </c>
      <c r="E322">
        <v>139.41</v>
      </c>
      <c r="F322">
        <v>147123.29501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0.81219748305905126</v>
      </c>
      <c r="Q322">
        <f t="shared" si="965"/>
        <v>119493.16990647628</v>
      </c>
      <c r="R322">
        <f t="shared" si="966"/>
        <v>13655650.474691505</v>
      </c>
      <c r="S322">
        <f t="shared" si="967"/>
        <v>136.55650474691504</v>
      </c>
      <c r="T322">
        <f t="shared" si="968"/>
        <v>0.13655650474691503</v>
      </c>
    </row>
    <row r="323" spans="1:20" x14ac:dyDescent="0.25">
      <c r="A323" s="5">
        <v>44270</v>
      </c>
      <c r="B323">
        <v>143.13999999999999</v>
      </c>
      <c r="C323">
        <v>147.13</v>
      </c>
      <c r="D323">
        <v>133.88</v>
      </c>
      <c r="E323">
        <v>135.1</v>
      </c>
      <c r="F323">
        <v>235868.32921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-0.81584905660377371</v>
      </c>
      <c r="Q323">
        <f t="shared" si="965"/>
        <v>-192432.95386868683</v>
      </c>
      <c r="R323">
        <f t="shared" si="966"/>
        <v>13536157.304785028</v>
      </c>
      <c r="S323">
        <f t="shared" si="967"/>
        <v>135.36157304785027</v>
      </c>
      <c r="T323">
        <f t="shared" si="968"/>
        <v>0.13536157304785026</v>
      </c>
    </row>
    <row r="324" spans="1:20" x14ac:dyDescent="0.25">
      <c r="A324" s="5">
        <v>44269</v>
      </c>
      <c r="B324">
        <v>156.15</v>
      </c>
      <c r="C324">
        <v>158.19999999999999</v>
      </c>
      <c r="D324">
        <v>143.13</v>
      </c>
      <c r="E324">
        <v>143.18</v>
      </c>
      <c r="F324">
        <v>175695.52773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-0.9933642999336415</v>
      </c>
      <c r="Q324">
        <f t="shared" si="965"/>
        <v>-174529.66490498316</v>
      </c>
      <c r="R324">
        <f t="shared" si="966"/>
        <v>13728590.258653715</v>
      </c>
      <c r="S324">
        <f t="shared" si="967"/>
        <v>137.28590258653716</v>
      </c>
      <c r="T324">
        <f t="shared" si="968"/>
        <v>0.13728590258653717</v>
      </c>
    </row>
    <row r="325" spans="1:20" x14ac:dyDescent="0.25">
      <c r="A325" s="5">
        <v>44268</v>
      </c>
      <c r="B325">
        <v>145.44999999999999</v>
      </c>
      <c r="C325">
        <v>160</v>
      </c>
      <c r="D325">
        <v>137.30000000000001</v>
      </c>
      <c r="E325">
        <v>156.12</v>
      </c>
      <c r="F325">
        <v>283737.32224000001</v>
      </c>
      <c r="G325">
        <v>0</v>
      </c>
      <c r="L325" t="s">
        <v>7</v>
      </c>
      <c r="M325" t="s">
        <v>8</v>
      </c>
      <c r="N325" t="s">
        <v>8</v>
      </c>
      <c r="P325">
        <f t="shared" si="964"/>
        <v>0.658149779735683</v>
      </c>
      <c r="Q325">
        <f t="shared" si="965"/>
        <v>186741.65613504851</v>
      </c>
      <c r="R325">
        <f t="shared" si="966"/>
        <v>13903119.923558699</v>
      </c>
      <c r="S325">
        <f t="shared" si="967"/>
        <v>139.031199235587</v>
      </c>
      <c r="T325">
        <f t="shared" si="968"/>
        <v>0.13903119923558699</v>
      </c>
    </row>
    <row r="326" spans="1:20" x14ac:dyDescent="0.25">
      <c r="A326" s="5">
        <v>44267</v>
      </c>
      <c r="B326">
        <v>151.88</v>
      </c>
      <c r="C326">
        <v>156.61000000000001</v>
      </c>
      <c r="D326">
        <v>141.78</v>
      </c>
      <c r="E326">
        <v>145.36000000000001</v>
      </c>
      <c r="F326">
        <v>242654.12708999999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-0.51719487525286456</v>
      </c>
      <c r="Q326">
        <f t="shared" ref="Q326:Q389" si="970">F326*P326</f>
        <v>-125499.47098990528</v>
      </c>
      <c r="R326">
        <f t="shared" ref="R326:R389" si="971">R327+Q326</f>
        <v>13716378.26742365</v>
      </c>
      <c r="S326">
        <f t="shared" ref="S326:S389" si="972">R326/100000</f>
        <v>137.1637826742365</v>
      </c>
      <c r="T326">
        <f t="shared" ref="T326:T389" si="973">S326/1000</f>
        <v>0.13716378267423651</v>
      </c>
    </row>
    <row r="327" spans="1:20" x14ac:dyDescent="0.25">
      <c r="A327" s="5">
        <v>44266</v>
      </c>
      <c r="B327">
        <v>139.77000000000001</v>
      </c>
      <c r="C327">
        <v>158.51</v>
      </c>
      <c r="D327">
        <v>135.65</v>
      </c>
      <c r="E327">
        <v>151.86000000000001</v>
      </c>
      <c r="F327">
        <v>427246.37232999998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0.41819772528434107</v>
      </c>
      <c r="Q327">
        <f t="shared" si="970"/>
        <v>178673.46104439264</v>
      </c>
      <c r="R327">
        <f t="shared" si="971"/>
        <v>13841877.738413556</v>
      </c>
      <c r="S327">
        <f t="shared" si="972"/>
        <v>138.41877738413555</v>
      </c>
      <c r="T327">
        <f t="shared" si="973"/>
        <v>0.13841877738413555</v>
      </c>
    </row>
    <row r="328" spans="1:20" x14ac:dyDescent="0.25">
      <c r="A328" s="5">
        <v>44265</v>
      </c>
      <c r="B328">
        <v>137.76</v>
      </c>
      <c r="C328">
        <v>142.09</v>
      </c>
      <c r="D328">
        <v>131.13</v>
      </c>
      <c r="E328">
        <v>139.82</v>
      </c>
      <c r="F328">
        <v>207400.73613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0.58576642335766271</v>
      </c>
      <c r="Q328">
        <f t="shared" si="970"/>
        <v>121488.38740461647</v>
      </c>
      <c r="R328">
        <f t="shared" si="971"/>
        <v>13663204.277369162</v>
      </c>
      <c r="S328">
        <f t="shared" si="972"/>
        <v>136.63204277369161</v>
      </c>
      <c r="T328">
        <f t="shared" si="973"/>
        <v>0.13663204277369162</v>
      </c>
    </row>
    <row r="329" spans="1:20" x14ac:dyDescent="0.25">
      <c r="A329" s="5">
        <v>44264</v>
      </c>
      <c r="B329">
        <v>129.54</v>
      </c>
      <c r="C329">
        <v>138.4</v>
      </c>
      <c r="D329">
        <v>127.8</v>
      </c>
      <c r="E329">
        <v>137.69</v>
      </c>
      <c r="F329">
        <v>216384.09226999999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0.86603773584905519</v>
      </c>
      <c r="Q329">
        <f t="shared" si="970"/>
        <v>187396.78934326384</v>
      </c>
      <c r="R329">
        <f t="shared" si="971"/>
        <v>13541715.889964545</v>
      </c>
      <c r="S329">
        <f t="shared" si="972"/>
        <v>135.41715889964544</v>
      </c>
      <c r="T329">
        <f t="shared" si="973"/>
        <v>0.13541715889964545</v>
      </c>
    </row>
    <row r="330" spans="1:20" x14ac:dyDescent="0.25">
      <c r="A330" s="5">
        <v>44263</v>
      </c>
      <c r="B330">
        <v>130.08000000000001</v>
      </c>
      <c r="C330">
        <v>132.80000000000001</v>
      </c>
      <c r="D330">
        <v>124.36</v>
      </c>
      <c r="E330">
        <v>129.55000000000001</v>
      </c>
      <c r="F330">
        <v>137243.53171000001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0.22985781990521437</v>
      </c>
      <c r="Q330">
        <f t="shared" si="970"/>
        <v>31546.498994952759</v>
      </c>
      <c r="R330">
        <f t="shared" si="971"/>
        <v>13354319.100621281</v>
      </c>
      <c r="S330">
        <f t="shared" si="972"/>
        <v>133.54319100621282</v>
      </c>
      <c r="T330">
        <f t="shared" si="973"/>
        <v>0.13354319100621281</v>
      </c>
    </row>
    <row r="331" spans="1:20" x14ac:dyDescent="0.25">
      <c r="A331" s="5">
        <v>44262</v>
      </c>
      <c r="B331">
        <v>125.2</v>
      </c>
      <c r="C331">
        <v>130.18</v>
      </c>
      <c r="D331">
        <v>124.37</v>
      </c>
      <c r="E331">
        <v>130.08000000000001</v>
      </c>
      <c r="F331">
        <v>123295.99356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0.96557659208261815</v>
      </c>
      <c r="Q331">
        <f t="shared" si="970"/>
        <v>119051.72527910523</v>
      </c>
      <c r="R331">
        <f t="shared" si="971"/>
        <v>13322772.601626329</v>
      </c>
      <c r="S331">
        <f t="shared" si="972"/>
        <v>133.22772601626329</v>
      </c>
      <c r="T331">
        <f t="shared" si="973"/>
        <v>0.13322772601626329</v>
      </c>
    </row>
    <row r="332" spans="1:20" x14ac:dyDescent="0.25">
      <c r="A332" s="5">
        <v>44261</v>
      </c>
      <c r="B332">
        <v>121.19</v>
      </c>
      <c r="C332">
        <v>126.93</v>
      </c>
      <c r="D332">
        <v>118.22</v>
      </c>
      <c r="E332">
        <v>125.19</v>
      </c>
      <c r="F332">
        <v>150497.69450000001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0.60045924225028535</v>
      </c>
      <c r="Q332">
        <f t="shared" si="970"/>
        <v>90367.731599884952</v>
      </c>
      <c r="R332">
        <f t="shared" si="971"/>
        <v>13203720.876347223</v>
      </c>
      <c r="S332">
        <f t="shared" si="972"/>
        <v>132.03720876347222</v>
      </c>
      <c r="T332">
        <f t="shared" si="973"/>
        <v>0.13203720876347222</v>
      </c>
    </row>
    <row r="333" spans="1:20" x14ac:dyDescent="0.25">
      <c r="A333" s="5">
        <v>44260</v>
      </c>
      <c r="B333">
        <v>122.06</v>
      </c>
      <c r="C333">
        <v>124.32</v>
      </c>
      <c r="D333">
        <v>113.08</v>
      </c>
      <c r="E333">
        <v>121.12</v>
      </c>
      <c r="F333">
        <v>236863.09221999999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0.43060498220640747</v>
      </c>
      <c r="Q333">
        <f t="shared" si="970"/>
        <v>101994.42761074775</v>
      </c>
      <c r="R333">
        <f t="shared" si="971"/>
        <v>13113353.144747339</v>
      </c>
      <c r="S333">
        <f t="shared" si="972"/>
        <v>131.13353144747339</v>
      </c>
      <c r="T333">
        <f t="shared" si="973"/>
        <v>0.13113353144747339</v>
      </c>
    </row>
    <row r="334" spans="1:20" x14ac:dyDescent="0.25">
      <c r="A334" s="5">
        <v>44259</v>
      </c>
      <c r="B334">
        <v>126.72</v>
      </c>
      <c r="C334">
        <v>129.9</v>
      </c>
      <c r="D334">
        <v>117.55</v>
      </c>
      <c r="E334">
        <v>122.03</v>
      </c>
      <c r="F334">
        <v>213079.72683999999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-0.27449392712550591</v>
      </c>
      <c r="Q334">
        <f t="shared" si="970"/>
        <v>-58489.09101114166</v>
      </c>
      <c r="R334">
        <f t="shared" si="971"/>
        <v>13011358.717136592</v>
      </c>
      <c r="S334">
        <f t="shared" si="972"/>
        <v>130.11358717136591</v>
      </c>
      <c r="T334">
        <f t="shared" si="973"/>
        <v>0.1301135871713659</v>
      </c>
    </row>
    <row r="335" spans="1:20" x14ac:dyDescent="0.25">
      <c r="A335" s="5">
        <v>44258</v>
      </c>
      <c r="B335">
        <v>120.5</v>
      </c>
      <c r="C335">
        <v>130.93</v>
      </c>
      <c r="D335">
        <v>119.02</v>
      </c>
      <c r="E335">
        <v>126.69</v>
      </c>
      <c r="F335">
        <v>264703.71143000002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0.2879932829554987</v>
      </c>
      <c r="Q335">
        <f t="shared" si="970"/>
        <v>76232.890865230671</v>
      </c>
      <c r="R335">
        <f t="shared" si="971"/>
        <v>13069847.808147734</v>
      </c>
      <c r="S335">
        <f t="shared" si="972"/>
        <v>130.69847808147733</v>
      </c>
      <c r="T335">
        <f t="shared" si="973"/>
        <v>0.13069847808147733</v>
      </c>
    </row>
    <row r="336" spans="1:20" x14ac:dyDescent="0.25">
      <c r="A336" s="5">
        <v>44257</v>
      </c>
      <c r="B336">
        <v>124.42</v>
      </c>
      <c r="C336">
        <v>126.8</v>
      </c>
      <c r="D336">
        <v>116.38</v>
      </c>
      <c r="E336">
        <v>120.51</v>
      </c>
      <c r="F336">
        <v>301904.15135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-0.20729366602686969</v>
      </c>
      <c r="Q336">
        <f t="shared" si="970"/>
        <v>-62582.818322072417</v>
      </c>
      <c r="R336">
        <f t="shared" si="971"/>
        <v>12993614.917282503</v>
      </c>
      <c r="S336">
        <f t="shared" si="972"/>
        <v>129.93614917282503</v>
      </c>
      <c r="T336">
        <f t="shared" si="973"/>
        <v>0.12993614917282503</v>
      </c>
    </row>
    <row r="337" spans="1:20" x14ac:dyDescent="0.25">
      <c r="A337" s="5">
        <v>44256</v>
      </c>
      <c r="B337">
        <v>111.33</v>
      </c>
      <c r="C337">
        <v>126.21</v>
      </c>
      <c r="D337">
        <v>110.09</v>
      </c>
      <c r="E337">
        <v>124.4</v>
      </c>
      <c r="F337">
        <v>317470.70504999999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0.77543424317618004</v>
      </c>
      <c r="Q337">
        <f t="shared" si="970"/>
        <v>246177.65590105503</v>
      </c>
      <c r="R337">
        <f t="shared" si="971"/>
        <v>13056197.735604575</v>
      </c>
      <c r="S337">
        <f t="shared" si="972"/>
        <v>130.56197735604576</v>
      </c>
      <c r="T337">
        <f t="shared" si="973"/>
        <v>0.13056197735604577</v>
      </c>
    </row>
    <row r="338" spans="1:20" x14ac:dyDescent="0.25">
      <c r="A338" s="5">
        <v>44255</v>
      </c>
      <c r="B338">
        <v>119.77</v>
      </c>
      <c r="C338">
        <v>120.38</v>
      </c>
      <c r="D338">
        <v>104.35</v>
      </c>
      <c r="E338">
        <v>111.31</v>
      </c>
      <c r="F338">
        <v>324743.01274999999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-0.1316281971303796</v>
      </c>
      <c r="Q338">
        <f t="shared" si="970"/>
        <v>-42745.337298970371</v>
      </c>
      <c r="R338">
        <f t="shared" si="971"/>
        <v>12810020.079703519</v>
      </c>
      <c r="S338">
        <f t="shared" si="972"/>
        <v>128.1002007970352</v>
      </c>
      <c r="T338">
        <f t="shared" si="973"/>
        <v>0.12810020079703521</v>
      </c>
    </row>
    <row r="339" spans="1:20" x14ac:dyDescent="0.25">
      <c r="A339" s="5">
        <v>44254</v>
      </c>
      <c r="B339">
        <v>118.23</v>
      </c>
      <c r="C339">
        <v>125.03</v>
      </c>
      <c r="D339">
        <v>117.42</v>
      </c>
      <c r="E339">
        <v>119.78</v>
      </c>
      <c r="F339">
        <v>234470.20491999999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-0.37976346911957959</v>
      </c>
      <c r="Q339">
        <f t="shared" si="970"/>
        <v>-89043.218425597908</v>
      </c>
      <c r="R339">
        <f t="shared" si="971"/>
        <v>12852765.41700249</v>
      </c>
      <c r="S339">
        <f t="shared" si="972"/>
        <v>128.5276541700249</v>
      </c>
      <c r="T339">
        <f t="shared" si="973"/>
        <v>0.1285276541700249</v>
      </c>
    </row>
    <row r="340" spans="1:20" x14ac:dyDescent="0.25">
      <c r="A340" s="5">
        <v>44253</v>
      </c>
      <c r="B340">
        <v>121.27</v>
      </c>
      <c r="C340">
        <v>125.05</v>
      </c>
      <c r="D340">
        <v>113.41</v>
      </c>
      <c r="E340">
        <v>118.23</v>
      </c>
      <c r="F340">
        <v>393489.94968000002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-0.17182130584192318</v>
      </c>
      <c r="Q340">
        <f t="shared" si="970"/>
        <v>-67609.956989690239</v>
      </c>
      <c r="R340">
        <f t="shared" si="971"/>
        <v>12941808.635428088</v>
      </c>
      <c r="S340">
        <f t="shared" si="972"/>
        <v>129.41808635428089</v>
      </c>
      <c r="T340">
        <f t="shared" si="973"/>
        <v>0.1294180863542809</v>
      </c>
    </row>
    <row r="341" spans="1:20" x14ac:dyDescent="0.25">
      <c r="A341" s="5">
        <v>44252</v>
      </c>
      <c r="B341">
        <v>131.01</v>
      </c>
      <c r="C341">
        <v>139.6</v>
      </c>
      <c r="D341">
        <v>120</v>
      </c>
      <c r="E341">
        <v>121.25</v>
      </c>
      <c r="F341">
        <v>381626.76442000002</v>
      </c>
      <c r="G341">
        <v>0</v>
      </c>
      <c r="L341" t="s">
        <v>8</v>
      </c>
      <c r="M341" t="s">
        <v>8</v>
      </c>
      <c r="N341" t="s">
        <v>7</v>
      </c>
      <c r="P341">
        <f t="shared" si="969"/>
        <v>-0.87244897959183665</v>
      </c>
      <c r="Q341">
        <f t="shared" si="970"/>
        <v>-332949.88120316324</v>
      </c>
      <c r="R341">
        <f t="shared" si="971"/>
        <v>13009418.592417778</v>
      </c>
      <c r="S341">
        <f t="shared" si="972"/>
        <v>130.09418592417779</v>
      </c>
      <c r="T341">
        <f t="shared" si="973"/>
        <v>0.13009418592417779</v>
      </c>
    </row>
    <row r="342" spans="1:20" x14ac:dyDescent="0.25">
      <c r="A342" s="5">
        <v>44251</v>
      </c>
      <c r="B342">
        <v>127.12</v>
      </c>
      <c r="C342">
        <v>135.30000000000001</v>
      </c>
      <c r="D342">
        <v>122.07</v>
      </c>
      <c r="E342">
        <v>130.96</v>
      </c>
      <c r="F342">
        <v>536094.57542999997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0.34391534391534428</v>
      </c>
      <c r="Q342">
        <f t="shared" si="970"/>
        <v>184371.15028015891</v>
      </c>
      <c r="R342">
        <f t="shared" si="971"/>
        <v>13342368.473620942</v>
      </c>
      <c r="S342">
        <f t="shared" si="972"/>
        <v>133.42368473620942</v>
      </c>
      <c r="T342">
        <f t="shared" si="973"/>
        <v>0.13342368473620941</v>
      </c>
    </row>
    <row r="343" spans="1:20" x14ac:dyDescent="0.25">
      <c r="A343" s="5">
        <v>44250</v>
      </c>
      <c r="B343">
        <v>144.41</v>
      </c>
      <c r="C343">
        <v>145.41999999999999</v>
      </c>
      <c r="D343">
        <v>103.47</v>
      </c>
      <c r="E343">
        <v>127.13</v>
      </c>
      <c r="F343">
        <v>911371.88194999995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0.12800953516090599</v>
      </c>
      <c r="Q343">
        <f t="shared" si="970"/>
        <v>116664.29096713958</v>
      </c>
      <c r="R343">
        <f t="shared" si="971"/>
        <v>13157997.323340783</v>
      </c>
      <c r="S343">
        <f t="shared" si="972"/>
        <v>131.57997323340783</v>
      </c>
      <c r="T343">
        <f t="shared" si="973"/>
        <v>0.13157997323340784</v>
      </c>
    </row>
    <row r="344" spans="1:20" x14ac:dyDescent="0.25">
      <c r="A344" s="5">
        <v>44249</v>
      </c>
      <c r="B344">
        <v>161.84</v>
      </c>
      <c r="C344">
        <v>162.91</v>
      </c>
      <c r="D344">
        <v>120.91</v>
      </c>
      <c r="E344">
        <v>144.38999999999999</v>
      </c>
      <c r="F344">
        <v>669913.65604000003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0.11809523809523761</v>
      </c>
      <c r="Q344">
        <f t="shared" si="970"/>
        <v>79113.612713294919</v>
      </c>
      <c r="R344">
        <f t="shared" si="971"/>
        <v>13041333.032373643</v>
      </c>
      <c r="S344">
        <f t="shared" si="972"/>
        <v>130.41333032373643</v>
      </c>
      <c r="T344">
        <f t="shared" si="973"/>
        <v>0.13041333032373642</v>
      </c>
    </row>
    <row r="345" spans="1:20" x14ac:dyDescent="0.25">
      <c r="A345" s="5">
        <v>44248</v>
      </c>
      <c r="B345">
        <v>164.08</v>
      </c>
      <c r="C345">
        <v>168.01</v>
      </c>
      <c r="D345">
        <v>158.29</v>
      </c>
      <c r="E345">
        <v>161.87</v>
      </c>
      <c r="F345">
        <v>290902.33854000003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-0.26337448559670518</v>
      </c>
      <c r="Q345">
        <f t="shared" si="970"/>
        <v>-76616.253771851087</v>
      </c>
      <c r="R345">
        <f t="shared" si="971"/>
        <v>12962219.419660348</v>
      </c>
      <c r="S345">
        <f t="shared" si="972"/>
        <v>129.62219419660349</v>
      </c>
      <c r="T345">
        <f t="shared" si="973"/>
        <v>0.12962219419660348</v>
      </c>
    </row>
    <row r="346" spans="1:20" x14ac:dyDescent="0.25">
      <c r="A346" s="5">
        <v>44247</v>
      </c>
      <c r="B346">
        <v>180.2</v>
      </c>
      <c r="C346">
        <v>185.33</v>
      </c>
      <c r="D346">
        <v>155.88</v>
      </c>
      <c r="E346">
        <v>164.09</v>
      </c>
      <c r="F346">
        <v>533247.10915000003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-0.44244482173174848</v>
      </c>
      <c r="Q346">
        <f t="shared" si="970"/>
        <v>-235932.422146842</v>
      </c>
      <c r="R346">
        <f t="shared" si="971"/>
        <v>13038835.673432199</v>
      </c>
      <c r="S346">
        <f t="shared" si="972"/>
        <v>130.388356734322</v>
      </c>
      <c r="T346">
        <f t="shared" si="973"/>
        <v>0.130388356734322</v>
      </c>
    </row>
    <row r="347" spans="1:20" x14ac:dyDescent="0.25">
      <c r="A347" s="5">
        <v>44246</v>
      </c>
      <c r="B347">
        <v>169.29</v>
      </c>
      <c r="C347">
        <v>190</v>
      </c>
      <c r="D347">
        <v>162</v>
      </c>
      <c r="E347">
        <v>180.19</v>
      </c>
      <c r="F347">
        <v>564027.85724000004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0.2992857142857141</v>
      </c>
      <c r="Q347">
        <f t="shared" si="970"/>
        <v>168805.48013111419</v>
      </c>
      <c r="R347">
        <f t="shared" si="971"/>
        <v>13274768.095579041</v>
      </c>
      <c r="S347">
        <f t="shared" si="972"/>
        <v>132.7476809557904</v>
      </c>
      <c r="T347">
        <f t="shared" si="973"/>
        <v>0.1327476809557904</v>
      </c>
    </row>
    <row r="348" spans="1:20" x14ac:dyDescent="0.25">
      <c r="A348" s="5">
        <v>44245</v>
      </c>
      <c r="B348">
        <v>168.36</v>
      </c>
      <c r="C348">
        <v>179.5</v>
      </c>
      <c r="D348">
        <v>157.4</v>
      </c>
      <c r="E348">
        <v>169.25</v>
      </c>
      <c r="F348">
        <v>464093.27097999997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7.2398190045248625E-2</v>
      </c>
      <c r="Q348">
        <f t="shared" si="970"/>
        <v>33599.512831131105</v>
      </c>
      <c r="R348">
        <f t="shared" si="971"/>
        <v>13105962.615447927</v>
      </c>
      <c r="S348">
        <f t="shared" si="972"/>
        <v>131.05962615447928</v>
      </c>
      <c r="T348">
        <f t="shared" si="973"/>
        <v>0.13105962615447928</v>
      </c>
    </row>
    <row r="349" spans="1:20" x14ac:dyDescent="0.25">
      <c r="A349" s="5">
        <v>44244</v>
      </c>
      <c r="B349">
        <v>155.69</v>
      </c>
      <c r="C349">
        <v>173.66</v>
      </c>
      <c r="D349">
        <v>147.02000000000001</v>
      </c>
      <c r="E349">
        <v>168.37</v>
      </c>
      <c r="F349">
        <v>496646.43517000001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0.60285285285285328</v>
      </c>
      <c r="Q349">
        <f t="shared" si="970"/>
        <v>299404.72030143416</v>
      </c>
      <c r="R349">
        <f t="shared" si="971"/>
        <v>13072363.102616796</v>
      </c>
      <c r="S349">
        <f t="shared" si="972"/>
        <v>130.72363102616796</v>
      </c>
      <c r="T349">
        <f t="shared" si="973"/>
        <v>0.13072363102616796</v>
      </c>
    </row>
    <row r="350" spans="1:20" x14ac:dyDescent="0.25">
      <c r="A350" s="5">
        <v>44243</v>
      </c>
      <c r="B350">
        <v>158.78</v>
      </c>
      <c r="C350">
        <v>168.17</v>
      </c>
      <c r="D350">
        <v>148.38999999999999</v>
      </c>
      <c r="E350">
        <v>155.68</v>
      </c>
      <c r="F350">
        <v>546444.47056000005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-0.26289180990899697</v>
      </c>
      <c r="Q350">
        <f t="shared" si="970"/>
        <v>-143655.77588028202</v>
      </c>
      <c r="R350">
        <f t="shared" si="971"/>
        <v>12772958.382315362</v>
      </c>
      <c r="S350">
        <f t="shared" si="972"/>
        <v>127.72958382315362</v>
      </c>
      <c r="T350">
        <f t="shared" si="973"/>
        <v>0.12772958382315361</v>
      </c>
    </row>
    <row r="351" spans="1:20" x14ac:dyDescent="0.25">
      <c r="A351" s="5">
        <v>44242</v>
      </c>
      <c r="B351">
        <v>156.19999999999999</v>
      </c>
      <c r="C351">
        <v>180</v>
      </c>
      <c r="D351">
        <v>124.6</v>
      </c>
      <c r="E351">
        <v>158.61000000000001</v>
      </c>
      <c r="F351">
        <v>985558.78986999998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0.22779783393501862</v>
      </c>
      <c r="Q351">
        <f t="shared" si="970"/>
        <v>224508.15754800418</v>
      </c>
      <c r="R351">
        <f t="shared" si="971"/>
        <v>12916614.158195645</v>
      </c>
      <c r="S351">
        <f t="shared" si="972"/>
        <v>129.16614158195645</v>
      </c>
      <c r="T351">
        <f t="shared" si="973"/>
        <v>0.12916614158195644</v>
      </c>
    </row>
    <row r="352" spans="1:20" x14ac:dyDescent="0.25">
      <c r="A352" s="5">
        <v>44241</v>
      </c>
      <c r="B352">
        <v>176.1</v>
      </c>
      <c r="C352">
        <v>179.79</v>
      </c>
      <c r="D352">
        <v>152.69999999999999</v>
      </c>
      <c r="E352">
        <v>156.33000000000001</v>
      </c>
      <c r="F352">
        <v>626746.45834000001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-0.7320044296788466</v>
      </c>
      <c r="Q352">
        <f t="shared" si="970"/>
        <v>-458781.18379040872</v>
      </c>
      <c r="R352">
        <f t="shared" si="971"/>
        <v>12692106.00064764</v>
      </c>
      <c r="S352">
        <f t="shared" si="972"/>
        <v>126.9210600064764</v>
      </c>
      <c r="T352">
        <f t="shared" si="973"/>
        <v>0.1269210600064764</v>
      </c>
    </row>
    <row r="353" spans="1:20" x14ac:dyDescent="0.25">
      <c r="A353" s="5">
        <v>44240</v>
      </c>
      <c r="B353">
        <v>142.79</v>
      </c>
      <c r="C353">
        <v>190.64</v>
      </c>
      <c r="D353">
        <v>142.71</v>
      </c>
      <c r="E353">
        <v>176.11</v>
      </c>
      <c r="F353">
        <v>1027568.07171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0.39369914458585525</v>
      </c>
      <c r="Q353">
        <f t="shared" si="970"/>
        <v>404552.6708359638</v>
      </c>
      <c r="R353">
        <f t="shared" si="971"/>
        <v>13150887.184438048</v>
      </c>
      <c r="S353">
        <f t="shared" si="972"/>
        <v>131.50887184438048</v>
      </c>
      <c r="T353">
        <f t="shared" si="973"/>
        <v>0.13150887184438048</v>
      </c>
    </row>
    <row r="354" spans="1:20" x14ac:dyDescent="0.25">
      <c r="A354" s="5">
        <v>44239</v>
      </c>
      <c r="B354">
        <v>142.32</v>
      </c>
      <c r="C354">
        <v>149.19999999999999</v>
      </c>
      <c r="D354">
        <v>132.81</v>
      </c>
      <c r="E354">
        <v>142.79</v>
      </c>
      <c r="F354">
        <v>517683.32918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0.21781574130567397</v>
      </c>
      <c r="Q354">
        <f t="shared" si="970"/>
        <v>112759.57810693095</v>
      </c>
      <c r="R354">
        <f t="shared" si="971"/>
        <v>12746334.513602084</v>
      </c>
      <c r="S354">
        <f t="shared" si="972"/>
        <v>127.46334513602083</v>
      </c>
      <c r="T354">
        <f t="shared" si="973"/>
        <v>0.12746334513602084</v>
      </c>
    </row>
    <row r="355" spans="1:20" x14ac:dyDescent="0.25">
      <c r="A355" s="5">
        <v>44238</v>
      </c>
      <c r="B355">
        <v>116.43</v>
      </c>
      <c r="C355">
        <v>150</v>
      </c>
      <c r="D355">
        <v>113.12</v>
      </c>
      <c r="E355">
        <v>142.34</v>
      </c>
      <c r="F355">
        <v>929185.96710000001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0.58459869848156198</v>
      </c>
      <c r="Q355">
        <f t="shared" si="970"/>
        <v>543200.9070139915</v>
      </c>
      <c r="R355">
        <f t="shared" si="971"/>
        <v>12633574.935495153</v>
      </c>
      <c r="S355">
        <f t="shared" si="972"/>
        <v>126.33574935495153</v>
      </c>
      <c r="T355">
        <f t="shared" si="973"/>
        <v>0.12633574935495154</v>
      </c>
    </row>
    <row r="356" spans="1:20" x14ac:dyDescent="0.25">
      <c r="A356" s="5">
        <v>44237</v>
      </c>
      <c r="B356">
        <v>108.75</v>
      </c>
      <c r="C356">
        <v>121.93</v>
      </c>
      <c r="D356">
        <v>106.36</v>
      </c>
      <c r="E356">
        <v>116.41</v>
      </c>
      <c r="F356">
        <v>666241.87086999998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0.29094412331406455</v>
      </c>
      <c r="Q356">
        <f t="shared" si="970"/>
        <v>193839.15703539434</v>
      </c>
      <c r="R356">
        <f t="shared" si="971"/>
        <v>12090374.028481161</v>
      </c>
      <c r="S356">
        <f t="shared" si="972"/>
        <v>120.90374028481162</v>
      </c>
      <c r="T356">
        <f t="shared" si="973"/>
        <v>0.12090374028481161</v>
      </c>
    </row>
    <row r="357" spans="1:20" x14ac:dyDescent="0.25">
      <c r="A357" s="5">
        <v>44236</v>
      </c>
      <c r="B357">
        <v>98.03</v>
      </c>
      <c r="C357">
        <v>110.12</v>
      </c>
      <c r="D357">
        <v>97.24</v>
      </c>
      <c r="E357">
        <v>108.77</v>
      </c>
      <c r="F357">
        <v>532532.45678999997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0.79037267080745222</v>
      </c>
      <c r="Q357">
        <f t="shared" si="970"/>
        <v>420899.10016476642</v>
      </c>
      <c r="R357">
        <f t="shared" si="971"/>
        <v>11896534.871445768</v>
      </c>
      <c r="S357">
        <f t="shared" si="972"/>
        <v>118.96534871445768</v>
      </c>
      <c r="T357">
        <f t="shared" si="973"/>
        <v>0.11896534871445767</v>
      </c>
    </row>
    <row r="358" spans="1:20" x14ac:dyDescent="0.25">
      <c r="A358" s="5">
        <v>44235</v>
      </c>
      <c r="B358">
        <v>92.32</v>
      </c>
      <c r="C358">
        <v>98.38</v>
      </c>
      <c r="D358">
        <v>91.09</v>
      </c>
      <c r="E358">
        <v>98.01</v>
      </c>
      <c r="F358">
        <v>279810.88419000001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0.8984910836762714</v>
      </c>
      <c r="Q358">
        <f t="shared" si="970"/>
        <v>251407.58456028879</v>
      </c>
      <c r="R358">
        <f t="shared" si="971"/>
        <v>11475635.771281</v>
      </c>
      <c r="S358">
        <f t="shared" si="972"/>
        <v>114.75635771281</v>
      </c>
      <c r="T358">
        <f t="shared" si="973"/>
        <v>0.11475635771280999</v>
      </c>
    </row>
    <row r="359" spans="1:20" x14ac:dyDescent="0.25">
      <c r="A359" s="5">
        <v>44234</v>
      </c>
      <c r="B359">
        <v>94.25</v>
      </c>
      <c r="C359">
        <v>95.6</v>
      </c>
      <c r="D359">
        <v>88.75</v>
      </c>
      <c r="E359">
        <v>92.3</v>
      </c>
      <c r="F359">
        <v>280176.57913999999</v>
      </c>
      <c r="G359">
        <v>0</v>
      </c>
      <c r="L359" t="s">
        <v>7</v>
      </c>
      <c r="M359" t="s">
        <v>8</v>
      </c>
      <c r="N359" t="s">
        <v>7</v>
      </c>
      <c r="P359">
        <f t="shared" si="969"/>
        <v>3.6496350364963535E-2</v>
      </c>
      <c r="Q359">
        <f t="shared" si="970"/>
        <v>10225.422596350374</v>
      </c>
      <c r="R359">
        <f t="shared" si="971"/>
        <v>11224228.186720712</v>
      </c>
      <c r="S359">
        <f t="shared" si="972"/>
        <v>112.24228186720713</v>
      </c>
      <c r="T359">
        <f t="shared" si="973"/>
        <v>0.11224228186720712</v>
      </c>
    </row>
    <row r="360" spans="1:20" x14ac:dyDescent="0.25">
      <c r="A360" s="5">
        <v>44233</v>
      </c>
      <c r="B360">
        <v>96.46</v>
      </c>
      <c r="C360">
        <v>98.95</v>
      </c>
      <c r="D360">
        <v>91.97</v>
      </c>
      <c r="E360">
        <v>94.24</v>
      </c>
      <c r="F360">
        <v>392300.42583999998</v>
      </c>
      <c r="G360">
        <v>0</v>
      </c>
      <c r="L360" t="s">
        <v>8</v>
      </c>
      <c r="M360" t="s">
        <v>8</v>
      </c>
      <c r="N360" t="s">
        <v>7</v>
      </c>
      <c r="P360">
        <f t="shared" si="969"/>
        <v>-0.34957020057306742</v>
      </c>
      <c r="Q360">
        <f t="shared" si="970"/>
        <v>-137136.53854578856</v>
      </c>
      <c r="R360">
        <f t="shared" si="971"/>
        <v>11214002.764124362</v>
      </c>
      <c r="S360">
        <f t="shared" si="972"/>
        <v>112.14002764124362</v>
      </c>
      <c r="T360">
        <f t="shared" si="973"/>
        <v>0.11214002764124362</v>
      </c>
    </row>
    <row r="361" spans="1:20" x14ac:dyDescent="0.25">
      <c r="A361" s="5">
        <v>44232</v>
      </c>
      <c r="B361">
        <v>89.98</v>
      </c>
      <c r="C361">
        <v>96.67</v>
      </c>
      <c r="D361">
        <v>89.19</v>
      </c>
      <c r="E361">
        <v>96.44</v>
      </c>
      <c r="F361">
        <v>304478.36031999998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0.93850267379679042</v>
      </c>
      <c r="Q361">
        <f t="shared" si="970"/>
        <v>285753.75527358253</v>
      </c>
      <c r="R361">
        <f t="shared" si="971"/>
        <v>11351139.302670151</v>
      </c>
      <c r="S361">
        <f t="shared" si="972"/>
        <v>113.51139302670151</v>
      </c>
      <c r="T361">
        <f t="shared" si="973"/>
        <v>0.11351139302670152</v>
      </c>
    </row>
    <row r="362" spans="1:20" x14ac:dyDescent="0.25">
      <c r="A362" s="5">
        <v>44231</v>
      </c>
      <c r="B362">
        <v>95.28</v>
      </c>
      <c r="C362">
        <v>96.68</v>
      </c>
      <c r="D362">
        <v>88.73</v>
      </c>
      <c r="E362">
        <v>90</v>
      </c>
      <c r="F362">
        <v>291109.11670999997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-0.68050314465408912</v>
      </c>
      <c r="Q362">
        <f t="shared" si="970"/>
        <v>-198100.66935862921</v>
      </c>
      <c r="R362">
        <f t="shared" si="971"/>
        <v>11065385.547396569</v>
      </c>
      <c r="S362">
        <f t="shared" si="972"/>
        <v>110.65385547396569</v>
      </c>
      <c r="T362">
        <f t="shared" si="973"/>
        <v>0.1106538554739657</v>
      </c>
    </row>
    <row r="363" spans="1:20" x14ac:dyDescent="0.25">
      <c r="A363" s="5">
        <v>44230</v>
      </c>
      <c r="B363">
        <v>92.38</v>
      </c>
      <c r="C363">
        <v>96.9</v>
      </c>
      <c r="D363">
        <v>92.38</v>
      </c>
      <c r="E363">
        <v>95.23</v>
      </c>
      <c r="F363">
        <v>198402.67456000001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0.26106194690265577</v>
      </c>
      <c r="Q363">
        <f t="shared" si="970"/>
        <v>51795.38849132762</v>
      </c>
      <c r="R363">
        <f t="shared" si="971"/>
        <v>11263486.216755198</v>
      </c>
      <c r="S363">
        <f t="shared" si="972"/>
        <v>112.63486216755199</v>
      </c>
      <c r="T363">
        <f t="shared" si="973"/>
        <v>0.11263486216755199</v>
      </c>
    </row>
    <row r="364" spans="1:20" x14ac:dyDescent="0.25">
      <c r="A364" s="5">
        <v>44229</v>
      </c>
      <c r="B364">
        <v>88.68</v>
      </c>
      <c r="C364">
        <v>94.49</v>
      </c>
      <c r="D364">
        <v>88.25</v>
      </c>
      <c r="E364">
        <v>92.37</v>
      </c>
      <c r="F364">
        <v>386477.62339999998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0.32051282051282304</v>
      </c>
      <c r="Q364">
        <f t="shared" si="970"/>
        <v>123871.03314102661</v>
      </c>
      <c r="R364">
        <f t="shared" si="971"/>
        <v>11211690.828263871</v>
      </c>
      <c r="S364">
        <f t="shared" si="972"/>
        <v>112.11690828263872</v>
      </c>
      <c r="T364">
        <f t="shared" si="973"/>
        <v>0.11211690828263872</v>
      </c>
    </row>
    <row r="365" spans="1:20" x14ac:dyDescent="0.25">
      <c r="A365" s="5">
        <v>44228</v>
      </c>
      <c r="B365">
        <v>85.58</v>
      </c>
      <c r="C365">
        <v>89.64</v>
      </c>
      <c r="D365">
        <v>84.07</v>
      </c>
      <c r="E365">
        <v>88.69</v>
      </c>
      <c r="F365">
        <v>267754.06669000001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0.65888689407540335</v>
      </c>
      <c r="Q365">
        <f t="shared" si="970"/>
        <v>176419.64537743252</v>
      </c>
      <c r="R365">
        <f t="shared" si="971"/>
        <v>11087819.795122845</v>
      </c>
      <c r="S365">
        <f t="shared" si="972"/>
        <v>110.87819795122846</v>
      </c>
      <c r="T365">
        <f t="shared" si="973"/>
        <v>0.11087819795122845</v>
      </c>
    </row>
    <row r="366" spans="1:20" x14ac:dyDescent="0.25">
      <c r="A366" s="5">
        <v>44227</v>
      </c>
      <c r="B366">
        <v>84.43</v>
      </c>
      <c r="C366">
        <v>87.6</v>
      </c>
      <c r="D366">
        <v>82.39</v>
      </c>
      <c r="E366">
        <v>85.65</v>
      </c>
      <c r="F366">
        <v>227293.07454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0.25143953934741231</v>
      </c>
      <c r="Q366">
        <f t="shared" si="970"/>
        <v>57150.465959194647</v>
      </c>
      <c r="R366">
        <f t="shared" si="971"/>
        <v>10911400.149745412</v>
      </c>
      <c r="S366">
        <f t="shared" si="972"/>
        <v>109.11400149745413</v>
      </c>
      <c r="T366">
        <f t="shared" si="973"/>
        <v>0.10911400149745412</v>
      </c>
    </row>
    <row r="367" spans="1:20" x14ac:dyDescent="0.25">
      <c r="A367" s="5">
        <v>44226</v>
      </c>
      <c r="B367">
        <v>85.5</v>
      </c>
      <c r="C367">
        <v>86.32</v>
      </c>
      <c r="D367">
        <v>82.8</v>
      </c>
      <c r="E367">
        <v>84.51</v>
      </c>
      <c r="F367">
        <v>171706.05361999999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-2.8409090909085288E-2</v>
      </c>
      <c r="Q367">
        <f t="shared" si="970"/>
        <v>-4878.0128869308528</v>
      </c>
      <c r="R367">
        <f t="shared" si="971"/>
        <v>10854249.683786217</v>
      </c>
      <c r="S367">
        <f t="shared" si="972"/>
        <v>108.54249683786217</v>
      </c>
      <c r="T367">
        <f t="shared" si="973"/>
        <v>0.10854249683786217</v>
      </c>
    </row>
    <row r="368" spans="1:20" x14ac:dyDescent="0.25">
      <c r="A368" s="5">
        <v>44225</v>
      </c>
      <c r="B368">
        <v>86.82</v>
      </c>
      <c r="C368">
        <v>90.31</v>
      </c>
      <c r="D368">
        <v>82.26</v>
      </c>
      <c r="E368">
        <v>85.49</v>
      </c>
      <c r="F368">
        <v>380792.36338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-0.19751552795031282</v>
      </c>
      <c r="Q368">
        <f t="shared" si="970"/>
        <v>-75212.404692448064</v>
      </c>
      <c r="R368">
        <f t="shared" si="971"/>
        <v>10859127.696673147</v>
      </c>
      <c r="S368">
        <f t="shared" si="972"/>
        <v>108.59127696673147</v>
      </c>
      <c r="T368">
        <f t="shared" si="973"/>
        <v>0.10859127696673147</v>
      </c>
    </row>
    <row r="369" spans="1:20" x14ac:dyDescent="0.25">
      <c r="A369" s="5">
        <v>44224</v>
      </c>
      <c r="B369">
        <v>78.42</v>
      </c>
      <c r="C369">
        <v>88.85</v>
      </c>
      <c r="D369">
        <v>77.02</v>
      </c>
      <c r="E369">
        <v>86.82</v>
      </c>
      <c r="F369">
        <v>334962.45971000002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0.65680473372781045</v>
      </c>
      <c r="Q369">
        <f t="shared" si="970"/>
        <v>220004.92915863902</v>
      </c>
      <c r="R369">
        <f t="shared" si="971"/>
        <v>10934340.101365596</v>
      </c>
      <c r="S369">
        <f t="shared" si="972"/>
        <v>109.34340101365596</v>
      </c>
      <c r="T369">
        <f t="shared" si="973"/>
        <v>0.10934340101365596</v>
      </c>
    </row>
    <row r="370" spans="1:20" x14ac:dyDescent="0.25">
      <c r="A370" s="5">
        <v>44223</v>
      </c>
      <c r="B370">
        <v>89.25</v>
      </c>
      <c r="C370">
        <v>89.3</v>
      </c>
      <c r="D370">
        <v>76.33</v>
      </c>
      <c r="E370">
        <v>78.41</v>
      </c>
      <c r="F370">
        <v>321826.12984000001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-0.67925983037779514</v>
      </c>
      <c r="Q370">
        <f t="shared" si="970"/>
        <v>-218603.56236626068</v>
      </c>
      <c r="R370">
        <f t="shared" si="971"/>
        <v>10714335.172206957</v>
      </c>
      <c r="S370">
        <f t="shared" si="972"/>
        <v>107.14335172206957</v>
      </c>
      <c r="T370">
        <f t="shared" si="973"/>
        <v>0.10714335172206957</v>
      </c>
    </row>
    <row r="371" spans="1:20" x14ac:dyDescent="0.25">
      <c r="A371" s="5">
        <v>44222</v>
      </c>
      <c r="B371">
        <v>87.88</v>
      </c>
      <c r="C371">
        <v>90.35</v>
      </c>
      <c r="D371">
        <v>83.74</v>
      </c>
      <c r="E371">
        <v>89.26</v>
      </c>
      <c r="F371">
        <v>366239.14487000002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0.67019667170953423</v>
      </c>
      <c r="Q371">
        <f t="shared" si="970"/>
        <v>245452.25594161995</v>
      </c>
      <c r="R371">
        <f t="shared" si="971"/>
        <v>10932938.734573217</v>
      </c>
      <c r="S371">
        <f t="shared" si="972"/>
        <v>109.32938734573217</v>
      </c>
      <c r="T371">
        <f t="shared" si="973"/>
        <v>0.10932938734573218</v>
      </c>
    </row>
    <row r="372" spans="1:20" x14ac:dyDescent="0.25">
      <c r="A372" s="5">
        <v>44221</v>
      </c>
      <c r="B372">
        <v>89.98</v>
      </c>
      <c r="C372">
        <v>96.46</v>
      </c>
      <c r="D372">
        <v>87.84</v>
      </c>
      <c r="E372">
        <v>87.89</v>
      </c>
      <c r="F372">
        <v>418978.31156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-0.98839907192575471</v>
      </c>
      <c r="Q372">
        <f t="shared" si="970"/>
        <v>-414117.7743029237</v>
      </c>
      <c r="R372">
        <f t="shared" si="971"/>
        <v>10687486.478631597</v>
      </c>
      <c r="S372">
        <f t="shared" si="972"/>
        <v>106.87486478631597</v>
      </c>
      <c r="T372">
        <f t="shared" si="973"/>
        <v>0.10687486478631597</v>
      </c>
    </row>
    <row r="373" spans="1:20" x14ac:dyDescent="0.25">
      <c r="A373" s="5">
        <v>44220</v>
      </c>
      <c r="B373">
        <v>85.96</v>
      </c>
      <c r="C373">
        <v>92.38</v>
      </c>
      <c r="D373">
        <v>84.96</v>
      </c>
      <c r="E373">
        <v>90</v>
      </c>
      <c r="F373">
        <v>307171.90954999998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0.35849056603773721</v>
      </c>
      <c r="Q373">
        <f t="shared" si="970"/>
        <v>110118.23172547211</v>
      </c>
      <c r="R373">
        <f t="shared" si="971"/>
        <v>11101604.252934521</v>
      </c>
      <c r="S373">
        <f t="shared" si="972"/>
        <v>111.01604252934521</v>
      </c>
      <c r="T373">
        <f t="shared" si="973"/>
        <v>0.11101604252934522</v>
      </c>
    </row>
    <row r="374" spans="1:20" x14ac:dyDescent="0.25">
      <c r="A374" s="5">
        <v>44219</v>
      </c>
      <c r="B374">
        <v>86.96</v>
      </c>
      <c r="C374">
        <v>90.49</v>
      </c>
      <c r="D374">
        <v>83.73</v>
      </c>
      <c r="E374">
        <v>85.95</v>
      </c>
      <c r="F374">
        <v>258752.02606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-0.34319526627218883</v>
      </c>
      <c r="Q374">
        <f t="shared" si="970"/>
        <v>-88802.47048213004</v>
      </c>
      <c r="R374">
        <f t="shared" si="971"/>
        <v>10991486.021209048</v>
      </c>
      <c r="S374">
        <f t="shared" si="972"/>
        <v>109.91486021209047</v>
      </c>
      <c r="T374">
        <f t="shared" si="973"/>
        <v>0.10991486021209047</v>
      </c>
    </row>
    <row r="375" spans="1:20" x14ac:dyDescent="0.25">
      <c r="A375" s="5">
        <v>44218</v>
      </c>
      <c r="B375">
        <v>82.99</v>
      </c>
      <c r="C375">
        <v>91.64</v>
      </c>
      <c r="D375">
        <v>76.13</v>
      </c>
      <c r="E375">
        <v>86.94</v>
      </c>
      <c r="F375">
        <v>364241.91110999999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0.39393939393939376</v>
      </c>
      <c r="Q375">
        <f t="shared" si="970"/>
        <v>143489.23770999993</v>
      </c>
      <c r="R375">
        <f t="shared" si="971"/>
        <v>11080288.491691178</v>
      </c>
      <c r="S375">
        <f t="shared" si="972"/>
        <v>110.80288491691178</v>
      </c>
      <c r="T375">
        <f t="shared" si="973"/>
        <v>0.11080288491691177</v>
      </c>
    </row>
    <row r="376" spans="1:20" x14ac:dyDescent="0.25">
      <c r="A376" s="5">
        <v>44217</v>
      </c>
      <c r="B376">
        <v>99.07</v>
      </c>
      <c r="C376">
        <v>99.49</v>
      </c>
      <c r="D376">
        <v>82.14</v>
      </c>
      <c r="E376">
        <v>82.92</v>
      </c>
      <c r="F376">
        <v>381246.69863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-0.91008645533141197</v>
      </c>
      <c r="Q376">
        <f t="shared" si="970"/>
        <v>-346967.45656297979</v>
      </c>
      <c r="R376">
        <f t="shared" si="971"/>
        <v>10936799.253981179</v>
      </c>
      <c r="S376">
        <f t="shared" si="972"/>
        <v>109.36799253981178</v>
      </c>
      <c r="T376">
        <f t="shared" si="973"/>
        <v>0.10936799253981178</v>
      </c>
    </row>
    <row r="377" spans="1:20" x14ac:dyDescent="0.25">
      <c r="A377" s="5">
        <v>44216</v>
      </c>
      <c r="B377">
        <v>102.43</v>
      </c>
      <c r="C377">
        <v>103.99</v>
      </c>
      <c r="D377">
        <v>90.57</v>
      </c>
      <c r="E377">
        <v>98.99</v>
      </c>
      <c r="F377">
        <v>505857.5331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0.25484351713859921</v>
      </c>
      <c r="Q377">
        <f t="shared" si="970"/>
        <v>128914.51290625936</v>
      </c>
      <c r="R377">
        <f t="shared" si="971"/>
        <v>11283766.710544158</v>
      </c>
      <c r="S377">
        <f t="shared" si="972"/>
        <v>112.83766710544158</v>
      </c>
      <c r="T377">
        <f t="shared" si="973"/>
        <v>0.11283766710544159</v>
      </c>
    </row>
    <row r="378" spans="1:20" x14ac:dyDescent="0.25">
      <c r="A378" s="5">
        <v>44215</v>
      </c>
      <c r="B378">
        <v>104.02</v>
      </c>
      <c r="C378">
        <v>113.17</v>
      </c>
      <c r="D378">
        <v>102.06</v>
      </c>
      <c r="E378">
        <v>102.42</v>
      </c>
      <c r="F378">
        <v>451971.85862999997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-0.93519351935193529</v>
      </c>
      <c r="Q378">
        <f t="shared" si="970"/>
        <v>-422681.15312022506</v>
      </c>
      <c r="R378">
        <f t="shared" si="971"/>
        <v>11154852.197637899</v>
      </c>
      <c r="S378">
        <f t="shared" si="972"/>
        <v>111.54852197637899</v>
      </c>
      <c r="T378">
        <f t="shared" si="973"/>
        <v>0.11154852197637899</v>
      </c>
    </row>
    <row r="379" spans="1:20" x14ac:dyDescent="0.25">
      <c r="A379" s="5">
        <v>44214</v>
      </c>
      <c r="B379">
        <v>102.15</v>
      </c>
      <c r="C379">
        <v>106.44</v>
      </c>
      <c r="D379">
        <v>100.1</v>
      </c>
      <c r="E379">
        <v>103.98</v>
      </c>
      <c r="F379">
        <v>348740.89627999999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0.22397476340694245</v>
      </c>
      <c r="Q379">
        <f t="shared" si="970"/>
        <v>78109.159734638059</v>
      </c>
      <c r="R379">
        <f t="shared" si="971"/>
        <v>11577533.350758124</v>
      </c>
      <c r="S379">
        <f t="shared" si="972"/>
        <v>115.77533350758124</v>
      </c>
      <c r="T379">
        <f t="shared" si="973"/>
        <v>0.11577533350758124</v>
      </c>
    </row>
    <row r="380" spans="1:20" x14ac:dyDescent="0.25">
      <c r="A380" s="5">
        <v>44213</v>
      </c>
      <c r="B380">
        <v>108.11</v>
      </c>
      <c r="C380">
        <v>108.95</v>
      </c>
      <c r="D380">
        <v>98.14</v>
      </c>
      <c r="E380">
        <v>102.25</v>
      </c>
      <c r="F380">
        <v>435650.58821999998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-0.23959296947271072</v>
      </c>
      <c r="Q380">
        <f t="shared" si="970"/>
        <v>-104378.81808416292</v>
      </c>
      <c r="R380">
        <f t="shared" si="971"/>
        <v>11499424.191023486</v>
      </c>
      <c r="S380">
        <f t="shared" si="972"/>
        <v>114.99424191023486</v>
      </c>
      <c r="T380">
        <f t="shared" si="973"/>
        <v>0.11499424191023486</v>
      </c>
    </row>
    <row r="381" spans="1:20" x14ac:dyDescent="0.25">
      <c r="A381" s="5">
        <v>44212</v>
      </c>
      <c r="B381">
        <v>103.25</v>
      </c>
      <c r="C381">
        <v>113.88</v>
      </c>
      <c r="D381">
        <v>101.67</v>
      </c>
      <c r="E381">
        <v>108.08</v>
      </c>
      <c r="F381">
        <v>517457.16198999999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4.9959049959049935E-2</v>
      </c>
      <c r="Q381">
        <f t="shared" si="970"/>
        <v>25851.668207526604</v>
      </c>
      <c r="R381">
        <f t="shared" si="971"/>
        <v>11603803.009107649</v>
      </c>
      <c r="S381">
        <f t="shared" si="972"/>
        <v>116.03803009107649</v>
      </c>
      <c r="T381">
        <f t="shared" si="973"/>
        <v>0.11603803009107649</v>
      </c>
    </row>
    <row r="382" spans="1:20" x14ac:dyDescent="0.25">
      <c r="A382" s="5">
        <v>44211</v>
      </c>
      <c r="B382">
        <v>111.72</v>
      </c>
      <c r="C382">
        <v>114.95</v>
      </c>
      <c r="D382">
        <v>94.43</v>
      </c>
      <c r="E382">
        <v>103.25</v>
      </c>
      <c r="F382">
        <v>655505.87084999995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-0.14035087719298295</v>
      </c>
      <c r="Q382">
        <f t="shared" si="970"/>
        <v>-92000.823978947679</v>
      </c>
      <c r="R382">
        <f t="shared" si="971"/>
        <v>11577951.340900123</v>
      </c>
      <c r="S382">
        <f t="shared" si="972"/>
        <v>115.77951340900123</v>
      </c>
      <c r="T382">
        <f t="shared" si="973"/>
        <v>0.11577951340900122</v>
      </c>
    </row>
    <row r="383" spans="1:20" x14ac:dyDescent="0.25">
      <c r="A383" s="5">
        <v>44210</v>
      </c>
      <c r="B383">
        <v>117.33</v>
      </c>
      <c r="C383">
        <v>118.89</v>
      </c>
      <c r="D383">
        <v>105.9</v>
      </c>
      <c r="E383">
        <v>111.71</v>
      </c>
      <c r="F383">
        <v>609032.21863999998</v>
      </c>
      <c r="G383">
        <v>0</v>
      </c>
      <c r="L383" t="s">
        <v>7</v>
      </c>
      <c r="M383" t="s">
        <v>8</v>
      </c>
      <c r="N383" t="s">
        <v>8</v>
      </c>
      <c r="P383">
        <f t="shared" si="969"/>
        <v>-0.10546574287913929</v>
      </c>
      <c r="Q383">
        <f t="shared" si="970"/>
        <v>-64232.035376197979</v>
      </c>
      <c r="R383">
        <f t="shared" si="971"/>
        <v>11669952.164879071</v>
      </c>
      <c r="S383">
        <f t="shared" si="972"/>
        <v>116.69952164879071</v>
      </c>
      <c r="T383">
        <f t="shared" si="973"/>
        <v>0.1166995216487907</v>
      </c>
    </row>
    <row r="384" spans="1:20" x14ac:dyDescent="0.25">
      <c r="A384" s="5">
        <v>44209</v>
      </c>
      <c r="B384">
        <v>99.73</v>
      </c>
      <c r="C384">
        <v>120.69</v>
      </c>
      <c r="D384">
        <v>92.47</v>
      </c>
      <c r="E384">
        <v>117.35</v>
      </c>
      <c r="F384">
        <v>1133276.73798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0.76328844790928396</v>
      </c>
      <c r="Q384">
        <f t="shared" si="970"/>
        <v>865017.04238445044</v>
      </c>
      <c r="R384">
        <f t="shared" si="971"/>
        <v>11734184.200255269</v>
      </c>
      <c r="S384">
        <f t="shared" si="972"/>
        <v>117.3418420025527</v>
      </c>
      <c r="T384">
        <f t="shared" si="973"/>
        <v>0.1173418420025527</v>
      </c>
    </row>
    <row r="385" spans="1:20" x14ac:dyDescent="0.25">
      <c r="A385" s="5">
        <v>44208</v>
      </c>
      <c r="B385">
        <v>88.13</v>
      </c>
      <c r="C385">
        <v>105.51</v>
      </c>
      <c r="D385">
        <v>84.28</v>
      </c>
      <c r="E385">
        <v>99.72</v>
      </c>
      <c r="F385">
        <v>1481569.6383</v>
      </c>
      <c r="G385">
        <v>0</v>
      </c>
      <c r="L385" t="s">
        <v>7</v>
      </c>
      <c r="M385" t="s">
        <v>7</v>
      </c>
      <c r="N385" t="s">
        <v>8</v>
      </c>
      <c r="P385">
        <f t="shared" si="969"/>
        <v>0.45454545454545409</v>
      </c>
      <c r="Q385">
        <f t="shared" si="970"/>
        <v>673440.74468181748</v>
      </c>
      <c r="R385">
        <f t="shared" si="971"/>
        <v>10869167.157870818</v>
      </c>
      <c r="S385">
        <f t="shared" si="972"/>
        <v>108.69167157870818</v>
      </c>
      <c r="T385">
        <f t="shared" si="973"/>
        <v>0.10869167157870818</v>
      </c>
    </row>
    <row r="386" spans="1:20" x14ac:dyDescent="0.25">
      <c r="A386" s="5">
        <v>44207</v>
      </c>
      <c r="B386">
        <v>96.45</v>
      </c>
      <c r="C386">
        <v>108.97</v>
      </c>
      <c r="D386">
        <v>77.59</v>
      </c>
      <c r="E386">
        <v>88.24</v>
      </c>
      <c r="F386">
        <v>2757618.58073</v>
      </c>
      <c r="G386">
        <v>0</v>
      </c>
      <c r="L386" t="s">
        <v>8</v>
      </c>
      <c r="M386" t="s">
        <v>8</v>
      </c>
      <c r="N386" t="s">
        <v>8</v>
      </c>
      <c r="P386">
        <f t="shared" si="969"/>
        <v>-0.32122370936902528</v>
      </c>
      <c r="Q386">
        <f t="shared" si="970"/>
        <v>-885812.46952703747</v>
      </c>
      <c r="R386">
        <f t="shared" si="971"/>
        <v>10195726.413189001</v>
      </c>
      <c r="S386">
        <f t="shared" si="972"/>
        <v>101.95726413189001</v>
      </c>
      <c r="T386">
        <f t="shared" si="973"/>
        <v>0.10195726413189002</v>
      </c>
    </row>
    <row r="387" spans="1:20" x14ac:dyDescent="0.25">
      <c r="A387" s="5">
        <v>44206</v>
      </c>
      <c r="B387">
        <v>78.44</v>
      </c>
      <c r="C387">
        <v>98.67</v>
      </c>
      <c r="D387">
        <v>75.7</v>
      </c>
      <c r="E387">
        <v>96.37</v>
      </c>
      <c r="F387">
        <v>2044328.4184900001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0.79973878972572943</v>
      </c>
      <c r="Q387">
        <f t="shared" si="970"/>
        <v>1634928.7352051071</v>
      </c>
      <c r="R387">
        <f t="shared" si="971"/>
        <v>11081538.882716039</v>
      </c>
      <c r="S387">
        <f t="shared" si="972"/>
        <v>110.81538882716039</v>
      </c>
      <c r="T387">
        <f t="shared" si="973"/>
        <v>0.1108153888271604</v>
      </c>
    </row>
    <row r="388" spans="1:20" x14ac:dyDescent="0.25">
      <c r="A388" s="5">
        <v>44205</v>
      </c>
      <c r="B388">
        <v>68.62</v>
      </c>
      <c r="C388">
        <v>80</v>
      </c>
      <c r="D388">
        <v>65.77</v>
      </c>
      <c r="E388">
        <v>78.44</v>
      </c>
      <c r="F388">
        <v>524335.05885999999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0.78074490513000672</v>
      </c>
      <c r="Q388">
        <f t="shared" si="970"/>
        <v>409371.92578598717</v>
      </c>
      <c r="R388">
        <f t="shared" si="971"/>
        <v>9446610.1475109328</v>
      </c>
      <c r="S388">
        <f t="shared" si="972"/>
        <v>94.466101475109326</v>
      </c>
      <c r="T388">
        <f t="shared" si="973"/>
        <v>9.4466101475109324E-2</v>
      </c>
    </row>
    <row r="389" spans="1:20" x14ac:dyDescent="0.25">
      <c r="A389" s="5">
        <v>44204</v>
      </c>
      <c r="B389">
        <v>67.77</v>
      </c>
      <c r="C389">
        <v>70.08</v>
      </c>
      <c r="D389">
        <v>61.14</v>
      </c>
      <c r="E389">
        <v>68.59</v>
      </c>
      <c r="F389">
        <v>536970.73750000005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0.66666666666666774</v>
      </c>
      <c r="Q389">
        <f t="shared" si="970"/>
        <v>357980.49166666728</v>
      </c>
      <c r="R389">
        <f t="shared" si="971"/>
        <v>9037238.2217249461</v>
      </c>
      <c r="S389">
        <f t="shared" si="972"/>
        <v>90.372382217249466</v>
      </c>
      <c r="T389">
        <f t="shared" si="973"/>
        <v>9.037238221724947E-2</v>
      </c>
    </row>
    <row r="390" spans="1:20" x14ac:dyDescent="0.25">
      <c r="A390" s="5">
        <v>44203</v>
      </c>
      <c r="B390">
        <v>63.92</v>
      </c>
      <c r="C390">
        <v>74.319999999999993</v>
      </c>
      <c r="D390">
        <v>62.93</v>
      </c>
      <c r="E390">
        <v>67.75</v>
      </c>
      <c r="F390">
        <v>824291.97475000005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-0.15364354697102667</v>
      </c>
      <c r="Q390">
        <f t="shared" ref="Q390:Q453" si="975">F390*P390</f>
        <v>-126647.14274034197</v>
      </c>
      <c r="R390">
        <f t="shared" ref="R390:R453" si="976">R391+Q390</f>
        <v>8679257.7300582789</v>
      </c>
      <c r="S390">
        <f t="shared" ref="S390:S453" si="977">R390/100000</f>
        <v>86.792577300582792</v>
      </c>
      <c r="T390">
        <f t="shared" ref="T390:T453" si="978">S390/1000</f>
        <v>8.6792577300582791E-2</v>
      </c>
    </row>
    <row r="391" spans="1:20" x14ac:dyDescent="0.25">
      <c r="A391" s="5">
        <v>44202</v>
      </c>
      <c r="B391">
        <v>59.63</v>
      </c>
      <c r="C391">
        <v>65.349999999999994</v>
      </c>
      <c r="D391">
        <v>58.95</v>
      </c>
      <c r="E391">
        <v>63.92</v>
      </c>
      <c r="F391">
        <v>402336.26763000002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0.55312500000000175</v>
      </c>
      <c r="Q391">
        <f t="shared" si="975"/>
        <v>222542.24803284445</v>
      </c>
      <c r="R391">
        <f t="shared" si="976"/>
        <v>8805904.8727986217</v>
      </c>
      <c r="S391">
        <f t="shared" si="977"/>
        <v>88.059048727986223</v>
      </c>
      <c r="T391">
        <f t="shared" si="978"/>
        <v>8.8059048727986228E-2</v>
      </c>
    </row>
    <row r="392" spans="1:20" x14ac:dyDescent="0.25">
      <c r="A392" s="5">
        <v>44201</v>
      </c>
      <c r="B392">
        <v>60.34</v>
      </c>
      <c r="C392">
        <v>61.17</v>
      </c>
      <c r="D392">
        <v>57.91</v>
      </c>
      <c r="E392">
        <v>59.64</v>
      </c>
      <c r="F392">
        <v>231711.56414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6.1349693251534519E-2</v>
      </c>
      <c r="Q392">
        <f t="shared" si="975"/>
        <v>14215.433382822266</v>
      </c>
      <c r="R392">
        <f t="shared" si="976"/>
        <v>8583362.624765778</v>
      </c>
      <c r="S392">
        <f t="shared" si="977"/>
        <v>85.833626247657776</v>
      </c>
      <c r="T392">
        <f t="shared" si="978"/>
        <v>8.5833626247657779E-2</v>
      </c>
    </row>
    <row r="393" spans="1:20" x14ac:dyDescent="0.25">
      <c r="A393" s="5">
        <v>44200</v>
      </c>
      <c r="B393">
        <v>59.35</v>
      </c>
      <c r="C393">
        <v>65</v>
      </c>
      <c r="D393">
        <v>56.62</v>
      </c>
      <c r="E393">
        <v>60.34</v>
      </c>
      <c r="F393">
        <v>497967.97236000001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-0.11217183770882939</v>
      </c>
      <c r="Q393">
        <f t="shared" si="975"/>
        <v>-55857.982579760763</v>
      </c>
      <c r="R393">
        <f t="shared" si="976"/>
        <v>8569147.1913829558</v>
      </c>
      <c r="S393">
        <f t="shared" si="977"/>
        <v>85.69147191382956</v>
      </c>
      <c r="T393">
        <f t="shared" si="978"/>
        <v>8.5691471913829559E-2</v>
      </c>
    </row>
    <row r="394" spans="1:20" x14ac:dyDescent="0.25">
      <c r="A394" s="5">
        <v>44199</v>
      </c>
      <c r="B394">
        <v>57.48</v>
      </c>
      <c r="C394">
        <v>61.88</v>
      </c>
      <c r="D394">
        <v>56.22</v>
      </c>
      <c r="E394">
        <v>59.35</v>
      </c>
      <c r="F394">
        <v>358158.13483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0.10600706713780937</v>
      </c>
      <c r="Q394">
        <f t="shared" si="975"/>
        <v>37967.293444876392</v>
      </c>
      <c r="R394">
        <f t="shared" si="976"/>
        <v>8625005.173962716</v>
      </c>
      <c r="S394">
        <f t="shared" si="977"/>
        <v>86.250051739627153</v>
      </c>
      <c r="T394">
        <f t="shared" si="978"/>
        <v>8.6250051739627159E-2</v>
      </c>
    </row>
    <row r="395" spans="1:20" x14ac:dyDescent="0.25">
      <c r="A395" s="5">
        <v>44198</v>
      </c>
      <c r="B395">
        <v>56.6</v>
      </c>
      <c r="C395">
        <v>59.9</v>
      </c>
      <c r="D395">
        <v>55.2</v>
      </c>
      <c r="E395">
        <v>57.46</v>
      </c>
      <c r="F395">
        <v>468375.73952</v>
      </c>
      <c r="G395">
        <v>0</v>
      </c>
      <c r="L395" t="s">
        <v>8</v>
      </c>
      <c r="M395" t="s">
        <v>7</v>
      </c>
      <c r="N395" t="s">
        <v>8</v>
      </c>
      <c r="P395">
        <f t="shared" si="974"/>
        <v>-3.8297872340425504E-2</v>
      </c>
      <c r="Q395">
        <f t="shared" si="975"/>
        <v>-17937.79427948935</v>
      </c>
      <c r="R395">
        <f t="shared" si="976"/>
        <v>8587037.8805178404</v>
      </c>
      <c r="S395">
        <f t="shared" si="977"/>
        <v>85.870378805178404</v>
      </c>
      <c r="T395">
        <f t="shared" si="978"/>
        <v>8.5870378805178407E-2</v>
      </c>
    </row>
    <row r="396" spans="1:20" x14ac:dyDescent="0.25">
      <c r="A396" s="5">
        <v>44197</v>
      </c>
      <c r="B396">
        <v>63.96</v>
      </c>
      <c r="C396">
        <v>67.239999999999995</v>
      </c>
      <c r="D396">
        <v>54.38</v>
      </c>
      <c r="E396">
        <v>56.6</v>
      </c>
      <c r="F396">
        <v>823695.57675999997</v>
      </c>
      <c r="G396">
        <v>0</v>
      </c>
      <c r="L396" t="s">
        <v>7</v>
      </c>
      <c r="M396" t="s">
        <v>7</v>
      </c>
      <c r="N396" t="s">
        <v>8</v>
      </c>
      <c r="P396">
        <f t="shared" si="974"/>
        <v>-0.65474339035769824</v>
      </c>
      <c r="Q396">
        <f t="shared" si="975"/>
        <v>-539309.23455048201</v>
      </c>
      <c r="R396">
        <f t="shared" si="976"/>
        <v>8604975.6747973301</v>
      </c>
      <c r="S396">
        <f t="shared" si="977"/>
        <v>86.049756747973305</v>
      </c>
      <c r="T396">
        <f t="shared" si="978"/>
        <v>8.6049756747973299E-2</v>
      </c>
    </row>
    <row r="397" spans="1:20" x14ac:dyDescent="0.25">
      <c r="A397" s="5">
        <v>44196</v>
      </c>
      <c r="B397">
        <v>64.09</v>
      </c>
      <c r="C397">
        <v>64.55</v>
      </c>
      <c r="D397">
        <v>61.17</v>
      </c>
      <c r="E397">
        <v>63.91</v>
      </c>
      <c r="F397">
        <v>127119.34379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0.62130177514792817</v>
      </c>
      <c r="Q397">
        <f t="shared" si="975"/>
        <v>78979.473952366752</v>
      </c>
      <c r="R397">
        <f t="shared" si="976"/>
        <v>9144284.9093478117</v>
      </c>
      <c r="S397">
        <f t="shared" si="977"/>
        <v>91.442849093478117</v>
      </c>
      <c r="T397">
        <f t="shared" si="978"/>
        <v>9.1442849093478121E-2</v>
      </c>
    </row>
    <row r="398" spans="1:20" x14ac:dyDescent="0.25">
      <c r="A398" s="5">
        <v>44195</v>
      </c>
      <c r="B398">
        <v>65.38</v>
      </c>
      <c r="C398">
        <v>66.3</v>
      </c>
      <c r="D398">
        <v>62.86</v>
      </c>
      <c r="E398">
        <v>64.09</v>
      </c>
      <c r="F398">
        <v>158232.83064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-0.28488372093022979</v>
      </c>
      <c r="Q398">
        <f t="shared" si="975"/>
        <v>-45077.957566046076</v>
      </c>
      <c r="R398">
        <f t="shared" si="976"/>
        <v>9065305.4353954457</v>
      </c>
      <c r="S398">
        <f t="shared" si="977"/>
        <v>90.65305435395446</v>
      </c>
      <c r="T398">
        <f t="shared" si="978"/>
        <v>9.065305435395446E-2</v>
      </c>
    </row>
    <row r="399" spans="1:20" x14ac:dyDescent="0.25">
      <c r="A399" s="5">
        <v>44194</v>
      </c>
      <c r="B399">
        <v>69.09</v>
      </c>
      <c r="C399">
        <v>70.62</v>
      </c>
      <c r="D399">
        <v>61.57</v>
      </c>
      <c r="E399">
        <v>65.33</v>
      </c>
      <c r="F399">
        <v>265016.78123000002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-0.16906077348066381</v>
      </c>
      <c r="Q399">
        <f t="shared" si="975"/>
        <v>-44803.942020099668</v>
      </c>
      <c r="R399">
        <f t="shared" si="976"/>
        <v>9110383.3929614909</v>
      </c>
      <c r="S399">
        <f t="shared" si="977"/>
        <v>91.103833929614908</v>
      </c>
      <c r="T399">
        <f t="shared" si="978"/>
        <v>9.1103833929614908E-2</v>
      </c>
    </row>
    <row r="400" spans="1:20" x14ac:dyDescent="0.25">
      <c r="A400" s="5">
        <v>44193</v>
      </c>
      <c r="B400">
        <v>66.95</v>
      </c>
      <c r="C400">
        <v>71.430000000000007</v>
      </c>
      <c r="D400">
        <v>66.2</v>
      </c>
      <c r="E400">
        <v>69.040000000000006</v>
      </c>
      <c r="F400">
        <v>245572.54942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8.6042065009560714E-2</v>
      </c>
      <c r="Q400">
        <f t="shared" si="975"/>
        <v>21129.569261759199</v>
      </c>
      <c r="R400">
        <f t="shared" si="976"/>
        <v>9155187.3349815905</v>
      </c>
      <c r="S400">
        <f t="shared" si="977"/>
        <v>91.551873349815907</v>
      </c>
      <c r="T400">
        <f t="shared" si="978"/>
        <v>9.1551873349815904E-2</v>
      </c>
    </row>
    <row r="401" spans="1:20" x14ac:dyDescent="0.25">
      <c r="A401" s="5">
        <v>44192</v>
      </c>
      <c r="B401">
        <v>66.599999999999994</v>
      </c>
      <c r="C401">
        <v>71.66</v>
      </c>
      <c r="D401">
        <v>62.8</v>
      </c>
      <c r="E401">
        <v>66.97</v>
      </c>
      <c r="F401">
        <v>358971.73556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-5.8690744920992785E-2</v>
      </c>
      <c r="Q401">
        <f t="shared" si="975"/>
        <v>-21068.318565598034</v>
      </c>
      <c r="R401">
        <f t="shared" si="976"/>
        <v>9134057.765719831</v>
      </c>
      <c r="S401">
        <f t="shared" si="977"/>
        <v>91.34057765719831</v>
      </c>
      <c r="T401">
        <f t="shared" si="978"/>
        <v>9.1340577657198316E-2</v>
      </c>
    </row>
    <row r="402" spans="1:20" x14ac:dyDescent="0.25">
      <c r="A402" s="5">
        <v>44191</v>
      </c>
      <c r="B402">
        <v>64.290000000000006</v>
      </c>
      <c r="C402">
        <v>70.27</v>
      </c>
      <c r="D402">
        <v>63.52</v>
      </c>
      <c r="E402">
        <v>66.56</v>
      </c>
      <c r="F402">
        <v>285733.55040000001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-9.9259259259258562E-2</v>
      </c>
      <c r="Q402">
        <f t="shared" si="975"/>
        <v>-28361.700558222023</v>
      </c>
      <c r="R402">
        <f t="shared" si="976"/>
        <v>9155126.0842854287</v>
      </c>
      <c r="S402">
        <f t="shared" si="977"/>
        <v>91.55126084285429</v>
      </c>
      <c r="T402">
        <f t="shared" si="978"/>
        <v>9.1551260842854296E-2</v>
      </c>
    </row>
    <row r="403" spans="1:20" x14ac:dyDescent="0.25">
      <c r="A403" s="5">
        <v>44190</v>
      </c>
      <c r="B403">
        <v>62.11</v>
      </c>
      <c r="C403">
        <v>65.2</v>
      </c>
      <c r="D403">
        <v>60.38</v>
      </c>
      <c r="E403">
        <v>64.27</v>
      </c>
      <c r="F403">
        <v>280321.59028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0.61410788381742454</v>
      </c>
      <c r="Q403">
        <f t="shared" si="975"/>
        <v>172147.69859518594</v>
      </c>
      <c r="R403">
        <f t="shared" si="976"/>
        <v>9183487.7848436516</v>
      </c>
      <c r="S403">
        <f t="shared" si="977"/>
        <v>91.83487784843652</v>
      </c>
      <c r="T403">
        <f t="shared" si="978"/>
        <v>9.1834877848436525E-2</v>
      </c>
    </row>
    <row r="404" spans="1:20" x14ac:dyDescent="0.25">
      <c r="A404" s="5">
        <v>44189</v>
      </c>
      <c r="B404">
        <v>55.41</v>
      </c>
      <c r="C404">
        <v>62.28</v>
      </c>
      <c r="D404">
        <v>53.95</v>
      </c>
      <c r="E404">
        <v>62.1</v>
      </c>
      <c r="F404">
        <v>336398.21096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0.9567827130852341</v>
      </c>
      <c r="Q404">
        <f t="shared" si="975"/>
        <v>321859.9929593277</v>
      </c>
      <c r="R404">
        <f t="shared" si="976"/>
        <v>9011340.0862484649</v>
      </c>
      <c r="S404">
        <f t="shared" si="977"/>
        <v>90.113400862484653</v>
      </c>
      <c r="T404">
        <f t="shared" si="978"/>
        <v>9.0113400862484649E-2</v>
      </c>
    </row>
    <row r="405" spans="1:20" x14ac:dyDescent="0.25">
      <c r="A405" s="5">
        <v>44188</v>
      </c>
      <c r="B405">
        <v>67.62</v>
      </c>
      <c r="C405">
        <v>68.58</v>
      </c>
      <c r="D405">
        <v>46.98</v>
      </c>
      <c r="E405">
        <v>55.42</v>
      </c>
      <c r="F405">
        <v>462141.95194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-0.21851851851851811</v>
      </c>
      <c r="Q405">
        <f t="shared" si="975"/>
        <v>-100986.574683185</v>
      </c>
      <c r="R405">
        <f t="shared" si="976"/>
        <v>8689480.0932891369</v>
      </c>
      <c r="S405">
        <f t="shared" si="977"/>
        <v>86.894800932891371</v>
      </c>
      <c r="T405">
        <f t="shared" si="978"/>
        <v>8.689480093289137E-2</v>
      </c>
    </row>
    <row r="406" spans="1:20" x14ac:dyDescent="0.25">
      <c r="A406" s="5">
        <v>44187</v>
      </c>
      <c r="B406">
        <v>67.75</v>
      </c>
      <c r="C406">
        <v>69.08</v>
      </c>
      <c r="D406">
        <v>63.44</v>
      </c>
      <c r="E406">
        <v>67.64</v>
      </c>
      <c r="F406">
        <v>268453.72469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0.48936170212766045</v>
      </c>
      <c r="Q406">
        <f t="shared" si="975"/>
        <v>131370.97165680875</v>
      </c>
      <c r="R406">
        <f t="shared" si="976"/>
        <v>8790466.6679723226</v>
      </c>
      <c r="S406">
        <f t="shared" si="977"/>
        <v>87.904666679723221</v>
      </c>
      <c r="T406">
        <f t="shared" si="978"/>
        <v>8.7904666679723215E-2</v>
      </c>
    </row>
    <row r="407" spans="1:20" x14ac:dyDescent="0.25">
      <c r="A407" s="5">
        <v>44186</v>
      </c>
      <c r="B407">
        <v>73.72</v>
      </c>
      <c r="C407">
        <v>77.739999999999995</v>
      </c>
      <c r="D407">
        <v>67.55</v>
      </c>
      <c r="E407">
        <v>67.77</v>
      </c>
      <c r="F407">
        <v>293627.70233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-0.9568204121687931</v>
      </c>
      <c r="Q407">
        <f t="shared" si="975"/>
        <v>-280948.97916756629</v>
      </c>
      <c r="R407">
        <f t="shared" si="976"/>
        <v>8659095.6963155139</v>
      </c>
      <c r="S407">
        <f t="shared" si="977"/>
        <v>86.590956963155136</v>
      </c>
      <c r="T407">
        <f t="shared" si="978"/>
        <v>8.6590956963155136E-2</v>
      </c>
    </row>
    <row r="408" spans="1:20" x14ac:dyDescent="0.25">
      <c r="A408" s="5">
        <v>44185</v>
      </c>
      <c r="B408">
        <v>73.540000000000006</v>
      </c>
      <c r="C408">
        <v>77.86</v>
      </c>
      <c r="D408">
        <v>71.81</v>
      </c>
      <c r="E408">
        <v>73.69</v>
      </c>
      <c r="F408">
        <v>280028.83652999997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-0.3785123966942161</v>
      </c>
      <c r="Q408">
        <f t="shared" si="975"/>
        <v>-105994.38605846315</v>
      </c>
      <c r="R408">
        <f t="shared" si="976"/>
        <v>8940044.6754830796</v>
      </c>
      <c r="S408">
        <f t="shared" si="977"/>
        <v>89.400446754830796</v>
      </c>
      <c r="T408">
        <f t="shared" si="978"/>
        <v>8.940044675483079E-2</v>
      </c>
    </row>
    <row r="409" spans="1:20" x14ac:dyDescent="0.25">
      <c r="A409" s="5">
        <v>44184</v>
      </c>
      <c r="B409">
        <v>73.89</v>
      </c>
      <c r="C409">
        <v>76.16</v>
      </c>
      <c r="D409">
        <v>73.010000000000005</v>
      </c>
      <c r="E409">
        <v>73.5</v>
      </c>
      <c r="F409">
        <v>146959.07306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-0.68888888888889133</v>
      </c>
      <c r="Q409">
        <f t="shared" si="975"/>
        <v>-101238.4725524448</v>
      </c>
      <c r="R409">
        <f t="shared" si="976"/>
        <v>9046039.0615415424</v>
      </c>
      <c r="S409">
        <f t="shared" si="977"/>
        <v>90.46039061541542</v>
      </c>
      <c r="T409">
        <f t="shared" si="978"/>
        <v>9.0460390615415415E-2</v>
      </c>
    </row>
    <row r="410" spans="1:20" x14ac:dyDescent="0.25">
      <c r="A410" s="5">
        <v>44183</v>
      </c>
      <c r="B410">
        <v>74.319999999999993</v>
      </c>
      <c r="C410">
        <v>76.44</v>
      </c>
      <c r="D410">
        <v>71.66</v>
      </c>
      <c r="E410">
        <v>73.89</v>
      </c>
      <c r="F410">
        <v>165083.77213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-6.694560669455922E-2</v>
      </c>
      <c r="Q410">
        <f t="shared" si="975"/>
        <v>-11051.633280669217</v>
      </c>
      <c r="R410">
        <f t="shared" si="976"/>
        <v>9147277.5340939872</v>
      </c>
      <c r="S410">
        <f t="shared" si="977"/>
        <v>91.472775340939876</v>
      </c>
      <c r="T410">
        <f t="shared" si="978"/>
        <v>9.147277534093988E-2</v>
      </c>
    </row>
    <row r="411" spans="1:20" x14ac:dyDescent="0.25">
      <c r="A411" s="5">
        <v>44182</v>
      </c>
      <c r="B411">
        <v>73.180000000000007</v>
      </c>
      <c r="C411">
        <v>77.989999999999995</v>
      </c>
      <c r="D411">
        <v>72.239999999999995</v>
      </c>
      <c r="E411">
        <v>74.28</v>
      </c>
      <c r="F411">
        <v>303384.96124999999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-0.29043478260869349</v>
      </c>
      <c r="Q411">
        <f t="shared" si="975"/>
        <v>-88113.54526739064</v>
      </c>
      <c r="R411">
        <f t="shared" si="976"/>
        <v>9158329.1673746556</v>
      </c>
      <c r="S411">
        <f t="shared" si="977"/>
        <v>91.583291673746558</v>
      </c>
      <c r="T411">
        <f t="shared" si="978"/>
        <v>9.1583291673746556E-2</v>
      </c>
    </row>
    <row r="412" spans="1:20" x14ac:dyDescent="0.25">
      <c r="A412" s="5">
        <v>44181</v>
      </c>
      <c r="B412">
        <v>67.64</v>
      </c>
      <c r="C412">
        <v>73.28</v>
      </c>
      <c r="D412">
        <v>66.86</v>
      </c>
      <c r="E412">
        <v>73.209999999999994</v>
      </c>
      <c r="F412">
        <v>189107.82376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0.97819314641744315</v>
      </c>
      <c r="Q412">
        <f t="shared" si="975"/>
        <v>184983.97713594971</v>
      </c>
      <c r="R412">
        <f t="shared" si="976"/>
        <v>9246442.7126420457</v>
      </c>
      <c r="S412">
        <f t="shared" si="977"/>
        <v>92.46442712642046</v>
      </c>
      <c r="T412">
        <f t="shared" si="978"/>
        <v>9.2464427126420459E-2</v>
      </c>
    </row>
    <row r="413" spans="1:20" x14ac:dyDescent="0.25">
      <c r="A413" s="5">
        <v>44180</v>
      </c>
      <c r="B413">
        <v>68.040000000000006</v>
      </c>
      <c r="C413">
        <v>69.150000000000006</v>
      </c>
      <c r="D413">
        <v>66.37</v>
      </c>
      <c r="E413">
        <v>67.63</v>
      </c>
      <c r="F413">
        <v>100021.70943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-9.352517985612202E-2</v>
      </c>
      <c r="Q413">
        <f t="shared" si="975"/>
        <v>-9354.5483639575268</v>
      </c>
      <c r="R413">
        <f t="shared" si="976"/>
        <v>9061458.7355060969</v>
      </c>
      <c r="S413">
        <f t="shared" si="977"/>
        <v>90.614587355060962</v>
      </c>
      <c r="T413">
        <f t="shared" si="978"/>
        <v>9.0614587355060963E-2</v>
      </c>
    </row>
    <row r="414" spans="1:20" x14ac:dyDescent="0.25">
      <c r="A414" s="5">
        <v>44179</v>
      </c>
      <c r="B414">
        <v>68.2</v>
      </c>
      <c r="C414">
        <v>68.650000000000006</v>
      </c>
      <c r="D414">
        <v>66.27</v>
      </c>
      <c r="E414">
        <v>68</v>
      </c>
      <c r="F414">
        <v>105432.69447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0.45378151260503946</v>
      </c>
      <c r="Q414">
        <f t="shared" si="975"/>
        <v>47843.407574621582</v>
      </c>
      <c r="R414">
        <f t="shared" si="976"/>
        <v>9070813.2838700544</v>
      </c>
      <c r="S414">
        <f t="shared" si="977"/>
        <v>90.70813283870055</v>
      </c>
      <c r="T414">
        <f t="shared" si="978"/>
        <v>9.070813283870055E-2</v>
      </c>
    </row>
    <row r="415" spans="1:20" x14ac:dyDescent="0.25">
      <c r="A415" s="5">
        <v>44178</v>
      </c>
      <c r="B415">
        <v>66.03</v>
      </c>
      <c r="C415">
        <v>69.430000000000007</v>
      </c>
      <c r="D415">
        <v>65.2</v>
      </c>
      <c r="E415">
        <v>68.25</v>
      </c>
      <c r="F415">
        <v>148763.22672999999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0.44208037825058832</v>
      </c>
      <c r="Q415">
        <f t="shared" si="975"/>
        <v>65765.303542576425</v>
      </c>
      <c r="R415">
        <f t="shared" si="976"/>
        <v>9022969.8762954324</v>
      </c>
      <c r="S415">
        <f t="shared" si="977"/>
        <v>90.229698762954328</v>
      </c>
      <c r="T415">
        <f t="shared" si="978"/>
        <v>9.0229698762954322E-2</v>
      </c>
    </row>
    <row r="416" spans="1:20" x14ac:dyDescent="0.25">
      <c r="A416" s="5">
        <v>44177</v>
      </c>
      <c r="B416">
        <v>63.71</v>
      </c>
      <c r="C416">
        <v>66.77</v>
      </c>
      <c r="D416">
        <v>63.49</v>
      </c>
      <c r="E416">
        <v>65.95</v>
      </c>
      <c r="F416">
        <v>98199.330799999996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0.50000000000000322</v>
      </c>
      <c r="Q416">
        <f t="shared" si="975"/>
        <v>49099.665400000311</v>
      </c>
      <c r="R416">
        <f t="shared" si="976"/>
        <v>8957204.5727528557</v>
      </c>
      <c r="S416">
        <f t="shared" si="977"/>
        <v>89.572045727528561</v>
      </c>
      <c r="T416">
        <f t="shared" si="978"/>
        <v>8.9572045727528554E-2</v>
      </c>
    </row>
    <row r="417" spans="1:20" x14ac:dyDescent="0.25">
      <c r="A417" s="5">
        <v>44176</v>
      </c>
      <c r="B417">
        <v>66</v>
      </c>
      <c r="C417">
        <v>66.150000000000006</v>
      </c>
      <c r="D417">
        <v>62.49</v>
      </c>
      <c r="E417">
        <v>63.71</v>
      </c>
      <c r="F417">
        <v>156879.67318000001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-0.33333333333333465</v>
      </c>
      <c r="Q417">
        <f t="shared" si="975"/>
        <v>-52293.224393333541</v>
      </c>
      <c r="R417">
        <f t="shared" si="976"/>
        <v>8908104.9073528554</v>
      </c>
      <c r="S417">
        <f t="shared" si="977"/>
        <v>89.081049073528561</v>
      </c>
      <c r="T417">
        <f t="shared" si="978"/>
        <v>8.9081049073528568E-2</v>
      </c>
    </row>
    <row r="418" spans="1:20" x14ac:dyDescent="0.25">
      <c r="A418" s="5">
        <v>44175</v>
      </c>
      <c r="B418">
        <v>69.39</v>
      </c>
      <c r="C418">
        <v>69.91</v>
      </c>
      <c r="D418">
        <v>65.2</v>
      </c>
      <c r="E418">
        <v>65.959999999999994</v>
      </c>
      <c r="F418">
        <v>164672.09023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-0.677282377919324</v>
      </c>
      <c r="Q418">
        <f t="shared" si="975"/>
        <v>-111529.50484791989</v>
      </c>
      <c r="R418">
        <f t="shared" si="976"/>
        <v>8960398.1317461897</v>
      </c>
      <c r="S418">
        <f t="shared" si="977"/>
        <v>89.603981317461901</v>
      </c>
      <c r="T418">
        <f t="shared" si="978"/>
        <v>8.9603981317461903E-2</v>
      </c>
    </row>
    <row r="419" spans="1:20" x14ac:dyDescent="0.25">
      <c r="A419" s="5">
        <v>44174</v>
      </c>
      <c r="B419">
        <v>69.53</v>
      </c>
      <c r="C419">
        <v>71.02</v>
      </c>
      <c r="D419">
        <v>65.5</v>
      </c>
      <c r="E419">
        <v>69.38</v>
      </c>
      <c r="F419">
        <v>223180.89650999999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0.40579710144927472</v>
      </c>
      <c r="Q419">
        <f t="shared" si="975"/>
        <v>90566.16090260855</v>
      </c>
      <c r="R419">
        <f t="shared" si="976"/>
        <v>9071927.6365941092</v>
      </c>
      <c r="S419">
        <f t="shared" si="977"/>
        <v>90.719276365941099</v>
      </c>
      <c r="T419">
        <f t="shared" si="978"/>
        <v>9.0719276365941098E-2</v>
      </c>
    </row>
    <row r="420" spans="1:20" x14ac:dyDescent="0.25">
      <c r="A420" s="5">
        <v>44173</v>
      </c>
      <c r="B420">
        <v>75.56</v>
      </c>
      <c r="C420">
        <v>75.790000000000006</v>
      </c>
      <c r="D420">
        <v>68.739999999999995</v>
      </c>
      <c r="E420">
        <v>69.61</v>
      </c>
      <c r="F420">
        <v>180111.67791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-0.75319148936170122</v>
      </c>
      <c r="Q420">
        <f t="shared" si="975"/>
        <v>-135658.58293646792</v>
      </c>
      <c r="R420">
        <f t="shared" si="976"/>
        <v>8981361.4756915011</v>
      </c>
      <c r="S420">
        <f t="shared" si="977"/>
        <v>89.813614756915015</v>
      </c>
      <c r="T420">
        <f t="shared" si="978"/>
        <v>8.9813614756915017E-2</v>
      </c>
    </row>
    <row r="421" spans="1:20" x14ac:dyDescent="0.25">
      <c r="A421" s="5">
        <v>44172</v>
      </c>
      <c r="B421">
        <v>74.650000000000006</v>
      </c>
      <c r="C421">
        <v>76.84</v>
      </c>
      <c r="D421">
        <v>73.53</v>
      </c>
      <c r="E421">
        <v>75.569999999999993</v>
      </c>
      <c r="F421">
        <v>202837.48598999999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0.23262839879153513</v>
      </c>
      <c r="Q421">
        <f t="shared" si="975"/>
        <v>47185.759580754137</v>
      </c>
      <c r="R421">
        <f t="shared" si="976"/>
        <v>9117020.0586279687</v>
      </c>
      <c r="S421">
        <f t="shared" si="977"/>
        <v>91.170200586279691</v>
      </c>
      <c r="T421">
        <f t="shared" si="978"/>
        <v>9.1170200586279684E-2</v>
      </c>
    </row>
    <row r="422" spans="1:20" x14ac:dyDescent="0.25">
      <c r="A422" s="5">
        <v>44171</v>
      </c>
      <c r="B422">
        <v>71.83</v>
      </c>
      <c r="C422">
        <v>74.989999999999995</v>
      </c>
      <c r="D422">
        <v>69.930000000000007</v>
      </c>
      <c r="E422">
        <v>74.61</v>
      </c>
      <c r="F422">
        <v>125412.26906000001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0.8498023715415034</v>
      </c>
      <c r="Q422">
        <f t="shared" si="975"/>
        <v>106575.64366758912</v>
      </c>
      <c r="R422">
        <f t="shared" si="976"/>
        <v>9069834.2990472149</v>
      </c>
      <c r="S422">
        <f t="shared" si="977"/>
        <v>90.698342990472156</v>
      </c>
      <c r="T422">
        <f t="shared" si="978"/>
        <v>9.069834299047215E-2</v>
      </c>
    </row>
    <row r="423" spans="1:20" x14ac:dyDescent="0.25">
      <c r="A423" s="5">
        <v>44170</v>
      </c>
      <c r="B423">
        <v>69</v>
      </c>
      <c r="C423">
        <v>72.349999999999994</v>
      </c>
      <c r="D423">
        <v>68.39</v>
      </c>
      <c r="E423">
        <v>71.83</v>
      </c>
      <c r="F423">
        <v>86155.789050000007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0.73737373737373901</v>
      </c>
      <c r="Q423">
        <f t="shared" si="975"/>
        <v>63529.016168181966</v>
      </c>
      <c r="R423">
        <f t="shared" si="976"/>
        <v>8963258.655379625</v>
      </c>
      <c r="S423">
        <f t="shared" si="977"/>
        <v>89.632586553796244</v>
      </c>
      <c r="T423">
        <f t="shared" si="978"/>
        <v>8.9632586553796245E-2</v>
      </c>
    </row>
    <row r="424" spans="1:20" x14ac:dyDescent="0.25">
      <c r="A424" s="5">
        <v>44169</v>
      </c>
      <c r="B424">
        <v>75.650000000000006</v>
      </c>
      <c r="C424">
        <v>76.11</v>
      </c>
      <c r="D424">
        <v>68.34</v>
      </c>
      <c r="E424">
        <v>69.010000000000005</v>
      </c>
      <c r="F424">
        <v>214581.74296999999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-0.82754182754182704</v>
      </c>
      <c r="Q424">
        <f t="shared" si="975"/>
        <v>-177575.3677345044</v>
      </c>
      <c r="R424">
        <f t="shared" si="976"/>
        <v>8899729.6392114423</v>
      </c>
      <c r="S424">
        <f t="shared" si="977"/>
        <v>88.997296392114421</v>
      </c>
      <c r="T424">
        <f t="shared" si="978"/>
        <v>8.8997296392114428E-2</v>
      </c>
    </row>
    <row r="425" spans="1:20" x14ac:dyDescent="0.25">
      <c r="A425" s="5">
        <v>44168</v>
      </c>
      <c r="B425">
        <v>76.62</v>
      </c>
      <c r="C425">
        <v>77.13</v>
      </c>
      <c r="D425">
        <v>74.260000000000005</v>
      </c>
      <c r="E425">
        <v>75.69</v>
      </c>
      <c r="F425">
        <v>183725.3101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-3.4843205574930833E-3</v>
      </c>
      <c r="Q425">
        <f t="shared" si="975"/>
        <v>-640.15787491322158</v>
      </c>
      <c r="R425">
        <f t="shared" si="976"/>
        <v>9077305.0069459472</v>
      </c>
      <c r="S425">
        <f t="shared" si="977"/>
        <v>90.773050069459472</v>
      </c>
      <c r="T425">
        <f t="shared" si="978"/>
        <v>9.0773050069459474E-2</v>
      </c>
    </row>
    <row r="426" spans="1:20" x14ac:dyDescent="0.25">
      <c r="A426" s="5">
        <v>44167</v>
      </c>
      <c r="B426">
        <v>74.81</v>
      </c>
      <c r="C426">
        <v>77.14</v>
      </c>
      <c r="D426">
        <v>73.38</v>
      </c>
      <c r="E426">
        <v>76.66</v>
      </c>
      <c r="F426">
        <v>223551.64837000001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0.74468085106382798</v>
      </c>
      <c r="Q426">
        <f t="shared" si="975"/>
        <v>166474.63176489322</v>
      </c>
      <c r="R426">
        <f t="shared" si="976"/>
        <v>9077945.1648208611</v>
      </c>
      <c r="S426">
        <f t="shared" si="977"/>
        <v>90.779451648208607</v>
      </c>
      <c r="T426">
        <f t="shared" si="978"/>
        <v>9.0779451648208609E-2</v>
      </c>
    </row>
    <row r="427" spans="1:20" x14ac:dyDescent="0.25">
      <c r="A427" s="5">
        <v>44166</v>
      </c>
      <c r="B427">
        <v>78.95</v>
      </c>
      <c r="C427">
        <v>82.12</v>
      </c>
      <c r="D427">
        <v>71.400000000000006</v>
      </c>
      <c r="E427">
        <v>74.819999999999993</v>
      </c>
      <c r="F427">
        <v>547564.91694999998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-0.36194029850746495</v>
      </c>
      <c r="Q427">
        <f t="shared" si="975"/>
        <v>-198185.80949309826</v>
      </c>
      <c r="R427">
        <f t="shared" si="976"/>
        <v>8911470.5330559686</v>
      </c>
      <c r="S427">
        <f t="shared" si="977"/>
        <v>89.114705330559687</v>
      </c>
      <c r="T427">
        <f t="shared" si="978"/>
        <v>8.9114705330559693E-2</v>
      </c>
    </row>
    <row r="428" spans="1:20" x14ac:dyDescent="0.25">
      <c r="A428" s="5">
        <v>44165</v>
      </c>
      <c r="B428">
        <v>75.11</v>
      </c>
      <c r="C428">
        <v>79.95</v>
      </c>
      <c r="D428">
        <v>73.599999999999994</v>
      </c>
      <c r="E428">
        <v>78.91</v>
      </c>
      <c r="F428">
        <v>329165.41587999999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0.67244094488188821</v>
      </c>
      <c r="Q428">
        <f t="shared" si="975"/>
        <v>221344.30327678687</v>
      </c>
      <c r="R428">
        <f t="shared" si="976"/>
        <v>9109656.342549067</v>
      </c>
      <c r="S428">
        <f t="shared" si="977"/>
        <v>91.096563425490672</v>
      </c>
      <c r="T428">
        <f t="shared" si="978"/>
        <v>9.1096563425490676E-2</v>
      </c>
    </row>
    <row r="429" spans="1:20" x14ac:dyDescent="0.25">
      <c r="A429" s="5">
        <v>44164</v>
      </c>
      <c r="B429">
        <v>75.290000000000006</v>
      </c>
      <c r="C429">
        <v>76.59</v>
      </c>
      <c r="D429">
        <v>71.8</v>
      </c>
      <c r="E429">
        <v>75.06</v>
      </c>
      <c r="F429">
        <v>223615.47033000001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0.36116910229645127</v>
      </c>
      <c r="Q429">
        <f t="shared" si="975"/>
        <v>80762.998678684831</v>
      </c>
      <c r="R429">
        <f t="shared" si="976"/>
        <v>8888312.0392722804</v>
      </c>
      <c r="S429">
        <f t="shared" si="977"/>
        <v>88.883120392722802</v>
      </c>
      <c r="T429">
        <f t="shared" si="978"/>
        <v>8.8883120392722809E-2</v>
      </c>
    </row>
    <row r="430" spans="1:20" x14ac:dyDescent="0.25">
      <c r="A430" s="5">
        <v>44163</v>
      </c>
      <c r="B430">
        <v>69.55</v>
      </c>
      <c r="C430">
        <v>76.48</v>
      </c>
      <c r="D430">
        <v>68.88</v>
      </c>
      <c r="E430">
        <v>75.31</v>
      </c>
      <c r="F430">
        <v>312124.83153999998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0.69210526315789467</v>
      </c>
      <c r="Q430">
        <f t="shared" si="975"/>
        <v>216023.23867110524</v>
      </c>
      <c r="R430">
        <f t="shared" si="976"/>
        <v>8807549.0405935962</v>
      </c>
      <c r="S430">
        <f t="shared" si="977"/>
        <v>88.075490405935966</v>
      </c>
      <c r="T430">
        <f t="shared" si="978"/>
        <v>8.8075490405935972E-2</v>
      </c>
    </row>
    <row r="431" spans="1:20" x14ac:dyDescent="0.25">
      <c r="A431" s="5">
        <v>44162</v>
      </c>
      <c r="B431">
        <v>70.180000000000007</v>
      </c>
      <c r="C431">
        <v>71.34</v>
      </c>
      <c r="D431">
        <v>66</v>
      </c>
      <c r="E431">
        <v>69.5</v>
      </c>
      <c r="F431">
        <v>246789.61395999999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0.31086142322097293</v>
      </c>
      <c r="Q431">
        <f t="shared" si="975"/>
        <v>76717.370631760088</v>
      </c>
      <c r="R431">
        <f t="shared" si="976"/>
        <v>8591525.8019224908</v>
      </c>
      <c r="S431">
        <f t="shared" si="977"/>
        <v>85.915258019224908</v>
      </c>
      <c r="T431">
        <f t="shared" si="978"/>
        <v>8.5915258019224908E-2</v>
      </c>
    </row>
    <row r="432" spans="1:20" x14ac:dyDescent="0.25">
      <c r="A432" s="5">
        <v>44161</v>
      </c>
      <c r="B432">
        <v>78.06</v>
      </c>
      <c r="C432">
        <v>79.88</v>
      </c>
      <c r="D432">
        <v>63.42</v>
      </c>
      <c r="E432">
        <v>70.16</v>
      </c>
      <c r="F432">
        <v>901564.23103000002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-0.18104495747266131</v>
      </c>
      <c r="Q432">
        <f t="shared" si="975"/>
        <v>-163223.65786569894</v>
      </c>
      <c r="R432">
        <f t="shared" si="976"/>
        <v>8514808.4312907308</v>
      </c>
      <c r="S432">
        <f t="shared" si="977"/>
        <v>85.148084312907315</v>
      </c>
      <c r="T432">
        <f t="shared" si="978"/>
        <v>8.514808431290731E-2</v>
      </c>
    </row>
    <row r="433" spans="1:20" x14ac:dyDescent="0.25">
      <c r="A433" s="5">
        <v>44160</v>
      </c>
      <c r="B433">
        <v>86.81</v>
      </c>
      <c r="C433">
        <v>88.31</v>
      </c>
      <c r="D433">
        <v>75.2</v>
      </c>
      <c r="E433">
        <v>78.150000000000006</v>
      </c>
      <c r="F433">
        <v>728874.23828000005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-0.54996186117467538</v>
      </c>
      <c r="Q433">
        <f t="shared" si="975"/>
        <v>-400853.03264674265</v>
      </c>
      <c r="R433">
        <f t="shared" si="976"/>
        <v>8678032.0891564302</v>
      </c>
      <c r="S433">
        <f t="shared" si="977"/>
        <v>86.780320891564301</v>
      </c>
      <c r="T433">
        <f t="shared" si="978"/>
        <v>8.6780320891564303E-2</v>
      </c>
    </row>
    <row r="434" spans="1:20" x14ac:dyDescent="0.25">
      <c r="A434" s="5">
        <v>44159</v>
      </c>
      <c r="B434">
        <v>79.510000000000005</v>
      </c>
      <c r="C434">
        <v>90</v>
      </c>
      <c r="D434">
        <v>76.03</v>
      </c>
      <c r="E434">
        <v>86.8</v>
      </c>
      <c r="F434">
        <v>960693.04491000006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0.54187544738725801</v>
      </c>
      <c r="Q434">
        <f t="shared" si="975"/>
        <v>520575.97351243341</v>
      </c>
      <c r="R434">
        <f t="shared" si="976"/>
        <v>9078885.1218031738</v>
      </c>
      <c r="S434">
        <f t="shared" si="977"/>
        <v>90.788851218031738</v>
      </c>
      <c r="T434">
        <f t="shared" si="978"/>
        <v>9.0788851218031735E-2</v>
      </c>
    </row>
    <row r="435" spans="1:20" x14ac:dyDescent="0.25">
      <c r="A435" s="5">
        <v>44158</v>
      </c>
      <c r="B435">
        <v>68.8</v>
      </c>
      <c r="C435">
        <v>80.73</v>
      </c>
      <c r="D435">
        <v>67.400000000000006</v>
      </c>
      <c r="E435">
        <v>79.52</v>
      </c>
      <c r="F435">
        <v>671981.80046000006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0.8184546136534121</v>
      </c>
      <c r="Q435">
        <f t="shared" si="975"/>
        <v>549986.6048776136</v>
      </c>
      <c r="R435">
        <f t="shared" si="976"/>
        <v>8558309.1482907403</v>
      </c>
      <c r="S435">
        <f t="shared" si="977"/>
        <v>85.583091482907406</v>
      </c>
      <c r="T435">
        <f t="shared" si="978"/>
        <v>8.5583091482907409E-2</v>
      </c>
    </row>
    <row r="436" spans="1:20" x14ac:dyDescent="0.25">
      <c r="A436" s="5">
        <v>44157</v>
      </c>
      <c r="B436">
        <v>72.650000000000006</v>
      </c>
      <c r="C436">
        <v>73.989999999999995</v>
      </c>
      <c r="D436">
        <v>65.05</v>
      </c>
      <c r="E436">
        <v>68.790000000000006</v>
      </c>
      <c r="F436">
        <v>632768.77390999999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-0.16331096196867784</v>
      </c>
      <c r="Q436">
        <f t="shared" si="975"/>
        <v>-103338.07717098291</v>
      </c>
      <c r="R436">
        <f t="shared" si="976"/>
        <v>8008322.5434131268</v>
      </c>
      <c r="S436">
        <f t="shared" si="977"/>
        <v>80.083225434131265</v>
      </c>
      <c r="T436">
        <f t="shared" si="978"/>
        <v>8.0083225434131267E-2</v>
      </c>
    </row>
    <row r="437" spans="1:20" x14ac:dyDescent="0.25">
      <c r="A437" s="5">
        <v>44156</v>
      </c>
      <c r="B437">
        <v>63.2</v>
      </c>
      <c r="C437">
        <v>73</v>
      </c>
      <c r="D437">
        <v>62.4</v>
      </c>
      <c r="E437">
        <v>72.62</v>
      </c>
      <c r="F437">
        <v>700718.48441000003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0.92830188679245373</v>
      </c>
      <c r="Q437">
        <f t="shared" si="975"/>
        <v>650478.29118815158</v>
      </c>
      <c r="R437">
        <f t="shared" si="976"/>
        <v>8111660.6205841098</v>
      </c>
      <c r="S437">
        <f t="shared" si="977"/>
        <v>81.116606205841094</v>
      </c>
      <c r="T437">
        <f t="shared" si="978"/>
        <v>8.1116606205841088E-2</v>
      </c>
    </row>
    <row r="438" spans="1:20" x14ac:dyDescent="0.25">
      <c r="A438" s="5">
        <v>44155</v>
      </c>
      <c r="B438">
        <v>62.36</v>
      </c>
      <c r="C438">
        <v>64.599999999999994</v>
      </c>
      <c r="D438">
        <v>62.05</v>
      </c>
      <c r="E438">
        <v>63.23</v>
      </c>
      <c r="F438">
        <v>254819.12283000001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-7.4509803921567822E-2</v>
      </c>
      <c r="Q438">
        <f t="shared" si="975"/>
        <v>-18986.522877529205</v>
      </c>
      <c r="R438">
        <f t="shared" si="976"/>
        <v>7461182.3293959582</v>
      </c>
      <c r="S438">
        <f t="shared" si="977"/>
        <v>74.611823293959588</v>
      </c>
      <c r="T438">
        <f t="shared" si="978"/>
        <v>7.4611823293959587E-2</v>
      </c>
    </row>
    <row r="439" spans="1:20" x14ac:dyDescent="0.25">
      <c r="A439" s="5">
        <v>44154</v>
      </c>
      <c r="B439">
        <v>63.17</v>
      </c>
      <c r="C439">
        <v>64.040000000000006</v>
      </c>
      <c r="D439">
        <v>60.35</v>
      </c>
      <c r="E439">
        <v>62.38</v>
      </c>
      <c r="F439">
        <v>301306.22657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0.10027100271002627</v>
      </c>
      <c r="Q439">
        <f t="shared" si="975"/>
        <v>30212.277460948259</v>
      </c>
      <c r="R439">
        <f t="shared" si="976"/>
        <v>7480168.8522734875</v>
      </c>
      <c r="S439">
        <f t="shared" si="977"/>
        <v>74.801688522734878</v>
      </c>
      <c r="T439">
        <f t="shared" si="978"/>
        <v>7.4801688522734874E-2</v>
      </c>
    </row>
    <row r="440" spans="1:20" x14ac:dyDescent="0.25">
      <c r="A440" s="5">
        <v>44153</v>
      </c>
      <c r="B440">
        <v>66.8</v>
      </c>
      <c r="C440">
        <v>67.819999999999993</v>
      </c>
      <c r="D440">
        <v>60.17</v>
      </c>
      <c r="E440">
        <v>63.17</v>
      </c>
      <c r="F440">
        <v>459898.13902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-0.21568627450980304</v>
      </c>
      <c r="Q440">
        <f t="shared" si="975"/>
        <v>-99193.716259215289</v>
      </c>
      <c r="R440">
        <f t="shared" si="976"/>
        <v>7449956.5748125389</v>
      </c>
      <c r="S440">
        <f t="shared" si="977"/>
        <v>74.499565748125391</v>
      </c>
      <c r="T440">
        <f t="shared" si="978"/>
        <v>7.4499565748125385E-2</v>
      </c>
    </row>
    <row r="441" spans="1:20" x14ac:dyDescent="0.25">
      <c r="A441" s="5">
        <v>44152</v>
      </c>
      <c r="B441">
        <v>64.52</v>
      </c>
      <c r="C441">
        <v>67.11</v>
      </c>
      <c r="D441">
        <v>64.12</v>
      </c>
      <c r="E441">
        <v>66.819999999999993</v>
      </c>
      <c r="F441">
        <v>282115.00968999998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0.80602006688962757</v>
      </c>
      <c r="Q441">
        <f t="shared" si="975"/>
        <v>227390.35898090171</v>
      </c>
      <c r="R441">
        <f t="shared" si="976"/>
        <v>7549150.2910717539</v>
      </c>
      <c r="S441">
        <f t="shared" si="977"/>
        <v>75.491502910717543</v>
      </c>
      <c r="T441">
        <f t="shared" si="978"/>
        <v>7.5491502910717545E-2</v>
      </c>
    </row>
    <row r="442" spans="1:20" x14ac:dyDescent="0.25">
      <c r="A442" s="5">
        <v>44151</v>
      </c>
      <c r="B442">
        <v>61.13</v>
      </c>
      <c r="C442">
        <v>67.349999999999994</v>
      </c>
      <c r="D442">
        <v>60.53</v>
      </c>
      <c r="E442">
        <v>64.55</v>
      </c>
      <c r="F442">
        <v>336410.04638000001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0.17888563049853373</v>
      </c>
      <c r="Q442">
        <f t="shared" si="975"/>
        <v>60178.923252727276</v>
      </c>
      <c r="R442">
        <f t="shared" si="976"/>
        <v>7321759.9320908524</v>
      </c>
      <c r="S442">
        <f t="shared" si="977"/>
        <v>73.217599320908519</v>
      </c>
      <c r="T442">
        <f t="shared" si="978"/>
        <v>7.3217599320908516E-2</v>
      </c>
    </row>
    <row r="443" spans="1:20" x14ac:dyDescent="0.25">
      <c r="A443" s="5">
        <v>44150</v>
      </c>
      <c r="B443">
        <v>63.9</v>
      </c>
      <c r="C443">
        <v>64.25</v>
      </c>
      <c r="D443">
        <v>59.64</v>
      </c>
      <c r="E443">
        <v>61.16</v>
      </c>
      <c r="F443">
        <v>221477.80024000001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-0.34056399132321208</v>
      </c>
      <c r="Q443">
        <f t="shared" si="975"/>
        <v>-75427.36363921946</v>
      </c>
      <c r="R443">
        <f t="shared" si="976"/>
        <v>7261581.0088381255</v>
      </c>
      <c r="S443">
        <f t="shared" si="977"/>
        <v>72.615810088381252</v>
      </c>
      <c r="T443">
        <f t="shared" si="978"/>
        <v>7.261581008838125E-2</v>
      </c>
    </row>
    <row r="444" spans="1:20" x14ac:dyDescent="0.25">
      <c r="A444" s="5">
        <v>44149</v>
      </c>
      <c r="B444">
        <v>65.8</v>
      </c>
      <c r="C444">
        <v>65.88</v>
      </c>
      <c r="D444">
        <v>61.45</v>
      </c>
      <c r="E444">
        <v>63.9</v>
      </c>
      <c r="F444">
        <v>301856.23836000002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0.10609480812641076</v>
      </c>
      <c r="Q444">
        <f t="shared" si="975"/>
        <v>32025.37969056431</v>
      </c>
      <c r="R444">
        <f t="shared" si="976"/>
        <v>7337008.3724773452</v>
      </c>
      <c r="S444">
        <f t="shared" si="977"/>
        <v>73.370083724773451</v>
      </c>
      <c r="T444">
        <f t="shared" si="978"/>
        <v>7.3370083724773452E-2</v>
      </c>
    </row>
    <row r="445" spans="1:20" x14ac:dyDescent="0.25">
      <c r="A445" s="5">
        <v>44148</v>
      </c>
      <c r="B445">
        <v>62.99</v>
      </c>
      <c r="C445">
        <v>66.02</v>
      </c>
      <c r="D445">
        <v>61.64</v>
      </c>
      <c r="E445">
        <v>65.8</v>
      </c>
      <c r="F445">
        <v>322867.53700000001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0.89954337899543424</v>
      </c>
      <c r="Q445">
        <f t="shared" si="975"/>
        <v>290433.35520091339</v>
      </c>
      <c r="R445">
        <f t="shared" si="976"/>
        <v>7304982.9927867809</v>
      </c>
      <c r="S445">
        <f t="shared" si="977"/>
        <v>73.049829927867805</v>
      </c>
      <c r="T445">
        <f t="shared" si="978"/>
        <v>7.3049829927867807E-2</v>
      </c>
    </row>
    <row r="446" spans="1:20" x14ac:dyDescent="0.25">
      <c r="A446" s="5">
        <v>44147</v>
      </c>
      <c r="B446">
        <v>58.88</v>
      </c>
      <c r="C446">
        <v>63.41</v>
      </c>
      <c r="D446">
        <v>57.82</v>
      </c>
      <c r="E446">
        <v>62.99</v>
      </c>
      <c r="F446">
        <v>414669.94926999998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0.84973166368515385</v>
      </c>
      <c r="Q446">
        <f t="shared" si="975"/>
        <v>352358.18587343546</v>
      </c>
      <c r="R446">
        <f t="shared" si="976"/>
        <v>7014549.6375858672</v>
      </c>
      <c r="S446">
        <f t="shared" si="977"/>
        <v>70.14549637585867</v>
      </c>
      <c r="T446">
        <f t="shared" si="978"/>
        <v>7.0145496375858665E-2</v>
      </c>
    </row>
    <row r="447" spans="1:20" x14ac:dyDescent="0.25">
      <c r="A447" s="5">
        <v>44146</v>
      </c>
      <c r="B447">
        <v>59.07</v>
      </c>
      <c r="C447">
        <v>60.71</v>
      </c>
      <c r="D447">
        <v>58.53</v>
      </c>
      <c r="E447">
        <v>58.92</v>
      </c>
      <c r="F447">
        <v>172076.77395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-0.6422018348623848</v>
      </c>
      <c r="Q447">
        <f t="shared" si="975"/>
        <v>-110508.01996788982</v>
      </c>
      <c r="R447">
        <f t="shared" si="976"/>
        <v>6662191.4517124314</v>
      </c>
      <c r="S447">
        <f t="shared" si="977"/>
        <v>66.62191451712431</v>
      </c>
      <c r="T447">
        <f t="shared" si="978"/>
        <v>6.6621914517124306E-2</v>
      </c>
    </row>
    <row r="448" spans="1:20" x14ac:dyDescent="0.25">
      <c r="A448" s="5">
        <v>44145</v>
      </c>
      <c r="B448">
        <v>58.41</v>
      </c>
      <c r="C448">
        <v>62.5</v>
      </c>
      <c r="D448">
        <v>57.77</v>
      </c>
      <c r="E448">
        <v>59.06</v>
      </c>
      <c r="F448">
        <v>318622.74602999998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-0.45454545454545453</v>
      </c>
      <c r="Q448">
        <f t="shared" si="975"/>
        <v>-144828.52092272727</v>
      </c>
      <c r="R448">
        <f t="shared" si="976"/>
        <v>6772699.4716803208</v>
      </c>
      <c r="S448">
        <f t="shared" si="977"/>
        <v>67.726994716803205</v>
      </c>
      <c r="T448">
        <f t="shared" si="978"/>
        <v>6.7726994716803199E-2</v>
      </c>
    </row>
    <row r="449" spans="1:20" x14ac:dyDescent="0.25">
      <c r="A449" s="5">
        <v>44144</v>
      </c>
      <c r="B449">
        <v>60.57</v>
      </c>
      <c r="C449">
        <v>61.09</v>
      </c>
      <c r="D449">
        <v>55.73</v>
      </c>
      <c r="E449">
        <v>58.42</v>
      </c>
      <c r="F449">
        <v>251583.19344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3.7313432835826684E-3</v>
      </c>
      <c r="Q449">
        <f t="shared" si="975"/>
        <v>938.74325910462323</v>
      </c>
      <c r="R449">
        <f t="shared" si="976"/>
        <v>6917527.9926030478</v>
      </c>
      <c r="S449">
        <f t="shared" si="977"/>
        <v>69.175279926030484</v>
      </c>
      <c r="T449">
        <f t="shared" si="978"/>
        <v>6.9175279926030481E-2</v>
      </c>
    </row>
    <row r="450" spans="1:20" x14ac:dyDescent="0.25">
      <c r="A450" s="5">
        <v>44143</v>
      </c>
      <c r="B450">
        <v>57.39</v>
      </c>
      <c r="C450">
        <v>61.78</v>
      </c>
      <c r="D450">
        <v>56.78</v>
      </c>
      <c r="E450">
        <v>60.61</v>
      </c>
      <c r="F450">
        <v>144750.4981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0.53199999999999936</v>
      </c>
      <c r="Q450">
        <f t="shared" si="975"/>
        <v>77007.264989199903</v>
      </c>
      <c r="R450">
        <f t="shared" si="976"/>
        <v>6916589.2493439429</v>
      </c>
      <c r="S450">
        <f t="shared" si="977"/>
        <v>69.165892493439429</v>
      </c>
      <c r="T450">
        <f t="shared" si="978"/>
        <v>6.9165892493439435E-2</v>
      </c>
    </row>
    <row r="451" spans="1:20" x14ac:dyDescent="0.25">
      <c r="A451" s="5">
        <v>44142</v>
      </c>
      <c r="B451">
        <v>61.57</v>
      </c>
      <c r="C451">
        <v>62.89</v>
      </c>
      <c r="D451">
        <v>55.67</v>
      </c>
      <c r="E451">
        <v>57.4</v>
      </c>
      <c r="F451">
        <v>393181.29790000001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-0.52077562326869886</v>
      </c>
      <c r="Q451">
        <f t="shared" si="975"/>
        <v>-204759.23547146845</v>
      </c>
      <c r="R451">
        <f t="shared" si="976"/>
        <v>6839581.9843547428</v>
      </c>
      <c r="S451">
        <f t="shared" si="977"/>
        <v>68.395819843547429</v>
      </c>
      <c r="T451">
        <f t="shared" si="978"/>
        <v>6.8395819843547423E-2</v>
      </c>
    </row>
    <row r="452" spans="1:20" x14ac:dyDescent="0.25">
      <c r="A452" s="5">
        <v>44141</v>
      </c>
      <c r="B452">
        <v>56.71</v>
      </c>
      <c r="C452">
        <v>61.64</v>
      </c>
      <c r="D452">
        <v>56.31</v>
      </c>
      <c r="E452">
        <v>61.57</v>
      </c>
      <c r="F452">
        <v>283042.28898999997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0.97373358348968098</v>
      </c>
      <c r="Q452">
        <f t="shared" si="975"/>
        <v>275607.78233735455</v>
      </c>
      <c r="R452">
        <f t="shared" si="976"/>
        <v>7044341.2198262112</v>
      </c>
      <c r="S452">
        <f t="shared" si="977"/>
        <v>70.443412198262109</v>
      </c>
      <c r="T452">
        <f t="shared" si="978"/>
        <v>7.0443412198262112E-2</v>
      </c>
    </row>
    <row r="453" spans="1:20" x14ac:dyDescent="0.25">
      <c r="A453" s="5">
        <v>44140</v>
      </c>
      <c r="B453">
        <v>54.11</v>
      </c>
      <c r="C453">
        <v>57.46</v>
      </c>
      <c r="D453">
        <v>52.83</v>
      </c>
      <c r="E453">
        <v>56.69</v>
      </c>
      <c r="F453">
        <v>257735.43768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0.66738660907127312</v>
      </c>
      <c r="Q453">
        <f t="shared" si="975"/>
        <v>172009.17979075565</v>
      </c>
      <c r="R453">
        <f t="shared" si="976"/>
        <v>6768733.4374888567</v>
      </c>
      <c r="S453">
        <f t="shared" si="977"/>
        <v>67.687334374888565</v>
      </c>
      <c r="T453">
        <f t="shared" si="978"/>
        <v>6.7687334374888566E-2</v>
      </c>
    </row>
    <row r="454" spans="1:20" x14ac:dyDescent="0.25">
      <c r="A454" s="5">
        <v>44139</v>
      </c>
      <c r="B454">
        <v>53.21</v>
      </c>
      <c r="C454">
        <v>54.59</v>
      </c>
      <c r="D454">
        <v>51.91</v>
      </c>
      <c r="E454">
        <v>54.09</v>
      </c>
      <c r="F454">
        <v>184955.08141000001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0.62686567164179197</v>
      </c>
      <c r="Q454">
        <f t="shared" ref="Q454:Q517" si="980">F454*P454</f>
        <v>115941.99133164197</v>
      </c>
      <c r="R454">
        <f t="shared" ref="R454:R517" si="981">R455+Q454</f>
        <v>6596724.257698101</v>
      </c>
      <c r="S454">
        <f t="shared" ref="S454:S517" si="982">R454/100000</f>
        <v>65.967242576981008</v>
      </c>
      <c r="T454">
        <f t="shared" ref="T454:T517" si="983">S454/1000</f>
        <v>6.5967242576981014E-2</v>
      </c>
    </row>
    <row r="455" spans="1:20" x14ac:dyDescent="0.25">
      <c r="A455" s="5">
        <v>44138</v>
      </c>
      <c r="B455">
        <v>54.78</v>
      </c>
      <c r="C455">
        <v>54.96</v>
      </c>
      <c r="D455">
        <v>51.6</v>
      </c>
      <c r="E455">
        <v>53.2</v>
      </c>
      <c r="F455">
        <v>206052.69162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-4.761904761904661E-2</v>
      </c>
      <c r="Q455">
        <f t="shared" si="980"/>
        <v>-9812.0329342855057</v>
      </c>
      <c r="R455">
        <f t="shared" si="981"/>
        <v>6480782.2663664594</v>
      </c>
      <c r="S455">
        <f t="shared" si="982"/>
        <v>64.807822663664595</v>
      </c>
      <c r="T455">
        <f t="shared" si="983"/>
        <v>6.4807822663664597E-2</v>
      </c>
    </row>
    <row r="456" spans="1:20" x14ac:dyDescent="0.25">
      <c r="A456" s="5">
        <v>44137</v>
      </c>
      <c r="B456">
        <v>58.21</v>
      </c>
      <c r="C456">
        <v>59.3</v>
      </c>
      <c r="D456">
        <v>54.55</v>
      </c>
      <c r="E456">
        <v>54.77</v>
      </c>
      <c r="F456">
        <v>180991.50627000001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-0.90736842105262905</v>
      </c>
      <c r="Q456">
        <f t="shared" si="980"/>
        <v>-164225.97726814693</v>
      </c>
      <c r="R456">
        <f t="shared" si="981"/>
        <v>6490594.2993007451</v>
      </c>
      <c r="S456">
        <f t="shared" si="982"/>
        <v>64.905942993007457</v>
      </c>
      <c r="T456">
        <f t="shared" si="983"/>
        <v>6.4905942993007462E-2</v>
      </c>
    </row>
    <row r="457" spans="1:20" x14ac:dyDescent="0.25">
      <c r="A457" s="5">
        <v>44136</v>
      </c>
      <c r="B457">
        <v>58.16</v>
      </c>
      <c r="C457">
        <v>58.7</v>
      </c>
      <c r="D457">
        <v>57.15</v>
      </c>
      <c r="E457">
        <v>58.17</v>
      </c>
      <c r="F457">
        <v>111226.32965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0.31612903225806493</v>
      </c>
      <c r="Q457">
        <f t="shared" si="980"/>
        <v>35161.871953871014</v>
      </c>
      <c r="R457">
        <f t="shared" si="981"/>
        <v>6654820.2765688924</v>
      </c>
      <c r="S457">
        <f t="shared" si="982"/>
        <v>66.548202765688927</v>
      </c>
      <c r="T457">
        <f t="shared" si="983"/>
        <v>6.654820276568893E-2</v>
      </c>
    </row>
    <row r="458" spans="1:20" x14ac:dyDescent="0.25">
      <c r="A458" s="5">
        <v>44135</v>
      </c>
      <c r="B458">
        <v>58.21</v>
      </c>
      <c r="C458">
        <v>59.38</v>
      </c>
      <c r="D458">
        <v>57.31</v>
      </c>
      <c r="E458">
        <v>58.16</v>
      </c>
      <c r="F458">
        <v>149905.99137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-0.1787439613526626</v>
      </c>
      <c r="Q458">
        <f t="shared" si="980"/>
        <v>-26794.790727971853</v>
      </c>
      <c r="R458">
        <f t="shared" si="981"/>
        <v>6619658.4046150213</v>
      </c>
      <c r="S458">
        <f t="shared" si="982"/>
        <v>66.196584046150207</v>
      </c>
      <c r="T458">
        <f t="shared" si="983"/>
        <v>6.6196584046150211E-2</v>
      </c>
    </row>
    <row r="459" spans="1:20" x14ac:dyDescent="0.25">
      <c r="A459" s="5">
        <v>44134</v>
      </c>
      <c r="B459">
        <v>56.84</v>
      </c>
      <c r="C459">
        <v>59.78</v>
      </c>
      <c r="D459">
        <v>54.03</v>
      </c>
      <c r="E459">
        <v>58.21</v>
      </c>
      <c r="F459">
        <v>246568.31783000001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0.45391304347826078</v>
      </c>
      <c r="Q459">
        <f t="shared" si="980"/>
        <v>111920.57557153043</v>
      </c>
      <c r="R459">
        <f t="shared" si="981"/>
        <v>6646453.1953429934</v>
      </c>
      <c r="S459">
        <f t="shared" si="982"/>
        <v>66.46453195342994</v>
      </c>
      <c r="T459">
        <f t="shared" si="983"/>
        <v>6.6464531953429939E-2</v>
      </c>
    </row>
    <row r="460" spans="1:20" x14ac:dyDescent="0.25">
      <c r="A460" s="5">
        <v>44133</v>
      </c>
      <c r="B460">
        <v>56.79</v>
      </c>
      <c r="C460">
        <v>57.88</v>
      </c>
      <c r="D460">
        <v>54.53</v>
      </c>
      <c r="E460">
        <v>56.87</v>
      </c>
      <c r="F460">
        <v>189555.8553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0.39701492537313154</v>
      </c>
      <c r="Q460">
        <f t="shared" si="980"/>
        <v>75256.503745969618</v>
      </c>
      <c r="R460">
        <f t="shared" si="981"/>
        <v>6534532.6197714629</v>
      </c>
      <c r="S460">
        <f t="shared" si="982"/>
        <v>65.345326197714627</v>
      </c>
      <c r="T460">
        <f t="shared" si="983"/>
        <v>6.5345326197714632E-2</v>
      </c>
    </row>
    <row r="461" spans="1:20" x14ac:dyDescent="0.25">
      <c r="A461" s="5">
        <v>44132</v>
      </c>
      <c r="B461">
        <v>61.15</v>
      </c>
      <c r="C461">
        <v>61.58</v>
      </c>
      <c r="D461">
        <v>55.15</v>
      </c>
      <c r="E461">
        <v>56.8</v>
      </c>
      <c r="F461">
        <v>271428.52877999999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-0.48678071539657897</v>
      </c>
      <c r="Q461">
        <f t="shared" si="980"/>
        <v>-132126.17341856932</v>
      </c>
      <c r="R461">
        <f t="shared" si="981"/>
        <v>6459276.1160254935</v>
      </c>
      <c r="S461">
        <f t="shared" si="982"/>
        <v>64.592761160254938</v>
      </c>
      <c r="T461">
        <f t="shared" si="983"/>
        <v>6.4592761160254933E-2</v>
      </c>
    </row>
    <row r="462" spans="1:20" x14ac:dyDescent="0.25">
      <c r="A462" s="5">
        <v>44131</v>
      </c>
      <c r="B462">
        <v>60.2</v>
      </c>
      <c r="C462">
        <v>62.1</v>
      </c>
      <c r="D462">
        <v>59.86</v>
      </c>
      <c r="E462">
        <v>61.2</v>
      </c>
      <c r="F462">
        <v>175850.85420999999</v>
      </c>
      <c r="G462">
        <v>0</v>
      </c>
      <c r="L462" t="s">
        <v>7</v>
      </c>
      <c r="M462" t="s">
        <v>8</v>
      </c>
      <c r="N462" t="s">
        <v>8</v>
      </c>
      <c r="P462">
        <f t="shared" si="979"/>
        <v>0.19642857142857342</v>
      </c>
      <c r="Q462">
        <f t="shared" si="980"/>
        <v>34542.132076964634</v>
      </c>
      <c r="R462">
        <f t="shared" si="981"/>
        <v>6591402.2894440629</v>
      </c>
      <c r="S462">
        <f t="shared" si="982"/>
        <v>65.914022894440635</v>
      </c>
      <c r="T462">
        <f t="shared" si="983"/>
        <v>6.5914022894440635E-2</v>
      </c>
    </row>
    <row r="463" spans="1:20" x14ac:dyDescent="0.25">
      <c r="A463" s="5">
        <v>44130</v>
      </c>
      <c r="B463">
        <v>62.68</v>
      </c>
      <c r="C463">
        <v>63.82</v>
      </c>
      <c r="D463">
        <v>58.45</v>
      </c>
      <c r="E463">
        <v>60.2</v>
      </c>
      <c r="F463">
        <v>247258.60689</v>
      </c>
      <c r="G463">
        <v>0</v>
      </c>
      <c r="L463" t="s">
        <v>7</v>
      </c>
      <c r="M463" t="s">
        <v>8</v>
      </c>
      <c r="N463" t="s">
        <v>8</v>
      </c>
      <c r="P463">
        <f t="shared" si="979"/>
        <v>-0.34823091247672222</v>
      </c>
      <c r="Q463">
        <f t="shared" si="980"/>
        <v>-86103.090295027854</v>
      </c>
      <c r="R463">
        <f t="shared" si="981"/>
        <v>6556860.1573670981</v>
      </c>
      <c r="S463">
        <f t="shared" si="982"/>
        <v>65.568601573670975</v>
      </c>
      <c r="T463">
        <f t="shared" si="983"/>
        <v>6.5568601573670976E-2</v>
      </c>
    </row>
    <row r="464" spans="1:20" x14ac:dyDescent="0.25">
      <c r="A464" s="5">
        <v>44129</v>
      </c>
      <c r="B464">
        <v>64.16</v>
      </c>
      <c r="C464">
        <v>65.03</v>
      </c>
      <c r="D464">
        <v>61.92</v>
      </c>
      <c r="E464">
        <v>62.77</v>
      </c>
      <c r="F464">
        <v>151737.68369999999</v>
      </c>
      <c r="G464">
        <v>0</v>
      </c>
      <c r="L464" t="s">
        <v>8</v>
      </c>
      <c r="M464" t="s">
        <v>8</v>
      </c>
      <c r="N464" t="s">
        <v>8</v>
      </c>
      <c r="P464">
        <f t="shared" si="979"/>
        <v>-0.45337620578778032</v>
      </c>
      <c r="Q464">
        <f t="shared" si="980"/>
        <v>-68794.25531093232</v>
      </c>
      <c r="R464">
        <f t="shared" si="981"/>
        <v>6642963.2476621261</v>
      </c>
      <c r="S464">
        <f t="shared" si="982"/>
        <v>66.429632476621265</v>
      </c>
      <c r="T464">
        <f t="shared" si="983"/>
        <v>6.6429632476621259E-2</v>
      </c>
    </row>
    <row r="465" spans="1:20" x14ac:dyDescent="0.25">
      <c r="A465" s="5">
        <v>44128</v>
      </c>
      <c r="B465">
        <v>63.23</v>
      </c>
      <c r="C465">
        <v>65.650000000000006</v>
      </c>
      <c r="D465">
        <v>61.59</v>
      </c>
      <c r="E465">
        <v>64.14</v>
      </c>
      <c r="F465">
        <v>173358.37966000001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0.25615763546797821</v>
      </c>
      <c r="Q465">
        <f t="shared" si="980"/>
        <v>44407.072622265652</v>
      </c>
      <c r="R465">
        <f t="shared" si="981"/>
        <v>6711757.5029730583</v>
      </c>
      <c r="S465">
        <f t="shared" si="982"/>
        <v>67.117575029730588</v>
      </c>
      <c r="T465">
        <f t="shared" si="983"/>
        <v>6.7117575029730592E-2</v>
      </c>
    </row>
    <row r="466" spans="1:20" x14ac:dyDescent="0.25">
      <c r="A466" s="5">
        <v>44127</v>
      </c>
      <c r="B466">
        <v>65.52</v>
      </c>
      <c r="C466">
        <v>65.540000000000006</v>
      </c>
      <c r="D466">
        <v>60.68</v>
      </c>
      <c r="E466">
        <v>63.26</v>
      </c>
      <c r="F466">
        <v>221102.79978999999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6.1728395061726268E-2</v>
      </c>
      <c r="Q466">
        <f t="shared" si="980"/>
        <v>13648.320974690887</v>
      </c>
      <c r="R466">
        <f t="shared" si="981"/>
        <v>6667350.4303507926</v>
      </c>
      <c r="S466">
        <f t="shared" si="982"/>
        <v>66.673504303507926</v>
      </c>
      <c r="T466">
        <f t="shared" si="983"/>
        <v>6.6673504303507922E-2</v>
      </c>
    </row>
    <row r="467" spans="1:20" x14ac:dyDescent="0.25">
      <c r="A467" s="5">
        <v>44126</v>
      </c>
      <c r="B467">
        <v>62.67</v>
      </c>
      <c r="C467">
        <v>67.11</v>
      </c>
      <c r="D467">
        <v>62.6</v>
      </c>
      <c r="E467">
        <v>65.540000000000006</v>
      </c>
      <c r="F467">
        <v>262644.44968999998</v>
      </c>
      <c r="G467">
        <v>0</v>
      </c>
      <c r="L467" t="s">
        <v>8</v>
      </c>
      <c r="M467" t="s">
        <v>8</v>
      </c>
      <c r="N467" t="s">
        <v>8</v>
      </c>
      <c r="P467">
        <f t="shared" si="979"/>
        <v>0.30376940133037966</v>
      </c>
      <c r="Q467">
        <f t="shared" si="980"/>
        <v>79783.347245078316</v>
      </c>
      <c r="R467">
        <f t="shared" si="981"/>
        <v>6653702.1093761018</v>
      </c>
      <c r="S467">
        <f t="shared" si="982"/>
        <v>66.537021093761012</v>
      </c>
      <c r="T467">
        <f t="shared" si="983"/>
        <v>6.6537021093761015E-2</v>
      </c>
    </row>
    <row r="468" spans="1:20" x14ac:dyDescent="0.25">
      <c r="A468" s="5">
        <v>44125</v>
      </c>
      <c r="B468">
        <v>57.84</v>
      </c>
      <c r="C468">
        <v>64.760000000000005</v>
      </c>
      <c r="D468">
        <v>57.5</v>
      </c>
      <c r="E468">
        <v>62.72</v>
      </c>
      <c r="F468">
        <v>288370.95072999998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0.43801652892561849</v>
      </c>
      <c r="Q468">
        <f t="shared" si="980"/>
        <v>126311.24288173515</v>
      </c>
      <c r="R468">
        <f t="shared" si="981"/>
        <v>6573918.7621310232</v>
      </c>
      <c r="S468">
        <f t="shared" si="982"/>
        <v>65.739187621310236</v>
      </c>
      <c r="T468">
        <f t="shared" si="983"/>
        <v>6.573918762131023E-2</v>
      </c>
    </row>
    <row r="469" spans="1:20" x14ac:dyDescent="0.25">
      <c r="A469" s="5">
        <v>44124</v>
      </c>
      <c r="B469">
        <v>64.06</v>
      </c>
      <c r="C469">
        <v>65</v>
      </c>
      <c r="D469">
        <v>56.5</v>
      </c>
      <c r="E469">
        <v>57.85</v>
      </c>
      <c r="F469">
        <v>277810.39040999999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-0.68235294117647027</v>
      </c>
      <c r="Q469">
        <f t="shared" si="980"/>
        <v>-189564.73698564697</v>
      </c>
      <c r="R469">
        <f t="shared" si="981"/>
        <v>6447607.5192492884</v>
      </c>
      <c r="S469">
        <f t="shared" si="982"/>
        <v>64.476075192492885</v>
      </c>
      <c r="T469">
        <f t="shared" si="983"/>
        <v>6.447607519249289E-2</v>
      </c>
    </row>
    <row r="470" spans="1:20" x14ac:dyDescent="0.25">
      <c r="A470" s="5">
        <v>44123</v>
      </c>
      <c r="B470">
        <v>64.44</v>
      </c>
      <c r="C470">
        <v>65.599999999999994</v>
      </c>
      <c r="D470">
        <v>62</v>
      </c>
      <c r="E470">
        <v>64.08</v>
      </c>
      <c r="F470">
        <v>204675.80606</v>
      </c>
      <c r="G470">
        <v>0</v>
      </c>
      <c r="L470" t="s">
        <v>8</v>
      </c>
      <c r="M470" t="s">
        <v>7</v>
      </c>
      <c r="N470" t="s">
        <v>8</v>
      </c>
      <c r="P470">
        <f t="shared" si="979"/>
        <v>0.15555555555555645</v>
      </c>
      <c r="Q470">
        <f t="shared" si="980"/>
        <v>31838.458720444629</v>
      </c>
      <c r="R470">
        <f t="shared" si="981"/>
        <v>6637172.2562349355</v>
      </c>
      <c r="S470">
        <f t="shared" si="982"/>
        <v>66.371722562349362</v>
      </c>
      <c r="T470">
        <f t="shared" si="983"/>
        <v>6.6371722562349356E-2</v>
      </c>
    </row>
    <row r="471" spans="1:20" x14ac:dyDescent="0.25">
      <c r="A471" s="5">
        <v>44122</v>
      </c>
      <c r="B471">
        <v>62.97</v>
      </c>
      <c r="C471">
        <v>64.5</v>
      </c>
      <c r="D471">
        <v>62.5</v>
      </c>
      <c r="E471">
        <v>64.42</v>
      </c>
      <c r="F471">
        <v>101464.27639</v>
      </c>
      <c r="G471">
        <v>0</v>
      </c>
      <c r="L471" t="s">
        <v>7</v>
      </c>
      <c r="M471" t="s">
        <v>7</v>
      </c>
      <c r="N471" t="s">
        <v>8</v>
      </c>
      <c r="P471">
        <f t="shared" si="979"/>
        <v>0.92000000000000171</v>
      </c>
      <c r="Q471">
        <f t="shared" si="980"/>
        <v>93347.134278800178</v>
      </c>
      <c r="R471">
        <f t="shared" si="981"/>
        <v>6605333.7975144908</v>
      </c>
      <c r="S471">
        <f t="shared" si="982"/>
        <v>66.053337975144913</v>
      </c>
      <c r="T471">
        <f t="shared" si="983"/>
        <v>6.6053337975144913E-2</v>
      </c>
    </row>
    <row r="472" spans="1:20" x14ac:dyDescent="0.25">
      <c r="A472" s="5">
        <v>44121</v>
      </c>
      <c r="B472">
        <v>62.57</v>
      </c>
      <c r="C472">
        <v>63.47</v>
      </c>
      <c r="D472">
        <v>60.92</v>
      </c>
      <c r="E472">
        <v>62.99</v>
      </c>
      <c r="F472">
        <v>170841.02463999999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0.62352941176470789</v>
      </c>
      <c r="Q472">
        <f t="shared" si="980"/>
        <v>106524.40359905917</v>
      </c>
      <c r="R472">
        <f t="shared" si="981"/>
        <v>6511986.6632356904</v>
      </c>
      <c r="S472">
        <f t="shared" si="982"/>
        <v>65.119866632356903</v>
      </c>
      <c r="T472">
        <f t="shared" si="983"/>
        <v>6.5119866632356901E-2</v>
      </c>
    </row>
    <row r="473" spans="1:20" x14ac:dyDescent="0.25">
      <c r="A473" s="5">
        <v>44120</v>
      </c>
      <c r="B473">
        <v>68.239999999999995</v>
      </c>
      <c r="C473">
        <v>69.83</v>
      </c>
      <c r="D473">
        <v>60.83</v>
      </c>
      <c r="E473">
        <v>62.59</v>
      </c>
      <c r="F473">
        <v>382686.35475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-0.6088888888888877</v>
      </c>
      <c r="Q473">
        <f t="shared" si="980"/>
        <v>-233013.46933666622</v>
      </c>
      <c r="R473">
        <f t="shared" si="981"/>
        <v>6405462.2596366312</v>
      </c>
      <c r="S473">
        <f t="shared" si="982"/>
        <v>64.054622596366315</v>
      </c>
      <c r="T473">
        <f t="shared" si="983"/>
        <v>6.4054622596366309E-2</v>
      </c>
    </row>
    <row r="474" spans="1:20" x14ac:dyDescent="0.25">
      <c r="A474" s="5">
        <v>44119</v>
      </c>
      <c r="B474">
        <v>68.77</v>
      </c>
      <c r="C474">
        <v>68.790000000000006</v>
      </c>
      <c r="D474">
        <v>65.37</v>
      </c>
      <c r="E474">
        <v>68.239999999999995</v>
      </c>
      <c r="F474">
        <v>303582.74722000002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0.67836257309940873</v>
      </c>
      <c r="Q474">
        <f t="shared" si="980"/>
        <v>205939.17355274659</v>
      </c>
      <c r="R474">
        <f t="shared" si="981"/>
        <v>6638475.7289732974</v>
      </c>
      <c r="S474">
        <f t="shared" si="982"/>
        <v>66.384757289732974</v>
      </c>
      <c r="T474">
        <f t="shared" si="983"/>
        <v>6.6384757289732976E-2</v>
      </c>
    </row>
    <row r="475" spans="1:20" x14ac:dyDescent="0.25">
      <c r="A475" s="5">
        <v>44118</v>
      </c>
      <c r="B475">
        <v>70.09</v>
      </c>
      <c r="C475">
        <v>71.39</v>
      </c>
      <c r="D475">
        <v>67.19</v>
      </c>
      <c r="E475">
        <v>68.75</v>
      </c>
      <c r="F475">
        <v>219596.07983999999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-0.25714285714285656</v>
      </c>
      <c r="Q475">
        <f t="shared" si="980"/>
        <v>-56467.563387428439</v>
      </c>
      <c r="R475">
        <f t="shared" si="981"/>
        <v>6432536.5554205505</v>
      </c>
      <c r="S475">
        <f t="shared" si="982"/>
        <v>64.325365554205504</v>
      </c>
      <c r="T475">
        <f t="shared" si="983"/>
        <v>6.432536555420551E-2</v>
      </c>
    </row>
    <row r="476" spans="1:20" x14ac:dyDescent="0.25">
      <c r="A476" s="5">
        <v>44117</v>
      </c>
      <c r="B476">
        <v>72.900000000000006</v>
      </c>
      <c r="C476">
        <v>73.37</v>
      </c>
      <c r="D476">
        <v>68.33</v>
      </c>
      <c r="E476">
        <v>70.069999999999993</v>
      </c>
      <c r="F476">
        <v>272774.58646999998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-0.30952380952381242</v>
      </c>
      <c r="Q476">
        <f t="shared" si="980"/>
        <v>-84430.229145476973</v>
      </c>
      <c r="R476">
        <f t="shared" si="981"/>
        <v>6489004.1188079789</v>
      </c>
      <c r="S476">
        <f t="shared" si="982"/>
        <v>64.890041188079792</v>
      </c>
      <c r="T476">
        <f t="shared" si="983"/>
        <v>6.4890041188079797E-2</v>
      </c>
    </row>
    <row r="477" spans="1:20" x14ac:dyDescent="0.25">
      <c r="A477" s="5">
        <v>44116</v>
      </c>
      <c r="B477">
        <v>72.459999999999994</v>
      </c>
      <c r="C477">
        <v>75.75</v>
      </c>
      <c r="D477">
        <v>70.23</v>
      </c>
      <c r="E477">
        <v>72.930000000000007</v>
      </c>
      <c r="F477">
        <v>398286.09967000003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-2.1739130434780873E-2</v>
      </c>
      <c r="Q477">
        <f t="shared" si="980"/>
        <v>-8658.3934710862668</v>
      </c>
      <c r="R477">
        <f t="shared" si="981"/>
        <v>6573434.3479534555</v>
      </c>
      <c r="S477">
        <f t="shared" si="982"/>
        <v>65.734343479534559</v>
      </c>
      <c r="T477">
        <f t="shared" si="983"/>
        <v>6.5734343479534565E-2</v>
      </c>
    </row>
    <row r="478" spans="1:20" x14ac:dyDescent="0.25">
      <c r="A478" s="5">
        <v>44115</v>
      </c>
      <c r="B478">
        <v>66.760000000000005</v>
      </c>
      <c r="C478">
        <v>73.599999999999994</v>
      </c>
      <c r="D478">
        <v>66.34</v>
      </c>
      <c r="E478">
        <v>72.459999999999994</v>
      </c>
      <c r="F478">
        <v>408660.08299000002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0.68595041322313999</v>
      </c>
      <c r="Q478">
        <f t="shared" si="980"/>
        <v>280320.55279479321</v>
      </c>
      <c r="R478">
        <f t="shared" si="981"/>
        <v>6582092.7414245419</v>
      </c>
      <c r="S478">
        <f t="shared" si="982"/>
        <v>65.820927414245418</v>
      </c>
      <c r="T478">
        <f t="shared" si="983"/>
        <v>6.5820927414245417E-2</v>
      </c>
    </row>
    <row r="479" spans="1:20" x14ac:dyDescent="0.25">
      <c r="A479" s="5">
        <v>44114</v>
      </c>
      <c r="B479">
        <v>63.5</v>
      </c>
      <c r="C479">
        <v>67.77</v>
      </c>
      <c r="D479">
        <v>63.45</v>
      </c>
      <c r="E479">
        <v>66.790000000000006</v>
      </c>
      <c r="F479">
        <v>246236.40594999999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0.54629629629630028</v>
      </c>
      <c r="Q479">
        <f t="shared" si="980"/>
        <v>134518.03658379728</v>
      </c>
      <c r="R479">
        <f t="shared" si="981"/>
        <v>6301772.1886297483</v>
      </c>
      <c r="S479">
        <f t="shared" si="982"/>
        <v>63.01772188629748</v>
      </c>
      <c r="T479">
        <f t="shared" si="983"/>
        <v>6.3017721886297479E-2</v>
      </c>
    </row>
    <row r="480" spans="1:20" x14ac:dyDescent="0.25">
      <c r="A480" s="5">
        <v>44113</v>
      </c>
      <c r="B480">
        <v>61.98</v>
      </c>
      <c r="C480">
        <v>65.05</v>
      </c>
      <c r="D480">
        <v>60.2</v>
      </c>
      <c r="E480">
        <v>63.52</v>
      </c>
      <c r="F480">
        <v>258915.82694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0.36907216494845535</v>
      </c>
      <c r="Q480">
        <f t="shared" si="980"/>
        <v>95558.624788165398</v>
      </c>
      <c r="R480">
        <f t="shared" si="981"/>
        <v>6167254.1520459512</v>
      </c>
      <c r="S480">
        <f t="shared" si="982"/>
        <v>61.672541520459511</v>
      </c>
      <c r="T480">
        <f t="shared" si="983"/>
        <v>6.1672541520459513E-2</v>
      </c>
    </row>
    <row r="481" spans="1:20" x14ac:dyDescent="0.25">
      <c r="A481" s="5">
        <v>44112</v>
      </c>
      <c r="B481">
        <v>61.49</v>
      </c>
      <c r="C481">
        <v>63.39</v>
      </c>
      <c r="D481">
        <v>58.77</v>
      </c>
      <c r="E481">
        <v>61.99</v>
      </c>
      <c r="F481">
        <v>193793.52854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0.3939393939393942</v>
      </c>
      <c r="Q481">
        <f t="shared" si="980"/>
        <v>76342.905182424292</v>
      </c>
      <c r="R481">
        <f t="shared" si="981"/>
        <v>6071695.5272577861</v>
      </c>
      <c r="S481">
        <f t="shared" si="982"/>
        <v>60.716955272577863</v>
      </c>
      <c r="T481">
        <f t="shared" si="983"/>
        <v>6.0716955272577866E-2</v>
      </c>
    </row>
    <row r="482" spans="1:20" x14ac:dyDescent="0.25">
      <c r="A482" s="5">
        <v>44111</v>
      </c>
      <c r="B482">
        <v>61.44</v>
      </c>
      <c r="C482">
        <v>62.31</v>
      </c>
      <c r="D482">
        <v>59.51</v>
      </c>
      <c r="E482">
        <v>61.48</v>
      </c>
      <c r="F482">
        <v>171402.91055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0.4071428571428542</v>
      </c>
      <c r="Q482">
        <f t="shared" si="980"/>
        <v>69785.470723928069</v>
      </c>
      <c r="R482">
        <f t="shared" si="981"/>
        <v>5995352.6220753621</v>
      </c>
      <c r="S482">
        <f t="shared" si="982"/>
        <v>59.953526220753623</v>
      </c>
      <c r="T482">
        <f t="shared" si="983"/>
        <v>5.9953526220753624E-2</v>
      </c>
    </row>
    <row r="483" spans="1:20" x14ac:dyDescent="0.25">
      <c r="A483" s="5">
        <v>44110</v>
      </c>
      <c r="B483">
        <v>65.819999999999993</v>
      </c>
      <c r="C483">
        <v>66.3</v>
      </c>
      <c r="D483">
        <v>60.08</v>
      </c>
      <c r="E483">
        <v>61.48</v>
      </c>
      <c r="F483">
        <v>199666.40951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-0.54983922829582033</v>
      </c>
      <c r="Q483">
        <f t="shared" si="980"/>
        <v>-109784.42452157564</v>
      </c>
      <c r="R483">
        <f t="shared" si="981"/>
        <v>5925567.1513514342</v>
      </c>
      <c r="S483">
        <f t="shared" si="982"/>
        <v>59.255671513514343</v>
      </c>
      <c r="T483">
        <f t="shared" si="983"/>
        <v>5.9255671513514345E-2</v>
      </c>
    </row>
    <row r="484" spans="1:20" x14ac:dyDescent="0.25">
      <c r="A484" s="5">
        <v>44109</v>
      </c>
      <c r="B484">
        <v>63.11</v>
      </c>
      <c r="C484">
        <v>66.16</v>
      </c>
      <c r="D484">
        <v>61.76</v>
      </c>
      <c r="E484">
        <v>65.760000000000005</v>
      </c>
      <c r="F484">
        <v>159715.47042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0.81818181818182201</v>
      </c>
      <c r="Q484">
        <f t="shared" si="980"/>
        <v>130676.29398000061</v>
      </c>
      <c r="R484">
        <f t="shared" si="981"/>
        <v>6035351.5758730099</v>
      </c>
      <c r="S484">
        <f t="shared" si="982"/>
        <v>60.353515758730097</v>
      </c>
      <c r="T484">
        <f t="shared" si="983"/>
        <v>6.0353515758730096E-2</v>
      </c>
    </row>
    <row r="485" spans="1:20" x14ac:dyDescent="0.25">
      <c r="A485" s="5">
        <v>44108</v>
      </c>
      <c r="B485">
        <v>60.74</v>
      </c>
      <c r="C485">
        <v>63.53</v>
      </c>
      <c r="D485">
        <v>59.03</v>
      </c>
      <c r="E485">
        <v>63.12</v>
      </c>
      <c r="F485">
        <v>149322.46178000001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0.81777777777777616</v>
      </c>
      <c r="Q485">
        <f t="shared" si="980"/>
        <v>122112.59096675532</v>
      </c>
      <c r="R485">
        <f t="shared" si="981"/>
        <v>5904675.2818930093</v>
      </c>
      <c r="S485">
        <f t="shared" si="982"/>
        <v>59.046752818930095</v>
      </c>
      <c r="T485">
        <f t="shared" si="983"/>
        <v>5.9046752818930098E-2</v>
      </c>
    </row>
    <row r="486" spans="1:20" x14ac:dyDescent="0.25">
      <c r="A486" s="5">
        <v>44107</v>
      </c>
      <c r="B486">
        <v>63.86</v>
      </c>
      <c r="C486">
        <v>63.94</v>
      </c>
      <c r="D486">
        <v>60.45</v>
      </c>
      <c r="E486">
        <v>60.73</v>
      </c>
      <c r="F486">
        <v>175228.70236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-0.83954154727794017</v>
      </c>
      <c r="Q486">
        <f t="shared" si="980"/>
        <v>-147111.77590682005</v>
      </c>
      <c r="R486">
        <f t="shared" si="981"/>
        <v>5782562.6909262538</v>
      </c>
      <c r="S486">
        <f t="shared" si="982"/>
        <v>57.825626909262539</v>
      </c>
      <c r="T486">
        <f t="shared" si="983"/>
        <v>5.7825626909262538E-2</v>
      </c>
    </row>
    <row r="487" spans="1:20" x14ac:dyDescent="0.25">
      <c r="A487" s="5">
        <v>44106</v>
      </c>
      <c r="B487">
        <v>64.650000000000006</v>
      </c>
      <c r="C487">
        <v>66.52</v>
      </c>
      <c r="D487">
        <v>58.41</v>
      </c>
      <c r="E487">
        <v>63.85</v>
      </c>
      <c r="F487">
        <v>401879.68303000001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0.34155363748458822</v>
      </c>
      <c r="Q487">
        <f t="shared" si="980"/>
        <v>137263.46757004983</v>
      </c>
      <c r="R487">
        <f t="shared" si="981"/>
        <v>5929674.4668330736</v>
      </c>
      <c r="S487">
        <f t="shared" si="982"/>
        <v>59.296744668330739</v>
      </c>
      <c r="T487">
        <f t="shared" si="983"/>
        <v>5.9296744668330736E-2</v>
      </c>
    </row>
    <row r="488" spans="1:20" x14ac:dyDescent="0.25">
      <c r="A488" s="5">
        <v>44105</v>
      </c>
      <c r="B488">
        <v>64.099999999999994</v>
      </c>
      <c r="C488">
        <v>68.489999999999995</v>
      </c>
      <c r="D488">
        <v>61.87</v>
      </c>
      <c r="E488">
        <v>64.67</v>
      </c>
      <c r="F488">
        <v>406945.65071999998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-0.15407854984894098</v>
      </c>
      <c r="Q488">
        <f t="shared" si="980"/>
        <v>-62701.595730271241</v>
      </c>
      <c r="R488">
        <f t="shared" si="981"/>
        <v>5792410.999263024</v>
      </c>
      <c r="S488">
        <f t="shared" si="982"/>
        <v>57.924109992630243</v>
      </c>
      <c r="T488">
        <f t="shared" si="983"/>
        <v>5.7924109992630243E-2</v>
      </c>
    </row>
    <row r="489" spans="1:20" x14ac:dyDescent="0.25">
      <c r="A489" s="5">
        <v>44104</v>
      </c>
      <c r="B489">
        <v>61.26</v>
      </c>
      <c r="C489">
        <v>64.62</v>
      </c>
      <c r="D489">
        <v>59.54</v>
      </c>
      <c r="E489">
        <v>64.099999999999994</v>
      </c>
      <c r="F489">
        <v>214341.47177999999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0.79527559055117725</v>
      </c>
      <c r="Q489">
        <f t="shared" si="980"/>
        <v>170460.54054944799</v>
      </c>
      <c r="R489">
        <f t="shared" si="981"/>
        <v>5855112.5949932951</v>
      </c>
      <c r="S489">
        <f t="shared" si="982"/>
        <v>58.551125949932953</v>
      </c>
      <c r="T489">
        <f t="shared" si="983"/>
        <v>5.8551125949932954E-2</v>
      </c>
    </row>
    <row r="490" spans="1:20" x14ac:dyDescent="0.25">
      <c r="A490" s="5">
        <v>44103</v>
      </c>
      <c r="B490">
        <v>56.2</v>
      </c>
      <c r="C490">
        <v>62.3</v>
      </c>
      <c r="D490">
        <v>55.97</v>
      </c>
      <c r="E490">
        <v>61.25</v>
      </c>
      <c r="F490">
        <v>248650.62367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0.66824644549763113</v>
      </c>
      <c r="Q490">
        <f t="shared" si="980"/>
        <v>166159.89543824663</v>
      </c>
      <c r="R490">
        <f t="shared" si="981"/>
        <v>5684652.0544438474</v>
      </c>
      <c r="S490">
        <f t="shared" si="982"/>
        <v>56.846520544438476</v>
      </c>
      <c r="T490">
        <f t="shared" si="983"/>
        <v>5.6846520544438478E-2</v>
      </c>
    </row>
    <row r="491" spans="1:20" x14ac:dyDescent="0.25">
      <c r="A491" s="5">
        <v>44102</v>
      </c>
      <c r="B491">
        <v>55.56</v>
      </c>
      <c r="C491">
        <v>58.39</v>
      </c>
      <c r="D491">
        <v>55.54</v>
      </c>
      <c r="E491">
        <v>56.22</v>
      </c>
      <c r="F491">
        <v>199049.84797999999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-0.52280701754386005</v>
      </c>
      <c r="Q491">
        <f t="shared" si="980"/>
        <v>-104064.65736498253</v>
      </c>
      <c r="R491">
        <f t="shared" si="981"/>
        <v>5518492.159005601</v>
      </c>
      <c r="S491">
        <f t="shared" si="982"/>
        <v>55.184921590056007</v>
      </c>
      <c r="T491">
        <f t="shared" si="983"/>
        <v>5.5184921590056009E-2</v>
      </c>
    </row>
    <row r="492" spans="1:20" x14ac:dyDescent="0.25">
      <c r="A492" s="5">
        <v>44101</v>
      </c>
      <c r="B492">
        <v>56.18</v>
      </c>
      <c r="C492">
        <v>56.91</v>
      </c>
      <c r="D492">
        <v>53.7</v>
      </c>
      <c r="E492">
        <v>55.55</v>
      </c>
      <c r="F492">
        <v>141064.00211999999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0.15264797507788033</v>
      </c>
      <c r="Q492">
        <f t="shared" si="980"/>
        <v>21533.134279999816</v>
      </c>
      <c r="R492">
        <f t="shared" si="981"/>
        <v>5622556.8163705831</v>
      </c>
      <c r="S492">
        <f t="shared" si="982"/>
        <v>56.22556816370583</v>
      </c>
      <c r="T492">
        <f t="shared" si="983"/>
        <v>5.622556816370583E-2</v>
      </c>
    </row>
    <row r="493" spans="1:20" x14ac:dyDescent="0.25">
      <c r="A493" s="5">
        <v>44100</v>
      </c>
      <c r="B493">
        <v>54.87</v>
      </c>
      <c r="C493">
        <v>56.85</v>
      </c>
      <c r="D493">
        <v>54.01</v>
      </c>
      <c r="E493">
        <v>56.2</v>
      </c>
      <c r="F493">
        <v>120486.23364999999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0.54225352112676206</v>
      </c>
      <c r="Q493">
        <f t="shared" si="980"/>
        <v>65334.084444014261</v>
      </c>
      <c r="R493">
        <f t="shared" si="981"/>
        <v>5601023.6820905833</v>
      </c>
      <c r="S493">
        <f t="shared" si="982"/>
        <v>56.010236820905831</v>
      </c>
      <c r="T493">
        <f t="shared" si="983"/>
        <v>5.6010236820905834E-2</v>
      </c>
    </row>
    <row r="494" spans="1:20" x14ac:dyDescent="0.25">
      <c r="A494" s="5">
        <v>44099</v>
      </c>
      <c r="B494">
        <v>55.14</v>
      </c>
      <c r="C494">
        <v>55.97</v>
      </c>
      <c r="D494">
        <v>53.35</v>
      </c>
      <c r="E494">
        <v>54.87</v>
      </c>
      <c r="F494">
        <v>137930.71943999999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0.16030534351144848</v>
      </c>
      <c r="Q494">
        <f t="shared" si="980"/>
        <v>22111.031360610425</v>
      </c>
      <c r="R494">
        <f t="shared" si="981"/>
        <v>5535689.5976465689</v>
      </c>
      <c r="S494">
        <f t="shared" si="982"/>
        <v>55.356895976465687</v>
      </c>
      <c r="T494">
        <f t="shared" si="983"/>
        <v>5.5356895976465689E-2</v>
      </c>
    </row>
    <row r="495" spans="1:20" x14ac:dyDescent="0.25">
      <c r="A495" s="5">
        <v>44098</v>
      </c>
      <c r="B495">
        <v>51.85</v>
      </c>
      <c r="C495">
        <v>55.37</v>
      </c>
      <c r="D495">
        <v>51.17</v>
      </c>
      <c r="E495">
        <v>55.16</v>
      </c>
      <c r="F495">
        <v>158714.61483999999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0.89999999999999947</v>
      </c>
      <c r="Q495">
        <f t="shared" si="980"/>
        <v>142843.15335599991</v>
      </c>
      <c r="R495">
        <f t="shared" si="981"/>
        <v>5513578.5662859585</v>
      </c>
      <c r="S495">
        <f t="shared" si="982"/>
        <v>55.135785662859583</v>
      </c>
      <c r="T495">
        <f t="shared" si="983"/>
        <v>5.5135785662859579E-2</v>
      </c>
    </row>
    <row r="496" spans="1:20" x14ac:dyDescent="0.25">
      <c r="A496" s="5">
        <v>44097</v>
      </c>
      <c r="B496">
        <v>53.31</v>
      </c>
      <c r="C496">
        <v>53.86</v>
      </c>
      <c r="D496">
        <v>50.31</v>
      </c>
      <c r="E496">
        <v>51.84</v>
      </c>
      <c r="F496">
        <v>131560.72920999999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-0.13802816901408319</v>
      </c>
      <c r="Q496">
        <f t="shared" si="980"/>
        <v>-18159.08656701391</v>
      </c>
      <c r="R496">
        <f t="shared" si="981"/>
        <v>5370735.4129299587</v>
      </c>
      <c r="S496">
        <f t="shared" si="982"/>
        <v>53.707354129299588</v>
      </c>
      <c r="T496">
        <f t="shared" si="983"/>
        <v>5.3707354129299591E-2</v>
      </c>
    </row>
    <row r="497" spans="1:20" x14ac:dyDescent="0.25">
      <c r="A497" s="5">
        <v>44096</v>
      </c>
      <c r="B497">
        <v>51.62</v>
      </c>
      <c r="C497">
        <v>54.03</v>
      </c>
      <c r="D497">
        <v>51.14</v>
      </c>
      <c r="E497">
        <v>53.31</v>
      </c>
      <c r="F497">
        <v>138306.25818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0.50173010380622929</v>
      </c>
      <c r="Q497">
        <f t="shared" si="980"/>
        <v>69392.41327370255</v>
      </c>
      <c r="R497">
        <f t="shared" si="981"/>
        <v>5388894.4994969722</v>
      </c>
      <c r="S497">
        <f t="shared" si="982"/>
        <v>53.888944994969719</v>
      </c>
      <c r="T497">
        <f t="shared" si="983"/>
        <v>5.3888944994969719E-2</v>
      </c>
    </row>
    <row r="498" spans="1:20" x14ac:dyDescent="0.25">
      <c r="A498" s="5">
        <v>44095</v>
      </c>
      <c r="B498">
        <v>57.6</v>
      </c>
      <c r="C498">
        <v>58.5</v>
      </c>
      <c r="D498">
        <v>51.55</v>
      </c>
      <c r="E498">
        <v>51.63</v>
      </c>
      <c r="F498">
        <v>181717.39859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-0.97697841726618551</v>
      </c>
      <c r="Q498">
        <f t="shared" si="980"/>
        <v>-177533.97646418677</v>
      </c>
      <c r="R498">
        <f t="shared" si="981"/>
        <v>5319502.0862232698</v>
      </c>
      <c r="S498">
        <f t="shared" si="982"/>
        <v>53.195020862232695</v>
      </c>
      <c r="T498">
        <f t="shared" si="983"/>
        <v>5.3195020862232698E-2</v>
      </c>
    </row>
    <row r="499" spans="1:20" x14ac:dyDescent="0.25">
      <c r="A499" s="5">
        <v>44094</v>
      </c>
      <c r="B499">
        <v>57.97</v>
      </c>
      <c r="C499">
        <v>58.17</v>
      </c>
      <c r="D499">
        <v>55.17</v>
      </c>
      <c r="E499">
        <v>57.6</v>
      </c>
      <c r="F499">
        <v>179309.58210999999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0.61999999999999977</v>
      </c>
      <c r="Q499">
        <f t="shared" si="980"/>
        <v>111171.94090819995</v>
      </c>
      <c r="R499">
        <f t="shared" si="981"/>
        <v>5497036.0626874566</v>
      </c>
      <c r="S499">
        <f t="shared" si="982"/>
        <v>54.970360626874566</v>
      </c>
      <c r="T499">
        <f t="shared" si="983"/>
        <v>5.4970360626874569E-2</v>
      </c>
    </row>
    <row r="500" spans="1:20" x14ac:dyDescent="0.25">
      <c r="A500" s="5">
        <v>44093</v>
      </c>
      <c r="B500">
        <v>57.89</v>
      </c>
      <c r="C500">
        <v>59.33</v>
      </c>
      <c r="D500">
        <v>57.3</v>
      </c>
      <c r="E500">
        <v>57.97</v>
      </c>
      <c r="F500">
        <v>108482.12058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-0.33990147783251101</v>
      </c>
      <c r="Q500">
        <f t="shared" si="980"/>
        <v>-36873.233103546656</v>
      </c>
      <c r="R500">
        <f t="shared" si="981"/>
        <v>5385864.1217792565</v>
      </c>
      <c r="S500">
        <f t="shared" si="982"/>
        <v>53.858641217792567</v>
      </c>
      <c r="T500">
        <f t="shared" si="983"/>
        <v>5.3858641217792567E-2</v>
      </c>
    </row>
    <row r="501" spans="1:20" x14ac:dyDescent="0.25">
      <c r="A501" s="5">
        <v>44092</v>
      </c>
      <c r="B501">
        <v>59.65</v>
      </c>
      <c r="C501">
        <v>59.92</v>
      </c>
      <c r="D501">
        <v>57.05</v>
      </c>
      <c r="E501">
        <v>57.9</v>
      </c>
      <c r="F501">
        <v>136403.51744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-0.40766550522648076</v>
      </c>
      <c r="Q501">
        <f t="shared" si="980"/>
        <v>-55607.00885184668</v>
      </c>
      <c r="R501">
        <f t="shared" si="981"/>
        <v>5422737.3548828028</v>
      </c>
      <c r="S501">
        <f t="shared" si="982"/>
        <v>54.227373548828027</v>
      </c>
      <c r="T501">
        <f t="shared" si="983"/>
        <v>5.4227373548828027E-2</v>
      </c>
    </row>
    <row r="502" spans="1:20" x14ac:dyDescent="0.25">
      <c r="A502" s="5">
        <v>44091</v>
      </c>
      <c r="B502">
        <v>58.35</v>
      </c>
      <c r="C502">
        <v>60.03</v>
      </c>
      <c r="D502">
        <v>57.38</v>
      </c>
      <c r="E502">
        <v>59.65</v>
      </c>
      <c r="F502">
        <v>142090.02481999999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0.71320754716980928</v>
      </c>
      <c r="Q502">
        <f t="shared" si="980"/>
        <v>101339.67807916952</v>
      </c>
      <c r="R502">
        <f t="shared" si="981"/>
        <v>5478344.3637346495</v>
      </c>
      <c r="S502">
        <f t="shared" si="982"/>
        <v>54.783443637346494</v>
      </c>
      <c r="T502">
        <f t="shared" si="983"/>
        <v>5.4783443637346496E-2</v>
      </c>
    </row>
    <row r="503" spans="1:20" x14ac:dyDescent="0.25">
      <c r="A503" s="5">
        <v>44090</v>
      </c>
      <c r="B503">
        <v>59.37</v>
      </c>
      <c r="C503">
        <v>59.44</v>
      </c>
      <c r="D503">
        <v>56.89</v>
      </c>
      <c r="E503">
        <v>58.34</v>
      </c>
      <c r="F503">
        <v>224350.22099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0.13725490196078782</v>
      </c>
      <c r="Q503">
        <f t="shared" si="980"/>
        <v>30793.167586863532</v>
      </c>
      <c r="R503">
        <f t="shared" si="981"/>
        <v>5377004.6856554803</v>
      </c>
      <c r="S503">
        <f t="shared" si="982"/>
        <v>53.770046856554799</v>
      </c>
      <c r="T503">
        <f t="shared" si="983"/>
        <v>5.3770046856554801E-2</v>
      </c>
    </row>
    <row r="504" spans="1:20" x14ac:dyDescent="0.25">
      <c r="A504" s="5">
        <v>44089</v>
      </c>
      <c r="B504">
        <v>63.24</v>
      </c>
      <c r="C504">
        <v>65</v>
      </c>
      <c r="D504">
        <v>58.68</v>
      </c>
      <c r="E504">
        <v>59.4</v>
      </c>
      <c r="F504">
        <v>190500.29798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-0.77215189873417756</v>
      </c>
      <c r="Q504">
        <f t="shared" si="980"/>
        <v>-147095.16679468361</v>
      </c>
      <c r="R504">
        <f t="shared" si="981"/>
        <v>5346211.5180686163</v>
      </c>
      <c r="S504">
        <f t="shared" si="982"/>
        <v>53.462115180686162</v>
      </c>
      <c r="T504">
        <f t="shared" si="983"/>
        <v>5.3462115180686165E-2</v>
      </c>
    </row>
    <row r="505" spans="1:20" x14ac:dyDescent="0.25">
      <c r="A505" s="5">
        <v>44088</v>
      </c>
      <c r="B505">
        <v>62.54</v>
      </c>
      <c r="C505">
        <v>64.290000000000006</v>
      </c>
      <c r="D505">
        <v>60.8</v>
      </c>
      <c r="E505">
        <v>63.28</v>
      </c>
      <c r="F505">
        <v>144946.79814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0.42120343839541408</v>
      </c>
      <c r="Q505">
        <f t="shared" si="980"/>
        <v>61052.089760974006</v>
      </c>
      <c r="R505">
        <f t="shared" si="981"/>
        <v>5493306.6848633001</v>
      </c>
      <c r="S505">
        <f t="shared" si="982"/>
        <v>54.933066848633004</v>
      </c>
      <c r="T505">
        <f t="shared" si="983"/>
        <v>5.4933066848633007E-2</v>
      </c>
    </row>
    <row r="506" spans="1:20" x14ac:dyDescent="0.25">
      <c r="A506" s="5">
        <v>44087</v>
      </c>
      <c r="B506">
        <v>65.7</v>
      </c>
      <c r="C506">
        <v>66.31</v>
      </c>
      <c r="D506">
        <v>60.93</v>
      </c>
      <c r="E506">
        <v>62.54</v>
      </c>
      <c r="F506">
        <v>203598.27765999999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-0.40148698884758416</v>
      </c>
      <c r="Q506">
        <f t="shared" si="980"/>
        <v>-81742.059432267764</v>
      </c>
      <c r="R506">
        <f t="shared" si="981"/>
        <v>5432254.595102326</v>
      </c>
      <c r="S506">
        <f t="shared" si="982"/>
        <v>54.322545951023258</v>
      </c>
      <c r="T506">
        <f t="shared" si="983"/>
        <v>5.432254595102326E-2</v>
      </c>
    </row>
    <row r="507" spans="1:20" x14ac:dyDescent="0.25">
      <c r="A507" s="5">
        <v>44086</v>
      </c>
      <c r="B507">
        <v>63.32</v>
      </c>
      <c r="C507">
        <v>66.98</v>
      </c>
      <c r="D507">
        <v>62.12</v>
      </c>
      <c r="E507">
        <v>65.680000000000007</v>
      </c>
      <c r="F507">
        <v>231042.27450999999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0.46502057613168912</v>
      </c>
      <c r="Q507">
        <f t="shared" si="980"/>
        <v>107439.41160341607</v>
      </c>
      <c r="R507">
        <f t="shared" si="981"/>
        <v>5513996.6545345942</v>
      </c>
      <c r="S507">
        <f t="shared" si="982"/>
        <v>55.139966545345942</v>
      </c>
      <c r="T507">
        <f t="shared" si="983"/>
        <v>5.5139966545345941E-2</v>
      </c>
    </row>
    <row r="508" spans="1:20" x14ac:dyDescent="0.25">
      <c r="A508" s="5">
        <v>44085</v>
      </c>
      <c r="B508">
        <v>62.07</v>
      </c>
      <c r="C508">
        <v>63.87</v>
      </c>
      <c r="D508">
        <v>58.69</v>
      </c>
      <c r="E508">
        <v>63.32</v>
      </c>
      <c r="F508">
        <v>264786.50906000001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0.78764478764478874</v>
      </c>
      <c r="Q508">
        <f t="shared" si="980"/>
        <v>208557.71369976865</v>
      </c>
      <c r="R508">
        <f t="shared" si="981"/>
        <v>5406557.2429311778</v>
      </c>
      <c r="S508">
        <f t="shared" si="982"/>
        <v>54.065572429311779</v>
      </c>
      <c r="T508">
        <f t="shared" si="983"/>
        <v>5.406557242931178E-2</v>
      </c>
    </row>
    <row r="509" spans="1:20" x14ac:dyDescent="0.25">
      <c r="A509" s="5">
        <v>44084</v>
      </c>
      <c r="B509">
        <v>59.93</v>
      </c>
      <c r="C509">
        <v>62.83</v>
      </c>
      <c r="D509">
        <v>59.7</v>
      </c>
      <c r="E509">
        <v>62.07</v>
      </c>
      <c r="F509">
        <v>224790.91893000001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0.5143769968051124</v>
      </c>
      <c r="Q509">
        <f t="shared" si="980"/>
        <v>115627.27778827489</v>
      </c>
      <c r="R509">
        <f t="shared" si="981"/>
        <v>5197999.5292314095</v>
      </c>
      <c r="S509">
        <f t="shared" si="982"/>
        <v>51.979995292314094</v>
      </c>
      <c r="T509">
        <f t="shared" si="983"/>
        <v>5.1979995292314091E-2</v>
      </c>
    </row>
    <row r="510" spans="1:20" x14ac:dyDescent="0.25">
      <c r="A510" s="5">
        <v>44083</v>
      </c>
      <c r="B510">
        <v>58.63</v>
      </c>
      <c r="C510">
        <v>61.41</v>
      </c>
      <c r="D510">
        <v>57.35</v>
      </c>
      <c r="E510">
        <v>59.92</v>
      </c>
      <c r="F510">
        <v>184798.92524000001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0.26600985221675044</v>
      </c>
      <c r="Q510">
        <f t="shared" si="980"/>
        <v>49158.334792906717</v>
      </c>
      <c r="R510">
        <f t="shared" si="981"/>
        <v>5082372.2514431346</v>
      </c>
      <c r="S510">
        <f t="shared" si="982"/>
        <v>50.823722514431346</v>
      </c>
      <c r="T510">
        <f t="shared" si="983"/>
        <v>5.0823722514431346E-2</v>
      </c>
    </row>
    <row r="511" spans="1:20" x14ac:dyDescent="0.25">
      <c r="A511" s="5">
        <v>44082</v>
      </c>
      <c r="B511">
        <v>61.86</v>
      </c>
      <c r="C511">
        <v>64.34</v>
      </c>
      <c r="D511">
        <v>56.72</v>
      </c>
      <c r="E511">
        <v>58.69</v>
      </c>
      <c r="F511">
        <v>424574.39987000002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-0.48293963254593236</v>
      </c>
      <c r="Q511">
        <f t="shared" si="980"/>
        <v>-205043.80466162757</v>
      </c>
      <c r="R511">
        <f t="shared" si="981"/>
        <v>5033213.9166502282</v>
      </c>
      <c r="S511">
        <f t="shared" si="982"/>
        <v>50.33213916650228</v>
      </c>
      <c r="T511">
        <f t="shared" si="983"/>
        <v>5.0332139166502282E-2</v>
      </c>
    </row>
    <row r="512" spans="1:20" x14ac:dyDescent="0.25">
      <c r="A512" s="5">
        <v>44081</v>
      </c>
      <c r="B512">
        <v>58.9</v>
      </c>
      <c r="C512">
        <v>63.15</v>
      </c>
      <c r="D512">
        <v>55.14</v>
      </c>
      <c r="E512">
        <v>61.86</v>
      </c>
      <c r="F512">
        <v>434788.88779000001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0.67790262172284654</v>
      </c>
      <c r="Q512">
        <f t="shared" si="980"/>
        <v>294744.52692880156</v>
      </c>
      <c r="R512">
        <f t="shared" si="981"/>
        <v>5238257.7213118561</v>
      </c>
      <c r="S512">
        <f t="shared" si="982"/>
        <v>52.382577213118559</v>
      </c>
      <c r="T512">
        <f t="shared" si="983"/>
        <v>5.2382577213118557E-2</v>
      </c>
    </row>
    <row r="513" spans="1:20" x14ac:dyDescent="0.25">
      <c r="A513" s="5">
        <v>44080</v>
      </c>
      <c r="B513">
        <v>56</v>
      </c>
      <c r="C513">
        <v>60.25</v>
      </c>
      <c r="D513">
        <v>54.52</v>
      </c>
      <c r="E513">
        <v>58.92</v>
      </c>
      <c r="F513">
        <v>405333.98147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0.53577661431064605</v>
      </c>
      <c r="Q513">
        <f t="shared" si="980"/>
        <v>217168.46825705073</v>
      </c>
      <c r="R513">
        <f t="shared" si="981"/>
        <v>4943513.194383055</v>
      </c>
      <c r="S513">
        <f t="shared" si="982"/>
        <v>49.435131943830548</v>
      </c>
      <c r="T513">
        <f t="shared" si="983"/>
        <v>4.9435131943830549E-2</v>
      </c>
    </row>
    <row r="514" spans="1:20" x14ac:dyDescent="0.25">
      <c r="A514" s="5">
        <v>44079</v>
      </c>
      <c r="B514">
        <v>59.65</v>
      </c>
      <c r="C514">
        <v>60.81</v>
      </c>
      <c r="D514">
        <v>51.5</v>
      </c>
      <c r="E514">
        <v>55.98</v>
      </c>
      <c r="F514">
        <v>472037.97664000001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-3.7593984962406922E-2</v>
      </c>
      <c r="Q514">
        <f t="shared" si="980"/>
        <v>-17745.78859548915</v>
      </c>
      <c r="R514">
        <f t="shared" si="981"/>
        <v>4726344.726126004</v>
      </c>
      <c r="S514">
        <f t="shared" si="982"/>
        <v>47.26344726126004</v>
      </c>
      <c r="T514">
        <f t="shared" si="983"/>
        <v>4.7263447261260041E-2</v>
      </c>
    </row>
    <row r="515" spans="1:20" x14ac:dyDescent="0.25">
      <c r="A515" s="5">
        <v>44078</v>
      </c>
      <c r="B515">
        <v>56.76</v>
      </c>
      <c r="C515">
        <v>61.57</v>
      </c>
      <c r="D515">
        <v>53.69</v>
      </c>
      <c r="E515">
        <v>59.64</v>
      </c>
      <c r="F515">
        <v>625991.10175999999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0.51015228426395964</v>
      </c>
      <c r="Q515">
        <f t="shared" si="980"/>
        <v>319350.79049177683</v>
      </c>
      <c r="R515">
        <f t="shared" si="981"/>
        <v>4744090.5147214932</v>
      </c>
      <c r="S515">
        <f t="shared" si="982"/>
        <v>47.440905147214934</v>
      </c>
      <c r="T515">
        <f t="shared" si="983"/>
        <v>4.7440905147214933E-2</v>
      </c>
    </row>
    <row r="516" spans="1:20" x14ac:dyDescent="0.25">
      <c r="A516" s="5">
        <v>44077</v>
      </c>
      <c r="B516">
        <v>75.88</v>
      </c>
      <c r="C516">
        <v>76.36</v>
      </c>
      <c r="D516">
        <v>50.56</v>
      </c>
      <c r="E516">
        <v>56.77</v>
      </c>
      <c r="F516">
        <v>616897.20270999998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-0.51860465116279053</v>
      </c>
      <c r="Q516">
        <f t="shared" si="980"/>
        <v>-319925.75861472083</v>
      </c>
      <c r="R516">
        <f t="shared" si="981"/>
        <v>4424739.7242297167</v>
      </c>
      <c r="S516">
        <f t="shared" si="982"/>
        <v>44.247397242297168</v>
      </c>
      <c r="T516">
        <f t="shared" si="983"/>
        <v>4.4247397242297169E-2</v>
      </c>
    </row>
    <row r="517" spans="1:20" x14ac:dyDescent="0.25">
      <c r="A517" s="5">
        <v>44076</v>
      </c>
      <c r="B517">
        <v>83.16</v>
      </c>
      <c r="C517">
        <v>84.69</v>
      </c>
      <c r="D517">
        <v>71.87</v>
      </c>
      <c r="E517">
        <v>75.900000000000006</v>
      </c>
      <c r="F517">
        <v>313861.20843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-0.37129485179407123</v>
      </c>
      <c r="Q517">
        <f t="shared" si="980"/>
        <v>-116535.05086792495</v>
      </c>
      <c r="R517">
        <f t="shared" si="981"/>
        <v>4744665.4828444375</v>
      </c>
      <c r="S517">
        <f t="shared" si="982"/>
        <v>47.446654828444373</v>
      </c>
      <c r="T517">
        <f t="shared" si="983"/>
        <v>4.7446654828444373E-2</v>
      </c>
    </row>
    <row r="518" spans="1:20" x14ac:dyDescent="0.25">
      <c r="A518" s="5">
        <v>44075</v>
      </c>
      <c r="B518">
        <v>78.28</v>
      </c>
      <c r="C518">
        <v>85.98</v>
      </c>
      <c r="D518">
        <v>77.45</v>
      </c>
      <c r="E518">
        <v>83.17</v>
      </c>
      <c r="F518">
        <v>328788.34234999999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0.3411488862837041</v>
      </c>
      <c r="Q518">
        <f t="shared" ref="Q518:Q581" si="985">F518*P518</f>
        <v>112165.77681576772</v>
      </c>
      <c r="R518">
        <f t="shared" ref="R518:R581" si="986">R519+Q518</f>
        <v>4861200.5337123629</v>
      </c>
      <c r="S518">
        <f t="shared" ref="S518:S581" si="987">R518/100000</f>
        <v>48.612005337123627</v>
      </c>
      <c r="T518">
        <f t="shared" ref="T518:T581" si="988">S518/1000</f>
        <v>4.8612005337123627E-2</v>
      </c>
    </row>
    <row r="519" spans="1:20" x14ac:dyDescent="0.25">
      <c r="A519" s="5">
        <v>44074</v>
      </c>
      <c r="B519">
        <v>81.14</v>
      </c>
      <c r="C519">
        <v>81.61</v>
      </c>
      <c r="D519">
        <v>77.23</v>
      </c>
      <c r="E519">
        <v>78.290000000000006</v>
      </c>
      <c r="F519">
        <v>171079.73877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-0.51598173515981582</v>
      </c>
      <c r="Q519">
        <f t="shared" si="985"/>
        <v>-88274.02046123262</v>
      </c>
      <c r="R519">
        <f t="shared" si="986"/>
        <v>4749034.7568965955</v>
      </c>
      <c r="S519">
        <f t="shared" si="987"/>
        <v>47.490347568965952</v>
      </c>
      <c r="T519">
        <f t="shared" si="988"/>
        <v>4.7490347568965953E-2</v>
      </c>
    </row>
    <row r="520" spans="1:20" x14ac:dyDescent="0.25">
      <c r="A520" s="5">
        <v>44073</v>
      </c>
      <c r="B520">
        <v>78.66</v>
      </c>
      <c r="C520">
        <v>82.48</v>
      </c>
      <c r="D520">
        <v>77.989999999999995</v>
      </c>
      <c r="E520">
        <v>81.11</v>
      </c>
      <c r="F520">
        <v>235604.66685000001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0.38975501113585664</v>
      </c>
      <c r="Q520">
        <f t="shared" si="985"/>
        <v>91828.099551781546</v>
      </c>
      <c r="R520">
        <f t="shared" si="986"/>
        <v>4837308.7773578279</v>
      </c>
      <c r="S520">
        <f t="shared" si="987"/>
        <v>48.373087773578277</v>
      </c>
      <c r="T520">
        <f t="shared" si="988"/>
        <v>4.837308777357828E-2</v>
      </c>
    </row>
    <row r="521" spans="1:20" x14ac:dyDescent="0.25">
      <c r="A521" s="5">
        <v>44072</v>
      </c>
      <c r="B521">
        <v>76.2</v>
      </c>
      <c r="C521">
        <v>80.73</v>
      </c>
      <c r="D521">
        <v>74.92</v>
      </c>
      <c r="E521">
        <v>78.680000000000007</v>
      </c>
      <c r="F521">
        <v>189400.87742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0.29432013769363291</v>
      </c>
      <c r="Q521">
        <f t="shared" si="985"/>
        <v>55744.492321549289</v>
      </c>
      <c r="R521">
        <f t="shared" si="986"/>
        <v>4745480.6778060468</v>
      </c>
      <c r="S521">
        <f t="shared" si="987"/>
        <v>47.454806778060465</v>
      </c>
      <c r="T521">
        <f t="shared" si="988"/>
        <v>4.7454806778060465E-2</v>
      </c>
    </row>
    <row r="522" spans="1:20" x14ac:dyDescent="0.25">
      <c r="A522" s="5">
        <v>44071</v>
      </c>
      <c r="B522">
        <v>72.19</v>
      </c>
      <c r="C522">
        <v>77.069999999999993</v>
      </c>
      <c r="D522">
        <v>71</v>
      </c>
      <c r="E522">
        <v>76.239999999999995</v>
      </c>
      <c r="F522">
        <v>240097.83572999999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0.72652388797364109</v>
      </c>
      <c r="Q522">
        <f t="shared" si="985"/>
        <v>174436.81310861619</v>
      </c>
      <c r="R522">
        <f t="shared" si="986"/>
        <v>4689736.1854844978</v>
      </c>
      <c r="S522">
        <f t="shared" si="987"/>
        <v>46.897361854844981</v>
      </c>
      <c r="T522">
        <f t="shared" si="988"/>
        <v>4.6897361854844978E-2</v>
      </c>
    </row>
    <row r="523" spans="1:20" x14ac:dyDescent="0.25">
      <c r="A523" s="5">
        <v>44070</v>
      </c>
      <c r="B523">
        <v>74.989999999999995</v>
      </c>
      <c r="C523">
        <v>75.56</v>
      </c>
      <c r="D523">
        <v>70.290000000000006</v>
      </c>
      <c r="E523">
        <v>72.13</v>
      </c>
      <c r="F523">
        <v>295518.87407000002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-0.30170777988615161</v>
      </c>
      <c r="Q523">
        <f t="shared" si="985"/>
        <v>-89160.343410114918</v>
      </c>
      <c r="R523">
        <f t="shared" si="986"/>
        <v>4515299.3723758813</v>
      </c>
      <c r="S523">
        <f t="shared" si="987"/>
        <v>45.152993723758811</v>
      </c>
      <c r="T523">
        <f t="shared" si="988"/>
        <v>4.5152993723758812E-2</v>
      </c>
    </row>
    <row r="524" spans="1:20" x14ac:dyDescent="0.25">
      <c r="A524" s="5">
        <v>44069</v>
      </c>
      <c r="B524">
        <v>72.930000000000007</v>
      </c>
      <c r="C524">
        <v>77.099999999999994</v>
      </c>
      <c r="D524">
        <v>72.86</v>
      </c>
      <c r="E524">
        <v>75</v>
      </c>
      <c r="F524">
        <v>310801.24591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9.4339622641524297E-3</v>
      </c>
      <c r="Q524">
        <f t="shared" si="985"/>
        <v>2932.0872255664995</v>
      </c>
      <c r="R524">
        <f t="shared" si="986"/>
        <v>4604459.7157859961</v>
      </c>
      <c r="S524">
        <f t="shared" si="987"/>
        <v>46.044597157859961</v>
      </c>
      <c r="T524">
        <f t="shared" si="988"/>
        <v>4.6044597157859961E-2</v>
      </c>
    </row>
    <row r="525" spans="1:20" x14ac:dyDescent="0.25">
      <c r="A525" s="5">
        <v>44068</v>
      </c>
      <c r="B525">
        <v>80.27</v>
      </c>
      <c r="C525">
        <v>82.56</v>
      </c>
      <c r="D525">
        <v>71.19</v>
      </c>
      <c r="E525">
        <v>72.930000000000007</v>
      </c>
      <c r="F525">
        <v>539701.06081000005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-0.69393139841688511</v>
      </c>
      <c r="Q525">
        <f t="shared" si="985"/>
        <v>-374515.51185495971</v>
      </c>
      <c r="R525">
        <f t="shared" si="986"/>
        <v>4601527.6285604294</v>
      </c>
      <c r="S525">
        <f t="shared" si="987"/>
        <v>46.015276285604294</v>
      </c>
      <c r="T525">
        <f t="shared" si="988"/>
        <v>4.6015276285604291E-2</v>
      </c>
    </row>
    <row r="526" spans="1:20" x14ac:dyDescent="0.25">
      <c r="A526" s="5">
        <v>44067</v>
      </c>
      <c r="B526">
        <v>84.4</v>
      </c>
      <c r="C526">
        <v>84.78</v>
      </c>
      <c r="D526">
        <v>78.900000000000006</v>
      </c>
      <c r="E526">
        <v>80.260000000000005</v>
      </c>
      <c r="F526">
        <v>229856.69528000001</v>
      </c>
      <c r="G526">
        <v>0</v>
      </c>
      <c r="L526" t="s">
        <v>7</v>
      </c>
      <c r="M526" t="s">
        <v>8</v>
      </c>
      <c r="N526" t="s">
        <v>7</v>
      </c>
      <c r="P526">
        <f t="shared" si="984"/>
        <v>-0.53741496598639438</v>
      </c>
      <c r="Q526">
        <f t="shared" si="985"/>
        <v>-123528.42807564622</v>
      </c>
      <c r="R526">
        <f t="shared" si="986"/>
        <v>4976043.1404153891</v>
      </c>
      <c r="S526">
        <f t="shared" si="987"/>
        <v>49.760431404153891</v>
      </c>
      <c r="T526">
        <f t="shared" si="988"/>
        <v>4.9760431404153892E-2</v>
      </c>
    </row>
    <row r="527" spans="1:20" x14ac:dyDescent="0.25">
      <c r="A527" s="5">
        <v>44066</v>
      </c>
      <c r="B527">
        <v>76.86</v>
      </c>
      <c r="C527">
        <v>84.5</v>
      </c>
      <c r="D527">
        <v>74.2</v>
      </c>
      <c r="E527">
        <v>84.36</v>
      </c>
      <c r="F527">
        <v>323197.07354000001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0.9728155339805824</v>
      </c>
      <c r="Q527">
        <f t="shared" si="985"/>
        <v>314411.13367677666</v>
      </c>
      <c r="R527">
        <f t="shared" si="986"/>
        <v>5099571.5684910351</v>
      </c>
      <c r="S527">
        <f t="shared" si="987"/>
        <v>50.995715684910351</v>
      </c>
      <c r="T527">
        <f t="shared" si="988"/>
        <v>5.0995715684910355E-2</v>
      </c>
    </row>
    <row r="528" spans="1:20" x14ac:dyDescent="0.25">
      <c r="A528" s="5">
        <v>44065</v>
      </c>
      <c r="B528">
        <v>73.52</v>
      </c>
      <c r="C528">
        <v>77.930000000000007</v>
      </c>
      <c r="D528">
        <v>71.5</v>
      </c>
      <c r="E528">
        <v>76.88</v>
      </c>
      <c r="F528">
        <v>206926.56247999999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0.67340590979781956</v>
      </c>
      <c r="Q528">
        <f t="shared" si="985"/>
        <v>139345.57006817975</v>
      </c>
      <c r="R528">
        <f t="shared" si="986"/>
        <v>4785160.4348142585</v>
      </c>
      <c r="S528">
        <f t="shared" si="987"/>
        <v>47.851604348142587</v>
      </c>
      <c r="T528">
        <f t="shared" si="988"/>
        <v>4.785160434814259E-2</v>
      </c>
    </row>
    <row r="529" spans="1:20" x14ac:dyDescent="0.25">
      <c r="A529" s="5">
        <v>44064</v>
      </c>
      <c r="B529">
        <v>78.86</v>
      </c>
      <c r="C529">
        <v>81.53</v>
      </c>
      <c r="D529">
        <v>73.150000000000006</v>
      </c>
      <c r="E529">
        <v>73.56</v>
      </c>
      <c r="F529">
        <v>341536.93995999999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-0.90214797136038261</v>
      </c>
      <c r="Q529">
        <f t="shared" si="985"/>
        <v>-308116.85752954677</v>
      </c>
      <c r="R529">
        <f t="shared" si="986"/>
        <v>4645814.8647460788</v>
      </c>
      <c r="S529">
        <f t="shared" si="987"/>
        <v>46.458148647460789</v>
      </c>
      <c r="T529">
        <f t="shared" si="988"/>
        <v>4.6458148647460791E-2</v>
      </c>
    </row>
    <row r="530" spans="1:20" x14ac:dyDescent="0.25">
      <c r="A530" s="5">
        <v>44063</v>
      </c>
      <c r="B530">
        <v>76.3</v>
      </c>
      <c r="C530">
        <v>80.09</v>
      </c>
      <c r="D530">
        <v>75.53</v>
      </c>
      <c r="E530">
        <v>78.87</v>
      </c>
      <c r="F530">
        <v>267234.21964999998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0.46491228070175517</v>
      </c>
      <c r="Q530">
        <f t="shared" si="985"/>
        <v>124240.47053903529</v>
      </c>
      <c r="R530">
        <f t="shared" si="986"/>
        <v>4953931.7222756259</v>
      </c>
      <c r="S530">
        <f t="shared" si="987"/>
        <v>49.53931722275626</v>
      </c>
      <c r="T530">
        <f t="shared" si="988"/>
        <v>4.9539317222756257E-2</v>
      </c>
    </row>
    <row r="531" spans="1:20" x14ac:dyDescent="0.25">
      <c r="A531" s="5">
        <v>44062</v>
      </c>
      <c r="B531">
        <v>83.15</v>
      </c>
      <c r="C531">
        <v>84.55</v>
      </c>
      <c r="D531">
        <v>72.73</v>
      </c>
      <c r="E531">
        <v>76.3</v>
      </c>
      <c r="F531">
        <v>442712.46490999998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-0.39593908629441704</v>
      </c>
      <c r="Q531">
        <f t="shared" si="985"/>
        <v>-175287.16884761455</v>
      </c>
      <c r="R531">
        <f t="shared" si="986"/>
        <v>4829691.2517365906</v>
      </c>
      <c r="S531">
        <f t="shared" si="987"/>
        <v>48.296912517365904</v>
      </c>
      <c r="T531">
        <f t="shared" si="988"/>
        <v>4.8296912517365904E-2</v>
      </c>
    </row>
    <row r="532" spans="1:20" x14ac:dyDescent="0.25">
      <c r="A532" s="5">
        <v>44061</v>
      </c>
      <c r="B532">
        <v>86.74</v>
      </c>
      <c r="C532">
        <v>88.93</v>
      </c>
      <c r="D532">
        <v>82</v>
      </c>
      <c r="E532">
        <v>83.14</v>
      </c>
      <c r="F532">
        <v>306993.21401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-0.67099567099567115</v>
      </c>
      <c r="Q532">
        <f t="shared" si="985"/>
        <v>-205991.11762575762</v>
      </c>
      <c r="R532">
        <f t="shared" si="986"/>
        <v>5004978.4205842055</v>
      </c>
      <c r="S532">
        <f t="shared" si="987"/>
        <v>50.049784205842059</v>
      </c>
      <c r="T532">
        <f t="shared" si="988"/>
        <v>5.0049784205842059E-2</v>
      </c>
    </row>
    <row r="533" spans="1:20" x14ac:dyDescent="0.25">
      <c r="A533" s="5">
        <v>44060</v>
      </c>
      <c r="B533">
        <v>85.3</v>
      </c>
      <c r="C533">
        <v>90.29</v>
      </c>
      <c r="D533">
        <v>82.87</v>
      </c>
      <c r="E533">
        <v>86.74</v>
      </c>
      <c r="F533">
        <v>371666.61202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4.3126684636115756E-2</v>
      </c>
      <c r="Q533">
        <f t="shared" si="985"/>
        <v>16028.74876636013</v>
      </c>
      <c r="R533">
        <f t="shared" si="986"/>
        <v>5210969.5382099636</v>
      </c>
      <c r="S533">
        <f t="shared" si="987"/>
        <v>52.109695382099638</v>
      </c>
      <c r="T533">
        <f t="shared" si="988"/>
        <v>5.2109695382099634E-2</v>
      </c>
    </row>
    <row r="534" spans="1:20" x14ac:dyDescent="0.25">
      <c r="A534" s="5">
        <v>44059</v>
      </c>
      <c r="B534">
        <v>85.14</v>
      </c>
      <c r="C534">
        <v>86.44</v>
      </c>
      <c r="D534">
        <v>81.06</v>
      </c>
      <c r="E534">
        <v>85.3</v>
      </c>
      <c r="F534">
        <v>276974.63874999998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0.57620817843866112</v>
      </c>
      <c r="Q534">
        <f t="shared" si="985"/>
        <v>159595.0520678437</v>
      </c>
      <c r="R534">
        <f t="shared" si="986"/>
        <v>5194940.7894436037</v>
      </c>
      <c r="S534">
        <f t="shared" si="987"/>
        <v>51.949407894436035</v>
      </c>
      <c r="T534">
        <f t="shared" si="988"/>
        <v>5.1949407894436035E-2</v>
      </c>
    </row>
    <row r="535" spans="1:20" x14ac:dyDescent="0.25">
      <c r="A535" s="5">
        <v>44058</v>
      </c>
      <c r="B535">
        <v>84.98</v>
      </c>
      <c r="C535">
        <v>88.55</v>
      </c>
      <c r="D535">
        <v>83.73</v>
      </c>
      <c r="E535">
        <v>85.12</v>
      </c>
      <c r="F535">
        <v>287565.10787000001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-0.42323651452282052</v>
      </c>
      <c r="Q535">
        <f t="shared" si="985"/>
        <v>-121708.0539532777</v>
      </c>
      <c r="R535">
        <f t="shared" si="986"/>
        <v>5035345.7373757605</v>
      </c>
      <c r="S535">
        <f t="shared" si="987"/>
        <v>50.353457373757607</v>
      </c>
      <c r="T535">
        <f t="shared" si="988"/>
        <v>5.0353457373757605E-2</v>
      </c>
    </row>
    <row r="536" spans="1:20" x14ac:dyDescent="0.25">
      <c r="A536" s="5">
        <v>44057</v>
      </c>
      <c r="B536">
        <v>87.35</v>
      </c>
      <c r="C536">
        <v>87.79</v>
      </c>
      <c r="D536">
        <v>82.89</v>
      </c>
      <c r="E536">
        <v>85.03</v>
      </c>
      <c r="F536">
        <v>277856.41103000002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-0.12653061224489873</v>
      </c>
      <c r="Q536">
        <f t="shared" si="985"/>
        <v>-35157.341803796131</v>
      </c>
      <c r="R536">
        <f t="shared" si="986"/>
        <v>5157053.7913290383</v>
      </c>
      <c r="S536">
        <f t="shared" si="987"/>
        <v>51.57053791329038</v>
      </c>
      <c r="T536">
        <f t="shared" si="988"/>
        <v>5.157053791329038E-2</v>
      </c>
    </row>
    <row r="537" spans="1:20" x14ac:dyDescent="0.25">
      <c r="A537" s="5">
        <v>44056</v>
      </c>
      <c r="B537">
        <v>83.55</v>
      </c>
      <c r="C537">
        <v>88</v>
      </c>
      <c r="D537">
        <v>77.37</v>
      </c>
      <c r="E537">
        <v>87.4</v>
      </c>
      <c r="F537">
        <v>426046.28221999999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0.88711194731890974</v>
      </c>
      <c r="Q537">
        <f t="shared" si="985"/>
        <v>377950.74706816598</v>
      </c>
      <c r="R537">
        <f t="shared" si="986"/>
        <v>5192211.1331328349</v>
      </c>
      <c r="S537">
        <f t="shared" si="987"/>
        <v>51.922111331328352</v>
      </c>
      <c r="T537">
        <f t="shared" si="988"/>
        <v>5.1922111331328354E-2</v>
      </c>
    </row>
    <row r="538" spans="1:20" x14ac:dyDescent="0.25">
      <c r="A538" s="5">
        <v>44055</v>
      </c>
      <c r="B538">
        <v>80.88</v>
      </c>
      <c r="C538">
        <v>84.89</v>
      </c>
      <c r="D538">
        <v>76.2</v>
      </c>
      <c r="E538">
        <v>83.52</v>
      </c>
      <c r="F538">
        <v>439763.90023000003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0.6846950517836583</v>
      </c>
      <c r="Q538">
        <f t="shared" si="985"/>
        <v>301104.16644056339</v>
      </c>
      <c r="R538">
        <f t="shared" si="986"/>
        <v>4814260.3860646691</v>
      </c>
      <c r="S538">
        <f t="shared" si="987"/>
        <v>48.142603860646695</v>
      </c>
      <c r="T538">
        <f t="shared" si="988"/>
        <v>4.8142603860646692E-2</v>
      </c>
    </row>
    <row r="539" spans="1:20" x14ac:dyDescent="0.25">
      <c r="A539" s="5">
        <v>44054</v>
      </c>
      <c r="B539">
        <v>89.02</v>
      </c>
      <c r="C539">
        <v>90.06</v>
      </c>
      <c r="D539">
        <v>78.56</v>
      </c>
      <c r="E539">
        <v>80.88</v>
      </c>
      <c r="F539">
        <v>411959.87212000001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-0.59652173913043594</v>
      </c>
      <c r="Q539">
        <f t="shared" si="985"/>
        <v>-245743.0193689744</v>
      </c>
      <c r="R539">
        <f t="shared" si="986"/>
        <v>4513156.2196241058</v>
      </c>
      <c r="S539">
        <f t="shared" si="987"/>
        <v>45.131562196241056</v>
      </c>
      <c r="T539">
        <f t="shared" si="988"/>
        <v>4.5131562196241058E-2</v>
      </c>
    </row>
    <row r="540" spans="1:20" x14ac:dyDescent="0.25">
      <c r="A540" s="5">
        <v>44053</v>
      </c>
      <c r="B540">
        <v>92.02</v>
      </c>
      <c r="C540">
        <v>95.48</v>
      </c>
      <c r="D540">
        <v>87.82</v>
      </c>
      <c r="E540">
        <v>89.01</v>
      </c>
      <c r="F540">
        <v>282726.04132000002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-0.6892950391644882</v>
      </c>
      <c r="Q540">
        <f t="shared" si="985"/>
        <v>-194881.65772449013</v>
      </c>
      <c r="R540">
        <f t="shared" si="986"/>
        <v>4758899.2389930803</v>
      </c>
      <c r="S540">
        <f t="shared" si="987"/>
        <v>47.588992389930802</v>
      </c>
      <c r="T540">
        <f t="shared" si="988"/>
        <v>4.75889923899308E-2</v>
      </c>
    </row>
    <row r="541" spans="1:20" x14ac:dyDescent="0.25">
      <c r="A541" s="5">
        <v>44052</v>
      </c>
      <c r="B541">
        <v>97.06</v>
      </c>
      <c r="C541">
        <v>97.45</v>
      </c>
      <c r="D541">
        <v>89.48</v>
      </c>
      <c r="E541">
        <v>92.01</v>
      </c>
      <c r="F541">
        <v>217400.16143000001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-0.36511919698870726</v>
      </c>
      <c r="Q541">
        <f t="shared" si="985"/>
        <v>-79376.972366536938</v>
      </c>
      <c r="R541">
        <f t="shared" si="986"/>
        <v>4953780.8967175707</v>
      </c>
      <c r="S541">
        <f t="shared" si="987"/>
        <v>49.537808967175707</v>
      </c>
      <c r="T541">
        <f t="shared" si="988"/>
        <v>4.9537808967175703E-2</v>
      </c>
    </row>
    <row r="542" spans="1:20" x14ac:dyDescent="0.25">
      <c r="A542" s="5">
        <v>44051</v>
      </c>
      <c r="B542">
        <v>94.41</v>
      </c>
      <c r="C542">
        <v>99.18</v>
      </c>
      <c r="D542">
        <v>91.78</v>
      </c>
      <c r="E542">
        <v>97.08</v>
      </c>
      <c r="F542">
        <v>209024.58089000001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0.43243243243243057</v>
      </c>
      <c r="Q542">
        <f t="shared" si="985"/>
        <v>90389.007952432046</v>
      </c>
      <c r="R542">
        <f t="shared" si="986"/>
        <v>5033157.8690841077</v>
      </c>
      <c r="S542">
        <f t="shared" si="987"/>
        <v>50.331578690841077</v>
      </c>
      <c r="T542">
        <f t="shared" si="988"/>
        <v>5.0331578690841081E-2</v>
      </c>
    </row>
    <row r="543" spans="1:20" x14ac:dyDescent="0.25">
      <c r="A543" s="5">
        <v>44050</v>
      </c>
      <c r="B543">
        <v>96.77</v>
      </c>
      <c r="C543">
        <v>97.65</v>
      </c>
      <c r="D543">
        <v>87.05</v>
      </c>
      <c r="E543">
        <v>94.42</v>
      </c>
      <c r="F543">
        <v>402314.49164000002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0.3905660377358488</v>
      </c>
      <c r="Q543">
        <f t="shared" si="985"/>
        <v>157130.37692354707</v>
      </c>
      <c r="R543">
        <f t="shared" si="986"/>
        <v>4942768.8611316755</v>
      </c>
      <c r="S543">
        <f t="shared" si="987"/>
        <v>49.427688611316754</v>
      </c>
      <c r="T543">
        <f t="shared" si="988"/>
        <v>4.9427688611316752E-2</v>
      </c>
    </row>
    <row r="544" spans="1:20" x14ac:dyDescent="0.25">
      <c r="A544" s="5">
        <v>44049</v>
      </c>
      <c r="B544">
        <v>97.46</v>
      </c>
      <c r="C544">
        <v>102.74</v>
      </c>
      <c r="D544">
        <v>92.01</v>
      </c>
      <c r="E544">
        <v>96.75</v>
      </c>
      <c r="F544">
        <v>495676.20000999997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-0.11649580615097868</v>
      </c>
      <c r="Q544">
        <f t="shared" si="985"/>
        <v>-57744.198510018694</v>
      </c>
      <c r="R544">
        <f t="shared" si="986"/>
        <v>4785638.4842081284</v>
      </c>
      <c r="S544">
        <f t="shared" si="987"/>
        <v>47.856384842081283</v>
      </c>
      <c r="T544">
        <f t="shared" si="988"/>
        <v>4.7856384842081282E-2</v>
      </c>
    </row>
    <row r="545" spans="1:20" x14ac:dyDescent="0.25">
      <c r="A545" s="5">
        <v>44048</v>
      </c>
      <c r="B545">
        <v>84.94</v>
      </c>
      <c r="C545">
        <v>98.07</v>
      </c>
      <c r="D545">
        <v>84.92</v>
      </c>
      <c r="E545">
        <v>97.46</v>
      </c>
      <c r="F545">
        <v>512489.74641000002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0.90722433460076046</v>
      </c>
      <c r="Q545">
        <f t="shared" si="985"/>
        <v>464943.16917652474</v>
      </c>
      <c r="R545">
        <f t="shared" si="986"/>
        <v>4843382.6827181475</v>
      </c>
      <c r="S545">
        <f t="shared" si="987"/>
        <v>48.433826827181477</v>
      </c>
      <c r="T545">
        <f t="shared" si="988"/>
        <v>4.8433826827181475E-2</v>
      </c>
    </row>
    <row r="546" spans="1:20" x14ac:dyDescent="0.25">
      <c r="A546" s="5">
        <v>44047</v>
      </c>
      <c r="B546">
        <v>82.33</v>
      </c>
      <c r="C546">
        <v>85.31</v>
      </c>
      <c r="D546">
        <v>80.17</v>
      </c>
      <c r="E546">
        <v>84.93</v>
      </c>
      <c r="F546">
        <v>212735.25361000001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0.85214007782101342</v>
      </c>
      <c r="Q546">
        <f t="shared" si="985"/>
        <v>181280.23556649845</v>
      </c>
      <c r="R546">
        <f t="shared" si="986"/>
        <v>4378439.513541623</v>
      </c>
      <c r="S546">
        <f t="shared" si="987"/>
        <v>43.784395135416233</v>
      </c>
      <c r="T546">
        <f t="shared" si="988"/>
        <v>4.3784395135416231E-2</v>
      </c>
    </row>
    <row r="547" spans="1:20" x14ac:dyDescent="0.25">
      <c r="A547" s="5">
        <v>44046</v>
      </c>
      <c r="B547">
        <v>84.27</v>
      </c>
      <c r="C547">
        <v>85.94</v>
      </c>
      <c r="D547">
        <v>81.31</v>
      </c>
      <c r="E547">
        <v>82.3</v>
      </c>
      <c r="F547">
        <v>331263.28638000001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-0.57235421166306877</v>
      </c>
      <c r="Q547">
        <f t="shared" si="985"/>
        <v>-189599.93712894229</v>
      </c>
      <c r="R547">
        <f t="shared" si="986"/>
        <v>4197159.2779751243</v>
      </c>
      <c r="S547">
        <f t="shared" si="987"/>
        <v>41.971592779751241</v>
      </c>
      <c r="T547">
        <f t="shared" si="988"/>
        <v>4.1971592779751238E-2</v>
      </c>
    </row>
    <row r="548" spans="1:20" x14ac:dyDescent="0.25">
      <c r="A548" s="5">
        <v>44045</v>
      </c>
      <c r="B548">
        <v>89.43</v>
      </c>
      <c r="C548">
        <v>91.31</v>
      </c>
      <c r="D548">
        <v>73.650000000000006</v>
      </c>
      <c r="E548">
        <v>84.31</v>
      </c>
      <c r="F548">
        <v>743770.81623999996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0.20724801812004515</v>
      </c>
      <c r="Q548">
        <f t="shared" si="985"/>
        <v>154145.02760126829</v>
      </c>
      <c r="R548">
        <f t="shared" si="986"/>
        <v>4386759.2151040668</v>
      </c>
      <c r="S548">
        <f t="shared" si="987"/>
        <v>43.867592151040668</v>
      </c>
      <c r="T548">
        <f t="shared" si="988"/>
        <v>4.386759215104067E-2</v>
      </c>
    </row>
    <row r="549" spans="1:20" x14ac:dyDescent="0.25">
      <c r="A549" s="5">
        <v>44044</v>
      </c>
      <c r="B549">
        <v>74.900000000000006</v>
      </c>
      <c r="C549">
        <v>95</v>
      </c>
      <c r="D549">
        <v>73.959999999999994</v>
      </c>
      <c r="E549">
        <v>89.37</v>
      </c>
      <c r="F549">
        <v>655401.06347000005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0.46482889733840366</v>
      </c>
      <c r="Q549">
        <f t="shared" si="985"/>
        <v>304649.35364717722</v>
      </c>
      <c r="R549">
        <f t="shared" si="986"/>
        <v>4232614.1875027986</v>
      </c>
      <c r="S549">
        <f t="shared" si="987"/>
        <v>42.326141875027986</v>
      </c>
      <c r="T549">
        <f t="shared" si="988"/>
        <v>4.2326141875027985E-2</v>
      </c>
    </row>
    <row r="550" spans="1:20" x14ac:dyDescent="0.25">
      <c r="A550" s="5">
        <v>44043</v>
      </c>
      <c r="B550">
        <v>70.510000000000005</v>
      </c>
      <c r="C550">
        <v>74.95</v>
      </c>
      <c r="D550">
        <v>70.3</v>
      </c>
      <c r="E550">
        <v>74.900000000000006</v>
      </c>
      <c r="F550">
        <v>203173.61311000001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0.97849462365591522</v>
      </c>
      <c r="Q550">
        <f t="shared" si="985"/>
        <v>198804.28809688197</v>
      </c>
      <c r="R550">
        <f t="shared" si="986"/>
        <v>3927964.8338556211</v>
      </c>
      <c r="S550">
        <f t="shared" si="987"/>
        <v>39.279648338556207</v>
      </c>
      <c r="T550">
        <f t="shared" si="988"/>
        <v>3.9279648338556204E-2</v>
      </c>
    </row>
    <row r="551" spans="1:20" x14ac:dyDescent="0.25">
      <c r="A551" s="5">
        <v>44042</v>
      </c>
      <c r="B551">
        <v>72.12</v>
      </c>
      <c r="C551">
        <v>72.59</v>
      </c>
      <c r="D551">
        <v>69.48</v>
      </c>
      <c r="E551">
        <v>70.48</v>
      </c>
      <c r="F551">
        <v>177255.73089000001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-0.35691318327974264</v>
      </c>
      <c r="Q551">
        <f t="shared" si="985"/>
        <v>-63264.907166527308</v>
      </c>
      <c r="R551">
        <f t="shared" si="986"/>
        <v>3729160.5457587391</v>
      </c>
      <c r="S551">
        <f t="shared" si="987"/>
        <v>37.291605457587394</v>
      </c>
      <c r="T551">
        <f t="shared" si="988"/>
        <v>3.7291605457587397E-2</v>
      </c>
    </row>
    <row r="552" spans="1:20" x14ac:dyDescent="0.25">
      <c r="A552" s="5">
        <v>44041</v>
      </c>
      <c r="B552">
        <v>70.599999999999994</v>
      </c>
      <c r="C552">
        <v>74.400000000000006</v>
      </c>
      <c r="D552">
        <v>70.150000000000006</v>
      </c>
      <c r="E552">
        <v>72.13</v>
      </c>
      <c r="F552">
        <v>225725.11791999999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-6.8235294117651876E-2</v>
      </c>
      <c r="Q552">
        <f t="shared" si="985"/>
        <v>-15402.419811012851</v>
      </c>
      <c r="R552">
        <f t="shared" si="986"/>
        <v>3792425.4529252662</v>
      </c>
      <c r="S552">
        <f t="shared" si="987"/>
        <v>37.924254529252664</v>
      </c>
      <c r="T552">
        <f t="shared" si="988"/>
        <v>3.7924254529252667E-2</v>
      </c>
    </row>
    <row r="553" spans="1:20" x14ac:dyDescent="0.25">
      <c r="A553" s="5">
        <v>44040</v>
      </c>
      <c r="B553">
        <v>70.8</v>
      </c>
      <c r="C553">
        <v>73.42</v>
      </c>
      <c r="D553">
        <v>68.430000000000007</v>
      </c>
      <c r="E553">
        <v>70.569999999999993</v>
      </c>
      <c r="F553">
        <v>195825.28596000001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-0.14228456913828114</v>
      </c>
      <c r="Q553">
        <f t="shared" si="985"/>
        <v>-27862.916439199296</v>
      </c>
      <c r="R553">
        <f t="shared" si="986"/>
        <v>3807827.8727362789</v>
      </c>
      <c r="S553">
        <f t="shared" si="987"/>
        <v>38.078278727362786</v>
      </c>
      <c r="T553">
        <f t="shared" si="988"/>
        <v>3.8078278727362788E-2</v>
      </c>
    </row>
    <row r="554" spans="1:20" x14ac:dyDescent="0.25">
      <c r="A554" s="5">
        <v>44039</v>
      </c>
      <c r="B554">
        <v>66.180000000000007</v>
      </c>
      <c r="C554">
        <v>72.349999999999994</v>
      </c>
      <c r="D554">
        <v>66.13</v>
      </c>
      <c r="E554">
        <v>70.77</v>
      </c>
      <c r="F554">
        <v>353054.17528999998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0.49196141479099725</v>
      </c>
      <c r="Q554">
        <f t="shared" si="985"/>
        <v>173689.03157353713</v>
      </c>
      <c r="R554">
        <f t="shared" si="986"/>
        <v>3835690.7891754783</v>
      </c>
      <c r="S554">
        <f t="shared" si="987"/>
        <v>38.35690789175478</v>
      </c>
      <c r="T554">
        <f t="shared" si="988"/>
        <v>3.8356907891754777E-2</v>
      </c>
    </row>
    <row r="555" spans="1:20" x14ac:dyDescent="0.25">
      <c r="A555" s="5">
        <v>44038</v>
      </c>
      <c r="B555">
        <v>65.7</v>
      </c>
      <c r="C555">
        <v>67.260000000000005</v>
      </c>
      <c r="D555">
        <v>63.76</v>
      </c>
      <c r="E555">
        <v>66.150000000000006</v>
      </c>
      <c r="F555">
        <v>196560.49726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0.36571428571428732</v>
      </c>
      <c r="Q555">
        <f t="shared" si="985"/>
        <v>71884.981855086036</v>
      </c>
      <c r="R555">
        <f t="shared" si="986"/>
        <v>3662001.757601941</v>
      </c>
      <c r="S555">
        <f t="shared" si="987"/>
        <v>36.620017576019407</v>
      </c>
      <c r="T555">
        <f t="shared" si="988"/>
        <v>3.662001757601941E-2</v>
      </c>
    </row>
    <row r="556" spans="1:20" x14ac:dyDescent="0.25">
      <c r="A556" s="5">
        <v>44037</v>
      </c>
      <c r="B556">
        <v>63.01</v>
      </c>
      <c r="C556">
        <v>66.09</v>
      </c>
      <c r="D556">
        <v>62.86</v>
      </c>
      <c r="E556">
        <v>65.69</v>
      </c>
      <c r="F556">
        <v>147549.67431999999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0.75232198142414541</v>
      </c>
      <c r="Q556">
        <f t="shared" si="985"/>
        <v>111004.86334290974</v>
      </c>
      <c r="R556">
        <f t="shared" si="986"/>
        <v>3590116.775746855</v>
      </c>
      <c r="S556">
        <f t="shared" si="987"/>
        <v>35.901167757468549</v>
      </c>
      <c r="T556">
        <f t="shared" si="988"/>
        <v>3.5901167757468551E-2</v>
      </c>
    </row>
    <row r="557" spans="1:20" x14ac:dyDescent="0.25">
      <c r="A557" s="5">
        <v>44036</v>
      </c>
      <c r="B557">
        <v>63.5</v>
      </c>
      <c r="C557">
        <v>64.72</v>
      </c>
      <c r="D557">
        <v>61.65</v>
      </c>
      <c r="E557">
        <v>63.01</v>
      </c>
      <c r="F557">
        <v>165385.97764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-0.11400651465798091</v>
      </c>
      <c r="Q557">
        <f t="shared" si="985"/>
        <v>-18855.078884039161</v>
      </c>
      <c r="R557">
        <f t="shared" si="986"/>
        <v>3479111.9124039453</v>
      </c>
      <c r="S557">
        <f t="shared" si="987"/>
        <v>34.791119124039454</v>
      </c>
      <c r="T557">
        <f t="shared" si="988"/>
        <v>3.4791119124039455E-2</v>
      </c>
    </row>
    <row r="558" spans="1:20" x14ac:dyDescent="0.25">
      <c r="A558" s="5">
        <v>44035</v>
      </c>
      <c r="B558">
        <v>64.27</v>
      </c>
      <c r="C558">
        <v>65</v>
      </c>
      <c r="D558">
        <v>62.84</v>
      </c>
      <c r="E558">
        <v>63.51</v>
      </c>
      <c r="F558">
        <v>116787.56468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-0.37962962962963365</v>
      </c>
      <c r="Q558">
        <f t="shared" si="985"/>
        <v>-44336.019924815286</v>
      </c>
      <c r="R558">
        <f t="shared" si="986"/>
        <v>3497966.9912879844</v>
      </c>
      <c r="S558">
        <f t="shared" si="987"/>
        <v>34.979669912879842</v>
      </c>
      <c r="T558">
        <f t="shared" si="988"/>
        <v>3.4979669912879839E-2</v>
      </c>
    </row>
    <row r="559" spans="1:20" x14ac:dyDescent="0.25">
      <c r="A559" s="5">
        <v>44034</v>
      </c>
      <c r="B559">
        <v>62.41</v>
      </c>
      <c r="C559">
        <v>64.77</v>
      </c>
      <c r="D559">
        <v>60.83</v>
      </c>
      <c r="E559">
        <v>64.28</v>
      </c>
      <c r="F559">
        <v>202688.63920000001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0.7512690355329974</v>
      </c>
      <c r="Q559">
        <f t="shared" si="985"/>
        <v>152273.69848527969</v>
      </c>
      <c r="R559">
        <f t="shared" si="986"/>
        <v>3542303.0112127997</v>
      </c>
      <c r="S559">
        <f t="shared" si="987"/>
        <v>35.423030112127996</v>
      </c>
      <c r="T559">
        <f t="shared" si="988"/>
        <v>3.5423030112127996E-2</v>
      </c>
    </row>
    <row r="560" spans="1:20" x14ac:dyDescent="0.25">
      <c r="A560" s="5">
        <v>44033</v>
      </c>
      <c r="B560">
        <v>57.05</v>
      </c>
      <c r="C560">
        <v>62.6</v>
      </c>
      <c r="D560">
        <v>56.88</v>
      </c>
      <c r="E560">
        <v>62.45</v>
      </c>
      <c r="F560">
        <v>187634.05064999999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0.94755244755244805</v>
      </c>
      <c r="Q560">
        <f t="shared" si="985"/>
        <v>177793.1039375875</v>
      </c>
      <c r="R560">
        <f t="shared" si="986"/>
        <v>3390029.3127275202</v>
      </c>
      <c r="S560">
        <f t="shared" si="987"/>
        <v>33.900293127275205</v>
      </c>
      <c r="T560">
        <f t="shared" si="988"/>
        <v>3.3900293127275202E-2</v>
      </c>
    </row>
    <row r="561" spans="1:104" x14ac:dyDescent="0.25">
      <c r="A561" s="5">
        <v>44032</v>
      </c>
      <c r="B561">
        <v>58.39</v>
      </c>
      <c r="C561">
        <v>58.58</v>
      </c>
      <c r="D561">
        <v>56.86</v>
      </c>
      <c r="E561">
        <v>57.05</v>
      </c>
      <c r="F561">
        <v>85821.788509999998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-0.77906976744186296</v>
      </c>
      <c r="Q561">
        <f t="shared" si="985"/>
        <v>-66861.160815930445</v>
      </c>
      <c r="R561">
        <f t="shared" si="986"/>
        <v>3212236.2087899325</v>
      </c>
      <c r="S561">
        <f t="shared" si="987"/>
        <v>32.122362087899326</v>
      </c>
      <c r="T561">
        <f t="shared" si="988"/>
        <v>3.2122362087899328E-2</v>
      </c>
      <c r="CZ561" t="s">
        <v>7</v>
      </c>
    </row>
    <row r="562" spans="1:104" x14ac:dyDescent="0.25">
      <c r="A562" s="5">
        <v>44031</v>
      </c>
      <c r="B562">
        <v>59.06</v>
      </c>
      <c r="C562">
        <v>59.48</v>
      </c>
      <c r="D562">
        <v>56.79</v>
      </c>
      <c r="E562">
        <v>58.38</v>
      </c>
      <c r="F562">
        <v>83685.37427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0.18215613382899981</v>
      </c>
      <c r="Q562">
        <f t="shared" si="985"/>
        <v>15243.804235056057</v>
      </c>
      <c r="R562">
        <f t="shared" si="986"/>
        <v>3279097.369605863</v>
      </c>
      <c r="S562">
        <f t="shared" si="987"/>
        <v>32.790973696058629</v>
      </c>
      <c r="T562">
        <f t="shared" si="988"/>
        <v>3.2790973696058628E-2</v>
      </c>
      <c r="CZ562" t="s">
        <v>7</v>
      </c>
    </row>
    <row r="563" spans="1:104" x14ac:dyDescent="0.25">
      <c r="A563" s="5">
        <v>44030</v>
      </c>
      <c r="B563">
        <v>59.49</v>
      </c>
      <c r="C563">
        <v>59.91</v>
      </c>
      <c r="D563">
        <v>58.04</v>
      </c>
      <c r="E563">
        <v>59.06</v>
      </c>
      <c r="F563">
        <v>86914.046300000002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9.0909090909095741E-2</v>
      </c>
      <c r="Q563">
        <f t="shared" si="985"/>
        <v>7901.2769363640564</v>
      </c>
      <c r="R563">
        <f t="shared" si="986"/>
        <v>3263853.565370807</v>
      </c>
      <c r="S563">
        <f t="shared" si="987"/>
        <v>32.638535653708068</v>
      </c>
      <c r="T563">
        <f t="shared" si="988"/>
        <v>3.263853565370807E-2</v>
      </c>
      <c r="CZ563" t="s">
        <v>7</v>
      </c>
    </row>
    <row r="564" spans="1:104" x14ac:dyDescent="0.25">
      <c r="A564" s="5">
        <v>44029</v>
      </c>
      <c r="B564">
        <v>59.09</v>
      </c>
      <c r="C564">
        <v>60.38</v>
      </c>
      <c r="D564">
        <v>57.89</v>
      </c>
      <c r="E564">
        <v>59.5</v>
      </c>
      <c r="F564">
        <v>148038.81846000001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0.29317269076305069</v>
      </c>
      <c r="Q564">
        <f t="shared" si="985"/>
        <v>43400.938745300984</v>
      </c>
      <c r="R564">
        <f t="shared" si="986"/>
        <v>3255952.2884344431</v>
      </c>
      <c r="S564">
        <f t="shared" si="987"/>
        <v>32.559522884344432</v>
      </c>
      <c r="T564">
        <f t="shared" si="988"/>
        <v>3.2559522884344431E-2</v>
      </c>
    </row>
    <row r="565" spans="1:104" x14ac:dyDescent="0.25">
      <c r="A565" s="5">
        <v>44028</v>
      </c>
      <c r="B565">
        <v>61.14</v>
      </c>
      <c r="C565">
        <v>61.72</v>
      </c>
      <c r="D565">
        <v>57.11</v>
      </c>
      <c r="E565">
        <v>59.1</v>
      </c>
      <c r="F565">
        <v>199644.6061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-0.13665943600867583</v>
      </c>
      <c r="Q565">
        <f t="shared" si="985"/>
        <v>-27283.319271800243</v>
      </c>
      <c r="R565">
        <f t="shared" si="986"/>
        <v>3212551.3496891423</v>
      </c>
      <c r="S565">
        <f t="shared" si="987"/>
        <v>32.125513496891422</v>
      </c>
      <c r="T565">
        <f t="shared" si="988"/>
        <v>3.2125513496891425E-2</v>
      </c>
    </row>
    <row r="566" spans="1:104" x14ac:dyDescent="0.25">
      <c r="A566" s="5">
        <v>44027</v>
      </c>
      <c r="B566">
        <v>62.03</v>
      </c>
      <c r="C566">
        <v>63.16</v>
      </c>
      <c r="D566">
        <v>60.39</v>
      </c>
      <c r="E566">
        <v>61.14</v>
      </c>
      <c r="F566">
        <v>175563.20694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-0.45848375451263462</v>
      </c>
      <c r="Q566">
        <f t="shared" si="985"/>
        <v>-80492.878272129834</v>
      </c>
      <c r="R566">
        <f t="shared" si="986"/>
        <v>3239834.6689609424</v>
      </c>
      <c r="S566">
        <f t="shared" si="987"/>
        <v>32.398346689609426</v>
      </c>
      <c r="T566">
        <f t="shared" si="988"/>
        <v>3.2398346689609427E-2</v>
      </c>
    </row>
    <row r="567" spans="1:104" x14ac:dyDescent="0.25">
      <c r="A567" s="5">
        <v>44026</v>
      </c>
      <c r="B567">
        <v>61.26</v>
      </c>
      <c r="C567">
        <v>63.03</v>
      </c>
      <c r="D567">
        <v>58.85</v>
      </c>
      <c r="E567">
        <v>62.02</v>
      </c>
      <c r="F567">
        <v>182144.01934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0.51674641148325451</v>
      </c>
      <c r="Q567">
        <f t="shared" si="985"/>
        <v>94122.268367081502</v>
      </c>
      <c r="R567">
        <f t="shared" si="986"/>
        <v>3320327.5472330721</v>
      </c>
      <c r="S567">
        <f t="shared" si="987"/>
        <v>33.203275472330724</v>
      </c>
      <c r="T567">
        <f t="shared" si="988"/>
        <v>3.3203275472330721E-2</v>
      </c>
    </row>
    <row r="568" spans="1:104" x14ac:dyDescent="0.25">
      <c r="A568" s="5">
        <v>44025</v>
      </c>
      <c r="B568">
        <v>58.7</v>
      </c>
      <c r="C568">
        <v>63.95</v>
      </c>
      <c r="D568">
        <v>58.52</v>
      </c>
      <c r="E568">
        <v>61.26</v>
      </c>
      <c r="F568">
        <v>353065.49046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9.2081031307532334E-3</v>
      </c>
      <c r="Q568">
        <f t="shared" si="985"/>
        <v>3251.0634480656518</v>
      </c>
      <c r="R568">
        <f t="shared" si="986"/>
        <v>3226205.2788659907</v>
      </c>
      <c r="S568">
        <f t="shared" si="987"/>
        <v>32.262052788659908</v>
      </c>
      <c r="T568">
        <f t="shared" si="988"/>
        <v>3.2262052788659908E-2</v>
      </c>
    </row>
    <row r="569" spans="1:104" x14ac:dyDescent="0.25">
      <c r="A569" s="5">
        <v>44024</v>
      </c>
      <c r="B569">
        <v>55.82</v>
      </c>
      <c r="C569">
        <v>61.1</v>
      </c>
      <c r="D569">
        <v>55.77</v>
      </c>
      <c r="E569">
        <v>58.65</v>
      </c>
      <c r="F569">
        <v>246742.20958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8.0675422138835412E-2</v>
      </c>
      <c r="Q569">
        <f t="shared" si="985"/>
        <v>19906.031917335498</v>
      </c>
      <c r="R569">
        <f t="shared" si="986"/>
        <v>3222954.2154179253</v>
      </c>
      <c r="S569">
        <f t="shared" si="987"/>
        <v>32.229542154179249</v>
      </c>
      <c r="T569">
        <f t="shared" si="988"/>
        <v>3.2229542154179253E-2</v>
      </c>
    </row>
    <row r="570" spans="1:104" x14ac:dyDescent="0.25">
      <c r="A570" s="5">
        <v>44023</v>
      </c>
      <c r="B570">
        <v>56.1</v>
      </c>
      <c r="C570">
        <v>56.68</v>
      </c>
      <c r="D570">
        <v>54.99</v>
      </c>
      <c r="E570">
        <v>55.84</v>
      </c>
      <c r="F570">
        <v>72865.602530000004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5.9171597633166442E-3</v>
      </c>
      <c r="Q570">
        <f t="shared" si="985"/>
        <v>431.15741142033949</v>
      </c>
      <c r="R570">
        <f t="shared" si="986"/>
        <v>3203048.1835005898</v>
      </c>
      <c r="S570">
        <f t="shared" si="987"/>
        <v>32.030481835005901</v>
      </c>
      <c r="T570">
        <f t="shared" si="988"/>
        <v>3.2030481835005904E-2</v>
      </c>
    </row>
    <row r="571" spans="1:104" x14ac:dyDescent="0.25">
      <c r="A571" s="5">
        <v>44022</v>
      </c>
      <c r="B571">
        <v>56.86</v>
      </c>
      <c r="C571">
        <v>56.89</v>
      </c>
      <c r="D571">
        <v>54.12</v>
      </c>
      <c r="E571">
        <v>56.07</v>
      </c>
      <c r="F571">
        <v>87610.191829999996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0.40794223826714848</v>
      </c>
      <c r="Q571">
        <f t="shared" si="985"/>
        <v>35739.897750144446</v>
      </c>
      <c r="R571">
        <f t="shared" si="986"/>
        <v>3202617.0260891696</v>
      </c>
      <c r="S571">
        <f t="shared" si="987"/>
        <v>32.026170260891696</v>
      </c>
      <c r="T571">
        <f t="shared" si="988"/>
        <v>3.2026170260891697E-2</v>
      </c>
    </row>
    <row r="572" spans="1:104" x14ac:dyDescent="0.25">
      <c r="A572" s="5">
        <v>44021</v>
      </c>
      <c r="B572">
        <v>57.93</v>
      </c>
      <c r="C572">
        <v>58.87</v>
      </c>
      <c r="D572">
        <v>55.52</v>
      </c>
      <c r="E572">
        <v>56.86</v>
      </c>
      <c r="F572">
        <v>126479.70333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-0.20000000000000084</v>
      </c>
      <c r="Q572">
        <f t="shared" si="985"/>
        <v>-25295.940666000108</v>
      </c>
      <c r="R572">
        <f t="shared" si="986"/>
        <v>3166877.1283390252</v>
      </c>
      <c r="S572">
        <f t="shared" si="987"/>
        <v>31.668771283390253</v>
      </c>
      <c r="T572">
        <f t="shared" si="988"/>
        <v>3.1668771283390254E-2</v>
      </c>
    </row>
    <row r="573" spans="1:104" x14ac:dyDescent="0.25">
      <c r="A573" s="5">
        <v>44020</v>
      </c>
      <c r="B573">
        <v>55.09</v>
      </c>
      <c r="C573">
        <v>58.79</v>
      </c>
      <c r="D573">
        <v>54.26</v>
      </c>
      <c r="E573">
        <v>57.94</v>
      </c>
      <c r="F573">
        <v>196681.73374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0.62472406181015394</v>
      </c>
      <c r="Q573">
        <f t="shared" si="985"/>
        <v>122871.811585916</v>
      </c>
      <c r="R573">
        <f t="shared" si="986"/>
        <v>3192173.0690050251</v>
      </c>
      <c r="S573">
        <f t="shared" si="987"/>
        <v>31.92173069005025</v>
      </c>
      <c r="T573">
        <f t="shared" si="988"/>
        <v>3.1921730690050248E-2</v>
      </c>
    </row>
    <row r="574" spans="1:104" x14ac:dyDescent="0.25">
      <c r="A574" s="5">
        <v>44019</v>
      </c>
      <c r="B574">
        <v>55.54</v>
      </c>
      <c r="C574">
        <v>55.91</v>
      </c>
      <c r="D574">
        <v>53.61</v>
      </c>
      <c r="E574">
        <v>55.08</v>
      </c>
      <c r="F574">
        <v>105273.76566999999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0.27826086956521801</v>
      </c>
      <c r="Q574">
        <f t="shared" si="985"/>
        <v>29293.569577739192</v>
      </c>
      <c r="R574">
        <f t="shared" si="986"/>
        <v>3069301.2574191089</v>
      </c>
      <c r="S574">
        <f t="shared" si="987"/>
        <v>30.693012574191087</v>
      </c>
      <c r="T574">
        <f t="shared" si="988"/>
        <v>3.0693012574191086E-2</v>
      </c>
    </row>
    <row r="575" spans="1:104" x14ac:dyDescent="0.25">
      <c r="A575" s="5">
        <v>44018</v>
      </c>
      <c r="B575">
        <v>51.2</v>
      </c>
      <c r="C575">
        <v>55.92</v>
      </c>
      <c r="D575">
        <v>51.16</v>
      </c>
      <c r="E575">
        <v>55.55</v>
      </c>
      <c r="F575">
        <v>169445.75227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0.84453781512604864</v>
      </c>
      <c r="Q575">
        <f t="shared" si="985"/>
        <v>143103.34540449549</v>
      </c>
      <c r="R575">
        <f t="shared" si="986"/>
        <v>3040007.6878413698</v>
      </c>
      <c r="S575">
        <f t="shared" si="987"/>
        <v>30.400076878413699</v>
      </c>
      <c r="T575">
        <f t="shared" si="988"/>
        <v>3.0400076878413701E-2</v>
      </c>
    </row>
    <row r="576" spans="1:104" x14ac:dyDescent="0.25">
      <c r="A576" s="5">
        <v>44017</v>
      </c>
      <c r="B576">
        <v>51.42</v>
      </c>
      <c r="C576">
        <v>51.63</v>
      </c>
      <c r="D576">
        <v>50.04</v>
      </c>
      <c r="E576">
        <v>51.16</v>
      </c>
      <c r="F576">
        <v>77594.457859999995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0.40880503144653463</v>
      </c>
      <c r="Q576">
        <f t="shared" si="985"/>
        <v>31721.004785534104</v>
      </c>
      <c r="R576">
        <f t="shared" si="986"/>
        <v>2896904.3424368743</v>
      </c>
      <c r="S576">
        <f t="shared" si="987"/>
        <v>28.969043424368742</v>
      </c>
      <c r="T576">
        <f t="shared" si="988"/>
        <v>2.8969043424368741E-2</v>
      </c>
    </row>
    <row r="577" spans="1:20" x14ac:dyDescent="0.25">
      <c r="A577" s="5">
        <v>44016</v>
      </c>
      <c r="B577">
        <v>51.1</v>
      </c>
      <c r="C577">
        <v>51.84</v>
      </c>
      <c r="D577">
        <v>50.64</v>
      </c>
      <c r="E577">
        <v>51.43</v>
      </c>
      <c r="F577">
        <v>89767.307180000003</v>
      </c>
      <c r="G577">
        <v>0</v>
      </c>
      <c r="L577" t="s">
        <v>7</v>
      </c>
      <c r="M577" t="s">
        <v>7</v>
      </c>
      <c r="N577" t="s">
        <v>8</v>
      </c>
      <c r="P577">
        <f t="shared" si="984"/>
        <v>0.3166666666666621</v>
      </c>
      <c r="Q577">
        <f t="shared" si="985"/>
        <v>28426.313940332926</v>
      </c>
      <c r="R577">
        <f t="shared" si="986"/>
        <v>2865183.3376513403</v>
      </c>
      <c r="S577">
        <f t="shared" si="987"/>
        <v>28.651833376513402</v>
      </c>
      <c r="T577">
        <f t="shared" si="988"/>
        <v>2.8651833376513402E-2</v>
      </c>
    </row>
    <row r="578" spans="1:20" x14ac:dyDescent="0.25">
      <c r="A578" s="5">
        <v>44015</v>
      </c>
      <c r="B578">
        <v>51.16</v>
      </c>
      <c r="C578">
        <v>51.88</v>
      </c>
      <c r="D578">
        <v>50.6</v>
      </c>
      <c r="E578">
        <v>51.11</v>
      </c>
      <c r="F578">
        <v>110236.71278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-0.20312500000000383</v>
      </c>
      <c r="Q578">
        <f t="shared" si="985"/>
        <v>-22391.832283437921</v>
      </c>
      <c r="R578">
        <f t="shared" si="986"/>
        <v>2836757.0237110076</v>
      </c>
      <c r="S578">
        <f t="shared" si="987"/>
        <v>28.367570237110076</v>
      </c>
      <c r="T578">
        <f t="shared" si="988"/>
        <v>2.8367570237110076E-2</v>
      </c>
    </row>
    <row r="579" spans="1:20" x14ac:dyDescent="0.25">
      <c r="A579" s="5">
        <v>44014</v>
      </c>
      <c r="B579">
        <v>51.85</v>
      </c>
      <c r="C579">
        <v>53.69</v>
      </c>
      <c r="D579">
        <v>49.64</v>
      </c>
      <c r="E579">
        <v>51.18</v>
      </c>
      <c r="F579">
        <v>216227.36650999999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-0.23950617283950607</v>
      </c>
      <c r="Q579">
        <f t="shared" si="985"/>
        <v>-51787.789015975286</v>
      </c>
      <c r="R579">
        <f t="shared" si="986"/>
        <v>2859148.8559944453</v>
      </c>
      <c r="S579">
        <f t="shared" si="987"/>
        <v>28.591488559944452</v>
      </c>
      <c r="T579">
        <f t="shared" si="988"/>
        <v>2.859148855994445E-2</v>
      </c>
    </row>
    <row r="580" spans="1:20" x14ac:dyDescent="0.25">
      <c r="A580" s="5">
        <v>44013</v>
      </c>
      <c r="B580">
        <v>51.43</v>
      </c>
      <c r="C580">
        <v>52.5</v>
      </c>
      <c r="D580">
        <v>51.17</v>
      </c>
      <c r="E580">
        <v>51.86</v>
      </c>
      <c r="F580">
        <v>107712.87678999999</v>
      </c>
      <c r="G580">
        <v>0</v>
      </c>
      <c r="L580" t="s">
        <v>7</v>
      </c>
      <c r="M580" t="s">
        <v>7</v>
      </c>
      <c r="N580" t="s">
        <v>8</v>
      </c>
      <c r="P580">
        <f t="shared" si="984"/>
        <v>3.7593984962403924E-2</v>
      </c>
      <c r="Q580">
        <f t="shared" si="985"/>
        <v>4049.3562703005264</v>
      </c>
      <c r="R580">
        <f t="shared" si="986"/>
        <v>2910936.6450104206</v>
      </c>
      <c r="S580">
        <f t="shared" si="987"/>
        <v>29.109366450104204</v>
      </c>
      <c r="T580">
        <f t="shared" si="988"/>
        <v>2.9109366450104205E-2</v>
      </c>
    </row>
    <row r="581" spans="1:20" x14ac:dyDescent="0.25">
      <c r="A581" s="5">
        <v>44012</v>
      </c>
      <c r="B581">
        <v>52.44</v>
      </c>
      <c r="C581">
        <v>52.73</v>
      </c>
      <c r="D581">
        <v>50.92</v>
      </c>
      <c r="E581">
        <v>51.44</v>
      </c>
      <c r="F581">
        <v>117478.62413</v>
      </c>
      <c r="G581">
        <v>0</v>
      </c>
      <c r="L581" t="s">
        <v>7</v>
      </c>
      <c r="M581" t="s">
        <v>7</v>
      </c>
      <c r="N581" t="s">
        <v>8</v>
      </c>
      <c r="P581">
        <f t="shared" si="984"/>
        <v>-0.42541436464088683</v>
      </c>
      <c r="Q581">
        <f t="shared" si="985"/>
        <v>-49977.094243149506</v>
      </c>
      <c r="R581">
        <f t="shared" si="986"/>
        <v>2906887.2887401199</v>
      </c>
      <c r="S581">
        <f t="shared" si="987"/>
        <v>29.068872887401199</v>
      </c>
      <c r="T581">
        <f t="shared" si="988"/>
        <v>2.90688728874012E-2</v>
      </c>
    </row>
    <row r="582" spans="1:20" x14ac:dyDescent="0.25">
      <c r="A582" s="5">
        <v>44011</v>
      </c>
      <c r="B582">
        <v>51.82</v>
      </c>
      <c r="C582">
        <v>53.46</v>
      </c>
      <c r="D582">
        <v>51.41</v>
      </c>
      <c r="E582">
        <v>52.42</v>
      </c>
      <c r="F582">
        <v>185930.95355000001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-1.4634146341460473E-2</v>
      </c>
      <c r="Q582">
        <f t="shared" ref="Q582:Q645" si="990">F582*P582</f>
        <v>-2720.9407836579899</v>
      </c>
      <c r="R582">
        <f t="shared" ref="R582:R645" si="991">R583+Q582</f>
        <v>2956864.3829832692</v>
      </c>
      <c r="S582">
        <f t="shared" ref="S582:S645" si="992">R582/100000</f>
        <v>29.568643829832691</v>
      </c>
      <c r="T582">
        <f t="shared" ref="T582:T645" si="993">S582/1000</f>
        <v>2.9568643829832691E-2</v>
      </c>
    </row>
    <row r="583" spans="1:20" x14ac:dyDescent="0.25">
      <c r="A583" s="5">
        <v>44010</v>
      </c>
      <c r="B583">
        <v>52.22</v>
      </c>
      <c r="C583">
        <v>54</v>
      </c>
      <c r="D583">
        <v>51.01</v>
      </c>
      <c r="E583">
        <v>51.81</v>
      </c>
      <c r="F583">
        <v>181805.10921</v>
      </c>
      <c r="G583">
        <v>0</v>
      </c>
      <c r="L583" t="s">
        <v>7</v>
      </c>
      <c r="M583" t="s">
        <v>7</v>
      </c>
      <c r="N583" t="s">
        <v>8</v>
      </c>
      <c r="P583">
        <f t="shared" si="989"/>
        <v>-0.46488294314381023</v>
      </c>
      <c r="Q583">
        <f t="shared" si="990"/>
        <v>-84518.094248126639</v>
      </c>
      <c r="R583">
        <f t="shared" si="991"/>
        <v>2959585.3237669272</v>
      </c>
      <c r="S583">
        <f t="shared" si="992"/>
        <v>29.595853237669271</v>
      </c>
      <c r="T583">
        <f t="shared" si="993"/>
        <v>2.9595853237669272E-2</v>
      </c>
    </row>
    <row r="584" spans="1:20" x14ac:dyDescent="0.25">
      <c r="A584" s="5">
        <v>44009</v>
      </c>
      <c r="B584">
        <v>55.7</v>
      </c>
      <c r="C584">
        <v>55.74</v>
      </c>
      <c r="D584">
        <v>50.85</v>
      </c>
      <c r="E584">
        <v>52.24</v>
      </c>
      <c r="F584">
        <v>139596.35329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-0.43149284253578718</v>
      </c>
      <c r="Q584">
        <f t="shared" si="990"/>
        <v>-60234.827288732085</v>
      </c>
      <c r="R584">
        <f t="shared" si="991"/>
        <v>3044103.418015054</v>
      </c>
      <c r="S584">
        <f t="shared" si="992"/>
        <v>30.441034180150538</v>
      </c>
      <c r="T584">
        <f t="shared" si="993"/>
        <v>3.0441034180150539E-2</v>
      </c>
    </row>
    <row r="585" spans="1:20" x14ac:dyDescent="0.25">
      <c r="A585" s="5">
        <v>44008</v>
      </c>
      <c r="B585">
        <v>55.83</v>
      </c>
      <c r="C585">
        <v>56.76</v>
      </c>
      <c r="D585">
        <v>54.44</v>
      </c>
      <c r="E585">
        <v>55.7</v>
      </c>
      <c r="F585">
        <v>130497.27168000001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8.6206896551728418E-2</v>
      </c>
      <c r="Q585">
        <f t="shared" si="990"/>
        <v>11249.764800000559</v>
      </c>
      <c r="R585">
        <f t="shared" si="991"/>
        <v>3104338.2453037859</v>
      </c>
      <c r="S585">
        <f t="shared" si="992"/>
        <v>31.043382453037857</v>
      </c>
      <c r="T585">
        <f t="shared" si="993"/>
        <v>3.1043382453037859E-2</v>
      </c>
    </row>
    <row r="586" spans="1:20" x14ac:dyDescent="0.25">
      <c r="A586" s="5">
        <v>44007</v>
      </c>
      <c r="B586">
        <v>55.16</v>
      </c>
      <c r="C586">
        <v>56.84</v>
      </c>
      <c r="D586">
        <v>53.02</v>
      </c>
      <c r="E586">
        <v>55.81</v>
      </c>
      <c r="F586">
        <v>156304.19164999999</v>
      </c>
      <c r="G586">
        <v>0</v>
      </c>
      <c r="L586" t="s">
        <v>8</v>
      </c>
      <c r="M586" t="s">
        <v>8</v>
      </c>
      <c r="N586" t="s">
        <v>8</v>
      </c>
      <c r="P586">
        <f t="shared" si="989"/>
        <v>0.46073298429319315</v>
      </c>
      <c r="Q586">
        <f t="shared" si="990"/>
        <v>72014.496676439696</v>
      </c>
      <c r="R586">
        <f t="shared" si="991"/>
        <v>3093088.4805037854</v>
      </c>
      <c r="S586">
        <f t="shared" si="992"/>
        <v>30.930884805037856</v>
      </c>
      <c r="T586">
        <f t="shared" si="993"/>
        <v>3.0930884805037855E-2</v>
      </c>
    </row>
    <row r="587" spans="1:20" x14ac:dyDescent="0.25">
      <c r="A587" s="5">
        <v>44006</v>
      </c>
      <c r="B587">
        <v>58.24</v>
      </c>
      <c r="C587">
        <v>59.65</v>
      </c>
      <c r="D587">
        <v>53.2</v>
      </c>
      <c r="E587">
        <v>55.2</v>
      </c>
      <c r="F587">
        <v>311980.07303000003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-0.37984496124030964</v>
      </c>
      <c r="Q587">
        <f t="shared" si="990"/>
        <v>-118504.05874782933</v>
      </c>
      <c r="R587">
        <f t="shared" si="991"/>
        <v>3021073.9838273455</v>
      </c>
      <c r="S587">
        <f t="shared" si="992"/>
        <v>30.210739838273454</v>
      </c>
      <c r="T587">
        <f t="shared" si="993"/>
        <v>3.0210739838273454E-2</v>
      </c>
    </row>
    <row r="588" spans="1:20" x14ac:dyDescent="0.25">
      <c r="A588" s="5">
        <v>44005</v>
      </c>
      <c r="B588">
        <v>53.52</v>
      </c>
      <c r="C588">
        <v>63.04</v>
      </c>
      <c r="D588">
        <v>52.43</v>
      </c>
      <c r="E588">
        <v>58.23</v>
      </c>
      <c r="F588">
        <v>405043.81877000001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9.3308199811498113E-2</v>
      </c>
      <c r="Q588">
        <f t="shared" si="990"/>
        <v>37793.90957420339</v>
      </c>
      <c r="R588">
        <f t="shared" si="991"/>
        <v>3139578.0425751749</v>
      </c>
      <c r="S588">
        <f t="shared" si="992"/>
        <v>31.395780425751749</v>
      </c>
      <c r="T588">
        <f t="shared" si="993"/>
        <v>3.1395780425751751E-2</v>
      </c>
    </row>
    <row r="589" spans="1:20" x14ac:dyDescent="0.25">
      <c r="A589" s="5">
        <v>44004</v>
      </c>
      <c r="B589">
        <v>50.5</v>
      </c>
      <c r="C589">
        <v>53.67</v>
      </c>
      <c r="D589">
        <v>50.3</v>
      </c>
      <c r="E589">
        <v>53.53</v>
      </c>
      <c r="F589">
        <v>98544.089059999998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0.91691394658753689</v>
      </c>
      <c r="Q589">
        <f t="shared" si="990"/>
        <v>90356.449612878321</v>
      </c>
      <c r="R589">
        <f t="shared" si="991"/>
        <v>3101784.1330009717</v>
      </c>
      <c r="S589">
        <f t="shared" si="992"/>
        <v>31.017841330009716</v>
      </c>
      <c r="T589">
        <f t="shared" si="993"/>
        <v>3.1017841330009715E-2</v>
      </c>
    </row>
    <row r="590" spans="1:20" x14ac:dyDescent="0.25">
      <c r="A590" s="5">
        <v>44003</v>
      </c>
      <c r="B590">
        <v>51.41</v>
      </c>
      <c r="C590">
        <v>52.11</v>
      </c>
      <c r="D590">
        <v>50.17</v>
      </c>
      <c r="E590">
        <v>50.51</v>
      </c>
      <c r="F590">
        <v>50446.639730000003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-0.64948453608247758</v>
      </c>
      <c r="Q590">
        <f t="shared" si="990"/>
        <v>-32764.312401958934</v>
      </c>
      <c r="R590">
        <f t="shared" si="991"/>
        <v>3011427.6833880935</v>
      </c>
      <c r="S590">
        <f t="shared" si="992"/>
        <v>30.114276833880936</v>
      </c>
      <c r="T590">
        <f t="shared" si="993"/>
        <v>3.0114276833880935E-2</v>
      </c>
    </row>
    <row r="591" spans="1:20" x14ac:dyDescent="0.25">
      <c r="A591" s="5">
        <v>44002</v>
      </c>
      <c r="B591">
        <v>51.39</v>
      </c>
      <c r="C591">
        <v>51.68</v>
      </c>
      <c r="D591">
        <v>50.24</v>
      </c>
      <c r="E591">
        <v>51.4</v>
      </c>
      <c r="F591">
        <v>43184.02837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0.61111111111110894</v>
      </c>
      <c r="Q591">
        <f t="shared" si="990"/>
        <v>26390.239559444351</v>
      </c>
      <c r="R591">
        <f t="shared" si="991"/>
        <v>3044191.9957900522</v>
      </c>
      <c r="S591">
        <f t="shared" si="992"/>
        <v>30.441919957900524</v>
      </c>
      <c r="T591">
        <f t="shared" si="993"/>
        <v>3.0441919957900524E-2</v>
      </c>
    </row>
    <row r="592" spans="1:20" x14ac:dyDescent="0.25">
      <c r="A592" s="5">
        <v>44001</v>
      </c>
      <c r="B592">
        <v>51.95</v>
      </c>
      <c r="C592">
        <v>52.44</v>
      </c>
      <c r="D592">
        <v>50.88</v>
      </c>
      <c r="E592">
        <v>51.41</v>
      </c>
      <c r="F592">
        <v>54267.304259999997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-0.32051282051282604</v>
      </c>
      <c r="Q592">
        <f t="shared" si="990"/>
        <v>-17393.366750000299</v>
      </c>
      <c r="R592">
        <f t="shared" si="991"/>
        <v>3017801.7562306081</v>
      </c>
      <c r="S592">
        <f t="shared" si="992"/>
        <v>30.178017562306081</v>
      </c>
      <c r="T592">
        <f t="shared" si="993"/>
        <v>3.0178017562306082E-2</v>
      </c>
    </row>
    <row r="593" spans="1:20" x14ac:dyDescent="0.25">
      <c r="A593" s="5">
        <v>44000</v>
      </c>
      <c r="B593">
        <v>52.91</v>
      </c>
      <c r="C593">
        <v>53.38</v>
      </c>
      <c r="D593">
        <v>51.21</v>
      </c>
      <c r="E593">
        <v>51.95</v>
      </c>
      <c r="F593">
        <v>55588.009720000002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-0.31797235023041343</v>
      </c>
      <c r="Q593">
        <f t="shared" si="990"/>
        <v>-17675.450095299468</v>
      </c>
      <c r="R593">
        <f t="shared" si="991"/>
        <v>3035195.1229806086</v>
      </c>
      <c r="S593">
        <f t="shared" si="992"/>
        <v>30.351951229806087</v>
      </c>
      <c r="T593">
        <f t="shared" si="993"/>
        <v>3.0351951229806086E-2</v>
      </c>
    </row>
    <row r="594" spans="1:20" x14ac:dyDescent="0.25">
      <c r="A594" s="5">
        <v>43999</v>
      </c>
      <c r="B594">
        <v>52.97</v>
      </c>
      <c r="C594">
        <v>53.56</v>
      </c>
      <c r="D594">
        <v>51.57</v>
      </c>
      <c r="E594">
        <v>52.91</v>
      </c>
      <c r="F594">
        <v>74637.311879999994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0.34673366834170349</v>
      </c>
      <c r="Q594">
        <f t="shared" si="990"/>
        <v>25879.268943316205</v>
      </c>
      <c r="R594">
        <f t="shared" si="991"/>
        <v>3052870.5730759082</v>
      </c>
      <c r="S594">
        <f t="shared" si="992"/>
        <v>30.528705730759082</v>
      </c>
      <c r="T594">
        <f t="shared" si="993"/>
        <v>3.0528705730759081E-2</v>
      </c>
    </row>
    <row r="595" spans="1:20" x14ac:dyDescent="0.25">
      <c r="A595" s="5">
        <v>43998</v>
      </c>
      <c r="B595">
        <v>52.2</v>
      </c>
      <c r="C595">
        <v>53.8</v>
      </c>
      <c r="D595">
        <v>51.74</v>
      </c>
      <c r="E595">
        <v>52.97</v>
      </c>
      <c r="F595">
        <v>109676.06241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0.19417475728155317</v>
      </c>
      <c r="Q595">
        <f t="shared" si="990"/>
        <v>21296.322798058227</v>
      </c>
      <c r="R595">
        <f t="shared" si="991"/>
        <v>3026991.3041325919</v>
      </c>
      <c r="S595">
        <f t="shared" si="992"/>
        <v>30.269913041325918</v>
      </c>
      <c r="T595">
        <f t="shared" si="993"/>
        <v>3.0269913041325917E-2</v>
      </c>
    </row>
    <row r="596" spans="1:20" x14ac:dyDescent="0.25">
      <c r="A596" s="5">
        <v>43997</v>
      </c>
      <c r="B596">
        <v>51.06</v>
      </c>
      <c r="C596">
        <v>53.15</v>
      </c>
      <c r="D596">
        <v>48.21</v>
      </c>
      <c r="E596">
        <v>52.2</v>
      </c>
      <c r="F596">
        <v>161500.26478999999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0.61538461538461697</v>
      </c>
      <c r="Q596">
        <f t="shared" si="990"/>
        <v>99384.778332307935</v>
      </c>
      <c r="R596">
        <f t="shared" si="991"/>
        <v>3005694.9813345335</v>
      </c>
      <c r="S596">
        <f t="shared" si="992"/>
        <v>30.056949813345334</v>
      </c>
      <c r="T596">
        <f t="shared" si="993"/>
        <v>3.0056949813345335E-2</v>
      </c>
    </row>
    <row r="597" spans="1:20" x14ac:dyDescent="0.25">
      <c r="A597" s="5">
        <v>43996</v>
      </c>
      <c r="B597">
        <v>52.81</v>
      </c>
      <c r="C597">
        <v>52.98</v>
      </c>
      <c r="D597">
        <v>50.48</v>
      </c>
      <c r="E597">
        <v>51.1</v>
      </c>
      <c r="F597">
        <v>59972.119930000001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-0.50399999999999634</v>
      </c>
      <c r="Q597">
        <f t="shared" si="990"/>
        <v>-30225.948444719779</v>
      </c>
      <c r="R597">
        <f t="shared" si="991"/>
        <v>2906310.2030022256</v>
      </c>
      <c r="S597">
        <f t="shared" si="992"/>
        <v>29.063102030022257</v>
      </c>
      <c r="T597">
        <f t="shared" si="993"/>
        <v>2.9063102030022256E-2</v>
      </c>
    </row>
    <row r="598" spans="1:20" x14ac:dyDescent="0.25">
      <c r="A598" s="5">
        <v>43995</v>
      </c>
      <c r="B598">
        <v>51.61</v>
      </c>
      <c r="C598">
        <v>53.04</v>
      </c>
      <c r="D598">
        <v>50.82</v>
      </c>
      <c r="E598">
        <v>52.81</v>
      </c>
      <c r="F598">
        <v>67057.725900000005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0.79279279279279546</v>
      </c>
      <c r="Q598">
        <f t="shared" si="990"/>
        <v>53162.881794594781</v>
      </c>
      <c r="R598">
        <f t="shared" si="991"/>
        <v>2936536.1514469455</v>
      </c>
      <c r="S598">
        <f t="shared" si="992"/>
        <v>29.365361514469456</v>
      </c>
      <c r="T598">
        <f t="shared" si="993"/>
        <v>2.9365361514469456E-2</v>
      </c>
    </row>
    <row r="599" spans="1:20" x14ac:dyDescent="0.25">
      <c r="A599" s="5">
        <v>43994</v>
      </c>
      <c r="B599">
        <v>49.63</v>
      </c>
      <c r="C599">
        <v>52.49</v>
      </c>
      <c r="D599">
        <v>48.24</v>
      </c>
      <c r="E599">
        <v>51.61</v>
      </c>
      <c r="F599">
        <v>117138.00585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0.5858823529411753</v>
      </c>
      <c r="Q599">
        <f t="shared" si="990"/>
        <v>68629.09048623516</v>
      </c>
      <c r="R599">
        <f t="shared" si="991"/>
        <v>2883373.2696523508</v>
      </c>
      <c r="S599">
        <f t="shared" si="992"/>
        <v>28.833732696523509</v>
      </c>
      <c r="T599">
        <f t="shared" si="993"/>
        <v>2.883373269652351E-2</v>
      </c>
    </row>
    <row r="600" spans="1:20" x14ac:dyDescent="0.25">
      <c r="A600" s="5">
        <v>43993</v>
      </c>
      <c r="B600">
        <v>55.19</v>
      </c>
      <c r="C600">
        <v>55.53</v>
      </c>
      <c r="D600">
        <v>49.02</v>
      </c>
      <c r="E600">
        <v>49.64</v>
      </c>
      <c r="F600">
        <v>194244.95201000001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-0.8095238095238102</v>
      </c>
      <c r="Q600">
        <f t="shared" si="990"/>
        <v>-157245.91353190489</v>
      </c>
      <c r="R600">
        <f t="shared" si="991"/>
        <v>2814744.1791661158</v>
      </c>
      <c r="S600">
        <f t="shared" si="992"/>
        <v>28.147441791661159</v>
      </c>
      <c r="T600">
        <f t="shared" si="993"/>
        <v>2.8147441791661159E-2</v>
      </c>
    </row>
    <row r="601" spans="1:20" x14ac:dyDescent="0.25">
      <c r="A601" s="5">
        <v>43992</v>
      </c>
      <c r="B601">
        <v>51.99</v>
      </c>
      <c r="C601">
        <v>55.51</v>
      </c>
      <c r="D601">
        <v>51.76</v>
      </c>
      <c r="E601">
        <v>55.21</v>
      </c>
      <c r="F601">
        <v>148338.99682999999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0.84000000000000152</v>
      </c>
      <c r="Q601">
        <f t="shared" si="990"/>
        <v>124604.75733720022</v>
      </c>
      <c r="R601">
        <f t="shared" si="991"/>
        <v>2971990.0926980209</v>
      </c>
      <c r="S601">
        <f t="shared" si="992"/>
        <v>29.719900926980209</v>
      </c>
      <c r="T601">
        <f t="shared" si="993"/>
        <v>2.9719900926980208E-2</v>
      </c>
    </row>
    <row r="602" spans="1:20" x14ac:dyDescent="0.25">
      <c r="A602" s="5">
        <v>43991</v>
      </c>
      <c r="B602">
        <v>52.5</v>
      </c>
      <c r="C602">
        <v>53.51</v>
      </c>
      <c r="D602">
        <v>51</v>
      </c>
      <c r="E602">
        <v>51.98</v>
      </c>
      <c r="F602">
        <v>74642.312550000002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-0.21912350597609748</v>
      </c>
      <c r="Q602">
        <f t="shared" si="990"/>
        <v>-16355.885220119661</v>
      </c>
      <c r="R602">
        <f t="shared" si="991"/>
        <v>2847385.3353608204</v>
      </c>
      <c r="S602">
        <f t="shared" si="992"/>
        <v>28.473853353608202</v>
      </c>
      <c r="T602">
        <f t="shared" si="993"/>
        <v>2.8473853353608202E-2</v>
      </c>
    </row>
    <row r="603" spans="1:20" x14ac:dyDescent="0.25">
      <c r="A603" s="5">
        <v>43990</v>
      </c>
      <c r="B603">
        <v>52.23</v>
      </c>
      <c r="C603">
        <v>52.61</v>
      </c>
      <c r="D603">
        <v>51.52</v>
      </c>
      <c r="E603">
        <v>52.5</v>
      </c>
      <c r="F603">
        <v>56876.611850000001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0.79816513761467922</v>
      </c>
      <c r="Q603">
        <f t="shared" si="990"/>
        <v>45396.928724311947</v>
      </c>
      <c r="R603">
        <f t="shared" si="991"/>
        <v>2863741.2205809401</v>
      </c>
      <c r="S603">
        <f t="shared" si="992"/>
        <v>28.637412205809401</v>
      </c>
      <c r="T603">
        <f t="shared" si="993"/>
        <v>2.8637412205809402E-2</v>
      </c>
    </row>
    <row r="604" spans="1:20" x14ac:dyDescent="0.25">
      <c r="A604" s="5">
        <v>43989</v>
      </c>
      <c r="B604">
        <v>52.82</v>
      </c>
      <c r="C604">
        <v>53.15</v>
      </c>
      <c r="D604">
        <v>50.59</v>
      </c>
      <c r="E604">
        <v>52.21</v>
      </c>
      <c r="F604">
        <v>69689.715549999994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0.26562500000000039</v>
      </c>
      <c r="Q604">
        <f t="shared" si="990"/>
        <v>18511.330692968775</v>
      </c>
      <c r="R604">
        <f t="shared" si="991"/>
        <v>2818344.2918566284</v>
      </c>
      <c r="S604">
        <f t="shared" si="992"/>
        <v>28.183442918566282</v>
      </c>
      <c r="T604">
        <f t="shared" si="993"/>
        <v>2.8183442918566282E-2</v>
      </c>
    </row>
    <row r="605" spans="1:20" x14ac:dyDescent="0.25">
      <c r="A605" s="5">
        <v>43988</v>
      </c>
      <c r="B605">
        <v>52.56</v>
      </c>
      <c r="C605">
        <v>53.86</v>
      </c>
      <c r="D605">
        <v>51.81</v>
      </c>
      <c r="E605">
        <v>52.83</v>
      </c>
      <c r="F605">
        <v>72909.627299999993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-4.8780487804903072E-3</v>
      </c>
      <c r="Q605">
        <f t="shared" si="990"/>
        <v>-355.65671853676776</v>
      </c>
      <c r="R605">
        <f t="shared" si="991"/>
        <v>2799832.9611636596</v>
      </c>
      <c r="S605">
        <f t="shared" si="992"/>
        <v>27.998329611636596</v>
      </c>
      <c r="T605">
        <f t="shared" si="993"/>
        <v>2.7998329611636594E-2</v>
      </c>
    </row>
    <row r="606" spans="1:20" x14ac:dyDescent="0.25">
      <c r="A606" s="5">
        <v>43987</v>
      </c>
      <c r="B606">
        <v>52.19</v>
      </c>
      <c r="C606">
        <v>54.42</v>
      </c>
      <c r="D606">
        <v>51.97</v>
      </c>
      <c r="E606">
        <v>52.57</v>
      </c>
      <c r="F606">
        <v>118203.00943999999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-0.51020408163265252</v>
      </c>
      <c r="Q606">
        <f t="shared" si="990"/>
        <v>-60307.657877550955</v>
      </c>
      <c r="R606">
        <f t="shared" si="991"/>
        <v>2800188.6178821963</v>
      </c>
      <c r="S606">
        <f t="shared" si="992"/>
        <v>28.001886178821962</v>
      </c>
      <c r="T606">
        <f t="shared" si="993"/>
        <v>2.8001886178821961E-2</v>
      </c>
    </row>
    <row r="607" spans="1:20" x14ac:dyDescent="0.25">
      <c r="A607" s="5">
        <v>43986</v>
      </c>
      <c r="B607">
        <v>52.88</v>
      </c>
      <c r="C607">
        <v>53.45</v>
      </c>
      <c r="D607">
        <v>50.94</v>
      </c>
      <c r="E607">
        <v>52.24</v>
      </c>
      <c r="F607">
        <v>84456.257719999994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3.5856573705180569E-2</v>
      </c>
      <c r="Q607">
        <f t="shared" si="990"/>
        <v>3028.3120298009053</v>
      </c>
      <c r="R607">
        <f t="shared" si="991"/>
        <v>2860496.2757597473</v>
      </c>
      <c r="S607">
        <f t="shared" si="992"/>
        <v>28.604962757597473</v>
      </c>
      <c r="T607">
        <f t="shared" si="993"/>
        <v>2.8604962757597472E-2</v>
      </c>
    </row>
    <row r="608" spans="1:20" x14ac:dyDescent="0.25">
      <c r="A608" s="5">
        <v>43985</v>
      </c>
      <c r="B608">
        <v>51.5</v>
      </c>
      <c r="C608">
        <v>53.11</v>
      </c>
      <c r="D608">
        <v>50.42</v>
      </c>
      <c r="E608">
        <v>52.83</v>
      </c>
      <c r="F608">
        <v>124259.88759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0.79182156133828896</v>
      </c>
      <c r="Q608">
        <f t="shared" si="990"/>
        <v>98391.658203234081</v>
      </c>
      <c r="R608">
        <f t="shared" si="991"/>
        <v>2857467.9637299464</v>
      </c>
      <c r="S608">
        <f t="shared" si="992"/>
        <v>28.574679637299464</v>
      </c>
      <c r="T608">
        <f t="shared" si="993"/>
        <v>2.8574679637299465E-2</v>
      </c>
    </row>
    <row r="609" spans="1:20" x14ac:dyDescent="0.25">
      <c r="A609" s="5">
        <v>43984</v>
      </c>
      <c r="B609">
        <v>54.7</v>
      </c>
      <c r="C609">
        <v>55.37</v>
      </c>
      <c r="D609">
        <v>50.16</v>
      </c>
      <c r="E609">
        <v>51.48</v>
      </c>
      <c r="F609">
        <v>208835.97287999999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-0.49328214971209211</v>
      </c>
      <c r="Q609">
        <f t="shared" si="990"/>
        <v>-103015.05763946257</v>
      </c>
      <c r="R609">
        <f t="shared" si="991"/>
        <v>2759076.3055267124</v>
      </c>
      <c r="S609">
        <f t="shared" si="992"/>
        <v>27.590763055267125</v>
      </c>
      <c r="T609">
        <f t="shared" si="993"/>
        <v>2.7590763055267125E-2</v>
      </c>
    </row>
    <row r="610" spans="1:20" x14ac:dyDescent="0.25">
      <c r="A610" s="5">
        <v>43983</v>
      </c>
      <c r="B610">
        <v>51.53</v>
      </c>
      <c r="C610">
        <v>55.03</v>
      </c>
      <c r="D610">
        <v>50.84</v>
      </c>
      <c r="E610">
        <v>54.65</v>
      </c>
      <c r="F610">
        <v>192336.41245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0.81861575178997481</v>
      </c>
      <c r="Q610">
        <f t="shared" si="990"/>
        <v>157449.61687434342</v>
      </c>
      <c r="R610">
        <f t="shared" si="991"/>
        <v>2862091.3631661749</v>
      </c>
      <c r="S610">
        <f t="shared" si="992"/>
        <v>28.62091363166175</v>
      </c>
      <c r="T610">
        <f t="shared" si="993"/>
        <v>2.8620913631661752E-2</v>
      </c>
    </row>
    <row r="611" spans="1:20" x14ac:dyDescent="0.25">
      <c r="A611" s="5">
        <v>43982</v>
      </c>
      <c r="B611">
        <v>54.55</v>
      </c>
      <c r="C611">
        <v>55.72</v>
      </c>
      <c r="D611">
        <v>50.62</v>
      </c>
      <c r="E611">
        <v>51.51</v>
      </c>
      <c r="F611">
        <v>236350.78498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-0.65098039215686265</v>
      </c>
      <c r="Q611">
        <f t="shared" si="990"/>
        <v>-153859.72669286272</v>
      </c>
      <c r="R611">
        <f t="shared" si="991"/>
        <v>2704641.7462918316</v>
      </c>
      <c r="S611">
        <f t="shared" si="992"/>
        <v>27.046417462918317</v>
      </c>
      <c r="T611">
        <f t="shared" si="993"/>
        <v>2.7046417462918318E-2</v>
      </c>
    </row>
    <row r="612" spans="1:20" x14ac:dyDescent="0.25">
      <c r="A612" s="5">
        <v>43981</v>
      </c>
      <c r="B612">
        <v>46.63</v>
      </c>
      <c r="C612">
        <v>56.39</v>
      </c>
      <c r="D612">
        <v>46.21</v>
      </c>
      <c r="E612">
        <v>54.55</v>
      </c>
      <c r="F612">
        <v>298240.86080000002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0.63850687622789715</v>
      </c>
      <c r="Q612">
        <f t="shared" si="990"/>
        <v>190428.84039292712</v>
      </c>
      <c r="R612">
        <f t="shared" si="991"/>
        <v>2858501.4729846944</v>
      </c>
      <c r="S612">
        <f t="shared" si="992"/>
        <v>28.585014729846943</v>
      </c>
      <c r="T612">
        <f t="shared" si="993"/>
        <v>2.8585014729846942E-2</v>
      </c>
    </row>
    <row r="613" spans="1:20" x14ac:dyDescent="0.25">
      <c r="A613" s="5">
        <v>43980</v>
      </c>
      <c r="B613">
        <v>47.74</v>
      </c>
      <c r="C613">
        <v>48.01</v>
      </c>
      <c r="D613">
        <v>46.14</v>
      </c>
      <c r="E613">
        <v>46.6</v>
      </c>
      <c r="F613">
        <v>65165.747009999999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-0.50802139037432992</v>
      </c>
      <c r="Q613">
        <f t="shared" si="990"/>
        <v>-33105.593400802034</v>
      </c>
      <c r="R613">
        <f t="shared" si="991"/>
        <v>2668072.6325917672</v>
      </c>
      <c r="S613">
        <f t="shared" si="992"/>
        <v>26.680726325917671</v>
      </c>
      <c r="T613">
        <f t="shared" si="993"/>
        <v>2.6680726325917673E-2</v>
      </c>
    </row>
    <row r="614" spans="1:20" x14ac:dyDescent="0.25">
      <c r="A614" s="5">
        <v>43979</v>
      </c>
      <c r="B614">
        <v>46.21</v>
      </c>
      <c r="C614">
        <v>47.73</v>
      </c>
      <c r="D614">
        <v>45.77</v>
      </c>
      <c r="E614">
        <v>47.73</v>
      </c>
      <c r="F614">
        <v>69062.696419999993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1</v>
      </c>
      <c r="Q614">
        <f t="shared" si="990"/>
        <v>69062.696419999993</v>
      </c>
      <c r="R614">
        <f t="shared" si="991"/>
        <v>2701178.2259925692</v>
      </c>
      <c r="S614">
        <f t="shared" si="992"/>
        <v>27.011782259925692</v>
      </c>
      <c r="T614">
        <f t="shared" si="993"/>
        <v>2.701178225992569E-2</v>
      </c>
    </row>
    <row r="615" spans="1:20" x14ac:dyDescent="0.25">
      <c r="A615" s="5">
        <v>43978</v>
      </c>
      <c r="B615">
        <v>44.84</v>
      </c>
      <c r="C615">
        <v>46.26</v>
      </c>
      <c r="D615">
        <v>44.44</v>
      </c>
      <c r="E615">
        <v>46.21</v>
      </c>
      <c r="F615">
        <v>85189.501629999999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0.94505494505494814</v>
      </c>
      <c r="Q615">
        <f t="shared" si="990"/>
        <v>80508.75978219806</v>
      </c>
      <c r="R615">
        <f t="shared" si="991"/>
        <v>2632115.5295725693</v>
      </c>
      <c r="S615">
        <f t="shared" si="992"/>
        <v>26.321155295725692</v>
      </c>
      <c r="T615">
        <f t="shared" si="993"/>
        <v>2.6321155295725693E-2</v>
      </c>
    </row>
    <row r="616" spans="1:20" x14ac:dyDescent="0.25">
      <c r="A616" s="5">
        <v>43977</v>
      </c>
      <c r="B616">
        <v>45.98</v>
      </c>
      <c r="C616">
        <v>46.2</v>
      </c>
      <c r="D616">
        <v>44.15</v>
      </c>
      <c r="E616">
        <v>44.85</v>
      </c>
      <c r="F616">
        <v>88439.486430000004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-0.31707317073170599</v>
      </c>
      <c r="Q616">
        <f t="shared" si="990"/>
        <v>-28041.788380243786</v>
      </c>
      <c r="R616">
        <f t="shared" si="991"/>
        <v>2551606.7697903714</v>
      </c>
      <c r="S616">
        <f t="shared" si="992"/>
        <v>25.516067697903715</v>
      </c>
      <c r="T616">
        <f t="shared" si="993"/>
        <v>2.5516067697903714E-2</v>
      </c>
    </row>
    <row r="617" spans="1:20" x14ac:dyDescent="0.25">
      <c r="A617" s="5">
        <v>43976</v>
      </c>
      <c r="B617">
        <v>44.99</v>
      </c>
      <c r="C617">
        <v>46.08</v>
      </c>
      <c r="D617">
        <v>44.83</v>
      </c>
      <c r="E617">
        <v>45.94</v>
      </c>
      <c r="F617">
        <v>69875.090530000001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0.77599999999999913</v>
      </c>
      <c r="Q617">
        <f t="shared" si="990"/>
        <v>54223.07025127994</v>
      </c>
      <c r="R617">
        <f t="shared" si="991"/>
        <v>2579648.5581706152</v>
      </c>
      <c r="S617">
        <f t="shared" si="992"/>
        <v>25.796485581706154</v>
      </c>
      <c r="T617">
        <f t="shared" si="993"/>
        <v>2.5796485581706153E-2</v>
      </c>
    </row>
    <row r="618" spans="1:20" x14ac:dyDescent="0.25">
      <c r="A618" s="5">
        <v>43975</v>
      </c>
      <c r="B618">
        <v>46.89</v>
      </c>
      <c r="C618">
        <v>47.82</v>
      </c>
      <c r="D618">
        <v>44.95</v>
      </c>
      <c r="E618">
        <v>45</v>
      </c>
      <c r="F618">
        <v>80511.095549999998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-0.96515679442508906</v>
      </c>
      <c r="Q618">
        <f t="shared" si="990"/>
        <v>-77705.830896690051</v>
      </c>
      <c r="R618">
        <f t="shared" si="991"/>
        <v>2525425.4879193353</v>
      </c>
      <c r="S618">
        <f t="shared" si="992"/>
        <v>25.254254879193354</v>
      </c>
      <c r="T618">
        <f t="shared" si="993"/>
        <v>2.5254254879193354E-2</v>
      </c>
    </row>
    <row r="619" spans="1:20" x14ac:dyDescent="0.25">
      <c r="A619" s="5">
        <v>43974</v>
      </c>
      <c r="B619">
        <v>47.68</v>
      </c>
      <c r="C619">
        <v>48.42</v>
      </c>
      <c r="D619">
        <v>46.56</v>
      </c>
      <c r="E619">
        <v>46.91</v>
      </c>
      <c r="F619">
        <v>62282.406360000001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-0.62365591397850062</v>
      </c>
      <c r="Q619">
        <f t="shared" si="990"/>
        <v>-38842.791063226177</v>
      </c>
      <c r="R619">
        <f t="shared" si="991"/>
        <v>2603131.3188160253</v>
      </c>
      <c r="S619">
        <f t="shared" si="992"/>
        <v>26.031313188160254</v>
      </c>
      <c r="T619">
        <f t="shared" si="993"/>
        <v>2.6031313188160255E-2</v>
      </c>
    </row>
    <row r="620" spans="1:20" x14ac:dyDescent="0.25">
      <c r="A620" s="5">
        <v>43973</v>
      </c>
      <c r="B620">
        <v>45.97</v>
      </c>
      <c r="C620">
        <v>48.37</v>
      </c>
      <c r="D620">
        <v>45.36</v>
      </c>
      <c r="E620">
        <v>47.7</v>
      </c>
      <c r="F620">
        <v>140667.95186999999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0.55481727574751161</v>
      </c>
      <c r="Q620">
        <f t="shared" si="990"/>
        <v>78045.00984149547</v>
      </c>
      <c r="R620">
        <f t="shared" si="991"/>
        <v>2641974.1098792516</v>
      </c>
      <c r="S620">
        <f t="shared" si="992"/>
        <v>26.419741098792517</v>
      </c>
      <c r="T620">
        <f t="shared" si="993"/>
        <v>2.6419741098792516E-2</v>
      </c>
    </row>
    <row r="621" spans="1:20" x14ac:dyDescent="0.25">
      <c r="A621" s="5">
        <v>43972</v>
      </c>
      <c r="B621">
        <v>48.36</v>
      </c>
      <c r="C621">
        <v>48.8</v>
      </c>
      <c r="D621">
        <v>44.41</v>
      </c>
      <c r="E621">
        <v>46</v>
      </c>
      <c r="F621">
        <v>195565.05932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-0.27562642369020357</v>
      </c>
      <c r="Q621">
        <f t="shared" si="990"/>
        <v>-53902.897899134114</v>
      </c>
      <c r="R621">
        <f t="shared" si="991"/>
        <v>2563929.1000377559</v>
      </c>
      <c r="S621">
        <f t="shared" si="992"/>
        <v>25.639291000377558</v>
      </c>
      <c r="T621">
        <f t="shared" si="993"/>
        <v>2.5639291000377557E-2</v>
      </c>
    </row>
    <row r="622" spans="1:20" x14ac:dyDescent="0.25">
      <c r="A622" s="5">
        <v>43971</v>
      </c>
      <c r="B622">
        <v>48.95</v>
      </c>
      <c r="C622">
        <v>50.45</v>
      </c>
      <c r="D622">
        <v>46.56</v>
      </c>
      <c r="E622">
        <v>48.39</v>
      </c>
      <c r="F622">
        <v>214827.78602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-5.9125964010283791E-2</v>
      </c>
      <c r="Q622">
        <f t="shared" si="990"/>
        <v>-12701.899944627467</v>
      </c>
      <c r="R622">
        <f t="shared" si="991"/>
        <v>2617831.99793689</v>
      </c>
      <c r="S622">
        <f t="shared" si="992"/>
        <v>26.178319979368901</v>
      </c>
      <c r="T622">
        <f t="shared" si="993"/>
        <v>2.61783199793689E-2</v>
      </c>
    </row>
    <row r="623" spans="1:20" x14ac:dyDescent="0.25">
      <c r="A623" s="5">
        <v>43970</v>
      </c>
      <c r="B623">
        <v>48.1</v>
      </c>
      <c r="C623">
        <v>49</v>
      </c>
      <c r="D623">
        <v>46.41</v>
      </c>
      <c r="E623">
        <v>48.97</v>
      </c>
      <c r="F623">
        <v>169681.93145999999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0.97683397683397599</v>
      </c>
      <c r="Q623">
        <f t="shared" si="990"/>
        <v>165751.07590494194</v>
      </c>
      <c r="R623">
        <f t="shared" si="991"/>
        <v>2630533.8978815177</v>
      </c>
      <c r="S623">
        <f t="shared" si="992"/>
        <v>26.305338978815175</v>
      </c>
      <c r="T623">
        <f t="shared" si="993"/>
        <v>2.6305338978815176E-2</v>
      </c>
    </row>
    <row r="624" spans="1:20" x14ac:dyDescent="0.25">
      <c r="A624" s="5">
        <v>43969</v>
      </c>
      <c r="B624">
        <v>46.25</v>
      </c>
      <c r="C624">
        <v>49.63</v>
      </c>
      <c r="D624">
        <v>46.22</v>
      </c>
      <c r="E624">
        <v>48.07</v>
      </c>
      <c r="F624">
        <v>286614.09528000001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8.5043988269794382E-2</v>
      </c>
      <c r="Q624">
        <f t="shared" si="990"/>
        <v>24374.805756950049</v>
      </c>
      <c r="R624">
        <f t="shared" si="991"/>
        <v>2464782.8219765755</v>
      </c>
      <c r="S624">
        <f t="shared" si="992"/>
        <v>24.647828219765756</v>
      </c>
      <c r="T624">
        <f t="shared" si="993"/>
        <v>2.4647828219765758E-2</v>
      </c>
    </row>
    <row r="625" spans="1:20" x14ac:dyDescent="0.25">
      <c r="A625" s="5">
        <v>43968</v>
      </c>
      <c r="B625">
        <v>42.5</v>
      </c>
      <c r="C625">
        <v>47.5</v>
      </c>
      <c r="D625">
        <v>42.45</v>
      </c>
      <c r="E625">
        <v>46.25</v>
      </c>
      <c r="F625">
        <v>245850.43166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0.50495049504950462</v>
      </c>
      <c r="Q625">
        <f t="shared" si="990"/>
        <v>124142.29717485141</v>
      </c>
      <c r="R625">
        <f t="shared" si="991"/>
        <v>2440408.0162196257</v>
      </c>
      <c r="S625">
        <f t="shared" si="992"/>
        <v>24.404080162196259</v>
      </c>
      <c r="T625">
        <f t="shared" si="993"/>
        <v>2.4404080162196258E-2</v>
      </c>
    </row>
    <row r="626" spans="1:20" x14ac:dyDescent="0.25">
      <c r="A626" s="5">
        <v>43967</v>
      </c>
      <c r="B626">
        <v>41.88</v>
      </c>
      <c r="C626">
        <v>42.96</v>
      </c>
      <c r="D626">
        <v>41.61</v>
      </c>
      <c r="E626">
        <v>42.51</v>
      </c>
      <c r="F626">
        <v>94758.423779999997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0.33333333333332982</v>
      </c>
      <c r="Q626">
        <f t="shared" si="990"/>
        <v>31586.141259999666</v>
      </c>
      <c r="R626">
        <f t="shared" si="991"/>
        <v>2316265.7190447743</v>
      </c>
      <c r="S626">
        <f t="shared" si="992"/>
        <v>23.162657190447742</v>
      </c>
      <c r="T626">
        <f t="shared" si="993"/>
        <v>2.3162657190447741E-2</v>
      </c>
    </row>
    <row r="627" spans="1:20" x14ac:dyDescent="0.25">
      <c r="A627" s="5">
        <v>43966</v>
      </c>
      <c r="B627">
        <v>43.18</v>
      </c>
      <c r="C627">
        <v>43.43</v>
      </c>
      <c r="D627">
        <v>41.4</v>
      </c>
      <c r="E627">
        <v>41.87</v>
      </c>
      <c r="F627">
        <v>84542.041379999995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-0.53694581280788312</v>
      </c>
      <c r="Q627">
        <f t="shared" si="990"/>
        <v>-45394.495125221787</v>
      </c>
      <c r="R627">
        <f t="shared" si="991"/>
        <v>2284679.5777847748</v>
      </c>
      <c r="S627">
        <f t="shared" si="992"/>
        <v>22.846795777847749</v>
      </c>
      <c r="T627">
        <f t="shared" si="993"/>
        <v>2.2846795777847748E-2</v>
      </c>
    </row>
    <row r="628" spans="1:20" x14ac:dyDescent="0.25">
      <c r="A628" s="5">
        <v>43965</v>
      </c>
      <c r="B628">
        <v>42.89</v>
      </c>
      <c r="C628">
        <v>43.59</v>
      </c>
      <c r="D628">
        <v>41.98</v>
      </c>
      <c r="E628">
        <v>43.2</v>
      </c>
      <c r="F628">
        <v>99315.846950000006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0.51552795031056031</v>
      </c>
      <c r="Q628">
        <f t="shared" si="990"/>
        <v>51200.095011490819</v>
      </c>
      <c r="R628">
        <f t="shared" si="991"/>
        <v>2330074.0729099968</v>
      </c>
      <c r="S628">
        <f t="shared" si="992"/>
        <v>23.300740729099967</v>
      </c>
      <c r="T628">
        <f t="shared" si="993"/>
        <v>2.3300740729099968E-2</v>
      </c>
    </row>
    <row r="629" spans="1:20" x14ac:dyDescent="0.25">
      <c r="A629" s="5">
        <v>43964</v>
      </c>
      <c r="B629">
        <v>42.19</v>
      </c>
      <c r="C629">
        <v>43.44</v>
      </c>
      <c r="D629">
        <v>41.41</v>
      </c>
      <c r="E629">
        <v>42.89</v>
      </c>
      <c r="F629">
        <v>72566.542579999994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0.45812807881773709</v>
      </c>
      <c r="Q629">
        <f t="shared" si="990"/>
        <v>33244.770738620915</v>
      </c>
      <c r="R629">
        <f t="shared" si="991"/>
        <v>2278873.977898506</v>
      </c>
      <c r="S629">
        <f t="shared" si="992"/>
        <v>22.788739778985061</v>
      </c>
      <c r="T629">
        <f t="shared" si="993"/>
        <v>2.2788739778985059E-2</v>
      </c>
    </row>
    <row r="630" spans="1:20" x14ac:dyDescent="0.25">
      <c r="A630" s="5">
        <v>43963</v>
      </c>
      <c r="B630">
        <v>39.700000000000003</v>
      </c>
      <c r="C630">
        <v>42.93</v>
      </c>
      <c r="D630">
        <v>39.56</v>
      </c>
      <c r="E630">
        <v>42.21</v>
      </c>
      <c r="F630">
        <v>127588.81806000001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0.57270029673590539</v>
      </c>
      <c r="Q630">
        <f t="shared" si="990"/>
        <v>73070.153963145451</v>
      </c>
      <c r="R630">
        <f t="shared" si="991"/>
        <v>2245629.2071598852</v>
      </c>
      <c r="S630">
        <f t="shared" si="992"/>
        <v>22.456292071598853</v>
      </c>
      <c r="T630">
        <f t="shared" si="993"/>
        <v>2.2456292071598851E-2</v>
      </c>
    </row>
    <row r="631" spans="1:20" x14ac:dyDescent="0.25">
      <c r="A631" s="5">
        <v>43962</v>
      </c>
      <c r="B631">
        <v>40.869999999999997</v>
      </c>
      <c r="C631">
        <v>41.78</v>
      </c>
      <c r="D631">
        <v>37.85</v>
      </c>
      <c r="E631">
        <v>39.68</v>
      </c>
      <c r="F631">
        <v>156382.54540999999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-6.8702290076336672E-2</v>
      </c>
      <c r="Q631">
        <f t="shared" si="990"/>
        <v>-10743.838997633711</v>
      </c>
      <c r="R631">
        <f t="shared" si="991"/>
        <v>2172559.0531967399</v>
      </c>
      <c r="S631">
        <f t="shared" si="992"/>
        <v>21.725590531967399</v>
      </c>
      <c r="T631">
        <f t="shared" si="993"/>
        <v>2.17255905319674E-2</v>
      </c>
    </row>
    <row r="632" spans="1:20" x14ac:dyDescent="0.25">
      <c r="A632" s="5">
        <v>43961</v>
      </c>
      <c r="B632">
        <v>44.99</v>
      </c>
      <c r="C632">
        <v>45.05</v>
      </c>
      <c r="D632">
        <v>38.72</v>
      </c>
      <c r="E632">
        <v>40.9</v>
      </c>
      <c r="F632">
        <v>221942.72299000001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-0.31121642969984192</v>
      </c>
      <c r="Q632">
        <f t="shared" si="990"/>
        <v>-69072.221846808825</v>
      </c>
      <c r="R632">
        <f t="shared" si="991"/>
        <v>2183302.8921943735</v>
      </c>
      <c r="S632">
        <f t="shared" si="992"/>
        <v>21.833028921943736</v>
      </c>
      <c r="T632">
        <f t="shared" si="993"/>
        <v>2.1833028921943737E-2</v>
      </c>
    </row>
    <row r="633" spans="1:20" x14ac:dyDescent="0.25">
      <c r="A633" s="5">
        <v>43960</v>
      </c>
      <c r="B633">
        <v>46.78</v>
      </c>
      <c r="C633">
        <v>47.5</v>
      </c>
      <c r="D633">
        <v>44.71</v>
      </c>
      <c r="E633">
        <v>45</v>
      </c>
      <c r="F633">
        <v>135836.72964999999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-0.79211469534050238</v>
      </c>
      <c r="Q633">
        <f t="shared" si="990"/>
        <v>-107598.26972275993</v>
      </c>
      <c r="R633">
        <f t="shared" si="991"/>
        <v>2252375.1140411822</v>
      </c>
      <c r="S633">
        <f t="shared" si="992"/>
        <v>22.523751140411822</v>
      </c>
      <c r="T633">
        <f t="shared" si="993"/>
        <v>2.2523751140411823E-2</v>
      </c>
    </row>
    <row r="634" spans="1:20" x14ac:dyDescent="0.25">
      <c r="A634" s="5">
        <v>43959</v>
      </c>
      <c r="B634">
        <v>44.17</v>
      </c>
      <c r="C634">
        <v>47.5</v>
      </c>
      <c r="D634">
        <v>43.44</v>
      </c>
      <c r="E634">
        <v>46.76</v>
      </c>
      <c r="F634">
        <v>153440.64916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0.63546798029556573</v>
      </c>
      <c r="Q634">
        <f t="shared" si="990"/>
        <v>97506.619416945701</v>
      </c>
      <c r="R634">
        <f t="shared" si="991"/>
        <v>2359973.3837639419</v>
      </c>
      <c r="S634">
        <f t="shared" si="992"/>
        <v>23.59973383763942</v>
      </c>
      <c r="T634">
        <f t="shared" si="993"/>
        <v>2.3599733837639421E-2</v>
      </c>
    </row>
    <row r="635" spans="1:20" x14ac:dyDescent="0.25">
      <c r="A635" s="5">
        <v>43958</v>
      </c>
      <c r="B635">
        <v>42.29</v>
      </c>
      <c r="C635">
        <v>44.84</v>
      </c>
      <c r="D635">
        <v>41.33</v>
      </c>
      <c r="E635">
        <v>44.17</v>
      </c>
      <c r="F635">
        <v>127005.21713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0.61823361823361778</v>
      </c>
      <c r="Q635">
        <f t="shared" si="990"/>
        <v>78518.894920826162</v>
      </c>
      <c r="R635">
        <f t="shared" si="991"/>
        <v>2262466.7643469963</v>
      </c>
      <c r="S635">
        <f t="shared" si="992"/>
        <v>22.624667643469962</v>
      </c>
      <c r="T635">
        <f t="shared" si="993"/>
        <v>2.2624667643469962E-2</v>
      </c>
    </row>
    <row r="636" spans="1:20" x14ac:dyDescent="0.25">
      <c r="A636" s="5">
        <v>43957</v>
      </c>
      <c r="B636">
        <v>43.82</v>
      </c>
      <c r="C636">
        <v>44.76</v>
      </c>
      <c r="D636">
        <v>42.12</v>
      </c>
      <c r="E636">
        <v>42.3</v>
      </c>
      <c r="F636">
        <v>80351.575540000005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-0.86363636363636387</v>
      </c>
      <c r="Q636">
        <f t="shared" si="990"/>
        <v>-69394.542511818203</v>
      </c>
      <c r="R636">
        <f t="shared" si="991"/>
        <v>2183947.8694261704</v>
      </c>
      <c r="S636">
        <f t="shared" si="992"/>
        <v>21.839478694261704</v>
      </c>
      <c r="T636">
        <f t="shared" si="993"/>
        <v>2.1839478694261703E-2</v>
      </c>
    </row>
    <row r="637" spans="1:20" x14ac:dyDescent="0.25">
      <c r="A637" s="5">
        <v>43956</v>
      </c>
      <c r="B637">
        <v>43.98</v>
      </c>
      <c r="C637">
        <v>44.86</v>
      </c>
      <c r="D637">
        <v>43.15</v>
      </c>
      <c r="E637">
        <v>43.84</v>
      </c>
      <c r="F637">
        <v>71182.58812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-0.19298245614034562</v>
      </c>
      <c r="Q637">
        <f t="shared" si="990"/>
        <v>-13736.990689824188</v>
      </c>
      <c r="R637">
        <f t="shared" si="991"/>
        <v>2253342.4119379884</v>
      </c>
      <c r="S637">
        <f t="shared" si="992"/>
        <v>22.533424119379884</v>
      </c>
      <c r="T637">
        <f t="shared" si="993"/>
        <v>2.2533424119379884E-2</v>
      </c>
    </row>
    <row r="638" spans="1:20" x14ac:dyDescent="0.25">
      <c r="A638" s="5">
        <v>43955</v>
      </c>
      <c r="B638">
        <v>44.77</v>
      </c>
      <c r="C638">
        <v>44.92</v>
      </c>
      <c r="D638">
        <v>42.21</v>
      </c>
      <c r="E638">
        <v>44.02</v>
      </c>
      <c r="F638">
        <v>114745.87841999999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0.33579335793358062</v>
      </c>
      <c r="Q638">
        <f t="shared" si="990"/>
        <v>38530.903823690183</v>
      </c>
      <c r="R638">
        <f t="shared" si="991"/>
        <v>2267079.4026278127</v>
      </c>
      <c r="S638">
        <f t="shared" si="992"/>
        <v>22.670794026278127</v>
      </c>
      <c r="T638">
        <f t="shared" si="993"/>
        <v>2.2670794026278127E-2</v>
      </c>
    </row>
    <row r="639" spans="1:20" x14ac:dyDescent="0.25">
      <c r="A639" s="5">
        <v>43954</v>
      </c>
      <c r="B639">
        <v>46.52</v>
      </c>
      <c r="C639">
        <v>46.95</v>
      </c>
      <c r="D639">
        <v>44.61</v>
      </c>
      <c r="E639">
        <v>44.78</v>
      </c>
      <c r="F639">
        <v>86548.935899999997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-0.85470085470085344</v>
      </c>
      <c r="Q639">
        <f t="shared" si="990"/>
        <v>-73973.449487179372</v>
      </c>
      <c r="R639">
        <f t="shared" si="991"/>
        <v>2228548.4988041227</v>
      </c>
      <c r="S639">
        <f t="shared" si="992"/>
        <v>22.285484988041226</v>
      </c>
      <c r="T639">
        <f t="shared" si="993"/>
        <v>2.2285484988041226E-2</v>
      </c>
    </row>
    <row r="640" spans="1:20" x14ac:dyDescent="0.25">
      <c r="A640" s="5">
        <v>43953</v>
      </c>
      <c r="B640">
        <v>45.72</v>
      </c>
      <c r="C640">
        <v>46.8</v>
      </c>
      <c r="D640">
        <v>45.05</v>
      </c>
      <c r="E640">
        <v>46.5</v>
      </c>
      <c r="F640">
        <v>59416.711589999999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0.65714285714286036</v>
      </c>
      <c r="Q640">
        <f t="shared" si="990"/>
        <v>39045.267616285906</v>
      </c>
      <c r="R640">
        <f t="shared" si="991"/>
        <v>2302521.9482913022</v>
      </c>
      <c r="S640">
        <f t="shared" si="992"/>
        <v>23.025219482913023</v>
      </c>
      <c r="T640">
        <f t="shared" si="993"/>
        <v>2.3025219482913022E-2</v>
      </c>
    </row>
    <row r="641" spans="1:20" x14ac:dyDescent="0.25">
      <c r="A641" s="5">
        <v>43952</v>
      </c>
      <c r="B641">
        <v>44.73</v>
      </c>
      <c r="C641">
        <v>46.5</v>
      </c>
      <c r="D641">
        <v>44.7</v>
      </c>
      <c r="E641">
        <v>45.73</v>
      </c>
      <c r="F641">
        <v>115418.85400000001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0.14444444444443963</v>
      </c>
      <c r="Q641">
        <f t="shared" si="990"/>
        <v>16671.612244443888</v>
      </c>
      <c r="R641">
        <f t="shared" si="991"/>
        <v>2263476.6806750163</v>
      </c>
      <c r="S641">
        <f t="shared" si="992"/>
        <v>22.634766806750161</v>
      </c>
      <c r="T641">
        <f t="shared" si="993"/>
        <v>2.263476680675016E-2</v>
      </c>
    </row>
    <row r="642" spans="1:20" x14ac:dyDescent="0.25">
      <c r="A642" s="5">
        <v>43951</v>
      </c>
      <c r="B642">
        <v>47.08</v>
      </c>
      <c r="C642">
        <v>49</v>
      </c>
      <c r="D642">
        <v>44.04</v>
      </c>
      <c r="E642">
        <v>44.76</v>
      </c>
      <c r="F642">
        <v>304871.52746000001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-0.70967741935483919</v>
      </c>
      <c r="Q642">
        <f t="shared" si="990"/>
        <v>-216360.4388425808</v>
      </c>
      <c r="R642">
        <f t="shared" si="991"/>
        <v>2246805.0684305723</v>
      </c>
      <c r="S642">
        <f t="shared" si="992"/>
        <v>22.468050684305723</v>
      </c>
      <c r="T642">
        <f t="shared" si="993"/>
        <v>2.2468050684305723E-2</v>
      </c>
    </row>
    <row r="643" spans="1:20" x14ac:dyDescent="0.25">
      <c r="A643" s="5">
        <v>43950</v>
      </c>
      <c r="B643">
        <v>44.63</v>
      </c>
      <c r="C643">
        <v>47.72</v>
      </c>
      <c r="D643">
        <v>44.56</v>
      </c>
      <c r="E643">
        <v>47.07</v>
      </c>
      <c r="F643">
        <v>271203.24754999997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0.58860759493670933</v>
      </c>
      <c r="Q643">
        <f t="shared" si="990"/>
        <v>159632.2912794305</v>
      </c>
      <c r="R643">
        <f t="shared" si="991"/>
        <v>2463165.5072731529</v>
      </c>
      <c r="S643">
        <f t="shared" si="992"/>
        <v>24.63165507273153</v>
      </c>
      <c r="T643">
        <f t="shared" si="993"/>
        <v>2.4631655072731528E-2</v>
      </c>
    </row>
    <row r="644" spans="1:20" x14ac:dyDescent="0.25">
      <c r="A644" s="5">
        <v>43949</v>
      </c>
      <c r="B644">
        <v>44.47</v>
      </c>
      <c r="C644">
        <v>44.73</v>
      </c>
      <c r="D644">
        <v>42.99</v>
      </c>
      <c r="E644">
        <v>44.62</v>
      </c>
      <c r="F644">
        <v>127223.49962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0.87356321839080486</v>
      </c>
      <c r="Q644">
        <f t="shared" si="990"/>
        <v>111137.76978298854</v>
      </c>
      <c r="R644">
        <f t="shared" si="991"/>
        <v>2303533.2159937224</v>
      </c>
      <c r="S644">
        <f t="shared" si="992"/>
        <v>23.035332159937223</v>
      </c>
      <c r="T644">
        <f t="shared" si="993"/>
        <v>2.3035332159937222E-2</v>
      </c>
    </row>
    <row r="645" spans="1:20" x14ac:dyDescent="0.25">
      <c r="A645" s="5">
        <v>43948</v>
      </c>
      <c r="B645">
        <v>44.59</v>
      </c>
      <c r="C645">
        <v>45</v>
      </c>
      <c r="D645">
        <v>42.36</v>
      </c>
      <c r="E645">
        <v>44.46</v>
      </c>
      <c r="F645">
        <v>123886.56144</v>
      </c>
      <c r="G645">
        <v>0</v>
      </c>
      <c r="L645" t="s">
        <v>7</v>
      </c>
      <c r="M645" t="s">
        <v>7</v>
      </c>
      <c r="N645" t="s">
        <v>8</v>
      </c>
      <c r="P645">
        <f t="shared" si="989"/>
        <v>0.59090909090909161</v>
      </c>
      <c r="Q645">
        <f t="shared" si="990"/>
        <v>73205.695396363721</v>
      </c>
      <c r="R645">
        <f t="shared" si="991"/>
        <v>2192395.4462107341</v>
      </c>
      <c r="S645">
        <f t="shared" si="992"/>
        <v>21.923954462107339</v>
      </c>
      <c r="T645">
        <f t="shared" si="993"/>
        <v>2.1923954462107341E-2</v>
      </c>
    </row>
    <row r="646" spans="1:20" x14ac:dyDescent="0.25">
      <c r="A646" s="5">
        <v>43947</v>
      </c>
      <c r="B646">
        <v>44.69</v>
      </c>
      <c r="C646">
        <v>45.5</v>
      </c>
      <c r="D646">
        <v>43.88</v>
      </c>
      <c r="E646">
        <v>44.59</v>
      </c>
      <c r="F646">
        <v>99451.794030000005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4">IF(C646=D646,0,((E646-D646)-(C646-E646))/(C646-D646))</f>
        <v>-0.12345679012345435</v>
      </c>
      <c r="Q646">
        <f t="shared" ref="Q646:Q709" si="995">F646*P646</f>
        <v>-12277.999262962721</v>
      </c>
      <c r="R646">
        <f t="shared" ref="R646:R709" si="996">R647+Q646</f>
        <v>2119189.7508143703</v>
      </c>
      <c r="S646">
        <f t="shared" ref="S646:S709" si="997">R646/100000</f>
        <v>21.191897508143704</v>
      </c>
      <c r="T646">
        <f t="shared" ref="T646:T709" si="998">S646/1000</f>
        <v>2.1191897508143705E-2</v>
      </c>
    </row>
    <row r="647" spans="1:20" x14ac:dyDescent="0.25">
      <c r="A647" s="5">
        <v>43946</v>
      </c>
      <c r="B647">
        <v>44.08</v>
      </c>
      <c r="C647">
        <v>45.96</v>
      </c>
      <c r="D647">
        <v>43.35</v>
      </c>
      <c r="E647">
        <v>44.7</v>
      </c>
      <c r="F647">
        <v>121787.57158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3.4482758620690966E-2</v>
      </c>
      <c r="Q647">
        <f t="shared" si="995"/>
        <v>4199.5714337932632</v>
      </c>
      <c r="R647">
        <f t="shared" si="996"/>
        <v>2131467.7500773328</v>
      </c>
      <c r="S647">
        <f t="shared" si="997"/>
        <v>21.314677500773328</v>
      </c>
      <c r="T647">
        <f t="shared" si="998"/>
        <v>2.131467750077333E-2</v>
      </c>
    </row>
    <row r="648" spans="1:20" x14ac:dyDescent="0.25">
      <c r="A648" s="5">
        <v>43945</v>
      </c>
      <c r="B648">
        <v>44.48</v>
      </c>
      <c r="C648">
        <v>45.33</v>
      </c>
      <c r="D648">
        <v>43.87</v>
      </c>
      <c r="E648">
        <v>44.08</v>
      </c>
      <c r="F648">
        <v>104624.48252000001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-0.71232876712328663</v>
      </c>
      <c r="Q648">
        <f t="shared" si="995"/>
        <v>-74527.028644383463</v>
      </c>
      <c r="R648">
        <f t="shared" si="996"/>
        <v>2127268.1786435395</v>
      </c>
      <c r="S648">
        <f t="shared" si="997"/>
        <v>21.272681786435395</v>
      </c>
      <c r="T648">
        <f t="shared" si="998"/>
        <v>2.1272681786435394E-2</v>
      </c>
    </row>
    <row r="649" spans="1:20" x14ac:dyDescent="0.25">
      <c r="A649" s="5">
        <v>43944</v>
      </c>
      <c r="B649">
        <v>45.52</v>
      </c>
      <c r="C649">
        <v>46.59</v>
      </c>
      <c r="D649">
        <v>43.74</v>
      </c>
      <c r="E649">
        <v>44.46</v>
      </c>
      <c r="F649">
        <v>242475.87542999999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-0.4947368421052642</v>
      </c>
      <c r="Q649">
        <f t="shared" si="995"/>
        <v>-119961.74889694761</v>
      </c>
      <c r="R649">
        <f t="shared" si="996"/>
        <v>2201795.207287923</v>
      </c>
      <c r="S649">
        <f t="shared" si="997"/>
        <v>22.017952072879229</v>
      </c>
      <c r="T649">
        <f t="shared" si="998"/>
        <v>2.2017952072879231E-2</v>
      </c>
    </row>
    <row r="650" spans="1:20" x14ac:dyDescent="0.25">
      <c r="A650" s="5">
        <v>43943</v>
      </c>
      <c r="B650">
        <v>42.08</v>
      </c>
      <c r="C650">
        <v>45.59</v>
      </c>
      <c r="D650">
        <v>41.81</v>
      </c>
      <c r="E650">
        <v>45.53</v>
      </c>
      <c r="F650">
        <v>213823.04234000001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0.96825396825396703</v>
      </c>
      <c r="Q650">
        <f t="shared" si="995"/>
        <v>207035.00924984104</v>
      </c>
      <c r="R650">
        <f t="shared" si="996"/>
        <v>2321756.9561848706</v>
      </c>
      <c r="S650">
        <f t="shared" si="997"/>
        <v>23.217569561848705</v>
      </c>
      <c r="T650">
        <f t="shared" si="998"/>
        <v>2.3217569561848707E-2</v>
      </c>
    </row>
    <row r="651" spans="1:20" x14ac:dyDescent="0.25">
      <c r="A651" s="5">
        <v>43942</v>
      </c>
      <c r="B651">
        <v>41.91</v>
      </c>
      <c r="C651">
        <v>43.5</v>
      </c>
      <c r="D651">
        <v>40.51</v>
      </c>
      <c r="E651">
        <v>42.09</v>
      </c>
      <c r="F651">
        <v>373963.9241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5.6856187290972811E-2</v>
      </c>
      <c r="Q651">
        <f t="shared" si="995"/>
        <v>21262.16290869674</v>
      </c>
      <c r="R651">
        <f t="shared" si="996"/>
        <v>2114721.9469350297</v>
      </c>
      <c r="S651">
        <f t="shared" si="997"/>
        <v>21.147219469350297</v>
      </c>
      <c r="T651">
        <f t="shared" si="998"/>
        <v>2.1147219469350297E-2</v>
      </c>
    </row>
    <row r="652" spans="1:20" x14ac:dyDescent="0.25">
      <c r="A652" s="5">
        <v>43941</v>
      </c>
      <c r="B652">
        <v>46.44</v>
      </c>
      <c r="C652">
        <v>48.83</v>
      </c>
      <c r="D652">
        <v>40.92</v>
      </c>
      <c r="E652">
        <v>41.89</v>
      </c>
      <c r="F652">
        <v>571796.76457</v>
      </c>
      <c r="G652">
        <v>0</v>
      </c>
      <c r="L652" t="s">
        <v>8</v>
      </c>
      <c r="M652" t="s">
        <v>8</v>
      </c>
      <c r="N652" t="s">
        <v>8</v>
      </c>
      <c r="P652">
        <f t="shared" si="994"/>
        <v>-0.75474083438685224</v>
      </c>
      <c r="Q652">
        <f t="shared" si="995"/>
        <v>-431558.36719126429</v>
      </c>
      <c r="R652">
        <f t="shared" si="996"/>
        <v>2093459.7840263331</v>
      </c>
      <c r="S652">
        <f t="shared" si="997"/>
        <v>20.934597840263333</v>
      </c>
      <c r="T652">
        <f t="shared" si="998"/>
        <v>2.0934597840263334E-2</v>
      </c>
    </row>
    <row r="653" spans="1:20" x14ac:dyDescent="0.25">
      <c r="A653" s="5">
        <v>43940</v>
      </c>
      <c r="B653">
        <v>42.14</v>
      </c>
      <c r="C653">
        <v>47.56</v>
      </c>
      <c r="D653">
        <v>41.6</v>
      </c>
      <c r="E653">
        <v>46.44</v>
      </c>
      <c r="F653">
        <v>370485.85498</v>
      </c>
      <c r="G653">
        <v>0</v>
      </c>
      <c r="L653" t="s">
        <v>8</v>
      </c>
      <c r="M653" t="s">
        <v>8</v>
      </c>
      <c r="N653" t="s">
        <v>8</v>
      </c>
      <c r="P653">
        <f t="shared" si="994"/>
        <v>0.6241610738255019</v>
      </c>
      <c r="Q653">
        <f t="shared" si="995"/>
        <v>231242.84908147599</v>
      </c>
      <c r="R653">
        <f t="shared" si="996"/>
        <v>2525018.1512175975</v>
      </c>
      <c r="S653">
        <f t="shared" si="997"/>
        <v>25.250181512175974</v>
      </c>
      <c r="T653">
        <f t="shared" si="998"/>
        <v>2.5250181512175975E-2</v>
      </c>
    </row>
    <row r="654" spans="1:20" x14ac:dyDescent="0.25">
      <c r="A654" s="5">
        <v>43939</v>
      </c>
      <c r="B654">
        <v>40.33</v>
      </c>
      <c r="C654">
        <v>42.62</v>
      </c>
      <c r="D654">
        <v>40.28</v>
      </c>
      <c r="E654">
        <v>42.13</v>
      </c>
      <c r="F654">
        <v>164788.56761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0.5811965811965849</v>
      </c>
      <c r="Q654">
        <f t="shared" si="995"/>
        <v>95774.55211521429</v>
      </c>
      <c r="R654">
        <f t="shared" si="996"/>
        <v>2293775.3021361213</v>
      </c>
      <c r="S654">
        <f t="shared" si="997"/>
        <v>22.937753021361214</v>
      </c>
      <c r="T654">
        <f t="shared" si="998"/>
        <v>2.2937753021361213E-2</v>
      </c>
    </row>
    <row r="655" spans="1:20" x14ac:dyDescent="0.25">
      <c r="A655" s="5">
        <v>43938</v>
      </c>
      <c r="B655">
        <v>38.76</v>
      </c>
      <c r="C655">
        <v>41.4</v>
      </c>
      <c r="D655">
        <v>38.04</v>
      </c>
      <c r="E655">
        <v>40.4</v>
      </c>
      <c r="F655">
        <v>116601.41449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0.40476190476190466</v>
      </c>
      <c r="Q655">
        <f t="shared" si="995"/>
        <v>47195.810626904749</v>
      </c>
      <c r="R655">
        <f t="shared" si="996"/>
        <v>2198000.7500209068</v>
      </c>
      <c r="S655">
        <f t="shared" si="997"/>
        <v>21.980007500209069</v>
      </c>
      <c r="T655">
        <f t="shared" si="998"/>
        <v>2.1980007500209068E-2</v>
      </c>
    </row>
    <row r="656" spans="1:20" x14ac:dyDescent="0.25">
      <c r="A656" s="5">
        <v>43937</v>
      </c>
      <c r="B656">
        <v>35.06</v>
      </c>
      <c r="C656">
        <v>40.159999999999997</v>
      </c>
      <c r="D656">
        <v>33.869999999999997</v>
      </c>
      <c r="E656">
        <v>38.74</v>
      </c>
      <c r="F656">
        <v>339427.03954000003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0.54848966613672656</v>
      </c>
      <c r="Q656">
        <f t="shared" si="995"/>
        <v>186172.22359507211</v>
      </c>
      <c r="R656">
        <f t="shared" si="996"/>
        <v>2150804.9393940018</v>
      </c>
      <c r="S656">
        <f t="shared" si="997"/>
        <v>21.50804939394002</v>
      </c>
      <c r="T656">
        <f t="shared" si="998"/>
        <v>2.1508049393940021E-2</v>
      </c>
    </row>
    <row r="657" spans="1:20" x14ac:dyDescent="0.25">
      <c r="A657" s="5">
        <v>43936</v>
      </c>
      <c r="B657">
        <v>35.51</v>
      </c>
      <c r="C657">
        <v>36.22</v>
      </c>
      <c r="D657">
        <v>34.76</v>
      </c>
      <c r="E657">
        <v>35.08</v>
      </c>
      <c r="F657">
        <v>112826.04551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-0.56164383561643827</v>
      </c>
      <c r="Q657">
        <f t="shared" si="995"/>
        <v>-63368.052957671222</v>
      </c>
      <c r="R657">
        <f t="shared" si="996"/>
        <v>1964632.7157989298</v>
      </c>
      <c r="S657">
        <f t="shared" si="997"/>
        <v>19.646327157989298</v>
      </c>
      <c r="T657">
        <f t="shared" si="998"/>
        <v>1.9646327157989297E-2</v>
      </c>
    </row>
    <row r="658" spans="1:20" x14ac:dyDescent="0.25">
      <c r="A658" s="5">
        <v>43935</v>
      </c>
      <c r="B658">
        <v>35.71</v>
      </c>
      <c r="C658">
        <v>36.28</v>
      </c>
      <c r="D658">
        <v>35.049999999999997</v>
      </c>
      <c r="E658">
        <v>35.51</v>
      </c>
      <c r="F658">
        <v>83695.44902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-0.25203252032520429</v>
      </c>
      <c r="Q658">
        <f t="shared" si="995"/>
        <v>-21093.974956260248</v>
      </c>
      <c r="R658">
        <f t="shared" si="996"/>
        <v>2028000.768756601</v>
      </c>
      <c r="S658">
        <f t="shared" si="997"/>
        <v>20.280007687566009</v>
      </c>
      <c r="T658">
        <f t="shared" si="998"/>
        <v>2.028000768756601E-2</v>
      </c>
    </row>
    <row r="659" spans="1:20" x14ac:dyDescent="0.25">
      <c r="A659" s="5">
        <v>43934</v>
      </c>
      <c r="B659">
        <v>36.340000000000003</v>
      </c>
      <c r="C659">
        <v>36.340000000000003</v>
      </c>
      <c r="D659">
        <v>34.619999999999997</v>
      </c>
      <c r="E659">
        <v>35.75</v>
      </c>
      <c r="F659">
        <v>162291.98610000001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0.31395348837209142</v>
      </c>
      <c r="Q659">
        <f t="shared" si="995"/>
        <v>50952.135170929978</v>
      </c>
      <c r="R659">
        <f t="shared" si="996"/>
        <v>2049094.7437128613</v>
      </c>
      <c r="S659">
        <f t="shared" si="997"/>
        <v>20.490947437128614</v>
      </c>
      <c r="T659">
        <f t="shared" si="998"/>
        <v>2.0490947437128613E-2</v>
      </c>
    </row>
    <row r="660" spans="1:20" x14ac:dyDescent="0.25">
      <c r="A660" s="5">
        <v>43933</v>
      </c>
      <c r="B660">
        <v>36.24</v>
      </c>
      <c r="C660">
        <v>37.99</v>
      </c>
      <c r="D660">
        <v>35.229999999999997</v>
      </c>
      <c r="E660">
        <v>36.380000000000003</v>
      </c>
      <c r="F660">
        <v>149782.47414999999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-0.1666666666666641</v>
      </c>
      <c r="Q660">
        <f t="shared" si="995"/>
        <v>-24963.745691666281</v>
      </c>
      <c r="R660">
        <f t="shared" si="996"/>
        <v>1998142.6085419313</v>
      </c>
      <c r="S660">
        <f t="shared" si="997"/>
        <v>19.981426085419312</v>
      </c>
      <c r="T660">
        <f t="shared" si="998"/>
        <v>1.9981426085419311E-2</v>
      </c>
    </row>
    <row r="661" spans="1:20" x14ac:dyDescent="0.25">
      <c r="A661" s="5">
        <v>43932</v>
      </c>
      <c r="B661">
        <v>36.630000000000003</v>
      </c>
      <c r="C661">
        <v>37.54</v>
      </c>
      <c r="D661">
        <v>35.299999999999997</v>
      </c>
      <c r="E661">
        <v>36.200000000000003</v>
      </c>
      <c r="F661">
        <v>180466.12651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-0.19642857142856707</v>
      </c>
      <c r="Q661">
        <f t="shared" si="995"/>
        <v>-35448.703421606355</v>
      </c>
      <c r="R661">
        <f t="shared" si="996"/>
        <v>2023106.3542335976</v>
      </c>
      <c r="S661">
        <f t="shared" si="997"/>
        <v>20.231063542335978</v>
      </c>
      <c r="T661">
        <f t="shared" si="998"/>
        <v>2.0231063542335979E-2</v>
      </c>
    </row>
    <row r="662" spans="1:20" x14ac:dyDescent="0.25">
      <c r="A662" s="5">
        <v>43931</v>
      </c>
      <c r="B662">
        <v>40.729999999999997</v>
      </c>
      <c r="C662">
        <v>41.23</v>
      </c>
      <c r="D662">
        <v>34.4</v>
      </c>
      <c r="E662">
        <v>36.619999999999997</v>
      </c>
      <c r="F662">
        <v>463626.35187999997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-0.34992679355783324</v>
      </c>
      <c r="Q662">
        <f t="shared" si="995"/>
        <v>-162235.28272228409</v>
      </c>
      <c r="R662">
        <f t="shared" si="996"/>
        <v>2058555.0576552041</v>
      </c>
      <c r="S662">
        <f t="shared" si="997"/>
        <v>20.585550576552041</v>
      </c>
      <c r="T662">
        <f t="shared" si="998"/>
        <v>2.058555057655204E-2</v>
      </c>
    </row>
    <row r="663" spans="1:20" x14ac:dyDescent="0.25">
      <c r="A663" s="5">
        <v>43930</v>
      </c>
      <c r="B663">
        <v>37.869999999999997</v>
      </c>
      <c r="C663">
        <v>42.19</v>
      </c>
      <c r="D663">
        <v>37.61</v>
      </c>
      <c r="E663">
        <v>40.71</v>
      </c>
      <c r="F663">
        <v>274137.59213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0.3537117903930142</v>
      </c>
      <c r="Q663">
        <f t="shared" si="995"/>
        <v>96965.698526332184</v>
      </c>
      <c r="R663">
        <f t="shared" si="996"/>
        <v>2220790.3403774882</v>
      </c>
      <c r="S663">
        <f t="shared" si="997"/>
        <v>22.207903403774882</v>
      </c>
      <c r="T663">
        <f t="shared" si="998"/>
        <v>2.2207903403774883E-2</v>
      </c>
    </row>
    <row r="664" spans="1:20" x14ac:dyDescent="0.25">
      <c r="A664" s="5">
        <v>43929</v>
      </c>
      <c r="B664">
        <v>36.44</v>
      </c>
      <c r="C664">
        <v>38.22</v>
      </c>
      <c r="D664">
        <v>36.29</v>
      </c>
      <c r="E664">
        <v>37.86</v>
      </c>
      <c r="F664">
        <v>144238.3518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0.62694300518134771</v>
      </c>
      <c r="Q664">
        <f t="shared" si="995"/>
        <v>90429.225739896458</v>
      </c>
      <c r="R664">
        <f t="shared" si="996"/>
        <v>2123824.641851156</v>
      </c>
      <c r="S664">
        <f t="shared" si="997"/>
        <v>21.238246418511562</v>
      </c>
      <c r="T664">
        <f t="shared" si="998"/>
        <v>2.1238246418511561E-2</v>
      </c>
    </row>
    <row r="665" spans="1:20" x14ac:dyDescent="0.25">
      <c r="A665" s="5">
        <v>43928</v>
      </c>
      <c r="B665">
        <v>37.54</v>
      </c>
      <c r="C665">
        <v>38.450000000000003</v>
      </c>
      <c r="D665">
        <v>35.31</v>
      </c>
      <c r="E665">
        <v>36.450000000000003</v>
      </c>
      <c r="F665">
        <v>212806.30201000001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-0.27388535031847111</v>
      </c>
      <c r="Q665">
        <f t="shared" si="995"/>
        <v>-58284.528575987213</v>
      </c>
      <c r="R665">
        <f t="shared" si="996"/>
        <v>2033395.4161112597</v>
      </c>
      <c r="S665">
        <f t="shared" si="997"/>
        <v>20.333954161112597</v>
      </c>
      <c r="T665">
        <f t="shared" si="998"/>
        <v>2.0333954161112597E-2</v>
      </c>
    </row>
    <row r="666" spans="1:20" x14ac:dyDescent="0.25">
      <c r="A666" s="5">
        <v>43927</v>
      </c>
      <c r="B666">
        <v>32.53</v>
      </c>
      <c r="C666">
        <v>37.68</v>
      </c>
      <c r="D666">
        <v>32.49</v>
      </c>
      <c r="E666">
        <v>37.56</v>
      </c>
      <c r="F666">
        <v>288607.60681999999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0.95375722543352692</v>
      </c>
      <c r="Q666">
        <f t="shared" si="995"/>
        <v>275261.59031965345</v>
      </c>
      <c r="R666">
        <f t="shared" si="996"/>
        <v>2091679.944687247</v>
      </c>
      <c r="S666">
        <f t="shared" si="997"/>
        <v>20.916799446872471</v>
      </c>
      <c r="T666">
        <f t="shared" si="998"/>
        <v>2.0916799446872469E-2</v>
      </c>
    </row>
    <row r="667" spans="1:20" x14ac:dyDescent="0.25">
      <c r="A667" s="5">
        <v>43926</v>
      </c>
      <c r="B667">
        <v>33.03</v>
      </c>
      <c r="C667">
        <v>33.39</v>
      </c>
      <c r="D667">
        <v>31.89</v>
      </c>
      <c r="E667">
        <v>32.520000000000003</v>
      </c>
      <c r="F667">
        <v>72215.772779999999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-0.15999999999999659</v>
      </c>
      <c r="Q667">
        <f t="shared" si="995"/>
        <v>-11554.523644799754</v>
      </c>
      <c r="R667">
        <f t="shared" si="996"/>
        <v>1816418.3543675935</v>
      </c>
      <c r="S667">
        <f t="shared" si="997"/>
        <v>18.164183543675936</v>
      </c>
      <c r="T667">
        <f t="shared" si="998"/>
        <v>1.8164183543675935E-2</v>
      </c>
    </row>
    <row r="668" spans="1:20" x14ac:dyDescent="0.25">
      <c r="A668" s="5">
        <v>43925</v>
      </c>
      <c r="B668">
        <v>32.659999999999997</v>
      </c>
      <c r="C668">
        <v>33.54</v>
      </c>
      <c r="D668">
        <v>31.92</v>
      </c>
      <c r="E668">
        <v>33.03</v>
      </c>
      <c r="F668">
        <v>123950.3648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0.37037037037037185</v>
      </c>
      <c r="Q668">
        <f t="shared" si="995"/>
        <v>45907.542518518698</v>
      </c>
      <c r="R668">
        <f t="shared" si="996"/>
        <v>1827972.8780123934</v>
      </c>
      <c r="S668">
        <f t="shared" si="997"/>
        <v>18.279728780123932</v>
      </c>
      <c r="T668">
        <f t="shared" si="998"/>
        <v>1.8279728780123933E-2</v>
      </c>
    </row>
    <row r="669" spans="1:20" x14ac:dyDescent="0.25">
      <c r="A669" s="5">
        <v>43924</v>
      </c>
      <c r="B669">
        <v>32.229999999999997</v>
      </c>
      <c r="C669">
        <v>33.24</v>
      </c>
      <c r="D669">
        <v>31.61</v>
      </c>
      <c r="E669">
        <v>32.659999999999997</v>
      </c>
      <c r="F669">
        <v>115186.59688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0.28834355828220309</v>
      </c>
      <c r="Q669">
        <f t="shared" si="995"/>
        <v>33213.313210796914</v>
      </c>
      <c r="R669">
        <f t="shared" si="996"/>
        <v>1782065.3354938747</v>
      </c>
      <c r="S669">
        <f t="shared" si="997"/>
        <v>17.820653354938749</v>
      </c>
      <c r="T669">
        <f t="shared" si="998"/>
        <v>1.7820653354938747E-2</v>
      </c>
    </row>
    <row r="670" spans="1:20" x14ac:dyDescent="0.25">
      <c r="A670" s="5">
        <v>43923</v>
      </c>
      <c r="B670">
        <v>31.32</v>
      </c>
      <c r="C670">
        <v>33.909999999999997</v>
      </c>
      <c r="D670">
        <v>31</v>
      </c>
      <c r="E670">
        <v>32.229999999999997</v>
      </c>
      <c r="F670">
        <v>120427.24907000001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-0.15463917525773313</v>
      </c>
      <c r="Q670">
        <f t="shared" si="995"/>
        <v>-18622.77047474241</v>
      </c>
      <c r="R670">
        <f t="shared" si="996"/>
        <v>1748852.0222830779</v>
      </c>
      <c r="S670">
        <f t="shared" si="997"/>
        <v>17.488520222830779</v>
      </c>
      <c r="T670">
        <f t="shared" si="998"/>
        <v>1.7488520222830779E-2</v>
      </c>
    </row>
    <row r="671" spans="1:20" x14ac:dyDescent="0.25">
      <c r="A671" s="5">
        <v>43922</v>
      </c>
      <c r="B671">
        <v>30.91</v>
      </c>
      <c r="C671">
        <v>31.65</v>
      </c>
      <c r="D671">
        <v>29.74</v>
      </c>
      <c r="E671">
        <v>31.32</v>
      </c>
      <c r="F671">
        <v>98798.515320000006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0.65445026178010657</v>
      </c>
      <c r="Q671">
        <f t="shared" si="995"/>
        <v>64658.714214659871</v>
      </c>
      <c r="R671">
        <f t="shared" si="996"/>
        <v>1767474.7927578203</v>
      </c>
      <c r="S671">
        <f t="shared" si="997"/>
        <v>17.674747927578203</v>
      </c>
      <c r="T671">
        <f t="shared" si="998"/>
        <v>1.7674747927578203E-2</v>
      </c>
    </row>
    <row r="672" spans="1:20" x14ac:dyDescent="0.25">
      <c r="A672" s="5">
        <v>43921</v>
      </c>
      <c r="B672">
        <v>30.53</v>
      </c>
      <c r="C672">
        <v>31.79</v>
      </c>
      <c r="D672">
        <v>30.18</v>
      </c>
      <c r="E672">
        <v>30.9</v>
      </c>
      <c r="F672">
        <v>100924.5646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-0.10559006211180234</v>
      </c>
      <c r="Q672">
        <f t="shared" si="995"/>
        <v>-10656.631044720607</v>
      </c>
      <c r="R672">
        <f t="shared" si="996"/>
        <v>1702816.0785431606</v>
      </c>
      <c r="S672">
        <f t="shared" si="997"/>
        <v>17.028160785431606</v>
      </c>
      <c r="T672">
        <f t="shared" si="998"/>
        <v>1.7028160785431606E-2</v>
      </c>
    </row>
    <row r="673" spans="1:20" x14ac:dyDescent="0.25">
      <c r="A673" s="5">
        <v>43920</v>
      </c>
      <c r="B673">
        <v>28.21</v>
      </c>
      <c r="C673">
        <v>31.59</v>
      </c>
      <c r="D673">
        <v>28.21</v>
      </c>
      <c r="E673">
        <v>30.54</v>
      </c>
      <c r="F673">
        <v>117966.79214999999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0.37869822485207039</v>
      </c>
      <c r="Q673">
        <f t="shared" si="995"/>
        <v>44673.81477869815</v>
      </c>
      <c r="R673">
        <f t="shared" si="996"/>
        <v>1713472.7095878811</v>
      </c>
      <c r="S673">
        <f t="shared" si="997"/>
        <v>17.134727095878812</v>
      </c>
      <c r="T673">
        <f t="shared" si="998"/>
        <v>1.7134727095878811E-2</v>
      </c>
    </row>
    <row r="674" spans="1:20" x14ac:dyDescent="0.25">
      <c r="A674" s="5">
        <v>43919</v>
      </c>
      <c r="B674">
        <v>30.38</v>
      </c>
      <c r="C674">
        <v>30.51</v>
      </c>
      <c r="D674">
        <v>28.21</v>
      </c>
      <c r="E674">
        <v>28.22</v>
      </c>
      <c r="F674">
        <v>84379.087639999998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-0.99130434782608867</v>
      </c>
      <c r="Q674">
        <f t="shared" si="995"/>
        <v>-83645.356443130571</v>
      </c>
      <c r="R674">
        <f t="shared" si="996"/>
        <v>1668798.894809183</v>
      </c>
      <c r="S674">
        <f t="shared" si="997"/>
        <v>16.687988948091828</v>
      </c>
      <c r="T674">
        <f t="shared" si="998"/>
        <v>1.6687988948091828E-2</v>
      </c>
    </row>
    <row r="675" spans="1:20" x14ac:dyDescent="0.25">
      <c r="A675" s="5">
        <v>43918</v>
      </c>
      <c r="B675">
        <v>31.01</v>
      </c>
      <c r="C675">
        <v>31.01</v>
      </c>
      <c r="D675">
        <v>29</v>
      </c>
      <c r="E675">
        <v>30.38</v>
      </c>
      <c r="F675">
        <v>123995.70621999999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0.37313432835820692</v>
      </c>
      <c r="Q675">
        <f t="shared" si="995"/>
        <v>46267.054559701239</v>
      </c>
      <c r="R675">
        <f t="shared" si="996"/>
        <v>1752444.2512523136</v>
      </c>
      <c r="S675">
        <f t="shared" si="997"/>
        <v>17.524442512523137</v>
      </c>
      <c r="T675">
        <f t="shared" si="998"/>
        <v>1.7524442512523136E-2</v>
      </c>
    </row>
    <row r="676" spans="1:20" x14ac:dyDescent="0.25">
      <c r="A676" s="5">
        <v>43917</v>
      </c>
      <c r="B676">
        <v>32.47</v>
      </c>
      <c r="C676">
        <v>32.94</v>
      </c>
      <c r="D676">
        <v>30.81</v>
      </c>
      <c r="E676">
        <v>31.01</v>
      </c>
      <c r="F676">
        <v>125312.53750000001</v>
      </c>
      <c r="G676">
        <v>0</v>
      </c>
      <c r="L676" t="s">
        <v>8</v>
      </c>
      <c r="M676" t="s">
        <v>7</v>
      </c>
      <c r="N676" t="s">
        <v>8</v>
      </c>
      <c r="P676">
        <f t="shared" si="994"/>
        <v>-0.81220657276995034</v>
      </c>
      <c r="Q676">
        <f t="shared" si="995"/>
        <v>-101779.66660798089</v>
      </c>
      <c r="R676">
        <f t="shared" si="996"/>
        <v>1706177.1966926123</v>
      </c>
      <c r="S676">
        <f t="shared" si="997"/>
        <v>17.061771966926123</v>
      </c>
      <c r="T676">
        <f t="shared" si="998"/>
        <v>1.7061771966926122E-2</v>
      </c>
    </row>
    <row r="677" spans="1:20" x14ac:dyDescent="0.25">
      <c r="A677" s="5">
        <v>43916</v>
      </c>
      <c r="B677">
        <v>32.21</v>
      </c>
      <c r="C677">
        <v>32.56</v>
      </c>
      <c r="D677">
        <v>31.17</v>
      </c>
      <c r="E677">
        <v>32.46</v>
      </c>
      <c r="F677">
        <v>90133.192410000003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0.85611510791366707</v>
      </c>
      <c r="Q677">
        <f t="shared" si="995"/>
        <v>77164.387746690467</v>
      </c>
      <c r="R677">
        <f t="shared" si="996"/>
        <v>1807956.8633005931</v>
      </c>
      <c r="S677">
        <f t="shared" si="997"/>
        <v>18.07956863300593</v>
      </c>
      <c r="T677">
        <f t="shared" si="998"/>
        <v>1.807956863300593E-2</v>
      </c>
    </row>
    <row r="678" spans="1:20" x14ac:dyDescent="0.25">
      <c r="A678" s="5">
        <v>43915</v>
      </c>
      <c r="B678">
        <v>32.76</v>
      </c>
      <c r="C678">
        <v>32.869999999999997</v>
      </c>
      <c r="D678">
        <v>30.8</v>
      </c>
      <c r="E678">
        <v>32.200000000000003</v>
      </c>
      <c r="F678">
        <v>119825.54488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0.35265700483092205</v>
      </c>
      <c r="Q678">
        <f t="shared" si="995"/>
        <v>42257.31775961403</v>
      </c>
      <c r="R678">
        <f t="shared" si="996"/>
        <v>1730792.4755539026</v>
      </c>
      <c r="S678">
        <f t="shared" si="997"/>
        <v>17.307924755539027</v>
      </c>
      <c r="T678">
        <f t="shared" si="998"/>
        <v>1.7307924755539026E-2</v>
      </c>
    </row>
    <row r="679" spans="1:20" x14ac:dyDescent="0.25">
      <c r="A679" s="5">
        <v>43914</v>
      </c>
      <c r="B679">
        <v>32.04</v>
      </c>
      <c r="C679">
        <v>33.17</v>
      </c>
      <c r="D679">
        <v>31.77</v>
      </c>
      <c r="E679">
        <v>32.79</v>
      </c>
      <c r="F679">
        <v>142020.48660999999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0.4571428571428543</v>
      </c>
      <c r="Q679">
        <f t="shared" si="995"/>
        <v>64923.651021713878</v>
      </c>
      <c r="R679">
        <f t="shared" si="996"/>
        <v>1688535.1577942886</v>
      </c>
      <c r="S679">
        <f t="shared" si="997"/>
        <v>16.885351577942885</v>
      </c>
      <c r="T679">
        <f t="shared" si="998"/>
        <v>1.6885351577942884E-2</v>
      </c>
    </row>
    <row r="680" spans="1:20" x14ac:dyDescent="0.25">
      <c r="A680" s="5">
        <v>43913</v>
      </c>
      <c r="B680">
        <v>29.49</v>
      </c>
      <c r="C680">
        <v>33.090000000000003</v>
      </c>
      <c r="D680">
        <v>29</v>
      </c>
      <c r="E680">
        <v>32.049999999999997</v>
      </c>
      <c r="F680">
        <v>171600.98374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0.49144254278728344</v>
      </c>
      <c r="Q680">
        <f t="shared" si="995"/>
        <v>84332.023793984874</v>
      </c>
      <c r="R680">
        <f t="shared" si="996"/>
        <v>1623611.5067725747</v>
      </c>
      <c r="S680">
        <f t="shared" si="997"/>
        <v>16.236115067725748</v>
      </c>
      <c r="T680">
        <f t="shared" si="998"/>
        <v>1.6236115067725748E-2</v>
      </c>
    </row>
    <row r="681" spans="1:20" x14ac:dyDescent="0.25">
      <c r="A681" s="5">
        <v>43912</v>
      </c>
      <c r="B681">
        <v>33.01</v>
      </c>
      <c r="C681">
        <v>35.51</v>
      </c>
      <c r="D681">
        <v>29</v>
      </c>
      <c r="E681">
        <v>29.49</v>
      </c>
      <c r="F681">
        <v>202874.87748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-0.84946236559139832</v>
      </c>
      <c r="Q681">
        <f t="shared" si="995"/>
        <v>-172334.5733432259</v>
      </c>
      <c r="R681">
        <f t="shared" si="996"/>
        <v>1539279.4829785898</v>
      </c>
      <c r="S681">
        <f t="shared" si="997"/>
        <v>15.392794829785899</v>
      </c>
      <c r="T681">
        <f t="shared" si="998"/>
        <v>1.5392794829785899E-2</v>
      </c>
    </row>
    <row r="682" spans="1:20" x14ac:dyDescent="0.25">
      <c r="A682" s="5">
        <v>43911</v>
      </c>
      <c r="B682">
        <v>33.090000000000003</v>
      </c>
      <c r="C682">
        <v>35.58</v>
      </c>
      <c r="D682">
        <v>31.98</v>
      </c>
      <c r="E682">
        <v>33.03</v>
      </c>
      <c r="F682">
        <v>258902.34296000001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-0.41666666666666591</v>
      </c>
      <c r="Q682">
        <f t="shared" si="995"/>
        <v>-107875.97623333315</v>
      </c>
      <c r="R682">
        <f t="shared" si="996"/>
        <v>1711614.0563218158</v>
      </c>
      <c r="S682">
        <f t="shared" si="997"/>
        <v>17.11614056321816</v>
      </c>
      <c r="T682">
        <f t="shared" si="998"/>
        <v>1.7116140563218162E-2</v>
      </c>
    </row>
    <row r="683" spans="1:20" x14ac:dyDescent="0.25">
      <c r="A683" s="5">
        <v>43910</v>
      </c>
      <c r="B683">
        <v>31.95</v>
      </c>
      <c r="C683">
        <v>36.21</v>
      </c>
      <c r="D683">
        <v>29.65</v>
      </c>
      <c r="E683">
        <v>33.08</v>
      </c>
      <c r="F683">
        <v>316101.09317000001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4.5731707317072719E-2</v>
      </c>
      <c r="Q683">
        <f t="shared" si="995"/>
        <v>14455.842675457174</v>
      </c>
      <c r="R683">
        <f t="shared" si="996"/>
        <v>1819490.0325551489</v>
      </c>
      <c r="S683">
        <f t="shared" si="997"/>
        <v>18.19490032555149</v>
      </c>
      <c r="T683">
        <f t="shared" si="998"/>
        <v>1.8194900325551492E-2</v>
      </c>
    </row>
    <row r="684" spans="1:20" x14ac:dyDescent="0.25">
      <c r="A684" s="5">
        <v>43909</v>
      </c>
      <c r="B684">
        <v>29.71</v>
      </c>
      <c r="C684">
        <v>33.78</v>
      </c>
      <c r="D684">
        <v>28.14</v>
      </c>
      <c r="E684">
        <v>31.95</v>
      </c>
      <c r="F684">
        <v>371372.53386000003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0.35106382978723344</v>
      </c>
      <c r="Q684">
        <f t="shared" si="995"/>
        <v>130375.46401468063</v>
      </c>
      <c r="R684">
        <f t="shared" si="996"/>
        <v>1805034.1898796917</v>
      </c>
      <c r="S684">
        <f t="shared" si="997"/>
        <v>18.050341898796916</v>
      </c>
      <c r="T684">
        <f t="shared" si="998"/>
        <v>1.8050341898796916E-2</v>
      </c>
    </row>
    <row r="685" spans="1:20" x14ac:dyDescent="0.25">
      <c r="A685" s="5">
        <v>43908</v>
      </c>
      <c r="B685">
        <v>25.05</v>
      </c>
      <c r="C685">
        <v>29.99</v>
      </c>
      <c r="D685">
        <v>24.33</v>
      </c>
      <c r="E685">
        <v>29.73</v>
      </c>
      <c r="F685">
        <v>318215.98242000001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0.90812720848056605</v>
      </c>
      <c r="Q685">
        <f t="shared" si="995"/>
        <v>288980.5918089755</v>
      </c>
      <c r="R685">
        <f t="shared" si="996"/>
        <v>1674658.7258650111</v>
      </c>
      <c r="S685">
        <f t="shared" si="997"/>
        <v>16.746587258650113</v>
      </c>
      <c r="T685">
        <f t="shared" si="998"/>
        <v>1.6746587258650112E-2</v>
      </c>
    </row>
    <row r="686" spans="1:20" x14ac:dyDescent="0.25">
      <c r="A686" s="5">
        <v>43907</v>
      </c>
      <c r="B686">
        <v>24.65</v>
      </c>
      <c r="C686">
        <v>25.71</v>
      </c>
      <c r="D686">
        <v>23.93</v>
      </c>
      <c r="E686">
        <v>25.06</v>
      </c>
      <c r="F686">
        <v>258333.63785999999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0.26966292134831266</v>
      </c>
      <c r="Q686">
        <f t="shared" si="995"/>
        <v>69663.003467864663</v>
      </c>
      <c r="R686">
        <f t="shared" si="996"/>
        <v>1385678.1340560357</v>
      </c>
      <c r="S686">
        <f t="shared" si="997"/>
        <v>13.856781340560357</v>
      </c>
      <c r="T686">
        <f t="shared" si="998"/>
        <v>1.3856781340560356E-2</v>
      </c>
    </row>
    <row r="687" spans="1:20" x14ac:dyDescent="0.25">
      <c r="A687" s="5">
        <v>43906</v>
      </c>
      <c r="B687">
        <v>25.67</v>
      </c>
      <c r="C687">
        <v>26.25</v>
      </c>
      <c r="D687">
        <v>21.3</v>
      </c>
      <c r="E687">
        <v>24.68</v>
      </c>
      <c r="F687">
        <v>349043.23602000001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0.36565656565656546</v>
      </c>
      <c r="Q687">
        <f t="shared" si="995"/>
        <v>127629.9509487272</v>
      </c>
      <c r="R687">
        <f t="shared" si="996"/>
        <v>1316015.1305881711</v>
      </c>
      <c r="S687">
        <f t="shared" si="997"/>
        <v>13.16015130588171</v>
      </c>
      <c r="T687">
        <f t="shared" si="998"/>
        <v>1.3160151305881711E-2</v>
      </c>
    </row>
    <row r="688" spans="1:20" x14ac:dyDescent="0.25">
      <c r="A688" s="5">
        <v>43905</v>
      </c>
      <c r="B688">
        <v>24.94</v>
      </c>
      <c r="C688">
        <v>26.98</v>
      </c>
      <c r="D688">
        <v>24.58</v>
      </c>
      <c r="E688">
        <v>25.68</v>
      </c>
      <c r="F688">
        <v>216819.66587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-8.3333333333332968E-2</v>
      </c>
      <c r="Q688">
        <f t="shared" si="995"/>
        <v>-18068.305489166589</v>
      </c>
      <c r="R688">
        <f t="shared" si="996"/>
        <v>1188385.179639444</v>
      </c>
      <c r="S688">
        <f t="shared" si="997"/>
        <v>11.88385179639444</v>
      </c>
      <c r="T688">
        <f t="shared" si="998"/>
        <v>1.1883851796394441E-2</v>
      </c>
    </row>
    <row r="689" spans="1:20" x14ac:dyDescent="0.25">
      <c r="A689" s="5">
        <v>43904</v>
      </c>
      <c r="B689">
        <v>27.33</v>
      </c>
      <c r="C689">
        <v>27.65</v>
      </c>
      <c r="D689">
        <v>24.59</v>
      </c>
      <c r="E689">
        <v>24.95</v>
      </c>
      <c r="F689">
        <v>329701.55273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-0.76470588235294146</v>
      </c>
      <c r="Q689">
        <f t="shared" si="995"/>
        <v>-252124.71679352951</v>
      </c>
      <c r="R689">
        <f t="shared" si="996"/>
        <v>1206453.4851286106</v>
      </c>
      <c r="S689">
        <f t="shared" si="997"/>
        <v>12.064534851286107</v>
      </c>
      <c r="T689">
        <f t="shared" si="998"/>
        <v>1.2064534851286106E-2</v>
      </c>
    </row>
    <row r="690" spans="1:20" x14ac:dyDescent="0.25">
      <c r="A690" s="5">
        <v>43903</v>
      </c>
      <c r="B690">
        <v>25.45</v>
      </c>
      <c r="C690">
        <v>29.74</v>
      </c>
      <c r="D690">
        <v>17.13</v>
      </c>
      <c r="E690">
        <v>27.34</v>
      </c>
      <c r="F690">
        <v>582130.43885999999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0.61934972244250619</v>
      </c>
      <c r="Q690">
        <f t="shared" si="995"/>
        <v>360542.32573327533</v>
      </c>
      <c r="R690">
        <f t="shared" si="996"/>
        <v>1458578.2019221401</v>
      </c>
      <c r="S690">
        <f t="shared" si="997"/>
        <v>14.585782019221401</v>
      </c>
      <c r="T690">
        <f t="shared" si="998"/>
        <v>1.4585782019221401E-2</v>
      </c>
    </row>
    <row r="691" spans="1:20" x14ac:dyDescent="0.25">
      <c r="A691" s="5">
        <v>43902</v>
      </c>
      <c r="B691">
        <v>40.24</v>
      </c>
      <c r="C691">
        <v>40.39</v>
      </c>
      <c r="D691">
        <v>24.17</v>
      </c>
      <c r="E691">
        <v>25.45</v>
      </c>
      <c r="F691">
        <v>449359.19621999998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-0.84217016029593128</v>
      </c>
      <c r="Q691">
        <f t="shared" si="995"/>
        <v>-378436.90631104819</v>
      </c>
      <c r="R691">
        <f t="shared" si="996"/>
        <v>1098035.8761888647</v>
      </c>
      <c r="S691">
        <f t="shared" si="997"/>
        <v>10.980358761888647</v>
      </c>
      <c r="T691">
        <f t="shared" si="998"/>
        <v>1.0980358761888647E-2</v>
      </c>
    </row>
    <row r="692" spans="1:20" x14ac:dyDescent="0.25">
      <c r="A692" s="5">
        <v>43901</v>
      </c>
      <c r="B692">
        <v>41.41</v>
      </c>
      <c r="C692">
        <v>42.12</v>
      </c>
      <c r="D692">
        <v>37.31</v>
      </c>
      <c r="E692">
        <v>40.24</v>
      </c>
      <c r="F692">
        <v>98629.649990000005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0.21829521829521939</v>
      </c>
      <c r="Q692">
        <f t="shared" si="995"/>
        <v>21530.380974948133</v>
      </c>
      <c r="R692">
        <f t="shared" si="996"/>
        <v>1476472.7824999129</v>
      </c>
      <c r="S692">
        <f t="shared" si="997"/>
        <v>14.764727824999129</v>
      </c>
      <c r="T692">
        <f t="shared" si="998"/>
        <v>1.476472782499913E-2</v>
      </c>
    </row>
    <row r="693" spans="1:20" x14ac:dyDescent="0.25">
      <c r="A693" s="5">
        <v>43900</v>
      </c>
      <c r="B693">
        <v>42.18</v>
      </c>
      <c r="C693">
        <v>42.58</v>
      </c>
      <c r="D693">
        <v>40.25</v>
      </c>
      <c r="E693">
        <v>41.4</v>
      </c>
      <c r="F693">
        <v>117207.90203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-1.2875536480687193E-2</v>
      </c>
      <c r="Q693">
        <f t="shared" si="995"/>
        <v>-1509.1146184120755</v>
      </c>
      <c r="R693">
        <f t="shared" si="996"/>
        <v>1454942.4015249647</v>
      </c>
      <c r="S693">
        <f t="shared" si="997"/>
        <v>14.549424015249647</v>
      </c>
      <c r="T693">
        <f t="shared" si="998"/>
        <v>1.4549424015249647E-2</v>
      </c>
    </row>
    <row r="694" spans="1:20" x14ac:dyDescent="0.25">
      <c r="A694" s="5">
        <v>43899</v>
      </c>
      <c r="B694">
        <v>42.82</v>
      </c>
      <c r="C694">
        <v>44.16</v>
      </c>
      <c r="D694">
        <v>38.729999999999997</v>
      </c>
      <c r="E694">
        <v>42.18</v>
      </c>
      <c r="F694">
        <v>221636.886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0.27071823204420004</v>
      </c>
      <c r="Q694">
        <f t="shared" si="995"/>
        <v>60001.145933701911</v>
      </c>
      <c r="R694">
        <f t="shared" si="996"/>
        <v>1456451.5161433767</v>
      </c>
      <c r="S694">
        <f t="shared" si="997"/>
        <v>14.564515161433768</v>
      </c>
      <c r="T694">
        <f t="shared" si="998"/>
        <v>1.4564515161433767E-2</v>
      </c>
    </row>
    <row r="695" spans="1:20" x14ac:dyDescent="0.25">
      <c r="A695" s="5">
        <v>43898</v>
      </c>
      <c r="B695">
        <v>50.59</v>
      </c>
      <c r="C695">
        <v>50.59</v>
      </c>
      <c r="D695">
        <v>42.03</v>
      </c>
      <c r="E695">
        <v>42.83</v>
      </c>
      <c r="F695">
        <v>196135.96181000001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-0.81308411214953347</v>
      </c>
      <c r="Q695">
        <f t="shared" si="995"/>
        <v>-159475.03436887867</v>
      </c>
      <c r="R695">
        <f t="shared" si="996"/>
        <v>1396450.3702096748</v>
      </c>
      <c r="S695">
        <f t="shared" si="997"/>
        <v>13.964503702096748</v>
      </c>
      <c r="T695">
        <f t="shared" si="998"/>
        <v>1.3964503702096747E-2</v>
      </c>
    </row>
    <row r="696" spans="1:20" x14ac:dyDescent="0.25">
      <c r="A696" s="5">
        <v>43897</v>
      </c>
      <c r="B696">
        <v>53.3</v>
      </c>
      <c r="C696">
        <v>53.5</v>
      </c>
      <c r="D696">
        <v>50.26</v>
      </c>
      <c r="E696">
        <v>50.59</v>
      </c>
      <c r="F696">
        <v>57118.732739999999</v>
      </c>
      <c r="G696">
        <v>0</v>
      </c>
      <c r="L696" t="s">
        <v>8</v>
      </c>
      <c r="M696" t="s">
        <v>7</v>
      </c>
      <c r="N696" t="s">
        <v>7</v>
      </c>
      <c r="P696">
        <f t="shared" si="994"/>
        <v>-0.79629629629629306</v>
      </c>
      <c r="Q696">
        <f t="shared" si="995"/>
        <v>-45483.435329999818</v>
      </c>
      <c r="R696">
        <f t="shared" si="996"/>
        <v>1555925.4045785535</v>
      </c>
      <c r="S696">
        <f t="shared" si="997"/>
        <v>15.559254045785535</v>
      </c>
      <c r="T696">
        <f t="shared" si="998"/>
        <v>1.5559254045785535E-2</v>
      </c>
    </row>
    <row r="697" spans="1:20" x14ac:dyDescent="0.25">
      <c r="A697" s="5">
        <v>43896</v>
      </c>
      <c r="B697">
        <v>51.83</v>
      </c>
      <c r="C697">
        <v>53.53</v>
      </c>
      <c r="D697">
        <v>51.01</v>
      </c>
      <c r="E697">
        <v>53.3</v>
      </c>
      <c r="F697">
        <v>90785.019889999996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0.81746031746031456</v>
      </c>
      <c r="Q697">
        <f t="shared" si="995"/>
        <v>74213.151179920373</v>
      </c>
      <c r="R697">
        <f t="shared" si="996"/>
        <v>1601408.8399085533</v>
      </c>
      <c r="S697">
        <f t="shared" si="997"/>
        <v>16.014088399085534</v>
      </c>
      <c r="T697">
        <f t="shared" si="998"/>
        <v>1.6014088399085535E-2</v>
      </c>
    </row>
    <row r="698" spans="1:20" x14ac:dyDescent="0.25">
      <c r="A698" s="5">
        <v>43895</v>
      </c>
      <c r="B698">
        <v>50.17</v>
      </c>
      <c r="C698">
        <v>53.18</v>
      </c>
      <c r="D698">
        <v>50.17</v>
      </c>
      <c r="E698">
        <v>51.84</v>
      </c>
      <c r="F698">
        <v>99946.311430000002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0.10963455149501848</v>
      </c>
      <c r="Q698">
        <f t="shared" si="995"/>
        <v>10957.569027209489</v>
      </c>
      <c r="R698">
        <f t="shared" si="996"/>
        <v>1527195.6887286329</v>
      </c>
      <c r="S698">
        <f t="shared" si="997"/>
        <v>15.271956887286329</v>
      </c>
      <c r="T698">
        <f t="shared" si="998"/>
        <v>1.5271956887286329E-2</v>
      </c>
    </row>
    <row r="699" spans="1:20" x14ac:dyDescent="0.25">
      <c r="A699" s="5">
        <v>43894</v>
      </c>
      <c r="B699">
        <v>50.79</v>
      </c>
      <c r="C699">
        <v>51.5</v>
      </c>
      <c r="D699">
        <v>48.92</v>
      </c>
      <c r="E699">
        <v>50.17</v>
      </c>
      <c r="F699">
        <v>61835.698839999997</v>
      </c>
      <c r="G699">
        <v>0</v>
      </c>
      <c r="L699" t="s">
        <v>7</v>
      </c>
      <c r="M699" t="s">
        <v>7</v>
      </c>
      <c r="N699" t="s">
        <v>7</v>
      </c>
      <c r="P699">
        <f t="shared" si="994"/>
        <v>-3.1007751937983857E-2</v>
      </c>
      <c r="Q699">
        <f t="shared" si="995"/>
        <v>-1917.3860105425961</v>
      </c>
      <c r="R699">
        <f t="shared" si="996"/>
        <v>1516238.1197014234</v>
      </c>
      <c r="S699">
        <f t="shared" si="997"/>
        <v>15.162381197014234</v>
      </c>
      <c r="T699">
        <f t="shared" si="998"/>
        <v>1.5162381197014234E-2</v>
      </c>
    </row>
    <row r="700" spans="1:20" x14ac:dyDescent="0.25">
      <c r="A700" s="5">
        <v>43893</v>
      </c>
      <c r="B700">
        <v>52.38</v>
      </c>
      <c r="C700">
        <v>52.41</v>
      </c>
      <c r="D700">
        <v>49.8</v>
      </c>
      <c r="E700">
        <v>50.78</v>
      </c>
      <c r="F700">
        <v>83209.35024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-0.24904214559386653</v>
      </c>
      <c r="Q700">
        <f t="shared" si="995"/>
        <v>-20722.635117241112</v>
      </c>
      <c r="R700">
        <f t="shared" si="996"/>
        <v>1518155.505711966</v>
      </c>
      <c r="S700">
        <f t="shared" si="997"/>
        <v>15.18155505711966</v>
      </c>
      <c r="T700">
        <f t="shared" si="998"/>
        <v>1.5181555057119659E-2</v>
      </c>
    </row>
    <row r="701" spans="1:20" x14ac:dyDescent="0.25">
      <c r="A701" s="5">
        <v>43892</v>
      </c>
      <c r="B701">
        <v>49.06</v>
      </c>
      <c r="C701">
        <v>52.91</v>
      </c>
      <c r="D701">
        <v>48.82</v>
      </c>
      <c r="E701">
        <v>52.33</v>
      </c>
      <c r="F701">
        <v>90824.607069999998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0.71638141809291012</v>
      </c>
      <c r="Q701">
        <f t="shared" si="995"/>
        <v>65065.060810537951</v>
      </c>
      <c r="R701">
        <f t="shared" si="996"/>
        <v>1538878.1408292071</v>
      </c>
      <c r="S701">
        <f t="shared" si="997"/>
        <v>15.388781408292072</v>
      </c>
      <c r="T701">
        <f t="shared" si="998"/>
        <v>1.5388781408292073E-2</v>
      </c>
    </row>
    <row r="702" spans="1:20" x14ac:dyDescent="0.25">
      <c r="A702" s="5">
        <v>43891</v>
      </c>
      <c r="B702">
        <v>48.94</v>
      </c>
      <c r="C702">
        <v>51.5</v>
      </c>
      <c r="D702">
        <v>48.04</v>
      </c>
      <c r="E702">
        <v>49.1</v>
      </c>
      <c r="F702">
        <v>127737.68674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-0.38728323699421852</v>
      </c>
      <c r="Q702">
        <f t="shared" si="995"/>
        <v>-49470.664806820663</v>
      </c>
      <c r="R702">
        <f t="shared" si="996"/>
        <v>1473813.0800186691</v>
      </c>
      <c r="S702">
        <f t="shared" si="997"/>
        <v>14.738130800186692</v>
      </c>
      <c r="T702">
        <f t="shared" si="998"/>
        <v>1.4738130800186692E-2</v>
      </c>
    </row>
    <row r="703" spans="1:20" x14ac:dyDescent="0.25">
      <c r="A703" s="5">
        <v>43890</v>
      </c>
      <c r="B703">
        <v>50.82</v>
      </c>
      <c r="C703">
        <v>52.11</v>
      </c>
      <c r="D703">
        <v>48.9</v>
      </c>
      <c r="E703">
        <v>48.96</v>
      </c>
      <c r="F703">
        <v>145358.01892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-0.96261682242990509</v>
      </c>
      <c r="Q703">
        <f t="shared" si="995"/>
        <v>-139924.07428747643</v>
      </c>
      <c r="R703">
        <f t="shared" si="996"/>
        <v>1523283.7448254898</v>
      </c>
      <c r="S703">
        <f t="shared" si="997"/>
        <v>15.232837448254898</v>
      </c>
      <c r="T703">
        <f t="shared" si="998"/>
        <v>1.5232837448254898E-2</v>
      </c>
    </row>
    <row r="704" spans="1:20" x14ac:dyDescent="0.25">
      <c r="A704" s="5">
        <v>43889</v>
      </c>
      <c r="B704">
        <v>52.99</v>
      </c>
      <c r="C704">
        <v>54.13</v>
      </c>
      <c r="D704">
        <v>48.59</v>
      </c>
      <c r="E704">
        <v>50.83</v>
      </c>
      <c r="F704">
        <v>199339.60829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-0.19133574007220389</v>
      </c>
      <c r="Q704">
        <f t="shared" si="995"/>
        <v>-38140.791477870378</v>
      </c>
      <c r="R704">
        <f t="shared" si="996"/>
        <v>1663207.8191129663</v>
      </c>
      <c r="S704">
        <f t="shared" si="997"/>
        <v>16.632078191129661</v>
      </c>
      <c r="T704">
        <f t="shared" si="998"/>
        <v>1.6632078191129662E-2</v>
      </c>
    </row>
    <row r="705" spans="1:20" x14ac:dyDescent="0.25">
      <c r="A705" s="5">
        <v>43888</v>
      </c>
      <c r="B705">
        <v>51.36</v>
      </c>
      <c r="C705">
        <v>55.07</v>
      </c>
      <c r="D705">
        <v>47.96</v>
      </c>
      <c r="E705">
        <v>52.96</v>
      </c>
      <c r="F705">
        <v>224335.8982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0.40646976090014075</v>
      </c>
      <c r="Q705">
        <f t="shared" si="995"/>
        <v>91185.758902672314</v>
      </c>
      <c r="R705">
        <f t="shared" si="996"/>
        <v>1701348.6105908367</v>
      </c>
      <c r="S705">
        <f t="shared" si="997"/>
        <v>17.013486105908367</v>
      </c>
      <c r="T705">
        <f t="shared" si="998"/>
        <v>1.7013486105908367E-2</v>
      </c>
    </row>
    <row r="706" spans="1:20" x14ac:dyDescent="0.25">
      <c r="A706" s="5">
        <v>43887</v>
      </c>
      <c r="B706">
        <v>57.06</v>
      </c>
      <c r="C706">
        <v>58</v>
      </c>
      <c r="D706">
        <v>48.11</v>
      </c>
      <c r="E706">
        <v>51.33</v>
      </c>
      <c r="F706">
        <v>235296.66368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-0.34883720930232587</v>
      </c>
      <c r="Q706">
        <f t="shared" si="995"/>
        <v>-82080.231516279135</v>
      </c>
      <c r="R706">
        <f t="shared" si="996"/>
        <v>1610162.8516881645</v>
      </c>
      <c r="S706">
        <f t="shared" si="997"/>
        <v>16.101628516881647</v>
      </c>
      <c r="T706">
        <f t="shared" si="998"/>
        <v>1.6101628516881648E-2</v>
      </c>
    </row>
    <row r="707" spans="1:20" x14ac:dyDescent="0.25">
      <c r="A707" s="5">
        <v>43886</v>
      </c>
      <c r="B707">
        <v>60.7</v>
      </c>
      <c r="C707">
        <v>60.88</v>
      </c>
      <c r="D707">
        <v>56.04</v>
      </c>
      <c r="E707">
        <v>57.06</v>
      </c>
      <c r="F707">
        <v>135448.25145000001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-0.57851239669421384</v>
      </c>
      <c r="Q707">
        <f t="shared" si="995"/>
        <v>-78358.492574380027</v>
      </c>
      <c r="R707">
        <f t="shared" si="996"/>
        <v>1692243.0832044436</v>
      </c>
      <c r="S707">
        <f t="shared" si="997"/>
        <v>16.922430832044437</v>
      </c>
      <c r="T707">
        <f t="shared" si="998"/>
        <v>1.6922430832044436E-2</v>
      </c>
    </row>
    <row r="708" spans="1:20" x14ac:dyDescent="0.25">
      <c r="A708" s="5">
        <v>43885</v>
      </c>
      <c r="B708">
        <v>63.29</v>
      </c>
      <c r="C708">
        <v>64.28</v>
      </c>
      <c r="D708">
        <v>58.82</v>
      </c>
      <c r="E708">
        <v>60.7</v>
      </c>
      <c r="F708">
        <v>100003.47672000001</v>
      </c>
      <c r="G708">
        <v>0</v>
      </c>
      <c r="L708" t="s">
        <v>8</v>
      </c>
      <c r="M708" t="s">
        <v>8</v>
      </c>
      <c r="N708" t="s">
        <v>7</v>
      </c>
      <c r="P708">
        <f t="shared" si="994"/>
        <v>-0.31135531135531053</v>
      </c>
      <c r="Q708">
        <f t="shared" si="995"/>
        <v>-31136.613630769149</v>
      </c>
      <c r="R708">
        <f t="shared" si="996"/>
        <v>1770601.5757788236</v>
      </c>
      <c r="S708">
        <f t="shared" si="997"/>
        <v>17.706015757788236</v>
      </c>
      <c r="T708">
        <f t="shared" si="998"/>
        <v>1.7706015757788237E-2</v>
      </c>
    </row>
    <row r="709" spans="1:20" x14ac:dyDescent="0.25">
      <c r="A709" s="5">
        <v>43884</v>
      </c>
      <c r="B709">
        <v>60.75</v>
      </c>
      <c r="C709">
        <v>63.7</v>
      </c>
      <c r="D709">
        <v>60.72</v>
      </c>
      <c r="E709">
        <v>63.32</v>
      </c>
      <c r="F709">
        <v>92053.087589999996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0.74496644295301873</v>
      </c>
      <c r="Q709">
        <f t="shared" si="995"/>
        <v>68576.461224764964</v>
      </c>
      <c r="R709">
        <f t="shared" si="996"/>
        <v>1801738.1894095927</v>
      </c>
      <c r="S709">
        <f t="shared" si="997"/>
        <v>18.017381894095926</v>
      </c>
      <c r="T709">
        <f t="shared" si="998"/>
        <v>1.8017381894095928E-2</v>
      </c>
    </row>
    <row r="710" spans="1:20" x14ac:dyDescent="0.25">
      <c r="A710" s="5">
        <v>43883</v>
      </c>
      <c r="B710">
        <v>61.56</v>
      </c>
      <c r="C710">
        <v>62.27</v>
      </c>
      <c r="D710">
        <v>60</v>
      </c>
      <c r="E710">
        <v>60.73</v>
      </c>
      <c r="F710">
        <v>81461.475489999997</v>
      </c>
      <c r="G710">
        <v>0</v>
      </c>
      <c r="L710" t="s">
        <v>8</v>
      </c>
      <c r="M710" t="s">
        <v>8</v>
      </c>
      <c r="N710" t="s">
        <v>7</v>
      </c>
      <c r="P710">
        <f t="shared" ref="P710:P773" si="999">IF(C710=D710,0,((E710-D710)-(C710-E710))/(C710-D710))</f>
        <v>-0.35682819383260278</v>
      </c>
      <c r="Q710">
        <f t="shared" ref="Q710:Q773" si="1000">F710*P710</f>
        <v>-29067.751166035541</v>
      </c>
      <c r="R710">
        <f t="shared" ref="R710:R773" si="1001">R711+Q710</f>
        <v>1733161.7281848276</v>
      </c>
      <c r="S710">
        <f t="shared" ref="S710:S773" si="1002">R710/100000</f>
        <v>17.331617281848278</v>
      </c>
      <c r="T710">
        <f t="shared" ref="T710:T773" si="1003">S710/1000</f>
        <v>1.7331617281848278E-2</v>
      </c>
    </row>
    <row r="711" spans="1:20" x14ac:dyDescent="0.25">
      <c r="A711" s="5">
        <v>43882</v>
      </c>
      <c r="B711">
        <v>60.77</v>
      </c>
      <c r="C711">
        <v>63.84</v>
      </c>
      <c r="D711">
        <v>59.88</v>
      </c>
      <c r="E711">
        <v>61.56</v>
      </c>
      <c r="F711">
        <v>89755.110950000002</v>
      </c>
      <c r="G711">
        <v>0</v>
      </c>
      <c r="L711" t="s">
        <v>8</v>
      </c>
      <c r="M711" t="s">
        <v>8</v>
      </c>
      <c r="N711" t="s">
        <v>7</v>
      </c>
      <c r="P711">
        <f t="shared" si="999"/>
        <v>-0.15151515151515185</v>
      </c>
      <c r="Q711">
        <f t="shared" si="1000"/>
        <v>-13599.259234848516</v>
      </c>
      <c r="R711">
        <f t="shared" si="1001"/>
        <v>1762229.4793508633</v>
      </c>
      <c r="S711">
        <f t="shared" si="1002"/>
        <v>17.622294793508633</v>
      </c>
      <c r="T711">
        <f t="shared" si="1003"/>
        <v>1.7622294793508634E-2</v>
      </c>
    </row>
    <row r="712" spans="1:20" x14ac:dyDescent="0.25">
      <c r="A712" s="5">
        <v>43881</v>
      </c>
      <c r="B712">
        <v>62.09</v>
      </c>
      <c r="C712">
        <v>64.11</v>
      </c>
      <c r="D712">
        <v>57.93</v>
      </c>
      <c r="E712">
        <v>60.79</v>
      </c>
      <c r="F712">
        <v>173773.32099000001</v>
      </c>
      <c r="G712">
        <v>0</v>
      </c>
      <c r="L712" t="s">
        <v>7</v>
      </c>
      <c r="M712" t="s">
        <v>8</v>
      </c>
      <c r="N712" t="s">
        <v>7</v>
      </c>
      <c r="P712">
        <f t="shared" si="999"/>
        <v>-7.4433656957928945E-2</v>
      </c>
      <c r="Q712">
        <f t="shared" si="1000"/>
        <v>-12934.583763009734</v>
      </c>
      <c r="R712">
        <f t="shared" si="1001"/>
        <v>1775828.7385857117</v>
      </c>
      <c r="S712">
        <f t="shared" si="1002"/>
        <v>17.758287385857116</v>
      </c>
      <c r="T712">
        <f t="shared" si="1003"/>
        <v>1.7758287385857115E-2</v>
      </c>
    </row>
    <row r="713" spans="1:20" x14ac:dyDescent="0.25">
      <c r="A713" s="5">
        <v>43880</v>
      </c>
      <c r="B713">
        <v>65.75</v>
      </c>
      <c r="C713">
        <v>68.78</v>
      </c>
      <c r="D713">
        <v>61.22</v>
      </c>
      <c r="E713">
        <v>62.1</v>
      </c>
      <c r="F713">
        <v>112157.38713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-0.76719576719576654</v>
      </c>
      <c r="Q713">
        <f t="shared" si="1000"/>
        <v>-86046.672665872946</v>
      </c>
      <c r="R713">
        <f t="shared" si="1001"/>
        <v>1788763.3223487213</v>
      </c>
      <c r="S713">
        <f t="shared" si="1002"/>
        <v>17.887633223487214</v>
      </c>
      <c r="T713">
        <f t="shared" si="1003"/>
        <v>1.7887633223487215E-2</v>
      </c>
    </row>
    <row r="714" spans="1:20" x14ac:dyDescent="0.25">
      <c r="A714" s="5">
        <v>43879</v>
      </c>
      <c r="B714">
        <v>64.2</v>
      </c>
      <c r="C714">
        <v>66.260000000000005</v>
      </c>
      <c r="D714">
        <v>59.92</v>
      </c>
      <c r="E714">
        <v>65.739999999999995</v>
      </c>
      <c r="F714">
        <v>253961.78823000001</v>
      </c>
      <c r="G714">
        <v>0</v>
      </c>
      <c r="L714" t="s">
        <v>7</v>
      </c>
      <c r="M714" t="s">
        <v>8</v>
      </c>
      <c r="N714" t="s">
        <v>7</v>
      </c>
      <c r="P714">
        <f t="shared" si="999"/>
        <v>0.83596214511040701</v>
      </c>
      <c r="Q714">
        <f t="shared" si="1000"/>
        <v>212302.44126482573</v>
      </c>
      <c r="R714">
        <f t="shared" si="1001"/>
        <v>1874809.9950145942</v>
      </c>
      <c r="S714">
        <f t="shared" si="1002"/>
        <v>18.748099950145942</v>
      </c>
      <c r="T714">
        <f t="shared" si="1003"/>
        <v>1.8748099950145942E-2</v>
      </c>
    </row>
    <row r="715" spans="1:20" x14ac:dyDescent="0.25">
      <c r="A715" s="5">
        <v>43878</v>
      </c>
      <c r="B715">
        <v>60.01</v>
      </c>
      <c r="C715">
        <v>66.13</v>
      </c>
      <c r="D715">
        <v>54.76</v>
      </c>
      <c r="E715">
        <v>64.2</v>
      </c>
      <c r="F715">
        <v>324330.69059999997</v>
      </c>
      <c r="G715">
        <v>0</v>
      </c>
      <c r="L715" t="s">
        <v>8</v>
      </c>
      <c r="M715" t="s">
        <v>8</v>
      </c>
      <c r="N715" t="s">
        <v>7</v>
      </c>
      <c r="P715">
        <f t="shared" si="999"/>
        <v>0.66051011433597306</v>
      </c>
      <c r="Q715">
        <f t="shared" si="1000"/>
        <v>214223.7015308711</v>
      </c>
      <c r="R715">
        <f t="shared" si="1001"/>
        <v>1662507.5537497685</v>
      </c>
      <c r="S715">
        <f t="shared" si="1002"/>
        <v>16.625075537497686</v>
      </c>
      <c r="T715">
        <f t="shared" si="1003"/>
        <v>1.6625075537497685E-2</v>
      </c>
    </row>
    <row r="716" spans="1:20" x14ac:dyDescent="0.25">
      <c r="A716" s="5">
        <v>43877</v>
      </c>
      <c r="B716">
        <v>64.47</v>
      </c>
      <c r="C716">
        <v>66.510000000000005</v>
      </c>
      <c r="D716">
        <v>54.07</v>
      </c>
      <c r="E716">
        <v>60</v>
      </c>
      <c r="F716">
        <v>275355.52795000002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-4.6623794212219065E-2</v>
      </c>
      <c r="Q716">
        <f t="shared" si="1000"/>
        <v>-12838.119470337735</v>
      </c>
      <c r="R716">
        <f t="shared" si="1001"/>
        <v>1448283.8522188973</v>
      </c>
      <c r="S716">
        <f t="shared" si="1002"/>
        <v>14.482838522188974</v>
      </c>
      <c r="T716">
        <f t="shared" si="1003"/>
        <v>1.4482838522188974E-2</v>
      </c>
    </row>
    <row r="717" spans="1:20" x14ac:dyDescent="0.25">
      <c r="A717" s="5">
        <v>43876</v>
      </c>
      <c r="B717">
        <v>72.92</v>
      </c>
      <c r="C717">
        <v>72.97</v>
      </c>
      <c r="D717">
        <v>63.19</v>
      </c>
      <c r="E717">
        <v>64.459999999999994</v>
      </c>
      <c r="F717">
        <v>164973.6998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-0.74028629856850803</v>
      </c>
      <c r="Q717">
        <f t="shared" si="1000"/>
        <v>-122127.76958609422</v>
      </c>
      <c r="R717">
        <f t="shared" si="1001"/>
        <v>1461121.971689235</v>
      </c>
      <c r="S717">
        <f t="shared" si="1002"/>
        <v>14.61121971689235</v>
      </c>
      <c r="T717">
        <f t="shared" si="1003"/>
        <v>1.4611219716892349E-2</v>
      </c>
    </row>
    <row r="718" spans="1:20" x14ac:dyDescent="0.25">
      <c r="A718" s="5">
        <v>43875</v>
      </c>
      <c r="B718">
        <v>72.010000000000005</v>
      </c>
      <c r="C718">
        <v>73.099999999999994</v>
      </c>
      <c r="D718">
        <v>70.569999999999993</v>
      </c>
      <c r="E718">
        <v>72.92</v>
      </c>
      <c r="F718">
        <v>85192.543340000004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0.85770750988142885</v>
      </c>
      <c r="Q718">
        <f t="shared" si="1000"/>
        <v>73070.284208617115</v>
      </c>
      <c r="R718">
        <f t="shared" si="1001"/>
        <v>1583249.7412753291</v>
      </c>
      <c r="S718">
        <f t="shared" si="1002"/>
        <v>15.832497412753291</v>
      </c>
      <c r="T718">
        <f t="shared" si="1003"/>
        <v>1.5832497412753291E-2</v>
      </c>
    </row>
    <row r="719" spans="1:20" x14ac:dyDescent="0.25">
      <c r="A719" s="5">
        <v>43874</v>
      </c>
      <c r="B719">
        <v>73.11</v>
      </c>
      <c r="C719">
        <v>75.819999999999993</v>
      </c>
      <c r="D719">
        <v>69.95</v>
      </c>
      <c r="E719">
        <v>72.010000000000005</v>
      </c>
      <c r="F719">
        <v>164018.45256999999</v>
      </c>
      <c r="G719">
        <v>0</v>
      </c>
      <c r="L719" t="s">
        <v>7</v>
      </c>
      <c r="M719" t="s">
        <v>8</v>
      </c>
      <c r="N719" t="s">
        <v>8</v>
      </c>
      <c r="P719">
        <f t="shared" si="999"/>
        <v>-0.29812606473594355</v>
      </c>
      <c r="Q719">
        <f t="shared" si="1000"/>
        <v>-48898.175808773107</v>
      </c>
      <c r="R719">
        <f t="shared" si="1001"/>
        <v>1510179.457066712</v>
      </c>
      <c r="S719">
        <f t="shared" si="1002"/>
        <v>15.101794570667119</v>
      </c>
      <c r="T719">
        <f t="shared" si="1003"/>
        <v>1.5101794570667119E-2</v>
      </c>
    </row>
    <row r="720" spans="1:20" x14ac:dyDescent="0.25">
      <c r="A720" s="5">
        <v>43873</v>
      </c>
      <c r="B720">
        <v>72.7</v>
      </c>
      <c r="C720">
        <v>75</v>
      </c>
      <c r="D720">
        <v>72.27</v>
      </c>
      <c r="E720">
        <v>73.12</v>
      </c>
      <c r="F720">
        <v>148411.30939000001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-0.37728937728937195</v>
      </c>
      <c r="Q720">
        <f t="shared" si="1000"/>
        <v>-55994.01050245342</v>
      </c>
      <c r="R720">
        <f t="shared" si="1001"/>
        <v>1559077.6328754851</v>
      </c>
      <c r="S720">
        <f t="shared" si="1002"/>
        <v>15.590776328754851</v>
      </c>
      <c r="T720">
        <f t="shared" si="1003"/>
        <v>1.559077632875485E-2</v>
      </c>
    </row>
    <row r="721" spans="1:20" x14ac:dyDescent="0.25">
      <c r="A721" s="5">
        <v>43872</v>
      </c>
      <c r="B721">
        <v>69.77</v>
      </c>
      <c r="C721">
        <v>72.989999999999995</v>
      </c>
      <c r="D721">
        <v>68.010000000000005</v>
      </c>
      <c r="E721">
        <v>72.680000000000007</v>
      </c>
      <c r="F721">
        <v>164041.14824000001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0.87550200803213307</v>
      </c>
      <c r="Q721">
        <f t="shared" si="1000"/>
        <v>143618.35468401681</v>
      </c>
      <c r="R721">
        <f t="shared" si="1001"/>
        <v>1615071.6433779385</v>
      </c>
      <c r="S721">
        <f t="shared" si="1002"/>
        <v>16.150716433779387</v>
      </c>
      <c r="T721">
        <f t="shared" si="1003"/>
        <v>1.6150716433779386E-2</v>
      </c>
    </row>
    <row r="722" spans="1:20" x14ac:dyDescent="0.25">
      <c r="A722" s="5">
        <v>43871</v>
      </c>
      <c r="B722">
        <v>71.290000000000006</v>
      </c>
      <c r="C722">
        <v>71.5</v>
      </c>
      <c r="D722">
        <v>67.81</v>
      </c>
      <c r="E722">
        <v>69.77</v>
      </c>
      <c r="F722">
        <v>185555.3077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6.2330623306230327E-2</v>
      </c>
      <c r="Q722">
        <f t="shared" si="1000"/>
        <v>11565.777986720361</v>
      </c>
      <c r="R722">
        <f t="shared" si="1001"/>
        <v>1471453.2886939216</v>
      </c>
      <c r="S722">
        <f t="shared" si="1002"/>
        <v>14.714532886939216</v>
      </c>
      <c r="T722">
        <f t="shared" si="1003"/>
        <v>1.4714532886939215E-2</v>
      </c>
    </row>
    <row r="723" spans="1:20" x14ac:dyDescent="0.25">
      <c r="A723" s="5">
        <v>43870</v>
      </c>
      <c r="B723">
        <v>70.010000000000005</v>
      </c>
      <c r="C723">
        <v>72.650000000000006</v>
      </c>
      <c r="D723">
        <v>68.88</v>
      </c>
      <c r="E723">
        <v>71.33</v>
      </c>
      <c r="F723">
        <v>132482.62698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0.29973474801060807</v>
      </c>
      <c r="Q723">
        <f t="shared" si="1000"/>
        <v>39709.646813633684</v>
      </c>
      <c r="R723">
        <f t="shared" si="1001"/>
        <v>1459887.5107072012</v>
      </c>
      <c r="S723">
        <f t="shared" si="1002"/>
        <v>14.598875107072011</v>
      </c>
      <c r="T723">
        <f t="shared" si="1003"/>
        <v>1.4598875107072012E-2</v>
      </c>
    </row>
    <row r="724" spans="1:20" x14ac:dyDescent="0.25">
      <c r="A724" s="5">
        <v>43869</v>
      </c>
      <c r="B724">
        <v>68.38</v>
      </c>
      <c r="C724">
        <v>72.069999999999993</v>
      </c>
      <c r="D724">
        <v>65.91</v>
      </c>
      <c r="E724">
        <v>70.02</v>
      </c>
      <c r="F724">
        <v>151777.96809000001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0.33441558441558494</v>
      </c>
      <c r="Q724">
        <f t="shared" si="1000"/>
        <v>50756.917900227359</v>
      </c>
      <c r="R724">
        <f t="shared" si="1001"/>
        <v>1420177.8638935676</v>
      </c>
      <c r="S724">
        <f t="shared" si="1002"/>
        <v>14.201778638935675</v>
      </c>
      <c r="T724">
        <f t="shared" si="1003"/>
        <v>1.4201778638935675E-2</v>
      </c>
    </row>
    <row r="725" spans="1:20" x14ac:dyDescent="0.25">
      <c r="A725" s="5">
        <v>43868</v>
      </c>
      <c r="B725">
        <v>70.180000000000007</v>
      </c>
      <c r="C725">
        <v>71.930000000000007</v>
      </c>
      <c r="D725">
        <v>67.459999999999994</v>
      </c>
      <c r="E725">
        <v>68.38</v>
      </c>
      <c r="F725">
        <v>190143.78761999999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-0.58836689038031365</v>
      </c>
      <c r="Q725">
        <f t="shared" si="1000"/>
        <v>-111874.30904711418</v>
      </c>
      <c r="R725">
        <f t="shared" si="1001"/>
        <v>1369420.9459933401</v>
      </c>
      <c r="S725">
        <f t="shared" si="1002"/>
        <v>13.694209459933401</v>
      </c>
      <c r="T725">
        <f t="shared" si="1003"/>
        <v>1.3694209459933401E-2</v>
      </c>
    </row>
    <row r="726" spans="1:20" x14ac:dyDescent="0.25">
      <c r="A726" s="5">
        <v>43867</v>
      </c>
      <c r="B726">
        <v>71.19</v>
      </c>
      <c r="C726">
        <v>72.84</v>
      </c>
      <c r="D726">
        <v>68.430000000000007</v>
      </c>
      <c r="E726">
        <v>70.14</v>
      </c>
      <c r="F726">
        <v>174752.13115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-0.22448979591836959</v>
      </c>
      <c r="Q726">
        <f t="shared" si="1000"/>
        <v>-39230.070258163658</v>
      </c>
      <c r="R726">
        <f t="shared" si="1001"/>
        <v>1481295.2550404542</v>
      </c>
      <c r="S726">
        <f t="shared" si="1002"/>
        <v>14.812952550404543</v>
      </c>
      <c r="T726">
        <f t="shared" si="1003"/>
        <v>1.4812952550404542E-2</v>
      </c>
    </row>
    <row r="727" spans="1:20" x14ac:dyDescent="0.25">
      <c r="A727" s="5">
        <v>43866</v>
      </c>
      <c r="B727">
        <v>64.33</v>
      </c>
      <c r="C727">
        <v>72.97</v>
      </c>
      <c r="D727">
        <v>63.58</v>
      </c>
      <c r="E727">
        <v>71.19</v>
      </c>
      <c r="F727">
        <v>203093.52765999999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0.62087326943556953</v>
      </c>
      <c r="Q727">
        <f t="shared" si="1000"/>
        <v>126095.34251946746</v>
      </c>
      <c r="R727">
        <f t="shared" si="1001"/>
        <v>1520525.3252986178</v>
      </c>
      <c r="S727">
        <f t="shared" si="1002"/>
        <v>15.205253252986179</v>
      </c>
      <c r="T727">
        <f t="shared" si="1003"/>
        <v>1.5205253252986179E-2</v>
      </c>
    </row>
    <row r="728" spans="1:20" x14ac:dyDescent="0.25">
      <c r="A728" s="5">
        <v>43865</v>
      </c>
      <c r="B728">
        <v>65.459999999999994</v>
      </c>
      <c r="C728">
        <v>66.11</v>
      </c>
      <c r="D728">
        <v>62.28</v>
      </c>
      <c r="E728">
        <v>64.34</v>
      </c>
      <c r="F728">
        <v>129254.19482999999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7.5718015665798014E-2</v>
      </c>
      <c r="Q728">
        <f t="shared" si="1000"/>
        <v>9786.8711490080477</v>
      </c>
      <c r="R728">
        <f t="shared" si="1001"/>
        <v>1394429.9827791504</v>
      </c>
      <c r="S728">
        <f t="shared" si="1002"/>
        <v>13.944299827791504</v>
      </c>
      <c r="T728">
        <f t="shared" si="1003"/>
        <v>1.3944299827791504E-2</v>
      </c>
    </row>
    <row r="729" spans="1:20" x14ac:dyDescent="0.25">
      <c r="A729" s="5">
        <v>43864</v>
      </c>
      <c r="B729">
        <v>66.400000000000006</v>
      </c>
      <c r="C729">
        <v>68.400000000000006</v>
      </c>
      <c r="D729">
        <v>64.8</v>
      </c>
      <c r="E729">
        <v>65.52</v>
      </c>
      <c r="F729">
        <v>90900.090509999995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-0.60000000000000153</v>
      </c>
      <c r="Q729">
        <f t="shared" si="1000"/>
        <v>-54540.054306000136</v>
      </c>
      <c r="R729">
        <f t="shared" si="1001"/>
        <v>1384643.1116301422</v>
      </c>
      <c r="S729">
        <f t="shared" si="1002"/>
        <v>13.846431116301423</v>
      </c>
      <c r="T729">
        <f t="shared" si="1003"/>
        <v>1.3846431116301423E-2</v>
      </c>
    </row>
    <row r="730" spans="1:20" x14ac:dyDescent="0.25">
      <c r="A730" s="5">
        <v>43863</v>
      </c>
      <c r="B730">
        <v>66.02</v>
      </c>
      <c r="C730">
        <v>68</v>
      </c>
      <c r="D730">
        <v>63.57</v>
      </c>
      <c r="E730">
        <v>66.36</v>
      </c>
      <c r="F730">
        <v>149031.63239000001</v>
      </c>
      <c r="G730">
        <v>0</v>
      </c>
      <c r="L730" t="s">
        <v>7</v>
      </c>
      <c r="M730" t="s">
        <v>8</v>
      </c>
      <c r="N730" t="s">
        <v>8</v>
      </c>
      <c r="P730">
        <f t="shared" si="999"/>
        <v>0.25959367945823897</v>
      </c>
      <c r="Q730">
        <f t="shared" si="1000"/>
        <v>38687.669807787766</v>
      </c>
      <c r="R730">
        <f t="shared" si="1001"/>
        <v>1439183.1659361424</v>
      </c>
      <c r="S730">
        <f t="shared" si="1002"/>
        <v>14.391831659361424</v>
      </c>
      <c r="T730">
        <f t="shared" si="1003"/>
        <v>1.4391831659361424E-2</v>
      </c>
    </row>
    <row r="731" spans="1:20" x14ac:dyDescent="0.25">
      <c r="A731" s="5">
        <v>43862</v>
      </c>
      <c r="B731">
        <v>66.52</v>
      </c>
      <c r="C731">
        <v>69.25</v>
      </c>
      <c r="D731">
        <v>64.73</v>
      </c>
      <c r="E731">
        <v>66.03</v>
      </c>
      <c r="F731">
        <v>138981.40289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-0.42477876106194767</v>
      </c>
      <c r="Q731">
        <f t="shared" si="1000"/>
        <v>-59036.348130265593</v>
      </c>
      <c r="R731">
        <f t="shared" si="1001"/>
        <v>1400495.4961283547</v>
      </c>
      <c r="S731">
        <f t="shared" si="1002"/>
        <v>14.004954961283547</v>
      </c>
      <c r="T731">
        <f t="shared" si="1003"/>
        <v>1.4004954961283546E-2</v>
      </c>
    </row>
    <row r="732" spans="1:20" x14ac:dyDescent="0.25">
      <c r="A732" s="5">
        <v>43861</v>
      </c>
      <c r="B732">
        <v>66.34</v>
      </c>
      <c r="C732">
        <v>69.38</v>
      </c>
      <c r="D732">
        <v>62.23</v>
      </c>
      <c r="E732">
        <v>66.510000000000005</v>
      </c>
      <c r="F732">
        <v>264827.97775999998</v>
      </c>
      <c r="G732">
        <v>0</v>
      </c>
      <c r="L732" t="s">
        <v>7</v>
      </c>
      <c r="M732" t="s">
        <v>8</v>
      </c>
      <c r="N732" t="s">
        <v>8</v>
      </c>
      <c r="P732">
        <f t="shared" si="999"/>
        <v>0.19720279720279973</v>
      </c>
      <c r="Q732">
        <f t="shared" si="1000"/>
        <v>52224.817991832831</v>
      </c>
      <c r="R732">
        <f t="shared" si="1001"/>
        <v>1459531.8442586202</v>
      </c>
      <c r="S732">
        <f t="shared" si="1002"/>
        <v>14.595318442586201</v>
      </c>
      <c r="T732">
        <f t="shared" si="1003"/>
        <v>1.4595318442586202E-2</v>
      </c>
    </row>
    <row r="733" spans="1:20" x14ac:dyDescent="0.25">
      <c r="A733" s="5">
        <v>43860</v>
      </c>
      <c r="B733">
        <v>61.71</v>
      </c>
      <c r="C733">
        <v>70.42</v>
      </c>
      <c r="D733">
        <v>59.68</v>
      </c>
      <c r="E733">
        <v>66.3</v>
      </c>
      <c r="F733">
        <v>329165.60424999997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0.23277467411545552</v>
      </c>
      <c r="Q733">
        <f t="shared" si="1000"/>
        <v>76621.416259310747</v>
      </c>
      <c r="R733">
        <f t="shared" si="1001"/>
        <v>1407307.0262667874</v>
      </c>
      <c r="S733">
        <f t="shared" si="1002"/>
        <v>14.073070262667875</v>
      </c>
      <c r="T733">
        <f t="shared" si="1003"/>
        <v>1.4073070262667875E-2</v>
      </c>
    </row>
    <row r="734" spans="1:20" x14ac:dyDescent="0.25">
      <c r="A734" s="5">
        <v>43859</v>
      </c>
      <c r="B734">
        <v>56.72</v>
      </c>
      <c r="C734">
        <v>64.5</v>
      </c>
      <c r="D734">
        <v>56.33</v>
      </c>
      <c r="E734">
        <v>61.74</v>
      </c>
      <c r="F734">
        <v>284499.25365000003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0.3243574051407595</v>
      </c>
      <c r="Q734">
        <f t="shared" si="1000"/>
        <v>92279.439678396768</v>
      </c>
      <c r="R734">
        <f t="shared" si="1001"/>
        <v>1330685.6100074768</v>
      </c>
      <c r="S734">
        <f t="shared" si="1002"/>
        <v>13.306856100074768</v>
      </c>
      <c r="T734">
        <f t="shared" si="1003"/>
        <v>1.3306856100074769E-2</v>
      </c>
    </row>
    <row r="735" spans="1:20" x14ac:dyDescent="0.25">
      <c r="A735" s="5">
        <v>43858</v>
      </c>
      <c r="B735">
        <v>55.17</v>
      </c>
      <c r="C735">
        <v>57.09</v>
      </c>
      <c r="D735">
        <v>53.76</v>
      </c>
      <c r="E735">
        <v>56.74</v>
      </c>
      <c r="F735">
        <v>159010.52025999999</v>
      </c>
      <c r="G735">
        <v>0</v>
      </c>
      <c r="L735" t="s">
        <v>7</v>
      </c>
      <c r="M735" t="s">
        <v>8</v>
      </c>
      <c r="N735" t="s">
        <v>8</v>
      </c>
      <c r="P735">
        <f t="shared" si="999"/>
        <v>0.78978978978978931</v>
      </c>
      <c r="Q735">
        <f t="shared" si="1000"/>
        <v>125584.88537051043</v>
      </c>
      <c r="R735">
        <f t="shared" si="1001"/>
        <v>1238406.17032908</v>
      </c>
      <c r="S735">
        <f t="shared" si="1002"/>
        <v>12.384061703290799</v>
      </c>
      <c r="T735">
        <f t="shared" si="1003"/>
        <v>1.2384061703290799E-2</v>
      </c>
    </row>
    <row r="736" spans="1:20" x14ac:dyDescent="0.25">
      <c r="A736" s="5">
        <v>43857</v>
      </c>
      <c r="B736">
        <v>53.67</v>
      </c>
      <c r="C736">
        <v>58.08</v>
      </c>
      <c r="D736">
        <v>53.65</v>
      </c>
      <c r="E736">
        <v>55.18</v>
      </c>
      <c r="F736">
        <v>184192.13604000001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-0.30925507900677146</v>
      </c>
      <c r="Q736">
        <f t="shared" si="1000"/>
        <v>-56962.353583476201</v>
      </c>
      <c r="R736">
        <f t="shared" si="1001"/>
        <v>1112821.2849585696</v>
      </c>
      <c r="S736">
        <f t="shared" si="1002"/>
        <v>11.128212849585696</v>
      </c>
      <c r="T736">
        <f t="shared" si="1003"/>
        <v>1.1128212849585695E-2</v>
      </c>
    </row>
    <row r="737" spans="1:20" x14ac:dyDescent="0.25">
      <c r="A737" s="5">
        <v>43856</v>
      </c>
      <c r="B737">
        <v>48.71</v>
      </c>
      <c r="C737">
        <v>54.51</v>
      </c>
      <c r="D737">
        <v>48.18</v>
      </c>
      <c r="E737">
        <v>53.65</v>
      </c>
      <c r="F737">
        <v>159011.05436000001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0.72827804107424976</v>
      </c>
      <c r="Q737">
        <f t="shared" si="1000"/>
        <v>115804.25917845184</v>
      </c>
      <c r="R737">
        <f t="shared" si="1001"/>
        <v>1169783.6385420458</v>
      </c>
      <c r="S737">
        <f t="shared" si="1002"/>
        <v>11.697836385420459</v>
      </c>
      <c r="T737">
        <f t="shared" si="1003"/>
        <v>1.1697836385420459E-2</v>
      </c>
    </row>
    <row r="738" spans="1:20" x14ac:dyDescent="0.25">
      <c r="A738" s="5">
        <v>43855</v>
      </c>
      <c r="B738">
        <v>48.8</v>
      </c>
      <c r="C738">
        <v>49.75</v>
      </c>
      <c r="D738">
        <v>47.88</v>
      </c>
      <c r="E738">
        <v>48.72</v>
      </c>
      <c r="F738">
        <v>58724.045940000004</v>
      </c>
      <c r="G738">
        <v>0</v>
      </c>
      <c r="L738" t="s">
        <v>8</v>
      </c>
      <c r="M738" t="s">
        <v>7</v>
      </c>
      <c r="N738" t="s">
        <v>8</v>
      </c>
      <c r="P738">
        <f t="shared" si="999"/>
        <v>-0.10160427807486903</v>
      </c>
      <c r="Q738">
        <f t="shared" si="1000"/>
        <v>-5966.6142933691444</v>
      </c>
      <c r="R738">
        <f t="shared" si="1001"/>
        <v>1053979.3793635939</v>
      </c>
      <c r="S738">
        <f t="shared" si="1002"/>
        <v>10.539793793635939</v>
      </c>
      <c r="T738">
        <f t="shared" si="1003"/>
        <v>1.0539793793635939E-2</v>
      </c>
    </row>
    <row r="739" spans="1:20" x14ac:dyDescent="0.25">
      <c r="A739" s="5">
        <v>43854</v>
      </c>
      <c r="B739">
        <v>49.58</v>
      </c>
      <c r="C739">
        <v>50.89</v>
      </c>
      <c r="D739">
        <v>46.22</v>
      </c>
      <c r="E739">
        <v>48.82</v>
      </c>
      <c r="F739">
        <v>106859.87188000001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0.11349036402569614</v>
      </c>
      <c r="Q739">
        <f t="shared" si="1000"/>
        <v>12127.565759400451</v>
      </c>
      <c r="R739">
        <f t="shared" si="1001"/>
        <v>1059945.9936569631</v>
      </c>
      <c r="S739">
        <f t="shared" si="1002"/>
        <v>10.59945993656963</v>
      </c>
      <c r="T739">
        <f t="shared" si="1003"/>
        <v>1.0599459936569629E-2</v>
      </c>
    </row>
    <row r="740" spans="1:20" x14ac:dyDescent="0.25">
      <c r="A740" s="5">
        <v>43853</v>
      </c>
      <c r="B740">
        <v>52.21</v>
      </c>
      <c r="C740">
        <v>52.28</v>
      </c>
      <c r="D740">
        <v>48.22</v>
      </c>
      <c r="E740">
        <v>49.6</v>
      </c>
      <c r="F740">
        <v>102880.22674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-0.32019704433497448</v>
      </c>
      <c r="Q740">
        <f t="shared" si="1000"/>
        <v>-32941.944522660007</v>
      </c>
      <c r="R740">
        <f t="shared" si="1001"/>
        <v>1047818.4278975627</v>
      </c>
      <c r="S740">
        <f t="shared" si="1002"/>
        <v>10.478184278975627</v>
      </c>
      <c r="T740">
        <f t="shared" si="1003"/>
        <v>1.0478184278975627E-2</v>
      </c>
    </row>
    <row r="741" spans="1:20" x14ac:dyDescent="0.25">
      <c r="A741" s="5">
        <v>43852</v>
      </c>
      <c r="B741">
        <v>53.24</v>
      </c>
      <c r="C741">
        <v>54.16</v>
      </c>
      <c r="D741">
        <v>51.35</v>
      </c>
      <c r="E741">
        <v>52.21</v>
      </c>
      <c r="F741">
        <v>101496.27263000001</v>
      </c>
      <c r="G741">
        <v>0</v>
      </c>
      <c r="L741" t="s">
        <v>7</v>
      </c>
      <c r="M741" t="s">
        <v>7</v>
      </c>
      <c r="N741" t="s">
        <v>8</v>
      </c>
      <c r="P741">
        <f t="shared" si="999"/>
        <v>-0.38790035587188548</v>
      </c>
      <c r="Q741">
        <f t="shared" si="1000"/>
        <v>-39370.440272846914</v>
      </c>
      <c r="R741">
        <f t="shared" si="1001"/>
        <v>1080760.3724202227</v>
      </c>
      <c r="S741">
        <f t="shared" si="1002"/>
        <v>10.807603724202227</v>
      </c>
      <c r="T741">
        <f t="shared" si="1003"/>
        <v>1.0807603724202227E-2</v>
      </c>
    </row>
    <row r="742" spans="1:20" x14ac:dyDescent="0.25">
      <c r="A742" s="5">
        <v>43851</v>
      </c>
      <c r="B742">
        <v>53.67</v>
      </c>
      <c r="C742">
        <v>54.16</v>
      </c>
      <c r="D742">
        <v>50.79</v>
      </c>
      <c r="E742">
        <v>53.26</v>
      </c>
      <c r="F742">
        <v>143581.11397999999</v>
      </c>
      <c r="G742">
        <v>0</v>
      </c>
      <c r="L742" t="s">
        <v>7</v>
      </c>
      <c r="M742" t="s">
        <v>7</v>
      </c>
      <c r="N742" t="s">
        <v>8</v>
      </c>
      <c r="P742">
        <f t="shared" si="999"/>
        <v>0.46587537091988174</v>
      </c>
      <c r="Q742">
        <f t="shared" si="1000"/>
        <v>66890.904732522322</v>
      </c>
      <c r="R742">
        <f t="shared" si="1001"/>
        <v>1120130.8126930697</v>
      </c>
      <c r="S742">
        <f t="shared" si="1002"/>
        <v>11.201308126930696</v>
      </c>
      <c r="T742">
        <f t="shared" si="1003"/>
        <v>1.1201308126930697E-2</v>
      </c>
    </row>
    <row r="743" spans="1:20" x14ac:dyDescent="0.25">
      <c r="A743" s="5">
        <v>43850</v>
      </c>
      <c r="B743">
        <v>51.6</v>
      </c>
      <c r="C743">
        <v>56.02</v>
      </c>
      <c r="D743">
        <v>48.87</v>
      </c>
      <c r="E743">
        <v>53.68</v>
      </c>
      <c r="F743">
        <v>234973.82827999999</v>
      </c>
      <c r="G743">
        <v>0</v>
      </c>
      <c r="L743" t="s">
        <v>8</v>
      </c>
      <c r="M743" t="s">
        <v>7</v>
      </c>
      <c r="N743" t="s">
        <v>8</v>
      </c>
      <c r="P743">
        <f t="shared" si="999"/>
        <v>0.34545454545454501</v>
      </c>
      <c r="Q743">
        <f t="shared" si="1000"/>
        <v>81172.777042181711</v>
      </c>
      <c r="R743">
        <f t="shared" si="1001"/>
        <v>1053239.9079605474</v>
      </c>
      <c r="S743">
        <f t="shared" si="1002"/>
        <v>10.532399079605474</v>
      </c>
      <c r="T743">
        <f t="shared" si="1003"/>
        <v>1.0532399079605475E-2</v>
      </c>
    </row>
    <row r="744" spans="1:20" x14ac:dyDescent="0.25">
      <c r="A744" s="5">
        <v>43849</v>
      </c>
      <c r="B744">
        <v>51.17</v>
      </c>
      <c r="C744">
        <v>54.9</v>
      </c>
      <c r="D744">
        <v>48.12</v>
      </c>
      <c r="E744">
        <v>51.56</v>
      </c>
      <c r="F744">
        <v>311212.35856000002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1.4749262536874412E-2</v>
      </c>
      <c r="Q744">
        <f t="shared" si="1000"/>
        <v>4590.1527811213355</v>
      </c>
      <c r="R744">
        <f t="shared" si="1001"/>
        <v>972067.13091836555</v>
      </c>
      <c r="S744">
        <f t="shared" si="1002"/>
        <v>9.7206713091836559</v>
      </c>
      <c r="T744">
        <f t="shared" si="1003"/>
        <v>9.7206713091836563E-3</v>
      </c>
    </row>
    <row r="745" spans="1:20" x14ac:dyDescent="0.25">
      <c r="A745" s="5">
        <v>43848</v>
      </c>
      <c r="B745">
        <v>61.5</v>
      </c>
      <c r="C745">
        <v>62.69</v>
      </c>
      <c r="D745">
        <v>51</v>
      </c>
      <c r="E745">
        <v>51.16</v>
      </c>
      <c r="F745">
        <v>403444.30948</v>
      </c>
      <c r="G745">
        <v>0</v>
      </c>
      <c r="L745" t="s">
        <v>7</v>
      </c>
      <c r="M745" t="s">
        <v>7</v>
      </c>
      <c r="N745" t="s">
        <v>8</v>
      </c>
      <c r="P745">
        <f t="shared" si="999"/>
        <v>-0.97262617621899117</v>
      </c>
      <c r="Q745">
        <f t="shared" si="1000"/>
        <v>-392400.49604684371</v>
      </c>
      <c r="R745">
        <f t="shared" si="1001"/>
        <v>967476.97813724424</v>
      </c>
      <c r="S745">
        <f t="shared" si="1002"/>
        <v>9.6747697813724418</v>
      </c>
      <c r="T745">
        <f t="shared" si="1003"/>
        <v>9.6747697813724422E-3</v>
      </c>
    </row>
    <row r="746" spans="1:20" x14ac:dyDescent="0.25">
      <c r="A746" s="5">
        <v>43847</v>
      </c>
      <c r="B746">
        <v>50.78</v>
      </c>
      <c r="C746">
        <v>65.959999999999994</v>
      </c>
      <c r="D746">
        <v>48.93</v>
      </c>
      <c r="E746">
        <v>61.54</v>
      </c>
      <c r="F746">
        <v>479690.22058999998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0.48091603053435161</v>
      </c>
      <c r="Q746">
        <f t="shared" si="1000"/>
        <v>230690.7167722903</v>
      </c>
      <c r="R746">
        <f t="shared" si="1001"/>
        <v>1359877.4741840879</v>
      </c>
      <c r="S746">
        <f t="shared" si="1002"/>
        <v>13.598774741840879</v>
      </c>
      <c r="T746">
        <f t="shared" si="1003"/>
        <v>1.359877474184088E-2</v>
      </c>
    </row>
    <row r="747" spans="1:20" x14ac:dyDescent="0.25">
      <c r="A747" s="5">
        <v>43846</v>
      </c>
      <c r="B747">
        <v>55</v>
      </c>
      <c r="C747">
        <v>55.77</v>
      </c>
      <c r="D747">
        <v>47.61</v>
      </c>
      <c r="E747">
        <v>50.8</v>
      </c>
      <c r="F747">
        <v>284208.80884999997</v>
      </c>
      <c r="G747">
        <v>0</v>
      </c>
      <c r="L747" t="s">
        <v>7</v>
      </c>
      <c r="M747" t="s">
        <v>7</v>
      </c>
      <c r="N747" t="s">
        <v>8</v>
      </c>
      <c r="P747">
        <f t="shared" si="999"/>
        <v>-0.2181372549019617</v>
      </c>
      <c r="Q747">
        <f t="shared" si="1000"/>
        <v>-61996.529381495355</v>
      </c>
      <c r="R747">
        <f t="shared" si="1001"/>
        <v>1129186.7574117978</v>
      </c>
      <c r="S747">
        <f t="shared" si="1002"/>
        <v>11.291867574117978</v>
      </c>
      <c r="T747">
        <f t="shared" si="1003"/>
        <v>1.1291867574117978E-2</v>
      </c>
    </row>
    <row r="748" spans="1:20" x14ac:dyDescent="0.25">
      <c r="A748" s="5">
        <v>43845</v>
      </c>
      <c r="B748">
        <v>43.81</v>
      </c>
      <c r="C748">
        <v>59</v>
      </c>
      <c r="D748">
        <v>43</v>
      </c>
      <c r="E748">
        <v>54.97</v>
      </c>
      <c r="F748">
        <v>703162.52398000006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0.49624999999999986</v>
      </c>
      <c r="Q748">
        <f t="shared" si="1000"/>
        <v>348944.40252507495</v>
      </c>
      <c r="R748">
        <f t="shared" si="1001"/>
        <v>1191183.2867932932</v>
      </c>
      <c r="S748">
        <f t="shared" si="1002"/>
        <v>11.911832867932931</v>
      </c>
      <c r="T748">
        <f t="shared" si="1003"/>
        <v>1.1911832867932931E-2</v>
      </c>
    </row>
    <row r="749" spans="1:20" x14ac:dyDescent="0.25">
      <c r="A749" s="5">
        <v>43844</v>
      </c>
      <c r="B749">
        <v>38.32</v>
      </c>
      <c r="C749">
        <v>45.74</v>
      </c>
      <c r="D749">
        <v>38.049999999999997</v>
      </c>
      <c r="E749">
        <v>43.83</v>
      </c>
      <c r="F749">
        <v>481225.48690000002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0.50325097529258711</v>
      </c>
      <c r="Q749">
        <f t="shared" si="1000"/>
        <v>242177.19561807511</v>
      </c>
      <c r="R749">
        <f t="shared" si="1001"/>
        <v>842238.88426821819</v>
      </c>
      <c r="S749">
        <f t="shared" si="1002"/>
        <v>8.4223888426821816</v>
      </c>
      <c r="T749">
        <f t="shared" si="1003"/>
        <v>8.4223888426821821E-3</v>
      </c>
    </row>
    <row r="750" spans="1:20" x14ac:dyDescent="0.25">
      <c r="A750" s="5">
        <v>43843</v>
      </c>
      <c r="B750">
        <v>35.520000000000003</v>
      </c>
      <c r="C750">
        <v>38.64</v>
      </c>
      <c r="D750">
        <v>34.57</v>
      </c>
      <c r="E750">
        <v>38.32</v>
      </c>
      <c r="F750">
        <v>209510.29316</v>
      </c>
      <c r="G750">
        <v>0</v>
      </c>
      <c r="L750" t="s">
        <v>8</v>
      </c>
      <c r="M750" t="s">
        <v>8</v>
      </c>
      <c r="N750" t="s">
        <v>8</v>
      </c>
      <c r="P750">
        <f t="shared" si="999"/>
        <v>0.84275184275184267</v>
      </c>
      <c r="Q750">
        <f t="shared" si="1000"/>
        <v>176565.18563606878</v>
      </c>
      <c r="R750">
        <f t="shared" si="1001"/>
        <v>600061.6886501431</v>
      </c>
      <c r="S750">
        <f t="shared" si="1002"/>
        <v>6.0006168865014313</v>
      </c>
      <c r="T750">
        <f t="shared" si="1003"/>
        <v>6.0006168865014316E-3</v>
      </c>
    </row>
    <row r="751" spans="1:20" x14ac:dyDescent="0.25">
      <c r="A751" s="5">
        <v>43842</v>
      </c>
      <c r="B751">
        <v>34.869999999999997</v>
      </c>
      <c r="C751">
        <v>36.39</v>
      </c>
      <c r="D751">
        <v>34.53</v>
      </c>
      <c r="E751">
        <v>35.520000000000003</v>
      </c>
      <c r="F751">
        <v>116777.98351999999</v>
      </c>
      <c r="G751">
        <v>0</v>
      </c>
      <c r="L751" t="s">
        <v>7</v>
      </c>
      <c r="M751" t="s">
        <v>8</v>
      </c>
      <c r="N751" t="s">
        <v>8</v>
      </c>
      <c r="P751">
        <f t="shared" si="999"/>
        <v>6.4516129032260533E-2</v>
      </c>
      <c r="Q751">
        <f t="shared" si="1000"/>
        <v>7534.0634529035133</v>
      </c>
      <c r="R751">
        <f t="shared" si="1001"/>
        <v>423496.50301407435</v>
      </c>
      <c r="S751">
        <f t="shared" si="1002"/>
        <v>4.2349650301407431</v>
      </c>
      <c r="T751">
        <f t="shared" si="1003"/>
        <v>4.2349650301407435E-3</v>
      </c>
    </row>
    <row r="752" spans="1:20" x14ac:dyDescent="0.25">
      <c r="A752" s="5">
        <v>43841</v>
      </c>
      <c r="B752">
        <v>33.72</v>
      </c>
      <c r="C752">
        <v>36.76</v>
      </c>
      <c r="D752">
        <v>33.25</v>
      </c>
      <c r="E752">
        <v>34.880000000000003</v>
      </c>
      <c r="F752">
        <v>164154.67869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-7.1225071225069242E-2</v>
      </c>
      <c r="Q752">
        <f t="shared" si="1000"/>
        <v>-11691.928681623605</v>
      </c>
      <c r="R752">
        <f t="shared" si="1001"/>
        <v>415962.43956117082</v>
      </c>
      <c r="S752">
        <f t="shared" si="1002"/>
        <v>4.1596243956117078</v>
      </c>
      <c r="T752">
        <f t="shared" si="1003"/>
        <v>4.1596243956117081E-3</v>
      </c>
    </row>
    <row r="753" spans="1:20" x14ac:dyDescent="0.25">
      <c r="A753" s="5">
        <v>43840</v>
      </c>
      <c r="B753">
        <v>30.83</v>
      </c>
      <c r="C753">
        <v>34.700000000000003</v>
      </c>
      <c r="D753">
        <v>30.01</v>
      </c>
      <c r="E753">
        <v>33.69</v>
      </c>
      <c r="F753">
        <v>132574.76034000001</v>
      </c>
      <c r="G753">
        <v>0</v>
      </c>
      <c r="L753" t="s">
        <v>8</v>
      </c>
      <c r="M753" t="s">
        <v>8</v>
      </c>
      <c r="N753" t="s">
        <v>8</v>
      </c>
      <c r="P753">
        <f t="shared" si="999"/>
        <v>0.56929637526652244</v>
      </c>
      <c r="Q753">
        <f t="shared" si="1000"/>
        <v>75474.330513389927</v>
      </c>
      <c r="R753">
        <f t="shared" si="1001"/>
        <v>427654.36824279441</v>
      </c>
      <c r="S753">
        <f t="shared" si="1002"/>
        <v>4.2765436824279446</v>
      </c>
      <c r="T753">
        <f t="shared" si="1003"/>
        <v>4.2765436824279447E-3</v>
      </c>
    </row>
    <row r="754" spans="1:20" x14ac:dyDescent="0.25">
      <c r="A754" s="5">
        <v>43839</v>
      </c>
      <c r="B754">
        <v>30.86</v>
      </c>
      <c r="C754">
        <v>32.020000000000003</v>
      </c>
      <c r="D754">
        <v>30.15</v>
      </c>
      <c r="E754">
        <v>30.83</v>
      </c>
      <c r="F754">
        <v>55708.857470000003</v>
      </c>
      <c r="G754">
        <v>0</v>
      </c>
      <c r="L754" t="s">
        <v>8</v>
      </c>
      <c r="M754" t="s">
        <v>8</v>
      </c>
      <c r="N754" t="s">
        <v>7</v>
      </c>
      <c r="P754">
        <f t="shared" si="999"/>
        <v>-0.27272727272727482</v>
      </c>
      <c r="Q754">
        <f t="shared" si="1000"/>
        <v>-15193.324764545572</v>
      </c>
      <c r="R754">
        <f t="shared" si="1001"/>
        <v>352180.03772940452</v>
      </c>
      <c r="S754">
        <f t="shared" si="1002"/>
        <v>3.5218003772940452</v>
      </c>
      <c r="T754">
        <f t="shared" si="1003"/>
        <v>3.5218003772940452E-3</v>
      </c>
    </row>
    <row r="755" spans="1:20" x14ac:dyDescent="0.25">
      <c r="A755" s="5">
        <v>43838</v>
      </c>
      <c r="B755">
        <v>32.24</v>
      </c>
      <c r="C755">
        <v>33.14</v>
      </c>
      <c r="D755">
        <v>30.02</v>
      </c>
      <c r="E755">
        <v>30.88</v>
      </c>
      <c r="F755">
        <v>65174.58483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-0.44871794871794923</v>
      </c>
      <c r="Q755">
        <f t="shared" si="1000"/>
        <v>-29245.006013461571</v>
      </c>
      <c r="R755">
        <f t="shared" si="1001"/>
        <v>367373.36249395012</v>
      </c>
      <c r="S755">
        <f t="shared" si="1002"/>
        <v>3.673733624939501</v>
      </c>
      <c r="T755">
        <f t="shared" si="1003"/>
        <v>3.673733624939501E-3</v>
      </c>
    </row>
    <row r="756" spans="1:20" x14ac:dyDescent="0.25">
      <c r="A756" s="5">
        <v>43837</v>
      </c>
      <c r="B756">
        <v>32.86</v>
      </c>
      <c r="C756">
        <v>33.21</v>
      </c>
      <c r="D756">
        <v>30.72</v>
      </c>
      <c r="E756">
        <v>32.24</v>
      </c>
      <c r="F756">
        <v>97297.360069999995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0.22088353413654771</v>
      </c>
      <c r="Q756">
        <f t="shared" si="1000"/>
        <v>21491.384754417817</v>
      </c>
      <c r="R756">
        <f t="shared" si="1001"/>
        <v>396618.36850741168</v>
      </c>
      <c r="S756">
        <f t="shared" si="1002"/>
        <v>3.966183685074117</v>
      </c>
      <c r="T756">
        <f t="shared" si="1003"/>
        <v>3.9661836850741171E-3</v>
      </c>
    </row>
    <row r="757" spans="1:20" x14ac:dyDescent="0.25">
      <c r="A757" s="5">
        <v>43836</v>
      </c>
      <c r="B757">
        <v>30.81</v>
      </c>
      <c r="C757">
        <v>33.25</v>
      </c>
      <c r="D757">
        <v>30.5</v>
      </c>
      <c r="E757">
        <v>32.86</v>
      </c>
      <c r="F757">
        <v>86025.093439999997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0.71636363636363598</v>
      </c>
      <c r="Q757">
        <f t="shared" si="1000"/>
        <v>61625.248755199966</v>
      </c>
      <c r="R757">
        <f t="shared" si="1001"/>
        <v>375126.98375299387</v>
      </c>
      <c r="S757">
        <f t="shared" si="1002"/>
        <v>3.7512698375299385</v>
      </c>
      <c r="T757">
        <f t="shared" si="1003"/>
        <v>3.7512698375299384E-3</v>
      </c>
    </row>
    <row r="758" spans="1:20" x14ac:dyDescent="0.25">
      <c r="A758" s="5">
        <v>43835</v>
      </c>
      <c r="B758">
        <v>29.91</v>
      </c>
      <c r="C758">
        <v>32.01</v>
      </c>
      <c r="D758">
        <v>29.81</v>
      </c>
      <c r="E758">
        <v>30.81</v>
      </c>
      <c r="F758">
        <v>90434.774890000001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-9.090909090909062E-2</v>
      </c>
      <c r="Q758">
        <f t="shared" si="1000"/>
        <v>-8221.3431718181564</v>
      </c>
      <c r="R758">
        <f t="shared" si="1001"/>
        <v>313501.73499779392</v>
      </c>
      <c r="S758">
        <f t="shared" si="1002"/>
        <v>3.135017349977939</v>
      </c>
      <c r="T758">
        <f t="shared" si="1003"/>
        <v>3.1350173499779389E-3</v>
      </c>
    </row>
    <row r="759" spans="1:20" x14ac:dyDescent="0.25">
      <c r="A759" s="5">
        <v>43834</v>
      </c>
      <c r="B759">
        <v>28.47</v>
      </c>
      <c r="C759">
        <v>30.4</v>
      </c>
      <c r="D759">
        <v>28.03</v>
      </c>
      <c r="E759">
        <v>29.91</v>
      </c>
      <c r="F759">
        <v>45486.982550000001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0.58649789029535948</v>
      </c>
      <c r="Q759">
        <f t="shared" si="1000"/>
        <v>26678.01930147683</v>
      </c>
      <c r="R759">
        <f t="shared" si="1001"/>
        <v>321723.0781696121</v>
      </c>
      <c r="S759">
        <f t="shared" si="1002"/>
        <v>3.217230781696121</v>
      </c>
      <c r="T759">
        <f t="shared" si="1003"/>
        <v>3.2172307816961208E-3</v>
      </c>
    </row>
    <row r="760" spans="1:20" x14ac:dyDescent="0.25">
      <c r="A760" s="5">
        <v>43833</v>
      </c>
      <c r="B760">
        <v>27.02</v>
      </c>
      <c r="C760">
        <v>28.69</v>
      </c>
      <c r="D760">
        <v>26.75</v>
      </c>
      <c r="E760">
        <v>28.41</v>
      </c>
      <c r="F760">
        <v>50723.019200000002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0.71134020618556604</v>
      </c>
      <c r="Q760">
        <f t="shared" si="1000"/>
        <v>36081.322936082426</v>
      </c>
      <c r="R760">
        <f t="shared" si="1001"/>
        <v>295045.05886813527</v>
      </c>
      <c r="S760">
        <f t="shared" si="1002"/>
        <v>2.9504505886813526</v>
      </c>
      <c r="T760">
        <f t="shared" si="1003"/>
        <v>2.9504505886813527E-3</v>
      </c>
    </row>
    <row r="761" spans="1:20" x14ac:dyDescent="0.25">
      <c r="A761" s="5">
        <v>43832</v>
      </c>
      <c r="B761">
        <v>28.06</v>
      </c>
      <c r="C761">
        <v>28.1</v>
      </c>
      <c r="D761">
        <v>26.64</v>
      </c>
      <c r="E761">
        <v>27.02</v>
      </c>
      <c r="F761">
        <v>26163.593990000001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-0.47945205479452224</v>
      </c>
      <c r="Q761">
        <f t="shared" si="1000"/>
        <v>-12544.188899315113</v>
      </c>
      <c r="R761">
        <f t="shared" si="1001"/>
        <v>258963.73593205286</v>
      </c>
      <c r="S761">
        <f t="shared" si="1002"/>
        <v>2.5896373593205286</v>
      </c>
      <c r="T761">
        <f t="shared" si="1003"/>
        <v>2.5896373593205287E-3</v>
      </c>
    </row>
    <row r="762" spans="1:20" x14ac:dyDescent="0.25">
      <c r="A762" s="5">
        <v>43831</v>
      </c>
      <c r="B762">
        <v>27.52</v>
      </c>
      <c r="C762">
        <v>28.35</v>
      </c>
      <c r="D762">
        <v>27.37</v>
      </c>
      <c r="E762">
        <v>28.07</v>
      </c>
      <c r="F762">
        <v>21929.630690000002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0.42857142857142649</v>
      </c>
      <c r="Q762">
        <f t="shared" si="1000"/>
        <v>9398.4131528570979</v>
      </c>
      <c r="R762">
        <f t="shared" si="1001"/>
        <v>271507.92483136797</v>
      </c>
      <c r="S762">
        <f t="shared" si="1002"/>
        <v>2.7150792483136796</v>
      </c>
      <c r="T762">
        <f t="shared" si="1003"/>
        <v>2.7150792483136795E-3</v>
      </c>
    </row>
    <row r="763" spans="1:20" x14ac:dyDescent="0.25">
      <c r="A763" s="5">
        <v>43830</v>
      </c>
      <c r="B763">
        <v>28.34</v>
      </c>
      <c r="C763">
        <v>28.36</v>
      </c>
      <c r="D763">
        <v>27.47</v>
      </c>
      <c r="E763">
        <v>27.54</v>
      </c>
      <c r="F763">
        <v>17794.01051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-0.84269662921348265</v>
      </c>
      <c r="Q763">
        <f t="shared" si="1000"/>
        <v>-14994.952676966283</v>
      </c>
      <c r="R763">
        <f t="shared" si="1001"/>
        <v>262109.5116785109</v>
      </c>
      <c r="S763">
        <f t="shared" si="1002"/>
        <v>2.6210951167851091</v>
      </c>
      <c r="T763">
        <f t="shared" si="1003"/>
        <v>2.6210951167851093E-3</v>
      </c>
    </row>
    <row r="764" spans="1:20" x14ac:dyDescent="0.25">
      <c r="A764" s="5">
        <v>43829</v>
      </c>
      <c r="B764">
        <v>29.16</v>
      </c>
      <c r="C764">
        <v>29.17</v>
      </c>
      <c r="D764">
        <v>28.25</v>
      </c>
      <c r="E764">
        <v>28.35</v>
      </c>
      <c r="F764">
        <v>28611.52375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-0.78260869565217117</v>
      </c>
      <c r="Q764">
        <f t="shared" si="1000"/>
        <v>-22391.627282608617</v>
      </c>
      <c r="R764">
        <f t="shared" si="1001"/>
        <v>277104.46435547719</v>
      </c>
      <c r="S764">
        <f t="shared" si="1002"/>
        <v>2.771044643554772</v>
      </c>
      <c r="T764">
        <f t="shared" si="1003"/>
        <v>2.7710446435547718E-3</v>
      </c>
    </row>
    <row r="765" spans="1:20" x14ac:dyDescent="0.25">
      <c r="A765" s="5">
        <v>43828</v>
      </c>
      <c r="B765">
        <v>28.15</v>
      </c>
      <c r="C765">
        <v>29.81</v>
      </c>
      <c r="D765">
        <v>27.92</v>
      </c>
      <c r="E765">
        <v>29.14</v>
      </c>
      <c r="F765">
        <v>38633.49727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0.29100529100529182</v>
      </c>
      <c r="Q765">
        <f t="shared" si="1000"/>
        <v>11242.552115608498</v>
      </c>
      <c r="R765">
        <f t="shared" si="1001"/>
        <v>299496.09163808578</v>
      </c>
      <c r="S765">
        <f t="shared" si="1002"/>
        <v>2.9949609163808577</v>
      </c>
      <c r="T765">
        <f t="shared" si="1003"/>
        <v>2.9949609163808576E-3</v>
      </c>
    </row>
    <row r="766" spans="1:20" x14ac:dyDescent="0.25">
      <c r="A766" s="5">
        <v>43827</v>
      </c>
      <c r="B766">
        <v>27.62</v>
      </c>
      <c r="C766">
        <v>28.45</v>
      </c>
      <c r="D766">
        <v>27.59</v>
      </c>
      <c r="E766">
        <v>28.16</v>
      </c>
      <c r="F766">
        <v>26039.367300000002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0.32558139534883873</v>
      </c>
      <c r="Q766">
        <f t="shared" si="1000"/>
        <v>8477.9335395349244</v>
      </c>
      <c r="R766">
        <f t="shared" si="1001"/>
        <v>288253.53952247731</v>
      </c>
      <c r="S766">
        <f t="shared" si="1002"/>
        <v>2.8825353952247732</v>
      </c>
      <c r="T766">
        <f t="shared" si="1003"/>
        <v>2.8825353952247734E-3</v>
      </c>
    </row>
    <row r="767" spans="1:20" x14ac:dyDescent="0.25">
      <c r="A767" s="5">
        <v>43826</v>
      </c>
      <c r="B767">
        <v>27.61</v>
      </c>
      <c r="C767">
        <v>27.79</v>
      </c>
      <c r="D767">
        <v>27.12</v>
      </c>
      <c r="E767">
        <v>27.62</v>
      </c>
      <c r="F767">
        <v>21536.481510000001</v>
      </c>
      <c r="G767">
        <v>0</v>
      </c>
      <c r="L767" t="s">
        <v>7</v>
      </c>
      <c r="M767" t="s">
        <v>7</v>
      </c>
      <c r="N767" t="s">
        <v>7</v>
      </c>
      <c r="P767">
        <f t="shared" si="999"/>
        <v>0.49253731343283996</v>
      </c>
      <c r="Q767">
        <f t="shared" si="1000"/>
        <v>10607.520743731433</v>
      </c>
      <c r="R767">
        <f t="shared" si="1001"/>
        <v>279775.60598294239</v>
      </c>
      <c r="S767">
        <f t="shared" si="1002"/>
        <v>2.7977560598294238</v>
      </c>
      <c r="T767">
        <f t="shared" si="1003"/>
        <v>2.7977560598294237E-3</v>
      </c>
    </row>
    <row r="768" spans="1:20" x14ac:dyDescent="0.25">
      <c r="A768" s="5">
        <v>43825</v>
      </c>
      <c r="B768">
        <v>27.37</v>
      </c>
      <c r="C768">
        <v>28.58</v>
      </c>
      <c r="D768">
        <v>27.07</v>
      </c>
      <c r="E768">
        <v>27.61</v>
      </c>
      <c r="F768">
        <v>35963.662640000002</v>
      </c>
      <c r="G768">
        <v>0</v>
      </c>
      <c r="L768" t="s">
        <v>7</v>
      </c>
      <c r="M768" t="s">
        <v>7</v>
      </c>
      <c r="N768" t="s">
        <v>7</v>
      </c>
      <c r="P768">
        <f t="shared" si="999"/>
        <v>-0.28476821192052998</v>
      </c>
      <c r="Q768">
        <f t="shared" si="1000"/>
        <v>-10241.307904105968</v>
      </c>
      <c r="R768">
        <f t="shared" si="1001"/>
        <v>269168.08523921098</v>
      </c>
      <c r="S768">
        <f t="shared" si="1002"/>
        <v>2.6916808523921096</v>
      </c>
      <c r="T768">
        <f t="shared" si="1003"/>
        <v>2.6916808523921097E-3</v>
      </c>
    </row>
    <row r="769" spans="1:20" x14ac:dyDescent="0.25">
      <c r="A769" s="5">
        <v>43824</v>
      </c>
      <c r="B769">
        <v>28.07</v>
      </c>
      <c r="C769">
        <v>28.07</v>
      </c>
      <c r="D769">
        <v>27.15</v>
      </c>
      <c r="E769">
        <v>27.37</v>
      </c>
      <c r="F769">
        <v>20972.888849999999</v>
      </c>
      <c r="G769">
        <v>0</v>
      </c>
      <c r="L769" t="s">
        <v>7</v>
      </c>
      <c r="M769" t="s">
        <v>7</v>
      </c>
      <c r="N769" t="s">
        <v>7</v>
      </c>
      <c r="P769">
        <f t="shared" si="999"/>
        <v>-0.52173913043477826</v>
      </c>
      <c r="Q769">
        <f t="shared" si="1000"/>
        <v>-10942.376791304256</v>
      </c>
      <c r="R769">
        <f t="shared" si="1001"/>
        <v>279409.39314331696</v>
      </c>
      <c r="S769">
        <f t="shared" si="1002"/>
        <v>2.7940939314331694</v>
      </c>
      <c r="T769">
        <f t="shared" si="1003"/>
        <v>2.7940939314331694E-3</v>
      </c>
    </row>
    <row r="770" spans="1:20" x14ac:dyDescent="0.25">
      <c r="A770" s="5">
        <v>43823</v>
      </c>
      <c r="B770">
        <v>28.29</v>
      </c>
      <c r="C770">
        <v>28.6</v>
      </c>
      <c r="D770">
        <v>27.78</v>
      </c>
      <c r="E770">
        <v>28.06</v>
      </c>
      <c r="F770">
        <v>27512.857660000001</v>
      </c>
      <c r="G770">
        <v>0</v>
      </c>
      <c r="L770" t="s">
        <v>7</v>
      </c>
      <c r="M770" t="s">
        <v>7</v>
      </c>
      <c r="N770" t="s">
        <v>7</v>
      </c>
      <c r="P770">
        <f t="shared" si="999"/>
        <v>-0.31707317073171343</v>
      </c>
      <c r="Q770">
        <f t="shared" si="1000"/>
        <v>-8723.5890141465097</v>
      </c>
      <c r="R770">
        <f t="shared" si="1001"/>
        <v>290351.76993462123</v>
      </c>
      <c r="S770">
        <f t="shared" si="1002"/>
        <v>2.9035176993462124</v>
      </c>
      <c r="T770">
        <f t="shared" si="1003"/>
        <v>2.9035176993462124E-3</v>
      </c>
    </row>
    <row r="771" spans="1:20" x14ac:dyDescent="0.25">
      <c r="A771" s="5">
        <v>43822</v>
      </c>
      <c r="B771">
        <v>29.09</v>
      </c>
      <c r="C771">
        <v>29.99</v>
      </c>
      <c r="D771">
        <v>28.08</v>
      </c>
      <c r="E771">
        <v>28.29</v>
      </c>
      <c r="F771">
        <v>39967.484490000003</v>
      </c>
      <c r="G771">
        <v>0</v>
      </c>
      <c r="L771" t="s">
        <v>8</v>
      </c>
      <c r="M771" t="s">
        <v>7</v>
      </c>
      <c r="N771" t="s">
        <v>7</v>
      </c>
      <c r="P771">
        <f t="shared" si="999"/>
        <v>-0.78010471204188392</v>
      </c>
      <c r="Q771">
        <f t="shared" si="1000"/>
        <v>-31178.822979109915</v>
      </c>
      <c r="R771">
        <f t="shared" si="1001"/>
        <v>299075.35894876777</v>
      </c>
      <c r="S771">
        <f t="shared" si="1002"/>
        <v>2.9907535894876776</v>
      </c>
      <c r="T771">
        <f t="shared" si="1003"/>
        <v>2.9907535894876775E-3</v>
      </c>
    </row>
    <row r="772" spans="1:20" x14ac:dyDescent="0.25">
      <c r="A772" s="5">
        <v>43821</v>
      </c>
      <c r="B772">
        <v>28.32</v>
      </c>
      <c r="C772">
        <v>29.3</v>
      </c>
      <c r="D772">
        <v>28.19</v>
      </c>
      <c r="E772">
        <v>29.09</v>
      </c>
      <c r="F772">
        <v>66804.668690000006</v>
      </c>
      <c r="G772">
        <v>0</v>
      </c>
      <c r="L772" t="s">
        <v>7</v>
      </c>
      <c r="M772" t="s">
        <v>7</v>
      </c>
      <c r="N772" t="s">
        <v>7</v>
      </c>
      <c r="P772">
        <f t="shared" si="999"/>
        <v>0.62162162162161994</v>
      </c>
      <c r="Q772">
        <f t="shared" si="1000"/>
        <v>41527.226482972867</v>
      </c>
      <c r="R772">
        <f t="shared" si="1001"/>
        <v>330254.18192787765</v>
      </c>
      <c r="S772">
        <f t="shared" si="1002"/>
        <v>3.3025418192787765</v>
      </c>
      <c r="T772">
        <f t="shared" si="1003"/>
        <v>3.3025418192787767E-3</v>
      </c>
    </row>
    <row r="773" spans="1:20" x14ac:dyDescent="0.25">
      <c r="A773" s="5">
        <v>43820</v>
      </c>
      <c r="B773">
        <v>28.36</v>
      </c>
      <c r="C773">
        <v>28.59</v>
      </c>
      <c r="D773">
        <v>27.73</v>
      </c>
      <c r="E773">
        <v>28.32</v>
      </c>
      <c r="F773">
        <v>40500.971579999998</v>
      </c>
      <c r="G773">
        <v>0</v>
      </c>
      <c r="L773" t="s">
        <v>7</v>
      </c>
      <c r="M773" t="s">
        <v>7</v>
      </c>
      <c r="N773" t="s">
        <v>7</v>
      </c>
      <c r="P773">
        <f t="shared" si="999"/>
        <v>0.3720930232558145</v>
      </c>
      <c r="Q773">
        <f t="shared" si="1000"/>
        <v>15070.128960000022</v>
      </c>
      <c r="R773">
        <f t="shared" si="1001"/>
        <v>288726.9554449048</v>
      </c>
      <c r="S773">
        <f t="shared" si="1002"/>
        <v>2.8872695544490479</v>
      </c>
      <c r="T773">
        <f t="shared" si="1003"/>
        <v>2.8872695544490479E-3</v>
      </c>
    </row>
    <row r="774" spans="1:20" x14ac:dyDescent="0.25">
      <c r="A774" s="5">
        <v>43819</v>
      </c>
      <c r="B774">
        <v>28.53</v>
      </c>
      <c r="C774">
        <v>28.68</v>
      </c>
      <c r="D774">
        <v>27.9</v>
      </c>
      <c r="E774">
        <v>28.36</v>
      </c>
      <c r="F774">
        <v>37806.542609999997</v>
      </c>
      <c r="G774">
        <v>0</v>
      </c>
      <c r="L774" t="s">
        <v>8</v>
      </c>
      <c r="M774" t="s">
        <v>7</v>
      </c>
      <c r="N774" t="s">
        <v>7</v>
      </c>
      <c r="P774">
        <f t="shared" ref="P774:P837" si="1004">IF(C774=D774,0,((E774-D774)-(C774-E774))/(C774-D774))</f>
        <v>0.17948717948717996</v>
      </c>
      <c r="Q774">
        <f t="shared" ref="Q774:Q837" si="1005">F774*P774</f>
        <v>6785.7896992307869</v>
      </c>
      <c r="R774">
        <f t="shared" ref="R774:R837" si="1006">R775+Q774</f>
        <v>273656.8264849048</v>
      </c>
      <c r="S774">
        <f t="shared" ref="S774:S837" si="1007">R774/100000</f>
        <v>2.7365682648490481</v>
      </c>
      <c r="T774">
        <f t="shared" ref="T774:T837" si="1008">S774/1000</f>
        <v>2.7365682648490481E-3</v>
      </c>
    </row>
    <row r="775" spans="1:20" x14ac:dyDescent="0.25">
      <c r="A775" s="5">
        <v>43818</v>
      </c>
      <c r="B775">
        <v>29.33</v>
      </c>
      <c r="C775">
        <v>29.62</v>
      </c>
      <c r="D775">
        <v>28</v>
      </c>
      <c r="E775">
        <v>28.52</v>
      </c>
      <c r="F775">
        <v>95677.041549999994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-0.35802469135802562</v>
      </c>
      <c r="Q775">
        <f t="shared" si="1005"/>
        <v>-34254.743270987739</v>
      </c>
      <c r="R775">
        <f t="shared" si="1006"/>
        <v>266871.03678567399</v>
      </c>
      <c r="S775">
        <f t="shared" si="1007"/>
        <v>2.6687103678567401</v>
      </c>
      <c r="T775">
        <f t="shared" si="1008"/>
        <v>2.6687103678567402E-3</v>
      </c>
    </row>
    <row r="776" spans="1:20" x14ac:dyDescent="0.25">
      <c r="A776" s="5">
        <v>43817</v>
      </c>
      <c r="B776">
        <v>27.72</v>
      </c>
      <c r="C776">
        <v>29.93</v>
      </c>
      <c r="D776">
        <v>25.91</v>
      </c>
      <c r="E776">
        <v>29.3</v>
      </c>
      <c r="F776">
        <v>110720.52746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0.68656716417910491</v>
      </c>
      <c r="Q776">
        <f t="shared" si="1005"/>
        <v>76017.078554626918</v>
      </c>
      <c r="R776">
        <f t="shared" si="1006"/>
        <v>301125.78005666175</v>
      </c>
      <c r="S776">
        <f t="shared" si="1007"/>
        <v>3.0112578005666175</v>
      </c>
      <c r="T776">
        <f t="shared" si="1008"/>
        <v>3.0112578005666176E-3</v>
      </c>
    </row>
    <row r="777" spans="1:20" x14ac:dyDescent="0.25">
      <c r="A777" s="5">
        <v>43816</v>
      </c>
      <c r="B777">
        <v>29.52</v>
      </c>
      <c r="C777">
        <v>29.59</v>
      </c>
      <c r="D777">
        <v>26.01</v>
      </c>
      <c r="E777">
        <v>27.73</v>
      </c>
      <c r="F777">
        <v>174482.48986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-3.9106145251396829E-2</v>
      </c>
      <c r="Q777">
        <f t="shared" si="1005"/>
        <v>-6823.3375922905343</v>
      </c>
      <c r="R777">
        <f t="shared" si="1006"/>
        <v>225108.70150203485</v>
      </c>
      <c r="S777">
        <f t="shared" si="1007"/>
        <v>2.2510870150203486</v>
      </c>
      <c r="T777">
        <f t="shared" si="1008"/>
        <v>2.2510870150203484E-3</v>
      </c>
    </row>
    <row r="778" spans="1:20" x14ac:dyDescent="0.25">
      <c r="A778" s="5">
        <v>43815</v>
      </c>
      <c r="B778">
        <v>32.89</v>
      </c>
      <c r="C778">
        <v>33.01</v>
      </c>
      <c r="D778">
        <v>29.1</v>
      </c>
      <c r="E778">
        <v>29.52</v>
      </c>
      <c r="F778">
        <v>161103.48593</v>
      </c>
      <c r="G778">
        <v>0</v>
      </c>
      <c r="L778" t="s">
        <v>7</v>
      </c>
      <c r="M778" t="s">
        <v>8</v>
      </c>
      <c r="N778" t="s">
        <v>7</v>
      </c>
      <c r="P778">
        <f t="shared" si="1004"/>
        <v>-0.78516624040920791</v>
      </c>
      <c r="Q778">
        <f t="shared" si="1005"/>
        <v>-126493.01836447582</v>
      </c>
      <c r="R778">
        <f t="shared" si="1006"/>
        <v>231932.03909432539</v>
      </c>
      <c r="S778">
        <f t="shared" si="1007"/>
        <v>2.319320390943254</v>
      </c>
      <c r="T778">
        <f t="shared" si="1008"/>
        <v>2.319320390943254E-3</v>
      </c>
    </row>
    <row r="779" spans="1:20" x14ac:dyDescent="0.25">
      <c r="A779" s="5">
        <v>43814</v>
      </c>
      <c r="B779">
        <v>32.11</v>
      </c>
      <c r="C779">
        <v>33.549999999999997</v>
      </c>
      <c r="D779">
        <v>31.39</v>
      </c>
      <c r="E779">
        <v>32.89</v>
      </c>
      <c r="F779">
        <v>115791.67797999999</v>
      </c>
      <c r="G779">
        <v>0</v>
      </c>
      <c r="L779" t="s">
        <v>8</v>
      </c>
      <c r="M779" t="s">
        <v>8</v>
      </c>
      <c r="N779" t="s">
        <v>7</v>
      </c>
      <c r="P779">
        <f t="shared" si="1004"/>
        <v>0.38888888888889106</v>
      </c>
      <c r="Q779">
        <f t="shared" si="1005"/>
        <v>45030.096992222469</v>
      </c>
      <c r="R779">
        <f t="shared" si="1006"/>
        <v>358425.0574588012</v>
      </c>
      <c r="S779">
        <f t="shared" si="1007"/>
        <v>3.5842505745880118</v>
      </c>
      <c r="T779">
        <f t="shared" si="1008"/>
        <v>3.5842505745880119E-3</v>
      </c>
    </row>
    <row r="780" spans="1:20" x14ac:dyDescent="0.25">
      <c r="A780" s="5">
        <v>43813</v>
      </c>
      <c r="B780">
        <v>33.28</v>
      </c>
      <c r="C780">
        <v>33.31</v>
      </c>
      <c r="D780">
        <v>30.15</v>
      </c>
      <c r="E780">
        <v>32.11</v>
      </c>
      <c r="F780">
        <v>106347.12576</v>
      </c>
      <c r="G780">
        <v>0</v>
      </c>
      <c r="L780" t="s">
        <v>7</v>
      </c>
      <c r="M780" t="s">
        <v>8</v>
      </c>
      <c r="N780" t="s">
        <v>7</v>
      </c>
      <c r="P780">
        <f t="shared" si="1004"/>
        <v>0.24050632911392314</v>
      </c>
      <c r="Q780">
        <f t="shared" si="1005"/>
        <v>25577.156828354331</v>
      </c>
      <c r="R780">
        <f t="shared" si="1006"/>
        <v>313394.96046657872</v>
      </c>
      <c r="S780">
        <f t="shared" si="1007"/>
        <v>3.1339496046657871</v>
      </c>
      <c r="T780">
        <f t="shared" si="1008"/>
        <v>3.1339496046657871E-3</v>
      </c>
    </row>
    <row r="781" spans="1:20" x14ac:dyDescent="0.25">
      <c r="A781" s="5">
        <v>43812</v>
      </c>
      <c r="B781">
        <v>31.82</v>
      </c>
      <c r="C781">
        <v>33.71</v>
      </c>
      <c r="D781">
        <v>30.76</v>
      </c>
      <c r="E781">
        <v>33.28</v>
      </c>
      <c r="F781">
        <v>148161.35049000001</v>
      </c>
      <c r="G781">
        <v>0</v>
      </c>
      <c r="L781" t="s">
        <v>8</v>
      </c>
      <c r="M781" t="s">
        <v>8</v>
      </c>
      <c r="N781" t="s">
        <v>7</v>
      </c>
      <c r="P781">
        <f t="shared" si="1004"/>
        <v>0.7084745762711866</v>
      </c>
      <c r="Q781">
        <f t="shared" si="1005"/>
        <v>104968.55000816952</v>
      </c>
      <c r="R781">
        <f t="shared" si="1006"/>
        <v>287817.80363822437</v>
      </c>
      <c r="S781">
        <f t="shared" si="1007"/>
        <v>2.8781780363822436</v>
      </c>
      <c r="T781">
        <f t="shared" si="1008"/>
        <v>2.8781780363822435E-3</v>
      </c>
    </row>
    <row r="782" spans="1:20" x14ac:dyDescent="0.25">
      <c r="A782" s="5">
        <v>43811</v>
      </c>
      <c r="B782">
        <v>31.37</v>
      </c>
      <c r="C782">
        <v>31.93</v>
      </c>
      <c r="D782">
        <v>30.22</v>
      </c>
      <c r="E782">
        <v>31.83</v>
      </c>
      <c r="F782">
        <v>90221.345199999996</v>
      </c>
      <c r="G782">
        <v>0</v>
      </c>
      <c r="L782" t="s">
        <v>8</v>
      </c>
      <c r="M782" t="s">
        <v>8</v>
      </c>
      <c r="N782" t="s">
        <v>7</v>
      </c>
      <c r="P782">
        <f t="shared" si="1004"/>
        <v>0.88304093567251296</v>
      </c>
      <c r="Q782">
        <f t="shared" si="1005"/>
        <v>79669.141083040784</v>
      </c>
      <c r="R782">
        <f t="shared" si="1006"/>
        <v>182849.25363005482</v>
      </c>
      <c r="S782">
        <f t="shared" si="1007"/>
        <v>1.8284925363005482</v>
      </c>
      <c r="T782">
        <f t="shared" si="1008"/>
        <v>1.8284925363005482E-3</v>
      </c>
    </row>
    <row r="783" spans="1:20" x14ac:dyDescent="0.25">
      <c r="A783" s="5">
        <v>43810</v>
      </c>
      <c r="B783">
        <v>30.04</v>
      </c>
      <c r="C783">
        <v>32.18</v>
      </c>
      <c r="D783">
        <v>29.93</v>
      </c>
      <c r="E783">
        <v>31.37</v>
      </c>
      <c r="F783">
        <v>135076.49827000001</v>
      </c>
      <c r="G783">
        <v>0</v>
      </c>
      <c r="L783" t="s">
        <v>8</v>
      </c>
      <c r="M783" t="s">
        <v>8</v>
      </c>
      <c r="N783" t="s">
        <v>7</v>
      </c>
      <c r="P783">
        <f t="shared" si="1004"/>
        <v>0.28000000000000114</v>
      </c>
      <c r="Q783">
        <f t="shared" si="1005"/>
        <v>37821.419515600159</v>
      </c>
      <c r="R783">
        <f t="shared" si="1006"/>
        <v>103180.11254701405</v>
      </c>
      <c r="S783">
        <f t="shared" si="1007"/>
        <v>1.0318011254701405</v>
      </c>
      <c r="T783">
        <f t="shared" si="1008"/>
        <v>1.0318011254701405E-3</v>
      </c>
    </row>
    <row r="784" spans="1:20" x14ac:dyDescent="0.25">
      <c r="A784" s="5">
        <v>43809</v>
      </c>
      <c r="B784">
        <v>30.92</v>
      </c>
      <c r="C784">
        <v>30.92</v>
      </c>
      <c r="D784">
        <v>29.5</v>
      </c>
      <c r="E784">
        <v>30.03</v>
      </c>
      <c r="F784">
        <v>102853.40893999999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-0.25352112676056265</v>
      </c>
      <c r="Q784">
        <f t="shared" si="1005"/>
        <v>-26075.512125633726</v>
      </c>
      <c r="R784">
        <f t="shared" si="1006"/>
        <v>65358.693031413903</v>
      </c>
      <c r="S784">
        <f t="shared" si="1007"/>
        <v>0.65358693031413906</v>
      </c>
      <c r="T784">
        <f t="shared" si="1008"/>
        <v>6.5358693031413904E-4</v>
      </c>
    </row>
    <row r="785" spans="1:20" x14ac:dyDescent="0.25">
      <c r="A785" s="5">
        <v>43808</v>
      </c>
      <c r="B785">
        <v>29.25</v>
      </c>
      <c r="C785">
        <v>32.270000000000003</v>
      </c>
      <c r="D785">
        <v>28.92</v>
      </c>
      <c r="E785">
        <v>30.93</v>
      </c>
      <c r="F785">
        <v>136344.44745000001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0.19999999999999829</v>
      </c>
      <c r="Q785">
        <f t="shared" si="1005"/>
        <v>27268.889489999769</v>
      </c>
      <c r="R785">
        <f t="shared" si="1006"/>
        <v>91434.205157047632</v>
      </c>
      <c r="S785">
        <f t="shared" si="1007"/>
        <v>0.91434205157047632</v>
      </c>
      <c r="T785">
        <f t="shared" si="1008"/>
        <v>9.1434205157047636E-4</v>
      </c>
    </row>
    <row r="786" spans="1:20" x14ac:dyDescent="0.25">
      <c r="A786" s="5">
        <v>43807</v>
      </c>
      <c r="B786">
        <v>29.5</v>
      </c>
      <c r="C786">
        <v>29.68</v>
      </c>
      <c r="D786">
        <v>29</v>
      </c>
      <c r="E786">
        <v>29.25</v>
      </c>
      <c r="F786">
        <v>24050.171740000002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-0.26470588235294085</v>
      </c>
      <c r="Q786">
        <f t="shared" si="1005"/>
        <v>-6366.2219311764629</v>
      </c>
      <c r="R786">
        <f t="shared" si="1006"/>
        <v>64165.315667047864</v>
      </c>
      <c r="S786">
        <f t="shared" si="1007"/>
        <v>0.64165315667047862</v>
      </c>
      <c r="T786">
        <f t="shared" si="1008"/>
        <v>6.4165315667047862E-4</v>
      </c>
    </row>
    <row r="787" spans="1:20" x14ac:dyDescent="0.25">
      <c r="A787" s="5">
        <v>43806</v>
      </c>
      <c r="B787">
        <v>29.13</v>
      </c>
      <c r="C787">
        <v>30.23</v>
      </c>
      <c r="D787">
        <v>29.11</v>
      </c>
      <c r="E787">
        <v>29.5</v>
      </c>
      <c r="F787">
        <v>43432.752370000002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-0.30357142857142816</v>
      </c>
      <c r="Q787">
        <f t="shared" si="1005"/>
        <v>-13184.942683749983</v>
      </c>
      <c r="R787">
        <f t="shared" si="1006"/>
        <v>70531.537598224328</v>
      </c>
      <c r="S787">
        <f t="shared" si="1007"/>
        <v>0.70531537598224325</v>
      </c>
      <c r="T787">
        <f t="shared" si="1008"/>
        <v>7.0531537598224326E-4</v>
      </c>
    </row>
    <row r="788" spans="1:20" x14ac:dyDescent="0.25">
      <c r="A788" s="5">
        <v>43805</v>
      </c>
      <c r="B788">
        <v>30.17</v>
      </c>
      <c r="C788">
        <v>30.31</v>
      </c>
      <c r="D788">
        <v>28.26</v>
      </c>
      <c r="E788">
        <v>29.13</v>
      </c>
      <c r="F788">
        <v>97148.919240000003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-0.15121951219512328</v>
      </c>
      <c r="Q788">
        <f t="shared" si="1005"/>
        <v>-14690.812177756226</v>
      </c>
      <c r="R788">
        <f t="shared" si="1006"/>
        <v>83716.480281974305</v>
      </c>
      <c r="S788">
        <f t="shared" si="1007"/>
        <v>0.83716480281974304</v>
      </c>
      <c r="T788">
        <f t="shared" si="1008"/>
        <v>8.3716480281974303E-4</v>
      </c>
    </row>
    <row r="789" spans="1:20" x14ac:dyDescent="0.25">
      <c r="A789" s="5">
        <v>43804</v>
      </c>
      <c r="B789">
        <v>26.68</v>
      </c>
      <c r="C789">
        <v>30.78</v>
      </c>
      <c r="D789">
        <v>26.61</v>
      </c>
      <c r="E789">
        <v>30.17</v>
      </c>
      <c r="F789">
        <v>142719.59028999999</v>
      </c>
      <c r="G789">
        <v>0</v>
      </c>
      <c r="L789" t="s">
        <v>8</v>
      </c>
      <c r="M789" t="s">
        <v>8</v>
      </c>
      <c r="N789" t="s">
        <v>7</v>
      </c>
      <c r="P789">
        <f t="shared" si="1004"/>
        <v>0.70743405275779414</v>
      </c>
      <c r="Q789">
        <f t="shared" si="1005"/>
        <v>100964.69816678662</v>
      </c>
      <c r="R789">
        <f t="shared" si="1006"/>
        <v>98407.292459730525</v>
      </c>
      <c r="S789">
        <f t="shared" si="1007"/>
        <v>0.98407292459730522</v>
      </c>
      <c r="T789">
        <f t="shared" si="1008"/>
        <v>9.840729245973053E-4</v>
      </c>
    </row>
    <row r="790" spans="1:20" x14ac:dyDescent="0.25">
      <c r="A790" s="5">
        <v>43803</v>
      </c>
      <c r="B790">
        <v>27.3</v>
      </c>
      <c r="C790">
        <v>28.79</v>
      </c>
      <c r="D790">
        <v>26.45</v>
      </c>
      <c r="E790">
        <v>26.66</v>
      </c>
      <c r="F790">
        <v>54682.558109999998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-0.82051282051281982</v>
      </c>
      <c r="Q790">
        <f t="shared" si="1005"/>
        <v>-44867.739987692265</v>
      </c>
      <c r="R790">
        <f t="shared" si="1006"/>
        <v>-2557.405707056103</v>
      </c>
      <c r="S790">
        <f t="shared" si="1007"/>
        <v>-2.557405707056103E-2</v>
      </c>
      <c r="T790">
        <f t="shared" si="1008"/>
        <v>-2.5574057070561031E-5</v>
      </c>
    </row>
    <row r="791" spans="1:20" x14ac:dyDescent="0.25">
      <c r="A791" s="5">
        <v>43802</v>
      </c>
      <c r="B791">
        <v>27.67</v>
      </c>
      <c r="C791">
        <v>28.02</v>
      </c>
      <c r="D791">
        <v>27.01</v>
      </c>
      <c r="E791">
        <v>27.3</v>
      </c>
      <c r="F791">
        <v>32285.92051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-0.42574257425742629</v>
      </c>
      <c r="Q791">
        <f t="shared" si="1005"/>
        <v>-13745.490910198037</v>
      </c>
      <c r="R791">
        <f t="shared" si="1006"/>
        <v>42310.334280636162</v>
      </c>
      <c r="S791">
        <f t="shared" si="1007"/>
        <v>0.42310334280636164</v>
      </c>
      <c r="T791">
        <f t="shared" si="1008"/>
        <v>4.2310334280636162E-4</v>
      </c>
    </row>
    <row r="792" spans="1:20" x14ac:dyDescent="0.25">
      <c r="A792" s="5">
        <v>43801</v>
      </c>
      <c r="B792">
        <v>27.96</v>
      </c>
      <c r="C792">
        <v>28.11</v>
      </c>
      <c r="D792">
        <v>27.26</v>
      </c>
      <c r="E792">
        <v>27.66</v>
      </c>
      <c r="F792">
        <v>23805.815559999999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-5.882352941176569E-2</v>
      </c>
      <c r="Q792">
        <f t="shared" si="1005"/>
        <v>-1400.3420917647293</v>
      </c>
      <c r="R792">
        <f t="shared" si="1006"/>
        <v>56055.825190834199</v>
      </c>
      <c r="S792">
        <f t="shared" si="1007"/>
        <v>0.56055825190834196</v>
      </c>
      <c r="T792">
        <f t="shared" si="1008"/>
        <v>5.6055825190834201E-4</v>
      </c>
    </row>
    <row r="793" spans="1:20" x14ac:dyDescent="0.25">
      <c r="A793" s="5">
        <v>43800</v>
      </c>
      <c r="B793">
        <v>29</v>
      </c>
      <c r="C793">
        <v>29</v>
      </c>
      <c r="D793">
        <v>27.25</v>
      </c>
      <c r="E793">
        <v>27.93</v>
      </c>
      <c r="F793">
        <v>31946.330979999999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-0.22285714285714317</v>
      </c>
      <c r="Q793">
        <f t="shared" si="1005"/>
        <v>-7119.4680469714385</v>
      </c>
      <c r="R793">
        <f t="shared" si="1006"/>
        <v>57456.16728259893</v>
      </c>
      <c r="S793">
        <f t="shared" si="1007"/>
        <v>0.57456167282598924</v>
      </c>
      <c r="T793">
        <f t="shared" si="1008"/>
        <v>5.7456167282598928E-4</v>
      </c>
    </row>
    <row r="794" spans="1:20" x14ac:dyDescent="0.25">
      <c r="A794" s="5">
        <v>43799</v>
      </c>
      <c r="B794">
        <v>29.33</v>
      </c>
      <c r="C794">
        <v>29.5</v>
      </c>
      <c r="D794">
        <v>28.21</v>
      </c>
      <c r="E794">
        <v>29.01</v>
      </c>
      <c r="F794">
        <v>31153.864280000002</v>
      </c>
      <c r="G794">
        <v>0</v>
      </c>
      <c r="L794" t="s">
        <v>8</v>
      </c>
      <c r="M794" t="s">
        <v>7</v>
      </c>
      <c r="N794" t="s">
        <v>7</v>
      </c>
      <c r="P794">
        <f t="shared" si="1004"/>
        <v>0.24031007751938177</v>
      </c>
      <c r="Q794">
        <f t="shared" si="1005"/>
        <v>7486.5875401550993</v>
      </c>
      <c r="R794">
        <f t="shared" si="1006"/>
        <v>64575.635329570367</v>
      </c>
      <c r="S794">
        <f t="shared" si="1007"/>
        <v>0.64575635329570369</v>
      </c>
      <c r="T794">
        <f t="shared" si="1008"/>
        <v>6.4575635329570372E-4</v>
      </c>
    </row>
    <row r="795" spans="1:20" x14ac:dyDescent="0.25">
      <c r="A795" s="5">
        <v>43798</v>
      </c>
      <c r="B795">
        <v>28.6</v>
      </c>
      <c r="C795">
        <v>29.8</v>
      </c>
      <c r="D795">
        <v>28.49</v>
      </c>
      <c r="E795">
        <v>29.33</v>
      </c>
      <c r="F795">
        <v>43862.990919999997</v>
      </c>
      <c r="G795">
        <v>0</v>
      </c>
      <c r="L795" t="s">
        <v>8</v>
      </c>
      <c r="M795" t="s">
        <v>7</v>
      </c>
      <c r="N795" t="s">
        <v>7</v>
      </c>
      <c r="P795">
        <f t="shared" si="1004"/>
        <v>0.28244274809160064</v>
      </c>
      <c r="Q795">
        <f t="shared" si="1005"/>
        <v>12388.783694961725</v>
      </c>
      <c r="R795">
        <f t="shared" si="1006"/>
        <v>57089.047789415265</v>
      </c>
      <c r="S795">
        <f t="shared" si="1007"/>
        <v>0.57089047789415259</v>
      </c>
      <c r="T795">
        <f t="shared" si="1008"/>
        <v>5.7089047789415264E-4</v>
      </c>
    </row>
    <row r="796" spans="1:20" x14ac:dyDescent="0.25">
      <c r="A796" s="5">
        <v>43797</v>
      </c>
      <c r="B796">
        <v>28.46</v>
      </c>
      <c r="C796">
        <v>29.37</v>
      </c>
      <c r="D796">
        <v>28.09</v>
      </c>
      <c r="E796">
        <v>28.59</v>
      </c>
      <c r="F796">
        <v>31506.187600000001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-0.21875000000000069</v>
      </c>
      <c r="Q796">
        <f t="shared" si="1005"/>
        <v>-6891.978537500022</v>
      </c>
      <c r="R796">
        <f t="shared" si="1006"/>
        <v>44700.264094453538</v>
      </c>
      <c r="S796">
        <f t="shared" si="1007"/>
        <v>0.4470026409445354</v>
      </c>
      <c r="T796">
        <f t="shared" si="1008"/>
        <v>4.470026409445354E-4</v>
      </c>
    </row>
    <row r="797" spans="1:20" x14ac:dyDescent="0.25">
      <c r="A797" s="5">
        <v>43796</v>
      </c>
      <c r="B797">
        <v>28.22</v>
      </c>
      <c r="C797">
        <v>29.34</v>
      </c>
      <c r="D797">
        <v>26.85</v>
      </c>
      <c r="E797">
        <v>28.45</v>
      </c>
      <c r="F797">
        <v>59240.203009999997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0.28514056224899509</v>
      </c>
      <c r="Q797">
        <f t="shared" si="1005"/>
        <v>16891.78479401601</v>
      </c>
      <c r="R797">
        <f t="shared" si="1006"/>
        <v>51592.242631953559</v>
      </c>
      <c r="S797">
        <f t="shared" si="1007"/>
        <v>0.51592242631953555</v>
      </c>
      <c r="T797">
        <f t="shared" si="1008"/>
        <v>5.1592242631953559E-4</v>
      </c>
    </row>
    <row r="798" spans="1:20" x14ac:dyDescent="0.25">
      <c r="A798" s="5">
        <v>43795</v>
      </c>
      <c r="B798">
        <v>27.21</v>
      </c>
      <c r="C798">
        <v>28.3</v>
      </c>
      <c r="D798">
        <v>27.11</v>
      </c>
      <c r="E798">
        <v>28.22</v>
      </c>
      <c r="F798">
        <v>34626.554270000001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0.86554621848739199</v>
      </c>
      <c r="Q798">
        <f t="shared" si="1005"/>
        <v>29970.883107646958</v>
      </c>
      <c r="R798">
        <f t="shared" si="1006"/>
        <v>34700.457837937545</v>
      </c>
      <c r="S798">
        <f t="shared" si="1007"/>
        <v>0.34700457837937543</v>
      </c>
      <c r="T798">
        <f t="shared" si="1008"/>
        <v>3.4700457837937541E-4</v>
      </c>
    </row>
    <row r="799" spans="1:20" x14ac:dyDescent="0.25">
      <c r="A799" s="5">
        <v>43794</v>
      </c>
      <c r="B799">
        <v>27.25</v>
      </c>
      <c r="C799">
        <v>28.43</v>
      </c>
      <c r="D799">
        <v>25.15</v>
      </c>
      <c r="E799">
        <v>27.22</v>
      </c>
      <c r="F799">
        <v>101595.21655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0.26219512195121925</v>
      </c>
      <c r="Q799">
        <f t="shared" si="1005"/>
        <v>26637.770192987777</v>
      </c>
      <c r="R799">
        <f t="shared" si="1006"/>
        <v>4729.5747302905875</v>
      </c>
      <c r="S799">
        <f t="shared" si="1007"/>
        <v>4.7295747302905873E-2</v>
      </c>
      <c r="T799">
        <f t="shared" si="1008"/>
        <v>4.729574730290587E-5</v>
      </c>
    </row>
    <row r="800" spans="1:20" x14ac:dyDescent="0.25">
      <c r="A800" s="5">
        <v>43793</v>
      </c>
      <c r="B800">
        <v>29.55</v>
      </c>
      <c r="C800">
        <v>29.79</v>
      </c>
      <c r="D800">
        <v>27.06</v>
      </c>
      <c r="E800">
        <v>27.26</v>
      </c>
      <c r="F800">
        <v>37896.629419999997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-0.85347985347985145</v>
      </c>
      <c r="Q800">
        <f t="shared" si="1005"/>
        <v>-32344.009724761825</v>
      </c>
      <c r="R800">
        <f t="shared" si="1006"/>
        <v>-21908.195462697189</v>
      </c>
      <c r="S800">
        <f t="shared" si="1007"/>
        <v>-0.21908195462697189</v>
      </c>
      <c r="T800">
        <f t="shared" si="1008"/>
        <v>-2.1908195462697188E-4</v>
      </c>
    </row>
    <row r="801" spans="1:20" x14ac:dyDescent="0.25">
      <c r="A801" s="5">
        <v>43792</v>
      </c>
      <c r="B801">
        <v>29</v>
      </c>
      <c r="C801">
        <v>29.94</v>
      </c>
      <c r="D801">
        <v>28.57</v>
      </c>
      <c r="E801">
        <v>29.54</v>
      </c>
      <c r="F801">
        <v>40584.13276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0.41605839416058127</v>
      </c>
      <c r="Q801">
        <f t="shared" si="1005"/>
        <v>16885.369104525438</v>
      </c>
      <c r="R801">
        <f t="shared" si="1006"/>
        <v>10435.814262064636</v>
      </c>
      <c r="S801">
        <f t="shared" si="1007"/>
        <v>0.10435814262064635</v>
      </c>
      <c r="T801">
        <f t="shared" si="1008"/>
        <v>1.0435814262064635E-4</v>
      </c>
    </row>
    <row r="802" spans="1:20" x14ac:dyDescent="0.25">
      <c r="A802" s="5">
        <v>43791</v>
      </c>
      <c r="B802">
        <v>31.36</v>
      </c>
      <c r="C802">
        <v>31.82</v>
      </c>
      <c r="D802">
        <v>27.68</v>
      </c>
      <c r="E802">
        <v>29</v>
      </c>
      <c r="F802">
        <v>65894.112290000005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-0.36231884057971009</v>
      </c>
      <c r="Q802">
        <f t="shared" si="1005"/>
        <v>-23874.678365942025</v>
      </c>
      <c r="R802">
        <f t="shared" si="1006"/>
        <v>-6449.5548424608023</v>
      </c>
      <c r="S802">
        <f t="shared" si="1007"/>
        <v>-6.4495548424608029E-2</v>
      </c>
      <c r="T802">
        <f t="shared" si="1008"/>
        <v>-6.4495548424608025E-5</v>
      </c>
    </row>
    <row r="803" spans="1:20" x14ac:dyDescent="0.25">
      <c r="A803" s="5">
        <v>43790</v>
      </c>
      <c r="B803">
        <v>33.74</v>
      </c>
      <c r="C803">
        <v>34.1</v>
      </c>
      <c r="D803">
        <v>30.49</v>
      </c>
      <c r="E803">
        <v>31.37</v>
      </c>
      <c r="F803">
        <v>52838.603569999999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-0.51246537396121783</v>
      </c>
      <c r="Q803">
        <f t="shared" si="1005"/>
        <v>-27077.954738088589</v>
      </c>
      <c r="R803">
        <f t="shared" si="1006"/>
        <v>17425.123523481223</v>
      </c>
      <c r="S803">
        <f t="shared" si="1007"/>
        <v>0.17425123523481223</v>
      </c>
      <c r="T803">
        <f t="shared" si="1008"/>
        <v>1.7425123523481223E-4</v>
      </c>
    </row>
    <row r="804" spans="1:20" x14ac:dyDescent="0.25">
      <c r="A804" s="5">
        <v>43789</v>
      </c>
      <c r="B804">
        <v>33.979999999999997</v>
      </c>
      <c r="C804">
        <v>34.630000000000003</v>
      </c>
      <c r="D804">
        <v>33.56</v>
      </c>
      <c r="E804">
        <v>33.75</v>
      </c>
      <c r="F804">
        <v>38199.645360000002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-0.64485981308411644</v>
      </c>
      <c r="Q804">
        <f t="shared" si="1005"/>
        <v>-24633.416166729137</v>
      </c>
      <c r="R804">
        <f t="shared" si="1006"/>
        <v>44503.078261569812</v>
      </c>
      <c r="S804">
        <f t="shared" si="1007"/>
        <v>0.44503078261569812</v>
      </c>
      <c r="T804">
        <f t="shared" si="1008"/>
        <v>4.4503078261569812E-4</v>
      </c>
    </row>
    <row r="805" spans="1:20" x14ac:dyDescent="0.25">
      <c r="A805" s="5">
        <v>43788</v>
      </c>
      <c r="B805">
        <v>34.659999999999997</v>
      </c>
      <c r="C805">
        <v>34.75</v>
      </c>
      <c r="D805">
        <v>33.14</v>
      </c>
      <c r="E805">
        <v>33.99</v>
      </c>
      <c r="F805">
        <v>36688.968289999997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5.5900621118014561E-2</v>
      </c>
      <c r="Q805">
        <f t="shared" si="1005"/>
        <v>2050.9361155901406</v>
      </c>
      <c r="R805">
        <f t="shared" si="1006"/>
        <v>69136.494428298945</v>
      </c>
      <c r="S805">
        <f t="shared" si="1007"/>
        <v>0.69136494428298945</v>
      </c>
      <c r="T805">
        <f t="shared" si="1008"/>
        <v>6.9136494428298945E-4</v>
      </c>
    </row>
    <row r="806" spans="1:20" x14ac:dyDescent="0.25">
      <c r="A806" s="5">
        <v>43787</v>
      </c>
      <c r="B806">
        <v>35.770000000000003</v>
      </c>
      <c r="C806">
        <v>36.03</v>
      </c>
      <c r="D806">
        <v>33.81</v>
      </c>
      <c r="E806">
        <v>34.659999999999997</v>
      </c>
      <c r="F806">
        <v>24990.879540000002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-0.23423423423423897</v>
      </c>
      <c r="Q806">
        <f t="shared" si="1005"/>
        <v>-5853.7195318920112</v>
      </c>
      <c r="R806">
        <f t="shared" si="1006"/>
        <v>67085.558312708803</v>
      </c>
      <c r="S806">
        <f t="shared" si="1007"/>
        <v>0.67085558312708804</v>
      </c>
      <c r="T806">
        <f t="shared" si="1008"/>
        <v>6.70855583127088E-4</v>
      </c>
    </row>
    <row r="807" spans="1:20" x14ac:dyDescent="0.25">
      <c r="A807" s="5">
        <v>43786</v>
      </c>
      <c r="B807">
        <v>35.869999999999997</v>
      </c>
      <c r="C807">
        <v>36.35</v>
      </c>
      <c r="D807">
        <v>35.26</v>
      </c>
      <c r="E807">
        <v>35.78</v>
      </c>
      <c r="F807">
        <v>17822.12817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-4.5871559633024771E-2</v>
      </c>
      <c r="Q807">
        <f t="shared" si="1005"/>
        <v>-817.52881513756563</v>
      </c>
      <c r="R807">
        <f t="shared" si="1006"/>
        <v>72939.277844600816</v>
      </c>
      <c r="S807">
        <f t="shared" si="1007"/>
        <v>0.72939277844600814</v>
      </c>
      <c r="T807">
        <f t="shared" si="1008"/>
        <v>7.2939277844600811E-4</v>
      </c>
    </row>
    <row r="808" spans="1:20" x14ac:dyDescent="0.25">
      <c r="A808" s="5">
        <v>43785</v>
      </c>
      <c r="B808">
        <v>36.119999999999997</v>
      </c>
      <c r="C808">
        <v>36.25</v>
      </c>
      <c r="D808">
        <v>35.68</v>
      </c>
      <c r="E808">
        <v>35.86</v>
      </c>
      <c r="F808">
        <v>17185.936890000001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-0.36842105263158026</v>
      </c>
      <c r="Q808">
        <f t="shared" si="1005"/>
        <v>-6331.6609594737074</v>
      </c>
      <c r="R808">
        <f t="shared" si="1006"/>
        <v>73756.806659738388</v>
      </c>
      <c r="S808">
        <f t="shared" si="1007"/>
        <v>0.73756806659738383</v>
      </c>
      <c r="T808">
        <f t="shared" si="1008"/>
        <v>7.3756806659738383E-4</v>
      </c>
    </row>
    <row r="809" spans="1:20" x14ac:dyDescent="0.25">
      <c r="A809" s="5">
        <v>43784</v>
      </c>
      <c r="B809">
        <v>36.4</v>
      </c>
      <c r="C809">
        <v>36.450000000000003</v>
      </c>
      <c r="D809">
        <v>34.979999999999997</v>
      </c>
      <c r="E809">
        <v>36.130000000000003</v>
      </c>
      <c r="F809">
        <v>50105.429239999998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0.56462585034013746</v>
      </c>
      <c r="Q809">
        <f t="shared" si="1005"/>
        <v>28290.820591292588</v>
      </c>
      <c r="R809">
        <f t="shared" si="1006"/>
        <v>80088.467619212097</v>
      </c>
      <c r="S809">
        <f t="shared" si="1007"/>
        <v>0.800884676192121</v>
      </c>
      <c r="T809">
        <f t="shared" si="1008"/>
        <v>8.0088467619212104E-4</v>
      </c>
    </row>
    <row r="810" spans="1:20" x14ac:dyDescent="0.25">
      <c r="A810" s="5">
        <v>43783</v>
      </c>
      <c r="B810">
        <v>36.86</v>
      </c>
      <c r="C810">
        <v>36.97</v>
      </c>
      <c r="D810">
        <v>35.99</v>
      </c>
      <c r="E810">
        <v>36.4</v>
      </c>
      <c r="F810">
        <v>19520.91056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-0.16326530612245327</v>
      </c>
      <c r="Q810">
        <f t="shared" si="1005"/>
        <v>-3187.0874383674309</v>
      </c>
      <c r="R810">
        <f t="shared" si="1006"/>
        <v>51797.647027919505</v>
      </c>
      <c r="S810">
        <f t="shared" si="1007"/>
        <v>0.51797647027919502</v>
      </c>
      <c r="T810">
        <f t="shared" si="1008"/>
        <v>5.17976470279195E-4</v>
      </c>
    </row>
    <row r="811" spans="1:20" x14ac:dyDescent="0.25">
      <c r="A811" s="5">
        <v>43782</v>
      </c>
      <c r="B811">
        <v>36.869999999999997</v>
      </c>
      <c r="C811">
        <v>37.200000000000003</v>
      </c>
      <c r="D811">
        <v>36.5</v>
      </c>
      <c r="E811">
        <v>36.840000000000003</v>
      </c>
      <c r="F811">
        <v>19347.467100000002</v>
      </c>
      <c r="G811">
        <v>0</v>
      </c>
      <c r="L811" t="s">
        <v>8</v>
      </c>
      <c r="M811" t="s">
        <v>8</v>
      </c>
      <c r="N811" t="s">
        <v>8</v>
      </c>
      <c r="P811">
        <f t="shared" si="1004"/>
        <v>-2.857142857142277E-2</v>
      </c>
      <c r="Q811">
        <f t="shared" si="1005"/>
        <v>-552.78477428560211</v>
      </c>
      <c r="R811">
        <f t="shared" si="1006"/>
        <v>54984.734466286936</v>
      </c>
      <c r="S811">
        <f t="shared" si="1007"/>
        <v>0.54984734466286933</v>
      </c>
      <c r="T811">
        <f t="shared" si="1008"/>
        <v>5.4984734466286933E-4</v>
      </c>
    </row>
    <row r="812" spans="1:20" x14ac:dyDescent="0.25">
      <c r="A812" s="5">
        <v>43781</v>
      </c>
      <c r="B812">
        <v>36.619999999999997</v>
      </c>
      <c r="C812">
        <v>37.409999999999997</v>
      </c>
      <c r="D812">
        <v>36.29</v>
      </c>
      <c r="E812">
        <v>36.840000000000003</v>
      </c>
      <c r="F812">
        <v>29302.743129999999</v>
      </c>
      <c r="G812">
        <v>0</v>
      </c>
      <c r="L812" t="s">
        <v>8</v>
      </c>
      <c r="M812" t="s">
        <v>8</v>
      </c>
      <c r="N812" t="s">
        <v>8</v>
      </c>
      <c r="P812">
        <f t="shared" si="1004"/>
        <v>-1.7857142857132999E-2</v>
      </c>
      <c r="Q812">
        <f t="shared" si="1005"/>
        <v>-523.2632701782826</v>
      </c>
      <c r="R812">
        <f t="shared" si="1006"/>
        <v>55537.519240572539</v>
      </c>
      <c r="S812">
        <f t="shared" si="1007"/>
        <v>0.55537519240572542</v>
      </c>
      <c r="T812">
        <f t="shared" si="1008"/>
        <v>5.5537519240572545E-4</v>
      </c>
    </row>
    <row r="813" spans="1:20" x14ac:dyDescent="0.25">
      <c r="A813" s="5">
        <v>43780</v>
      </c>
      <c r="B813">
        <v>37.590000000000003</v>
      </c>
      <c r="C813">
        <v>37.729999999999997</v>
      </c>
      <c r="D813">
        <v>36.32</v>
      </c>
      <c r="E813">
        <v>36.630000000000003</v>
      </c>
      <c r="F813">
        <v>29385.965810000002</v>
      </c>
      <c r="G813">
        <v>0</v>
      </c>
      <c r="L813" t="s">
        <v>8</v>
      </c>
      <c r="M813" t="s">
        <v>8</v>
      </c>
      <c r="N813" t="s">
        <v>8</v>
      </c>
      <c r="P813">
        <f t="shared" si="1004"/>
        <v>-0.56028368794325811</v>
      </c>
      <c r="Q813">
        <f t="shared" si="1005"/>
        <v>-16464.477297801292</v>
      </c>
      <c r="R813">
        <f t="shared" si="1006"/>
        <v>56060.782510750825</v>
      </c>
      <c r="S813">
        <f t="shared" si="1007"/>
        <v>0.56060782510750828</v>
      </c>
      <c r="T813">
        <f t="shared" si="1008"/>
        <v>5.6060782510750833E-4</v>
      </c>
    </row>
    <row r="814" spans="1:20" x14ac:dyDescent="0.25">
      <c r="A814" s="5">
        <v>43779</v>
      </c>
      <c r="B814">
        <v>36.74</v>
      </c>
      <c r="C814">
        <v>38.33</v>
      </c>
      <c r="D814">
        <v>36.21</v>
      </c>
      <c r="E814">
        <v>37.58</v>
      </c>
      <c r="F814">
        <v>59806.645450000004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0.2924528301886784</v>
      </c>
      <c r="Q814">
        <f t="shared" si="1005"/>
        <v>17490.622725943347</v>
      </c>
      <c r="R814">
        <f t="shared" si="1006"/>
        <v>72525.259808552117</v>
      </c>
      <c r="S814">
        <f t="shared" si="1007"/>
        <v>0.72525259808552112</v>
      </c>
      <c r="T814">
        <f t="shared" si="1008"/>
        <v>7.2525259808552112E-4</v>
      </c>
    </row>
    <row r="815" spans="1:20" x14ac:dyDescent="0.25">
      <c r="A815" s="5">
        <v>43778</v>
      </c>
      <c r="B815">
        <v>36.44</v>
      </c>
      <c r="C815">
        <v>37.200000000000003</v>
      </c>
      <c r="D815">
        <v>36.32</v>
      </c>
      <c r="E815">
        <v>36.75</v>
      </c>
      <c r="F815">
        <v>19005.665919999999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-2.2727272727276215E-2</v>
      </c>
      <c r="Q815">
        <f t="shared" si="1005"/>
        <v>-431.94695272733901</v>
      </c>
      <c r="R815">
        <f t="shared" si="1006"/>
        <v>55034.637082608773</v>
      </c>
      <c r="S815">
        <f t="shared" si="1007"/>
        <v>0.55034637082608773</v>
      </c>
      <c r="T815">
        <f t="shared" si="1008"/>
        <v>5.5034637082608778E-4</v>
      </c>
    </row>
    <row r="816" spans="1:20" x14ac:dyDescent="0.25">
      <c r="A816" s="5">
        <v>43777</v>
      </c>
      <c r="B816">
        <v>38.619999999999997</v>
      </c>
      <c r="C816">
        <v>38.9</v>
      </c>
      <c r="D816">
        <v>35.97</v>
      </c>
      <c r="E816">
        <v>36.43</v>
      </c>
      <c r="F816">
        <v>47286.993269999999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-0.68600682593856599</v>
      </c>
      <c r="Q816">
        <f t="shared" si="1005"/>
        <v>-32439.200161331031</v>
      </c>
      <c r="R816">
        <f t="shared" si="1006"/>
        <v>55466.584035336113</v>
      </c>
      <c r="S816">
        <f t="shared" si="1007"/>
        <v>0.55466584035336108</v>
      </c>
      <c r="T816">
        <f t="shared" si="1008"/>
        <v>5.5466584035336109E-4</v>
      </c>
    </row>
    <row r="817" spans="1:20" x14ac:dyDescent="0.25">
      <c r="A817" s="5">
        <v>43776</v>
      </c>
      <c r="B817">
        <v>38.81</v>
      </c>
      <c r="C817">
        <v>39.32</v>
      </c>
      <c r="D817">
        <v>38.229999999999997</v>
      </c>
      <c r="E817">
        <v>38.6</v>
      </c>
      <c r="F817">
        <v>77003.130210000003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-0.32110091743118646</v>
      </c>
      <c r="Q817">
        <f t="shared" si="1005"/>
        <v>-24725.77575550411</v>
      </c>
      <c r="R817">
        <f t="shared" si="1006"/>
        <v>87905.78419666714</v>
      </c>
      <c r="S817">
        <f t="shared" si="1007"/>
        <v>0.87905784196667136</v>
      </c>
      <c r="T817">
        <f t="shared" si="1008"/>
        <v>8.7905784196667133E-4</v>
      </c>
    </row>
    <row r="818" spans="1:20" x14ac:dyDescent="0.25">
      <c r="A818" s="5">
        <v>43775</v>
      </c>
      <c r="B818">
        <v>38.69</v>
      </c>
      <c r="C818">
        <v>39.520000000000003</v>
      </c>
      <c r="D818">
        <v>38.21</v>
      </c>
      <c r="E818">
        <v>38.82</v>
      </c>
      <c r="F818">
        <v>43308.79047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-6.8702290076338365E-2</v>
      </c>
      <c r="Q818">
        <f t="shared" si="1005"/>
        <v>-2975.4130857252985</v>
      </c>
      <c r="R818">
        <f t="shared" si="1006"/>
        <v>112631.55995217126</v>
      </c>
      <c r="S818">
        <f t="shared" si="1007"/>
        <v>1.1263155995217127</v>
      </c>
      <c r="T818">
        <f t="shared" si="1008"/>
        <v>1.1263155995217126E-3</v>
      </c>
    </row>
    <row r="819" spans="1:20" x14ac:dyDescent="0.25">
      <c r="A819" s="5">
        <v>43774</v>
      </c>
      <c r="B819">
        <v>37.76</v>
      </c>
      <c r="C819">
        <v>39.26</v>
      </c>
      <c r="D819">
        <v>37.130000000000003</v>
      </c>
      <c r="E819">
        <v>38.68</v>
      </c>
      <c r="F819">
        <v>54744.722529999999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0.45539906103286426</v>
      </c>
      <c r="Q819">
        <f t="shared" si="1005"/>
        <v>24930.695236666688</v>
      </c>
      <c r="R819">
        <f t="shared" si="1006"/>
        <v>115606.97303789656</v>
      </c>
      <c r="S819">
        <f t="shared" si="1007"/>
        <v>1.1560697303789655</v>
      </c>
      <c r="T819">
        <f t="shared" si="1008"/>
        <v>1.1560697303789654E-3</v>
      </c>
    </row>
    <row r="820" spans="1:20" x14ac:dyDescent="0.25">
      <c r="A820" s="5">
        <v>43773</v>
      </c>
      <c r="B820">
        <v>37.03</v>
      </c>
      <c r="C820">
        <v>38.25</v>
      </c>
      <c r="D820">
        <v>36.74</v>
      </c>
      <c r="E820">
        <v>37.770000000000003</v>
      </c>
      <c r="F820">
        <v>37918.774969999999</v>
      </c>
      <c r="G820">
        <v>0</v>
      </c>
      <c r="L820" t="s">
        <v>7</v>
      </c>
      <c r="M820" t="s">
        <v>8</v>
      </c>
      <c r="N820" t="s">
        <v>8</v>
      </c>
      <c r="P820">
        <f t="shared" si="1004"/>
        <v>0.36423841059602979</v>
      </c>
      <c r="Q820">
        <f t="shared" si="1005"/>
        <v>13811.474326821317</v>
      </c>
      <c r="R820">
        <f t="shared" si="1006"/>
        <v>90676.27780122988</v>
      </c>
      <c r="S820">
        <f t="shared" si="1007"/>
        <v>0.90676277801229876</v>
      </c>
      <c r="T820">
        <f t="shared" si="1008"/>
        <v>9.0676277801229877E-4</v>
      </c>
    </row>
    <row r="821" spans="1:20" x14ac:dyDescent="0.25">
      <c r="A821" s="5">
        <v>43772</v>
      </c>
      <c r="B821">
        <v>37.61</v>
      </c>
      <c r="C821">
        <v>37.799999999999997</v>
      </c>
      <c r="D821">
        <v>36.68</v>
      </c>
      <c r="E821">
        <v>37.03</v>
      </c>
      <c r="F821">
        <v>16012.080900000001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-0.37499999999999606</v>
      </c>
      <c r="Q821">
        <f t="shared" si="1005"/>
        <v>-6004.5303374999376</v>
      </c>
      <c r="R821">
        <f t="shared" si="1006"/>
        <v>76864.80347440856</v>
      </c>
      <c r="S821">
        <f t="shared" si="1007"/>
        <v>0.76864803474408561</v>
      </c>
      <c r="T821">
        <f t="shared" si="1008"/>
        <v>7.6864803474408557E-4</v>
      </c>
    </row>
    <row r="822" spans="1:20" x14ac:dyDescent="0.25">
      <c r="A822" s="5">
        <v>43771</v>
      </c>
      <c r="B822">
        <v>37.68</v>
      </c>
      <c r="C822">
        <v>37.96</v>
      </c>
      <c r="D822">
        <v>37.340000000000003</v>
      </c>
      <c r="E822">
        <v>37.619999999999997</v>
      </c>
      <c r="F822">
        <v>16532.48632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-9.6774193548402623E-2</v>
      </c>
      <c r="Q822">
        <f t="shared" si="1005"/>
        <v>-1599.9180309679987</v>
      </c>
      <c r="R822">
        <f t="shared" si="1006"/>
        <v>82869.333811908495</v>
      </c>
      <c r="S822">
        <f t="shared" si="1007"/>
        <v>0.82869333811908497</v>
      </c>
      <c r="T822">
        <f t="shared" si="1008"/>
        <v>8.2869333811908495E-4</v>
      </c>
    </row>
    <row r="823" spans="1:20" x14ac:dyDescent="0.25">
      <c r="A823" s="5">
        <v>43770</v>
      </c>
      <c r="B823">
        <v>37.54</v>
      </c>
      <c r="C823">
        <v>37.869999999999997</v>
      </c>
      <c r="D823">
        <v>36.83</v>
      </c>
      <c r="E823">
        <v>37.659999999999997</v>
      </c>
      <c r="F823">
        <v>24608.464260000001</v>
      </c>
      <c r="G823">
        <v>0</v>
      </c>
      <c r="L823" t="s">
        <v>7</v>
      </c>
      <c r="M823" t="s">
        <v>8</v>
      </c>
      <c r="N823" t="s">
        <v>8</v>
      </c>
      <c r="P823">
        <f t="shared" si="1004"/>
        <v>0.59615384615384415</v>
      </c>
      <c r="Q823">
        <f t="shared" si="1005"/>
        <v>14670.430616538413</v>
      </c>
      <c r="R823">
        <f t="shared" si="1006"/>
        <v>84469.251842876489</v>
      </c>
      <c r="S823">
        <f t="shared" si="1007"/>
        <v>0.84469251842876492</v>
      </c>
      <c r="T823">
        <f t="shared" si="1008"/>
        <v>8.4469251842876495E-4</v>
      </c>
    </row>
    <row r="824" spans="1:20" x14ac:dyDescent="0.25">
      <c r="A824" s="5">
        <v>43769</v>
      </c>
      <c r="B824">
        <v>38.369999999999997</v>
      </c>
      <c r="C824">
        <v>38.6</v>
      </c>
      <c r="D824">
        <v>36.93</v>
      </c>
      <c r="E824">
        <v>37.53</v>
      </c>
      <c r="F824">
        <v>29721.40265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-0.28143712574850205</v>
      </c>
      <c r="Q824">
        <f t="shared" si="1005"/>
        <v>-8364.7061350299118</v>
      </c>
      <c r="R824">
        <f t="shared" si="1006"/>
        <v>69798.82122633807</v>
      </c>
      <c r="S824">
        <f t="shared" si="1007"/>
        <v>0.6979882122633807</v>
      </c>
      <c r="T824">
        <f t="shared" si="1008"/>
        <v>6.9798821226338067E-4</v>
      </c>
    </row>
    <row r="825" spans="1:20" x14ac:dyDescent="0.25">
      <c r="A825" s="5">
        <v>43768</v>
      </c>
      <c r="B825">
        <v>39.21</v>
      </c>
      <c r="C825">
        <v>39.61</v>
      </c>
      <c r="D825">
        <v>37.35</v>
      </c>
      <c r="E825">
        <v>38.369999999999997</v>
      </c>
      <c r="F825">
        <v>41072.774599999997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-9.7345132743365564E-2</v>
      </c>
      <c r="Q825">
        <f t="shared" si="1005"/>
        <v>-3998.2346955753333</v>
      </c>
      <c r="R825">
        <f t="shared" si="1006"/>
        <v>78163.527361367989</v>
      </c>
      <c r="S825">
        <f t="shared" si="1007"/>
        <v>0.7816352736136799</v>
      </c>
      <c r="T825">
        <f t="shared" si="1008"/>
        <v>7.8163527361367992E-4</v>
      </c>
    </row>
    <row r="826" spans="1:20" x14ac:dyDescent="0.25">
      <c r="A826" s="5">
        <v>43767</v>
      </c>
      <c r="B826">
        <v>37.799999999999997</v>
      </c>
      <c r="C826">
        <v>39.71</v>
      </c>
      <c r="D826">
        <v>37.76</v>
      </c>
      <c r="E826">
        <v>39.21</v>
      </c>
      <c r="F826">
        <v>52265.587599999999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0.48717948717948795</v>
      </c>
      <c r="Q826">
        <f t="shared" si="1005"/>
        <v>25462.722164102604</v>
      </c>
      <c r="R826">
        <f t="shared" si="1006"/>
        <v>82161.76205694332</v>
      </c>
      <c r="S826">
        <f t="shared" si="1007"/>
        <v>0.82161762056943322</v>
      </c>
      <c r="T826">
        <f t="shared" si="1008"/>
        <v>8.2161762056943326E-4</v>
      </c>
    </row>
    <row r="827" spans="1:20" x14ac:dyDescent="0.25">
      <c r="A827" s="5">
        <v>43766</v>
      </c>
      <c r="B827">
        <v>37.32</v>
      </c>
      <c r="C827">
        <v>42.21</v>
      </c>
      <c r="D827">
        <v>37.31</v>
      </c>
      <c r="E827">
        <v>37.79</v>
      </c>
      <c r="F827">
        <v>109471.62637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-0.80408163265306243</v>
      </c>
      <c r="Q827">
        <f t="shared" si="1005"/>
        <v>-88024.124060775634</v>
      </c>
      <c r="R827">
        <f t="shared" si="1006"/>
        <v>56699.039892840708</v>
      </c>
      <c r="S827">
        <f t="shared" si="1007"/>
        <v>0.56699039892840708</v>
      </c>
      <c r="T827">
        <f t="shared" si="1008"/>
        <v>5.6699039892840709E-4</v>
      </c>
    </row>
    <row r="828" spans="1:20" x14ac:dyDescent="0.25">
      <c r="A828" s="5">
        <v>43765</v>
      </c>
      <c r="B828">
        <v>36.020000000000003</v>
      </c>
      <c r="C828">
        <v>39.31</v>
      </c>
      <c r="D828">
        <v>35.32</v>
      </c>
      <c r="E828">
        <v>37.32</v>
      </c>
      <c r="F828">
        <v>63638.670480000001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2.5062656641599013E-3</v>
      </c>
      <c r="Q828">
        <f t="shared" si="1005"/>
        <v>159.49541473681032</v>
      </c>
      <c r="R828">
        <f t="shared" si="1006"/>
        <v>144723.16395361634</v>
      </c>
      <c r="S828">
        <f t="shared" si="1007"/>
        <v>1.4472316395361635</v>
      </c>
      <c r="T828">
        <f t="shared" si="1008"/>
        <v>1.4472316395361636E-3</v>
      </c>
    </row>
    <row r="829" spans="1:20" x14ac:dyDescent="0.25">
      <c r="A829" s="5">
        <v>43764</v>
      </c>
      <c r="B829">
        <v>37.130000000000003</v>
      </c>
      <c r="C829">
        <v>38.979999999999997</v>
      </c>
      <c r="D829">
        <v>35.369999999999997</v>
      </c>
      <c r="E829">
        <v>36</v>
      </c>
      <c r="F829">
        <v>76186.317379999993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-0.65096952908587113</v>
      </c>
      <c r="Q829">
        <f t="shared" si="1005"/>
        <v>-49594.971147645316</v>
      </c>
      <c r="R829">
        <f t="shared" si="1006"/>
        <v>144563.66853887954</v>
      </c>
      <c r="S829">
        <f t="shared" si="1007"/>
        <v>1.4456366853887954</v>
      </c>
      <c r="T829">
        <f t="shared" si="1008"/>
        <v>1.4456366853887953E-3</v>
      </c>
    </row>
    <row r="830" spans="1:20" x14ac:dyDescent="0.25">
      <c r="A830" s="5">
        <v>43763</v>
      </c>
      <c r="B830">
        <v>33.119999999999997</v>
      </c>
      <c r="C830">
        <v>37.659999999999997</v>
      </c>
      <c r="D830">
        <v>33.1</v>
      </c>
      <c r="E830">
        <v>37.11</v>
      </c>
      <c r="F830">
        <v>66399.489159999997</v>
      </c>
      <c r="G830">
        <v>0</v>
      </c>
      <c r="L830" t="s">
        <v>8</v>
      </c>
      <c r="M830" t="s">
        <v>8</v>
      </c>
      <c r="N830" t="s">
        <v>8</v>
      </c>
      <c r="P830">
        <f t="shared" si="1004"/>
        <v>0.75877192982456243</v>
      </c>
      <c r="Q830">
        <f t="shared" si="1005"/>
        <v>50382.068529298311</v>
      </c>
      <c r="R830">
        <f t="shared" si="1006"/>
        <v>194158.63968652487</v>
      </c>
      <c r="S830">
        <f t="shared" si="1007"/>
        <v>1.9415863968652487</v>
      </c>
      <c r="T830">
        <f t="shared" si="1008"/>
        <v>1.9415863968652487E-3</v>
      </c>
    </row>
    <row r="831" spans="1:20" x14ac:dyDescent="0.25">
      <c r="A831" s="5">
        <v>43762</v>
      </c>
      <c r="B831">
        <v>32.9</v>
      </c>
      <c r="C831">
        <v>33.32</v>
      </c>
      <c r="D831">
        <v>32.17</v>
      </c>
      <c r="E831">
        <v>33.130000000000003</v>
      </c>
      <c r="F831">
        <v>18079.699339999999</v>
      </c>
      <c r="G831">
        <v>0</v>
      </c>
      <c r="L831" t="s">
        <v>7</v>
      </c>
      <c r="M831" t="s">
        <v>7</v>
      </c>
      <c r="N831" t="s">
        <v>8</v>
      </c>
      <c r="P831">
        <f t="shared" si="1004"/>
        <v>0.66956521739130792</v>
      </c>
      <c r="Q831">
        <f t="shared" si="1005"/>
        <v>12105.537818956585</v>
      </c>
      <c r="R831">
        <f t="shared" si="1006"/>
        <v>143776.57115722657</v>
      </c>
      <c r="S831">
        <f t="shared" si="1007"/>
        <v>1.4377657115722657</v>
      </c>
      <c r="T831">
        <f t="shared" si="1008"/>
        <v>1.4377657115722657E-3</v>
      </c>
    </row>
    <row r="832" spans="1:20" x14ac:dyDescent="0.25">
      <c r="A832" s="5">
        <v>43761</v>
      </c>
      <c r="B832">
        <v>35.82</v>
      </c>
      <c r="C832">
        <v>35.94</v>
      </c>
      <c r="D832">
        <v>31.85</v>
      </c>
      <c r="E832">
        <v>32.909999999999997</v>
      </c>
      <c r="F832">
        <v>54242.485480000003</v>
      </c>
      <c r="G832">
        <v>0</v>
      </c>
      <c r="L832" t="s">
        <v>7</v>
      </c>
      <c r="M832" t="s">
        <v>7</v>
      </c>
      <c r="N832" t="s">
        <v>8</v>
      </c>
      <c r="P832">
        <f t="shared" si="1004"/>
        <v>-0.48166259168704345</v>
      </c>
      <c r="Q832">
        <f t="shared" si="1005"/>
        <v>-26126.576135843625</v>
      </c>
      <c r="R832">
        <f t="shared" si="1006"/>
        <v>131671.03333826998</v>
      </c>
      <c r="S832">
        <f t="shared" si="1007"/>
        <v>1.3167103333826997</v>
      </c>
      <c r="T832">
        <f t="shared" si="1008"/>
        <v>1.3167103333826997E-3</v>
      </c>
    </row>
    <row r="833" spans="1:20" x14ac:dyDescent="0.25">
      <c r="A833" s="5">
        <v>43760</v>
      </c>
      <c r="B833">
        <v>36.700000000000003</v>
      </c>
      <c r="C833">
        <v>36.89</v>
      </c>
      <c r="D833">
        <v>35.78</v>
      </c>
      <c r="E833">
        <v>35.840000000000003</v>
      </c>
      <c r="F833">
        <v>16112.79319</v>
      </c>
      <c r="G833">
        <v>0</v>
      </c>
      <c r="L833" t="s">
        <v>7</v>
      </c>
      <c r="M833" t="s">
        <v>7</v>
      </c>
      <c r="N833" t="s">
        <v>8</v>
      </c>
      <c r="P833">
        <f t="shared" si="1004"/>
        <v>-0.89189189189188778</v>
      </c>
      <c r="Q833">
        <f t="shared" si="1005"/>
        <v>-14370.869601891825</v>
      </c>
      <c r="R833">
        <f t="shared" si="1006"/>
        <v>157797.60947411359</v>
      </c>
      <c r="S833">
        <f t="shared" si="1007"/>
        <v>1.5779760947411359</v>
      </c>
      <c r="T833">
        <f t="shared" si="1008"/>
        <v>1.577976094741136E-3</v>
      </c>
    </row>
    <row r="834" spans="1:20" x14ac:dyDescent="0.25">
      <c r="A834" s="5">
        <v>43759</v>
      </c>
      <c r="B834">
        <v>36.299999999999997</v>
      </c>
      <c r="C834">
        <v>36.96</v>
      </c>
      <c r="D834">
        <v>35.909999999999997</v>
      </c>
      <c r="E834">
        <v>36.700000000000003</v>
      </c>
      <c r="F834">
        <v>18544.69527</v>
      </c>
      <c r="G834">
        <v>0</v>
      </c>
      <c r="L834" t="s">
        <v>7</v>
      </c>
      <c r="M834" t="s">
        <v>7</v>
      </c>
      <c r="N834" t="s">
        <v>8</v>
      </c>
      <c r="P834">
        <f t="shared" si="1004"/>
        <v>0.50476190476191052</v>
      </c>
      <c r="Q834">
        <f t="shared" si="1005"/>
        <v>9360.6557077143934</v>
      </c>
      <c r="R834">
        <f t="shared" si="1006"/>
        <v>172168.4790760054</v>
      </c>
      <c r="S834">
        <f t="shared" si="1007"/>
        <v>1.7216847907600541</v>
      </c>
      <c r="T834">
        <f t="shared" si="1008"/>
        <v>1.721684790760054E-3</v>
      </c>
    </row>
    <row r="835" spans="1:20" x14ac:dyDescent="0.25">
      <c r="A835" s="5">
        <v>43758</v>
      </c>
      <c r="B835">
        <v>35.9</v>
      </c>
      <c r="C835">
        <v>36.71</v>
      </c>
      <c r="D835">
        <v>35.51</v>
      </c>
      <c r="E835">
        <v>36.32</v>
      </c>
      <c r="F835">
        <v>12184.09907</v>
      </c>
      <c r="G835">
        <v>0</v>
      </c>
      <c r="L835" t="s">
        <v>7</v>
      </c>
      <c r="M835" t="s">
        <v>7</v>
      </c>
      <c r="N835" t="s">
        <v>8</v>
      </c>
      <c r="P835">
        <f t="shared" si="1004"/>
        <v>0.35000000000000059</v>
      </c>
      <c r="Q835">
        <f t="shared" si="1005"/>
        <v>4264.4346745000075</v>
      </c>
      <c r="R835">
        <f t="shared" si="1006"/>
        <v>162807.82336829102</v>
      </c>
      <c r="S835">
        <f t="shared" si="1007"/>
        <v>1.6280782336829103</v>
      </c>
      <c r="T835">
        <f t="shared" si="1008"/>
        <v>1.6280782336829103E-3</v>
      </c>
    </row>
    <row r="836" spans="1:20" x14ac:dyDescent="0.25">
      <c r="A836" s="5">
        <v>43757</v>
      </c>
      <c r="B836">
        <v>35.83</v>
      </c>
      <c r="C836">
        <v>36.5</v>
      </c>
      <c r="D836">
        <v>35.36</v>
      </c>
      <c r="E836">
        <v>35.89</v>
      </c>
      <c r="F836">
        <v>14395.17412</v>
      </c>
      <c r="G836">
        <v>0</v>
      </c>
      <c r="L836" t="s">
        <v>7</v>
      </c>
      <c r="M836" t="s">
        <v>7</v>
      </c>
      <c r="N836" t="s">
        <v>8</v>
      </c>
      <c r="P836">
        <f t="shared" si="1004"/>
        <v>-7.0175438596489698E-2</v>
      </c>
      <c r="Q836">
        <f t="shared" si="1005"/>
        <v>-1010.1876575438376</v>
      </c>
      <c r="R836">
        <f t="shared" si="1006"/>
        <v>158543.38869379103</v>
      </c>
      <c r="S836">
        <f t="shared" si="1007"/>
        <v>1.5854338869379103</v>
      </c>
      <c r="T836">
        <f t="shared" si="1008"/>
        <v>1.5854338869379103E-3</v>
      </c>
    </row>
    <row r="837" spans="1:20" x14ac:dyDescent="0.25">
      <c r="A837" s="5">
        <v>43756</v>
      </c>
      <c r="B837">
        <v>36.15</v>
      </c>
      <c r="C837">
        <v>36.83</v>
      </c>
      <c r="D837">
        <v>35.44</v>
      </c>
      <c r="E837">
        <v>35.83</v>
      </c>
      <c r="F837">
        <v>21391.107919999999</v>
      </c>
      <c r="G837">
        <v>0</v>
      </c>
      <c r="L837" t="s">
        <v>7</v>
      </c>
      <c r="M837" t="s">
        <v>7</v>
      </c>
      <c r="N837" t="s">
        <v>8</v>
      </c>
      <c r="P837">
        <f t="shared" si="1004"/>
        <v>-0.43884892086330879</v>
      </c>
      <c r="Q837">
        <f t="shared" si="1005"/>
        <v>-9387.4646267625776</v>
      </c>
      <c r="R837">
        <f t="shared" si="1006"/>
        <v>159553.57635133486</v>
      </c>
      <c r="S837">
        <f t="shared" si="1007"/>
        <v>1.5955357635133487</v>
      </c>
      <c r="T837">
        <f t="shared" si="1008"/>
        <v>1.5955357635133486E-3</v>
      </c>
    </row>
    <row r="838" spans="1:20" x14ac:dyDescent="0.25">
      <c r="A838" s="5">
        <v>43755</v>
      </c>
      <c r="B838">
        <v>35.78</v>
      </c>
      <c r="C838">
        <v>36.83</v>
      </c>
      <c r="D838">
        <v>35.5</v>
      </c>
      <c r="E838">
        <v>36.130000000000003</v>
      </c>
      <c r="F838">
        <v>21606.559140000001</v>
      </c>
      <c r="G838">
        <v>0</v>
      </c>
      <c r="L838" t="s">
        <v>7</v>
      </c>
      <c r="M838" t="s">
        <v>7</v>
      </c>
      <c r="N838" t="s">
        <v>8</v>
      </c>
      <c r="P838">
        <f t="shared" ref="P838:P901" si="1009">IF(C838=D838,0,((E838-D838)-(C838-E838))/(C838-D838))</f>
        <v>-5.263157894736336E-2</v>
      </c>
      <c r="Q838">
        <f t="shared" ref="Q838:Q901" si="1010">F838*P838</f>
        <v>-1137.1873231577854</v>
      </c>
      <c r="R838">
        <f t="shared" ref="R838:R901" si="1011">R839+Q838</f>
        <v>168941.04097809744</v>
      </c>
      <c r="S838">
        <f t="shared" ref="S838:S901" si="1012">R838/100000</f>
        <v>1.6894104097809743</v>
      </c>
      <c r="T838">
        <f t="shared" ref="T838:T901" si="1013">S838/1000</f>
        <v>1.6894104097809743E-3</v>
      </c>
    </row>
    <row r="839" spans="1:20" x14ac:dyDescent="0.25">
      <c r="A839" s="5">
        <v>43754</v>
      </c>
      <c r="B839">
        <v>36.82</v>
      </c>
      <c r="C839">
        <v>36.979999999999997</v>
      </c>
      <c r="D839">
        <v>35.21</v>
      </c>
      <c r="E839">
        <v>35.79</v>
      </c>
      <c r="F839">
        <v>20340.343130000001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-0.34463276836158235</v>
      </c>
      <c r="Q839">
        <f t="shared" si="1010"/>
        <v>-7009.9487623163932</v>
      </c>
      <c r="R839">
        <f t="shared" si="1011"/>
        <v>170078.22830125524</v>
      </c>
      <c r="S839">
        <f t="shared" si="1012"/>
        <v>1.7007822830125523</v>
      </c>
      <c r="T839">
        <f t="shared" si="1013"/>
        <v>1.7007822830125523E-3</v>
      </c>
    </row>
    <row r="840" spans="1:20" x14ac:dyDescent="0.25">
      <c r="A840" s="5">
        <v>43753</v>
      </c>
      <c r="B840">
        <v>37.04</v>
      </c>
      <c r="C840">
        <v>37.68</v>
      </c>
      <c r="D840">
        <v>36.630000000000003</v>
      </c>
      <c r="E840">
        <v>36.82</v>
      </c>
      <c r="F840">
        <v>24159.878700000001</v>
      </c>
      <c r="G840">
        <v>0</v>
      </c>
      <c r="L840" t="s">
        <v>7</v>
      </c>
      <c r="M840" t="s">
        <v>7</v>
      </c>
      <c r="N840" t="s">
        <v>8</v>
      </c>
      <c r="P840">
        <f t="shared" si="1009"/>
        <v>-0.63809523809524149</v>
      </c>
      <c r="Q840">
        <f t="shared" si="1010"/>
        <v>-15416.303551428655</v>
      </c>
      <c r="R840">
        <f t="shared" si="1011"/>
        <v>177088.17706357164</v>
      </c>
      <c r="S840">
        <f t="shared" si="1012"/>
        <v>1.7708817706357163</v>
      </c>
      <c r="T840">
        <f t="shared" si="1013"/>
        <v>1.7708817706357162E-3</v>
      </c>
    </row>
    <row r="841" spans="1:20" x14ac:dyDescent="0.25">
      <c r="A841" s="5">
        <v>43752</v>
      </c>
      <c r="B841">
        <v>36.94</v>
      </c>
      <c r="C841">
        <v>37.35</v>
      </c>
      <c r="D841">
        <v>36.44</v>
      </c>
      <c r="E841">
        <v>37.04</v>
      </c>
      <c r="F841">
        <v>19095.20262</v>
      </c>
      <c r="G841">
        <v>0</v>
      </c>
      <c r="L841" t="s">
        <v>7</v>
      </c>
      <c r="M841" t="s">
        <v>7</v>
      </c>
      <c r="N841" t="s">
        <v>8</v>
      </c>
      <c r="P841">
        <f t="shared" si="1009"/>
        <v>0.31868131868131644</v>
      </c>
      <c r="Q841">
        <f t="shared" si="1010"/>
        <v>6085.2843514285287</v>
      </c>
      <c r="R841">
        <f t="shared" si="1011"/>
        <v>192504.4806150003</v>
      </c>
      <c r="S841">
        <f t="shared" si="1012"/>
        <v>1.925044806150003</v>
      </c>
      <c r="T841">
        <f t="shared" si="1013"/>
        <v>1.925044806150003E-3</v>
      </c>
    </row>
    <row r="842" spans="1:20" x14ac:dyDescent="0.25">
      <c r="A842" s="5">
        <v>43751</v>
      </c>
      <c r="B842">
        <v>36.549999999999997</v>
      </c>
      <c r="C842">
        <v>37.46</v>
      </c>
      <c r="D842">
        <v>36.31</v>
      </c>
      <c r="E842">
        <v>36.9</v>
      </c>
      <c r="F842">
        <v>18001.054359999998</v>
      </c>
      <c r="G842">
        <v>0</v>
      </c>
      <c r="L842" t="s">
        <v>7</v>
      </c>
      <c r="M842" t="s">
        <v>7</v>
      </c>
      <c r="N842" t="s">
        <v>8</v>
      </c>
      <c r="P842">
        <f t="shared" si="1009"/>
        <v>2.6086956521733973E-2</v>
      </c>
      <c r="Q842">
        <f t="shared" si="1010"/>
        <v>469.59272243468973</v>
      </c>
      <c r="R842">
        <f t="shared" si="1011"/>
        <v>186419.19626357176</v>
      </c>
      <c r="S842">
        <f t="shared" si="1012"/>
        <v>1.8641919626357177</v>
      </c>
      <c r="T842">
        <f t="shared" si="1013"/>
        <v>1.8641919626357177E-3</v>
      </c>
    </row>
    <row r="843" spans="1:20" x14ac:dyDescent="0.25">
      <c r="A843" s="5">
        <v>43750</v>
      </c>
      <c r="B843">
        <v>36.06</v>
      </c>
      <c r="C843">
        <v>37.130000000000003</v>
      </c>
      <c r="D843">
        <v>35.79</v>
      </c>
      <c r="E843">
        <v>36.590000000000003</v>
      </c>
      <c r="F843">
        <v>24114.59492</v>
      </c>
      <c r="G843">
        <v>0</v>
      </c>
      <c r="L843" t="s">
        <v>7</v>
      </c>
      <c r="M843" t="s">
        <v>7</v>
      </c>
      <c r="N843" t="s">
        <v>8</v>
      </c>
      <c r="P843">
        <f t="shared" si="1009"/>
        <v>0.19402985074627199</v>
      </c>
      <c r="Q843">
        <f t="shared" si="1010"/>
        <v>4678.9512531344089</v>
      </c>
      <c r="R843">
        <f t="shared" si="1011"/>
        <v>185949.60354113707</v>
      </c>
      <c r="S843">
        <f t="shared" si="1012"/>
        <v>1.8594960354113708</v>
      </c>
      <c r="T843">
        <f t="shared" si="1013"/>
        <v>1.8594960354113709E-3</v>
      </c>
    </row>
    <row r="844" spans="1:20" x14ac:dyDescent="0.25">
      <c r="A844" s="5">
        <v>43749</v>
      </c>
      <c r="B844">
        <v>37.46</v>
      </c>
      <c r="C844">
        <v>38.28</v>
      </c>
      <c r="D844">
        <v>35.909999999999997</v>
      </c>
      <c r="E844">
        <v>36.07</v>
      </c>
      <c r="F844">
        <v>33258.218139999997</v>
      </c>
      <c r="G844">
        <v>0</v>
      </c>
      <c r="L844" t="s">
        <v>7</v>
      </c>
      <c r="M844" t="s">
        <v>7</v>
      </c>
      <c r="N844" t="s">
        <v>8</v>
      </c>
      <c r="P844">
        <f t="shared" si="1009"/>
        <v>-0.86497890295358359</v>
      </c>
      <c r="Q844">
        <f t="shared" si="1010"/>
        <v>-28767.65704092817</v>
      </c>
      <c r="R844">
        <f t="shared" si="1011"/>
        <v>181270.65228800266</v>
      </c>
      <c r="S844">
        <f t="shared" si="1012"/>
        <v>1.8127065228800265</v>
      </c>
      <c r="T844">
        <f t="shared" si="1013"/>
        <v>1.8127065228800265E-3</v>
      </c>
    </row>
    <row r="845" spans="1:20" x14ac:dyDescent="0.25">
      <c r="A845" s="5">
        <v>43748</v>
      </c>
      <c r="B845">
        <v>38</v>
      </c>
      <c r="C845">
        <v>38.11</v>
      </c>
      <c r="D845">
        <v>36.950000000000003</v>
      </c>
      <c r="E845">
        <v>37.43</v>
      </c>
      <c r="F845">
        <v>20123.38293</v>
      </c>
      <c r="G845">
        <v>0</v>
      </c>
      <c r="L845" t="s">
        <v>8</v>
      </c>
      <c r="M845" t="s">
        <v>7</v>
      </c>
      <c r="N845" t="s">
        <v>8</v>
      </c>
      <c r="P845">
        <f t="shared" si="1009"/>
        <v>-0.17241379310345123</v>
      </c>
      <c r="Q845">
        <f t="shared" si="1010"/>
        <v>-3469.5487810345421</v>
      </c>
      <c r="R845">
        <f t="shared" si="1011"/>
        <v>210038.30932893083</v>
      </c>
      <c r="S845">
        <f t="shared" si="1012"/>
        <v>2.1003830932893082</v>
      </c>
      <c r="T845">
        <f t="shared" si="1013"/>
        <v>2.1003830932893081E-3</v>
      </c>
    </row>
    <row r="846" spans="1:20" x14ac:dyDescent="0.25">
      <c r="A846" s="5">
        <v>43747</v>
      </c>
      <c r="B846">
        <v>36.5</v>
      </c>
      <c r="C846">
        <v>38.270000000000003</v>
      </c>
      <c r="D846">
        <v>36.1</v>
      </c>
      <c r="E846">
        <v>37.99</v>
      </c>
      <c r="F846">
        <v>27398.9084</v>
      </c>
      <c r="G846">
        <v>0</v>
      </c>
      <c r="L846" t="s">
        <v>8</v>
      </c>
      <c r="M846" t="s">
        <v>7</v>
      </c>
      <c r="N846" t="s">
        <v>8</v>
      </c>
      <c r="P846">
        <f t="shared" si="1009"/>
        <v>0.74193548387096686</v>
      </c>
      <c r="Q846">
        <f t="shared" si="1010"/>
        <v>20328.2223612903</v>
      </c>
      <c r="R846">
        <f t="shared" si="1011"/>
        <v>213507.85810996537</v>
      </c>
      <c r="S846">
        <f t="shared" si="1012"/>
        <v>2.1350785810996538</v>
      </c>
      <c r="T846">
        <f t="shared" si="1013"/>
        <v>2.135078581099654E-3</v>
      </c>
    </row>
    <row r="847" spans="1:20" x14ac:dyDescent="0.25">
      <c r="A847" s="5">
        <v>43746</v>
      </c>
      <c r="B847">
        <v>37.42</v>
      </c>
      <c r="C847">
        <v>38.08</v>
      </c>
      <c r="D847">
        <v>36</v>
      </c>
      <c r="E847">
        <v>36.479999999999997</v>
      </c>
      <c r="F847">
        <v>23617.81091</v>
      </c>
      <c r="G847">
        <v>0</v>
      </c>
      <c r="L847" t="s">
        <v>8</v>
      </c>
      <c r="M847" t="s">
        <v>7</v>
      </c>
      <c r="N847" t="s">
        <v>8</v>
      </c>
      <c r="P847">
        <f t="shared" si="1009"/>
        <v>-0.5384615384615411</v>
      </c>
      <c r="Q847">
        <f t="shared" si="1010"/>
        <v>-12717.282797692371</v>
      </c>
      <c r="R847">
        <f t="shared" si="1011"/>
        <v>193179.63574867506</v>
      </c>
      <c r="S847">
        <f t="shared" si="1012"/>
        <v>1.9317963574867507</v>
      </c>
      <c r="T847">
        <f t="shared" si="1013"/>
        <v>1.9317963574867507E-3</v>
      </c>
    </row>
    <row r="848" spans="1:20" x14ac:dyDescent="0.25">
      <c r="A848" s="5">
        <v>43745</v>
      </c>
      <c r="B848">
        <v>35.56</v>
      </c>
      <c r="C848">
        <v>37.97</v>
      </c>
      <c r="D848">
        <v>35.14</v>
      </c>
      <c r="E848">
        <v>37.4</v>
      </c>
      <c r="F848">
        <v>31221.177930000002</v>
      </c>
      <c r="G848">
        <v>0</v>
      </c>
      <c r="L848" t="s">
        <v>8</v>
      </c>
      <c r="M848" t="s">
        <v>7</v>
      </c>
      <c r="N848" t="s">
        <v>8</v>
      </c>
      <c r="P848">
        <f t="shared" si="1009"/>
        <v>0.59717314487632467</v>
      </c>
      <c r="Q848">
        <f t="shared" si="1010"/>
        <v>18644.449011201403</v>
      </c>
      <c r="R848">
        <f t="shared" si="1011"/>
        <v>205896.91854636744</v>
      </c>
      <c r="S848">
        <f t="shared" si="1012"/>
        <v>2.0589691854636745</v>
      </c>
      <c r="T848">
        <f t="shared" si="1013"/>
        <v>2.0589691854636743E-3</v>
      </c>
    </row>
    <row r="849" spans="1:20" x14ac:dyDescent="0.25">
      <c r="A849" s="5">
        <v>43744</v>
      </c>
      <c r="B849">
        <v>36.85</v>
      </c>
      <c r="C849">
        <v>37.03</v>
      </c>
      <c r="D849">
        <v>35.25</v>
      </c>
      <c r="E849">
        <v>35.57</v>
      </c>
      <c r="F849">
        <v>14031.720509999999</v>
      </c>
      <c r="G849">
        <v>0</v>
      </c>
      <c r="L849" t="s">
        <v>7</v>
      </c>
      <c r="M849" t="s">
        <v>8</v>
      </c>
      <c r="N849" t="s">
        <v>8</v>
      </c>
      <c r="P849">
        <f t="shared" si="1009"/>
        <v>-0.64044943820224709</v>
      </c>
      <c r="Q849">
        <f t="shared" si="1010"/>
        <v>-8986.6075176404483</v>
      </c>
      <c r="R849">
        <f t="shared" si="1011"/>
        <v>187252.46953516605</v>
      </c>
      <c r="S849">
        <f t="shared" si="1012"/>
        <v>1.8725246953516606</v>
      </c>
      <c r="T849">
        <f t="shared" si="1013"/>
        <v>1.8725246953516606E-3</v>
      </c>
    </row>
    <row r="850" spans="1:20" x14ac:dyDescent="0.25">
      <c r="A850" s="5">
        <v>43743</v>
      </c>
      <c r="B850">
        <v>37.06</v>
      </c>
      <c r="C850">
        <v>37.130000000000003</v>
      </c>
      <c r="D850">
        <v>36.299999999999997</v>
      </c>
      <c r="E850">
        <v>36.85</v>
      </c>
      <c r="F850">
        <v>6307.5911999999998</v>
      </c>
      <c r="G850">
        <v>0</v>
      </c>
      <c r="L850" t="s">
        <v>7</v>
      </c>
      <c r="M850" t="s">
        <v>8</v>
      </c>
      <c r="N850" t="s">
        <v>8</v>
      </c>
      <c r="P850">
        <f t="shared" si="1009"/>
        <v>0.32530120481927877</v>
      </c>
      <c r="Q850">
        <f t="shared" si="1010"/>
        <v>2051.8670168674803</v>
      </c>
      <c r="R850">
        <f t="shared" si="1011"/>
        <v>196239.0770528065</v>
      </c>
      <c r="S850">
        <f t="shared" si="1012"/>
        <v>1.962390770528065</v>
      </c>
      <c r="T850">
        <f t="shared" si="1013"/>
        <v>1.962390770528065E-3</v>
      </c>
    </row>
    <row r="851" spans="1:20" x14ac:dyDescent="0.25">
      <c r="A851" s="5">
        <v>43742</v>
      </c>
      <c r="B851">
        <v>37.229999999999997</v>
      </c>
      <c r="C851">
        <v>37.61</v>
      </c>
      <c r="D851">
        <v>35.909999999999997</v>
      </c>
      <c r="E851">
        <v>37.04</v>
      </c>
      <c r="F851">
        <v>13991.63457</v>
      </c>
      <c r="G851">
        <v>0</v>
      </c>
      <c r="L851" t="s">
        <v>7</v>
      </c>
      <c r="M851" t="s">
        <v>8</v>
      </c>
      <c r="N851" t="s">
        <v>8</v>
      </c>
      <c r="P851">
        <f t="shared" si="1009"/>
        <v>0.32941176470588313</v>
      </c>
      <c r="Q851">
        <f t="shared" si="1010"/>
        <v>4609.0090348235399</v>
      </c>
      <c r="R851">
        <f t="shared" si="1011"/>
        <v>194187.21003593903</v>
      </c>
      <c r="S851">
        <f t="shared" si="1012"/>
        <v>1.9418721003593904</v>
      </c>
      <c r="T851">
        <f t="shared" si="1013"/>
        <v>1.9418721003593904E-3</v>
      </c>
    </row>
    <row r="852" spans="1:20" x14ac:dyDescent="0.25">
      <c r="A852" s="5">
        <v>43741</v>
      </c>
      <c r="B852">
        <v>38.130000000000003</v>
      </c>
      <c r="C852">
        <v>38.299999999999997</v>
      </c>
      <c r="D852">
        <v>36.409999999999997</v>
      </c>
      <c r="E852">
        <v>37.229999999999997</v>
      </c>
      <c r="F852">
        <v>9357.9469599999993</v>
      </c>
      <c r="G852">
        <v>0</v>
      </c>
      <c r="L852" t="s">
        <v>7</v>
      </c>
      <c r="M852" t="s">
        <v>8</v>
      </c>
      <c r="N852" t="s">
        <v>8</v>
      </c>
      <c r="P852">
        <f t="shared" si="1009"/>
        <v>-0.13227513227513224</v>
      </c>
      <c r="Q852">
        <f t="shared" si="1010"/>
        <v>-1237.8236719576716</v>
      </c>
      <c r="R852">
        <f t="shared" si="1011"/>
        <v>189578.20100111549</v>
      </c>
      <c r="S852">
        <f t="shared" si="1012"/>
        <v>1.8957820100111549</v>
      </c>
      <c r="T852">
        <f t="shared" si="1013"/>
        <v>1.8957820100111548E-3</v>
      </c>
    </row>
    <row r="853" spans="1:20" x14ac:dyDescent="0.25">
      <c r="A853" s="5">
        <v>43740</v>
      </c>
      <c r="B853">
        <v>38.18</v>
      </c>
      <c r="C853">
        <v>38.39</v>
      </c>
      <c r="D853">
        <v>37.229999999999997</v>
      </c>
      <c r="E853">
        <v>38.130000000000003</v>
      </c>
      <c r="F853">
        <v>11220.063920000001</v>
      </c>
      <c r="G853">
        <v>0</v>
      </c>
      <c r="L853" t="s">
        <v>7</v>
      </c>
      <c r="M853" t="s">
        <v>8</v>
      </c>
      <c r="N853" t="s">
        <v>8</v>
      </c>
      <c r="P853">
        <f t="shared" si="1009"/>
        <v>0.55172413793103936</v>
      </c>
      <c r="Q853">
        <f t="shared" si="1010"/>
        <v>6190.3800937931583</v>
      </c>
      <c r="R853">
        <f t="shared" si="1011"/>
        <v>190816.02467307317</v>
      </c>
      <c r="S853">
        <f t="shared" si="1012"/>
        <v>1.9081602467307317</v>
      </c>
      <c r="T853">
        <f t="shared" si="1013"/>
        <v>1.9081602467307317E-3</v>
      </c>
    </row>
    <row r="854" spans="1:20" x14ac:dyDescent="0.25">
      <c r="A854" s="5">
        <v>43739</v>
      </c>
      <c r="B854">
        <v>38.69</v>
      </c>
      <c r="C854">
        <v>39.6</v>
      </c>
      <c r="D854">
        <v>37.76</v>
      </c>
      <c r="E854">
        <v>38.18</v>
      </c>
      <c r="F854">
        <v>16307.5959</v>
      </c>
      <c r="G854">
        <v>0</v>
      </c>
      <c r="L854" t="s">
        <v>8</v>
      </c>
      <c r="M854" t="s">
        <v>8</v>
      </c>
      <c r="N854" t="s">
        <v>8</v>
      </c>
      <c r="P854">
        <f t="shared" si="1009"/>
        <v>-0.54347826086956419</v>
      </c>
      <c r="Q854">
        <f t="shared" si="1010"/>
        <v>-8862.8238586956359</v>
      </c>
      <c r="R854">
        <f t="shared" si="1011"/>
        <v>184625.64457928002</v>
      </c>
      <c r="S854">
        <f t="shared" si="1012"/>
        <v>1.8462564457928001</v>
      </c>
      <c r="T854">
        <f t="shared" si="1013"/>
        <v>1.8462564457928001E-3</v>
      </c>
    </row>
    <row r="855" spans="1:20" x14ac:dyDescent="0.25">
      <c r="A855" s="5">
        <v>43738</v>
      </c>
      <c r="B855">
        <v>37.71</v>
      </c>
      <c r="C855">
        <v>39.99</v>
      </c>
      <c r="D855">
        <v>36.26</v>
      </c>
      <c r="E855">
        <v>38.69</v>
      </c>
      <c r="F855">
        <v>28505.181240000002</v>
      </c>
      <c r="G855">
        <v>0</v>
      </c>
      <c r="L855" t="s">
        <v>8</v>
      </c>
      <c r="M855" t="s">
        <v>8</v>
      </c>
      <c r="N855" t="s">
        <v>8</v>
      </c>
      <c r="P855">
        <f t="shared" si="1009"/>
        <v>0.30294906166219687</v>
      </c>
      <c r="Q855">
        <f t="shared" si="1010"/>
        <v>8635.6179091688573</v>
      </c>
      <c r="R855">
        <f t="shared" si="1011"/>
        <v>193488.46843797565</v>
      </c>
      <c r="S855">
        <f t="shared" si="1012"/>
        <v>1.9348846843797565</v>
      </c>
      <c r="T855">
        <f t="shared" si="1013"/>
        <v>1.9348846843797564E-3</v>
      </c>
    </row>
    <row r="856" spans="1:20" x14ac:dyDescent="0.25">
      <c r="A856" s="5">
        <v>43737</v>
      </c>
      <c r="B856">
        <v>40.35</v>
      </c>
      <c r="C856">
        <v>40.53</v>
      </c>
      <c r="D856">
        <v>36.26</v>
      </c>
      <c r="E856">
        <v>37.74</v>
      </c>
      <c r="F856">
        <v>25909.138180000002</v>
      </c>
      <c r="G856">
        <v>0</v>
      </c>
      <c r="L856" t="s">
        <v>7</v>
      </c>
      <c r="M856" t="s">
        <v>8</v>
      </c>
      <c r="N856" t="s">
        <v>8</v>
      </c>
      <c r="P856">
        <f t="shared" si="1009"/>
        <v>-0.30679156908664967</v>
      </c>
      <c r="Q856">
        <f t="shared" si="1010"/>
        <v>-7948.7051559250231</v>
      </c>
      <c r="R856">
        <f t="shared" si="1011"/>
        <v>184852.8505288068</v>
      </c>
      <c r="S856">
        <f t="shared" si="1012"/>
        <v>1.848528505288068</v>
      </c>
      <c r="T856">
        <f t="shared" si="1013"/>
        <v>1.848528505288068E-3</v>
      </c>
    </row>
    <row r="857" spans="1:20" x14ac:dyDescent="0.25">
      <c r="A857" s="5">
        <v>43736</v>
      </c>
      <c r="B857">
        <v>37.479999999999997</v>
      </c>
      <c r="C857">
        <v>41.34</v>
      </c>
      <c r="D857">
        <v>36.94</v>
      </c>
      <c r="E857">
        <v>40.299999999999997</v>
      </c>
      <c r="F857">
        <v>69265.114090000003</v>
      </c>
      <c r="G857">
        <v>0</v>
      </c>
      <c r="L857" t="s">
        <v>8</v>
      </c>
      <c r="M857" t="s">
        <v>8</v>
      </c>
      <c r="N857" t="s">
        <v>8</v>
      </c>
      <c r="P857">
        <f t="shared" si="1009"/>
        <v>0.52727272727272501</v>
      </c>
      <c r="Q857">
        <f t="shared" si="1010"/>
        <v>36521.605611090752</v>
      </c>
      <c r="R857">
        <f t="shared" si="1011"/>
        <v>192801.55568473181</v>
      </c>
      <c r="S857">
        <f t="shared" si="1012"/>
        <v>1.9280155568473181</v>
      </c>
      <c r="T857">
        <f t="shared" si="1013"/>
        <v>1.928015556847318E-3</v>
      </c>
    </row>
    <row r="858" spans="1:20" x14ac:dyDescent="0.25">
      <c r="A858" s="5">
        <v>43735</v>
      </c>
      <c r="B858">
        <v>34.94</v>
      </c>
      <c r="C858">
        <v>38.049999999999997</v>
      </c>
      <c r="D858">
        <v>34.4</v>
      </c>
      <c r="E858">
        <v>37.47</v>
      </c>
      <c r="F858">
        <v>35322.87513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0.68219178082191867</v>
      </c>
      <c r="Q858">
        <f t="shared" si="1010"/>
        <v>24096.975088684962</v>
      </c>
      <c r="R858">
        <f t="shared" si="1011"/>
        <v>156279.95007364106</v>
      </c>
      <c r="S858">
        <f t="shared" si="1012"/>
        <v>1.5627995007364106</v>
      </c>
      <c r="T858">
        <f t="shared" si="1013"/>
        <v>1.5627995007364106E-3</v>
      </c>
    </row>
    <row r="859" spans="1:20" x14ac:dyDescent="0.25">
      <c r="A859" s="5">
        <v>43734</v>
      </c>
      <c r="B859">
        <v>37.909999999999997</v>
      </c>
      <c r="C859">
        <v>39.15</v>
      </c>
      <c r="D859">
        <v>33.119999999999997</v>
      </c>
      <c r="E859">
        <v>34.92</v>
      </c>
      <c r="F859">
        <v>41520.174229999997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-0.40298507462686439</v>
      </c>
      <c r="Q859">
        <f t="shared" si="1010"/>
        <v>-16732.01051059696</v>
      </c>
      <c r="R859">
        <f t="shared" si="1011"/>
        <v>132182.97498495609</v>
      </c>
      <c r="S859">
        <f t="shared" si="1012"/>
        <v>1.3218297498495608</v>
      </c>
      <c r="T859">
        <f t="shared" si="1013"/>
        <v>1.3218297498495608E-3</v>
      </c>
    </row>
    <row r="860" spans="1:20" x14ac:dyDescent="0.25">
      <c r="A860" s="5">
        <v>43733</v>
      </c>
      <c r="B860">
        <v>35.83</v>
      </c>
      <c r="C860">
        <v>39</v>
      </c>
      <c r="D860">
        <v>33.56</v>
      </c>
      <c r="E860">
        <v>37.909999999999997</v>
      </c>
      <c r="F860">
        <v>81999.779630000005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0.59926470588235148</v>
      </c>
      <c r="Q860">
        <f t="shared" si="1010"/>
        <v>49139.57382238959</v>
      </c>
      <c r="R860">
        <f t="shared" si="1011"/>
        <v>148914.98549555306</v>
      </c>
      <c r="S860">
        <f t="shared" si="1012"/>
        <v>1.4891498549555306</v>
      </c>
      <c r="T860">
        <f t="shared" si="1013"/>
        <v>1.4891498549555306E-3</v>
      </c>
    </row>
    <row r="861" spans="1:20" x14ac:dyDescent="0.25">
      <c r="A861" s="5">
        <v>43732</v>
      </c>
      <c r="B861">
        <v>44.04</v>
      </c>
      <c r="C861">
        <v>45.92</v>
      </c>
      <c r="D861">
        <v>29.69</v>
      </c>
      <c r="E861">
        <v>35.92</v>
      </c>
      <c r="F861">
        <v>48838.419280000002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-0.23228589032655572</v>
      </c>
      <c r="Q861">
        <f t="shared" si="1010"/>
        <v>-11344.475704596425</v>
      </c>
      <c r="R861">
        <f t="shared" si="1011"/>
        <v>99775.411673163471</v>
      </c>
      <c r="S861">
        <f t="shared" si="1012"/>
        <v>0.99775411673163472</v>
      </c>
      <c r="T861">
        <f t="shared" si="1013"/>
        <v>9.9775411673163478E-4</v>
      </c>
    </row>
    <row r="862" spans="1:20" x14ac:dyDescent="0.25">
      <c r="A862" s="5">
        <v>43731</v>
      </c>
      <c r="B862">
        <v>46.13</v>
      </c>
      <c r="C862">
        <v>46.19</v>
      </c>
      <c r="D862">
        <v>43.47</v>
      </c>
      <c r="E862">
        <v>44.09</v>
      </c>
      <c r="F862">
        <v>15346.64963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-0.54411764705882004</v>
      </c>
      <c r="Q862">
        <f t="shared" si="1010"/>
        <v>-8350.3828869117115</v>
      </c>
      <c r="R862">
        <f t="shared" si="1011"/>
        <v>111119.88737775989</v>
      </c>
      <c r="S862">
        <f t="shared" si="1012"/>
        <v>1.1111988737775989</v>
      </c>
      <c r="T862">
        <f t="shared" si="1013"/>
        <v>1.1111988737775988E-3</v>
      </c>
    </row>
    <row r="863" spans="1:20" x14ac:dyDescent="0.25">
      <c r="A863" s="5">
        <v>43730</v>
      </c>
      <c r="B863">
        <v>47.72</v>
      </c>
      <c r="C863">
        <v>47.76</v>
      </c>
      <c r="D863">
        <v>45.66</v>
      </c>
      <c r="E863">
        <v>46.13</v>
      </c>
      <c r="F863">
        <v>8622.5526699999991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-0.55238095238094698</v>
      </c>
      <c r="Q863">
        <f t="shared" si="1010"/>
        <v>-4762.9338558094769</v>
      </c>
      <c r="R863">
        <f t="shared" si="1011"/>
        <v>119470.27026467161</v>
      </c>
      <c r="S863">
        <f t="shared" si="1012"/>
        <v>1.1947027026467161</v>
      </c>
      <c r="T863">
        <f t="shared" si="1013"/>
        <v>1.1947027026467162E-3</v>
      </c>
    </row>
    <row r="864" spans="1:20" x14ac:dyDescent="0.25">
      <c r="A864" s="5">
        <v>43729</v>
      </c>
      <c r="B864">
        <v>48.86</v>
      </c>
      <c r="C864">
        <v>49.29</v>
      </c>
      <c r="D864">
        <v>47.53</v>
      </c>
      <c r="E864">
        <v>47.7</v>
      </c>
      <c r="F864">
        <v>6270.98812</v>
      </c>
      <c r="G864">
        <v>0</v>
      </c>
      <c r="L864" t="s">
        <v>7</v>
      </c>
      <c r="M864" t="s">
        <v>8</v>
      </c>
      <c r="N864" t="s">
        <v>7</v>
      </c>
      <c r="P864">
        <f t="shared" si="1009"/>
        <v>-0.80681818181817966</v>
      </c>
      <c r="Q864">
        <f t="shared" si="1010"/>
        <v>-5059.5472331818046</v>
      </c>
      <c r="R864">
        <f t="shared" si="1011"/>
        <v>124233.20412048108</v>
      </c>
      <c r="S864">
        <f t="shared" si="1012"/>
        <v>1.2423320412048109</v>
      </c>
      <c r="T864">
        <f t="shared" si="1013"/>
        <v>1.2423320412048109E-3</v>
      </c>
    </row>
    <row r="865" spans="1:20" x14ac:dyDescent="0.25">
      <c r="A865" s="5">
        <v>43728</v>
      </c>
      <c r="B865">
        <v>51.19</v>
      </c>
      <c r="C865">
        <v>51.33</v>
      </c>
      <c r="D865">
        <v>47.76</v>
      </c>
      <c r="E865">
        <v>48.87</v>
      </c>
      <c r="F865">
        <v>14469.873890000001</v>
      </c>
      <c r="G865">
        <v>0</v>
      </c>
      <c r="L865" t="s">
        <v>7</v>
      </c>
      <c r="M865" t="s">
        <v>8</v>
      </c>
      <c r="N865" t="s">
        <v>7</v>
      </c>
      <c r="P865">
        <f t="shared" si="1009"/>
        <v>-0.37815126050420206</v>
      </c>
      <c r="Q865">
        <f t="shared" si="1010"/>
        <v>-5471.8010508403422</v>
      </c>
      <c r="R865">
        <f t="shared" si="1011"/>
        <v>129292.75135366288</v>
      </c>
      <c r="S865">
        <f t="shared" si="1012"/>
        <v>1.2929275135366289</v>
      </c>
      <c r="T865">
        <f t="shared" si="1013"/>
        <v>1.2929275135366289E-3</v>
      </c>
    </row>
    <row r="866" spans="1:20" x14ac:dyDescent="0.25">
      <c r="A866" s="5">
        <v>43727</v>
      </c>
      <c r="B866">
        <v>52.73</v>
      </c>
      <c r="C866">
        <v>52.77</v>
      </c>
      <c r="D866">
        <v>48.27</v>
      </c>
      <c r="E866">
        <v>51.14</v>
      </c>
      <c r="F866">
        <v>23662.542140000001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0.27555555555555444</v>
      </c>
      <c r="Q866">
        <f t="shared" si="1010"/>
        <v>6520.3449452444183</v>
      </c>
      <c r="R866">
        <f t="shared" si="1011"/>
        <v>134764.55240450322</v>
      </c>
      <c r="S866">
        <f t="shared" si="1012"/>
        <v>1.3476455240450322</v>
      </c>
      <c r="T866">
        <f t="shared" si="1013"/>
        <v>1.3476455240450322E-3</v>
      </c>
    </row>
    <row r="867" spans="1:20" x14ac:dyDescent="0.25">
      <c r="A867" s="5">
        <v>43726</v>
      </c>
      <c r="B867">
        <v>50.75</v>
      </c>
      <c r="C867">
        <v>53.36</v>
      </c>
      <c r="D867">
        <v>50.14</v>
      </c>
      <c r="E867">
        <v>52.74</v>
      </c>
      <c r="F867">
        <v>16442.390350000001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0.61490683229813814</v>
      </c>
      <c r="Q867">
        <f t="shared" si="1010"/>
        <v>10110.538165527976</v>
      </c>
      <c r="R867">
        <f t="shared" si="1011"/>
        <v>128244.2074592588</v>
      </c>
      <c r="S867">
        <f t="shared" si="1012"/>
        <v>1.282442074592588</v>
      </c>
      <c r="T867">
        <f t="shared" si="1013"/>
        <v>1.2824420745925879E-3</v>
      </c>
    </row>
    <row r="868" spans="1:20" x14ac:dyDescent="0.25">
      <c r="A868" s="5">
        <v>43725</v>
      </c>
      <c r="B868">
        <v>48.65</v>
      </c>
      <c r="C868">
        <v>51.35</v>
      </c>
      <c r="D868">
        <v>47.47</v>
      </c>
      <c r="E868">
        <v>50.64</v>
      </c>
      <c r="F868">
        <v>13307.354600000001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0.63402061855670089</v>
      </c>
      <c r="Q868">
        <f t="shared" si="1010"/>
        <v>8437.1371948453598</v>
      </c>
      <c r="R868">
        <f t="shared" si="1011"/>
        <v>118133.66929373083</v>
      </c>
      <c r="S868">
        <f t="shared" si="1012"/>
        <v>1.1813366929373084</v>
      </c>
      <c r="T868">
        <f t="shared" si="1013"/>
        <v>1.1813366929373083E-3</v>
      </c>
    </row>
    <row r="869" spans="1:20" x14ac:dyDescent="0.25">
      <c r="A869" s="5">
        <v>43724</v>
      </c>
      <c r="B869">
        <v>46.63</v>
      </c>
      <c r="C869">
        <v>49.93</v>
      </c>
      <c r="D869">
        <v>46.61</v>
      </c>
      <c r="E869">
        <v>48.62</v>
      </c>
      <c r="F869">
        <v>12755.0571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0.21084337349397461</v>
      </c>
      <c r="Q869">
        <f t="shared" si="1010"/>
        <v>2689.3192680722727</v>
      </c>
      <c r="R869">
        <f t="shared" si="1011"/>
        <v>109696.53209888547</v>
      </c>
      <c r="S869">
        <f t="shared" si="1012"/>
        <v>1.0969653209888546</v>
      </c>
      <c r="T869">
        <f t="shared" si="1013"/>
        <v>1.0969653209888545E-3</v>
      </c>
    </row>
    <row r="870" spans="1:20" x14ac:dyDescent="0.25">
      <c r="A870" s="5">
        <v>43723</v>
      </c>
      <c r="B870">
        <v>46.25</v>
      </c>
      <c r="C870">
        <v>47.61</v>
      </c>
      <c r="D870">
        <v>45.64</v>
      </c>
      <c r="E870">
        <v>46.63</v>
      </c>
      <c r="F870">
        <v>8409.9251999999997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5.0761421319822954E-3</v>
      </c>
      <c r="Q870">
        <f t="shared" si="1010"/>
        <v>42.689975634539628</v>
      </c>
      <c r="R870">
        <f t="shared" si="1011"/>
        <v>107007.21283081319</v>
      </c>
      <c r="S870">
        <f t="shared" si="1012"/>
        <v>1.070072128308132</v>
      </c>
      <c r="T870">
        <f t="shared" si="1013"/>
        <v>1.070072128308132E-3</v>
      </c>
    </row>
    <row r="871" spans="1:20" x14ac:dyDescent="0.25">
      <c r="A871" s="5">
        <v>43722</v>
      </c>
      <c r="B871">
        <v>44.63</v>
      </c>
      <c r="C871">
        <v>46.84</v>
      </c>
      <c r="D871">
        <v>44.34</v>
      </c>
      <c r="E871">
        <v>46.19</v>
      </c>
      <c r="F871">
        <v>6776.2915300000004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0.47999999999999543</v>
      </c>
      <c r="Q871">
        <f t="shared" si="1010"/>
        <v>3252.6199343999692</v>
      </c>
      <c r="R871">
        <f t="shared" si="1011"/>
        <v>106964.52285517866</v>
      </c>
      <c r="S871">
        <f t="shared" si="1012"/>
        <v>1.0696452285517866</v>
      </c>
      <c r="T871">
        <f t="shared" si="1013"/>
        <v>1.0696452285517866E-3</v>
      </c>
    </row>
    <row r="872" spans="1:20" x14ac:dyDescent="0.25">
      <c r="A872" s="5">
        <v>43721</v>
      </c>
      <c r="B872">
        <v>44.52</v>
      </c>
      <c r="C872">
        <v>44.73</v>
      </c>
      <c r="D872">
        <v>43.65</v>
      </c>
      <c r="E872">
        <v>44.65</v>
      </c>
      <c r="F872">
        <v>10178.23588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0.85185185185185475</v>
      </c>
      <c r="Q872">
        <f t="shared" si="1010"/>
        <v>8670.3490829629918</v>
      </c>
      <c r="R872">
        <f t="shared" si="1011"/>
        <v>103711.90292077868</v>
      </c>
      <c r="S872">
        <f t="shared" si="1012"/>
        <v>1.0371190292077868</v>
      </c>
      <c r="T872">
        <f t="shared" si="1013"/>
        <v>1.0371190292077868E-3</v>
      </c>
    </row>
    <row r="873" spans="1:20" x14ac:dyDescent="0.25">
      <c r="A873" s="5">
        <v>43720</v>
      </c>
      <c r="B873">
        <v>44.39</v>
      </c>
      <c r="C873">
        <v>44.82</v>
      </c>
      <c r="D873">
        <v>43.48</v>
      </c>
      <c r="E873">
        <v>44.6</v>
      </c>
      <c r="F873">
        <v>5230.2190499999997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0.67164179104477861</v>
      </c>
      <c r="Q873">
        <f t="shared" si="1010"/>
        <v>3512.8336902985202</v>
      </c>
      <c r="R873">
        <f t="shared" si="1011"/>
        <v>95041.553837815693</v>
      </c>
      <c r="S873">
        <f t="shared" si="1012"/>
        <v>0.95041553837815695</v>
      </c>
      <c r="T873">
        <f t="shared" si="1013"/>
        <v>9.5041553837815697E-4</v>
      </c>
    </row>
    <row r="874" spans="1:20" x14ac:dyDescent="0.25">
      <c r="A874" s="5">
        <v>43719</v>
      </c>
      <c r="B874">
        <v>44.93</v>
      </c>
      <c r="C874">
        <v>45.68</v>
      </c>
      <c r="D874">
        <v>44.06</v>
      </c>
      <c r="E874">
        <v>44.32</v>
      </c>
      <c r="F874">
        <v>5449.78035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-0.67901234567901425</v>
      </c>
      <c r="Q874">
        <f t="shared" si="1010"/>
        <v>-3700.4681388888994</v>
      </c>
      <c r="R874">
        <f t="shared" si="1011"/>
        <v>91528.720147517175</v>
      </c>
      <c r="S874">
        <f t="shared" si="1012"/>
        <v>0.91528720147517173</v>
      </c>
      <c r="T874">
        <f t="shared" si="1013"/>
        <v>9.152872014751717E-4</v>
      </c>
    </row>
    <row r="875" spans="1:20" x14ac:dyDescent="0.25">
      <c r="A875" s="5">
        <v>43718</v>
      </c>
      <c r="B875">
        <v>46.98</v>
      </c>
      <c r="C875">
        <v>47.43</v>
      </c>
      <c r="D875">
        <v>44.53</v>
      </c>
      <c r="E875">
        <v>44.93</v>
      </c>
      <c r="F875">
        <v>7219.7953200000002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-0.72413793103448365</v>
      </c>
      <c r="Q875">
        <f t="shared" si="1010"/>
        <v>-5228.1276455172483</v>
      </c>
      <c r="R875">
        <f t="shared" si="1011"/>
        <v>95229.188286406075</v>
      </c>
      <c r="S875">
        <f t="shared" si="1012"/>
        <v>0.95229188286406075</v>
      </c>
      <c r="T875">
        <f t="shared" si="1013"/>
        <v>9.522918828640608E-4</v>
      </c>
    </row>
    <row r="876" spans="1:20" x14ac:dyDescent="0.25">
      <c r="A876" s="5">
        <v>43717</v>
      </c>
      <c r="B876">
        <v>48.28</v>
      </c>
      <c r="C876">
        <v>48.31</v>
      </c>
      <c r="D876">
        <v>45.36</v>
      </c>
      <c r="E876">
        <v>47.1</v>
      </c>
      <c r="F876">
        <v>13557.15287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0.17966101694915276</v>
      </c>
      <c r="Q876">
        <f t="shared" si="1010"/>
        <v>2435.6918715593251</v>
      </c>
      <c r="R876">
        <f t="shared" si="1011"/>
        <v>100457.31593192332</v>
      </c>
      <c r="S876">
        <f t="shared" si="1012"/>
        <v>1.0045731593192333</v>
      </c>
      <c r="T876">
        <f t="shared" si="1013"/>
        <v>1.0045731593192333E-3</v>
      </c>
    </row>
    <row r="877" spans="1:20" x14ac:dyDescent="0.25">
      <c r="A877" s="5">
        <v>43716</v>
      </c>
      <c r="B877">
        <v>47</v>
      </c>
      <c r="C877">
        <v>48.66</v>
      </c>
      <c r="D877">
        <v>47</v>
      </c>
      <c r="E877">
        <v>48.28</v>
      </c>
      <c r="F877">
        <v>9104.8634099999999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0.5421686746987997</v>
      </c>
      <c r="Q877">
        <f t="shared" si="1010"/>
        <v>4936.3717283132937</v>
      </c>
      <c r="R877">
        <f t="shared" si="1011"/>
        <v>98021.624060364004</v>
      </c>
      <c r="S877">
        <f t="shared" si="1012"/>
        <v>0.98021624060363999</v>
      </c>
      <c r="T877">
        <f t="shared" si="1013"/>
        <v>9.8021624060363999E-4</v>
      </c>
    </row>
    <row r="878" spans="1:20" x14ac:dyDescent="0.25">
      <c r="A878" s="5">
        <v>43715</v>
      </c>
      <c r="B878">
        <v>45.89</v>
      </c>
      <c r="C878">
        <v>47.25</v>
      </c>
      <c r="D878">
        <v>45.08</v>
      </c>
      <c r="E878">
        <v>46.98</v>
      </c>
      <c r="F878">
        <v>8770.14977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0.7511520737327162</v>
      </c>
      <c r="Q878">
        <f t="shared" si="1010"/>
        <v>6587.7161866820043</v>
      </c>
      <c r="R878">
        <f t="shared" si="1011"/>
        <v>93085.252332050717</v>
      </c>
      <c r="S878">
        <f t="shared" si="1012"/>
        <v>0.93085252332050716</v>
      </c>
      <c r="T878">
        <f t="shared" si="1013"/>
        <v>9.3085252332050718E-4</v>
      </c>
    </row>
    <row r="879" spans="1:20" x14ac:dyDescent="0.25">
      <c r="A879" s="5">
        <v>43714</v>
      </c>
      <c r="B879">
        <v>44.9</v>
      </c>
      <c r="C879">
        <v>47.02</v>
      </c>
      <c r="D879">
        <v>44.21</v>
      </c>
      <c r="E879">
        <v>45.86</v>
      </c>
      <c r="F879">
        <v>13564.679700000001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0.17437722419928631</v>
      </c>
      <c r="Q879">
        <f t="shared" si="1010"/>
        <v>2365.3711932384076</v>
      </c>
      <c r="R879">
        <f t="shared" si="1011"/>
        <v>86497.536145368707</v>
      </c>
      <c r="S879">
        <f t="shared" si="1012"/>
        <v>0.86497536145368703</v>
      </c>
      <c r="T879">
        <f t="shared" si="1013"/>
        <v>8.64975361453687E-4</v>
      </c>
    </row>
    <row r="880" spans="1:20" x14ac:dyDescent="0.25">
      <c r="A880" s="5">
        <v>43713</v>
      </c>
      <c r="B880">
        <v>44.83</v>
      </c>
      <c r="C880">
        <v>45.33</v>
      </c>
      <c r="D880">
        <v>44.6</v>
      </c>
      <c r="E880">
        <v>44.98</v>
      </c>
      <c r="F880">
        <v>5720.5337499999996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4.1095890410950901E-2</v>
      </c>
      <c r="Q880">
        <f t="shared" si="1010"/>
        <v>235.09042808214599</v>
      </c>
      <c r="R880">
        <f t="shared" si="1011"/>
        <v>84132.164952130304</v>
      </c>
      <c r="S880">
        <f t="shared" si="1012"/>
        <v>0.84132164952130306</v>
      </c>
      <c r="T880">
        <f t="shared" si="1013"/>
        <v>8.4132164952130308E-4</v>
      </c>
    </row>
    <row r="881" spans="1:20" x14ac:dyDescent="0.25">
      <c r="A881" s="5">
        <v>43712</v>
      </c>
      <c r="B881">
        <v>45.49</v>
      </c>
      <c r="C881">
        <v>46.07</v>
      </c>
      <c r="D881">
        <v>44.49</v>
      </c>
      <c r="E881">
        <v>44.83</v>
      </c>
      <c r="F881">
        <v>6748.8929500000004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-0.56962025316456122</v>
      </c>
      <c r="Q881">
        <f t="shared" si="1010"/>
        <v>-3844.3061107595227</v>
      </c>
      <c r="R881">
        <f t="shared" si="1011"/>
        <v>83897.074524048163</v>
      </c>
      <c r="S881">
        <f t="shared" si="1012"/>
        <v>0.83897074524048165</v>
      </c>
      <c r="T881">
        <f t="shared" si="1013"/>
        <v>8.389707452404816E-4</v>
      </c>
    </row>
    <row r="882" spans="1:20" x14ac:dyDescent="0.25">
      <c r="A882" s="5">
        <v>43711</v>
      </c>
      <c r="B882">
        <v>46.82</v>
      </c>
      <c r="C882">
        <v>46.95</v>
      </c>
      <c r="D882">
        <v>45.08</v>
      </c>
      <c r="E882">
        <v>45.7</v>
      </c>
      <c r="F882">
        <v>13634.998180000001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-0.33689839572192187</v>
      </c>
      <c r="Q882">
        <f t="shared" si="1010"/>
        <v>-4593.6090125133251</v>
      </c>
      <c r="R882">
        <f t="shared" si="1011"/>
        <v>87741.380634807691</v>
      </c>
      <c r="S882">
        <f t="shared" si="1012"/>
        <v>0.87741380634807686</v>
      </c>
      <c r="T882">
        <f t="shared" si="1013"/>
        <v>8.7741380634807692E-4</v>
      </c>
    </row>
    <row r="883" spans="1:20" x14ac:dyDescent="0.25">
      <c r="A883" s="5">
        <v>43710</v>
      </c>
      <c r="B883">
        <v>45.23</v>
      </c>
      <c r="C883">
        <v>47.55</v>
      </c>
      <c r="D883">
        <v>44.71</v>
      </c>
      <c r="E883">
        <v>46.82</v>
      </c>
      <c r="F883">
        <v>7076.3504499999999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0.485915492957748</v>
      </c>
      <c r="Q883">
        <f t="shared" si="1010"/>
        <v>3438.5083172535319</v>
      </c>
      <c r="R883">
        <f t="shared" si="1011"/>
        <v>92334.98964732101</v>
      </c>
      <c r="S883">
        <f t="shared" si="1012"/>
        <v>0.92334989647321009</v>
      </c>
      <c r="T883">
        <f t="shared" si="1013"/>
        <v>9.2334989647321008E-4</v>
      </c>
    </row>
    <row r="884" spans="1:20" x14ac:dyDescent="0.25">
      <c r="A884" s="5">
        <v>43709</v>
      </c>
      <c r="B884">
        <v>44.66</v>
      </c>
      <c r="C884">
        <v>45.62</v>
      </c>
      <c r="D884">
        <v>44.33</v>
      </c>
      <c r="E884">
        <v>45.21</v>
      </c>
      <c r="F884">
        <v>3540.9331099999999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0.3643410852713227</v>
      </c>
      <c r="Q884">
        <f t="shared" si="1010"/>
        <v>1290.1074121705599</v>
      </c>
      <c r="R884">
        <f t="shared" si="1011"/>
        <v>88896.481330067472</v>
      </c>
      <c r="S884">
        <f t="shared" si="1012"/>
        <v>0.88896481330067467</v>
      </c>
      <c r="T884">
        <f t="shared" si="1013"/>
        <v>8.8896481330067465E-4</v>
      </c>
    </row>
    <row r="885" spans="1:20" x14ac:dyDescent="0.25">
      <c r="A885" s="5">
        <v>43708</v>
      </c>
      <c r="B885">
        <v>44.51</v>
      </c>
      <c r="C885">
        <v>45.11</v>
      </c>
      <c r="D885">
        <v>43.94</v>
      </c>
      <c r="E885">
        <v>44.6</v>
      </c>
      <c r="F885">
        <v>3172.2071599999999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0.12820512820513288</v>
      </c>
      <c r="Q885">
        <f t="shared" si="1010"/>
        <v>406.6932256410405</v>
      </c>
      <c r="R885">
        <f t="shared" si="1011"/>
        <v>87606.373917896912</v>
      </c>
      <c r="S885">
        <f t="shared" si="1012"/>
        <v>0.87606373917896907</v>
      </c>
      <c r="T885">
        <f t="shared" si="1013"/>
        <v>8.7606373917896907E-4</v>
      </c>
    </row>
    <row r="886" spans="1:20" x14ac:dyDescent="0.25">
      <c r="A886" s="5">
        <v>43707</v>
      </c>
      <c r="B886">
        <v>44.97</v>
      </c>
      <c r="C886">
        <v>45.34</v>
      </c>
      <c r="D886">
        <v>43.73</v>
      </c>
      <c r="E886">
        <v>44.54</v>
      </c>
      <c r="F886">
        <v>5860.1727099999998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6.2111801242223418E-3</v>
      </c>
      <c r="Q886">
        <f t="shared" si="1010"/>
        <v>36.398588260862176</v>
      </c>
      <c r="R886">
        <f t="shared" si="1011"/>
        <v>87199.680692255875</v>
      </c>
      <c r="S886">
        <f t="shared" si="1012"/>
        <v>0.87199680692255876</v>
      </c>
      <c r="T886">
        <f t="shared" si="1013"/>
        <v>8.7199680692255882E-4</v>
      </c>
    </row>
    <row r="887" spans="1:20" x14ac:dyDescent="0.25">
      <c r="A887" s="5">
        <v>43706</v>
      </c>
      <c r="B887">
        <v>46.45</v>
      </c>
      <c r="C887">
        <v>46.57</v>
      </c>
      <c r="D887">
        <v>43.77</v>
      </c>
      <c r="E887">
        <v>44.98</v>
      </c>
      <c r="F887">
        <v>11929.531929999999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-0.13571428571428931</v>
      </c>
      <c r="Q887">
        <f t="shared" si="1010"/>
        <v>-1619.0079047857571</v>
      </c>
      <c r="R887">
        <f t="shared" si="1011"/>
        <v>87163.282103995007</v>
      </c>
      <c r="S887">
        <f t="shared" si="1012"/>
        <v>0.8716328210399501</v>
      </c>
      <c r="T887">
        <f t="shared" si="1013"/>
        <v>8.7163282103995012E-4</v>
      </c>
    </row>
    <row r="888" spans="1:20" x14ac:dyDescent="0.25">
      <c r="A888" s="5">
        <v>43705</v>
      </c>
      <c r="B888">
        <v>50.43</v>
      </c>
      <c r="C888">
        <v>50.49</v>
      </c>
      <c r="D888">
        <v>45.71</v>
      </c>
      <c r="E888">
        <v>46.42</v>
      </c>
      <c r="F888">
        <v>6841.6504500000001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-0.70292887029288675</v>
      </c>
      <c r="Q888">
        <f t="shared" si="1010"/>
        <v>-4809.1936217573202</v>
      </c>
      <c r="R888">
        <f t="shared" si="1011"/>
        <v>88782.290008780765</v>
      </c>
      <c r="S888">
        <f t="shared" si="1012"/>
        <v>0.88782290008780762</v>
      </c>
      <c r="T888">
        <f t="shared" si="1013"/>
        <v>8.8782290008780759E-4</v>
      </c>
    </row>
    <row r="889" spans="1:20" x14ac:dyDescent="0.25">
      <c r="A889" s="5">
        <v>43704</v>
      </c>
      <c r="B889">
        <v>51.56</v>
      </c>
      <c r="C889">
        <v>51.6</v>
      </c>
      <c r="D889">
        <v>50.06</v>
      </c>
      <c r="E889">
        <v>50.5</v>
      </c>
      <c r="F889">
        <v>6345.3842500000001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-0.42857142857143121</v>
      </c>
      <c r="Q889">
        <f t="shared" si="1010"/>
        <v>-2719.4503928571598</v>
      </c>
      <c r="R889">
        <f t="shared" si="1011"/>
        <v>93591.483630538089</v>
      </c>
      <c r="S889">
        <f t="shared" si="1012"/>
        <v>0.93591483630538086</v>
      </c>
      <c r="T889">
        <f t="shared" si="1013"/>
        <v>9.3591483630538089E-4</v>
      </c>
    </row>
    <row r="890" spans="1:20" x14ac:dyDescent="0.25">
      <c r="A890" s="5">
        <v>43703</v>
      </c>
      <c r="B890">
        <v>50.26</v>
      </c>
      <c r="C890">
        <v>53.59</v>
      </c>
      <c r="D890">
        <v>50.26</v>
      </c>
      <c r="E890">
        <v>51.47</v>
      </c>
      <c r="F890">
        <v>12350.575360000001</v>
      </c>
      <c r="G890">
        <v>0</v>
      </c>
      <c r="L890" t="s">
        <v>8</v>
      </c>
      <c r="M890" t="s">
        <v>7</v>
      </c>
      <c r="N890" t="s">
        <v>7</v>
      </c>
      <c r="P890">
        <f t="shared" si="1009"/>
        <v>-0.27327327327327394</v>
      </c>
      <c r="Q890">
        <f t="shared" si="1010"/>
        <v>-3375.0821554354438</v>
      </c>
      <c r="R890">
        <f t="shared" si="1011"/>
        <v>96310.934023395253</v>
      </c>
      <c r="S890">
        <f t="shared" si="1012"/>
        <v>0.96310934023395256</v>
      </c>
      <c r="T890">
        <f t="shared" si="1013"/>
        <v>9.6310934023395253E-4</v>
      </c>
    </row>
    <row r="891" spans="1:20" x14ac:dyDescent="0.25">
      <c r="A891" s="5">
        <v>43702</v>
      </c>
      <c r="B891">
        <v>50.24</v>
      </c>
      <c r="C891">
        <v>51.23</v>
      </c>
      <c r="D891">
        <v>49.5</v>
      </c>
      <c r="E891">
        <v>50.15</v>
      </c>
      <c r="F891">
        <v>7167.5297600000004</v>
      </c>
      <c r="G891">
        <v>0</v>
      </c>
      <c r="L891" t="s">
        <v>8</v>
      </c>
      <c r="M891" t="s">
        <v>7</v>
      </c>
      <c r="N891" t="s">
        <v>7</v>
      </c>
      <c r="P891">
        <f t="shared" si="1009"/>
        <v>-0.24855491329479798</v>
      </c>
      <c r="Q891">
        <f t="shared" si="1010"/>
        <v>-1781.5247380346843</v>
      </c>
      <c r="R891">
        <f t="shared" si="1011"/>
        <v>99686.016178830701</v>
      </c>
      <c r="S891">
        <f t="shared" si="1012"/>
        <v>0.99686016178830705</v>
      </c>
      <c r="T891">
        <f t="shared" si="1013"/>
        <v>9.9686016178830695E-4</v>
      </c>
    </row>
    <row r="892" spans="1:20" x14ac:dyDescent="0.25">
      <c r="A892" s="5">
        <v>43701</v>
      </c>
      <c r="B892">
        <v>51</v>
      </c>
      <c r="C892">
        <v>51.4</v>
      </c>
      <c r="D892">
        <v>48.98</v>
      </c>
      <c r="E892">
        <v>50.1</v>
      </c>
      <c r="F892">
        <v>4715.9186499999996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-7.4380165289253092E-2</v>
      </c>
      <c r="Q892">
        <f t="shared" si="1010"/>
        <v>-350.77080867767125</v>
      </c>
      <c r="R892">
        <f t="shared" si="1011"/>
        <v>101467.54091686539</v>
      </c>
      <c r="S892">
        <f t="shared" si="1012"/>
        <v>1.0146754091686538</v>
      </c>
      <c r="T892">
        <f t="shared" si="1013"/>
        <v>1.0146754091686539E-3</v>
      </c>
    </row>
    <row r="893" spans="1:20" x14ac:dyDescent="0.25">
      <c r="A893" s="5">
        <v>43700</v>
      </c>
      <c r="B893">
        <v>50.61</v>
      </c>
      <c r="C893">
        <v>51.5</v>
      </c>
      <c r="D893">
        <v>50</v>
      </c>
      <c r="E893">
        <v>50.85</v>
      </c>
      <c r="F893">
        <v>7166.1732199999997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0.13333333333333522</v>
      </c>
      <c r="Q893">
        <f t="shared" si="1010"/>
        <v>955.48976266668012</v>
      </c>
      <c r="R893">
        <f t="shared" si="1011"/>
        <v>101818.31172554306</v>
      </c>
      <c r="S893">
        <f t="shared" si="1012"/>
        <v>1.0181831172554305</v>
      </c>
      <c r="T893">
        <f t="shared" si="1013"/>
        <v>1.0181831172554306E-3</v>
      </c>
    </row>
    <row r="894" spans="1:20" x14ac:dyDescent="0.25">
      <c r="A894" s="5">
        <v>43699</v>
      </c>
      <c r="B894">
        <v>50.01</v>
      </c>
      <c r="C894">
        <v>51.29</v>
      </c>
      <c r="D894">
        <v>48.16</v>
      </c>
      <c r="E894">
        <v>50.77</v>
      </c>
      <c r="F894">
        <v>7890.4187000000002</v>
      </c>
      <c r="G894">
        <v>0</v>
      </c>
      <c r="L894" t="s">
        <v>7</v>
      </c>
      <c r="M894" t="s">
        <v>7</v>
      </c>
      <c r="N894" t="s">
        <v>7</v>
      </c>
      <c r="P894">
        <f t="shared" si="1009"/>
        <v>0.66773162939297404</v>
      </c>
      <c r="Q894">
        <f t="shared" si="1010"/>
        <v>5268.682135143792</v>
      </c>
      <c r="R894">
        <f t="shared" si="1011"/>
        <v>100862.82196287638</v>
      </c>
      <c r="S894">
        <f t="shared" si="1012"/>
        <v>1.0086282196287637</v>
      </c>
      <c r="T894">
        <f t="shared" si="1013"/>
        <v>1.0086282196287637E-3</v>
      </c>
    </row>
    <row r="895" spans="1:20" x14ac:dyDescent="0.25">
      <c r="A895" s="5">
        <v>43698</v>
      </c>
      <c r="B895">
        <v>51.93</v>
      </c>
      <c r="C895">
        <v>52.05</v>
      </c>
      <c r="D895">
        <v>48.32</v>
      </c>
      <c r="E895">
        <v>49.79</v>
      </c>
      <c r="F895">
        <v>8702.6265299999995</v>
      </c>
      <c r="G895">
        <v>0</v>
      </c>
      <c r="L895" t="s">
        <v>7</v>
      </c>
      <c r="M895" t="s">
        <v>7</v>
      </c>
      <c r="N895" t="s">
        <v>7</v>
      </c>
      <c r="P895">
        <f t="shared" si="1009"/>
        <v>-0.21179624664879351</v>
      </c>
      <c r="Q895">
        <f t="shared" si="1010"/>
        <v>-1843.1836350402139</v>
      </c>
      <c r="R895">
        <f t="shared" si="1011"/>
        <v>95594.139827732579</v>
      </c>
      <c r="S895">
        <f t="shared" si="1012"/>
        <v>0.95594139827732583</v>
      </c>
      <c r="T895">
        <f t="shared" si="1013"/>
        <v>9.5594139827732581E-4</v>
      </c>
    </row>
    <row r="896" spans="1:20" x14ac:dyDescent="0.25">
      <c r="A896" s="5">
        <v>43697</v>
      </c>
      <c r="B896">
        <v>54.28</v>
      </c>
      <c r="C896">
        <v>54.28</v>
      </c>
      <c r="D896">
        <v>51.38</v>
      </c>
      <c r="E896">
        <v>51.99</v>
      </c>
      <c r="F896">
        <v>4953.5580099999997</v>
      </c>
      <c r="G896">
        <v>0</v>
      </c>
      <c r="L896" t="s">
        <v>8</v>
      </c>
      <c r="M896" t="s">
        <v>7</v>
      </c>
      <c r="N896" t="s">
        <v>7</v>
      </c>
      <c r="P896">
        <f t="shared" si="1009"/>
        <v>-0.57931034482758637</v>
      </c>
      <c r="Q896">
        <f t="shared" si="1010"/>
        <v>-2869.6473988965522</v>
      </c>
      <c r="R896">
        <f t="shared" si="1011"/>
        <v>97437.323462772794</v>
      </c>
      <c r="S896">
        <f t="shared" si="1012"/>
        <v>0.97437323462772796</v>
      </c>
      <c r="T896">
        <f t="shared" si="1013"/>
        <v>9.74373234627728E-4</v>
      </c>
    </row>
    <row r="897" spans="1:20" x14ac:dyDescent="0.25">
      <c r="A897" s="5">
        <v>43696</v>
      </c>
      <c r="B897">
        <v>52.68</v>
      </c>
      <c r="C897">
        <v>54.48</v>
      </c>
      <c r="D897">
        <v>51.67</v>
      </c>
      <c r="E897">
        <v>54.3</v>
      </c>
      <c r="F897">
        <v>8255.2431500000002</v>
      </c>
      <c r="G897">
        <v>0</v>
      </c>
      <c r="L897" t="s">
        <v>8</v>
      </c>
      <c r="M897" t="s">
        <v>7</v>
      </c>
      <c r="N897" t="s">
        <v>7</v>
      </c>
      <c r="P897">
        <f t="shared" si="1009"/>
        <v>0.87188612099644125</v>
      </c>
      <c r="Q897">
        <f t="shared" si="1010"/>
        <v>7197.6319279359432</v>
      </c>
      <c r="R897">
        <f t="shared" si="1011"/>
        <v>100306.97086166935</v>
      </c>
      <c r="S897">
        <f t="shared" si="1012"/>
        <v>1.0030697086166935</v>
      </c>
      <c r="T897">
        <f t="shared" si="1013"/>
        <v>1.0030697086166936E-3</v>
      </c>
    </row>
    <row r="898" spans="1:20" x14ac:dyDescent="0.25">
      <c r="A898" s="5">
        <v>43695</v>
      </c>
      <c r="B898">
        <v>50.03</v>
      </c>
      <c r="C898">
        <v>53.45</v>
      </c>
      <c r="D898">
        <v>50.03</v>
      </c>
      <c r="E898">
        <v>52.62</v>
      </c>
      <c r="F898">
        <v>8869.3672299999998</v>
      </c>
      <c r="G898">
        <v>0</v>
      </c>
      <c r="L898" t="s">
        <v>8</v>
      </c>
      <c r="M898" t="s">
        <v>7</v>
      </c>
      <c r="N898" t="s">
        <v>7</v>
      </c>
      <c r="P898">
        <f t="shared" si="1009"/>
        <v>0.51461988304093276</v>
      </c>
      <c r="Q898">
        <f t="shared" si="1010"/>
        <v>4564.3527265496814</v>
      </c>
      <c r="R898">
        <f t="shared" si="1011"/>
        <v>93109.338933733408</v>
      </c>
      <c r="S898">
        <f t="shared" si="1012"/>
        <v>0.9310933893373341</v>
      </c>
      <c r="T898">
        <f t="shared" si="1013"/>
        <v>9.310933893373341E-4</v>
      </c>
    </row>
    <row r="899" spans="1:20" x14ac:dyDescent="0.25">
      <c r="A899" s="5">
        <v>43694</v>
      </c>
      <c r="B899">
        <v>48.85</v>
      </c>
      <c r="C899">
        <v>50.25</v>
      </c>
      <c r="D899">
        <v>47.52</v>
      </c>
      <c r="E899">
        <v>50.01</v>
      </c>
      <c r="F899">
        <v>8245.9225499999993</v>
      </c>
      <c r="G899">
        <v>0</v>
      </c>
      <c r="L899" t="s">
        <v>7</v>
      </c>
      <c r="M899" t="s">
        <v>7</v>
      </c>
      <c r="N899" t="s">
        <v>7</v>
      </c>
      <c r="P899">
        <f t="shared" si="1009"/>
        <v>0.82417582417582247</v>
      </c>
      <c r="Q899">
        <f t="shared" si="1010"/>
        <v>6796.0900137362487</v>
      </c>
      <c r="R899">
        <f t="shared" si="1011"/>
        <v>88544.986207183727</v>
      </c>
      <c r="S899">
        <f t="shared" si="1012"/>
        <v>0.88544986207183729</v>
      </c>
      <c r="T899">
        <f t="shared" si="1013"/>
        <v>8.8544986207183727E-4</v>
      </c>
    </row>
    <row r="900" spans="1:20" x14ac:dyDescent="0.25">
      <c r="A900" s="5">
        <v>43693</v>
      </c>
      <c r="B900">
        <v>50.57</v>
      </c>
      <c r="C900">
        <v>51.15</v>
      </c>
      <c r="D900">
        <v>48.3</v>
      </c>
      <c r="E900">
        <v>48.88</v>
      </c>
      <c r="F900">
        <v>9923.3297299999995</v>
      </c>
      <c r="G900">
        <v>0</v>
      </c>
      <c r="L900" t="s">
        <v>7</v>
      </c>
      <c r="M900" t="s">
        <v>7</v>
      </c>
      <c r="N900" t="s">
        <v>7</v>
      </c>
      <c r="P900">
        <f t="shared" si="1009"/>
        <v>-0.59298245614034728</v>
      </c>
      <c r="Q900">
        <f t="shared" si="1010"/>
        <v>-5884.3604363859286</v>
      </c>
      <c r="R900">
        <f t="shared" si="1011"/>
        <v>81748.896193447479</v>
      </c>
      <c r="S900">
        <f t="shared" si="1012"/>
        <v>0.81748896193447484</v>
      </c>
      <c r="T900">
        <f t="shared" si="1013"/>
        <v>8.174889619344749E-4</v>
      </c>
    </row>
    <row r="901" spans="1:20" x14ac:dyDescent="0.25">
      <c r="A901" s="5">
        <v>43692</v>
      </c>
      <c r="B901">
        <v>50.63</v>
      </c>
      <c r="C901">
        <v>51.54</v>
      </c>
      <c r="D901">
        <v>49.4</v>
      </c>
      <c r="E901">
        <v>50.57</v>
      </c>
      <c r="F901">
        <v>11658.85269</v>
      </c>
      <c r="G901">
        <v>0</v>
      </c>
      <c r="L901" t="s">
        <v>7</v>
      </c>
      <c r="M901" t="s">
        <v>7</v>
      </c>
      <c r="N901" t="s">
        <v>7</v>
      </c>
      <c r="P901">
        <f t="shared" si="1009"/>
        <v>9.3457943925234946E-2</v>
      </c>
      <c r="Q901">
        <f t="shared" si="1010"/>
        <v>1089.6124009345947</v>
      </c>
      <c r="R901">
        <f t="shared" si="1011"/>
        <v>87633.256629833413</v>
      </c>
      <c r="S901">
        <f t="shared" si="1012"/>
        <v>0.87633256629833411</v>
      </c>
      <c r="T901">
        <f t="shared" si="1013"/>
        <v>8.7633256629833414E-4</v>
      </c>
    </row>
    <row r="902" spans="1:20" x14ac:dyDescent="0.25">
      <c r="A902" s="5">
        <v>43691</v>
      </c>
      <c r="B902">
        <v>55.51</v>
      </c>
      <c r="C902">
        <v>57.17</v>
      </c>
      <c r="D902">
        <v>50.3</v>
      </c>
      <c r="E902">
        <v>50.56</v>
      </c>
      <c r="F902">
        <v>20502.62299</v>
      </c>
      <c r="G902">
        <v>0</v>
      </c>
      <c r="L902" t="s">
        <v>7</v>
      </c>
      <c r="M902" t="s">
        <v>7</v>
      </c>
      <c r="N902" t="s">
        <v>7</v>
      </c>
      <c r="P902">
        <f t="shared" ref="P902:P965" si="1014">IF(C902=D902,0,((E902-D902)-(C902-E902))/(C902-D902))</f>
        <v>-0.92430858806404514</v>
      </c>
      <c r="Q902">
        <f t="shared" ref="Q902:Q965" si="1015">F902*P902</f>
        <v>-18950.75050749633</v>
      </c>
      <c r="R902">
        <f t="shared" ref="R902:R965" si="1016">R903+Q902</f>
        <v>86543.644228898818</v>
      </c>
      <c r="S902">
        <f t="shared" ref="S902:S965" si="1017">R902/100000</f>
        <v>0.86543644228898819</v>
      </c>
      <c r="T902">
        <f t="shared" ref="T902:T965" si="1018">S902/1000</f>
        <v>8.6543644228898823E-4</v>
      </c>
    </row>
    <row r="903" spans="1:20" x14ac:dyDescent="0.25">
      <c r="A903" s="5">
        <v>43690</v>
      </c>
      <c r="B903">
        <v>56.85</v>
      </c>
      <c r="C903">
        <v>57.13</v>
      </c>
      <c r="D903">
        <v>54.93</v>
      </c>
      <c r="E903">
        <v>55.45</v>
      </c>
      <c r="F903">
        <v>10870.87645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-0.52727272727272501</v>
      </c>
      <c r="Q903">
        <f t="shared" si="1015"/>
        <v>-5731.9166736363386</v>
      </c>
      <c r="R903">
        <f t="shared" si="1016"/>
        <v>105494.39473639514</v>
      </c>
      <c r="S903">
        <f t="shared" si="1017"/>
        <v>1.0549439473639515</v>
      </c>
      <c r="T903">
        <f t="shared" si="1018"/>
        <v>1.0549439473639514E-3</v>
      </c>
    </row>
    <row r="904" spans="1:20" x14ac:dyDescent="0.25">
      <c r="A904" s="5">
        <v>43689</v>
      </c>
      <c r="B904">
        <v>60.01</v>
      </c>
      <c r="C904">
        <v>60.08</v>
      </c>
      <c r="D904">
        <v>56.73</v>
      </c>
      <c r="E904">
        <v>56.85</v>
      </c>
      <c r="F904">
        <v>9349.5474799999993</v>
      </c>
      <c r="G904">
        <v>0</v>
      </c>
      <c r="L904" t="s">
        <v>7</v>
      </c>
      <c r="M904" t="s">
        <v>7</v>
      </c>
      <c r="N904" t="s">
        <v>7</v>
      </c>
      <c r="P904">
        <f t="shared" si="1014"/>
        <v>-0.92835820895522114</v>
      </c>
      <c r="Q904">
        <f t="shared" si="1015"/>
        <v>-8679.7291530746006</v>
      </c>
      <c r="R904">
        <f t="shared" si="1016"/>
        <v>111226.31141003149</v>
      </c>
      <c r="S904">
        <f t="shared" si="1017"/>
        <v>1.1122631141003148</v>
      </c>
      <c r="T904">
        <f t="shared" si="1018"/>
        <v>1.1122631141003148E-3</v>
      </c>
    </row>
    <row r="905" spans="1:20" x14ac:dyDescent="0.25">
      <c r="A905" s="5">
        <v>43688</v>
      </c>
      <c r="B905">
        <v>56.7</v>
      </c>
      <c r="C905">
        <v>60.57</v>
      </c>
      <c r="D905">
        <v>56.68</v>
      </c>
      <c r="E905">
        <v>59.91</v>
      </c>
      <c r="F905">
        <v>11059.129080000001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0.66066838046272314</v>
      </c>
      <c r="Q905">
        <f t="shared" si="1015"/>
        <v>7306.4168986118057</v>
      </c>
      <c r="R905">
        <f t="shared" si="1016"/>
        <v>119906.04056310609</v>
      </c>
      <c r="S905">
        <f t="shared" si="1017"/>
        <v>1.1990604056310608</v>
      </c>
      <c r="T905">
        <f t="shared" si="1018"/>
        <v>1.1990604056310607E-3</v>
      </c>
    </row>
    <row r="906" spans="1:20" x14ac:dyDescent="0.25">
      <c r="A906" s="5">
        <v>43687</v>
      </c>
      <c r="B906">
        <v>58.77</v>
      </c>
      <c r="C906">
        <v>59.28</v>
      </c>
      <c r="D906">
        <v>55.73</v>
      </c>
      <c r="E906">
        <v>56.71</v>
      </c>
      <c r="F906">
        <v>11836.54089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-0.44788732394366038</v>
      </c>
      <c r="Q906">
        <f t="shared" si="1015"/>
        <v>-5301.436623971812</v>
      </c>
      <c r="R906">
        <f t="shared" si="1016"/>
        <v>112599.62366449428</v>
      </c>
      <c r="S906">
        <f t="shared" si="1017"/>
        <v>1.1259962366449427</v>
      </c>
      <c r="T906">
        <f t="shared" si="1018"/>
        <v>1.1259962366449428E-3</v>
      </c>
    </row>
    <row r="907" spans="1:20" x14ac:dyDescent="0.25">
      <c r="A907" s="5">
        <v>43686</v>
      </c>
      <c r="B907">
        <v>62.61</v>
      </c>
      <c r="C907">
        <v>62.61</v>
      </c>
      <c r="D907">
        <v>57.93</v>
      </c>
      <c r="E907">
        <v>58.77</v>
      </c>
      <c r="F907">
        <v>13893.57329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-0.64102564102563953</v>
      </c>
      <c r="Q907">
        <f t="shared" si="1015"/>
        <v>-8906.1367243589539</v>
      </c>
      <c r="R907">
        <f t="shared" si="1016"/>
        <v>117901.06028846609</v>
      </c>
      <c r="S907">
        <f t="shared" si="1017"/>
        <v>1.179010602884661</v>
      </c>
      <c r="T907">
        <f t="shared" si="1018"/>
        <v>1.1790106028846609E-3</v>
      </c>
    </row>
    <row r="908" spans="1:20" x14ac:dyDescent="0.25">
      <c r="A908" s="5">
        <v>43685</v>
      </c>
      <c r="B908">
        <v>62.31</v>
      </c>
      <c r="C908">
        <v>67.16</v>
      </c>
      <c r="D908">
        <v>60.67</v>
      </c>
      <c r="E908">
        <v>62.38</v>
      </c>
      <c r="F908">
        <v>32286.089540000001</v>
      </c>
      <c r="G908">
        <v>0</v>
      </c>
      <c r="L908" t="s">
        <v>8</v>
      </c>
      <c r="M908" t="s">
        <v>7</v>
      </c>
      <c r="N908" t="s">
        <v>7</v>
      </c>
      <c r="P908">
        <f t="shared" si="1014"/>
        <v>-0.47303543913713336</v>
      </c>
      <c r="Q908">
        <f t="shared" si="1015"/>
        <v>-15272.464543574708</v>
      </c>
      <c r="R908">
        <f t="shared" si="1016"/>
        <v>126807.19701282504</v>
      </c>
      <c r="S908">
        <f t="shared" si="1017"/>
        <v>1.2680719701282503</v>
      </c>
      <c r="T908">
        <f t="shared" si="1018"/>
        <v>1.2680719701282503E-3</v>
      </c>
    </row>
    <row r="909" spans="1:20" x14ac:dyDescent="0.25">
      <c r="A909" s="5">
        <v>43684</v>
      </c>
      <c r="B909">
        <v>62.48</v>
      </c>
      <c r="C909">
        <v>63.61</v>
      </c>
      <c r="D909">
        <v>60.57</v>
      </c>
      <c r="E909">
        <v>62.18</v>
      </c>
      <c r="F909">
        <v>12382.513199999999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5.9210526315789394E-2</v>
      </c>
      <c r="Q909">
        <f t="shared" si="1015"/>
        <v>733.17512368420955</v>
      </c>
      <c r="R909">
        <f t="shared" si="1016"/>
        <v>142079.66155639975</v>
      </c>
      <c r="S909">
        <f t="shared" si="1017"/>
        <v>1.4207966155639975</v>
      </c>
      <c r="T909">
        <f t="shared" si="1018"/>
        <v>1.4207966155639976E-3</v>
      </c>
    </row>
    <row r="910" spans="1:20" x14ac:dyDescent="0.25">
      <c r="A910" s="5">
        <v>43683</v>
      </c>
      <c r="B910">
        <v>66.77</v>
      </c>
      <c r="C910">
        <v>67.33</v>
      </c>
      <c r="D910">
        <v>61.13</v>
      </c>
      <c r="E910">
        <v>62.47</v>
      </c>
      <c r="F910">
        <v>15375.57602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-0.56774193548387186</v>
      </c>
      <c r="Q910">
        <f t="shared" si="1015"/>
        <v>-8729.359288774207</v>
      </c>
      <c r="R910">
        <f t="shared" si="1016"/>
        <v>141346.48643271555</v>
      </c>
      <c r="S910">
        <f t="shared" si="1017"/>
        <v>1.4134648643271555</v>
      </c>
      <c r="T910">
        <f t="shared" si="1018"/>
        <v>1.4134648643271555E-3</v>
      </c>
    </row>
    <row r="911" spans="1:20" x14ac:dyDescent="0.25">
      <c r="A911" s="5">
        <v>43682</v>
      </c>
      <c r="B911">
        <v>65.73</v>
      </c>
      <c r="C911">
        <v>67.989999999999995</v>
      </c>
      <c r="D911">
        <v>65.73</v>
      </c>
      <c r="E911">
        <v>66.709999999999994</v>
      </c>
      <c r="F911">
        <v>18428.040150000001</v>
      </c>
      <c r="G911">
        <v>0</v>
      </c>
      <c r="L911" t="s">
        <v>8</v>
      </c>
      <c r="M911" t="s">
        <v>7</v>
      </c>
      <c r="N911" t="s">
        <v>7</v>
      </c>
      <c r="P911">
        <f t="shared" si="1014"/>
        <v>-0.13274336283186397</v>
      </c>
      <c r="Q911">
        <f t="shared" si="1015"/>
        <v>-2446.2000199116069</v>
      </c>
      <c r="R911">
        <f t="shared" si="1016"/>
        <v>150075.84572148975</v>
      </c>
      <c r="S911">
        <f t="shared" si="1017"/>
        <v>1.5007584572148975</v>
      </c>
      <c r="T911">
        <f t="shared" si="1018"/>
        <v>1.5007584572148975E-3</v>
      </c>
    </row>
    <row r="912" spans="1:20" x14ac:dyDescent="0.25">
      <c r="A912" s="5">
        <v>43681</v>
      </c>
      <c r="B912">
        <v>65.14</v>
      </c>
      <c r="C912">
        <v>66.760000000000005</v>
      </c>
      <c r="D912">
        <v>63.15</v>
      </c>
      <c r="E912">
        <v>65.73</v>
      </c>
      <c r="F912">
        <v>11297.92008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0.42936288088642699</v>
      </c>
      <c r="Q912">
        <f t="shared" si="1015"/>
        <v>4850.907513573412</v>
      </c>
      <c r="R912">
        <f t="shared" si="1016"/>
        <v>152522.04574140135</v>
      </c>
      <c r="S912">
        <f t="shared" si="1017"/>
        <v>1.5252204574140136</v>
      </c>
      <c r="T912">
        <f t="shared" si="1018"/>
        <v>1.5252204574140137E-3</v>
      </c>
    </row>
    <row r="913" spans="1:20" x14ac:dyDescent="0.25">
      <c r="A913" s="5">
        <v>43680</v>
      </c>
      <c r="B913">
        <v>66.569999999999993</v>
      </c>
      <c r="C913">
        <v>67.39</v>
      </c>
      <c r="D913">
        <v>64.58</v>
      </c>
      <c r="E913">
        <v>65.150000000000006</v>
      </c>
      <c r="F913">
        <v>18820.255450000001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-0.59430604982205915</v>
      </c>
      <c r="Q913">
        <f t="shared" si="1015"/>
        <v>-11184.991673131581</v>
      </c>
      <c r="R913">
        <f t="shared" si="1016"/>
        <v>147671.13822782793</v>
      </c>
      <c r="S913">
        <f t="shared" si="1017"/>
        <v>1.4767113822782794</v>
      </c>
      <c r="T913">
        <f t="shared" si="1018"/>
        <v>1.4767113822782793E-3</v>
      </c>
    </row>
    <row r="914" spans="1:20" x14ac:dyDescent="0.25">
      <c r="A914" s="5">
        <v>43679</v>
      </c>
      <c r="B914">
        <v>67.61</v>
      </c>
      <c r="C914">
        <v>68.48</v>
      </c>
      <c r="D914">
        <v>65.38</v>
      </c>
      <c r="E914">
        <v>66.41</v>
      </c>
      <c r="F914">
        <v>10856.645769999999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-0.33548387096774301</v>
      </c>
      <c r="Q914">
        <f t="shared" si="1015"/>
        <v>-3642.2295486451726</v>
      </c>
      <c r="R914">
        <f t="shared" si="1016"/>
        <v>158856.12990095952</v>
      </c>
      <c r="S914">
        <f t="shared" si="1017"/>
        <v>1.5885612990095952</v>
      </c>
      <c r="T914">
        <f t="shared" si="1018"/>
        <v>1.5885612990095951E-3</v>
      </c>
    </row>
    <row r="915" spans="1:20" x14ac:dyDescent="0.25">
      <c r="A915" s="5">
        <v>43678</v>
      </c>
      <c r="B915">
        <v>68.14</v>
      </c>
      <c r="C915">
        <v>68.400000000000006</v>
      </c>
      <c r="D915">
        <v>66.27</v>
      </c>
      <c r="E915">
        <v>67.61</v>
      </c>
      <c r="F915">
        <v>8783.8412599999992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0.25821596244131206</v>
      </c>
      <c r="Q915">
        <f t="shared" si="1015"/>
        <v>2268.128024882607</v>
      </c>
      <c r="R915">
        <f t="shared" si="1016"/>
        <v>162498.3594496047</v>
      </c>
      <c r="S915">
        <f t="shared" si="1017"/>
        <v>1.6249835944960469</v>
      </c>
      <c r="T915">
        <f t="shared" si="1018"/>
        <v>1.624983594496047E-3</v>
      </c>
    </row>
    <row r="916" spans="1:20" x14ac:dyDescent="0.25">
      <c r="A916" s="5">
        <v>43677</v>
      </c>
      <c r="B916">
        <v>66.540000000000006</v>
      </c>
      <c r="C916">
        <v>68.760000000000005</v>
      </c>
      <c r="D916">
        <v>66.28</v>
      </c>
      <c r="E916">
        <v>68.12</v>
      </c>
      <c r="F916">
        <v>11090.378549999999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0.48387096774193583</v>
      </c>
      <c r="Q916">
        <f t="shared" si="1015"/>
        <v>5366.3122016129064</v>
      </c>
      <c r="R916">
        <f t="shared" si="1016"/>
        <v>160230.23142472209</v>
      </c>
      <c r="S916">
        <f t="shared" si="1017"/>
        <v>1.602302314247221</v>
      </c>
      <c r="T916">
        <f t="shared" si="1018"/>
        <v>1.602302314247221E-3</v>
      </c>
    </row>
    <row r="917" spans="1:20" x14ac:dyDescent="0.25">
      <c r="A917" s="5">
        <v>43676</v>
      </c>
      <c r="B917">
        <v>67.319999999999993</v>
      </c>
      <c r="C917">
        <v>67.61</v>
      </c>
      <c r="D917">
        <v>65.5</v>
      </c>
      <c r="E917">
        <v>66.67</v>
      </c>
      <c r="F917">
        <v>6951.76253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0.10900473933649481</v>
      </c>
      <c r="Q917">
        <f t="shared" si="1015"/>
        <v>757.77506251186162</v>
      </c>
      <c r="R917">
        <f t="shared" si="1016"/>
        <v>154863.91922310917</v>
      </c>
      <c r="S917">
        <f t="shared" si="1017"/>
        <v>1.5486391922310918</v>
      </c>
      <c r="T917">
        <f t="shared" si="1018"/>
        <v>1.5486391922310918E-3</v>
      </c>
    </row>
    <row r="918" spans="1:20" x14ac:dyDescent="0.25">
      <c r="A918" s="5">
        <v>43675</v>
      </c>
      <c r="B918">
        <v>68.78</v>
      </c>
      <c r="C918">
        <v>69.790000000000006</v>
      </c>
      <c r="D918">
        <v>66.38</v>
      </c>
      <c r="E918">
        <v>67.38</v>
      </c>
      <c r="F918">
        <v>6682.4906300000002</v>
      </c>
      <c r="G918">
        <v>0</v>
      </c>
      <c r="L918" t="s">
        <v>7</v>
      </c>
      <c r="M918" t="s">
        <v>7</v>
      </c>
      <c r="N918" t="s">
        <v>7</v>
      </c>
      <c r="P918">
        <f t="shared" si="1014"/>
        <v>-0.41348973607038308</v>
      </c>
      <c r="Q918">
        <f t="shared" si="1015"/>
        <v>-2763.1412868915081</v>
      </c>
      <c r="R918">
        <f t="shared" si="1016"/>
        <v>154106.14416059732</v>
      </c>
      <c r="S918">
        <f t="shared" si="1017"/>
        <v>1.5410614416059731</v>
      </c>
      <c r="T918">
        <f t="shared" si="1018"/>
        <v>1.5410614416059732E-3</v>
      </c>
    </row>
    <row r="919" spans="1:20" x14ac:dyDescent="0.25">
      <c r="A919" s="5">
        <v>43674</v>
      </c>
      <c r="B919">
        <v>69.03</v>
      </c>
      <c r="C919">
        <v>69.88</v>
      </c>
      <c r="D919">
        <v>65.47</v>
      </c>
      <c r="E919">
        <v>68.72</v>
      </c>
      <c r="F919">
        <v>4944.8775800000003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0.47392290249433222</v>
      </c>
      <c r="Q919">
        <f t="shared" si="1015"/>
        <v>2343.4907351927495</v>
      </c>
      <c r="R919">
        <f t="shared" si="1016"/>
        <v>156869.28544748883</v>
      </c>
      <c r="S919">
        <f t="shared" si="1017"/>
        <v>1.5686928544748884</v>
      </c>
      <c r="T919">
        <f t="shared" si="1018"/>
        <v>1.5686928544748884E-3</v>
      </c>
    </row>
    <row r="920" spans="1:20" x14ac:dyDescent="0.25">
      <c r="A920" s="5">
        <v>43673</v>
      </c>
      <c r="B920">
        <v>71.260000000000005</v>
      </c>
      <c r="C920">
        <v>73.290000000000006</v>
      </c>
      <c r="D920">
        <v>68.23</v>
      </c>
      <c r="E920">
        <v>69.12</v>
      </c>
      <c r="F920">
        <v>10211.05487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-0.64822134387351771</v>
      </c>
      <c r="Q920">
        <f t="shared" si="1015"/>
        <v>-6619.0237101976272</v>
      </c>
      <c r="R920">
        <f t="shared" si="1016"/>
        <v>154525.79471229608</v>
      </c>
      <c r="S920">
        <f t="shared" si="1017"/>
        <v>1.5452579471229608</v>
      </c>
      <c r="T920">
        <f t="shared" si="1018"/>
        <v>1.5452579471229608E-3</v>
      </c>
    </row>
    <row r="921" spans="1:20" x14ac:dyDescent="0.25">
      <c r="A921" s="5">
        <v>43672</v>
      </c>
      <c r="B921">
        <v>69.95</v>
      </c>
      <c r="C921">
        <v>72.13</v>
      </c>
      <c r="D921">
        <v>69.22</v>
      </c>
      <c r="E921">
        <v>71.319999999999993</v>
      </c>
      <c r="F921">
        <v>7402.9127799999997</v>
      </c>
      <c r="G921">
        <v>0</v>
      </c>
      <c r="L921" t="s">
        <v>7</v>
      </c>
      <c r="M921" t="s">
        <v>8</v>
      </c>
      <c r="N921" t="s">
        <v>7</v>
      </c>
      <c r="P921">
        <f t="shared" si="1014"/>
        <v>0.44329896907216271</v>
      </c>
      <c r="Q921">
        <f t="shared" si="1015"/>
        <v>3281.7036035051378</v>
      </c>
      <c r="R921">
        <f t="shared" si="1016"/>
        <v>161144.8184224937</v>
      </c>
      <c r="S921">
        <f t="shared" si="1017"/>
        <v>1.6114481842249371</v>
      </c>
      <c r="T921">
        <f t="shared" si="1018"/>
        <v>1.6114481842249371E-3</v>
      </c>
    </row>
    <row r="922" spans="1:20" x14ac:dyDescent="0.25">
      <c r="A922" s="5">
        <v>43671</v>
      </c>
      <c r="B922">
        <v>70.78</v>
      </c>
      <c r="C922">
        <v>72.599999999999994</v>
      </c>
      <c r="D922">
        <v>69.599999999999994</v>
      </c>
      <c r="E922">
        <v>69.94</v>
      </c>
      <c r="F922">
        <v>7782.7294199999997</v>
      </c>
      <c r="G922">
        <v>0</v>
      </c>
      <c r="L922" t="s">
        <v>7</v>
      </c>
      <c r="M922" t="s">
        <v>8</v>
      </c>
      <c r="N922" t="s">
        <v>7</v>
      </c>
      <c r="P922">
        <f t="shared" si="1014"/>
        <v>-0.7733333333333311</v>
      </c>
      <c r="Q922">
        <f t="shared" si="1015"/>
        <v>-6018.644084799982</v>
      </c>
      <c r="R922">
        <f t="shared" si="1016"/>
        <v>157863.11481898857</v>
      </c>
      <c r="S922">
        <f t="shared" si="1017"/>
        <v>1.5786311481898858</v>
      </c>
      <c r="T922">
        <f t="shared" si="1018"/>
        <v>1.5786311481898858E-3</v>
      </c>
    </row>
    <row r="923" spans="1:20" x14ac:dyDescent="0.25">
      <c r="A923" s="5">
        <v>43670</v>
      </c>
      <c r="B923">
        <v>70.52</v>
      </c>
      <c r="C923">
        <v>71.59</v>
      </c>
      <c r="D923">
        <v>67.900000000000006</v>
      </c>
      <c r="E923">
        <v>70.989999999999995</v>
      </c>
      <c r="F923">
        <v>9414.6038399999998</v>
      </c>
      <c r="G923">
        <v>0</v>
      </c>
      <c r="L923" t="s">
        <v>7</v>
      </c>
      <c r="M923" t="s">
        <v>8</v>
      </c>
      <c r="N923" t="s">
        <v>7</v>
      </c>
      <c r="P923">
        <f t="shared" si="1014"/>
        <v>0.67479674796747491</v>
      </c>
      <c r="Q923">
        <f t="shared" si="1015"/>
        <v>6352.9440546341011</v>
      </c>
      <c r="R923">
        <f t="shared" si="1016"/>
        <v>163881.75890378855</v>
      </c>
      <c r="S923">
        <f t="shared" si="1017"/>
        <v>1.6388175890378855</v>
      </c>
      <c r="T923">
        <f t="shared" si="1018"/>
        <v>1.6388175890378856E-3</v>
      </c>
    </row>
    <row r="924" spans="1:20" x14ac:dyDescent="0.25">
      <c r="A924" s="5">
        <v>43669</v>
      </c>
      <c r="B924">
        <v>72.94</v>
      </c>
      <c r="C924">
        <v>73.39</v>
      </c>
      <c r="D924">
        <v>69.23</v>
      </c>
      <c r="E924">
        <v>70.59</v>
      </c>
      <c r="F924">
        <v>9182.2558800000006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-0.34615384615384587</v>
      </c>
      <c r="Q924">
        <f t="shared" si="1015"/>
        <v>-3178.4731892307668</v>
      </c>
      <c r="R924">
        <f t="shared" si="1016"/>
        <v>157528.81484915444</v>
      </c>
      <c r="S924">
        <f t="shared" si="1017"/>
        <v>1.5752881484915444</v>
      </c>
      <c r="T924">
        <f t="shared" si="1018"/>
        <v>1.5752881484915444E-3</v>
      </c>
    </row>
    <row r="925" spans="1:20" x14ac:dyDescent="0.25">
      <c r="A925" s="5">
        <v>43668</v>
      </c>
      <c r="B925">
        <v>75.540000000000006</v>
      </c>
      <c r="C925">
        <v>76.510000000000005</v>
      </c>
      <c r="D925">
        <v>71.11</v>
      </c>
      <c r="E925">
        <v>72.989999999999995</v>
      </c>
      <c r="F925">
        <v>8120.5666600000004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-0.30370370370370614</v>
      </c>
      <c r="Q925">
        <f t="shared" si="1015"/>
        <v>-2466.2461708148348</v>
      </c>
      <c r="R925">
        <f t="shared" si="1016"/>
        <v>160707.28803838522</v>
      </c>
      <c r="S925">
        <f t="shared" si="1017"/>
        <v>1.6070728803838521</v>
      </c>
      <c r="T925">
        <f t="shared" si="1018"/>
        <v>1.6070728803838522E-3</v>
      </c>
    </row>
    <row r="926" spans="1:20" x14ac:dyDescent="0.25">
      <c r="A926" s="5">
        <v>43667</v>
      </c>
      <c r="B926">
        <v>77.67</v>
      </c>
      <c r="C926">
        <v>78</v>
      </c>
      <c r="D926">
        <v>73.44</v>
      </c>
      <c r="E926">
        <v>75.37</v>
      </c>
      <c r="F926">
        <v>7560.9100699999999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-0.15350877192982199</v>
      </c>
      <c r="Q926">
        <f t="shared" si="1015"/>
        <v>-1160.6660195175243</v>
      </c>
      <c r="R926">
        <f t="shared" si="1016"/>
        <v>163173.53420920006</v>
      </c>
      <c r="S926">
        <f t="shared" si="1017"/>
        <v>1.6317353420920007</v>
      </c>
      <c r="T926">
        <f t="shared" si="1018"/>
        <v>1.6317353420920006E-3</v>
      </c>
    </row>
    <row r="927" spans="1:20" x14ac:dyDescent="0.25">
      <c r="A927" s="5">
        <v>43666</v>
      </c>
      <c r="B927">
        <v>75.55</v>
      </c>
      <c r="C927">
        <v>79.78</v>
      </c>
      <c r="D927">
        <v>74.400000000000006</v>
      </c>
      <c r="E927">
        <v>77.709999999999994</v>
      </c>
      <c r="F927">
        <v>16920.73158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0.23048327137546129</v>
      </c>
      <c r="Q927">
        <f t="shared" si="1015"/>
        <v>3899.9455686244778</v>
      </c>
      <c r="R927">
        <f t="shared" si="1016"/>
        <v>164334.20022871759</v>
      </c>
      <c r="S927">
        <f t="shared" si="1017"/>
        <v>1.6433420022871759</v>
      </c>
      <c r="T927">
        <f t="shared" si="1018"/>
        <v>1.6433420022871758E-3</v>
      </c>
    </row>
    <row r="928" spans="1:20" x14ac:dyDescent="0.25">
      <c r="A928" s="5">
        <v>43665</v>
      </c>
      <c r="B928">
        <v>79.02</v>
      </c>
      <c r="C928">
        <v>79.77</v>
      </c>
      <c r="D928">
        <v>71.349999999999994</v>
      </c>
      <c r="E928">
        <v>75.55</v>
      </c>
      <c r="F928">
        <v>31518.94931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-2.3752969121135412E-3</v>
      </c>
      <c r="Q928">
        <f t="shared" si="1015"/>
        <v>-74.866862969106236</v>
      </c>
      <c r="R928">
        <f t="shared" si="1016"/>
        <v>160434.25466009311</v>
      </c>
      <c r="S928">
        <f t="shared" si="1017"/>
        <v>1.6043425466009311</v>
      </c>
      <c r="T928">
        <f t="shared" si="1018"/>
        <v>1.6043425466009311E-3</v>
      </c>
    </row>
    <row r="929" spans="1:20" x14ac:dyDescent="0.25">
      <c r="A929" s="5">
        <v>43664</v>
      </c>
      <c r="B929">
        <v>74.05</v>
      </c>
      <c r="C929">
        <v>80.64</v>
      </c>
      <c r="D929">
        <v>72.44</v>
      </c>
      <c r="E929">
        <v>79.040000000000006</v>
      </c>
      <c r="F929">
        <v>19915.632870000001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0.60975609756097715</v>
      </c>
      <c r="Q929">
        <f t="shared" si="1015"/>
        <v>12143.678579268324</v>
      </c>
      <c r="R929">
        <f t="shared" si="1016"/>
        <v>160509.1215230622</v>
      </c>
      <c r="S929">
        <f t="shared" si="1017"/>
        <v>1.605091215230622</v>
      </c>
      <c r="T929">
        <f t="shared" si="1018"/>
        <v>1.6050912152306221E-3</v>
      </c>
    </row>
    <row r="930" spans="1:20" x14ac:dyDescent="0.25">
      <c r="A930" s="5">
        <v>43663</v>
      </c>
      <c r="B930">
        <v>67.040000000000006</v>
      </c>
      <c r="C930">
        <v>76.83</v>
      </c>
      <c r="D930">
        <v>65.44</v>
      </c>
      <c r="E930">
        <v>73.790000000000006</v>
      </c>
      <c r="F930">
        <v>24303.83064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0.46619841966637543</v>
      </c>
      <c r="Q930">
        <f t="shared" si="1015"/>
        <v>11330.407436207233</v>
      </c>
      <c r="R930">
        <f t="shared" si="1016"/>
        <v>148365.44294379387</v>
      </c>
      <c r="S930">
        <f t="shared" si="1017"/>
        <v>1.4836544294379386</v>
      </c>
      <c r="T930">
        <f t="shared" si="1018"/>
        <v>1.4836544294379386E-3</v>
      </c>
    </row>
    <row r="931" spans="1:20" x14ac:dyDescent="0.25">
      <c r="A931" s="5">
        <v>43662</v>
      </c>
      <c r="B931">
        <v>80.319999999999993</v>
      </c>
      <c r="C931">
        <v>82.13</v>
      </c>
      <c r="D931">
        <v>63.76</v>
      </c>
      <c r="E931">
        <v>67.05</v>
      </c>
      <c r="F931">
        <v>33712.632619999997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-0.64180729450190532</v>
      </c>
      <c r="Q931">
        <f t="shared" si="1015"/>
        <v>-21637.013532378878</v>
      </c>
      <c r="R931">
        <f t="shared" si="1016"/>
        <v>137035.03550758664</v>
      </c>
      <c r="S931">
        <f t="shared" si="1017"/>
        <v>1.3703503550758664</v>
      </c>
      <c r="T931">
        <f t="shared" si="1018"/>
        <v>1.3703503550758665E-3</v>
      </c>
    </row>
    <row r="932" spans="1:20" x14ac:dyDescent="0.25">
      <c r="A932" s="5">
        <v>43661</v>
      </c>
      <c r="B932">
        <v>82.29</v>
      </c>
      <c r="C932">
        <v>82.45</v>
      </c>
      <c r="D932">
        <v>75.83</v>
      </c>
      <c r="E932">
        <v>80.37</v>
      </c>
      <c r="F932">
        <v>29569.14645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0.37160120845921546</v>
      </c>
      <c r="Q932">
        <f t="shared" si="1015"/>
        <v>10987.930553927521</v>
      </c>
      <c r="R932">
        <f t="shared" si="1016"/>
        <v>158672.04903996552</v>
      </c>
      <c r="S932">
        <f t="shared" si="1017"/>
        <v>1.5867204903996552</v>
      </c>
      <c r="T932">
        <f t="shared" si="1018"/>
        <v>1.5867204903996551E-3</v>
      </c>
    </row>
    <row r="933" spans="1:20" x14ac:dyDescent="0.25">
      <c r="A933" s="5">
        <v>43660</v>
      </c>
      <c r="B933">
        <v>89.8</v>
      </c>
      <c r="C933">
        <v>90.05</v>
      </c>
      <c r="D933">
        <v>79.540000000000006</v>
      </c>
      <c r="E933">
        <v>82.29</v>
      </c>
      <c r="F933">
        <v>25977.71761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-0.4766888677450043</v>
      </c>
      <c r="Q933">
        <f t="shared" si="1015"/>
        <v>-12383.288794110358</v>
      </c>
      <c r="R933">
        <f t="shared" si="1016"/>
        <v>147684.118486038</v>
      </c>
      <c r="S933">
        <f t="shared" si="1017"/>
        <v>1.47684118486038</v>
      </c>
      <c r="T933">
        <f t="shared" si="1018"/>
        <v>1.47684118486038E-3</v>
      </c>
    </row>
    <row r="934" spans="1:20" x14ac:dyDescent="0.25">
      <c r="A934" s="5">
        <v>43659</v>
      </c>
      <c r="B934">
        <v>93.06</v>
      </c>
      <c r="C934">
        <v>93.57</v>
      </c>
      <c r="D934">
        <v>86.43</v>
      </c>
      <c r="E934">
        <v>89.84</v>
      </c>
      <c r="F934">
        <v>11668.1649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-4.481792717086748E-2</v>
      </c>
      <c r="Q934">
        <f t="shared" si="1015"/>
        <v>-522.94296470587221</v>
      </c>
      <c r="R934">
        <f t="shared" si="1016"/>
        <v>160067.40728014836</v>
      </c>
      <c r="S934">
        <f t="shared" si="1017"/>
        <v>1.6006740728014837</v>
      </c>
      <c r="T934">
        <f t="shared" si="1018"/>
        <v>1.6006740728014837E-3</v>
      </c>
    </row>
    <row r="935" spans="1:20" x14ac:dyDescent="0.25">
      <c r="A935" s="5">
        <v>43658</v>
      </c>
      <c r="B935">
        <v>88.07</v>
      </c>
      <c r="C935">
        <v>93.07</v>
      </c>
      <c r="D935">
        <v>85.73</v>
      </c>
      <c r="E935">
        <v>93.04</v>
      </c>
      <c r="F935">
        <v>13135.23425</v>
      </c>
      <c r="G935">
        <v>0</v>
      </c>
      <c r="L935" t="s">
        <v>7</v>
      </c>
      <c r="M935" t="s">
        <v>7</v>
      </c>
      <c r="N935" t="s">
        <v>7</v>
      </c>
      <c r="P935">
        <f t="shared" si="1014"/>
        <v>0.99182561307902262</v>
      </c>
      <c r="Q935">
        <f t="shared" si="1015"/>
        <v>13027.861762942824</v>
      </c>
      <c r="R935">
        <f t="shared" si="1016"/>
        <v>160590.35024485423</v>
      </c>
      <c r="S935">
        <f t="shared" si="1017"/>
        <v>1.6059035024485422</v>
      </c>
      <c r="T935">
        <f t="shared" si="1018"/>
        <v>1.6059035024485421E-3</v>
      </c>
    </row>
    <row r="936" spans="1:20" x14ac:dyDescent="0.25">
      <c r="A936" s="5">
        <v>43657</v>
      </c>
      <c r="B936">
        <v>97.04</v>
      </c>
      <c r="C936">
        <v>97.04</v>
      </c>
      <c r="D936">
        <v>86.5</v>
      </c>
      <c r="E936">
        <v>88.12</v>
      </c>
      <c r="F936">
        <v>17374.17957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-0.69259962049335799</v>
      </c>
      <c r="Q936">
        <f t="shared" si="1015"/>
        <v>-12033.350176565455</v>
      </c>
      <c r="R936">
        <f t="shared" si="1016"/>
        <v>147562.48848191139</v>
      </c>
      <c r="S936">
        <f t="shared" si="1017"/>
        <v>1.475624884819114</v>
      </c>
      <c r="T936">
        <f t="shared" si="1018"/>
        <v>1.4756248848191141E-3</v>
      </c>
    </row>
    <row r="937" spans="1:20" x14ac:dyDescent="0.25">
      <c r="A937" s="5">
        <v>43656</v>
      </c>
      <c r="B937">
        <v>100.74</v>
      </c>
      <c r="C937">
        <v>104.99</v>
      </c>
      <c r="D937">
        <v>94.36</v>
      </c>
      <c r="E937">
        <v>97.02</v>
      </c>
      <c r="F937">
        <v>28281.8063</v>
      </c>
      <c r="G937">
        <v>0</v>
      </c>
      <c r="L937" t="s">
        <v>7</v>
      </c>
      <c r="M937" t="s">
        <v>7</v>
      </c>
      <c r="N937" t="s">
        <v>8</v>
      </c>
      <c r="P937">
        <f t="shared" si="1014"/>
        <v>-0.4995296331138292</v>
      </c>
      <c r="Q937">
        <f t="shared" si="1015"/>
        <v>-14127.600324835383</v>
      </c>
      <c r="R937">
        <f t="shared" si="1016"/>
        <v>159595.83865847686</v>
      </c>
      <c r="S937">
        <f t="shared" si="1017"/>
        <v>1.5959583865847686</v>
      </c>
      <c r="T937">
        <f t="shared" si="1018"/>
        <v>1.5959583865847687E-3</v>
      </c>
    </row>
    <row r="938" spans="1:20" x14ac:dyDescent="0.25">
      <c r="A938" s="5">
        <v>43655</v>
      </c>
      <c r="B938">
        <v>105</v>
      </c>
      <c r="C938">
        <v>106.52</v>
      </c>
      <c r="D938">
        <v>98.5</v>
      </c>
      <c r="E938">
        <v>100.73</v>
      </c>
      <c r="F938">
        <v>16984.010610000001</v>
      </c>
      <c r="G938">
        <v>0</v>
      </c>
      <c r="L938" t="s">
        <v>7</v>
      </c>
      <c r="M938" t="s">
        <v>7</v>
      </c>
      <c r="N938" t="s">
        <v>8</v>
      </c>
      <c r="P938">
        <f t="shared" si="1014"/>
        <v>-0.44389027431421318</v>
      </c>
      <c r="Q938">
        <f t="shared" si="1015"/>
        <v>-7539.037128628408</v>
      </c>
      <c r="R938">
        <f t="shared" si="1016"/>
        <v>173723.43898331226</v>
      </c>
      <c r="S938">
        <f t="shared" si="1017"/>
        <v>1.7372343898331226</v>
      </c>
      <c r="T938">
        <f t="shared" si="1018"/>
        <v>1.7372343898331226E-3</v>
      </c>
    </row>
    <row r="939" spans="1:20" x14ac:dyDescent="0.25">
      <c r="A939" s="5">
        <v>43654</v>
      </c>
      <c r="B939">
        <v>106.21</v>
      </c>
      <c r="C939">
        <v>106.98</v>
      </c>
      <c r="D939">
        <v>103.88</v>
      </c>
      <c r="E939">
        <v>105.03</v>
      </c>
      <c r="F939">
        <v>10284.34757</v>
      </c>
      <c r="G939">
        <v>0</v>
      </c>
      <c r="L939" t="s">
        <v>8</v>
      </c>
      <c r="M939" t="s">
        <v>7</v>
      </c>
      <c r="N939" t="s">
        <v>8</v>
      </c>
      <c r="P939">
        <f t="shared" si="1014"/>
        <v>-0.25806451612903064</v>
      </c>
      <c r="Q939">
        <f t="shared" si="1015"/>
        <v>-2654.0251793548218</v>
      </c>
      <c r="R939">
        <f t="shared" si="1016"/>
        <v>181262.47611194066</v>
      </c>
      <c r="S939">
        <f t="shared" si="1017"/>
        <v>1.8126247611194066</v>
      </c>
      <c r="T939">
        <f t="shared" si="1018"/>
        <v>1.8126247611194065E-3</v>
      </c>
    </row>
    <row r="940" spans="1:20" x14ac:dyDescent="0.25">
      <c r="A940" s="5">
        <v>43653</v>
      </c>
      <c r="B940">
        <v>103.7</v>
      </c>
      <c r="C940">
        <v>106.49</v>
      </c>
      <c r="D940">
        <v>102.31</v>
      </c>
      <c r="E940">
        <v>106.45</v>
      </c>
      <c r="F940">
        <v>7961.36546</v>
      </c>
      <c r="G940">
        <v>0</v>
      </c>
      <c r="L940" t="s">
        <v>8</v>
      </c>
      <c r="M940" t="s">
        <v>7</v>
      </c>
      <c r="N940" t="s">
        <v>8</v>
      </c>
      <c r="P940">
        <f t="shared" si="1014"/>
        <v>0.98086124401914254</v>
      </c>
      <c r="Q940">
        <f t="shared" si="1015"/>
        <v>7808.9948291866331</v>
      </c>
      <c r="R940">
        <f t="shared" si="1016"/>
        <v>183916.50129129548</v>
      </c>
      <c r="S940">
        <f t="shared" si="1017"/>
        <v>1.8391650129129549</v>
      </c>
      <c r="T940">
        <f t="shared" si="1018"/>
        <v>1.8391650129129548E-3</v>
      </c>
    </row>
    <row r="941" spans="1:20" x14ac:dyDescent="0.25">
      <c r="A941" s="5">
        <v>43652</v>
      </c>
      <c r="B941">
        <v>100.18</v>
      </c>
      <c r="C941">
        <v>106.12</v>
      </c>
      <c r="D941">
        <v>100.03</v>
      </c>
      <c r="E941">
        <v>103.76</v>
      </c>
      <c r="F941">
        <v>10662.159240000001</v>
      </c>
      <c r="G941">
        <v>0</v>
      </c>
      <c r="L941" t="s">
        <v>8</v>
      </c>
      <c r="M941" t="s">
        <v>7</v>
      </c>
      <c r="N941" t="s">
        <v>8</v>
      </c>
      <c r="P941">
        <f t="shared" si="1014"/>
        <v>0.22495894909688074</v>
      </c>
      <c r="Q941">
        <f t="shared" si="1015"/>
        <v>2398.548137733997</v>
      </c>
      <c r="R941">
        <f t="shared" si="1016"/>
        <v>176107.50646210884</v>
      </c>
      <c r="S941">
        <f t="shared" si="1017"/>
        <v>1.7610750646210884</v>
      </c>
      <c r="T941">
        <f t="shared" si="1018"/>
        <v>1.7610750646210884E-3</v>
      </c>
    </row>
    <row r="942" spans="1:20" x14ac:dyDescent="0.25">
      <c r="A942" s="5">
        <v>43651</v>
      </c>
      <c r="B942">
        <v>100.8</v>
      </c>
      <c r="C942">
        <v>103.37</v>
      </c>
      <c r="D942">
        <v>98.5</v>
      </c>
      <c r="E942">
        <v>99.99</v>
      </c>
      <c r="F942">
        <v>10188.5831</v>
      </c>
      <c r="G942">
        <v>0</v>
      </c>
      <c r="L942" t="s">
        <v>7</v>
      </c>
      <c r="M942" t="s">
        <v>7</v>
      </c>
      <c r="N942" t="s">
        <v>8</v>
      </c>
      <c r="P942">
        <f t="shared" si="1014"/>
        <v>-0.38809034907597806</v>
      </c>
      <c r="Q942">
        <f t="shared" si="1015"/>
        <v>-3954.0907718686108</v>
      </c>
      <c r="R942">
        <f t="shared" si="1016"/>
        <v>173708.95832437483</v>
      </c>
      <c r="S942">
        <f t="shared" si="1017"/>
        <v>1.7370895832437483</v>
      </c>
      <c r="T942">
        <f t="shared" si="1018"/>
        <v>1.7370895832437483E-3</v>
      </c>
    </row>
    <row r="943" spans="1:20" x14ac:dyDescent="0.25">
      <c r="A943" s="5">
        <v>43650</v>
      </c>
      <c r="B943">
        <v>105.59</v>
      </c>
      <c r="C943">
        <v>106</v>
      </c>
      <c r="D943">
        <v>100.04</v>
      </c>
      <c r="E943">
        <v>100.87</v>
      </c>
      <c r="F943">
        <v>12055.562250000001</v>
      </c>
      <c r="G943">
        <v>0</v>
      </c>
      <c r="L943" t="s">
        <v>8</v>
      </c>
      <c r="M943" t="s">
        <v>7</v>
      </c>
      <c r="N943" t="s">
        <v>8</v>
      </c>
      <c r="P943">
        <f t="shared" si="1014"/>
        <v>-0.72147651006711433</v>
      </c>
      <c r="Q943">
        <f t="shared" si="1015"/>
        <v>-8697.8049790268487</v>
      </c>
      <c r="R943">
        <f t="shared" si="1016"/>
        <v>177663.04909624346</v>
      </c>
      <c r="S943">
        <f t="shared" si="1017"/>
        <v>1.7766304909624346</v>
      </c>
      <c r="T943">
        <f t="shared" si="1018"/>
        <v>1.7766304909624347E-3</v>
      </c>
    </row>
    <row r="944" spans="1:20" x14ac:dyDescent="0.25">
      <c r="A944" s="5">
        <v>43649</v>
      </c>
      <c r="B944">
        <v>101.71</v>
      </c>
      <c r="C944">
        <v>106.15</v>
      </c>
      <c r="D944">
        <v>101.25</v>
      </c>
      <c r="E944">
        <v>105.82</v>
      </c>
      <c r="F944">
        <v>11714.023870000001</v>
      </c>
      <c r="G944">
        <v>0</v>
      </c>
      <c r="L944" t="s">
        <v>8</v>
      </c>
      <c r="M944" t="s">
        <v>7</v>
      </c>
      <c r="N944" t="s">
        <v>8</v>
      </c>
      <c r="P944">
        <f t="shared" si="1014"/>
        <v>0.86530612244897465</v>
      </c>
      <c r="Q944">
        <f t="shared" si="1015"/>
        <v>10136.216573224432</v>
      </c>
      <c r="R944">
        <f t="shared" si="1016"/>
        <v>186360.8540752703</v>
      </c>
      <c r="S944">
        <f t="shared" si="1017"/>
        <v>1.863608540752703</v>
      </c>
      <c r="T944">
        <f t="shared" si="1018"/>
        <v>1.8636085407527029E-3</v>
      </c>
    </row>
    <row r="945" spans="1:20" x14ac:dyDescent="0.25">
      <c r="A945" s="5">
        <v>43648</v>
      </c>
      <c r="B945">
        <v>104.17</v>
      </c>
      <c r="C945">
        <v>104.44</v>
      </c>
      <c r="D945">
        <v>96.05</v>
      </c>
      <c r="E945">
        <v>101.54</v>
      </c>
      <c r="F945">
        <v>20067.191579999999</v>
      </c>
      <c r="G945">
        <v>0</v>
      </c>
      <c r="L945" t="s">
        <v>8</v>
      </c>
      <c r="M945" t="s">
        <v>7</v>
      </c>
      <c r="N945" t="s">
        <v>8</v>
      </c>
      <c r="P945">
        <f t="shared" si="1014"/>
        <v>0.30870083432658135</v>
      </c>
      <c r="Q945">
        <f t="shared" si="1015"/>
        <v>6194.7587833373482</v>
      </c>
      <c r="R945">
        <f t="shared" si="1016"/>
        <v>176224.63750204587</v>
      </c>
      <c r="S945">
        <f t="shared" si="1017"/>
        <v>1.7622463750204587</v>
      </c>
      <c r="T945">
        <f t="shared" si="1018"/>
        <v>1.7622463750204586E-3</v>
      </c>
    </row>
    <row r="946" spans="1:20" x14ac:dyDescent="0.25">
      <c r="A946" s="5">
        <v>43647</v>
      </c>
      <c r="B946">
        <v>103.44</v>
      </c>
      <c r="C946">
        <v>107.25</v>
      </c>
      <c r="D946">
        <v>96.9</v>
      </c>
      <c r="E946">
        <v>103.72</v>
      </c>
      <c r="F946">
        <v>20016.863219999999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0.31787439613526508</v>
      </c>
      <c r="Q946">
        <f t="shared" si="1015"/>
        <v>6362.8483085796979</v>
      </c>
      <c r="R946">
        <f t="shared" si="1016"/>
        <v>170029.87871870853</v>
      </c>
      <c r="S946">
        <f t="shared" si="1017"/>
        <v>1.7002987871870852</v>
      </c>
      <c r="T946">
        <f t="shared" si="1018"/>
        <v>1.7002987871870851E-3</v>
      </c>
    </row>
    <row r="947" spans="1:20" x14ac:dyDescent="0.25">
      <c r="A947" s="5">
        <v>43646</v>
      </c>
      <c r="B947">
        <v>114.11</v>
      </c>
      <c r="C947">
        <v>114.52</v>
      </c>
      <c r="D947">
        <v>103.11</v>
      </c>
      <c r="E947">
        <v>103.3</v>
      </c>
      <c r="F947">
        <v>17084.587820000001</v>
      </c>
      <c r="G947">
        <v>0</v>
      </c>
      <c r="L947" t="s">
        <v>7</v>
      </c>
      <c r="M947" t="s">
        <v>8</v>
      </c>
      <c r="N947" t="s">
        <v>8</v>
      </c>
      <c r="P947">
        <f t="shared" si="1014"/>
        <v>-0.96669588080631064</v>
      </c>
      <c r="Q947">
        <f t="shared" si="1015"/>
        <v>-16515.600670867669</v>
      </c>
      <c r="R947">
        <f t="shared" si="1016"/>
        <v>163667.03041012882</v>
      </c>
      <c r="S947">
        <f t="shared" si="1017"/>
        <v>1.6366703041012882</v>
      </c>
      <c r="T947">
        <f t="shared" si="1018"/>
        <v>1.6366703041012882E-3</v>
      </c>
    </row>
    <row r="948" spans="1:20" x14ac:dyDescent="0.25">
      <c r="A948" s="5">
        <v>43645</v>
      </c>
      <c r="B948">
        <v>112.13</v>
      </c>
      <c r="C948">
        <v>114.6</v>
      </c>
      <c r="D948">
        <v>105.86</v>
      </c>
      <c r="E948">
        <v>113.89</v>
      </c>
      <c r="F948">
        <v>17768.532220000001</v>
      </c>
      <c r="G948">
        <v>0</v>
      </c>
      <c r="L948" t="s">
        <v>7</v>
      </c>
      <c r="M948" t="s">
        <v>8</v>
      </c>
      <c r="N948" t="s">
        <v>8</v>
      </c>
      <c r="P948">
        <f t="shared" si="1014"/>
        <v>0.83752860411899444</v>
      </c>
      <c r="Q948">
        <f t="shared" si="1015"/>
        <v>14881.653987459978</v>
      </c>
      <c r="R948">
        <f t="shared" si="1016"/>
        <v>180182.63108099648</v>
      </c>
      <c r="S948">
        <f t="shared" si="1017"/>
        <v>1.8018263108099648</v>
      </c>
      <c r="T948">
        <f t="shared" si="1018"/>
        <v>1.8018263108099649E-3</v>
      </c>
    </row>
    <row r="949" spans="1:20" x14ac:dyDescent="0.25">
      <c r="A949" s="5">
        <v>43644</v>
      </c>
      <c r="B949">
        <v>106.78</v>
      </c>
      <c r="C949">
        <v>116.39</v>
      </c>
      <c r="D949">
        <v>105.84</v>
      </c>
      <c r="E949">
        <v>111.97</v>
      </c>
      <c r="F949">
        <v>36625.846740000001</v>
      </c>
      <c r="G949">
        <v>0</v>
      </c>
      <c r="L949" t="s">
        <v>8</v>
      </c>
      <c r="M949" t="s">
        <v>8</v>
      </c>
      <c r="N949" t="s">
        <v>8</v>
      </c>
      <c r="P949">
        <f t="shared" si="1014"/>
        <v>0.16208530805687149</v>
      </c>
      <c r="Q949">
        <f t="shared" si="1015"/>
        <v>5936.5116516966627</v>
      </c>
      <c r="R949">
        <f t="shared" si="1016"/>
        <v>165300.97709353649</v>
      </c>
      <c r="S949">
        <f t="shared" si="1017"/>
        <v>1.6530097709353648</v>
      </c>
      <c r="T949">
        <f t="shared" si="1018"/>
        <v>1.6530097709353648E-3</v>
      </c>
    </row>
    <row r="950" spans="1:20" x14ac:dyDescent="0.25">
      <c r="A950" s="5">
        <v>43643</v>
      </c>
      <c r="B950">
        <v>113.82</v>
      </c>
      <c r="C950">
        <v>114.49</v>
      </c>
      <c r="D950">
        <v>97.61</v>
      </c>
      <c r="E950">
        <v>106.96</v>
      </c>
      <c r="F950">
        <v>40675.290520000002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0.10781990521326977</v>
      </c>
      <c r="Q950">
        <f t="shared" si="1015"/>
        <v>4385.6059683886106</v>
      </c>
      <c r="R950">
        <f t="shared" si="1016"/>
        <v>159364.46544183983</v>
      </c>
      <c r="S950">
        <f t="shared" si="1017"/>
        <v>1.5936446544183982</v>
      </c>
      <c r="T950">
        <f t="shared" si="1018"/>
        <v>1.5936446544183981E-3</v>
      </c>
    </row>
    <row r="951" spans="1:20" x14ac:dyDescent="0.25">
      <c r="A951" s="5">
        <v>43642</v>
      </c>
      <c r="B951">
        <v>105.76</v>
      </c>
      <c r="C951">
        <v>125.79</v>
      </c>
      <c r="D951">
        <v>105.4</v>
      </c>
      <c r="E951">
        <v>114.12</v>
      </c>
      <c r="F951">
        <v>66012.032749999998</v>
      </c>
      <c r="G951">
        <v>0</v>
      </c>
      <c r="L951" t="s">
        <v>8</v>
      </c>
      <c r="M951" t="s">
        <v>8</v>
      </c>
      <c r="N951" t="s">
        <v>8</v>
      </c>
      <c r="P951">
        <f t="shared" si="1014"/>
        <v>-0.14467876410004918</v>
      </c>
      <c r="Q951">
        <f t="shared" si="1015"/>
        <v>-9550.5393140019696</v>
      </c>
      <c r="R951">
        <f t="shared" si="1016"/>
        <v>154978.85947345122</v>
      </c>
      <c r="S951">
        <f t="shared" si="1017"/>
        <v>1.5497885947345122</v>
      </c>
      <c r="T951">
        <f t="shared" si="1018"/>
        <v>1.5497885947345121E-3</v>
      </c>
    </row>
    <row r="952" spans="1:20" x14ac:dyDescent="0.25">
      <c r="A952" s="5">
        <v>43641</v>
      </c>
      <c r="B952">
        <v>109.08</v>
      </c>
      <c r="C952">
        <v>110</v>
      </c>
      <c r="D952">
        <v>103.29</v>
      </c>
      <c r="E952">
        <v>105.57</v>
      </c>
      <c r="F952">
        <v>24424.171300000002</v>
      </c>
      <c r="G952">
        <v>0</v>
      </c>
      <c r="L952" t="s">
        <v>7</v>
      </c>
      <c r="M952" t="s">
        <v>8</v>
      </c>
      <c r="N952" t="s">
        <v>8</v>
      </c>
      <c r="P952">
        <f t="shared" si="1014"/>
        <v>-0.32041728763040567</v>
      </c>
      <c r="Q952">
        <f t="shared" si="1015"/>
        <v>-7825.9267205664</v>
      </c>
      <c r="R952">
        <f t="shared" si="1016"/>
        <v>164529.39878745319</v>
      </c>
      <c r="S952">
        <f t="shared" si="1017"/>
        <v>1.6452939878745318</v>
      </c>
      <c r="T952">
        <f t="shared" si="1018"/>
        <v>1.6452939878745319E-3</v>
      </c>
    </row>
    <row r="953" spans="1:20" x14ac:dyDescent="0.25">
      <c r="A953" s="5">
        <v>43640</v>
      </c>
      <c r="B953">
        <v>110.34</v>
      </c>
      <c r="C953">
        <v>110.77</v>
      </c>
      <c r="D953">
        <v>104.6</v>
      </c>
      <c r="E953">
        <v>109.19</v>
      </c>
      <c r="F953">
        <v>19588.790110000002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0.48784440842787752</v>
      </c>
      <c r="Q953">
        <f t="shared" si="1015"/>
        <v>9556.2817230308083</v>
      </c>
      <c r="R953">
        <f t="shared" si="1016"/>
        <v>172355.3255080196</v>
      </c>
      <c r="S953">
        <f t="shared" si="1017"/>
        <v>1.723553255080196</v>
      </c>
      <c r="T953">
        <f t="shared" si="1018"/>
        <v>1.723553255080196E-3</v>
      </c>
    </row>
    <row r="954" spans="1:20" x14ac:dyDescent="0.25">
      <c r="A954" s="5">
        <v>43639</v>
      </c>
      <c r="B954">
        <v>113.35</v>
      </c>
      <c r="C954">
        <v>115.09</v>
      </c>
      <c r="D954">
        <v>109.3</v>
      </c>
      <c r="E954">
        <v>110.25</v>
      </c>
      <c r="F954">
        <v>25442.14518</v>
      </c>
      <c r="G954">
        <v>0</v>
      </c>
      <c r="L954" t="s">
        <v>8</v>
      </c>
      <c r="M954" t="s">
        <v>8</v>
      </c>
      <c r="N954" t="s">
        <v>8</v>
      </c>
      <c r="P954">
        <f t="shared" si="1014"/>
        <v>-0.67184801381692516</v>
      </c>
      <c r="Q954">
        <f t="shared" si="1015"/>
        <v>-17093.254706424854</v>
      </c>
      <c r="R954">
        <f t="shared" si="1016"/>
        <v>162799.04378498878</v>
      </c>
      <c r="S954">
        <f t="shared" si="1017"/>
        <v>1.6279904378498877</v>
      </c>
      <c r="T954">
        <f t="shared" si="1018"/>
        <v>1.6279904378498878E-3</v>
      </c>
    </row>
    <row r="955" spans="1:20" x14ac:dyDescent="0.25">
      <c r="A955" s="5">
        <v>43638</v>
      </c>
      <c r="B955">
        <v>109.75</v>
      </c>
      <c r="C955">
        <v>117.56</v>
      </c>
      <c r="D955">
        <v>108.46</v>
      </c>
      <c r="E955">
        <v>113.51</v>
      </c>
      <c r="F955">
        <v>39615.659449999999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0.10989010989011135</v>
      </c>
      <c r="Q955">
        <f t="shared" si="1015"/>
        <v>4353.3691703297281</v>
      </c>
      <c r="R955">
        <f t="shared" si="1016"/>
        <v>179892.29849141365</v>
      </c>
      <c r="S955">
        <f t="shared" si="1017"/>
        <v>1.7989229849141364</v>
      </c>
      <c r="T955">
        <f t="shared" si="1018"/>
        <v>1.7989229849141365E-3</v>
      </c>
    </row>
    <row r="956" spans="1:20" x14ac:dyDescent="0.25">
      <c r="A956" s="5">
        <v>43637</v>
      </c>
      <c r="B956">
        <v>109.58</v>
      </c>
      <c r="C956">
        <v>114.37</v>
      </c>
      <c r="D956">
        <v>107.7</v>
      </c>
      <c r="E956">
        <v>109.75</v>
      </c>
      <c r="F956">
        <v>31068.375700000001</v>
      </c>
      <c r="G956">
        <v>0</v>
      </c>
      <c r="L956" t="s">
        <v>8</v>
      </c>
      <c r="M956" t="s">
        <v>8</v>
      </c>
      <c r="N956" t="s">
        <v>8</v>
      </c>
      <c r="P956">
        <f t="shared" si="1014"/>
        <v>-0.38530734632683761</v>
      </c>
      <c r="Q956">
        <f t="shared" si="1015"/>
        <v>-11970.873395652206</v>
      </c>
      <c r="R956">
        <f t="shared" si="1016"/>
        <v>175538.92932108391</v>
      </c>
      <c r="S956">
        <f t="shared" si="1017"/>
        <v>1.755389293210839</v>
      </c>
      <c r="T956">
        <f t="shared" si="1018"/>
        <v>1.7553892932108391E-3</v>
      </c>
    </row>
    <row r="957" spans="1:20" x14ac:dyDescent="0.25">
      <c r="A957" s="5">
        <v>43636</v>
      </c>
      <c r="B957">
        <v>110.81</v>
      </c>
      <c r="C957">
        <v>111.1</v>
      </c>
      <c r="D957">
        <v>105.67</v>
      </c>
      <c r="E957">
        <v>109.39</v>
      </c>
      <c r="F957">
        <v>22544.859789999999</v>
      </c>
      <c r="G957">
        <v>0</v>
      </c>
      <c r="L957" t="s">
        <v>7</v>
      </c>
      <c r="M957" t="s">
        <v>8</v>
      </c>
      <c r="N957" t="s">
        <v>8</v>
      </c>
      <c r="P957">
        <f t="shared" si="1014"/>
        <v>0.37016574585635503</v>
      </c>
      <c r="Q957">
        <f t="shared" si="1015"/>
        <v>8345.334839392297</v>
      </c>
      <c r="R957">
        <f t="shared" si="1016"/>
        <v>187509.80271673613</v>
      </c>
      <c r="S957">
        <f t="shared" si="1017"/>
        <v>1.8750980271673612</v>
      </c>
      <c r="T957">
        <f t="shared" si="1018"/>
        <v>1.8750980271673612E-3</v>
      </c>
    </row>
    <row r="958" spans="1:20" x14ac:dyDescent="0.25">
      <c r="A958" s="5">
        <v>43635</v>
      </c>
      <c r="B958">
        <v>111.96</v>
      </c>
      <c r="C958">
        <v>115.41</v>
      </c>
      <c r="D958">
        <v>106.85</v>
      </c>
      <c r="E958">
        <v>110.66</v>
      </c>
      <c r="F958">
        <v>51184.361770000003</v>
      </c>
      <c r="G958">
        <v>0</v>
      </c>
      <c r="L958" t="s">
        <v>7</v>
      </c>
      <c r="M958" t="s">
        <v>8</v>
      </c>
      <c r="N958" t="s">
        <v>8</v>
      </c>
      <c r="P958">
        <f t="shared" si="1014"/>
        <v>-0.10981308411214924</v>
      </c>
      <c r="Q958">
        <f t="shared" si="1015"/>
        <v>-5620.7126242756867</v>
      </c>
      <c r="R958">
        <f t="shared" si="1016"/>
        <v>179164.46787734382</v>
      </c>
      <c r="S958">
        <f t="shared" si="1017"/>
        <v>1.7916446787734381</v>
      </c>
      <c r="T958">
        <f t="shared" si="1018"/>
        <v>1.7916446787734381E-3</v>
      </c>
    </row>
    <row r="959" spans="1:20" x14ac:dyDescent="0.25">
      <c r="A959" s="5">
        <v>43634</v>
      </c>
      <c r="B959">
        <v>101.99</v>
      </c>
      <c r="C959">
        <v>113.84</v>
      </c>
      <c r="D959">
        <v>99.44</v>
      </c>
      <c r="E959">
        <v>111.95</v>
      </c>
      <c r="F959">
        <v>88862.672709999999</v>
      </c>
      <c r="G959">
        <v>0</v>
      </c>
      <c r="L959" t="s">
        <v>8</v>
      </c>
      <c r="M959" t="s">
        <v>8</v>
      </c>
      <c r="N959" t="s">
        <v>8</v>
      </c>
      <c r="P959">
        <f t="shared" si="1014"/>
        <v>0.73750000000000004</v>
      </c>
      <c r="Q959">
        <f t="shared" si="1015"/>
        <v>65536.221123625</v>
      </c>
      <c r="R959">
        <f t="shared" si="1016"/>
        <v>184785.1805016195</v>
      </c>
      <c r="S959">
        <f t="shared" si="1017"/>
        <v>1.8478518050161949</v>
      </c>
      <c r="T959">
        <f t="shared" si="1018"/>
        <v>1.8478518050161949E-3</v>
      </c>
    </row>
    <row r="960" spans="1:20" x14ac:dyDescent="0.25">
      <c r="A960" s="5">
        <v>43633</v>
      </c>
      <c r="B960">
        <v>93.35</v>
      </c>
      <c r="C960">
        <v>105.23</v>
      </c>
      <c r="D960">
        <v>93.35</v>
      </c>
      <c r="E960">
        <v>102.09</v>
      </c>
      <c r="F960">
        <v>42563.868799999997</v>
      </c>
      <c r="G960">
        <v>0</v>
      </c>
      <c r="L960" t="s">
        <v>8</v>
      </c>
      <c r="M960" t="s">
        <v>8</v>
      </c>
      <c r="N960" t="s">
        <v>8</v>
      </c>
      <c r="P960">
        <f t="shared" si="1014"/>
        <v>0.47138047138047173</v>
      </c>
      <c r="Q960">
        <f t="shared" si="1015"/>
        <v>20063.776538720551</v>
      </c>
      <c r="R960">
        <f t="shared" si="1016"/>
        <v>119248.9593779945</v>
      </c>
      <c r="S960">
        <f t="shared" si="1017"/>
        <v>1.1924895937799449</v>
      </c>
      <c r="T960">
        <f t="shared" si="1018"/>
        <v>1.1924895937799448E-3</v>
      </c>
    </row>
    <row r="961" spans="1:20" x14ac:dyDescent="0.25">
      <c r="A961" s="5">
        <v>43632</v>
      </c>
      <c r="B961">
        <v>92.08</v>
      </c>
      <c r="C961">
        <v>94.74</v>
      </c>
      <c r="D961">
        <v>90.95</v>
      </c>
      <c r="E961">
        <v>93.51</v>
      </c>
      <c r="F961">
        <v>16347.67369</v>
      </c>
      <c r="G961">
        <v>0</v>
      </c>
      <c r="L961" t="s">
        <v>8</v>
      </c>
      <c r="M961" t="s">
        <v>8</v>
      </c>
      <c r="N961" t="s">
        <v>8</v>
      </c>
      <c r="P961">
        <f t="shared" si="1014"/>
        <v>0.35092348284960828</v>
      </c>
      <c r="Q961">
        <f t="shared" si="1015"/>
        <v>5736.7825877837076</v>
      </c>
      <c r="R961">
        <f t="shared" si="1016"/>
        <v>99185.182839273941</v>
      </c>
      <c r="S961">
        <f t="shared" si="1017"/>
        <v>0.99185182839273944</v>
      </c>
      <c r="T961">
        <f t="shared" si="1018"/>
        <v>9.9185182839273936E-4</v>
      </c>
    </row>
    <row r="962" spans="1:20" x14ac:dyDescent="0.25">
      <c r="A962" s="5">
        <v>43631</v>
      </c>
      <c r="B962">
        <v>90.77</v>
      </c>
      <c r="C962">
        <v>93.63</v>
      </c>
      <c r="D962">
        <v>90.05</v>
      </c>
      <c r="E962">
        <v>92.08</v>
      </c>
      <c r="F962">
        <v>17835.5805</v>
      </c>
      <c r="G962">
        <v>0</v>
      </c>
      <c r="L962" t="s">
        <v>8</v>
      </c>
      <c r="M962" t="s">
        <v>8</v>
      </c>
      <c r="N962" t="s">
        <v>8</v>
      </c>
      <c r="P962">
        <f t="shared" si="1014"/>
        <v>0.13407821229050396</v>
      </c>
      <c r="Q962">
        <f t="shared" si="1015"/>
        <v>2391.3627486033729</v>
      </c>
      <c r="R962">
        <f t="shared" si="1016"/>
        <v>93448.400251490239</v>
      </c>
      <c r="S962">
        <f t="shared" si="1017"/>
        <v>0.93448400251490238</v>
      </c>
      <c r="T962">
        <f t="shared" si="1018"/>
        <v>9.3448400251490242E-4</v>
      </c>
    </row>
    <row r="963" spans="1:20" x14ac:dyDescent="0.25">
      <c r="A963" s="5">
        <v>43630</v>
      </c>
      <c r="B963">
        <v>87.87</v>
      </c>
      <c r="C963">
        <v>95.98</v>
      </c>
      <c r="D963">
        <v>86.96</v>
      </c>
      <c r="E963">
        <v>90.68</v>
      </c>
      <c r="F963">
        <v>38452.105810000001</v>
      </c>
      <c r="G963">
        <v>0</v>
      </c>
      <c r="L963" t="s">
        <v>8</v>
      </c>
      <c r="M963" t="s">
        <v>8</v>
      </c>
      <c r="N963" t="s">
        <v>8</v>
      </c>
      <c r="P963">
        <f t="shared" si="1014"/>
        <v>-0.17516629711751466</v>
      </c>
      <c r="Q963">
        <f t="shared" si="1015"/>
        <v>-6735.5129911085724</v>
      </c>
      <c r="R963">
        <f t="shared" si="1016"/>
        <v>91057.037502886873</v>
      </c>
      <c r="S963">
        <f t="shared" si="1017"/>
        <v>0.91057037502886873</v>
      </c>
      <c r="T963">
        <f t="shared" si="1018"/>
        <v>9.1057037502886872E-4</v>
      </c>
    </row>
    <row r="964" spans="1:20" x14ac:dyDescent="0.25">
      <c r="A964" s="5">
        <v>43629</v>
      </c>
      <c r="B964">
        <v>91.24</v>
      </c>
      <c r="C964">
        <v>91.71</v>
      </c>
      <c r="D964">
        <v>86.29</v>
      </c>
      <c r="E964">
        <v>87.84</v>
      </c>
      <c r="F964">
        <v>24301.779030000002</v>
      </c>
      <c r="G964">
        <v>0</v>
      </c>
      <c r="L964" t="s">
        <v>8</v>
      </c>
      <c r="M964" t="s">
        <v>8</v>
      </c>
      <c r="N964" t="s">
        <v>8</v>
      </c>
      <c r="P964">
        <f t="shared" si="1014"/>
        <v>-0.42804428044280418</v>
      </c>
      <c r="Q964">
        <f t="shared" si="1015"/>
        <v>-10402.237518376378</v>
      </c>
      <c r="R964">
        <f t="shared" si="1016"/>
        <v>97792.550493995441</v>
      </c>
      <c r="S964">
        <f t="shared" si="1017"/>
        <v>0.97792550493995445</v>
      </c>
      <c r="T964">
        <f t="shared" si="1018"/>
        <v>9.7792550493995436E-4</v>
      </c>
    </row>
    <row r="965" spans="1:20" x14ac:dyDescent="0.25">
      <c r="A965" s="5">
        <v>43628</v>
      </c>
      <c r="B965">
        <v>79.56</v>
      </c>
      <c r="C965">
        <v>92.02</v>
      </c>
      <c r="D965">
        <v>78.819999999999993</v>
      </c>
      <c r="E965">
        <v>91.1</v>
      </c>
      <c r="F965">
        <v>33700.714670000001</v>
      </c>
      <c r="G965">
        <v>0</v>
      </c>
      <c r="L965" t="s">
        <v>8</v>
      </c>
      <c r="M965" t="s">
        <v>8</v>
      </c>
      <c r="N965" t="s">
        <v>8</v>
      </c>
      <c r="P965">
        <f t="shared" si="1014"/>
        <v>0.86060606060606037</v>
      </c>
      <c r="Q965">
        <f t="shared" si="1015"/>
        <v>29003.03929175757</v>
      </c>
      <c r="R965">
        <f t="shared" si="1016"/>
        <v>108194.78801237182</v>
      </c>
      <c r="S965">
        <f t="shared" si="1017"/>
        <v>1.0819478801237181</v>
      </c>
      <c r="T965">
        <f t="shared" si="1018"/>
        <v>1.081947880123718E-3</v>
      </c>
    </row>
    <row r="966" spans="1:20" x14ac:dyDescent="0.25">
      <c r="A966" s="5">
        <v>43627</v>
      </c>
      <c r="B966">
        <v>79.97</v>
      </c>
      <c r="C966">
        <v>80.180000000000007</v>
      </c>
      <c r="D966">
        <v>77</v>
      </c>
      <c r="E966">
        <v>79.5</v>
      </c>
      <c r="F966">
        <v>6915.5273100000004</v>
      </c>
      <c r="G966">
        <v>0</v>
      </c>
      <c r="L966" t="s">
        <v>8</v>
      </c>
      <c r="M966" t="s">
        <v>7</v>
      </c>
      <c r="N966" t="s">
        <v>8</v>
      </c>
      <c r="P966">
        <f t="shared" ref="P966:P1029" si="1019">IF(C966=D966,0,((E966-D966)-(C966-E966))/(C966-D966))</f>
        <v>0.57232704402515389</v>
      </c>
      <c r="Q966">
        <f t="shared" ref="Q966:Q1029" si="1020">F966*P966</f>
        <v>3957.9433032075244</v>
      </c>
      <c r="R966">
        <f t="shared" ref="R966:R1029" si="1021">R967+Q966</f>
        <v>79191.748720614254</v>
      </c>
      <c r="S966">
        <f t="shared" ref="S966:S1029" si="1022">R966/100000</f>
        <v>0.79191748720614252</v>
      </c>
      <c r="T966">
        <f t="shared" ref="T966:T1029" si="1023">S966/1000</f>
        <v>7.9191748720614256E-4</v>
      </c>
    </row>
    <row r="967" spans="1:20" x14ac:dyDescent="0.25">
      <c r="A967" s="5">
        <v>43626</v>
      </c>
      <c r="B967">
        <v>77.2</v>
      </c>
      <c r="C967">
        <v>81.2</v>
      </c>
      <c r="D967">
        <v>76.14</v>
      </c>
      <c r="E967">
        <v>80.12</v>
      </c>
      <c r="F967">
        <v>10283.07538</v>
      </c>
      <c r="G967">
        <v>0</v>
      </c>
      <c r="L967" t="s">
        <v>8</v>
      </c>
      <c r="M967" t="s">
        <v>7</v>
      </c>
      <c r="N967" t="s">
        <v>8</v>
      </c>
      <c r="P967">
        <f t="shared" si="1019"/>
        <v>0.57312252964426968</v>
      </c>
      <c r="Q967">
        <f t="shared" si="1020"/>
        <v>5893.4621743083098</v>
      </c>
      <c r="R967">
        <f t="shared" si="1021"/>
        <v>75233.805417406737</v>
      </c>
      <c r="S967">
        <f t="shared" si="1022"/>
        <v>0.75233805417406741</v>
      </c>
      <c r="T967">
        <f t="shared" si="1023"/>
        <v>7.5233805417406743E-4</v>
      </c>
    </row>
    <row r="968" spans="1:20" x14ac:dyDescent="0.25">
      <c r="A968" s="5">
        <v>43625</v>
      </c>
      <c r="B968">
        <v>80.239999999999995</v>
      </c>
      <c r="C968">
        <v>80.8</v>
      </c>
      <c r="D968">
        <v>75.39</v>
      </c>
      <c r="E968">
        <v>77.349999999999994</v>
      </c>
      <c r="F968">
        <v>16558.354899999998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-0.27541589648798709</v>
      </c>
      <c r="Q968">
        <f t="shared" si="1020"/>
        <v>-4560.4341591497532</v>
      </c>
      <c r="R968">
        <f t="shared" si="1021"/>
        <v>69340.343243098425</v>
      </c>
      <c r="S968">
        <f t="shared" si="1022"/>
        <v>0.69340343243098423</v>
      </c>
      <c r="T968">
        <f t="shared" si="1023"/>
        <v>6.9340343243098424E-4</v>
      </c>
    </row>
    <row r="969" spans="1:20" x14ac:dyDescent="0.25">
      <c r="A969" s="5">
        <v>43624</v>
      </c>
      <c r="B969">
        <v>83.26</v>
      </c>
      <c r="C969">
        <v>84.22</v>
      </c>
      <c r="D969">
        <v>80</v>
      </c>
      <c r="E969">
        <v>80.44</v>
      </c>
      <c r="F969">
        <v>22070.247329999998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-0.79146919431279728</v>
      </c>
      <c r="Q969">
        <f t="shared" si="1020"/>
        <v>-17467.920872559265</v>
      </c>
      <c r="R969">
        <f t="shared" si="1021"/>
        <v>73900.777402248175</v>
      </c>
      <c r="S969">
        <f t="shared" si="1022"/>
        <v>0.73900777402248174</v>
      </c>
      <c r="T969">
        <f t="shared" si="1023"/>
        <v>7.3900777402248171E-4</v>
      </c>
    </row>
    <row r="970" spans="1:20" x14ac:dyDescent="0.25">
      <c r="A970" s="5">
        <v>43623</v>
      </c>
      <c r="B970">
        <v>79.650000000000006</v>
      </c>
      <c r="C970">
        <v>84.6</v>
      </c>
      <c r="D970">
        <v>79.19</v>
      </c>
      <c r="E970">
        <v>83.13</v>
      </c>
      <c r="F970">
        <v>11754.609769999999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0.45656192236598897</v>
      </c>
      <c r="Q970">
        <f t="shared" si="1020"/>
        <v>5366.7072332532352</v>
      </c>
      <c r="R970">
        <f t="shared" si="1021"/>
        <v>91368.698274807437</v>
      </c>
      <c r="S970">
        <f t="shared" si="1022"/>
        <v>0.91368698274807436</v>
      </c>
      <c r="T970">
        <f t="shared" si="1023"/>
        <v>9.1368698274807436E-4</v>
      </c>
    </row>
    <row r="971" spans="1:20" x14ac:dyDescent="0.25">
      <c r="A971" s="5">
        <v>43622</v>
      </c>
      <c r="B971">
        <v>80.5</v>
      </c>
      <c r="C971">
        <v>81.12</v>
      </c>
      <c r="D971">
        <v>76.2</v>
      </c>
      <c r="E971">
        <v>79.650000000000006</v>
      </c>
      <c r="F971">
        <v>10912.96883</v>
      </c>
      <c r="G971">
        <v>0</v>
      </c>
      <c r="L971" t="s">
        <v>7</v>
      </c>
      <c r="M971" t="s">
        <v>7</v>
      </c>
      <c r="N971" t="s">
        <v>8</v>
      </c>
      <c r="P971">
        <f t="shared" si="1019"/>
        <v>0.40243902439024459</v>
      </c>
      <c r="Q971">
        <f t="shared" si="1020"/>
        <v>4391.8045291463486</v>
      </c>
      <c r="R971">
        <f t="shared" si="1021"/>
        <v>86001.991041554196</v>
      </c>
      <c r="S971">
        <f t="shared" si="1022"/>
        <v>0.86001991041554193</v>
      </c>
      <c r="T971">
        <f t="shared" si="1023"/>
        <v>8.6001991041554195E-4</v>
      </c>
    </row>
    <row r="972" spans="1:20" x14ac:dyDescent="0.25">
      <c r="A972" s="5">
        <v>43621</v>
      </c>
      <c r="B972">
        <v>77.83</v>
      </c>
      <c r="C972">
        <v>80.56</v>
      </c>
      <c r="D972">
        <v>76.59</v>
      </c>
      <c r="E972">
        <v>80.41</v>
      </c>
      <c r="F972">
        <v>13299.61318</v>
      </c>
      <c r="G972">
        <v>0</v>
      </c>
      <c r="L972" t="s">
        <v>7</v>
      </c>
      <c r="M972" t="s">
        <v>7</v>
      </c>
      <c r="N972" t="s">
        <v>8</v>
      </c>
      <c r="P972">
        <f t="shared" si="1019"/>
        <v>0.92443324937027416</v>
      </c>
      <c r="Q972">
        <f t="shared" si="1020"/>
        <v>12294.604627355126</v>
      </c>
      <c r="R972">
        <f t="shared" si="1021"/>
        <v>81610.186512407847</v>
      </c>
      <c r="S972">
        <f t="shared" si="1022"/>
        <v>0.81610186512407845</v>
      </c>
      <c r="T972">
        <f t="shared" si="1023"/>
        <v>8.1610186512407845E-4</v>
      </c>
    </row>
    <row r="973" spans="1:20" x14ac:dyDescent="0.25">
      <c r="A973" s="5">
        <v>43620</v>
      </c>
      <c r="B973">
        <v>83.38</v>
      </c>
      <c r="C973">
        <v>89.27</v>
      </c>
      <c r="D973">
        <v>75.59</v>
      </c>
      <c r="E973">
        <v>77.69</v>
      </c>
      <c r="F973">
        <v>28460.410889999999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-0.69298245614035159</v>
      </c>
      <c r="Q973">
        <f t="shared" si="1020"/>
        <v>-19722.565441315808</v>
      </c>
      <c r="R973">
        <f t="shared" si="1021"/>
        <v>69315.581885052714</v>
      </c>
      <c r="S973">
        <f t="shared" si="1022"/>
        <v>0.69315581885052713</v>
      </c>
      <c r="T973">
        <f t="shared" si="1023"/>
        <v>6.9315581885052708E-4</v>
      </c>
    </row>
    <row r="974" spans="1:20" x14ac:dyDescent="0.25">
      <c r="A974" s="5">
        <v>43619</v>
      </c>
      <c r="B974">
        <v>88.87</v>
      </c>
      <c r="C974">
        <v>88.87</v>
      </c>
      <c r="D974">
        <v>81.17</v>
      </c>
      <c r="E974">
        <v>83.63</v>
      </c>
      <c r="F974">
        <v>26116.184730000001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-0.36103896103896288</v>
      </c>
      <c r="Q974">
        <f t="shared" si="1020"/>
        <v>-9428.960201220827</v>
      </c>
      <c r="R974">
        <f t="shared" si="1021"/>
        <v>89038.147326368518</v>
      </c>
      <c r="S974">
        <f t="shared" si="1022"/>
        <v>0.89038147326368522</v>
      </c>
      <c r="T974">
        <f t="shared" si="1023"/>
        <v>8.9038147326368517E-4</v>
      </c>
    </row>
    <row r="975" spans="1:20" x14ac:dyDescent="0.25">
      <c r="A975" s="5">
        <v>43618</v>
      </c>
      <c r="B975">
        <v>86.46</v>
      </c>
      <c r="C975">
        <v>89.73</v>
      </c>
      <c r="D975">
        <v>85.3</v>
      </c>
      <c r="E975">
        <v>88.86</v>
      </c>
      <c r="F975">
        <v>16001.009529999999</v>
      </c>
      <c r="G975">
        <v>0</v>
      </c>
      <c r="L975" t="s">
        <v>7</v>
      </c>
      <c r="M975" t="s">
        <v>7</v>
      </c>
      <c r="N975" t="s">
        <v>8</v>
      </c>
      <c r="P975">
        <f t="shared" si="1019"/>
        <v>0.60722347629796691</v>
      </c>
      <c r="Q975">
        <f t="shared" si="1020"/>
        <v>9716.188631083498</v>
      </c>
      <c r="R975">
        <f t="shared" si="1021"/>
        <v>98467.107527589338</v>
      </c>
      <c r="S975">
        <f t="shared" si="1022"/>
        <v>0.98467107527589337</v>
      </c>
      <c r="T975">
        <f t="shared" si="1023"/>
        <v>9.8467107527589327E-4</v>
      </c>
    </row>
    <row r="976" spans="1:20" x14ac:dyDescent="0.25">
      <c r="A976" s="5">
        <v>43617</v>
      </c>
      <c r="B976">
        <v>90.19</v>
      </c>
      <c r="C976">
        <v>92.51</v>
      </c>
      <c r="D976">
        <v>83.58</v>
      </c>
      <c r="E976">
        <v>86.17</v>
      </c>
      <c r="F976">
        <v>17879.98042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-0.41993281075027966</v>
      </c>
      <c r="Q976">
        <f t="shared" si="1020"/>
        <v>-7508.3904339305655</v>
      </c>
      <c r="R976">
        <f t="shared" si="1021"/>
        <v>88750.918896505842</v>
      </c>
      <c r="S976">
        <f t="shared" si="1022"/>
        <v>0.88750918896505837</v>
      </c>
      <c r="T976">
        <f t="shared" si="1023"/>
        <v>8.8750918896505842E-4</v>
      </c>
    </row>
    <row r="977" spans="1:20" x14ac:dyDescent="0.25">
      <c r="A977" s="5">
        <v>43616</v>
      </c>
      <c r="B977">
        <v>82.94</v>
      </c>
      <c r="C977">
        <v>90.86</v>
      </c>
      <c r="D977">
        <v>82.49</v>
      </c>
      <c r="E977">
        <v>90.2</v>
      </c>
      <c r="F977">
        <v>27580.390070000001</v>
      </c>
      <c r="G977">
        <v>0</v>
      </c>
      <c r="L977" t="s">
        <v>7</v>
      </c>
      <c r="M977" t="s">
        <v>7</v>
      </c>
      <c r="N977" t="s">
        <v>8</v>
      </c>
      <c r="P977">
        <f t="shared" si="1019"/>
        <v>0.8422939068100368</v>
      </c>
      <c r="Q977">
        <f t="shared" si="1020"/>
        <v>23230.794503405046</v>
      </c>
      <c r="R977">
        <f t="shared" si="1021"/>
        <v>96259.309330436401</v>
      </c>
      <c r="S977">
        <f t="shared" si="1022"/>
        <v>0.96259309330436404</v>
      </c>
      <c r="T977">
        <f t="shared" si="1023"/>
        <v>9.62593093304364E-4</v>
      </c>
    </row>
    <row r="978" spans="1:20" x14ac:dyDescent="0.25">
      <c r="A978" s="5">
        <v>43615</v>
      </c>
      <c r="B978">
        <v>84.89</v>
      </c>
      <c r="C978">
        <v>98.36</v>
      </c>
      <c r="D978">
        <v>80.09</v>
      </c>
      <c r="E978">
        <v>82.99</v>
      </c>
      <c r="F978">
        <v>71249.867169999998</v>
      </c>
      <c r="G978">
        <v>0</v>
      </c>
      <c r="L978" t="s">
        <v>8</v>
      </c>
      <c r="M978" t="s">
        <v>8</v>
      </c>
      <c r="N978" t="s">
        <v>8</v>
      </c>
      <c r="P978">
        <f t="shared" si="1019"/>
        <v>-0.68253968253968345</v>
      </c>
      <c r="Q978">
        <f t="shared" si="1020"/>
        <v>-48630.861719206412</v>
      </c>
      <c r="R978">
        <f t="shared" si="1021"/>
        <v>73028.514827031351</v>
      </c>
      <c r="S978">
        <f t="shared" si="1022"/>
        <v>0.73028514827031354</v>
      </c>
      <c r="T978">
        <f t="shared" si="1023"/>
        <v>7.3028514827031357E-4</v>
      </c>
    </row>
    <row r="979" spans="1:20" x14ac:dyDescent="0.25">
      <c r="A979" s="5">
        <v>43614</v>
      </c>
      <c r="B979">
        <v>85.07</v>
      </c>
      <c r="C979">
        <v>88.24</v>
      </c>
      <c r="D979">
        <v>79</v>
      </c>
      <c r="E979">
        <v>85.08</v>
      </c>
      <c r="F979">
        <v>20863.050510000001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0.31601731601731636</v>
      </c>
      <c r="Q979">
        <f t="shared" si="1020"/>
        <v>6593.0852261039036</v>
      </c>
      <c r="R979">
        <f t="shared" si="1021"/>
        <v>121659.37654623776</v>
      </c>
      <c r="S979">
        <f t="shared" si="1022"/>
        <v>1.2165937654623777</v>
      </c>
      <c r="T979">
        <f t="shared" si="1023"/>
        <v>1.2165937654623777E-3</v>
      </c>
    </row>
    <row r="980" spans="1:20" x14ac:dyDescent="0.25">
      <c r="A980" s="5">
        <v>43613</v>
      </c>
      <c r="B980">
        <v>76.34</v>
      </c>
      <c r="C980">
        <v>89</v>
      </c>
      <c r="D980">
        <v>76.11</v>
      </c>
      <c r="E980">
        <v>85.12</v>
      </c>
      <c r="F980">
        <v>37276.843610000004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0.39798293250581918</v>
      </c>
      <c r="Q980">
        <f t="shared" si="1020"/>
        <v>14835.547534468607</v>
      </c>
      <c r="R980">
        <f t="shared" si="1021"/>
        <v>115066.29132013387</v>
      </c>
      <c r="S980">
        <f t="shared" si="1022"/>
        <v>1.1506629132013386</v>
      </c>
      <c r="T980">
        <f t="shared" si="1023"/>
        <v>1.1506629132013385E-3</v>
      </c>
    </row>
    <row r="981" spans="1:20" x14ac:dyDescent="0.25">
      <c r="A981" s="5">
        <v>43612</v>
      </c>
      <c r="B981">
        <v>75.099999999999994</v>
      </c>
      <c r="C981">
        <v>78.040000000000006</v>
      </c>
      <c r="D981">
        <v>74.25</v>
      </c>
      <c r="E981">
        <v>76.22</v>
      </c>
      <c r="F981">
        <v>11406.892260000001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3.9577836411607184E-2</v>
      </c>
      <c r="Q981">
        <f t="shared" si="1020"/>
        <v>451.46011583110817</v>
      </c>
      <c r="R981">
        <f t="shared" si="1021"/>
        <v>100230.74378566525</v>
      </c>
      <c r="S981">
        <f t="shared" si="1022"/>
        <v>1.0023074378566525</v>
      </c>
      <c r="T981">
        <f t="shared" si="1023"/>
        <v>1.0023074378566527E-3</v>
      </c>
    </row>
    <row r="982" spans="1:20" x14ac:dyDescent="0.25">
      <c r="A982" s="5">
        <v>43611</v>
      </c>
      <c r="B982">
        <v>72.09</v>
      </c>
      <c r="C982">
        <v>76.239999999999995</v>
      </c>
      <c r="D982">
        <v>70.209999999999994</v>
      </c>
      <c r="E982">
        <v>75.319999999999993</v>
      </c>
      <c r="F982">
        <v>9162.2528000000002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0.69485903814261973</v>
      </c>
      <c r="Q982">
        <f t="shared" si="1020"/>
        <v>6366.474167827525</v>
      </c>
      <c r="R982">
        <f t="shared" si="1021"/>
        <v>99779.283669834142</v>
      </c>
      <c r="S982">
        <f t="shared" si="1022"/>
        <v>0.9977928366983414</v>
      </c>
      <c r="T982">
        <f t="shared" si="1023"/>
        <v>9.9779283669834142E-4</v>
      </c>
    </row>
    <row r="983" spans="1:20" x14ac:dyDescent="0.25">
      <c r="A983" s="5">
        <v>43610</v>
      </c>
      <c r="B983">
        <v>72.31</v>
      </c>
      <c r="C983">
        <v>73.75</v>
      </c>
      <c r="D983">
        <v>71.430000000000007</v>
      </c>
      <c r="E983">
        <v>72.3</v>
      </c>
      <c r="F983">
        <v>3955.0388200000002</v>
      </c>
      <c r="G983">
        <v>0</v>
      </c>
      <c r="L983" t="s">
        <v>8</v>
      </c>
      <c r="M983" t="s">
        <v>8</v>
      </c>
      <c r="N983" t="s">
        <v>8</v>
      </c>
      <c r="P983">
        <f t="shared" si="1019"/>
        <v>-0.25000000000000611</v>
      </c>
      <c r="Q983">
        <f t="shared" si="1020"/>
        <v>-988.75970500002416</v>
      </c>
      <c r="R983">
        <f t="shared" si="1021"/>
        <v>93412.80950200661</v>
      </c>
      <c r="S983">
        <f t="shared" si="1022"/>
        <v>0.93412809502006611</v>
      </c>
      <c r="T983">
        <f t="shared" si="1023"/>
        <v>9.3412809502006614E-4</v>
      </c>
    </row>
    <row r="984" spans="1:20" x14ac:dyDescent="0.25">
      <c r="A984" s="5">
        <v>43609</v>
      </c>
      <c r="B984">
        <v>71.930000000000007</v>
      </c>
      <c r="C984">
        <v>74.52</v>
      </c>
      <c r="D984">
        <v>71.38</v>
      </c>
      <c r="E984">
        <v>72.38</v>
      </c>
      <c r="F984">
        <v>4985.8985199999997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-0.36305732484076447</v>
      </c>
      <c r="Q984">
        <f t="shared" si="1020"/>
        <v>-1810.1669785987267</v>
      </c>
      <c r="R984">
        <f t="shared" si="1021"/>
        <v>94401.569207006629</v>
      </c>
      <c r="S984">
        <f t="shared" si="1022"/>
        <v>0.9440156920700663</v>
      </c>
      <c r="T984">
        <f t="shared" si="1023"/>
        <v>9.4401569207006627E-4</v>
      </c>
    </row>
    <row r="985" spans="1:20" x14ac:dyDescent="0.25">
      <c r="A985" s="5">
        <v>43608</v>
      </c>
      <c r="B985">
        <v>69.77</v>
      </c>
      <c r="C985">
        <v>72.319999999999993</v>
      </c>
      <c r="D985">
        <v>67.5</v>
      </c>
      <c r="E985">
        <v>71.91</v>
      </c>
      <c r="F985">
        <v>9911.5917800000007</v>
      </c>
      <c r="G985">
        <v>0</v>
      </c>
      <c r="L985" t="s">
        <v>7</v>
      </c>
      <c r="M985" t="s">
        <v>8</v>
      </c>
      <c r="N985" t="s">
        <v>8</v>
      </c>
      <c r="P985">
        <f t="shared" si="1019"/>
        <v>0.82987551867220033</v>
      </c>
      <c r="Q985">
        <f t="shared" si="1020"/>
        <v>8225.3873692946181</v>
      </c>
      <c r="R985">
        <f t="shared" si="1021"/>
        <v>96211.736185605361</v>
      </c>
      <c r="S985">
        <f t="shared" si="1022"/>
        <v>0.96211736185605357</v>
      </c>
      <c r="T985">
        <f t="shared" si="1023"/>
        <v>9.6211736185605355E-4</v>
      </c>
    </row>
    <row r="986" spans="1:20" x14ac:dyDescent="0.25">
      <c r="A986" s="5">
        <v>43607</v>
      </c>
      <c r="B986">
        <v>74.41</v>
      </c>
      <c r="C986">
        <v>75.459999999999994</v>
      </c>
      <c r="D986">
        <v>68.95</v>
      </c>
      <c r="E986">
        <v>69.73</v>
      </c>
      <c r="F986">
        <v>10244.618839999999</v>
      </c>
      <c r="G986">
        <v>0</v>
      </c>
      <c r="L986" t="s">
        <v>7</v>
      </c>
      <c r="M986" t="s">
        <v>8</v>
      </c>
      <c r="N986" t="s">
        <v>8</v>
      </c>
      <c r="P986">
        <f t="shared" si="1019"/>
        <v>-0.76036866359446931</v>
      </c>
      <c r="Q986">
        <f t="shared" si="1020"/>
        <v>-7789.6871364055214</v>
      </c>
      <c r="R986">
        <f t="shared" si="1021"/>
        <v>87986.348816310739</v>
      </c>
      <c r="S986">
        <f t="shared" si="1022"/>
        <v>0.87986348816310744</v>
      </c>
      <c r="T986">
        <f t="shared" si="1023"/>
        <v>8.7986348816310742E-4</v>
      </c>
    </row>
    <row r="987" spans="1:20" x14ac:dyDescent="0.25">
      <c r="A987" s="5">
        <v>43606</v>
      </c>
      <c r="B987">
        <v>75.84</v>
      </c>
      <c r="C987">
        <v>76.569999999999993</v>
      </c>
      <c r="D987">
        <v>73.44</v>
      </c>
      <c r="E987">
        <v>74.510000000000005</v>
      </c>
      <c r="F987">
        <v>16332.14803</v>
      </c>
      <c r="G987">
        <v>0</v>
      </c>
      <c r="L987" t="s">
        <v>7</v>
      </c>
      <c r="M987" t="s">
        <v>8</v>
      </c>
      <c r="N987" t="s">
        <v>8</v>
      </c>
      <c r="P987">
        <f t="shared" si="1019"/>
        <v>-0.31629392971245435</v>
      </c>
      <c r="Q987">
        <f t="shared" si="1020"/>
        <v>-5165.7592810542201</v>
      </c>
      <c r="R987">
        <f t="shared" si="1021"/>
        <v>95776.035952716265</v>
      </c>
      <c r="S987">
        <f t="shared" si="1022"/>
        <v>0.95776035952716265</v>
      </c>
      <c r="T987">
        <f t="shared" si="1023"/>
        <v>9.577603595271627E-4</v>
      </c>
    </row>
    <row r="988" spans="1:20" x14ac:dyDescent="0.25">
      <c r="A988" s="5">
        <v>43605</v>
      </c>
      <c r="B988">
        <v>77.569999999999993</v>
      </c>
      <c r="C988">
        <v>77.89</v>
      </c>
      <c r="D988">
        <v>72.069999999999993</v>
      </c>
      <c r="E988">
        <v>75.95</v>
      </c>
      <c r="F988">
        <v>14181.82209</v>
      </c>
      <c r="G988">
        <v>0</v>
      </c>
      <c r="L988" t="s">
        <v>7</v>
      </c>
      <c r="M988" t="s">
        <v>8</v>
      </c>
      <c r="N988" t="s">
        <v>8</v>
      </c>
      <c r="P988">
        <f t="shared" si="1019"/>
        <v>0.33333333333333498</v>
      </c>
      <c r="Q988">
        <f t="shared" si="1020"/>
        <v>4727.2740300000232</v>
      </c>
      <c r="R988">
        <f t="shared" si="1021"/>
        <v>100941.79523377049</v>
      </c>
      <c r="S988">
        <f t="shared" si="1022"/>
        <v>1.0094179523377049</v>
      </c>
      <c r="T988">
        <f t="shared" si="1023"/>
        <v>1.0094179523377049E-3</v>
      </c>
    </row>
    <row r="989" spans="1:20" x14ac:dyDescent="0.25">
      <c r="A989" s="5">
        <v>43604</v>
      </c>
      <c r="B989">
        <v>71.89</v>
      </c>
      <c r="C989">
        <v>78.930000000000007</v>
      </c>
      <c r="D989">
        <v>71.87</v>
      </c>
      <c r="E989">
        <v>77.599999999999994</v>
      </c>
      <c r="F989">
        <v>12258.0987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0.62322946175637051</v>
      </c>
      <c r="Q989">
        <f t="shared" si="1020"/>
        <v>7639.6082549574658</v>
      </c>
      <c r="R989">
        <f t="shared" si="1021"/>
        <v>96214.521203770462</v>
      </c>
      <c r="S989">
        <f t="shared" si="1022"/>
        <v>0.96214521203770464</v>
      </c>
      <c r="T989">
        <f t="shared" si="1023"/>
        <v>9.6214521203770464E-4</v>
      </c>
    </row>
    <row r="990" spans="1:20" x14ac:dyDescent="0.25">
      <c r="A990" s="5">
        <v>43603</v>
      </c>
      <c r="B990">
        <v>73.45</v>
      </c>
      <c r="C990">
        <v>74.239999999999995</v>
      </c>
      <c r="D990">
        <v>70.08</v>
      </c>
      <c r="E990">
        <v>71.91</v>
      </c>
      <c r="F990">
        <v>6902.5743199999997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-0.12019230769230779</v>
      </c>
      <c r="Q990">
        <f t="shared" si="1020"/>
        <v>-829.63633653846216</v>
      </c>
      <c r="R990">
        <f t="shared" si="1021"/>
        <v>88574.912948812998</v>
      </c>
      <c r="S990">
        <f t="shared" si="1022"/>
        <v>0.88574912948813</v>
      </c>
      <c r="T990">
        <f t="shared" si="1023"/>
        <v>8.8574912948812998E-4</v>
      </c>
    </row>
    <row r="991" spans="1:20" x14ac:dyDescent="0.25">
      <c r="A991" s="5">
        <v>43602</v>
      </c>
      <c r="B991">
        <v>74.83</v>
      </c>
      <c r="C991">
        <v>75.91</v>
      </c>
      <c r="D991">
        <v>66.040000000000006</v>
      </c>
      <c r="E991">
        <v>73.34</v>
      </c>
      <c r="F991">
        <v>21276.936600000001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0.47922998986828863</v>
      </c>
      <c r="Q991">
        <f t="shared" si="1020"/>
        <v>10196.54611124622</v>
      </c>
      <c r="R991">
        <f t="shared" si="1021"/>
        <v>89404.549285351459</v>
      </c>
      <c r="S991">
        <f t="shared" si="1022"/>
        <v>0.89404549285351453</v>
      </c>
      <c r="T991">
        <f t="shared" si="1023"/>
        <v>8.9404549285351451E-4</v>
      </c>
    </row>
    <row r="992" spans="1:20" x14ac:dyDescent="0.25">
      <c r="A992" s="5">
        <v>43601</v>
      </c>
      <c r="B992">
        <v>77.14</v>
      </c>
      <c r="C992">
        <v>82.18</v>
      </c>
      <c r="D992">
        <v>70.89</v>
      </c>
      <c r="E992">
        <v>75.260000000000005</v>
      </c>
      <c r="F992">
        <v>30460.109469999999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-0.22586359610274542</v>
      </c>
      <c r="Q992">
        <f t="shared" si="1020"/>
        <v>-6879.8298625774905</v>
      </c>
      <c r="R992">
        <f t="shared" si="1021"/>
        <v>79208.003174105237</v>
      </c>
      <c r="S992">
        <f t="shared" si="1022"/>
        <v>0.79208003174105235</v>
      </c>
      <c r="T992">
        <f t="shared" si="1023"/>
        <v>7.920800317410523E-4</v>
      </c>
    </row>
    <row r="993" spans="1:20" x14ac:dyDescent="0.25">
      <c r="A993" s="5">
        <v>43600</v>
      </c>
      <c r="B993">
        <v>67.510000000000005</v>
      </c>
      <c r="C993">
        <v>77.38</v>
      </c>
      <c r="D993">
        <v>67.510000000000005</v>
      </c>
      <c r="E993">
        <v>77</v>
      </c>
      <c r="F993">
        <v>12140.04615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0.9229989868287749</v>
      </c>
      <c r="Q993">
        <f t="shared" si="1020"/>
        <v>11205.25029650457</v>
      </c>
      <c r="R993">
        <f t="shared" si="1021"/>
        <v>86087.833036682729</v>
      </c>
      <c r="S993">
        <f t="shared" si="1022"/>
        <v>0.86087833036682726</v>
      </c>
      <c r="T993">
        <f t="shared" si="1023"/>
        <v>8.6087833036682724E-4</v>
      </c>
    </row>
    <row r="994" spans="1:20" x14ac:dyDescent="0.25">
      <c r="A994" s="5">
        <v>43599</v>
      </c>
      <c r="B994">
        <v>63.48</v>
      </c>
      <c r="C994">
        <v>69</v>
      </c>
      <c r="D994">
        <v>62.88</v>
      </c>
      <c r="E994">
        <v>67.510000000000005</v>
      </c>
      <c r="F994">
        <v>18708.29392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0.51307189542483811</v>
      </c>
      <c r="Q994">
        <f t="shared" si="1020"/>
        <v>9598.6998216993743</v>
      </c>
      <c r="R994">
        <f t="shared" si="1021"/>
        <v>74882.582740178157</v>
      </c>
      <c r="S994">
        <f t="shared" si="1022"/>
        <v>0.74882582740178161</v>
      </c>
      <c r="T994">
        <f t="shared" si="1023"/>
        <v>7.4882582740178158E-4</v>
      </c>
    </row>
    <row r="995" spans="1:20" x14ac:dyDescent="0.25">
      <c r="A995" s="5">
        <v>43598</v>
      </c>
      <c r="B995">
        <v>60.67</v>
      </c>
      <c r="C995">
        <v>65.900000000000006</v>
      </c>
      <c r="D995">
        <v>59.82</v>
      </c>
      <c r="E995">
        <v>63.58</v>
      </c>
      <c r="F995">
        <v>11496.17316</v>
      </c>
      <c r="G995">
        <v>0</v>
      </c>
      <c r="L995" t="s">
        <v>8</v>
      </c>
      <c r="M995" t="s">
        <v>7</v>
      </c>
      <c r="N995" t="s">
        <v>8</v>
      </c>
      <c r="P995">
        <f t="shared" si="1019"/>
        <v>0.23684210526315613</v>
      </c>
      <c r="Q995">
        <f t="shared" si="1020"/>
        <v>2722.7778536841902</v>
      </c>
      <c r="R995">
        <f t="shared" si="1021"/>
        <v>65283.882918478776</v>
      </c>
      <c r="S995">
        <f t="shared" si="1022"/>
        <v>0.65283882918478775</v>
      </c>
      <c r="T995">
        <f t="shared" si="1023"/>
        <v>6.5283882918478777E-4</v>
      </c>
    </row>
    <row r="996" spans="1:20" x14ac:dyDescent="0.25">
      <c r="A996" s="5">
        <v>43597</v>
      </c>
      <c r="B996">
        <v>63.19</v>
      </c>
      <c r="C996">
        <v>65</v>
      </c>
      <c r="D996">
        <v>58.39</v>
      </c>
      <c r="E996">
        <v>60.67</v>
      </c>
      <c r="F996">
        <v>11371.24473</v>
      </c>
      <c r="G996">
        <v>0</v>
      </c>
      <c r="L996" t="s">
        <v>7</v>
      </c>
      <c r="M996" t="s">
        <v>7</v>
      </c>
      <c r="N996" t="s">
        <v>8</v>
      </c>
      <c r="P996">
        <f t="shared" si="1019"/>
        <v>-0.31013615733736721</v>
      </c>
      <c r="Q996">
        <f t="shared" si="1020"/>
        <v>-3526.6341447049876</v>
      </c>
      <c r="R996">
        <f t="shared" si="1021"/>
        <v>62561.105064794589</v>
      </c>
      <c r="S996">
        <f t="shared" si="1022"/>
        <v>0.62561105064794587</v>
      </c>
      <c r="T996">
        <f t="shared" si="1023"/>
        <v>6.2561105064794589E-4</v>
      </c>
    </row>
    <row r="997" spans="1:20" x14ac:dyDescent="0.25">
      <c r="A997" s="5">
        <v>43596</v>
      </c>
      <c r="B997">
        <v>57.51</v>
      </c>
      <c r="C997">
        <v>65.7</v>
      </c>
      <c r="D997">
        <v>57.23</v>
      </c>
      <c r="E997">
        <v>63.08</v>
      </c>
      <c r="F997">
        <v>13979.359899999999</v>
      </c>
      <c r="G997">
        <v>0</v>
      </c>
      <c r="L997" t="s">
        <v>8</v>
      </c>
      <c r="M997" t="s">
        <v>7</v>
      </c>
      <c r="N997" t="s">
        <v>8</v>
      </c>
      <c r="P997">
        <f t="shared" si="1019"/>
        <v>0.38134592680047164</v>
      </c>
      <c r="Q997">
        <f t="shared" si="1020"/>
        <v>5330.9719571428486</v>
      </c>
      <c r="R997">
        <f t="shared" si="1021"/>
        <v>66087.739209499574</v>
      </c>
      <c r="S997">
        <f t="shared" si="1022"/>
        <v>0.66087739209499574</v>
      </c>
      <c r="T997">
        <f t="shared" si="1023"/>
        <v>6.6087739209499572E-4</v>
      </c>
    </row>
    <row r="998" spans="1:20" x14ac:dyDescent="0.25">
      <c r="A998" s="5">
        <v>43595</v>
      </c>
      <c r="B998">
        <v>56.62</v>
      </c>
      <c r="C998">
        <v>58.03</v>
      </c>
      <c r="D998">
        <v>55.98</v>
      </c>
      <c r="E998">
        <v>57.46</v>
      </c>
      <c r="F998">
        <v>6732.3030099999996</v>
      </c>
      <c r="G998">
        <v>0</v>
      </c>
      <c r="L998" t="s">
        <v>7</v>
      </c>
      <c r="M998" t="s">
        <v>7</v>
      </c>
      <c r="N998" t="s">
        <v>8</v>
      </c>
      <c r="P998">
        <f t="shared" si="1019"/>
        <v>0.44390243902439114</v>
      </c>
      <c r="Q998">
        <f t="shared" si="1020"/>
        <v>2988.48572639025</v>
      </c>
      <c r="R998">
        <f t="shared" si="1021"/>
        <v>60756.767252356731</v>
      </c>
      <c r="S998">
        <f t="shared" si="1022"/>
        <v>0.60756767252356736</v>
      </c>
      <c r="T998">
        <f t="shared" si="1023"/>
        <v>6.0756767252356737E-4</v>
      </c>
    </row>
    <row r="999" spans="1:20" x14ac:dyDescent="0.25">
      <c r="A999" s="5">
        <v>43594</v>
      </c>
      <c r="B999">
        <v>58.33</v>
      </c>
      <c r="C999">
        <v>59.09</v>
      </c>
      <c r="D999">
        <v>55.5</v>
      </c>
      <c r="E999">
        <v>56.58</v>
      </c>
      <c r="F999">
        <v>7693.6088900000004</v>
      </c>
      <c r="G999">
        <v>0</v>
      </c>
      <c r="L999" t="s">
        <v>7</v>
      </c>
      <c r="M999" t="s">
        <v>7</v>
      </c>
      <c r="N999" t="s">
        <v>8</v>
      </c>
      <c r="P999">
        <f t="shared" si="1019"/>
        <v>-0.39832869080780098</v>
      </c>
      <c r="Q999">
        <f t="shared" si="1020"/>
        <v>-3064.5851567409591</v>
      </c>
      <c r="R999">
        <f t="shared" si="1021"/>
        <v>57768.281525966479</v>
      </c>
      <c r="S999">
        <f t="shared" si="1022"/>
        <v>0.57768281525966481</v>
      </c>
      <c r="T999">
        <f t="shared" si="1023"/>
        <v>5.7768281525966483E-4</v>
      </c>
    </row>
    <row r="1000" spans="1:20" x14ac:dyDescent="0.25">
      <c r="A1000" s="5">
        <v>43593</v>
      </c>
      <c r="B1000">
        <v>57.82</v>
      </c>
      <c r="C1000">
        <v>58.43</v>
      </c>
      <c r="D1000">
        <v>56.72</v>
      </c>
      <c r="E1000">
        <v>58.25</v>
      </c>
      <c r="F1000">
        <v>3416.8532799999998</v>
      </c>
      <c r="G1000">
        <v>0</v>
      </c>
      <c r="L1000" t="s">
        <v>7</v>
      </c>
      <c r="M1000" t="s">
        <v>7</v>
      </c>
      <c r="N1000" t="s">
        <v>8</v>
      </c>
      <c r="P1000">
        <f t="shared" si="1019"/>
        <v>0.78947368421052677</v>
      </c>
      <c r="Q1000">
        <f t="shared" si="1020"/>
        <v>2697.5157473684226</v>
      </c>
      <c r="R1000">
        <f t="shared" si="1021"/>
        <v>60832.866682707441</v>
      </c>
      <c r="S1000">
        <f t="shared" si="1022"/>
        <v>0.60832866682707443</v>
      </c>
      <c r="T1000">
        <f t="shared" si="1023"/>
        <v>6.0832866682707445E-4</v>
      </c>
    </row>
    <row r="1001" spans="1:20" x14ac:dyDescent="0.25">
      <c r="A1001" s="5">
        <v>43592</v>
      </c>
      <c r="B1001">
        <v>60.36</v>
      </c>
      <c r="C1001">
        <v>61.68</v>
      </c>
      <c r="D1001">
        <v>57.31</v>
      </c>
      <c r="E1001">
        <v>57.64</v>
      </c>
      <c r="F1001">
        <v>8917.7795600000009</v>
      </c>
      <c r="G1001">
        <v>0</v>
      </c>
      <c r="L1001" t="s">
        <v>7</v>
      </c>
      <c r="M1001" t="s">
        <v>7</v>
      </c>
      <c r="N1001" t="s">
        <v>8</v>
      </c>
      <c r="P1001">
        <f t="shared" si="1019"/>
        <v>-0.84897025171624785</v>
      </c>
      <c r="Q1001">
        <f t="shared" si="1020"/>
        <v>-7570.9295578032106</v>
      </c>
      <c r="R1001">
        <f t="shared" si="1021"/>
        <v>58135.350935339018</v>
      </c>
      <c r="S1001">
        <f t="shared" si="1022"/>
        <v>0.58135350935339014</v>
      </c>
      <c r="T1001">
        <f t="shared" si="1023"/>
        <v>5.8135350935339014E-4</v>
      </c>
    </row>
    <row r="1002" spans="1:20" x14ac:dyDescent="0.25">
      <c r="A1002" s="5">
        <v>43591</v>
      </c>
      <c r="B1002">
        <v>59.73</v>
      </c>
      <c r="C1002">
        <v>61.3</v>
      </c>
      <c r="D1002">
        <v>58.61</v>
      </c>
      <c r="E1002">
        <v>60.07</v>
      </c>
      <c r="F1002">
        <v>8874.4197499999991</v>
      </c>
      <c r="G1002">
        <v>0</v>
      </c>
      <c r="L1002" t="s">
        <v>7</v>
      </c>
      <c r="M1002" t="s">
        <v>7</v>
      </c>
      <c r="N1002" t="s">
        <v>8</v>
      </c>
      <c r="P1002">
        <f t="shared" si="1019"/>
        <v>8.5501858736061032E-2</v>
      </c>
      <c r="Q1002">
        <f t="shared" si="1020"/>
        <v>758.77938382900993</v>
      </c>
      <c r="R1002">
        <f t="shared" si="1021"/>
        <v>65706.280493142229</v>
      </c>
      <c r="S1002">
        <f t="shared" si="1022"/>
        <v>0.65706280493142233</v>
      </c>
      <c r="T1002">
        <f t="shared" si="1023"/>
        <v>6.5706280493142233E-4</v>
      </c>
    </row>
    <row r="1003" spans="1:20" x14ac:dyDescent="0.25">
      <c r="A1003" s="5">
        <v>43590</v>
      </c>
      <c r="B1003">
        <v>60.9</v>
      </c>
      <c r="C1003">
        <v>60.98</v>
      </c>
      <c r="D1003">
        <v>58.85</v>
      </c>
      <c r="E1003">
        <v>59.59</v>
      </c>
      <c r="F1003">
        <v>3381.7104199999999</v>
      </c>
      <c r="G1003">
        <v>0</v>
      </c>
      <c r="L1003" t="s">
        <v>7</v>
      </c>
      <c r="M1003" t="s">
        <v>7</v>
      </c>
      <c r="N1003" t="s">
        <v>8</v>
      </c>
      <c r="P1003">
        <f t="shared" si="1019"/>
        <v>-0.30516431924882292</v>
      </c>
      <c r="Q1003">
        <f t="shared" si="1020"/>
        <v>-1031.977358215951</v>
      </c>
      <c r="R1003">
        <f t="shared" si="1021"/>
        <v>64947.50110931322</v>
      </c>
      <c r="S1003">
        <f t="shared" si="1022"/>
        <v>0.64947501109313222</v>
      </c>
      <c r="T1003">
        <f t="shared" si="1023"/>
        <v>6.4947501109313222E-4</v>
      </c>
    </row>
    <row r="1004" spans="1:20" x14ac:dyDescent="0.25">
      <c r="A1004" s="5">
        <v>43589</v>
      </c>
      <c r="B1004">
        <v>62.95</v>
      </c>
      <c r="C1004">
        <v>64.27</v>
      </c>
      <c r="D1004">
        <v>58.62</v>
      </c>
      <c r="E1004">
        <v>60.94</v>
      </c>
      <c r="F1004">
        <v>5132.9977600000002</v>
      </c>
      <c r="G1004">
        <v>0</v>
      </c>
      <c r="L1004" t="s">
        <v>8</v>
      </c>
      <c r="M1004" t="s">
        <v>7</v>
      </c>
      <c r="N1004" t="s">
        <v>8</v>
      </c>
      <c r="P1004">
        <f t="shared" si="1019"/>
        <v>-0.17876106194690236</v>
      </c>
      <c r="Q1004">
        <f t="shared" si="1020"/>
        <v>-917.58013054867115</v>
      </c>
      <c r="R1004">
        <f t="shared" si="1021"/>
        <v>65979.478467529174</v>
      </c>
      <c r="S1004">
        <f t="shared" si="1022"/>
        <v>0.65979478467529173</v>
      </c>
      <c r="T1004">
        <f t="shared" si="1023"/>
        <v>6.5979478467529176E-4</v>
      </c>
    </row>
    <row r="1005" spans="1:20" x14ac:dyDescent="0.25">
      <c r="A1005" s="5">
        <v>43588</v>
      </c>
      <c r="B1005">
        <v>60.03</v>
      </c>
      <c r="C1005">
        <v>63.97</v>
      </c>
      <c r="D1005">
        <v>59.87</v>
      </c>
      <c r="E1005">
        <v>62.85</v>
      </c>
      <c r="F1005">
        <v>7085.8661599999996</v>
      </c>
      <c r="G1005">
        <v>0</v>
      </c>
      <c r="L1005" t="s">
        <v>8</v>
      </c>
      <c r="M1005" t="s">
        <v>7</v>
      </c>
      <c r="N1005" t="s">
        <v>8</v>
      </c>
      <c r="P1005">
        <f t="shared" si="1019"/>
        <v>0.45365853658536731</v>
      </c>
      <c r="Q1005">
        <f t="shared" si="1020"/>
        <v>3214.563672585376</v>
      </c>
      <c r="R1005">
        <f t="shared" si="1021"/>
        <v>66897.058598077841</v>
      </c>
      <c r="S1005">
        <f t="shared" si="1022"/>
        <v>0.66897058598077841</v>
      </c>
      <c r="T1005">
        <f t="shared" si="1023"/>
        <v>6.689705859807784E-4</v>
      </c>
    </row>
    <row r="1006" spans="1:20" x14ac:dyDescent="0.25">
      <c r="A1006" s="5">
        <v>43587</v>
      </c>
      <c r="B1006">
        <v>61.13</v>
      </c>
      <c r="C1006">
        <v>61.3</v>
      </c>
      <c r="D1006">
        <v>59.55</v>
      </c>
      <c r="E1006">
        <v>60.03</v>
      </c>
      <c r="F1006">
        <v>5073.0414499999997</v>
      </c>
      <c r="G1006">
        <v>0</v>
      </c>
      <c r="L1006" t="s">
        <v>8</v>
      </c>
      <c r="M1006" t="s">
        <v>7</v>
      </c>
      <c r="N1006" t="s">
        <v>8</v>
      </c>
      <c r="P1006">
        <f t="shared" si="1019"/>
        <v>-0.4514285714285669</v>
      </c>
      <c r="Q1006">
        <f t="shared" si="1020"/>
        <v>-2290.1158545714056</v>
      </c>
      <c r="R1006">
        <f t="shared" si="1021"/>
        <v>63682.494925492465</v>
      </c>
      <c r="S1006">
        <f t="shared" si="1022"/>
        <v>0.63682494925492461</v>
      </c>
      <c r="T1006">
        <f t="shared" si="1023"/>
        <v>6.3682494925492458E-4</v>
      </c>
    </row>
    <row r="1007" spans="1:20" x14ac:dyDescent="0.25">
      <c r="A1007" s="5">
        <v>43586</v>
      </c>
      <c r="B1007">
        <v>60.47</v>
      </c>
      <c r="C1007">
        <v>61.67</v>
      </c>
      <c r="D1007">
        <v>59.6</v>
      </c>
      <c r="E1007">
        <v>61.06</v>
      </c>
      <c r="F1007">
        <v>4083.6477</v>
      </c>
      <c r="G1007">
        <v>0</v>
      </c>
      <c r="L1007" t="s">
        <v>8</v>
      </c>
      <c r="M1007" t="s">
        <v>7</v>
      </c>
      <c r="N1007" t="s">
        <v>8</v>
      </c>
      <c r="P1007">
        <f t="shared" si="1019"/>
        <v>0.41062801932367216</v>
      </c>
      <c r="Q1007">
        <f t="shared" si="1020"/>
        <v>1676.8601666666693</v>
      </c>
      <c r="R1007">
        <f t="shared" si="1021"/>
        <v>65972.610780063871</v>
      </c>
      <c r="S1007">
        <f t="shared" si="1022"/>
        <v>0.65972610780063867</v>
      </c>
      <c r="T1007">
        <f t="shared" si="1023"/>
        <v>6.5972610780063866E-4</v>
      </c>
    </row>
    <row r="1008" spans="1:20" x14ac:dyDescent="0.25">
      <c r="A1008" s="5">
        <v>43585</v>
      </c>
      <c r="B1008">
        <v>57.89</v>
      </c>
      <c r="C1008">
        <v>60.85</v>
      </c>
      <c r="D1008">
        <v>57.3</v>
      </c>
      <c r="E1008">
        <v>60.66</v>
      </c>
      <c r="F1008">
        <v>5564.0616099999997</v>
      </c>
      <c r="G1008">
        <v>0</v>
      </c>
      <c r="L1008" t="s">
        <v>7</v>
      </c>
      <c r="M1008" t="s">
        <v>7</v>
      </c>
      <c r="N1008" t="s">
        <v>8</v>
      </c>
      <c r="P1008">
        <f t="shared" si="1019"/>
        <v>0.89295774647887061</v>
      </c>
      <c r="Q1008">
        <f t="shared" si="1020"/>
        <v>4968.4719165351962</v>
      </c>
      <c r="R1008">
        <f t="shared" si="1021"/>
        <v>64295.750613397206</v>
      </c>
      <c r="S1008">
        <f t="shared" si="1022"/>
        <v>0.64295750613397207</v>
      </c>
      <c r="T1008">
        <f t="shared" si="1023"/>
        <v>6.4295750613397207E-4</v>
      </c>
    </row>
    <row r="1009" spans="1:20" x14ac:dyDescent="0.25">
      <c r="A1009" s="5">
        <v>43584</v>
      </c>
      <c r="B1009">
        <v>60.42</v>
      </c>
      <c r="C1009">
        <v>60.79</v>
      </c>
      <c r="D1009">
        <v>57.05</v>
      </c>
      <c r="E1009">
        <v>57.89</v>
      </c>
      <c r="F1009">
        <v>5610.8490599999996</v>
      </c>
      <c r="G1009">
        <v>0</v>
      </c>
      <c r="L1009" t="s">
        <v>7</v>
      </c>
      <c r="M1009" t="s">
        <v>7</v>
      </c>
      <c r="N1009" t="s">
        <v>8</v>
      </c>
      <c r="P1009">
        <f t="shared" si="1019"/>
        <v>-0.55080213903743158</v>
      </c>
      <c r="Q1009">
        <f t="shared" si="1020"/>
        <v>-3090.4676640641619</v>
      </c>
      <c r="R1009">
        <f t="shared" si="1021"/>
        <v>59327.278696862013</v>
      </c>
      <c r="S1009">
        <f t="shared" si="1022"/>
        <v>0.59327278696862018</v>
      </c>
      <c r="T1009">
        <f t="shared" si="1023"/>
        <v>5.932727869686202E-4</v>
      </c>
    </row>
    <row r="1010" spans="1:20" x14ac:dyDescent="0.25">
      <c r="A1010" s="5">
        <v>43583</v>
      </c>
      <c r="B1010">
        <v>61.56</v>
      </c>
      <c r="C1010">
        <v>62.57</v>
      </c>
      <c r="D1010">
        <v>60.36</v>
      </c>
      <c r="E1010">
        <v>60.6</v>
      </c>
      <c r="F1010">
        <v>2733.9851399999998</v>
      </c>
      <c r="G1010">
        <v>0</v>
      </c>
      <c r="L1010" t="s">
        <v>7</v>
      </c>
      <c r="M1010" t="s">
        <v>7</v>
      </c>
      <c r="N1010" t="s">
        <v>8</v>
      </c>
      <c r="P1010">
        <f t="shared" si="1019"/>
        <v>-0.78280542986425172</v>
      </c>
      <c r="Q1010">
        <f t="shared" si="1020"/>
        <v>-2140.1784127601763</v>
      </c>
      <c r="R1010">
        <f t="shared" si="1021"/>
        <v>62417.746360926176</v>
      </c>
      <c r="S1010">
        <f t="shared" si="1022"/>
        <v>0.62417746360926174</v>
      </c>
      <c r="T1010">
        <f t="shared" si="1023"/>
        <v>6.2417746360926172E-4</v>
      </c>
    </row>
    <row r="1011" spans="1:20" x14ac:dyDescent="0.25">
      <c r="A1011" s="5">
        <v>43582</v>
      </c>
      <c r="B1011">
        <v>62.01</v>
      </c>
      <c r="C1011">
        <v>62.75</v>
      </c>
      <c r="D1011">
        <v>60.19</v>
      </c>
      <c r="E1011">
        <v>61.55</v>
      </c>
      <c r="F1011">
        <v>5146.6635800000004</v>
      </c>
      <c r="G1011">
        <v>0</v>
      </c>
      <c r="L1011" t="s">
        <v>7</v>
      </c>
      <c r="M1011" t="s">
        <v>7</v>
      </c>
      <c r="N1011" t="s">
        <v>8</v>
      </c>
      <c r="P1011">
        <f t="shared" si="1019"/>
        <v>6.2499999999998612E-2</v>
      </c>
      <c r="Q1011">
        <f t="shared" si="1020"/>
        <v>321.66647374999286</v>
      </c>
      <c r="R1011">
        <f t="shared" si="1021"/>
        <v>64557.924773686354</v>
      </c>
      <c r="S1011">
        <f t="shared" si="1022"/>
        <v>0.64557924773686359</v>
      </c>
      <c r="T1011">
        <f t="shared" si="1023"/>
        <v>6.4557924773686354E-4</v>
      </c>
    </row>
    <row r="1012" spans="1:20" x14ac:dyDescent="0.25">
      <c r="A1012" s="5">
        <v>43581</v>
      </c>
      <c r="B1012">
        <v>61.93</v>
      </c>
      <c r="C1012">
        <v>64.72</v>
      </c>
      <c r="D1012">
        <v>59.17</v>
      </c>
      <c r="E1012">
        <v>61.88</v>
      </c>
      <c r="F1012">
        <v>12366.6649</v>
      </c>
      <c r="G1012">
        <v>0</v>
      </c>
      <c r="L1012" t="s">
        <v>7</v>
      </c>
      <c r="M1012" t="s">
        <v>7</v>
      </c>
      <c r="N1012" t="s">
        <v>8</v>
      </c>
      <c r="P1012">
        <f t="shared" si="1019"/>
        <v>-2.3423423423422615E-2</v>
      </c>
      <c r="Q1012">
        <f t="shared" si="1020"/>
        <v>-289.66962828827826</v>
      </c>
      <c r="R1012">
        <f t="shared" si="1021"/>
        <v>64236.258299936359</v>
      </c>
      <c r="S1012">
        <f t="shared" si="1022"/>
        <v>0.64236258299936355</v>
      </c>
      <c r="T1012">
        <f t="shared" si="1023"/>
        <v>6.4236258299936358E-4</v>
      </c>
    </row>
    <row r="1013" spans="1:20" x14ac:dyDescent="0.25">
      <c r="A1013" s="5">
        <v>43580</v>
      </c>
      <c r="B1013">
        <v>65.180000000000007</v>
      </c>
      <c r="C1013">
        <v>66.19</v>
      </c>
      <c r="D1013">
        <v>60.31</v>
      </c>
      <c r="E1013">
        <v>61.89</v>
      </c>
      <c r="F1013">
        <v>5757.9556700000003</v>
      </c>
      <c r="G1013">
        <v>0</v>
      </c>
      <c r="L1013" t="s">
        <v>7</v>
      </c>
      <c r="M1013" t="s">
        <v>7</v>
      </c>
      <c r="N1013" t="s">
        <v>8</v>
      </c>
      <c r="P1013">
        <f t="shared" si="1019"/>
        <v>-0.46258503401360562</v>
      </c>
      <c r="Q1013">
        <f t="shared" si="1020"/>
        <v>-2663.5441194557834</v>
      </c>
      <c r="R1013">
        <f t="shared" si="1021"/>
        <v>64525.927928224635</v>
      </c>
      <c r="S1013">
        <f t="shared" si="1022"/>
        <v>0.64525927928224636</v>
      </c>
      <c r="T1013">
        <f t="shared" si="1023"/>
        <v>6.4525927928224633E-4</v>
      </c>
    </row>
    <row r="1014" spans="1:20" x14ac:dyDescent="0.25">
      <c r="A1014" s="5">
        <v>43579</v>
      </c>
      <c r="B1014">
        <v>66.64</v>
      </c>
      <c r="C1014">
        <v>67.09</v>
      </c>
      <c r="D1014">
        <v>61.87</v>
      </c>
      <c r="E1014">
        <v>65.260000000000005</v>
      </c>
      <c r="F1014">
        <v>8735.9564200000004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0.29885057471264515</v>
      </c>
      <c r="Q1014">
        <f t="shared" si="1020"/>
        <v>2610.7455967816222</v>
      </c>
      <c r="R1014">
        <f t="shared" si="1021"/>
        <v>67189.472047680421</v>
      </c>
      <c r="S1014">
        <f t="shared" si="1022"/>
        <v>0.67189472047680421</v>
      </c>
      <c r="T1014">
        <f t="shared" si="1023"/>
        <v>6.7189472047680422E-4</v>
      </c>
    </row>
    <row r="1015" spans="1:20" x14ac:dyDescent="0.25">
      <c r="A1015" s="5">
        <v>43578</v>
      </c>
      <c r="B1015">
        <v>68.95</v>
      </c>
      <c r="C1015">
        <v>70.97</v>
      </c>
      <c r="D1015">
        <v>66.45</v>
      </c>
      <c r="E1015">
        <v>66.45</v>
      </c>
      <c r="F1015">
        <v>6335.4253699999999</v>
      </c>
      <c r="G1015">
        <v>0</v>
      </c>
      <c r="L1015" t="s">
        <v>8</v>
      </c>
      <c r="M1015" t="s">
        <v>7</v>
      </c>
      <c r="N1015" t="s">
        <v>8</v>
      </c>
      <c r="P1015">
        <f t="shared" si="1019"/>
        <v>-1</v>
      </c>
      <c r="Q1015">
        <f t="shared" si="1020"/>
        <v>-6335.4253699999999</v>
      </c>
      <c r="R1015">
        <f t="shared" si="1021"/>
        <v>64578.726450898801</v>
      </c>
      <c r="S1015">
        <f t="shared" si="1022"/>
        <v>0.64578726450898805</v>
      </c>
      <c r="T1015">
        <f t="shared" si="1023"/>
        <v>6.4578726450898805E-4</v>
      </c>
    </row>
    <row r="1016" spans="1:20" x14ac:dyDescent="0.25">
      <c r="A1016" s="5">
        <v>43577</v>
      </c>
      <c r="B1016">
        <v>68.11</v>
      </c>
      <c r="C1016">
        <v>70.17</v>
      </c>
      <c r="D1016">
        <v>65.92</v>
      </c>
      <c r="E1016">
        <v>68.760000000000005</v>
      </c>
      <c r="F1016">
        <v>5441.6022000000003</v>
      </c>
      <c r="G1016">
        <v>0</v>
      </c>
      <c r="L1016" t="s">
        <v>7</v>
      </c>
      <c r="M1016" t="s">
        <v>7</v>
      </c>
      <c r="N1016" t="s">
        <v>8</v>
      </c>
      <c r="P1016">
        <f t="shared" si="1019"/>
        <v>0.33647058823529574</v>
      </c>
      <c r="Q1016">
        <f t="shared" si="1020"/>
        <v>1830.9390931764794</v>
      </c>
      <c r="R1016">
        <f t="shared" si="1021"/>
        <v>70914.151820898798</v>
      </c>
      <c r="S1016">
        <f t="shared" si="1022"/>
        <v>0.70914151820898796</v>
      </c>
      <c r="T1016">
        <f t="shared" si="1023"/>
        <v>7.0914151820898792E-4</v>
      </c>
    </row>
    <row r="1017" spans="1:20" x14ac:dyDescent="0.25">
      <c r="A1017" s="5">
        <v>43576</v>
      </c>
      <c r="B1017">
        <v>69.5</v>
      </c>
      <c r="C1017">
        <v>69.599999999999994</v>
      </c>
      <c r="D1017">
        <v>66.09</v>
      </c>
      <c r="E1017">
        <v>67.91</v>
      </c>
      <c r="F1017">
        <v>4550.4386699999995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3.7037037037035835E-2</v>
      </c>
      <c r="Q1017">
        <f t="shared" si="1020"/>
        <v>168.53476555555008</v>
      </c>
      <c r="R1017">
        <f t="shared" si="1021"/>
        <v>69083.212727722319</v>
      </c>
      <c r="S1017">
        <f t="shared" si="1022"/>
        <v>0.69083212727722321</v>
      </c>
      <c r="T1017">
        <f t="shared" si="1023"/>
        <v>6.9083212727722321E-4</v>
      </c>
    </row>
    <row r="1018" spans="1:20" x14ac:dyDescent="0.25">
      <c r="A1018" s="5">
        <v>43575</v>
      </c>
      <c r="B1018">
        <v>69.400000000000006</v>
      </c>
      <c r="C1018">
        <v>69.98</v>
      </c>
      <c r="D1018">
        <v>68.34</v>
      </c>
      <c r="E1018">
        <v>69.349999999999994</v>
      </c>
      <c r="F1018">
        <v>3127.8103700000001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0.23170731707315922</v>
      </c>
      <c r="Q1018">
        <f t="shared" si="1020"/>
        <v>724.73654914630549</v>
      </c>
      <c r="R1018">
        <f t="shared" si="1021"/>
        <v>68914.677962166767</v>
      </c>
      <c r="S1018">
        <f t="shared" si="1022"/>
        <v>0.6891467796216677</v>
      </c>
      <c r="T1018">
        <f t="shared" si="1023"/>
        <v>6.8914677962166775E-4</v>
      </c>
    </row>
    <row r="1019" spans="1:20" x14ac:dyDescent="0.25">
      <c r="A1019" s="5">
        <v>43574</v>
      </c>
      <c r="B1019">
        <v>70.260000000000005</v>
      </c>
      <c r="C1019">
        <v>70.28</v>
      </c>
      <c r="D1019">
        <v>68.8</v>
      </c>
      <c r="E1019">
        <v>69.23</v>
      </c>
      <c r="F1019">
        <v>3597.43307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-0.41891891891891125</v>
      </c>
      <c r="Q1019">
        <f t="shared" si="1020"/>
        <v>-1507.03277256754</v>
      </c>
      <c r="R1019">
        <f t="shared" si="1021"/>
        <v>68189.941413020468</v>
      </c>
      <c r="S1019">
        <f t="shared" si="1022"/>
        <v>0.68189941413020472</v>
      </c>
      <c r="T1019">
        <f t="shared" si="1023"/>
        <v>6.8189941413020476E-4</v>
      </c>
    </row>
    <row r="1020" spans="1:20" x14ac:dyDescent="0.25">
      <c r="A1020" s="5">
        <v>43573</v>
      </c>
      <c r="B1020">
        <v>70.25</v>
      </c>
      <c r="C1020">
        <v>71.75</v>
      </c>
      <c r="D1020">
        <v>69.599999999999994</v>
      </c>
      <c r="E1020">
        <v>70.260000000000005</v>
      </c>
      <c r="F1020">
        <v>7158.8516200000004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-0.38604651162789855</v>
      </c>
      <c r="Q1020">
        <f t="shared" si="1020"/>
        <v>-2763.6496951627305</v>
      </c>
      <c r="R1020">
        <f t="shared" si="1021"/>
        <v>69696.974185588013</v>
      </c>
      <c r="S1020">
        <f t="shared" si="1022"/>
        <v>0.69696974185588012</v>
      </c>
      <c r="T1020">
        <f t="shared" si="1023"/>
        <v>6.9696974185588009E-4</v>
      </c>
    </row>
    <row r="1021" spans="1:20" x14ac:dyDescent="0.25">
      <c r="A1021" s="5">
        <v>43572</v>
      </c>
      <c r="B1021">
        <v>68.98</v>
      </c>
      <c r="C1021">
        <v>71.47</v>
      </c>
      <c r="D1021">
        <v>67.45</v>
      </c>
      <c r="E1021">
        <v>70.09</v>
      </c>
      <c r="F1021">
        <v>5366.1353300000001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0.31343283582089709</v>
      </c>
      <c r="Q1021">
        <f t="shared" si="1020"/>
        <v>1681.9230138806054</v>
      </c>
      <c r="R1021">
        <f t="shared" si="1021"/>
        <v>72460.623880750747</v>
      </c>
      <c r="S1021">
        <f t="shared" si="1022"/>
        <v>0.72460623880750752</v>
      </c>
      <c r="T1021">
        <f t="shared" si="1023"/>
        <v>7.2460623880750755E-4</v>
      </c>
    </row>
    <row r="1022" spans="1:20" x14ac:dyDescent="0.25">
      <c r="A1022" s="5">
        <v>43571</v>
      </c>
      <c r="B1022">
        <v>67.42</v>
      </c>
      <c r="C1022">
        <v>69.48</v>
      </c>
      <c r="D1022">
        <v>66.760000000000005</v>
      </c>
      <c r="E1022">
        <v>68.98</v>
      </c>
      <c r="F1022">
        <v>4636.8702999999996</v>
      </c>
      <c r="G1022">
        <v>0</v>
      </c>
      <c r="L1022" t="s">
        <v>7</v>
      </c>
      <c r="M1022" t="s">
        <v>7</v>
      </c>
      <c r="N1022" t="s">
        <v>8</v>
      </c>
      <c r="P1022">
        <f t="shared" si="1019"/>
        <v>0.63235294117647045</v>
      </c>
      <c r="Q1022">
        <f t="shared" si="1020"/>
        <v>2932.1385720588228</v>
      </c>
      <c r="R1022">
        <f t="shared" si="1021"/>
        <v>70778.700866870146</v>
      </c>
      <c r="S1022">
        <f t="shared" si="1022"/>
        <v>0.70778700866870148</v>
      </c>
      <c r="T1022">
        <f t="shared" si="1023"/>
        <v>7.0778700866870148E-4</v>
      </c>
    </row>
    <row r="1023" spans="1:20" x14ac:dyDescent="0.25">
      <c r="A1023" s="5">
        <v>43570</v>
      </c>
      <c r="B1023">
        <v>69.599999999999994</v>
      </c>
      <c r="C1023">
        <v>70.28</v>
      </c>
      <c r="D1023">
        <v>65.400000000000006</v>
      </c>
      <c r="E1023">
        <v>67.45</v>
      </c>
      <c r="F1023">
        <v>6269.8647899999996</v>
      </c>
      <c r="G1023">
        <v>0</v>
      </c>
      <c r="L1023" t="s">
        <v>7</v>
      </c>
      <c r="M1023" t="s">
        <v>7</v>
      </c>
      <c r="N1023" t="s">
        <v>8</v>
      </c>
      <c r="P1023">
        <f t="shared" si="1019"/>
        <v>-0.15983606557377086</v>
      </c>
      <c r="Q1023">
        <f t="shared" si="1020"/>
        <v>-1002.150519713117</v>
      </c>
      <c r="R1023">
        <f t="shared" si="1021"/>
        <v>67846.562294811316</v>
      </c>
      <c r="S1023">
        <f t="shared" si="1022"/>
        <v>0.67846562294811319</v>
      </c>
      <c r="T1023">
        <f t="shared" si="1023"/>
        <v>6.7846562294811318E-4</v>
      </c>
    </row>
    <row r="1024" spans="1:20" x14ac:dyDescent="0.25">
      <c r="A1024" s="5">
        <v>43569</v>
      </c>
      <c r="B1024">
        <v>69.11</v>
      </c>
      <c r="C1024">
        <v>70.25</v>
      </c>
      <c r="D1024">
        <v>66.95</v>
      </c>
      <c r="E1024">
        <v>69.599999999999994</v>
      </c>
      <c r="F1024">
        <v>4003.3120399999998</v>
      </c>
      <c r="G1024">
        <v>0</v>
      </c>
      <c r="L1024" t="s">
        <v>8</v>
      </c>
      <c r="M1024" t="s">
        <v>7</v>
      </c>
      <c r="N1024" t="s">
        <v>8</v>
      </c>
      <c r="P1024">
        <f t="shared" si="1019"/>
        <v>0.6060606060606023</v>
      </c>
      <c r="Q1024">
        <f t="shared" si="1020"/>
        <v>2426.2497212121061</v>
      </c>
      <c r="R1024">
        <f t="shared" si="1021"/>
        <v>68848.712814524435</v>
      </c>
      <c r="S1024">
        <f t="shared" si="1022"/>
        <v>0.68848712814524438</v>
      </c>
      <c r="T1024">
        <f t="shared" si="1023"/>
        <v>6.8848712814524441E-4</v>
      </c>
    </row>
    <row r="1025" spans="1:20" x14ac:dyDescent="0.25">
      <c r="A1025" s="5">
        <v>43568</v>
      </c>
      <c r="B1025">
        <v>71.09</v>
      </c>
      <c r="C1025">
        <v>71.239999999999995</v>
      </c>
      <c r="D1025">
        <v>68.3</v>
      </c>
      <c r="E1025">
        <v>69.08</v>
      </c>
      <c r="F1025">
        <v>5477.3534</v>
      </c>
      <c r="G1025">
        <v>0</v>
      </c>
      <c r="L1025" t="s">
        <v>8</v>
      </c>
      <c r="M1025" t="s">
        <v>7</v>
      </c>
      <c r="N1025" t="s">
        <v>8</v>
      </c>
      <c r="P1025">
        <f t="shared" si="1019"/>
        <v>-0.46938775510203962</v>
      </c>
      <c r="Q1025">
        <f t="shared" si="1020"/>
        <v>-2571.0026163265238</v>
      </c>
      <c r="R1025">
        <f t="shared" si="1021"/>
        <v>66422.463093312326</v>
      </c>
      <c r="S1025">
        <f t="shared" si="1022"/>
        <v>0.66422463093312323</v>
      </c>
      <c r="T1025">
        <f t="shared" si="1023"/>
        <v>6.6422463093312328E-4</v>
      </c>
    </row>
    <row r="1026" spans="1:20" x14ac:dyDescent="0.25">
      <c r="A1026" s="5">
        <v>43567</v>
      </c>
      <c r="B1026">
        <v>69.59</v>
      </c>
      <c r="C1026">
        <v>71.81</v>
      </c>
      <c r="D1026">
        <v>67.14</v>
      </c>
      <c r="E1026">
        <v>70.94</v>
      </c>
      <c r="F1026">
        <v>21759.37412</v>
      </c>
      <c r="G1026">
        <v>0</v>
      </c>
      <c r="L1026" t="s">
        <v>8</v>
      </c>
      <c r="M1026" t="s">
        <v>7</v>
      </c>
      <c r="N1026" t="s">
        <v>8</v>
      </c>
      <c r="P1026">
        <f t="shared" si="1019"/>
        <v>0.62740899357601532</v>
      </c>
      <c r="Q1026">
        <f t="shared" si="1020"/>
        <v>13652.027017473194</v>
      </c>
      <c r="R1026">
        <f t="shared" si="1021"/>
        <v>68993.465709638855</v>
      </c>
      <c r="S1026">
        <f t="shared" si="1022"/>
        <v>0.68993465709638857</v>
      </c>
      <c r="T1026">
        <f t="shared" si="1023"/>
        <v>6.899346570963886E-4</v>
      </c>
    </row>
    <row r="1027" spans="1:20" x14ac:dyDescent="0.25">
      <c r="A1027" s="5">
        <v>43566</v>
      </c>
      <c r="B1027">
        <v>71.849999999999994</v>
      </c>
      <c r="C1027">
        <v>72.11</v>
      </c>
      <c r="D1027">
        <v>63.32</v>
      </c>
      <c r="E1027">
        <v>69.61</v>
      </c>
      <c r="F1027">
        <v>13912.92374</v>
      </c>
      <c r="G1027">
        <v>0</v>
      </c>
      <c r="L1027" t="s">
        <v>7</v>
      </c>
      <c r="M1027" t="s">
        <v>7</v>
      </c>
      <c r="N1027" t="s">
        <v>8</v>
      </c>
      <c r="P1027">
        <f t="shared" si="1019"/>
        <v>0.43117178612059154</v>
      </c>
      <c r="Q1027">
        <f t="shared" si="1020"/>
        <v>5998.8601791353803</v>
      </c>
      <c r="R1027">
        <f t="shared" si="1021"/>
        <v>55341.438692165662</v>
      </c>
      <c r="S1027">
        <f t="shared" si="1022"/>
        <v>0.55341438692165668</v>
      </c>
      <c r="T1027">
        <f t="shared" si="1023"/>
        <v>5.5341438692165673E-4</v>
      </c>
    </row>
    <row r="1028" spans="1:20" x14ac:dyDescent="0.25">
      <c r="A1028" s="5">
        <v>43565</v>
      </c>
      <c r="B1028">
        <v>70.430000000000007</v>
      </c>
      <c r="C1028">
        <v>73.790000000000006</v>
      </c>
      <c r="D1028">
        <v>70.069999999999993</v>
      </c>
      <c r="E1028">
        <v>71.75</v>
      </c>
      <c r="F1028">
        <v>10810.99401</v>
      </c>
      <c r="G1028">
        <v>0</v>
      </c>
      <c r="L1028" t="s">
        <v>8</v>
      </c>
      <c r="M1028" t="s">
        <v>7</v>
      </c>
      <c r="N1028" t="s">
        <v>8</v>
      </c>
      <c r="P1028">
        <f t="shared" si="1019"/>
        <v>-9.6774193548386608E-2</v>
      </c>
      <c r="Q1028">
        <f t="shared" si="1020"/>
        <v>-1046.2252267741883</v>
      </c>
      <c r="R1028">
        <f t="shared" si="1021"/>
        <v>49342.578513030283</v>
      </c>
      <c r="S1028">
        <f t="shared" si="1022"/>
        <v>0.49342578513030283</v>
      </c>
      <c r="T1028">
        <f t="shared" si="1023"/>
        <v>4.9342578513030281E-4</v>
      </c>
    </row>
    <row r="1029" spans="1:20" x14ac:dyDescent="0.25">
      <c r="A1029" s="5">
        <v>43564</v>
      </c>
      <c r="B1029">
        <v>72.2</v>
      </c>
      <c r="C1029">
        <v>72.2</v>
      </c>
      <c r="D1029">
        <v>68.599999999999994</v>
      </c>
      <c r="E1029">
        <v>70.3</v>
      </c>
      <c r="F1029">
        <v>14949.76326</v>
      </c>
      <c r="G1029">
        <v>0</v>
      </c>
      <c r="L1029" t="s">
        <v>7</v>
      </c>
      <c r="M1029" t="s">
        <v>7</v>
      </c>
      <c r="N1029" t="s">
        <v>8</v>
      </c>
      <c r="P1029">
        <f t="shared" si="1019"/>
        <v>-5.5555555555556212E-2</v>
      </c>
      <c r="Q1029">
        <f t="shared" si="1020"/>
        <v>-830.54240333334315</v>
      </c>
      <c r="R1029">
        <f t="shared" si="1021"/>
        <v>50388.803739804469</v>
      </c>
      <c r="S1029">
        <f t="shared" si="1022"/>
        <v>0.50388803739804466</v>
      </c>
      <c r="T1029">
        <f t="shared" si="1023"/>
        <v>5.038880373980447E-4</v>
      </c>
    </row>
    <row r="1030" spans="1:20" x14ac:dyDescent="0.25">
      <c r="A1030" s="5">
        <v>43563</v>
      </c>
      <c r="B1030">
        <v>74.209999999999994</v>
      </c>
      <c r="C1030">
        <v>76.069999999999993</v>
      </c>
      <c r="D1030">
        <v>68.849999999999994</v>
      </c>
      <c r="E1030">
        <v>72.19</v>
      </c>
      <c r="F1030">
        <v>14024.24424</v>
      </c>
      <c r="G1030">
        <v>0</v>
      </c>
      <c r="L1030" t="s">
        <v>7</v>
      </c>
      <c r="M1030" t="s">
        <v>7</v>
      </c>
      <c r="N1030" t="s">
        <v>8</v>
      </c>
      <c r="P1030">
        <f t="shared" ref="P1030:P1048" si="1024">IF(C1030=D1030,0,((E1030-D1030)-(C1030-E1030))/(C1030-D1030))</f>
        <v>-7.4792243767311931E-2</v>
      </c>
      <c r="Q1030">
        <f t="shared" ref="Q1030:Q1048" si="1025">F1030*P1030</f>
        <v>-1048.9046938504002</v>
      </c>
      <c r="R1030">
        <f t="shared" ref="R1030:R1048" si="1026">R1031+Q1030</f>
        <v>51219.346143137809</v>
      </c>
      <c r="S1030">
        <f t="shared" ref="S1030:S1048" si="1027">R1030/100000</f>
        <v>0.51219346143137812</v>
      </c>
      <c r="T1030">
        <f t="shared" ref="T1030:T1048" si="1028">S1030/1000</f>
        <v>5.1219346143137811E-4</v>
      </c>
    </row>
    <row r="1031" spans="1:20" x14ac:dyDescent="0.25">
      <c r="A1031" s="5">
        <v>43562</v>
      </c>
      <c r="B1031">
        <v>71.38</v>
      </c>
      <c r="C1031">
        <v>75</v>
      </c>
      <c r="D1031">
        <v>70.52</v>
      </c>
      <c r="E1031">
        <v>74.37</v>
      </c>
      <c r="F1031">
        <v>14712.68656</v>
      </c>
      <c r="G1031">
        <v>0</v>
      </c>
      <c r="L1031" t="s">
        <v>8</v>
      </c>
      <c r="M1031" t="s">
        <v>7</v>
      </c>
      <c r="N1031" t="s">
        <v>8</v>
      </c>
      <c r="P1031">
        <f t="shared" si="1024"/>
        <v>0.71875000000000233</v>
      </c>
      <c r="Q1031">
        <f t="shared" si="1025"/>
        <v>10574.743465000034</v>
      </c>
      <c r="R1031">
        <f t="shared" si="1026"/>
        <v>52268.250836988213</v>
      </c>
      <c r="S1031">
        <f t="shared" si="1027"/>
        <v>0.52268250836988217</v>
      </c>
      <c r="T1031">
        <f t="shared" si="1028"/>
        <v>5.2268250836988222E-4</v>
      </c>
    </row>
    <row r="1032" spans="1:20" x14ac:dyDescent="0.25">
      <c r="A1032" s="5">
        <v>43561</v>
      </c>
      <c r="B1032">
        <v>71.62</v>
      </c>
      <c r="C1032">
        <v>73.12</v>
      </c>
      <c r="D1032">
        <v>69.14</v>
      </c>
      <c r="E1032">
        <v>71.23</v>
      </c>
      <c r="F1032">
        <v>7766.2971100000004</v>
      </c>
      <c r="G1032">
        <v>0</v>
      </c>
      <c r="L1032" t="s">
        <v>8</v>
      </c>
      <c r="M1032" t="s">
        <v>7</v>
      </c>
      <c r="N1032" t="s">
        <v>8</v>
      </c>
      <c r="P1032">
        <f t="shared" si="1024"/>
        <v>5.0251256281407697E-2</v>
      </c>
      <c r="Q1032">
        <f t="shared" si="1025"/>
        <v>390.26618643216597</v>
      </c>
      <c r="R1032">
        <f t="shared" si="1026"/>
        <v>41693.507371988177</v>
      </c>
      <c r="S1032">
        <f t="shared" si="1027"/>
        <v>0.41693507371988175</v>
      </c>
      <c r="T1032">
        <f t="shared" si="1028"/>
        <v>4.1693507371988177E-4</v>
      </c>
    </row>
    <row r="1033" spans="1:20" x14ac:dyDescent="0.25">
      <c r="A1033" s="5">
        <v>43560</v>
      </c>
      <c r="B1033">
        <v>66.91</v>
      </c>
      <c r="C1033">
        <v>72.62</v>
      </c>
      <c r="D1033">
        <v>66.91</v>
      </c>
      <c r="E1033">
        <v>72.05</v>
      </c>
      <c r="F1033">
        <v>13442.0753</v>
      </c>
      <c r="G1033">
        <v>0</v>
      </c>
      <c r="L1033" t="s">
        <v>8</v>
      </c>
      <c r="M1033" t="s">
        <v>7</v>
      </c>
      <c r="N1033" t="s">
        <v>8</v>
      </c>
      <c r="P1033">
        <f t="shared" si="1024"/>
        <v>0.80035026269702048</v>
      </c>
      <c r="Q1033">
        <f t="shared" si="1025"/>
        <v>10758.36849754813</v>
      </c>
      <c r="R1033">
        <f t="shared" si="1026"/>
        <v>41303.241185556013</v>
      </c>
      <c r="S1033">
        <f t="shared" si="1027"/>
        <v>0.41303241185556011</v>
      </c>
      <c r="T1033">
        <f t="shared" si="1028"/>
        <v>4.130324118555601E-4</v>
      </c>
    </row>
    <row r="1034" spans="1:20" x14ac:dyDescent="0.25">
      <c r="A1034" s="5">
        <v>43559</v>
      </c>
      <c r="B1034">
        <v>69.11</v>
      </c>
      <c r="C1034">
        <v>71.37</v>
      </c>
      <c r="D1034">
        <v>64.59</v>
      </c>
      <c r="E1034">
        <v>66.78</v>
      </c>
      <c r="F1034">
        <v>11785.24136</v>
      </c>
      <c r="G1034">
        <v>0</v>
      </c>
      <c r="L1034" t="s">
        <v>7</v>
      </c>
      <c r="M1034" t="s">
        <v>7</v>
      </c>
      <c r="N1034" t="s">
        <v>8</v>
      </c>
      <c r="P1034">
        <f t="shared" si="1024"/>
        <v>-0.35398230088495652</v>
      </c>
      <c r="Q1034">
        <f t="shared" si="1025"/>
        <v>-4171.7668530973542</v>
      </c>
      <c r="R1034">
        <f t="shared" si="1026"/>
        <v>30544.872688007883</v>
      </c>
      <c r="S1034">
        <f t="shared" si="1027"/>
        <v>0.30544872688007885</v>
      </c>
      <c r="T1034">
        <f t="shared" si="1028"/>
        <v>3.0544872688007885E-4</v>
      </c>
    </row>
    <row r="1035" spans="1:20" x14ac:dyDescent="0.25">
      <c r="A1035" s="5">
        <v>43558</v>
      </c>
      <c r="B1035">
        <v>69.53</v>
      </c>
      <c r="C1035">
        <v>77</v>
      </c>
      <c r="D1035">
        <v>66</v>
      </c>
      <c r="E1035">
        <v>69.55</v>
      </c>
      <c r="F1035">
        <v>26319.22623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-0.35454545454545505</v>
      </c>
      <c r="Q1035">
        <f t="shared" si="1025"/>
        <v>-9331.3620270000138</v>
      </c>
      <c r="R1035">
        <f t="shared" si="1026"/>
        <v>34716.639541105236</v>
      </c>
      <c r="S1035">
        <f t="shared" si="1027"/>
        <v>0.34716639541105238</v>
      </c>
      <c r="T1035">
        <f t="shared" si="1028"/>
        <v>3.4716639541105236E-4</v>
      </c>
    </row>
    <row r="1036" spans="1:20" x14ac:dyDescent="0.25">
      <c r="A1036" s="5">
        <v>43557</v>
      </c>
      <c r="B1036">
        <v>62.69</v>
      </c>
      <c r="C1036">
        <v>70.989999999999995</v>
      </c>
      <c r="D1036">
        <v>60.56</v>
      </c>
      <c r="E1036">
        <v>69.599999999999994</v>
      </c>
      <c r="F1036">
        <v>29209.140299999999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0.73346116970278019</v>
      </c>
      <c r="Q1036">
        <f t="shared" si="1025"/>
        <v>21423.770210450617</v>
      </c>
      <c r="R1036">
        <f t="shared" si="1026"/>
        <v>44048.001568105246</v>
      </c>
      <c r="S1036">
        <f t="shared" si="1027"/>
        <v>0.44048001568105244</v>
      </c>
      <c r="T1036">
        <f t="shared" si="1028"/>
        <v>4.4048001568105241E-4</v>
      </c>
    </row>
    <row r="1037" spans="1:20" x14ac:dyDescent="0.25">
      <c r="A1037" s="5">
        <v>43556</v>
      </c>
      <c r="B1037">
        <v>58.78</v>
      </c>
      <c r="C1037">
        <v>63.68</v>
      </c>
      <c r="D1037">
        <v>58.13</v>
      </c>
      <c r="E1037">
        <v>62.7</v>
      </c>
      <c r="F1037">
        <v>14320.42676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0.64684684684684779</v>
      </c>
      <c r="Q1037">
        <f t="shared" si="1025"/>
        <v>9263.1228952072215</v>
      </c>
      <c r="R1037">
        <f t="shared" si="1026"/>
        <v>22624.231357654626</v>
      </c>
      <c r="S1037">
        <f t="shared" si="1027"/>
        <v>0.22624231357654626</v>
      </c>
      <c r="T1037">
        <f t="shared" si="1028"/>
        <v>2.2624231357654625E-4</v>
      </c>
    </row>
    <row r="1038" spans="1:20" x14ac:dyDescent="0.25">
      <c r="A1038" s="5">
        <v>43555</v>
      </c>
      <c r="B1038">
        <v>56.81</v>
      </c>
      <c r="C1038">
        <v>59.52</v>
      </c>
      <c r="D1038">
        <v>56.73</v>
      </c>
      <c r="E1038">
        <v>58.65</v>
      </c>
      <c r="F1038">
        <v>11424.866309999999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0.37634408602150349</v>
      </c>
      <c r="Q1038">
        <f t="shared" si="1025"/>
        <v>4299.6808693548173</v>
      </c>
      <c r="R1038">
        <f t="shared" si="1026"/>
        <v>13361.108462447404</v>
      </c>
      <c r="S1038">
        <f t="shared" si="1027"/>
        <v>0.13361108462447405</v>
      </c>
      <c r="T1038">
        <f t="shared" si="1028"/>
        <v>1.3361108462447405E-4</v>
      </c>
    </row>
    <row r="1039" spans="1:20" x14ac:dyDescent="0.25">
      <c r="A1039" s="5">
        <v>43554</v>
      </c>
      <c r="B1039">
        <v>57.15</v>
      </c>
      <c r="C1039">
        <v>57.44</v>
      </c>
      <c r="D1039">
        <v>55.6</v>
      </c>
      <c r="E1039">
        <v>57.1</v>
      </c>
      <c r="F1039">
        <v>3709.98578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0.6304347826086989</v>
      </c>
      <c r="Q1039">
        <f t="shared" si="1025"/>
        <v>2338.9040786956643</v>
      </c>
      <c r="R1039">
        <f t="shared" si="1026"/>
        <v>9061.4275930925869</v>
      </c>
      <c r="S1039">
        <f t="shared" si="1027"/>
        <v>9.0614275930925872E-2</v>
      </c>
      <c r="T1039">
        <f t="shared" si="1028"/>
        <v>9.0614275930925878E-5</v>
      </c>
    </row>
    <row r="1040" spans="1:20" x14ac:dyDescent="0.25">
      <c r="A1040" s="5">
        <v>43553</v>
      </c>
      <c r="B1040">
        <v>56.15</v>
      </c>
      <c r="C1040">
        <v>58.12</v>
      </c>
      <c r="D1040">
        <v>55.1</v>
      </c>
      <c r="E1040">
        <v>57.14</v>
      </c>
      <c r="F1040">
        <v>8048.8294299999998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0.35099337748344495</v>
      </c>
      <c r="Q1040">
        <f t="shared" si="1025"/>
        <v>2825.0858264238509</v>
      </c>
      <c r="R1040">
        <f t="shared" si="1026"/>
        <v>6722.5235143969221</v>
      </c>
      <c r="S1040">
        <f t="shared" si="1027"/>
        <v>6.722523514396922E-2</v>
      </c>
      <c r="T1040">
        <f t="shared" si="1028"/>
        <v>6.7225235143969218E-5</v>
      </c>
    </row>
    <row r="1041" spans="1:20" x14ac:dyDescent="0.25">
      <c r="A1041" s="5">
        <v>43552</v>
      </c>
      <c r="B1041">
        <v>56.8</v>
      </c>
      <c r="C1041">
        <v>56.8</v>
      </c>
      <c r="D1041">
        <v>55.29</v>
      </c>
      <c r="E1041">
        <v>56.18</v>
      </c>
      <c r="F1041">
        <v>5429.8737300000003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0.17880794701986985</v>
      </c>
      <c r="Q1041">
        <f t="shared" si="1025"/>
        <v>970.90457423842315</v>
      </c>
      <c r="R1041">
        <f t="shared" si="1026"/>
        <v>3897.4376879730717</v>
      </c>
      <c r="S1041">
        <f t="shared" si="1027"/>
        <v>3.8974376879730717E-2</v>
      </c>
      <c r="T1041">
        <f t="shared" si="1028"/>
        <v>3.8974376879730715E-5</v>
      </c>
    </row>
    <row r="1042" spans="1:20" x14ac:dyDescent="0.25">
      <c r="A1042" s="5">
        <v>43551</v>
      </c>
      <c r="B1042">
        <v>54.5</v>
      </c>
      <c r="C1042">
        <v>57.35</v>
      </c>
      <c r="D1042">
        <v>54.49</v>
      </c>
      <c r="E1042">
        <v>56.96</v>
      </c>
      <c r="F1042">
        <v>4350.0058900000004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0.72727272727272685</v>
      </c>
      <c r="Q1042">
        <f t="shared" si="1025"/>
        <v>3163.6406472727258</v>
      </c>
      <c r="R1042">
        <f t="shared" si="1026"/>
        <v>2926.5331137346484</v>
      </c>
      <c r="S1042">
        <f t="shared" si="1027"/>
        <v>2.9265331137346483E-2</v>
      </c>
      <c r="T1042">
        <f t="shared" si="1028"/>
        <v>2.9265331137346485E-5</v>
      </c>
    </row>
    <row r="1043" spans="1:20" x14ac:dyDescent="0.25">
      <c r="A1043" s="5">
        <v>43550</v>
      </c>
      <c r="B1043">
        <v>55.32</v>
      </c>
      <c r="C1043">
        <v>55.5</v>
      </c>
      <c r="D1043">
        <v>52.72</v>
      </c>
      <c r="E1043">
        <v>54.49</v>
      </c>
      <c r="F1043">
        <v>3951.2443800000001</v>
      </c>
      <c r="G1043">
        <v>0</v>
      </c>
      <c r="L1043" t="s">
        <v>7</v>
      </c>
      <c r="M1043" t="s">
        <v>8</v>
      </c>
      <c r="N1043" t="s">
        <v>8</v>
      </c>
      <c r="P1043">
        <f t="shared" si="1024"/>
        <v>0.27338129496403052</v>
      </c>
      <c r="Q1043">
        <f t="shared" si="1025"/>
        <v>1080.196305323748</v>
      </c>
      <c r="R1043">
        <f t="shared" si="1026"/>
        <v>-237.10753353807718</v>
      </c>
      <c r="S1043">
        <f t="shared" si="1027"/>
        <v>-2.3710753353807716E-3</v>
      </c>
      <c r="T1043">
        <f t="shared" si="1028"/>
        <v>-2.3710753353807714E-6</v>
      </c>
    </row>
    <row r="1044" spans="1:20" x14ac:dyDescent="0.25">
      <c r="A1044" s="5">
        <v>43549</v>
      </c>
      <c r="B1044">
        <v>57.06</v>
      </c>
      <c r="C1044">
        <v>57.13</v>
      </c>
      <c r="D1044">
        <v>53.78</v>
      </c>
      <c r="E1044">
        <v>55.32</v>
      </c>
      <c r="F1044">
        <v>4922.4201000000003</v>
      </c>
      <c r="G1044">
        <v>0</v>
      </c>
      <c r="L1044" t="s">
        <v>7</v>
      </c>
      <c r="M1044" t="s">
        <v>8</v>
      </c>
      <c r="N1044" t="s">
        <v>8</v>
      </c>
      <c r="P1044">
        <f t="shared" si="1024"/>
        <v>-8.0597014925374036E-2</v>
      </c>
      <c r="Q1044">
        <f t="shared" si="1025"/>
        <v>-396.73236626866117</v>
      </c>
      <c r="R1044">
        <f t="shared" si="1026"/>
        <v>-1317.3038388618252</v>
      </c>
      <c r="S1044">
        <f t="shared" si="1027"/>
        <v>-1.3173038388618252E-2</v>
      </c>
      <c r="T1044">
        <f t="shared" si="1028"/>
        <v>-1.3173038388618252E-5</v>
      </c>
    </row>
    <row r="1045" spans="1:20" x14ac:dyDescent="0.25">
      <c r="A1045" s="5">
        <v>43548</v>
      </c>
      <c r="B1045">
        <v>56.8</v>
      </c>
      <c r="C1045">
        <v>58.44</v>
      </c>
      <c r="D1045">
        <v>55.81</v>
      </c>
      <c r="E1045">
        <v>57.21</v>
      </c>
      <c r="F1045">
        <v>8357.05638</v>
      </c>
      <c r="G1045">
        <v>0</v>
      </c>
      <c r="L1045" t="s">
        <v>8</v>
      </c>
      <c r="M1045" t="s">
        <v>8</v>
      </c>
      <c r="N1045" t="s">
        <v>8</v>
      </c>
      <c r="P1045">
        <f t="shared" si="1024"/>
        <v>6.4638783269962738E-2</v>
      </c>
      <c r="Q1045">
        <f t="shared" si="1025"/>
        <v>540.18995612167942</v>
      </c>
      <c r="R1045">
        <f t="shared" si="1026"/>
        <v>-920.57147259316412</v>
      </c>
      <c r="S1045">
        <f t="shared" si="1027"/>
        <v>-9.2057147259316414E-3</v>
      </c>
      <c r="T1045">
        <f t="shared" si="1028"/>
        <v>-9.2057147259316411E-6</v>
      </c>
    </row>
    <row r="1046" spans="1:20" x14ac:dyDescent="0.25">
      <c r="A1046" s="5">
        <v>43547</v>
      </c>
      <c r="B1046">
        <v>55.06</v>
      </c>
      <c r="C1046">
        <v>56.9</v>
      </c>
      <c r="D1046">
        <v>54.78</v>
      </c>
      <c r="E1046">
        <v>56.9</v>
      </c>
      <c r="F1046">
        <v>3435.7313800000002</v>
      </c>
      <c r="G1046">
        <v>0</v>
      </c>
      <c r="L1046" t="s">
        <v>8</v>
      </c>
      <c r="M1046" t="s">
        <v>8</v>
      </c>
      <c r="N1046" t="s">
        <v>8</v>
      </c>
      <c r="P1046">
        <f t="shared" si="1024"/>
        <v>1</v>
      </c>
      <c r="Q1046">
        <f t="shared" si="1025"/>
        <v>3435.7313800000002</v>
      </c>
      <c r="R1046">
        <f t="shared" si="1026"/>
        <v>-1460.7614287148435</v>
      </c>
      <c r="S1046">
        <f t="shared" si="1027"/>
        <v>-1.4607614287148435E-2</v>
      </c>
      <c r="T1046">
        <f t="shared" si="1028"/>
        <v>-1.4607614287148435E-5</v>
      </c>
    </row>
    <row r="1047" spans="1:20" x14ac:dyDescent="0.25">
      <c r="A1047" s="5">
        <v>43546</v>
      </c>
      <c r="B1047">
        <v>55.37</v>
      </c>
      <c r="C1047">
        <v>56.56</v>
      </c>
      <c r="D1047">
        <v>54.42</v>
      </c>
      <c r="E1047">
        <v>55.07</v>
      </c>
      <c r="F1047">
        <v>5182.0712700000004</v>
      </c>
      <c r="G1047">
        <v>0</v>
      </c>
      <c r="L1047" t="s">
        <v>8</v>
      </c>
      <c r="M1047" t="s">
        <v>8</v>
      </c>
      <c r="N1047" t="s">
        <v>8</v>
      </c>
      <c r="P1047">
        <f t="shared" si="1024"/>
        <v>-0.3925233644859828</v>
      </c>
      <c r="Q1047">
        <f t="shared" si="1025"/>
        <v>-2034.0840499065498</v>
      </c>
      <c r="R1047">
        <f t="shared" si="1026"/>
        <v>-4896.4928087148437</v>
      </c>
      <c r="S1047">
        <f t="shared" si="1027"/>
        <v>-4.8964928087148439E-2</v>
      </c>
      <c r="T1047">
        <f t="shared" si="1028"/>
        <v>-4.8964928087148441E-5</v>
      </c>
    </row>
    <row r="1048" spans="1:20" x14ac:dyDescent="0.25">
      <c r="A1048" s="5">
        <v>43545</v>
      </c>
      <c r="B1048">
        <v>58.5</v>
      </c>
      <c r="C1048">
        <v>59.1</v>
      </c>
      <c r="D1048">
        <v>53.31</v>
      </c>
      <c r="E1048">
        <v>55.14</v>
      </c>
      <c r="F1048">
        <v>7780.9139500000001</v>
      </c>
      <c r="G1048">
        <v>0</v>
      </c>
      <c r="P1048">
        <f t="shared" si="1024"/>
        <v>-0.36787564766839426</v>
      </c>
      <c r="Q1048">
        <f t="shared" si="1025"/>
        <v>-2862.4087588082939</v>
      </c>
      <c r="R1048">
        <f t="shared" si="1026"/>
        <v>-2862.4087588082939</v>
      </c>
      <c r="S1048">
        <f t="shared" si="1027"/>
        <v>-2.8624087588082939E-2</v>
      </c>
      <c r="T1048">
        <f t="shared" si="1028"/>
        <v>-2.8624087588082941E-5</v>
      </c>
    </row>
    <row r="1049" spans="1:20" x14ac:dyDescent="0.25">
      <c r="A1049" s="5"/>
      <c r="C1049"/>
      <c r="D1049"/>
    </row>
    <row r="1050" spans="1:20" x14ac:dyDescent="0.25">
      <c r="A1050" s="5"/>
      <c r="C1050"/>
      <c r="D1050"/>
    </row>
    <row r="1051" spans="1:20" x14ac:dyDescent="0.25">
      <c r="A1051" s="5"/>
      <c r="C1051"/>
      <c r="D1051"/>
    </row>
    <row r="1052" spans="1:20" x14ac:dyDescent="0.25">
      <c r="A1052" s="5"/>
      <c r="C1052"/>
      <c r="D1052"/>
    </row>
    <row r="1053" spans="1:20" x14ac:dyDescent="0.25">
      <c r="A1053" s="5"/>
      <c r="C1053"/>
      <c r="D1053"/>
    </row>
    <row r="1054" spans="1:20" x14ac:dyDescent="0.25">
      <c r="A1054" s="5"/>
      <c r="C1054"/>
      <c r="D1054"/>
    </row>
    <row r="1055" spans="1:20" x14ac:dyDescent="0.25">
      <c r="A1055" s="5"/>
      <c r="C1055"/>
      <c r="D1055"/>
    </row>
    <row r="1056" spans="1:20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B362" sqref="PB36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$A$361</v>
      </c>
      <c r="D111" s="1" t="str">
        <f>ADDRESS(C121-1,D121,1,1)</f>
        <v>$PB$361</v>
      </c>
      <c r="E111"/>
    </row>
    <row r="112" spans="1:5" x14ac:dyDescent="0.25">
      <c r="A112" s="7">
        <v>12164.144957890772</v>
      </c>
      <c r="C112" s="1" t="str">
        <f>ADDRESS(C121,1,1,1)</f>
        <v>$A$362</v>
      </c>
      <c r="D112" s="1" t="str">
        <f>ADDRESS(C121,D121-1,1,1)</f>
        <v>$PA$362</v>
      </c>
      <c r="E112"/>
    </row>
    <row r="113" spans="1:5" x14ac:dyDescent="0.25">
      <c r="A113" s="7">
        <v>11925.63231165762</v>
      </c>
      <c r="C113" s="1" t="str">
        <f>ADDRESS(C121+1,1,1,1)</f>
        <v>$A$363</v>
      </c>
      <c r="D113" s="1" t="str">
        <f>ADDRESS(C121-1,D121+1,1,1)</f>
        <v>$PC$361</v>
      </c>
    </row>
    <row r="114" spans="1:5" x14ac:dyDescent="0.25">
      <c r="A114" s="7">
        <v>11691.796383978059</v>
      </c>
      <c r="C114" s="1" t="str">
        <f>ADDRESS(C121,D121,1,1)</f>
        <v>$PB$362</v>
      </c>
      <c r="D114" s="1" t="str">
        <f>ADDRESS(C121+1,D121+1,1,1)</f>
        <v>$PC$363</v>
      </c>
    </row>
    <row r="115" spans="1:5" x14ac:dyDescent="0.25">
      <c r="A115" s="7">
        <v>11462.545474488292</v>
      </c>
      <c r="C115" s="1" t="str">
        <f>ADDRESS(C121+1,D121,1,1)</f>
        <v>$PB$363</v>
      </c>
    </row>
    <row r="116" spans="1:5" x14ac:dyDescent="0.25">
      <c r="A116" s="7">
        <v>11237.789680870874</v>
      </c>
      <c r="C116" s="1">
        <f>C117-1</f>
        <v>361</v>
      </c>
    </row>
    <row r="117" spans="1:5" x14ac:dyDescent="0.25">
      <c r="A117" s="7">
        <v>11017.440863598895</v>
      </c>
      <c r="C117" s="1">
        <f>C121</f>
        <v>362</v>
      </c>
      <c r="D117" s="1">
        <f>D121</f>
        <v>418</v>
      </c>
    </row>
    <row r="118" spans="1:5" x14ac:dyDescent="0.25">
      <c r="A118" s="7">
        <v>10801.412611371465</v>
      </c>
      <c r="C118" s="1">
        <f>C117+1</f>
        <v>363</v>
      </c>
      <c r="D118" s="1">
        <f>D117+1</f>
        <v>419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362</v>
      </c>
      <c r="D121" s="19">
        <v>418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R362</v>
      </c>
      <c r="D123" s="1" t="str">
        <f>"C"&amp;D121</f>
        <v>C418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86.107037258375883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386" x14ac:dyDescent="0.25">
      <c r="A289" s="7">
        <v>365.46953869813115</v>
      </c>
      <c r="B289"/>
      <c r="C289"/>
      <c r="D289"/>
      <c r="E289"/>
      <c r="KU289" s="27" t="s">
        <v>8</v>
      </c>
    </row>
    <row r="290" spans="1:386" x14ac:dyDescent="0.25">
      <c r="A290" s="7">
        <v>358.30346931189325</v>
      </c>
      <c r="B290"/>
      <c r="C290"/>
      <c r="D290"/>
      <c r="E290"/>
      <c r="KU290" s="27" t="s">
        <v>8</v>
      </c>
      <c r="KV290" s="27" t="s">
        <v>7</v>
      </c>
    </row>
    <row r="291" spans="1:386" x14ac:dyDescent="0.25">
      <c r="A291" s="7">
        <v>351.27791109009144</v>
      </c>
      <c r="B291"/>
      <c r="C291"/>
      <c r="D291"/>
      <c r="E291"/>
      <c r="KU291" s="27" t="s">
        <v>8</v>
      </c>
      <c r="KV291" s="27" t="s">
        <v>7</v>
      </c>
    </row>
    <row r="292" spans="1:386" x14ac:dyDescent="0.25">
      <c r="A292" s="7">
        <v>344.39010891185433</v>
      </c>
      <c r="B292"/>
      <c r="C292"/>
      <c r="D292"/>
      <c r="E292"/>
      <c r="KU292" s="27" t="s">
        <v>8</v>
      </c>
      <c r="KV292" s="27" t="s">
        <v>7</v>
      </c>
    </row>
    <row r="293" spans="1:386" x14ac:dyDescent="0.25">
      <c r="A293" s="7">
        <v>337.63736167828853</v>
      </c>
      <c r="B293"/>
      <c r="C293"/>
      <c r="D293"/>
      <c r="E293"/>
      <c r="KS293" s="27" t="s">
        <v>8</v>
      </c>
      <c r="KU293" s="27" t="s">
        <v>8</v>
      </c>
      <c r="KV293" s="27" t="s">
        <v>7</v>
      </c>
    </row>
    <row r="294" spans="1:386" x14ac:dyDescent="0.25">
      <c r="A294" s="7">
        <v>331.01702125322402</v>
      </c>
      <c r="B294"/>
      <c r="C294"/>
      <c r="D294"/>
      <c r="E294"/>
      <c r="KS294" s="27" t="s">
        <v>8</v>
      </c>
      <c r="KT294" s="27" t="s">
        <v>7</v>
      </c>
      <c r="KU294" s="27" t="s">
        <v>8</v>
      </c>
      <c r="KV294" s="27" t="s">
        <v>7</v>
      </c>
    </row>
    <row r="295" spans="1:386" x14ac:dyDescent="0.25">
      <c r="A295" s="7">
        <v>324.52649142472944</v>
      </c>
      <c r="B295"/>
      <c r="C295"/>
      <c r="D295"/>
      <c r="E295"/>
      <c r="KS295" s="27" t="s">
        <v>8</v>
      </c>
      <c r="KT295" s="27" t="s">
        <v>7</v>
      </c>
      <c r="KU295" s="27" t="s">
        <v>8</v>
      </c>
      <c r="KV295" s="27" t="s">
        <v>7</v>
      </c>
    </row>
    <row r="296" spans="1:386" x14ac:dyDescent="0.25">
      <c r="A296" s="7">
        <v>318.16322688698966</v>
      </c>
      <c r="B296"/>
      <c r="C296"/>
      <c r="D296"/>
      <c r="E296"/>
      <c r="KS296" s="27" t="s">
        <v>8</v>
      </c>
      <c r="KT296" s="27" t="s">
        <v>7</v>
      </c>
      <c r="KU296" s="27" t="s">
        <v>8</v>
      </c>
      <c r="KV296" s="27" t="s">
        <v>7</v>
      </c>
      <c r="KW296" s="27" t="s">
        <v>8</v>
      </c>
    </row>
    <row r="297" spans="1:386" x14ac:dyDescent="0.25">
      <c r="A297" s="7">
        <v>311.92473224214672</v>
      </c>
      <c r="B297"/>
      <c r="C297"/>
      <c r="D297"/>
      <c r="E297"/>
      <c r="KS297" s="27" t="s">
        <v>8</v>
      </c>
      <c r="KT297" s="27" t="s">
        <v>7</v>
      </c>
      <c r="KU297" s="27" t="s">
        <v>8</v>
      </c>
      <c r="KV297" s="27" t="s">
        <v>7</v>
      </c>
      <c r="KW297" s="27" t="s">
        <v>8</v>
      </c>
      <c r="KX297" s="27" t="s">
        <v>7</v>
      </c>
    </row>
    <row r="298" spans="1:386" x14ac:dyDescent="0.25">
      <c r="A298" s="7">
        <v>305.80856102171248</v>
      </c>
      <c r="B298"/>
      <c r="C298"/>
      <c r="D298"/>
      <c r="E298"/>
      <c r="KS298" s="27" t="s">
        <v>8</v>
      </c>
      <c r="KT298" s="27" t="s">
        <v>7</v>
      </c>
      <c r="KU298" s="27" t="s">
        <v>8</v>
      </c>
      <c r="KV298" s="27" t="s">
        <v>7</v>
      </c>
      <c r="KW298" s="27" t="s">
        <v>8</v>
      </c>
      <c r="KX298" s="27" t="s">
        <v>7</v>
      </c>
    </row>
    <row r="299" spans="1:386" x14ac:dyDescent="0.25">
      <c r="A299" s="7">
        <v>299.81231472716911</v>
      </c>
      <c r="B299"/>
      <c r="C299"/>
      <c r="D299"/>
      <c r="E299"/>
      <c r="KS299" s="27" t="s">
        <v>8</v>
      </c>
      <c r="KT299" s="27" t="s">
        <v>7</v>
      </c>
      <c r="KU299" s="27" t="s">
        <v>8</v>
      </c>
      <c r="KV299" s="27" t="s">
        <v>7</v>
      </c>
      <c r="KW299" s="27" t="s">
        <v>8</v>
      </c>
      <c r="KX299" s="27" t="s">
        <v>7</v>
      </c>
      <c r="NU299" s="27" t="s">
        <v>8</v>
      </c>
    </row>
    <row r="300" spans="1:386" x14ac:dyDescent="0.25">
      <c r="A300" s="7">
        <v>293.93364188938148</v>
      </c>
      <c r="B300"/>
      <c r="C300"/>
      <c r="D300"/>
      <c r="E300"/>
      <c r="KI300" s="27" t="s">
        <v>8</v>
      </c>
      <c r="KS300" s="27" t="s">
        <v>8</v>
      </c>
      <c r="KT300" s="27" t="s">
        <v>7</v>
      </c>
      <c r="KU300" s="27" t="s">
        <v>8</v>
      </c>
      <c r="KV300" s="27" t="s">
        <v>7</v>
      </c>
      <c r="KW300" s="27" t="s">
        <v>8</v>
      </c>
      <c r="KX300" s="27" t="s">
        <v>7</v>
      </c>
      <c r="NU300" s="27" t="s">
        <v>8</v>
      </c>
      <c r="NV300" s="27" t="s">
        <v>7</v>
      </c>
    </row>
    <row r="301" spans="1:386" x14ac:dyDescent="0.25">
      <c r="A301" s="7">
        <v>288.17023714645245</v>
      </c>
      <c r="B301"/>
      <c r="C301"/>
      <c r="D301"/>
      <c r="E301"/>
      <c r="KI301" s="27" t="s">
        <v>8</v>
      </c>
      <c r="KJ301" s="27" t="s">
        <v>7</v>
      </c>
      <c r="KS301" s="27" t="s">
        <v>8</v>
      </c>
      <c r="KT301" s="27" t="s">
        <v>7</v>
      </c>
      <c r="KU301" s="27" t="s">
        <v>8</v>
      </c>
      <c r="KV301" s="27" t="s">
        <v>7</v>
      </c>
      <c r="KW301" s="27" t="s">
        <v>8</v>
      </c>
      <c r="KX301" s="27" t="s">
        <v>7</v>
      </c>
      <c r="NU301" s="27" t="s">
        <v>8</v>
      </c>
      <c r="NV301" s="27" t="s">
        <v>7</v>
      </c>
    </row>
    <row r="302" spans="1:386" x14ac:dyDescent="0.25">
      <c r="A302" s="7">
        <v>282.51984033965925</v>
      </c>
      <c r="B302"/>
      <c r="C302"/>
      <c r="D302"/>
      <c r="E302"/>
      <c r="KI302" s="27" t="s">
        <v>8</v>
      </c>
      <c r="KJ302" s="27" t="s">
        <v>7</v>
      </c>
      <c r="KS302" s="27" t="s">
        <v>8</v>
      </c>
      <c r="KT302" s="27" t="s">
        <v>7</v>
      </c>
      <c r="KU302" s="27" t="s">
        <v>8</v>
      </c>
      <c r="KV302" s="27" t="s">
        <v>7</v>
      </c>
      <c r="KW302" s="27" t="s">
        <v>8</v>
      </c>
      <c r="KX302" s="27" t="s">
        <v>7</v>
      </c>
      <c r="NU302" s="27" t="s">
        <v>8</v>
      </c>
      <c r="NV302" s="27" t="s">
        <v>7</v>
      </c>
    </row>
    <row r="303" spans="1:386" x14ac:dyDescent="0.25">
      <c r="A303" s="7">
        <v>276.98023562711688</v>
      </c>
      <c r="B303"/>
      <c r="C303"/>
      <c r="D303"/>
      <c r="E303"/>
      <c r="KI303" s="27" t="s">
        <v>8</v>
      </c>
      <c r="KJ303" s="27" t="s">
        <v>7</v>
      </c>
      <c r="KS303" s="27" t="s">
        <v>8</v>
      </c>
      <c r="KT303" s="27" t="s">
        <v>7</v>
      </c>
      <c r="KU303" s="27" t="s">
        <v>8</v>
      </c>
      <c r="KV303" s="27" t="s">
        <v>7</v>
      </c>
      <c r="KW303" s="27" t="s">
        <v>8</v>
      </c>
      <c r="KX303" s="27" t="s">
        <v>7</v>
      </c>
      <c r="NU303" s="27" t="s">
        <v>8</v>
      </c>
      <c r="NV303" s="27" t="s">
        <v>7</v>
      </c>
    </row>
    <row r="304" spans="1:386" x14ac:dyDescent="0.25">
      <c r="A304" s="7">
        <v>271.54925061482049</v>
      </c>
      <c r="B304"/>
      <c r="C304"/>
      <c r="D304"/>
      <c r="E304"/>
      <c r="KI304" s="27" t="s">
        <v>8</v>
      </c>
      <c r="KJ304" s="27" t="s">
        <v>7</v>
      </c>
      <c r="KS304" s="27" t="s">
        <v>8</v>
      </c>
      <c r="KT304" s="27" t="s">
        <v>7</v>
      </c>
      <c r="KU304" s="27" t="s">
        <v>8</v>
      </c>
      <c r="KV304" s="27" t="s">
        <v>7</v>
      </c>
      <c r="KW304" s="27" t="s">
        <v>8</v>
      </c>
      <c r="KX304" s="27" t="s">
        <v>7</v>
      </c>
      <c r="NU304" s="27" t="s">
        <v>8</v>
      </c>
      <c r="NV304" s="27" t="s">
        <v>7</v>
      </c>
    </row>
    <row r="305" spans="1:390" x14ac:dyDescent="0.25">
      <c r="A305" s="7">
        <v>266.22475550472598</v>
      </c>
      <c r="B305"/>
      <c r="C305"/>
      <c r="D305"/>
      <c r="E305"/>
      <c r="KI305" s="27" t="s">
        <v>8</v>
      </c>
      <c r="KJ305" s="27" t="s">
        <v>7</v>
      </c>
      <c r="KS305" s="27" t="s">
        <v>8</v>
      </c>
      <c r="KT305" s="27" t="s">
        <v>7</v>
      </c>
      <c r="KV305" s="27" t="s">
        <v>7</v>
      </c>
      <c r="KW305" s="27" t="s">
        <v>8</v>
      </c>
      <c r="KX305" s="27" t="s">
        <v>7</v>
      </c>
      <c r="NU305" s="27" t="s">
        <v>8</v>
      </c>
      <c r="NV305" s="27" t="s">
        <v>7</v>
      </c>
    </row>
    <row r="306" spans="1:390" x14ac:dyDescent="0.25">
      <c r="A306" s="7">
        <v>261.00466225953528</v>
      </c>
      <c r="B306"/>
      <c r="C306"/>
      <c r="D306"/>
      <c r="E306"/>
      <c r="KI306" s="27" t="s">
        <v>8</v>
      </c>
      <c r="KJ306" s="27" t="s">
        <v>7</v>
      </c>
      <c r="KK306" s="27" t="s">
        <v>8</v>
      </c>
      <c r="KS306" s="27" t="s">
        <v>8</v>
      </c>
      <c r="KV306" s="27" t="s">
        <v>7</v>
      </c>
      <c r="KW306" s="27" t="s">
        <v>8</v>
      </c>
      <c r="KX306" s="27" t="s">
        <v>7</v>
      </c>
      <c r="KY306" s="27" t="s">
        <v>8</v>
      </c>
      <c r="NU306" s="27" t="s">
        <v>8</v>
      </c>
      <c r="NV306" s="27" t="s">
        <v>7</v>
      </c>
    </row>
    <row r="307" spans="1:390" x14ac:dyDescent="0.25">
      <c r="A307" s="7">
        <v>255.88692378385809</v>
      </c>
      <c r="B307"/>
      <c r="C307"/>
      <c r="D307"/>
      <c r="E307"/>
      <c r="KI307" s="27" t="s">
        <v>8</v>
      </c>
      <c r="KJ307" s="27" t="s">
        <v>7</v>
      </c>
      <c r="KK307" s="27" t="s">
        <v>8</v>
      </c>
      <c r="KL307" s="27" t="s">
        <v>7</v>
      </c>
      <c r="KM307" s="27" t="s">
        <v>8</v>
      </c>
      <c r="KS307" s="27" t="s">
        <v>8</v>
      </c>
      <c r="KV307" s="27" t="s">
        <v>7</v>
      </c>
      <c r="KW307" s="27" t="s">
        <v>8</v>
      </c>
      <c r="KX307" s="27" t="s">
        <v>7</v>
      </c>
      <c r="KY307" s="27" t="s">
        <v>8</v>
      </c>
      <c r="KZ307" s="27" t="s">
        <v>7</v>
      </c>
      <c r="NU307" s="27" t="s">
        <v>8</v>
      </c>
      <c r="NV307" s="27" t="s">
        <v>7</v>
      </c>
    </row>
    <row r="308" spans="1:390" x14ac:dyDescent="0.25">
      <c r="A308" s="7">
        <v>250.8695331214295</v>
      </c>
      <c r="B308"/>
      <c r="C308"/>
      <c r="D308"/>
      <c r="E308"/>
      <c r="KI308" s="27" t="s">
        <v>8</v>
      </c>
      <c r="KJ308" s="27" t="s">
        <v>7</v>
      </c>
      <c r="KK308" s="27" t="s">
        <v>8</v>
      </c>
      <c r="KL308" s="27" t="s">
        <v>7</v>
      </c>
      <c r="KM308" s="27" t="s">
        <v>8</v>
      </c>
      <c r="KN308" s="27" t="s">
        <v>7</v>
      </c>
      <c r="KS308" s="27" t="s">
        <v>8</v>
      </c>
      <c r="KV308" s="27" t="s">
        <v>7</v>
      </c>
      <c r="KX308" s="27" t="s">
        <v>7</v>
      </c>
      <c r="KY308" s="27" t="s">
        <v>8</v>
      </c>
      <c r="KZ308" s="27" t="s">
        <v>7</v>
      </c>
      <c r="NU308" s="27" t="s">
        <v>8</v>
      </c>
      <c r="NV308" s="27" t="s">
        <v>7</v>
      </c>
      <c r="NW308" s="27" t="s">
        <v>8</v>
      </c>
    </row>
    <row r="309" spans="1:390" x14ac:dyDescent="0.25">
      <c r="A309" s="7">
        <v>245.95052266806812</v>
      </c>
      <c r="B309"/>
      <c r="C309"/>
      <c r="D309"/>
      <c r="E309"/>
      <c r="KI309" s="27" t="s">
        <v>8</v>
      </c>
      <c r="KJ309" s="27" t="s">
        <v>7</v>
      </c>
      <c r="KK309" s="27" t="s">
        <v>8</v>
      </c>
      <c r="KL309" s="27" t="s">
        <v>7</v>
      </c>
      <c r="KM309" s="27" t="s">
        <v>8</v>
      </c>
      <c r="KN309" s="27" t="s">
        <v>7</v>
      </c>
      <c r="KS309" s="27" t="s">
        <v>8</v>
      </c>
      <c r="KX309" s="27" t="s">
        <v>7</v>
      </c>
      <c r="KY309" s="27" t="s">
        <v>8</v>
      </c>
      <c r="KZ309" s="27" t="s">
        <v>7</v>
      </c>
      <c r="NU309" s="27" t="s">
        <v>8</v>
      </c>
      <c r="NV309" s="27" t="s">
        <v>7</v>
      </c>
      <c r="NW309" s="27" t="s">
        <v>8</v>
      </c>
      <c r="NX309" s="27" t="s">
        <v>7</v>
      </c>
      <c r="NY309" s="27" t="s">
        <v>8</v>
      </c>
    </row>
    <row r="310" spans="1:390" x14ac:dyDescent="0.25">
      <c r="A310" s="7">
        <v>241.12796340006679</v>
      </c>
      <c r="B310"/>
      <c r="C310"/>
      <c r="D310"/>
      <c r="E310"/>
      <c r="KI310" s="27" t="s">
        <v>8</v>
      </c>
      <c r="KJ310" s="27" t="s">
        <v>7</v>
      </c>
      <c r="KK310" s="27" t="s">
        <v>8</v>
      </c>
      <c r="KL310" s="27" t="s">
        <v>7</v>
      </c>
      <c r="KM310" s="27" t="s">
        <v>8</v>
      </c>
      <c r="KN310" s="27" t="s">
        <v>7</v>
      </c>
      <c r="KQ310" s="27" t="s">
        <v>8</v>
      </c>
      <c r="KS310" s="27" t="s">
        <v>8</v>
      </c>
      <c r="KX310" s="27" t="s">
        <v>7</v>
      </c>
      <c r="KY310" s="27" t="s">
        <v>8</v>
      </c>
      <c r="KZ310" s="27" t="s">
        <v>7</v>
      </c>
      <c r="NU310" s="27" t="s">
        <v>8</v>
      </c>
      <c r="NV310" s="27" t="s">
        <v>7</v>
      </c>
      <c r="NW310" s="27" t="s">
        <v>8</v>
      </c>
      <c r="NX310" s="27" t="s">
        <v>7</v>
      </c>
      <c r="NY310" s="27" t="s">
        <v>8</v>
      </c>
      <c r="NZ310" s="27" t="s">
        <v>7</v>
      </c>
    </row>
    <row r="311" spans="1:390" x14ac:dyDescent="0.25">
      <c r="A311" s="7">
        <v>236.39996411771253</v>
      </c>
      <c r="B311"/>
      <c r="C311"/>
      <c r="D311"/>
      <c r="E311"/>
      <c r="KG311" s="27" t="s">
        <v>8</v>
      </c>
      <c r="KI311" s="27" t="s">
        <v>8</v>
      </c>
      <c r="KJ311" s="27" t="s">
        <v>7</v>
      </c>
      <c r="KK311" s="27" t="s">
        <v>8</v>
      </c>
      <c r="KL311" s="27" t="s">
        <v>7</v>
      </c>
      <c r="KM311" s="27" t="s">
        <v>8</v>
      </c>
      <c r="KN311" s="27" t="s">
        <v>7</v>
      </c>
      <c r="KQ311" s="27" t="s">
        <v>8</v>
      </c>
      <c r="KR311" s="27" t="s">
        <v>7</v>
      </c>
      <c r="KS311" s="27" t="s">
        <v>8</v>
      </c>
      <c r="KX311" s="27" t="s">
        <v>7</v>
      </c>
      <c r="KY311" s="27" t="s">
        <v>8</v>
      </c>
      <c r="KZ311" s="27" t="s">
        <v>7</v>
      </c>
      <c r="NS311" s="27" t="s">
        <v>8</v>
      </c>
      <c r="NU311" s="27" t="s">
        <v>8</v>
      </c>
      <c r="NV311" s="27" t="s">
        <v>7</v>
      </c>
      <c r="NW311" s="27" t="s">
        <v>8</v>
      </c>
      <c r="NX311" s="27" t="s">
        <v>7</v>
      </c>
      <c r="NY311" s="27" t="s">
        <v>8</v>
      </c>
      <c r="NZ311" s="27" t="s">
        <v>7</v>
      </c>
    </row>
    <row r="312" spans="1:390" x14ac:dyDescent="0.25">
      <c r="A312" s="7">
        <v>231.76467070363972</v>
      </c>
      <c r="B312"/>
      <c r="C312"/>
      <c r="D312"/>
      <c r="E312"/>
      <c r="KG312" s="27" t="s">
        <v>8</v>
      </c>
      <c r="KH312" s="27" t="s">
        <v>7</v>
      </c>
      <c r="KI312" s="27" t="s">
        <v>8</v>
      </c>
      <c r="KJ312" s="27" t="s">
        <v>7</v>
      </c>
      <c r="KK312" s="27" t="s">
        <v>8</v>
      </c>
      <c r="KL312" s="27" t="s">
        <v>7</v>
      </c>
      <c r="KM312" s="27" t="s">
        <v>8</v>
      </c>
      <c r="KN312" s="27" t="s">
        <v>7</v>
      </c>
      <c r="KQ312" s="27" t="s">
        <v>8</v>
      </c>
      <c r="KR312" s="27" t="s">
        <v>7</v>
      </c>
      <c r="KS312" s="27" t="s">
        <v>8</v>
      </c>
      <c r="KX312" s="27" t="s">
        <v>7</v>
      </c>
      <c r="KY312" s="27" t="s">
        <v>8</v>
      </c>
      <c r="KZ312" s="27" t="s">
        <v>7</v>
      </c>
      <c r="NS312" s="27" t="s">
        <v>8</v>
      </c>
      <c r="NT312" s="27" t="s">
        <v>7</v>
      </c>
      <c r="NU312" s="27" t="s">
        <v>8</v>
      </c>
      <c r="NV312" s="27" t="s">
        <v>7</v>
      </c>
      <c r="NW312" s="27" t="s">
        <v>8</v>
      </c>
      <c r="NX312" s="27" t="s">
        <v>7</v>
      </c>
      <c r="NY312" s="27" t="s">
        <v>8</v>
      </c>
      <c r="NZ312" s="27" t="s">
        <v>7</v>
      </c>
    </row>
    <row r="313" spans="1:390" x14ac:dyDescent="0.25">
      <c r="A313" s="7">
        <v>227.22026539572522</v>
      </c>
      <c r="B313"/>
      <c r="C313"/>
      <c r="D313"/>
      <c r="E313"/>
      <c r="KG313" s="27" t="s">
        <v>8</v>
      </c>
      <c r="KH313" s="27" t="s">
        <v>7</v>
      </c>
      <c r="KI313" s="27" t="s">
        <v>8</v>
      </c>
      <c r="KJ313" s="27" t="s">
        <v>7</v>
      </c>
      <c r="KK313" s="27" t="s">
        <v>8</v>
      </c>
      <c r="KL313" s="27" t="s">
        <v>7</v>
      </c>
      <c r="KM313" s="27" t="s">
        <v>8</v>
      </c>
      <c r="KN313" s="27" t="s">
        <v>7</v>
      </c>
      <c r="KQ313" s="27" t="s">
        <v>8</v>
      </c>
      <c r="KR313" s="27" t="s">
        <v>7</v>
      </c>
      <c r="KX313" s="27" t="s">
        <v>7</v>
      </c>
      <c r="KZ313" s="27" t="s">
        <v>7</v>
      </c>
      <c r="NS313" s="27" t="s">
        <v>8</v>
      </c>
      <c r="NT313" s="27" t="s">
        <v>7</v>
      </c>
      <c r="NU313" s="27" t="s">
        <v>8</v>
      </c>
      <c r="NV313" s="27" t="s">
        <v>7</v>
      </c>
      <c r="NW313" s="27" t="s">
        <v>8</v>
      </c>
      <c r="NX313" s="27" t="s">
        <v>7</v>
      </c>
      <c r="NY313" s="27" t="s">
        <v>8</v>
      </c>
      <c r="NZ313" s="27" t="s">
        <v>7</v>
      </c>
    </row>
    <row r="314" spans="1:390" x14ac:dyDescent="0.25">
      <c r="A314" s="7">
        <v>222.76496607424042</v>
      </c>
      <c r="B314"/>
      <c r="C314"/>
      <c r="D314"/>
      <c r="E314"/>
      <c r="KG314" s="27" t="s">
        <v>8</v>
      </c>
      <c r="KH314" s="27" t="s">
        <v>7</v>
      </c>
      <c r="KI314" s="27" t="s">
        <v>8</v>
      </c>
      <c r="KJ314" s="27" t="s">
        <v>7</v>
      </c>
      <c r="KK314" s="27" t="s">
        <v>8</v>
      </c>
      <c r="KL314" s="27" t="s">
        <v>7</v>
      </c>
      <c r="KM314" s="27" t="s">
        <v>8</v>
      </c>
      <c r="KN314" s="27" t="s">
        <v>7</v>
      </c>
      <c r="KQ314" s="27" t="s">
        <v>8</v>
      </c>
      <c r="KZ314" s="27" t="s">
        <v>7</v>
      </c>
      <c r="NS314" s="27" t="s">
        <v>8</v>
      </c>
      <c r="NT314" s="27" t="s">
        <v>7</v>
      </c>
      <c r="NU314" s="27" t="s">
        <v>8</v>
      </c>
      <c r="NV314" s="27" t="s">
        <v>7</v>
      </c>
      <c r="NW314" s="27" t="s">
        <v>8</v>
      </c>
      <c r="NX314" s="27" t="s">
        <v>7</v>
      </c>
      <c r="NY314" s="27" t="s">
        <v>8</v>
      </c>
      <c r="NZ314" s="27" t="s">
        <v>7</v>
      </c>
    </row>
    <row r="315" spans="1:390" x14ac:dyDescent="0.25">
      <c r="A315" s="7">
        <v>218.39702556298079</v>
      </c>
      <c r="B315"/>
      <c r="C315"/>
      <c r="D315"/>
      <c r="E315"/>
      <c r="KG315" s="27" t="s">
        <v>8</v>
      </c>
      <c r="KH315" s="27" t="s">
        <v>7</v>
      </c>
      <c r="KJ315" s="27" t="s">
        <v>7</v>
      </c>
      <c r="KK315" s="27" t="s">
        <v>8</v>
      </c>
      <c r="KL315" s="27" t="s">
        <v>7</v>
      </c>
      <c r="KM315" s="27" t="s">
        <v>8</v>
      </c>
      <c r="KN315" s="27" t="s">
        <v>7</v>
      </c>
      <c r="KO315" s="27" t="s">
        <v>8</v>
      </c>
      <c r="KQ315" s="27" t="s">
        <v>8</v>
      </c>
      <c r="KZ315" s="27" t="s">
        <v>7</v>
      </c>
      <c r="NO315" s="27" t="s">
        <v>8</v>
      </c>
      <c r="NS315" s="27" t="s">
        <v>8</v>
      </c>
      <c r="NT315" s="27" t="s">
        <v>7</v>
      </c>
      <c r="NU315" s="27" t="s">
        <v>8</v>
      </c>
      <c r="NV315" s="27" t="s">
        <v>7</v>
      </c>
      <c r="NX315" s="27" t="s">
        <v>7</v>
      </c>
      <c r="NY315" s="27" t="s">
        <v>8</v>
      </c>
      <c r="NZ315" s="27" t="s">
        <v>7</v>
      </c>
    </row>
    <row r="316" spans="1:390" x14ac:dyDescent="0.25">
      <c r="A316" s="7">
        <v>214.1147309440988</v>
      </c>
      <c r="B316"/>
      <c r="C316"/>
      <c r="D316"/>
      <c r="E316"/>
      <c r="KG316" s="27" t="s">
        <v>8</v>
      </c>
      <c r="KJ316" s="27" t="s">
        <v>7</v>
      </c>
      <c r="KK316" s="27" t="s">
        <v>8</v>
      </c>
      <c r="KL316" s="27" t="s">
        <v>7</v>
      </c>
      <c r="KM316" s="27" t="s">
        <v>8</v>
      </c>
      <c r="KN316" s="27" t="s">
        <v>7</v>
      </c>
      <c r="KO316" s="27" t="s">
        <v>8</v>
      </c>
      <c r="KP316" s="27" t="s">
        <v>7</v>
      </c>
      <c r="KQ316" s="27" t="s">
        <v>8</v>
      </c>
      <c r="KZ316" s="27" t="s">
        <v>7</v>
      </c>
      <c r="NO316" s="27" t="s">
        <v>8</v>
      </c>
      <c r="NP316" s="27" t="s">
        <v>7</v>
      </c>
      <c r="NS316" s="27" t="s">
        <v>8</v>
      </c>
      <c r="NT316" s="27" t="s">
        <v>7</v>
      </c>
      <c r="NU316" s="27" t="s">
        <v>8</v>
      </c>
      <c r="NX316" s="27" t="s">
        <v>7</v>
      </c>
      <c r="NZ316" s="27" t="s">
        <v>7</v>
      </c>
    </row>
    <row r="317" spans="1:390" x14ac:dyDescent="0.25">
      <c r="A317" s="7">
        <v>209.91640288637137</v>
      </c>
      <c r="B317"/>
      <c r="C317"/>
      <c r="D317"/>
      <c r="E317"/>
      <c r="KG317" s="27" t="s">
        <v>8</v>
      </c>
      <c r="KJ317" s="27" t="s">
        <v>7</v>
      </c>
      <c r="KK317" s="27" t="s">
        <v>8</v>
      </c>
      <c r="KL317" s="27" t="s">
        <v>7</v>
      </c>
      <c r="KN317" s="27" t="s">
        <v>7</v>
      </c>
      <c r="KO317" s="27" t="s">
        <v>8</v>
      </c>
      <c r="KP317" s="27" t="s">
        <v>7</v>
      </c>
      <c r="KQ317" s="27" t="s">
        <v>8</v>
      </c>
      <c r="KZ317" s="27" t="s">
        <v>7</v>
      </c>
      <c r="NO317" s="27" t="s">
        <v>8</v>
      </c>
      <c r="NP317" s="27" t="s">
        <v>7</v>
      </c>
      <c r="NQ317" s="27" t="s">
        <v>8</v>
      </c>
      <c r="NS317" s="27" t="s">
        <v>8</v>
      </c>
      <c r="NT317" s="27" t="s">
        <v>7</v>
      </c>
      <c r="NU317" s="27" t="s">
        <v>8</v>
      </c>
      <c r="NZ317" s="27" t="s">
        <v>7</v>
      </c>
    </row>
    <row r="318" spans="1:390" x14ac:dyDescent="0.25">
      <c r="A318" s="7">
        <v>205.80039498663859</v>
      </c>
      <c r="B318"/>
      <c r="C318"/>
      <c r="D318"/>
      <c r="E318"/>
      <c r="KG318" s="27" t="s">
        <v>8</v>
      </c>
      <c r="KJ318" s="27" t="s">
        <v>7</v>
      </c>
      <c r="KK318" s="27" t="s">
        <v>8</v>
      </c>
      <c r="KN318" s="27" t="s">
        <v>7</v>
      </c>
      <c r="KO318" s="27" t="s">
        <v>8</v>
      </c>
      <c r="KP318" s="27" t="s">
        <v>7</v>
      </c>
      <c r="KQ318" s="27" t="s">
        <v>8</v>
      </c>
      <c r="KZ318" s="27" t="s">
        <v>7</v>
      </c>
      <c r="NO318" s="27" t="s">
        <v>8</v>
      </c>
      <c r="NP318" s="27" t="s">
        <v>7</v>
      </c>
      <c r="NQ318" s="27" t="s">
        <v>8</v>
      </c>
      <c r="NR318" s="27" t="s">
        <v>7</v>
      </c>
      <c r="NS318" s="27" t="s">
        <v>8</v>
      </c>
      <c r="NT318" s="27" t="s">
        <v>7</v>
      </c>
      <c r="NU318" s="27" t="s">
        <v>8</v>
      </c>
      <c r="NZ318" s="27" t="s">
        <v>7</v>
      </c>
    </row>
    <row r="319" spans="1:390" x14ac:dyDescent="0.25">
      <c r="A319" s="7">
        <v>201.76509312415547</v>
      </c>
      <c r="B319"/>
      <c r="C319"/>
      <c r="D319"/>
      <c r="E319"/>
      <c r="KG319" s="27" t="s">
        <v>8</v>
      </c>
      <c r="KJ319" s="27" t="s">
        <v>7</v>
      </c>
      <c r="KK319" s="27" t="s">
        <v>8</v>
      </c>
      <c r="KN319" s="27" t="s">
        <v>7</v>
      </c>
      <c r="KO319" s="27" t="s">
        <v>8</v>
      </c>
      <c r="KP319" s="27" t="s">
        <v>7</v>
      </c>
      <c r="KQ319" s="27" t="s">
        <v>8</v>
      </c>
      <c r="KZ319" s="27" t="s">
        <v>7</v>
      </c>
      <c r="NO319" s="27" t="s">
        <v>8</v>
      </c>
      <c r="NP319" s="27" t="s">
        <v>7</v>
      </c>
      <c r="NQ319" s="27" t="s">
        <v>8</v>
      </c>
      <c r="NR319" s="27" t="s">
        <v>7</v>
      </c>
      <c r="NS319" s="27" t="s">
        <v>8</v>
      </c>
      <c r="NT319" s="27" t="s">
        <v>7</v>
      </c>
      <c r="NU319" s="27" t="s">
        <v>8</v>
      </c>
      <c r="NZ319" s="27" t="s">
        <v>7</v>
      </c>
    </row>
    <row r="320" spans="1:390" x14ac:dyDescent="0.25">
      <c r="A320" s="7">
        <v>197.80891482760339</v>
      </c>
      <c r="B320"/>
      <c r="C320"/>
      <c r="D320"/>
      <c r="E320"/>
      <c r="KE320" s="27" t="s">
        <v>8</v>
      </c>
      <c r="KG320" s="27" t="s">
        <v>8</v>
      </c>
      <c r="KJ320" s="27" t="s">
        <v>7</v>
      </c>
      <c r="KK320" s="27" t="s">
        <v>8</v>
      </c>
      <c r="KN320" s="27" t="s">
        <v>7</v>
      </c>
      <c r="KO320" s="27" t="s">
        <v>8</v>
      </c>
      <c r="KP320" s="27" t="s">
        <v>7</v>
      </c>
      <c r="KQ320" s="27" t="s">
        <v>8</v>
      </c>
      <c r="KZ320" s="27" t="s">
        <v>7</v>
      </c>
      <c r="NO320" s="27" t="s">
        <v>8</v>
      </c>
      <c r="NP320" s="27" t="s">
        <v>7</v>
      </c>
      <c r="NQ320" s="27" t="s">
        <v>8</v>
      </c>
      <c r="NR320" s="27" t="s">
        <v>7</v>
      </c>
      <c r="NS320" s="27" t="s">
        <v>8</v>
      </c>
      <c r="NT320" s="27" t="s">
        <v>7</v>
      </c>
      <c r="NZ320" s="27" t="s">
        <v>7</v>
      </c>
    </row>
    <row r="321" spans="1:414" x14ac:dyDescent="0.25">
      <c r="A321" s="7">
        <v>193.93030865451311</v>
      </c>
      <c r="B321"/>
      <c r="C321"/>
      <c r="D321"/>
      <c r="E321"/>
      <c r="KE321" s="27" t="s">
        <v>8</v>
      </c>
      <c r="KF321" s="27" t="s">
        <v>7</v>
      </c>
      <c r="KG321" s="27" t="s">
        <v>8</v>
      </c>
      <c r="KJ321" s="27" t="s">
        <v>7</v>
      </c>
      <c r="KK321" s="27" t="s">
        <v>8</v>
      </c>
      <c r="KN321" s="27" t="s">
        <v>7</v>
      </c>
      <c r="KO321" s="27" t="s">
        <v>8</v>
      </c>
      <c r="KP321" s="27" t="s">
        <v>7</v>
      </c>
      <c r="KZ321" s="27" t="s">
        <v>7</v>
      </c>
      <c r="LA321" s="27" t="s">
        <v>8</v>
      </c>
      <c r="NO321" s="27" t="s">
        <v>8</v>
      </c>
      <c r="NP321" s="27" t="s">
        <v>7</v>
      </c>
      <c r="NR321" s="27" t="s">
        <v>7</v>
      </c>
      <c r="NS321" s="27" t="s">
        <v>8</v>
      </c>
      <c r="NZ321" s="27" t="s">
        <v>7</v>
      </c>
      <c r="OA321" s="27" t="s">
        <v>8</v>
      </c>
    </row>
    <row r="322" spans="1:414" x14ac:dyDescent="0.25">
      <c r="A322" s="7">
        <v>190.127753582856</v>
      </c>
      <c r="B322"/>
      <c r="C322"/>
      <c r="D322"/>
      <c r="E322"/>
      <c r="JI322" s="27" t="s">
        <v>8</v>
      </c>
      <c r="KE322" s="27" t="s">
        <v>8</v>
      </c>
      <c r="KF322" s="27" t="s">
        <v>7</v>
      </c>
      <c r="KG322" s="27" t="s">
        <v>8</v>
      </c>
      <c r="KJ322" s="27" t="s">
        <v>7</v>
      </c>
      <c r="KN322" s="27" t="s">
        <v>7</v>
      </c>
      <c r="KO322" s="27" t="s">
        <v>8</v>
      </c>
      <c r="KZ322" s="27" t="s">
        <v>7</v>
      </c>
      <c r="LA322" s="27" t="s">
        <v>8</v>
      </c>
      <c r="LB322" s="27" t="s">
        <v>7</v>
      </c>
      <c r="NG322" s="27" t="s">
        <v>8</v>
      </c>
      <c r="NO322" s="27" t="s">
        <v>8</v>
      </c>
      <c r="NR322" s="27" t="s">
        <v>7</v>
      </c>
      <c r="NS322" s="27" t="s">
        <v>8</v>
      </c>
      <c r="NZ322" s="27" t="s">
        <v>7</v>
      </c>
      <c r="OA322" s="27" t="s">
        <v>8</v>
      </c>
      <c r="OB322" s="27" t="s">
        <v>7</v>
      </c>
    </row>
    <row r="323" spans="1:414" x14ac:dyDescent="0.25">
      <c r="A323" s="7">
        <v>186.3997584145647</v>
      </c>
      <c r="B323"/>
      <c r="C323"/>
      <c r="D323"/>
      <c r="E323"/>
      <c r="JI323" s="27" t="s">
        <v>8</v>
      </c>
      <c r="JJ323" s="27" t="s">
        <v>7</v>
      </c>
      <c r="JK323" s="27" t="s">
        <v>8</v>
      </c>
      <c r="KE323" s="27" t="s">
        <v>8</v>
      </c>
      <c r="KF323" s="27" t="s">
        <v>7</v>
      </c>
      <c r="KG323" s="27" t="s">
        <v>8</v>
      </c>
      <c r="KN323" s="27" t="s">
        <v>7</v>
      </c>
      <c r="KO323" s="27" t="s">
        <v>8</v>
      </c>
      <c r="KZ323" s="27" t="s">
        <v>7</v>
      </c>
      <c r="LA323" s="27" t="s">
        <v>8</v>
      </c>
      <c r="LB323" s="27" t="s">
        <v>7</v>
      </c>
      <c r="LE323" s="27" t="s">
        <v>8</v>
      </c>
      <c r="NG323" s="27" t="s">
        <v>8</v>
      </c>
      <c r="NH323" s="27" t="s">
        <v>7</v>
      </c>
      <c r="NK323" s="27" t="s">
        <v>8</v>
      </c>
      <c r="NO323" s="27" t="s">
        <v>8</v>
      </c>
      <c r="NR323" s="27" t="s">
        <v>7</v>
      </c>
      <c r="NS323" s="27" t="s">
        <v>8</v>
      </c>
      <c r="NZ323" s="27" t="s">
        <v>7</v>
      </c>
      <c r="OA323" s="27" t="s">
        <v>8</v>
      </c>
      <c r="OB323" s="27" t="s">
        <v>7</v>
      </c>
    </row>
    <row r="324" spans="1:414" x14ac:dyDescent="0.25">
      <c r="A324" s="7">
        <v>182.7448611907497</v>
      </c>
      <c r="B324"/>
      <c r="C324"/>
      <c r="D324"/>
      <c r="E324"/>
      <c r="JI324" s="27" t="s">
        <v>8</v>
      </c>
      <c r="JJ324" s="27" t="s">
        <v>7</v>
      </c>
      <c r="JK324" s="27" t="s">
        <v>8</v>
      </c>
      <c r="JL324" s="27" t="s">
        <v>7</v>
      </c>
      <c r="KE324" s="27" t="s">
        <v>8</v>
      </c>
      <c r="KF324" s="27" t="s">
        <v>7</v>
      </c>
      <c r="KG324" s="27" t="s">
        <v>8</v>
      </c>
      <c r="KN324" s="27" t="s">
        <v>7</v>
      </c>
      <c r="KO324" s="27" t="s">
        <v>8</v>
      </c>
      <c r="KZ324" s="27" t="s">
        <v>7</v>
      </c>
      <c r="LA324" s="27" t="s">
        <v>8</v>
      </c>
      <c r="LB324" s="27" t="s">
        <v>7</v>
      </c>
      <c r="LE324" s="27" t="s">
        <v>8</v>
      </c>
      <c r="LF324" s="27" t="s">
        <v>7</v>
      </c>
      <c r="NG324" s="27" t="s">
        <v>8</v>
      </c>
      <c r="NH324" s="27" t="s">
        <v>7</v>
      </c>
      <c r="NK324" s="27" t="s">
        <v>8</v>
      </c>
      <c r="NL324" s="27" t="s">
        <v>7</v>
      </c>
      <c r="NO324" s="27" t="s">
        <v>8</v>
      </c>
      <c r="NR324" s="27" t="s">
        <v>7</v>
      </c>
      <c r="NS324" s="27" t="s">
        <v>8</v>
      </c>
      <c r="NZ324" s="27" t="s">
        <v>7</v>
      </c>
      <c r="OA324" s="27" t="s">
        <v>8</v>
      </c>
      <c r="OB324" s="27" t="s">
        <v>7</v>
      </c>
      <c r="OC324" s="27" t="s">
        <v>8</v>
      </c>
    </row>
    <row r="325" spans="1:414" x14ac:dyDescent="0.25">
      <c r="A325" s="7">
        <v>179.16162861838205</v>
      </c>
      <c r="B325"/>
      <c r="C325"/>
      <c r="D325"/>
      <c r="E325"/>
      <c r="JI325" s="27" t="s">
        <v>8</v>
      </c>
      <c r="JJ325" s="27" t="s">
        <v>7</v>
      </c>
      <c r="JK325" s="27" t="s">
        <v>8</v>
      </c>
      <c r="JL325" s="27" t="s">
        <v>7</v>
      </c>
      <c r="KE325" s="27" t="s">
        <v>8</v>
      </c>
      <c r="KF325" s="27" t="s">
        <v>7</v>
      </c>
      <c r="KG325" s="27" t="s">
        <v>8</v>
      </c>
      <c r="KN325" s="27" t="s">
        <v>7</v>
      </c>
      <c r="KO325" s="27" t="s">
        <v>8</v>
      </c>
      <c r="KZ325" s="27" t="s">
        <v>7</v>
      </c>
      <c r="LA325" s="27" t="s">
        <v>8</v>
      </c>
      <c r="LB325" s="27" t="s">
        <v>7</v>
      </c>
      <c r="LE325" s="27" t="s">
        <v>8</v>
      </c>
      <c r="LF325" s="27" t="s">
        <v>7</v>
      </c>
      <c r="NG325" s="27" t="s">
        <v>8</v>
      </c>
      <c r="NH325" s="27" t="s">
        <v>7</v>
      </c>
      <c r="NK325" s="27" t="s">
        <v>8</v>
      </c>
      <c r="NL325" s="27" t="s">
        <v>7</v>
      </c>
      <c r="NM325" s="27" t="s">
        <v>8</v>
      </c>
      <c r="NO325" s="27" t="s">
        <v>8</v>
      </c>
      <c r="NR325" s="27" t="s">
        <v>7</v>
      </c>
      <c r="NS325" s="27" t="s">
        <v>8</v>
      </c>
      <c r="NZ325" s="27" t="s">
        <v>7</v>
      </c>
      <c r="OA325" s="27" t="s">
        <v>8</v>
      </c>
      <c r="OB325" s="27" t="s">
        <v>7</v>
      </c>
      <c r="OC325" s="27" t="s">
        <v>8</v>
      </c>
      <c r="OD325" s="27" t="s">
        <v>7</v>
      </c>
    </row>
    <row r="326" spans="1:414" x14ac:dyDescent="0.25">
      <c r="A326" s="7">
        <v>175.6486555082177</v>
      </c>
      <c r="B326"/>
      <c r="C326"/>
      <c r="D326"/>
      <c r="E326"/>
      <c r="JI326" s="27" t="s">
        <v>8</v>
      </c>
      <c r="JJ326" s="27" t="s">
        <v>7</v>
      </c>
      <c r="JK326" s="27" t="s">
        <v>8</v>
      </c>
      <c r="JL326" s="27" t="s">
        <v>7</v>
      </c>
      <c r="KE326" s="27" t="s">
        <v>8</v>
      </c>
      <c r="KF326" s="27" t="s">
        <v>7</v>
      </c>
      <c r="KG326" s="27" t="s">
        <v>8</v>
      </c>
      <c r="KN326" s="27" t="s">
        <v>7</v>
      </c>
      <c r="KO326" s="27" t="s">
        <v>8</v>
      </c>
      <c r="KZ326" s="27" t="s">
        <v>7</v>
      </c>
      <c r="LA326" s="27" t="s">
        <v>8</v>
      </c>
      <c r="LB326" s="27" t="s">
        <v>7</v>
      </c>
      <c r="LE326" s="27" t="s">
        <v>8</v>
      </c>
      <c r="LF326" s="27" t="s">
        <v>7</v>
      </c>
      <c r="MQ326" s="27" t="s">
        <v>8</v>
      </c>
      <c r="NG326" s="27" t="s">
        <v>8</v>
      </c>
      <c r="NH326" s="27" t="s">
        <v>7</v>
      </c>
      <c r="NK326" s="27" t="s">
        <v>8</v>
      </c>
      <c r="NL326" s="27" t="s">
        <v>7</v>
      </c>
      <c r="NM326" s="27" t="s">
        <v>8</v>
      </c>
      <c r="NN326" s="27" t="s">
        <v>7</v>
      </c>
      <c r="NO326" s="27" t="s">
        <v>8</v>
      </c>
      <c r="NR326" s="27" t="s">
        <v>7</v>
      </c>
      <c r="NS326" s="27" t="s">
        <v>8</v>
      </c>
      <c r="NZ326" s="27" t="s">
        <v>7</v>
      </c>
      <c r="OA326" s="27" t="s">
        <v>8</v>
      </c>
      <c r="OB326" s="27" t="s">
        <v>7</v>
      </c>
      <c r="OC326" s="27" t="s">
        <v>8</v>
      </c>
      <c r="OD326" s="27" t="s">
        <v>7</v>
      </c>
    </row>
    <row r="327" spans="1:414" x14ac:dyDescent="0.25">
      <c r="A327" s="7">
        <v>172.20456422374284</v>
      </c>
      <c r="B327"/>
      <c r="C327"/>
      <c r="D327"/>
      <c r="E327"/>
      <c r="JI327" s="27" t="s">
        <v>8</v>
      </c>
      <c r="JJ327" s="27" t="s">
        <v>7</v>
      </c>
      <c r="JK327" s="27" t="s">
        <v>8</v>
      </c>
      <c r="JL327" s="27" t="s">
        <v>7</v>
      </c>
      <c r="KE327" s="27" t="s">
        <v>8</v>
      </c>
      <c r="KF327" s="27" t="s">
        <v>7</v>
      </c>
      <c r="KG327" s="27" t="s">
        <v>8</v>
      </c>
      <c r="KN327" s="27" t="s">
        <v>7</v>
      </c>
      <c r="KO327" s="27" t="s">
        <v>8</v>
      </c>
      <c r="KZ327" s="27" t="s">
        <v>7</v>
      </c>
      <c r="LA327" s="27" t="s">
        <v>8</v>
      </c>
      <c r="LB327" s="27" t="s">
        <v>7</v>
      </c>
      <c r="LE327" s="27" t="s">
        <v>8</v>
      </c>
      <c r="LF327" s="27" t="s">
        <v>7</v>
      </c>
      <c r="LI327" s="27" t="s">
        <v>8</v>
      </c>
      <c r="MQ327" s="27" t="s">
        <v>8</v>
      </c>
      <c r="MR327" s="27" t="s">
        <v>7</v>
      </c>
      <c r="NG327" s="27" t="s">
        <v>8</v>
      </c>
      <c r="NH327" s="27" t="s">
        <v>7</v>
      </c>
      <c r="NK327" s="27" t="s">
        <v>8</v>
      </c>
      <c r="NL327" s="27" t="s">
        <v>7</v>
      </c>
      <c r="NM327" s="27" t="s">
        <v>8</v>
      </c>
      <c r="NN327" s="27" t="s">
        <v>7</v>
      </c>
      <c r="NO327" s="27" t="s">
        <v>8</v>
      </c>
      <c r="NR327" s="27" t="s">
        <v>7</v>
      </c>
      <c r="NS327" s="27" t="s">
        <v>8</v>
      </c>
      <c r="NZ327" s="27" t="s">
        <v>7</v>
      </c>
      <c r="OA327" s="27" t="s">
        <v>8</v>
      </c>
      <c r="OB327" s="27" t="s">
        <v>7</v>
      </c>
      <c r="OC327" s="27" t="s">
        <v>8</v>
      </c>
      <c r="OD327" s="27" t="s">
        <v>7</v>
      </c>
      <c r="OE327" s="27" t="s">
        <v>8</v>
      </c>
      <c r="OM327" s="27" t="s">
        <v>8</v>
      </c>
    </row>
    <row r="328" spans="1:414" x14ac:dyDescent="0.25">
      <c r="A328" s="7">
        <v>168.82800414092435</v>
      </c>
      <c r="B328"/>
      <c r="C328"/>
      <c r="D328"/>
      <c r="E328"/>
      <c r="JI328" s="27" t="s">
        <v>8</v>
      </c>
      <c r="JJ328" s="27" t="s">
        <v>7</v>
      </c>
      <c r="JK328" s="27" t="s">
        <v>8</v>
      </c>
      <c r="JL328" s="27" t="s">
        <v>7</v>
      </c>
      <c r="KE328" s="27" t="s">
        <v>8</v>
      </c>
      <c r="KF328" s="27" t="s">
        <v>7</v>
      </c>
      <c r="KG328" s="27" t="s">
        <v>8</v>
      </c>
      <c r="KN328" s="27" t="s">
        <v>7</v>
      </c>
      <c r="KZ328" s="27" t="s">
        <v>7</v>
      </c>
      <c r="LA328" s="27" t="s">
        <v>8</v>
      </c>
      <c r="LB328" s="27" t="s">
        <v>7</v>
      </c>
      <c r="LE328" s="27" t="s">
        <v>8</v>
      </c>
      <c r="LF328" s="27" t="s">
        <v>7</v>
      </c>
      <c r="LI328" s="27" t="s">
        <v>8</v>
      </c>
      <c r="LJ328" s="27" t="s">
        <v>7</v>
      </c>
      <c r="MM328" s="27" t="s">
        <v>8</v>
      </c>
      <c r="MQ328" s="27" t="s">
        <v>8</v>
      </c>
      <c r="MR328" s="27" t="s">
        <v>7</v>
      </c>
      <c r="NG328" s="27" t="s">
        <v>8</v>
      </c>
      <c r="NH328" s="27" t="s">
        <v>7</v>
      </c>
      <c r="NK328" s="27" t="s">
        <v>8</v>
      </c>
      <c r="NL328" s="27" t="s">
        <v>7</v>
      </c>
      <c r="NM328" s="27" t="s">
        <v>8</v>
      </c>
      <c r="NN328" s="27" t="s">
        <v>7</v>
      </c>
      <c r="NO328" s="27" t="s">
        <v>8</v>
      </c>
      <c r="NR328" s="27" t="s">
        <v>7</v>
      </c>
      <c r="NS328" s="27" t="s">
        <v>8</v>
      </c>
      <c r="NZ328" s="27" t="s">
        <v>7</v>
      </c>
      <c r="OA328" s="27" t="s">
        <v>8</v>
      </c>
      <c r="OB328" s="27" t="s">
        <v>7</v>
      </c>
      <c r="OC328" s="27" t="s">
        <v>8</v>
      </c>
      <c r="OD328" s="27" t="s">
        <v>7</v>
      </c>
      <c r="OE328" s="27" t="s">
        <v>8</v>
      </c>
      <c r="OF328" s="27" t="s">
        <v>7</v>
      </c>
      <c r="OK328" s="27" t="s">
        <v>8</v>
      </c>
      <c r="OM328" s="27" t="s">
        <v>8</v>
      </c>
      <c r="ON328" s="27" t="s">
        <v>7</v>
      </c>
    </row>
    <row r="329" spans="1:414" x14ac:dyDescent="0.25">
      <c r="A329" s="7">
        <v>165.51765111855329</v>
      </c>
      <c r="B329"/>
      <c r="C329"/>
      <c r="D329"/>
      <c r="E329"/>
      <c r="JI329" s="27" t="s">
        <v>8</v>
      </c>
      <c r="JJ329" s="27" t="s">
        <v>7</v>
      </c>
      <c r="JK329" s="27" t="s">
        <v>8</v>
      </c>
      <c r="JL329" s="27" t="s">
        <v>7</v>
      </c>
      <c r="JM329" s="27" t="s">
        <v>8</v>
      </c>
      <c r="KE329" s="27" t="s">
        <v>8</v>
      </c>
      <c r="KF329" s="27" t="s">
        <v>7</v>
      </c>
      <c r="KZ329" s="27" t="s">
        <v>7</v>
      </c>
      <c r="LA329" s="27" t="s">
        <v>8</v>
      </c>
      <c r="LB329" s="27" t="s">
        <v>7</v>
      </c>
      <c r="LE329" s="27" t="s">
        <v>8</v>
      </c>
      <c r="LF329" s="27" t="s">
        <v>7</v>
      </c>
      <c r="LI329" s="27" t="s">
        <v>8</v>
      </c>
      <c r="LJ329" s="27" t="s">
        <v>7</v>
      </c>
      <c r="MM329" s="27" t="s">
        <v>8</v>
      </c>
      <c r="MN329" s="27" t="s">
        <v>7</v>
      </c>
      <c r="MQ329" s="27" t="s">
        <v>8</v>
      </c>
      <c r="MR329" s="27" t="s">
        <v>7</v>
      </c>
      <c r="NG329" s="27" t="s">
        <v>8</v>
      </c>
      <c r="NH329" s="27" t="s">
        <v>7</v>
      </c>
      <c r="NK329" s="27" t="s">
        <v>8</v>
      </c>
      <c r="NL329" s="27" t="s">
        <v>7</v>
      </c>
      <c r="NM329" s="27" t="s">
        <v>8</v>
      </c>
      <c r="NN329" s="27" t="s">
        <v>7</v>
      </c>
      <c r="NO329" s="27" t="s">
        <v>8</v>
      </c>
      <c r="NR329" s="27" t="s">
        <v>7</v>
      </c>
      <c r="NS329" s="27" t="s">
        <v>8</v>
      </c>
      <c r="NZ329" s="27" t="s">
        <v>7</v>
      </c>
      <c r="OA329" s="27" t="s">
        <v>8</v>
      </c>
      <c r="OB329" s="27" t="s">
        <v>7</v>
      </c>
      <c r="OC329" s="27" t="s">
        <v>8</v>
      </c>
      <c r="OD329" s="27" t="s">
        <v>7</v>
      </c>
      <c r="OE329" s="27" t="s">
        <v>8</v>
      </c>
      <c r="OF329" s="27" t="s">
        <v>7</v>
      </c>
      <c r="OG329" s="27" t="s">
        <v>8</v>
      </c>
      <c r="OI329" s="27" t="s">
        <v>8</v>
      </c>
      <c r="OK329" s="27" t="s">
        <v>8</v>
      </c>
      <c r="OL329" s="27" t="s">
        <v>7</v>
      </c>
      <c r="OM329" s="27" t="s">
        <v>8</v>
      </c>
      <c r="ON329" s="27" t="s">
        <v>7</v>
      </c>
    </row>
    <row r="330" spans="1:414" x14ac:dyDescent="0.25">
      <c r="A330" s="7">
        <v>162.2722069789738</v>
      </c>
      <c r="B330"/>
      <c r="C330"/>
      <c r="D330"/>
      <c r="E330"/>
      <c r="JI330" s="27" t="s">
        <v>8</v>
      </c>
      <c r="JJ330" s="27" t="s">
        <v>7</v>
      </c>
      <c r="JK330" s="27" t="s">
        <v>8</v>
      </c>
      <c r="JL330" s="27" t="s">
        <v>7</v>
      </c>
      <c r="JM330" s="27" t="s">
        <v>8</v>
      </c>
      <c r="JN330" s="27" t="s">
        <v>7</v>
      </c>
      <c r="KE330" s="27" t="s">
        <v>8</v>
      </c>
      <c r="KZ330" s="27" t="s">
        <v>7</v>
      </c>
      <c r="LA330" s="27" t="s">
        <v>8</v>
      </c>
      <c r="LB330" s="27" t="s">
        <v>7</v>
      </c>
      <c r="LE330" s="27" t="s">
        <v>8</v>
      </c>
      <c r="LF330" s="27" t="s">
        <v>7</v>
      </c>
      <c r="LG330" s="27" t="s">
        <v>8</v>
      </c>
      <c r="LI330" s="27" t="s">
        <v>8</v>
      </c>
      <c r="LJ330" s="27" t="s">
        <v>7</v>
      </c>
      <c r="MM330" s="27" t="s">
        <v>8</v>
      </c>
      <c r="MN330" s="27" t="s">
        <v>7</v>
      </c>
      <c r="MQ330" s="27" t="s">
        <v>8</v>
      </c>
      <c r="MR330" s="27" t="s">
        <v>7</v>
      </c>
      <c r="NG330" s="27" t="s">
        <v>8</v>
      </c>
      <c r="NH330" s="27" t="s">
        <v>7</v>
      </c>
      <c r="NI330" s="27" t="s">
        <v>8</v>
      </c>
      <c r="NK330" s="27" t="s">
        <v>8</v>
      </c>
      <c r="NL330" s="27" t="s">
        <v>7</v>
      </c>
      <c r="NN330" s="27" t="s">
        <v>7</v>
      </c>
      <c r="NO330" s="27" t="s">
        <v>8</v>
      </c>
      <c r="NR330" s="27" t="s">
        <v>7</v>
      </c>
      <c r="NS330" s="27" t="s">
        <v>8</v>
      </c>
      <c r="NZ330" s="27" t="s">
        <v>7</v>
      </c>
      <c r="OA330" s="27" t="s">
        <v>8</v>
      </c>
      <c r="OB330" s="27" t="s">
        <v>7</v>
      </c>
      <c r="OD330" s="27" t="s">
        <v>7</v>
      </c>
      <c r="OE330" s="27" t="s">
        <v>8</v>
      </c>
      <c r="OF330" s="27" t="s">
        <v>7</v>
      </c>
      <c r="OG330" s="27" t="s">
        <v>8</v>
      </c>
      <c r="OH330" s="27" t="s">
        <v>7</v>
      </c>
      <c r="OI330" s="27" t="s">
        <v>8</v>
      </c>
      <c r="OJ330" s="27" t="s">
        <v>7</v>
      </c>
      <c r="OK330" s="27" t="s">
        <v>8</v>
      </c>
      <c r="OL330" s="27" t="s">
        <v>7</v>
      </c>
      <c r="OM330" s="27" t="s">
        <v>8</v>
      </c>
      <c r="ON330" s="27" t="s">
        <v>7</v>
      </c>
    </row>
    <row r="331" spans="1:414" x14ac:dyDescent="0.25">
      <c r="A331" s="7">
        <v>159.09039899899392</v>
      </c>
      <c r="B331"/>
      <c r="C331"/>
      <c r="D331"/>
      <c r="E331"/>
      <c r="JI331" s="27" t="s">
        <v>8</v>
      </c>
      <c r="JJ331" s="27" t="s">
        <v>7</v>
      </c>
      <c r="JK331" s="27" t="s">
        <v>8</v>
      </c>
      <c r="JL331" s="27" t="s">
        <v>7</v>
      </c>
      <c r="JM331" s="27" t="s">
        <v>8</v>
      </c>
      <c r="JN331" s="27" t="s">
        <v>7</v>
      </c>
      <c r="KA331" s="27" t="s">
        <v>8</v>
      </c>
      <c r="KC331" s="27" t="s">
        <v>8</v>
      </c>
      <c r="KE331" s="27" t="s">
        <v>8</v>
      </c>
      <c r="KZ331" s="27" t="s">
        <v>7</v>
      </c>
      <c r="LA331" s="27" t="s">
        <v>8</v>
      </c>
      <c r="LB331" s="27" t="s">
        <v>7</v>
      </c>
      <c r="LC331" s="27" t="s">
        <v>8</v>
      </c>
      <c r="LE331" s="27" t="s">
        <v>8</v>
      </c>
      <c r="LF331" s="27" t="s">
        <v>7</v>
      </c>
      <c r="LG331" s="27" t="s">
        <v>8</v>
      </c>
      <c r="LH331" s="27" t="s">
        <v>7</v>
      </c>
      <c r="LI331" s="27" t="s">
        <v>8</v>
      </c>
      <c r="LJ331" s="27" t="s">
        <v>7</v>
      </c>
      <c r="LK331" s="27" t="s">
        <v>8</v>
      </c>
      <c r="MK331" s="27" t="s">
        <v>8</v>
      </c>
      <c r="MM331" s="27" t="s">
        <v>8</v>
      </c>
      <c r="MN331" s="27" t="s">
        <v>7</v>
      </c>
      <c r="MQ331" s="27" t="s">
        <v>8</v>
      </c>
      <c r="MR331" s="27" t="s">
        <v>7</v>
      </c>
      <c r="NG331" s="27" t="s">
        <v>8</v>
      </c>
      <c r="NH331" s="27" t="s">
        <v>7</v>
      </c>
      <c r="NI331" s="27" t="s">
        <v>8</v>
      </c>
      <c r="NJ331" s="27" t="s">
        <v>7</v>
      </c>
      <c r="NK331" s="27" t="s">
        <v>8</v>
      </c>
      <c r="NN331" s="27" t="s">
        <v>7</v>
      </c>
      <c r="NO331" s="27" t="s">
        <v>8</v>
      </c>
      <c r="NR331" s="27" t="s">
        <v>7</v>
      </c>
      <c r="NS331" s="27" t="s">
        <v>8</v>
      </c>
      <c r="NZ331" s="27" t="s">
        <v>7</v>
      </c>
      <c r="OA331" s="27" t="s">
        <v>8</v>
      </c>
      <c r="OD331" s="27" t="s">
        <v>7</v>
      </c>
      <c r="OE331" s="27" t="s">
        <v>8</v>
      </c>
      <c r="OF331" s="27" t="s">
        <v>7</v>
      </c>
      <c r="OG331" s="27" t="s">
        <v>8</v>
      </c>
      <c r="OH331" s="27" t="s">
        <v>7</v>
      </c>
      <c r="OI331" s="27" t="s">
        <v>8</v>
      </c>
      <c r="OJ331" s="27" t="s">
        <v>7</v>
      </c>
      <c r="OK331" s="27" t="s">
        <v>8</v>
      </c>
      <c r="OL331" s="27" t="s">
        <v>7</v>
      </c>
      <c r="ON331" s="27" t="s">
        <v>7</v>
      </c>
    </row>
    <row r="332" spans="1:414" x14ac:dyDescent="0.25">
      <c r="A332" s="7">
        <v>155.97097941077834</v>
      </c>
      <c r="B332"/>
      <c r="C332"/>
      <c r="D332"/>
      <c r="E332"/>
      <c r="JI332" s="27" t="s">
        <v>8</v>
      </c>
      <c r="JJ332" s="27" t="s">
        <v>7</v>
      </c>
      <c r="JK332" s="27" t="s">
        <v>8</v>
      </c>
      <c r="JL332" s="27" t="s">
        <v>7</v>
      </c>
      <c r="JN332" s="27" t="s">
        <v>7</v>
      </c>
      <c r="JW332" s="27" t="s">
        <v>8</v>
      </c>
      <c r="JY332" s="27" t="s">
        <v>8</v>
      </c>
      <c r="KA332" s="27" t="s">
        <v>8</v>
      </c>
      <c r="KB332" s="27" t="s">
        <v>7</v>
      </c>
      <c r="KC332" s="27" t="s">
        <v>8</v>
      </c>
      <c r="KD332" s="27" t="s">
        <v>7</v>
      </c>
      <c r="KE332" s="27" t="s">
        <v>8</v>
      </c>
      <c r="KZ332" s="27" t="s">
        <v>7</v>
      </c>
      <c r="LA332" s="27" t="s">
        <v>8</v>
      </c>
      <c r="LB332" s="27" t="s">
        <v>7</v>
      </c>
      <c r="LC332" s="27" t="s">
        <v>8</v>
      </c>
      <c r="LD332" s="27" t="s">
        <v>7</v>
      </c>
      <c r="LE332" s="27" t="s">
        <v>8</v>
      </c>
      <c r="LF332" s="27" t="s">
        <v>7</v>
      </c>
      <c r="LG332" s="27" t="s">
        <v>8</v>
      </c>
      <c r="LH332" s="27" t="s">
        <v>7</v>
      </c>
      <c r="LI332" s="27" t="s">
        <v>8</v>
      </c>
      <c r="LJ332" s="27" t="s">
        <v>7</v>
      </c>
      <c r="LK332" s="27" t="s">
        <v>8</v>
      </c>
      <c r="LL332" s="27" t="s">
        <v>7</v>
      </c>
      <c r="MK332" s="27" t="s">
        <v>8</v>
      </c>
      <c r="ML332" s="27" t="s">
        <v>7</v>
      </c>
      <c r="MM332" s="27" t="s">
        <v>8</v>
      </c>
      <c r="MN332" s="27" t="s">
        <v>7</v>
      </c>
      <c r="MQ332" s="27" t="s">
        <v>8</v>
      </c>
      <c r="MR332" s="27" t="s">
        <v>7</v>
      </c>
      <c r="NG332" s="27" t="s">
        <v>8</v>
      </c>
      <c r="NH332" s="27" t="s">
        <v>7</v>
      </c>
      <c r="NI332" s="27" t="s">
        <v>8</v>
      </c>
      <c r="NJ332" s="27" t="s">
        <v>7</v>
      </c>
      <c r="NK332" s="27" t="s">
        <v>8</v>
      </c>
      <c r="NN332" s="27" t="s">
        <v>7</v>
      </c>
      <c r="NR332" s="27" t="s">
        <v>7</v>
      </c>
      <c r="NS332" s="27" t="s">
        <v>8</v>
      </c>
      <c r="NZ332" s="27" t="s">
        <v>7</v>
      </c>
      <c r="OA332" s="27" t="s">
        <v>8</v>
      </c>
      <c r="OD332" s="27" t="s">
        <v>7</v>
      </c>
      <c r="OF332" s="27" t="s">
        <v>7</v>
      </c>
      <c r="OG332" s="27" t="s">
        <v>8</v>
      </c>
      <c r="OH332" s="27" t="s">
        <v>7</v>
      </c>
      <c r="OI332" s="27" t="s">
        <v>8</v>
      </c>
      <c r="OJ332" s="27" t="s">
        <v>7</v>
      </c>
      <c r="OK332" s="27" t="s">
        <v>8</v>
      </c>
      <c r="ON332" s="27" t="s">
        <v>7</v>
      </c>
      <c r="OO332" s="27" t="s">
        <v>8</v>
      </c>
      <c r="OQ332" s="27" t="s">
        <v>8</v>
      </c>
      <c r="OS332" s="27" t="s">
        <v>8</v>
      </c>
    </row>
    <row r="333" spans="1:414" x14ac:dyDescent="0.25">
      <c r="A333" s="7">
        <v>152.91272491252778</v>
      </c>
      <c r="B333"/>
      <c r="C333"/>
      <c r="D333"/>
      <c r="E333"/>
      <c r="JI333" s="27" t="s">
        <v>8</v>
      </c>
      <c r="JJ333" s="27" t="s">
        <v>7</v>
      </c>
      <c r="JK333" s="27" t="s">
        <v>8</v>
      </c>
      <c r="JN333" s="27" t="s">
        <v>7</v>
      </c>
      <c r="JW333" s="27" t="s">
        <v>8</v>
      </c>
      <c r="JX333" s="27" t="s">
        <v>7</v>
      </c>
      <c r="JY333" s="27" t="s">
        <v>8</v>
      </c>
      <c r="JZ333" s="27" t="s">
        <v>7</v>
      </c>
      <c r="KA333" s="27" t="s">
        <v>8</v>
      </c>
      <c r="KB333" s="27" t="s">
        <v>7</v>
      </c>
      <c r="KC333" s="27" t="s">
        <v>8</v>
      </c>
      <c r="KD333" s="27" t="s">
        <v>7</v>
      </c>
      <c r="KE333" s="27" t="s">
        <v>8</v>
      </c>
      <c r="KZ333" s="27" t="s">
        <v>7</v>
      </c>
      <c r="LA333" s="27" t="s">
        <v>8</v>
      </c>
      <c r="LB333" s="27" t="s">
        <v>7</v>
      </c>
      <c r="LC333" s="27" t="s">
        <v>8</v>
      </c>
      <c r="LD333" s="27" t="s">
        <v>7</v>
      </c>
      <c r="LE333" s="27" t="s">
        <v>8</v>
      </c>
      <c r="LF333" s="27" t="s">
        <v>7</v>
      </c>
      <c r="LG333" s="27" t="s">
        <v>8</v>
      </c>
      <c r="LH333" s="27" t="s">
        <v>7</v>
      </c>
      <c r="LI333" s="27" t="s">
        <v>8</v>
      </c>
      <c r="LJ333" s="27" t="s">
        <v>7</v>
      </c>
      <c r="LK333" s="27" t="s">
        <v>8</v>
      </c>
      <c r="LL333" s="27" t="s">
        <v>7</v>
      </c>
      <c r="MK333" s="27" t="s">
        <v>8</v>
      </c>
      <c r="ML333" s="27" t="s">
        <v>7</v>
      </c>
      <c r="MM333" s="27" t="s">
        <v>8</v>
      </c>
      <c r="MN333" s="27" t="s">
        <v>7</v>
      </c>
      <c r="MO333" s="27" t="s">
        <v>8</v>
      </c>
      <c r="MQ333" s="27" t="s">
        <v>8</v>
      </c>
      <c r="MR333" s="27" t="s">
        <v>7</v>
      </c>
      <c r="NG333" s="27" t="s">
        <v>8</v>
      </c>
      <c r="NH333" s="27" t="s">
        <v>7</v>
      </c>
      <c r="NI333" s="27" t="s">
        <v>8</v>
      </c>
      <c r="NJ333" s="27" t="s">
        <v>7</v>
      </c>
      <c r="NK333" s="27" t="s">
        <v>8</v>
      </c>
      <c r="NR333" s="27" t="s">
        <v>7</v>
      </c>
      <c r="NS333" s="27" t="s">
        <v>8</v>
      </c>
      <c r="NZ333" s="27" t="s">
        <v>7</v>
      </c>
      <c r="OA333" s="27" t="s">
        <v>8</v>
      </c>
      <c r="OF333" s="27" t="s">
        <v>7</v>
      </c>
      <c r="OG333" s="27" t="s">
        <v>8</v>
      </c>
      <c r="OH333" s="27" t="s">
        <v>7</v>
      </c>
      <c r="OI333" s="27" t="s">
        <v>8</v>
      </c>
      <c r="OJ333" s="27" t="s">
        <v>7</v>
      </c>
      <c r="OK333" s="27" t="s">
        <v>8</v>
      </c>
      <c r="ON333" s="27" t="s">
        <v>7</v>
      </c>
      <c r="OO333" s="27" t="s">
        <v>8</v>
      </c>
      <c r="OP333" s="27" t="s">
        <v>7</v>
      </c>
      <c r="OQ333" s="27" t="s">
        <v>8</v>
      </c>
      <c r="OR333" s="27" t="s">
        <v>7</v>
      </c>
      <c r="OS333" s="27" t="s">
        <v>8</v>
      </c>
      <c r="OT333" s="27" t="s">
        <v>7</v>
      </c>
    </row>
    <row r="334" spans="1:414" x14ac:dyDescent="0.25">
      <c r="A334" s="7">
        <v>149.91443618875272</v>
      </c>
      <c r="B334"/>
      <c r="C334"/>
      <c r="D334"/>
      <c r="E334"/>
      <c r="JG334" s="27" t="s">
        <v>8</v>
      </c>
      <c r="JI334" s="27" t="s">
        <v>8</v>
      </c>
      <c r="JJ334" s="27" t="s">
        <v>7</v>
      </c>
      <c r="JK334" s="27" t="s">
        <v>8</v>
      </c>
      <c r="JN334" s="27" t="s">
        <v>7</v>
      </c>
      <c r="JW334" s="27" t="s">
        <v>8</v>
      </c>
      <c r="JX334" s="27" t="s">
        <v>7</v>
      </c>
      <c r="JY334" s="27" t="s">
        <v>8</v>
      </c>
      <c r="JZ334" s="27" t="s">
        <v>7</v>
      </c>
      <c r="KA334" s="27" t="s">
        <v>8</v>
      </c>
      <c r="KB334" s="27" t="s">
        <v>7</v>
      </c>
      <c r="KC334" s="27" t="s">
        <v>8</v>
      </c>
      <c r="KD334" s="27" t="s">
        <v>7</v>
      </c>
      <c r="KE334" s="27" t="s">
        <v>8</v>
      </c>
      <c r="KZ334" s="27" t="s">
        <v>7</v>
      </c>
      <c r="LA334" s="27" t="s">
        <v>8</v>
      </c>
      <c r="LB334" s="27" t="s">
        <v>7</v>
      </c>
      <c r="LC334" s="27" t="s">
        <v>8</v>
      </c>
      <c r="LD334" s="27" t="s">
        <v>7</v>
      </c>
      <c r="LE334" s="27" t="s">
        <v>8</v>
      </c>
      <c r="LF334" s="27" t="s">
        <v>7</v>
      </c>
      <c r="LG334" s="27" t="s">
        <v>8</v>
      </c>
      <c r="LH334" s="27" t="s">
        <v>7</v>
      </c>
      <c r="LJ334" s="27" t="s">
        <v>7</v>
      </c>
      <c r="LK334" s="27" t="s">
        <v>8</v>
      </c>
      <c r="LL334" s="27" t="s">
        <v>7</v>
      </c>
      <c r="LM334" s="27" t="s">
        <v>8</v>
      </c>
      <c r="MK334" s="27" t="s">
        <v>8</v>
      </c>
      <c r="ML334" s="27" t="s">
        <v>7</v>
      </c>
      <c r="MM334" s="27" t="s">
        <v>8</v>
      </c>
      <c r="MN334" s="27" t="s">
        <v>7</v>
      </c>
      <c r="MO334" s="27" t="s">
        <v>8</v>
      </c>
      <c r="MP334" s="27" t="s">
        <v>7</v>
      </c>
      <c r="MQ334" s="27" t="s">
        <v>8</v>
      </c>
      <c r="MR334" s="27" t="s">
        <v>7</v>
      </c>
      <c r="NG334" s="27" t="s">
        <v>8</v>
      </c>
      <c r="NH334" s="27" t="s">
        <v>7</v>
      </c>
      <c r="NI334" s="27" t="s">
        <v>8</v>
      </c>
      <c r="NJ334" s="27" t="s">
        <v>7</v>
      </c>
      <c r="NR334" s="27" t="s">
        <v>7</v>
      </c>
      <c r="NS334" s="27" t="s">
        <v>8</v>
      </c>
      <c r="NZ334" s="27" t="s">
        <v>7</v>
      </c>
      <c r="OA334" s="27" t="s">
        <v>8</v>
      </c>
      <c r="OF334" s="27" t="s">
        <v>7</v>
      </c>
      <c r="OG334" s="27" t="s">
        <v>8</v>
      </c>
      <c r="OH334" s="27" t="s">
        <v>7</v>
      </c>
      <c r="OI334" s="27" t="s">
        <v>8</v>
      </c>
      <c r="OJ334" s="27" t="s">
        <v>7</v>
      </c>
      <c r="ON334" s="27" t="s">
        <v>7</v>
      </c>
      <c r="OO334" s="27" t="s">
        <v>8</v>
      </c>
      <c r="OP334" s="27" t="s">
        <v>7</v>
      </c>
      <c r="OQ334" s="27" t="s">
        <v>8</v>
      </c>
      <c r="OR334" s="27" t="s">
        <v>7</v>
      </c>
      <c r="OS334" s="27" t="s">
        <v>8</v>
      </c>
      <c r="OT334" s="27" t="s">
        <v>7</v>
      </c>
    </row>
    <row r="335" spans="1:414" x14ac:dyDescent="0.25">
      <c r="A335" s="7">
        <v>146.97493743995364</v>
      </c>
      <c r="B335"/>
      <c r="C335"/>
      <c r="D335"/>
      <c r="E335"/>
      <c r="JG335" s="27" t="s">
        <v>8</v>
      </c>
      <c r="JH335" s="27" t="s">
        <v>7</v>
      </c>
      <c r="JI335" s="27" t="s">
        <v>8</v>
      </c>
      <c r="JJ335" s="27" t="s">
        <v>7</v>
      </c>
      <c r="JK335" s="27" t="s">
        <v>8</v>
      </c>
      <c r="JN335" s="27" t="s">
        <v>7</v>
      </c>
      <c r="JW335" s="27" t="s">
        <v>8</v>
      </c>
      <c r="JX335" s="27" t="s">
        <v>7</v>
      </c>
      <c r="JY335" s="27" t="s">
        <v>8</v>
      </c>
      <c r="JZ335" s="27" t="s">
        <v>7</v>
      </c>
      <c r="KA335" s="27" t="s">
        <v>8</v>
      </c>
      <c r="KB335" s="27" t="s">
        <v>7</v>
      </c>
      <c r="KC335" s="27" t="s">
        <v>8</v>
      </c>
      <c r="KD335" s="27" t="s">
        <v>7</v>
      </c>
      <c r="KZ335" s="27" t="s">
        <v>7</v>
      </c>
      <c r="LA335" s="27" t="s">
        <v>8</v>
      </c>
      <c r="LB335" s="27" t="s">
        <v>7</v>
      </c>
      <c r="LC335" s="27" t="s">
        <v>8</v>
      </c>
      <c r="LD335" s="27" t="s">
        <v>7</v>
      </c>
      <c r="LE335" s="27" t="s">
        <v>8</v>
      </c>
      <c r="LF335" s="27" t="s">
        <v>7</v>
      </c>
      <c r="LG335" s="27" t="s">
        <v>8</v>
      </c>
      <c r="LJ335" s="27" t="s">
        <v>7</v>
      </c>
      <c r="LL335" s="27" t="s">
        <v>7</v>
      </c>
      <c r="LM335" s="27" t="s">
        <v>8</v>
      </c>
      <c r="LN335" s="27" t="s">
        <v>7</v>
      </c>
      <c r="MK335" s="27" t="s">
        <v>8</v>
      </c>
      <c r="ML335" s="27" t="s">
        <v>7</v>
      </c>
      <c r="MM335" s="27" t="s">
        <v>8</v>
      </c>
      <c r="MN335" s="27" t="s">
        <v>7</v>
      </c>
      <c r="MO335" s="27" t="s">
        <v>8</v>
      </c>
      <c r="MP335" s="27" t="s">
        <v>7</v>
      </c>
      <c r="MQ335" s="27" t="s">
        <v>8</v>
      </c>
      <c r="MR335" s="27" t="s">
        <v>7</v>
      </c>
      <c r="NG335" s="27" t="s">
        <v>8</v>
      </c>
      <c r="NH335" s="27" t="s">
        <v>7</v>
      </c>
      <c r="NI335" s="27" t="s">
        <v>8</v>
      </c>
      <c r="NR335" s="27" t="s">
        <v>7</v>
      </c>
      <c r="NS335" s="27" t="s">
        <v>8</v>
      </c>
      <c r="NZ335" s="27" t="s">
        <v>7</v>
      </c>
      <c r="OA335" s="27" t="s">
        <v>8</v>
      </c>
      <c r="OF335" s="27" t="s">
        <v>7</v>
      </c>
      <c r="OG335" s="27" t="s">
        <v>8</v>
      </c>
      <c r="OH335" s="27" t="s">
        <v>7</v>
      </c>
      <c r="ON335" s="27" t="s">
        <v>7</v>
      </c>
      <c r="OO335" s="27" t="s">
        <v>8</v>
      </c>
      <c r="OP335" s="27" t="s">
        <v>7</v>
      </c>
      <c r="OR335" s="27" t="s">
        <v>7</v>
      </c>
      <c r="OS335" s="27" t="s">
        <v>8</v>
      </c>
      <c r="OT335" s="27" t="s">
        <v>7</v>
      </c>
      <c r="OU335" s="27" t="s">
        <v>8</v>
      </c>
      <c r="OW335" s="27" t="s">
        <v>8</v>
      </c>
    </row>
    <row r="336" spans="1:414" x14ac:dyDescent="0.25">
      <c r="A336" s="7">
        <v>144.09307592152317</v>
      </c>
      <c r="B336"/>
      <c r="C336"/>
      <c r="D336"/>
      <c r="E336"/>
      <c r="JG336" s="27" t="s">
        <v>8</v>
      </c>
      <c r="JH336" s="27" t="s">
        <v>7</v>
      </c>
      <c r="JI336" s="27" t="s">
        <v>8</v>
      </c>
      <c r="JJ336" s="27" t="s">
        <v>7</v>
      </c>
      <c r="JK336" s="27" t="s">
        <v>8</v>
      </c>
      <c r="JN336" s="27" t="s">
        <v>7</v>
      </c>
      <c r="JW336" s="27" t="s">
        <v>8</v>
      </c>
      <c r="JX336" s="27" t="s">
        <v>7</v>
      </c>
      <c r="JY336" s="27" t="s">
        <v>8</v>
      </c>
      <c r="JZ336" s="27" t="s">
        <v>7</v>
      </c>
      <c r="KA336" s="27" t="s">
        <v>8</v>
      </c>
      <c r="KB336" s="27" t="s">
        <v>7</v>
      </c>
      <c r="KC336" s="27" t="s">
        <v>8</v>
      </c>
      <c r="KZ336" s="27" t="s">
        <v>7</v>
      </c>
      <c r="LA336" s="27" t="s">
        <v>8</v>
      </c>
      <c r="LB336" s="27" t="s">
        <v>7</v>
      </c>
      <c r="LC336" s="27" t="s">
        <v>8</v>
      </c>
      <c r="LD336" s="27" t="s">
        <v>7</v>
      </c>
      <c r="LE336" s="27" t="s">
        <v>8</v>
      </c>
      <c r="LF336" s="27" t="s">
        <v>7</v>
      </c>
      <c r="LG336" s="27" t="s">
        <v>8</v>
      </c>
      <c r="LL336" s="27" t="s">
        <v>7</v>
      </c>
      <c r="LM336" s="27" t="s">
        <v>8</v>
      </c>
      <c r="LN336" s="27" t="s">
        <v>7</v>
      </c>
      <c r="LO336" s="27" t="s">
        <v>8</v>
      </c>
      <c r="MK336" s="27" t="s">
        <v>8</v>
      </c>
      <c r="ML336" s="27" t="s">
        <v>7</v>
      </c>
      <c r="MM336" s="27" t="s">
        <v>8</v>
      </c>
      <c r="MN336" s="27" t="s">
        <v>7</v>
      </c>
      <c r="MO336" s="27" t="s">
        <v>8</v>
      </c>
      <c r="MP336" s="27" t="s">
        <v>7</v>
      </c>
      <c r="MQ336" s="27" t="s">
        <v>8</v>
      </c>
      <c r="MR336" s="27" t="s">
        <v>7</v>
      </c>
      <c r="MW336" s="27" t="s">
        <v>8</v>
      </c>
      <c r="NG336" s="27" t="s">
        <v>8</v>
      </c>
      <c r="NH336" s="27" t="s">
        <v>7</v>
      </c>
      <c r="NR336" s="27" t="s">
        <v>7</v>
      </c>
      <c r="NS336" s="27" t="s">
        <v>8</v>
      </c>
      <c r="NZ336" s="27" t="s">
        <v>7</v>
      </c>
      <c r="OF336" s="27" t="s">
        <v>7</v>
      </c>
      <c r="ON336" s="27" t="s">
        <v>7</v>
      </c>
      <c r="OO336" s="27" t="s">
        <v>8</v>
      </c>
      <c r="OR336" s="27" t="s">
        <v>7</v>
      </c>
      <c r="OS336" s="27" t="s">
        <v>8</v>
      </c>
      <c r="OT336" s="27" t="s">
        <v>7</v>
      </c>
      <c r="OU336" s="27" t="s">
        <v>8</v>
      </c>
      <c r="OV336" s="27" t="s">
        <v>7</v>
      </c>
      <c r="OW336" s="27" t="s">
        <v>8</v>
      </c>
      <c r="OX336" s="27" t="s">
        <v>7</v>
      </c>
    </row>
    <row r="337" spans="1:414" x14ac:dyDescent="0.25">
      <c r="A337" s="7">
        <v>141.26772149168937</v>
      </c>
      <c r="B337"/>
      <c r="C337"/>
      <c r="D337"/>
      <c r="E337"/>
      <c r="JG337" s="27" t="s">
        <v>8</v>
      </c>
      <c r="JH337" s="27" t="s">
        <v>7</v>
      </c>
      <c r="JI337" s="27" t="s">
        <v>8</v>
      </c>
      <c r="JJ337" s="27" t="s">
        <v>7</v>
      </c>
      <c r="JK337" s="27" t="s">
        <v>8</v>
      </c>
      <c r="JN337" s="27" t="s">
        <v>7</v>
      </c>
      <c r="JW337" s="27" t="s">
        <v>8</v>
      </c>
      <c r="JX337" s="27" t="s">
        <v>7</v>
      </c>
      <c r="JY337" s="27" t="s">
        <v>8</v>
      </c>
      <c r="JZ337" s="27" t="s">
        <v>7</v>
      </c>
      <c r="KA337" s="27" t="s">
        <v>8</v>
      </c>
      <c r="KB337" s="27" t="s">
        <v>7</v>
      </c>
      <c r="KC337" s="27" t="s">
        <v>8</v>
      </c>
      <c r="KZ337" s="27" t="s">
        <v>7</v>
      </c>
      <c r="LA337" s="27" t="s">
        <v>8</v>
      </c>
      <c r="LB337" s="27" t="s">
        <v>7</v>
      </c>
      <c r="LC337" s="27" t="s">
        <v>8</v>
      </c>
      <c r="LD337" s="27" t="s">
        <v>7</v>
      </c>
      <c r="LE337" s="27" t="s">
        <v>8</v>
      </c>
      <c r="LF337" s="27" t="s">
        <v>7</v>
      </c>
      <c r="LG337" s="27" t="s">
        <v>8</v>
      </c>
      <c r="LL337" s="27" t="s">
        <v>7</v>
      </c>
      <c r="LM337" s="27" t="s">
        <v>8</v>
      </c>
      <c r="LN337" s="27" t="s">
        <v>7</v>
      </c>
      <c r="LO337" s="27" t="s">
        <v>8</v>
      </c>
      <c r="LP337" s="27" t="s">
        <v>7</v>
      </c>
      <c r="MI337" s="27" t="s">
        <v>8</v>
      </c>
      <c r="MK337" s="27" t="s">
        <v>8</v>
      </c>
      <c r="ML337" s="27" t="s">
        <v>7</v>
      </c>
      <c r="MM337" s="27" t="s">
        <v>8</v>
      </c>
      <c r="MN337" s="27" t="s">
        <v>7</v>
      </c>
      <c r="MP337" s="27" t="s">
        <v>7</v>
      </c>
      <c r="MR337" s="27" t="s">
        <v>7</v>
      </c>
      <c r="MS337" s="27" t="s">
        <v>8</v>
      </c>
      <c r="MW337" s="27" t="s">
        <v>8</v>
      </c>
      <c r="MX337" s="27" t="s">
        <v>7</v>
      </c>
      <c r="MY337" s="27" t="s">
        <v>8</v>
      </c>
      <c r="NG337" s="27" t="s">
        <v>8</v>
      </c>
      <c r="NR337" s="27" t="s">
        <v>7</v>
      </c>
      <c r="ON337" s="27" t="s">
        <v>7</v>
      </c>
      <c r="OR337" s="27" t="s">
        <v>7</v>
      </c>
      <c r="OS337" s="27" t="s">
        <v>8</v>
      </c>
      <c r="OT337" s="27" t="s">
        <v>7</v>
      </c>
      <c r="OU337" s="27" t="s">
        <v>8</v>
      </c>
      <c r="OV337" s="27" t="s">
        <v>7</v>
      </c>
      <c r="OW337" s="27" t="s">
        <v>8</v>
      </c>
      <c r="OX337" s="27" t="s">
        <v>7</v>
      </c>
    </row>
    <row r="338" spans="1:414" x14ac:dyDescent="0.25">
      <c r="A338" s="7">
        <v>138.4977661683229</v>
      </c>
      <c r="B338"/>
      <c r="C338"/>
      <c r="D338"/>
      <c r="E338"/>
      <c r="JG338" s="27" t="s">
        <v>8</v>
      </c>
      <c r="JH338" s="27" t="s">
        <v>7</v>
      </c>
      <c r="JI338" s="27" t="s">
        <v>8</v>
      </c>
      <c r="JJ338" s="27" t="s">
        <v>7</v>
      </c>
      <c r="JK338" s="27" t="s">
        <v>8</v>
      </c>
      <c r="JN338" s="27" t="s">
        <v>7</v>
      </c>
      <c r="JO338" s="27" t="s">
        <v>8</v>
      </c>
      <c r="JW338" s="27" t="s">
        <v>8</v>
      </c>
      <c r="JX338" s="27" t="s">
        <v>7</v>
      </c>
      <c r="JZ338" s="27" t="s">
        <v>7</v>
      </c>
      <c r="KA338" s="27" t="s">
        <v>8</v>
      </c>
      <c r="KB338" s="27" t="s">
        <v>7</v>
      </c>
      <c r="KC338" s="27" t="s">
        <v>8</v>
      </c>
      <c r="KZ338" s="27" t="s">
        <v>7</v>
      </c>
      <c r="LA338" s="27" t="s">
        <v>8</v>
      </c>
      <c r="LB338" s="27" t="s">
        <v>7</v>
      </c>
      <c r="LC338" s="27" t="s">
        <v>8</v>
      </c>
      <c r="LD338" s="27" t="s">
        <v>7</v>
      </c>
      <c r="LE338" s="27" t="s">
        <v>8</v>
      </c>
      <c r="LF338" s="27" t="s">
        <v>7</v>
      </c>
      <c r="LL338" s="27" t="s">
        <v>7</v>
      </c>
      <c r="LM338" s="27" t="s">
        <v>8</v>
      </c>
      <c r="LN338" s="27" t="s">
        <v>7</v>
      </c>
      <c r="LO338" s="27" t="s">
        <v>8</v>
      </c>
      <c r="LP338" s="27" t="s">
        <v>7</v>
      </c>
      <c r="MI338" s="27" t="s">
        <v>8</v>
      </c>
      <c r="MJ338" s="27" t="s">
        <v>7</v>
      </c>
      <c r="MK338" s="27" t="s">
        <v>8</v>
      </c>
      <c r="ML338" s="27" t="s">
        <v>7</v>
      </c>
      <c r="MM338" s="27" t="s">
        <v>8</v>
      </c>
      <c r="MR338" s="27" t="s">
        <v>7</v>
      </c>
      <c r="MS338" s="27" t="s">
        <v>8</v>
      </c>
      <c r="MT338" s="27" t="s">
        <v>7</v>
      </c>
      <c r="MW338" s="27" t="s">
        <v>8</v>
      </c>
      <c r="MX338" s="27" t="s">
        <v>7</v>
      </c>
      <c r="MY338" s="27" t="s">
        <v>8</v>
      </c>
      <c r="MZ338" s="27" t="s">
        <v>7</v>
      </c>
      <c r="NG338" s="27" t="s">
        <v>8</v>
      </c>
      <c r="OR338" s="27" t="s">
        <v>7</v>
      </c>
      <c r="OS338" s="27" t="s">
        <v>8</v>
      </c>
      <c r="OT338" s="27" t="s">
        <v>7</v>
      </c>
      <c r="OU338" s="27" t="s">
        <v>8</v>
      </c>
      <c r="OV338" s="27" t="s">
        <v>7</v>
      </c>
      <c r="OX338" s="27" t="s">
        <v>7</v>
      </c>
    </row>
    <row r="339" spans="1:414" x14ac:dyDescent="0.25">
      <c r="A339" s="7">
        <v>135.7821236944342</v>
      </c>
      <c r="B339"/>
      <c r="C339"/>
      <c r="D339"/>
      <c r="E339"/>
      <c r="JG339" s="27" t="s">
        <v>8</v>
      </c>
      <c r="JH339" s="27" t="s">
        <v>7</v>
      </c>
      <c r="JI339" s="27" t="s">
        <v>8</v>
      </c>
      <c r="JJ339" s="27" t="s">
        <v>7</v>
      </c>
      <c r="JK339" s="27" t="s">
        <v>8</v>
      </c>
      <c r="JN339" s="27" t="s">
        <v>7</v>
      </c>
      <c r="JO339" s="27" t="s">
        <v>8</v>
      </c>
      <c r="JP339" s="27" t="s">
        <v>7</v>
      </c>
      <c r="JW339" s="27" t="s">
        <v>8</v>
      </c>
      <c r="JZ339" s="27" t="s">
        <v>7</v>
      </c>
      <c r="KA339" s="27" t="s">
        <v>8</v>
      </c>
      <c r="KB339" s="27" t="s">
        <v>7</v>
      </c>
      <c r="KC339" s="27" t="s">
        <v>8</v>
      </c>
      <c r="KZ339" s="27" t="s">
        <v>7</v>
      </c>
      <c r="LA339" s="27" t="s">
        <v>8</v>
      </c>
      <c r="LB339" s="27" t="s">
        <v>7</v>
      </c>
      <c r="LC339" s="27" t="s">
        <v>8</v>
      </c>
      <c r="LD339" s="27" t="s">
        <v>7</v>
      </c>
      <c r="LE339" s="27" t="s">
        <v>8</v>
      </c>
      <c r="LL339" s="27" t="s">
        <v>7</v>
      </c>
      <c r="LM339" s="27" t="s">
        <v>8</v>
      </c>
      <c r="LN339" s="27" t="s">
        <v>7</v>
      </c>
      <c r="LO339" s="27" t="s">
        <v>8</v>
      </c>
      <c r="LP339" s="27" t="s">
        <v>7</v>
      </c>
      <c r="MG339" s="27" t="s">
        <v>8</v>
      </c>
      <c r="MI339" s="27" t="s">
        <v>8</v>
      </c>
      <c r="MJ339" s="27" t="s">
        <v>7</v>
      </c>
      <c r="MK339" s="27" t="s">
        <v>8</v>
      </c>
      <c r="ML339" s="27" t="s">
        <v>7</v>
      </c>
      <c r="MR339" s="27" t="s">
        <v>7</v>
      </c>
      <c r="MS339" s="27" t="s">
        <v>8</v>
      </c>
      <c r="MT339" s="27" t="s">
        <v>7</v>
      </c>
      <c r="MW339" s="27" t="s">
        <v>8</v>
      </c>
      <c r="MX339" s="27" t="s">
        <v>7</v>
      </c>
      <c r="MY339" s="27" t="s">
        <v>8</v>
      </c>
      <c r="MZ339" s="27" t="s">
        <v>7</v>
      </c>
      <c r="NG339" s="27" t="s">
        <v>8</v>
      </c>
      <c r="OR339" s="27" t="s">
        <v>7</v>
      </c>
      <c r="OS339" s="27" t="s">
        <v>8</v>
      </c>
      <c r="OT339" s="27" t="s">
        <v>7</v>
      </c>
      <c r="OX339" s="27" t="s">
        <v>7</v>
      </c>
    </row>
    <row r="340" spans="1:414" x14ac:dyDescent="0.25">
      <c r="A340" s="7">
        <v>133.11972911219038</v>
      </c>
      <c r="B340"/>
      <c r="C340"/>
      <c r="D340"/>
      <c r="E340"/>
      <c r="JG340" s="27" t="s">
        <v>8</v>
      </c>
      <c r="JH340" s="27" t="s">
        <v>7</v>
      </c>
      <c r="JJ340" s="27" t="s">
        <v>7</v>
      </c>
      <c r="JK340" s="27" t="s">
        <v>8</v>
      </c>
      <c r="JN340" s="27" t="s">
        <v>7</v>
      </c>
      <c r="JO340" s="27" t="s">
        <v>8</v>
      </c>
      <c r="JP340" s="27" t="s">
        <v>7</v>
      </c>
      <c r="JW340" s="27" t="s">
        <v>8</v>
      </c>
      <c r="JZ340" s="27" t="s">
        <v>7</v>
      </c>
      <c r="KA340" s="27" t="s">
        <v>8</v>
      </c>
      <c r="KB340" s="27" t="s">
        <v>7</v>
      </c>
      <c r="KC340" s="27" t="s">
        <v>8</v>
      </c>
      <c r="KZ340" s="27" t="s">
        <v>7</v>
      </c>
      <c r="LA340" s="27" t="s">
        <v>8</v>
      </c>
      <c r="LB340" s="27" t="s">
        <v>7</v>
      </c>
      <c r="LC340" s="27" t="s">
        <v>8</v>
      </c>
      <c r="LD340" s="27" t="s">
        <v>7</v>
      </c>
      <c r="LL340" s="27" t="s">
        <v>7</v>
      </c>
      <c r="LM340" s="27" t="s">
        <v>8</v>
      </c>
      <c r="LN340" s="27" t="s">
        <v>7</v>
      </c>
      <c r="LO340" s="27" t="s">
        <v>8</v>
      </c>
      <c r="LP340" s="27" t="s">
        <v>7</v>
      </c>
      <c r="LS340" s="27" t="s">
        <v>8</v>
      </c>
      <c r="MG340" s="27" t="s">
        <v>8</v>
      </c>
      <c r="MH340" s="27" t="s">
        <v>7</v>
      </c>
      <c r="MI340" s="27" t="s">
        <v>8</v>
      </c>
      <c r="MJ340" s="27" t="s">
        <v>7</v>
      </c>
      <c r="MK340" s="27" t="s">
        <v>8</v>
      </c>
      <c r="MR340" s="27" t="s">
        <v>7</v>
      </c>
      <c r="MS340" s="27" t="s">
        <v>8</v>
      </c>
      <c r="MT340" s="27" t="s">
        <v>7</v>
      </c>
      <c r="MU340" s="27" t="s">
        <v>8</v>
      </c>
      <c r="MW340" s="27" t="s">
        <v>8</v>
      </c>
      <c r="MX340" s="27" t="s">
        <v>7</v>
      </c>
      <c r="MZ340" s="27" t="s">
        <v>7</v>
      </c>
      <c r="NG340" s="27" t="s">
        <v>8</v>
      </c>
      <c r="OR340" s="27" t="s">
        <v>7</v>
      </c>
      <c r="OS340" s="27" t="s">
        <v>8</v>
      </c>
      <c r="OX340" s="27" t="s">
        <v>7</v>
      </c>
    </row>
    <row r="341" spans="1:414" x14ac:dyDescent="0.25">
      <c r="A341" s="7">
        <v>130.50953834528468</v>
      </c>
      <c r="B341"/>
      <c r="C341"/>
      <c r="D341"/>
      <c r="E341"/>
      <c r="JG341" s="27" t="s">
        <v>8</v>
      </c>
      <c r="JJ341" s="27" t="s">
        <v>7</v>
      </c>
      <c r="JK341" s="27" t="s">
        <v>8</v>
      </c>
      <c r="JN341" s="27" t="s">
        <v>7</v>
      </c>
      <c r="JO341" s="27" t="s">
        <v>8</v>
      </c>
      <c r="JP341" s="27" t="s">
        <v>7</v>
      </c>
      <c r="JU341" s="27" t="s">
        <v>8</v>
      </c>
      <c r="JW341" s="27" t="s">
        <v>8</v>
      </c>
      <c r="JZ341" s="27" t="s">
        <v>7</v>
      </c>
      <c r="KB341" s="27" t="s">
        <v>7</v>
      </c>
      <c r="KC341" s="27" t="s">
        <v>8</v>
      </c>
      <c r="KZ341" s="27" t="s">
        <v>7</v>
      </c>
      <c r="LA341" s="27" t="s">
        <v>8</v>
      </c>
      <c r="LB341" s="27" t="s">
        <v>7</v>
      </c>
      <c r="LC341" s="27" t="s">
        <v>8</v>
      </c>
      <c r="LL341" s="27" t="s">
        <v>7</v>
      </c>
      <c r="LM341" s="27" t="s">
        <v>8</v>
      </c>
      <c r="LN341" s="27" t="s">
        <v>7</v>
      </c>
      <c r="LO341" s="27" t="s">
        <v>8</v>
      </c>
      <c r="LP341" s="27" t="s">
        <v>7</v>
      </c>
      <c r="LS341" s="27" t="s">
        <v>8</v>
      </c>
      <c r="LT341" s="27" t="s">
        <v>7</v>
      </c>
      <c r="MG341" s="27" t="s">
        <v>8</v>
      </c>
      <c r="MH341" s="27" t="s">
        <v>7</v>
      </c>
      <c r="MI341" s="27" t="s">
        <v>8</v>
      </c>
      <c r="MJ341" s="27" t="s">
        <v>7</v>
      </c>
      <c r="MR341" s="27" t="s">
        <v>7</v>
      </c>
      <c r="MS341" s="27" t="s">
        <v>8</v>
      </c>
      <c r="MT341" s="27" t="s">
        <v>7</v>
      </c>
      <c r="MU341" s="27" t="s">
        <v>8</v>
      </c>
      <c r="MV341" s="27" t="s">
        <v>7</v>
      </c>
      <c r="MW341" s="27" t="s">
        <v>8</v>
      </c>
      <c r="MZ341" s="27" t="s">
        <v>7</v>
      </c>
      <c r="NG341" s="27" t="s">
        <v>8</v>
      </c>
      <c r="OR341" s="27" t="s">
        <v>7</v>
      </c>
      <c r="OS341" s="27" t="s">
        <v>8</v>
      </c>
      <c r="OX341" s="27" t="s">
        <v>7</v>
      </c>
    </row>
    <row r="342" spans="1:414" x14ac:dyDescent="0.25">
      <c r="A342" s="7">
        <v>127.95052778949477</v>
      </c>
      <c r="B342"/>
      <c r="C342"/>
      <c r="D342"/>
      <c r="E342"/>
      <c r="JG342" s="27" t="s">
        <v>8</v>
      </c>
      <c r="JJ342" s="27" t="s">
        <v>7</v>
      </c>
      <c r="JK342" s="27" t="s">
        <v>8</v>
      </c>
      <c r="JN342" s="27" t="s">
        <v>7</v>
      </c>
      <c r="JO342" s="27" t="s">
        <v>8</v>
      </c>
      <c r="JP342" s="27" t="s">
        <v>7</v>
      </c>
      <c r="JU342" s="27" t="s">
        <v>8</v>
      </c>
      <c r="JV342" s="27" t="s">
        <v>7</v>
      </c>
      <c r="JW342" s="27" t="s">
        <v>8</v>
      </c>
      <c r="KB342" s="27" t="s">
        <v>7</v>
      </c>
      <c r="KC342" s="27" t="s">
        <v>8</v>
      </c>
      <c r="KZ342" s="27" t="s">
        <v>7</v>
      </c>
      <c r="LA342" s="27" t="s">
        <v>8</v>
      </c>
      <c r="LB342" s="27" t="s">
        <v>7</v>
      </c>
      <c r="LC342" s="27" t="s">
        <v>8</v>
      </c>
      <c r="LL342" s="27" t="s">
        <v>7</v>
      </c>
      <c r="LM342" s="27" t="s">
        <v>8</v>
      </c>
      <c r="LN342" s="27" t="s">
        <v>7</v>
      </c>
      <c r="LO342" s="27" t="s">
        <v>8</v>
      </c>
      <c r="LP342" s="27" t="s">
        <v>7</v>
      </c>
      <c r="LS342" s="27" t="s">
        <v>8</v>
      </c>
      <c r="LT342" s="27" t="s">
        <v>7</v>
      </c>
      <c r="MG342" s="27" t="s">
        <v>8</v>
      </c>
      <c r="MH342" s="27" t="s">
        <v>7</v>
      </c>
      <c r="MI342" s="27" t="s">
        <v>8</v>
      </c>
      <c r="MR342" s="27" t="s">
        <v>7</v>
      </c>
      <c r="MS342" s="27" t="s">
        <v>8</v>
      </c>
      <c r="MT342" s="27" t="s">
        <v>7</v>
      </c>
      <c r="MU342" s="27" t="s">
        <v>8</v>
      </c>
      <c r="MV342" s="27" t="s">
        <v>7</v>
      </c>
      <c r="MW342" s="27" t="s">
        <v>8</v>
      </c>
      <c r="MZ342" s="27" t="s">
        <v>7</v>
      </c>
      <c r="NE342" s="27" t="s">
        <v>8</v>
      </c>
      <c r="NG342" s="27" t="s">
        <v>8</v>
      </c>
      <c r="OR342" s="27" t="s">
        <v>7</v>
      </c>
      <c r="OX342" s="27" t="s">
        <v>7</v>
      </c>
    </row>
    <row r="343" spans="1:414" x14ac:dyDescent="0.25">
      <c r="A343" s="7">
        <v>125.44169391126938</v>
      </c>
      <c r="B343"/>
      <c r="C343"/>
      <c r="D343"/>
      <c r="E343"/>
      <c r="AM343" s="27" t="s">
        <v>8</v>
      </c>
      <c r="JG343" s="27" t="s">
        <v>8</v>
      </c>
      <c r="JJ343" s="27" t="s">
        <v>7</v>
      </c>
      <c r="JN343" s="27" t="s">
        <v>7</v>
      </c>
      <c r="JO343" s="27" t="s">
        <v>8</v>
      </c>
      <c r="JP343" s="27" t="s">
        <v>7</v>
      </c>
      <c r="JS343" s="27" t="s">
        <v>8</v>
      </c>
      <c r="JU343" s="27" t="s">
        <v>8</v>
      </c>
      <c r="JV343" s="27" t="s">
        <v>7</v>
      </c>
      <c r="JW343" s="27" t="s">
        <v>8</v>
      </c>
      <c r="KB343" s="27" t="s">
        <v>7</v>
      </c>
      <c r="KC343" s="27" t="s">
        <v>8</v>
      </c>
      <c r="KZ343" s="27" t="s">
        <v>7</v>
      </c>
      <c r="LA343" s="27" t="s">
        <v>8</v>
      </c>
      <c r="LB343" s="27" t="s">
        <v>7</v>
      </c>
      <c r="LC343" s="27" t="s">
        <v>8</v>
      </c>
      <c r="LL343" s="27" t="s">
        <v>7</v>
      </c>
      <c r="LM343" s="27" t="s">
        <v>8</v>
      </c>
      <c r="LN343" s="27" t="s">
        <v>7</v>
      </c>
      <c r="LO343" s="27" t="s">
        <v>8</v>
      </c>
      <c r="LP343" s="27" t="s">
        <v>7</v>
      </c>
      <c r="LS343" s="27" t="s">
        <v>8</v>
      </c>
      <c r="LT343" s="27" t="s">
        <v>7</v>
      </c>
      <c r="LU343" s="27" t="s">
        <v>8</v>
      </c>
      <c r="MG343" s="27" t="s">
        <v>8</v>
      </c>
      <c r="MH343" s="27" t="s">
        <v>7</v>
      </c>
      <c r="MI343" s="27" t="s">
        <v>8</v>
      </c>
      <c r="MR343" s="27" t="s">
        <v>7</v>
      </c>
      <c r="MS343" s="27" t="s">
        <v>8</v>
      </c>
      <c r="MT343" s="27" t="s">
        <v>7</v>
      </c>
      <c r="MV343" s="27" t="s">
        <v>7</v>
      </c>
      <c r="MW343" s="27" t="s">
        <v>8</v>
      </c>
      <c r="MZ343" s="27" t="s">
        <v>7</v>
      </c>
      <c r="NE343" s="27" t="s">
        <v>8</v>
      </c>
      <c r="NF343" s="27" t="s">
        <v>7</v>
      </c>
      <c r="NG343" s="27" t="s">
        <v>8</v>
      </c>
      <c r="OX343" s="27" t="s">
        <v>7</v>
      </c>
    </row>
    <row r="344" spans="1:414" x14ac:dyDescent="0.25">
      <c r="A344" s="7">
        <v>122.98205285418567</v>
      </c>
      <c r="B344"/>
      <c r="C344"/>
      <c r="D344"/>
      <c r="E344"/>
      <c r="AM344" s="27" t="s">
        <v>8</v>
      </c>
      <c r="AN344" s="27" t="s">
        <v>7</v>
      </c>
      <c r="JG344" s="27" t="s">
        <v>8</v>
      </c>
      <c r="JN344" s="27" t="s">
        <v>7</v>
      </c>
      <c r="JO344" s="27" t="s">
        <v>8</v>
      </c>
      <c r="JP344" s="27" t="s">
        <v>7</v>
      </c>
      <c r="JQ344" s="27" t="s">
        <v>8</v>
      </c>
      <c r="JS344" s="27" t="s">
        <v>8</v>
      </c>
      <c r="JT344" s="27" t="s">
        <v>7</v>
      </c>
      <c r="JU344" s="27" t="s">
        <v>8</v>
      </c>
      <c r="JV344" s="27" t="s">
        <v>7</v>
      </c>
      <c r="JW344" s="27" t="s">
        <v>8</v>
      </c>
      <c r="KB344" s="27" t="s">
        <v>7</v>
      </c>
      <c r="KC344" s="27" t="s">
        <v>8</v>
      </c>
      <c r="KZ344" s="27" t="s">
        <v>7</v>
      </c>
      <c r="LA344" s="27" t="s">
        <v>8</v>
      </c>
      <c r="LB344" s="27" t="s">
        <v>7</v>
      </c>
      <c r="LC344" s="27" t="s">
        <v>8</v>
      </c>
      <c r="LL344" s="27" t="s">
        <v>7</v>
      </c>
      <c r="LM344" s="27" t="s">
        <v>8</v>
      </c>
      <c r="LN344" s="27" t="s">
        <v>7</v>
      </c>
      <c r="LO344" s="27" t="s">
        <v>8</v>
      </c>
      <c r="LP344" s="27" t="s">
        <v>7</v>
      </c>
      <c r="LS344" s="27" t="s">
        <v>8</v>
      </c>
      <c r="LT344" s="27" t="s">
        <v>7</v>
      </c>
      <c r="LU344" s="27" t="s">
        <v>8</v>
      </c>
      <c r="LV344" s="27" t="s">
        <v>7</v>
      </c>
      <c r="ME344" s="27" t="s">
        <v>8</v>
      </c>
      <c r="MG344" s="27" t="s">
        <v>8</v>
      </c>
      <c r="MH344" s="27" t="s">
        <v>7</v>
      </c>
      <c r="MI344" s="27" t="s">
        <v>8</v>
      </c>
      <c r="MR344" s="27" t="s">
        <v>7</v>
      </c>
      <c r="MS344" s="27" t="s">
        <v>8</v>
      </c>
      <c r="MV344" s="27" t="s">
        <v>7</v>
      </c>
      <c r="MZ344" s="27" t="s">
        <v>7</v>
      </c>
      <c r="NA344" s="27" t="s">
        <v>8</v>
      </c>
      <c r="NE344" s="27" t="s">
        <v>8</v>
      </c>
      <c r="NF344" s="27" t="s">
        <v>7</v>
      </c>
      <c r="NG344" s="27" t="s">
        <v>8</v>
      </c>
      <c r="OX344" s="27" t="s">
        <v>7</v>
      </c>
    </row>
    <row r="345" spans="1:414" x14ac:dyDescent="0.25">
      <c r="A345" s="7">
        <v>120.5706400531232</v>
      </c>
      <c r="B345"/>
      <c r="C345"/>
      <c r="D345"/>
      <c r="E345"/>
      <c r="AM345" s="27" t="s">
        <v>8</v>
      </c>
      <c r="AN345" s="27" t="s">
        <v>7</v>
      </c>
      <c r="IS345" s="27" t="s">
        <v>8</v>
      </c>
      <c r="JG345" s="27" t="s">
        <v>8</v>
      </c>
      <c r="JN345" s="27" t="s">
        <v>7</v>
      </c>
      <c r="JO345" s="27" t="s">
        <v>8</v>
      </c>
      <c r="JP345" s="27" t="s">
        <v>7</v>
      </c>
      <c r="JQ345" s="27" t="s">
        <v>8</v>
      </c>
      <c r="JR345" s="27" t="s">
        <v>7</v>
      </c>
      <c r="JS345" s="27" t="s">
        <v>8</v>
      </c>
      <c r="JT345" s="27" t="s">
        <v>7</v>
      </c>
      <c r="JU345" s="27" t="s">
        <v>8</v>
      </c>
      <c r="JV345" s="27" t="s">
        <v>7</v>
      </c>
      <c r="JW345" s="27" t="s">
        <v>8</v>
      </c>
      <c r="KB345" s="27" t="s">
        <v>7</v>
      </c>
      <c r="KC345" s="27" t="s">
        <v>8</v>
      </c>
      <c r="KZ345" s="27" t="s">
        <v>7</v>
      </c>
      <c r="LA345" s="27" t="s">
        <v>8</v>
      </c>
      <c r="LB345" s="27" t="s">
        <v>7</v>
      </c>
      <c r="LC345" s="27" t="s">
        <v>8</v>
      </c>
      <c r="LL345" s="27" t="s">
        <v>7</v>
      </c>
      <c r="LN345" s="27" t="s">
        <v>7</v>
      </c>
      <c r="LP345" s="27" t="s">
        <v>7</v>
      </c>
      <c r="LS345" s="27" t="s">
        <v>8</v>
      </c>
      <c r="LT345" s="27" t="s">
        <v>7</v>
      </c>
      <c r="LU345" s="27" t="s">
        <v>8</v>
      </c>
      <c r="LV345" s="27" t="s">
        <v>7</v>
      </c>
      <c r="LW345" s="27" t="s">
        <v>8</v>
      </c>
      <c r="ME345" s="27" t="s">
        <v>8</v>
      </c>
      <c r="MF345" s="27" t="s">
        <v>7</v>
      </c>
      <c r="MG345" s="27" t="s">
        <v>8</v>
      </c>
      <c r="MH345" s="27" t="s">
        <v>7</v>
      </c>
      <c r="MR345" s="27" t="s">
        <v>7</v>
      </c>
      <c r="MS345" s="27" t="s">
        <v>8</v>
      </c>
      <c r="MZ345" s="27" t="s">
        <v>7</v>
      </c>
      <c r="NA345" s="27" t="s">
        <v>8</v>
      </c>
      <c r="NB345" s="27" t="s">
        <v>7</v>
      </c>
      <c r="NE345" s="27" t="s">
        <v>8</v>
      </c>
      <c r="NF345" s="27" t="s">
        <v>7</v>
      </c>
      <c r="NG345" s="27" t="s">
        <v>8</v>
      </c>
      <c r="OX345" s="27" t="s">
        <v>7</v>
      </c>
    </row>
    <row r="346" spans="1:414" x14ac:dyDescent="0.25">
      <c r="A346" s="7">
        <v>118.20650985600314</v>
      </c>
      <c r="B346"/>
      <c r="C346"/>
      <c r="D346"/>
      <c r="E346"/>
      <c r="AM346" s="27" t="s">
        <v>8</v>
      </c>
      <c r="AN346" s="27" t="s">
        <v>7</v>
      </c>
      <c r="IS346" s="27" t="s">
        <v>8</v>
      </c>
      <c r="IT346" s="27" t="s">
        <v>7</v>
      </c>
      <c r="JG346" s="27" t="s">
        <v>8</v>
      </c>
      <c r="JN346" s="27" t="s">
        <v>7</v>
      </c>
      <c r="JO346" s="27" t="s">
        <v>8</v>
      </c>
      <c r="JP346" s="27" t="s">
        <v>7</v>
      </c>
      <c r="JQ346" s="27" t="s">
        <v>8</v>
      </c>
      <c r="JR346" s="27" t="s">
        <v>7</v>
      </c>
      <c r="JS346" s="27" t="s">
        <v>8</v>
      </c>
      <c r="JT346" s="27" t="s">
        <v>7</v>
      </c>
      <c r="JV346" s="27" t="s">
        <v>7</v>
      </c>
      <c r="JW346" s="27" t="s">
        <v>8</v>
      </c>
      <c r="KB346" s="27" t="s">
        <v>7</v>
      </c>
      <c r="KZ346" s="27" t="s">
        <v>7</v>
      </c>
      <c r="LA346" s="27" t="s">
        <v>8</v>
      </c>
      <c r="LB346" s="27" t="s">
        <v>7</v>
      </c>
      <c r="LC346" s="27" t="s">
        <v>8</v>
      </c>
      <c r="LP346" s="27" t="s">
        <v>7</v>
      </c>
      <c r="LS346" s="27" t="s">
        <v>8</v>
      </c>
      <c r="LT346" s="27" t="s">
        <v>7</v>
      </c>
      <c r="LU346" s="27" t="s">
        <v>8</v>
      </c>
      <c r="LV346" s="27" t="s">
        <v>7</v>
      </c>
      <c r="LW346" s="27" t="s">
        <v>8</v>
      </c>
      <c r="LX346" s="27" t="s">
        <v>7</v>
      </c>
      <c r="ME346" s="27" t="s">
        <v>8</v>
      </c>
      <c r="MF346" s="27" t="s">
        <v>7</v>
      </c>
      <c r="MG346" s="27" t="s">
        <v>8</v>
      </c>
      <c r="MR346" s="27" t="s">
        <v>7</v>
      </c>
      <c r="MZ346" s="27" t="s">
        <v>7</v>
      </c>
      <c r="NA346" s="27" t="s">
        <v>8</v>
      </c>
      <c r="NB346" s="27" t="s">
        <v>7</v>
      </c>
      <c r="NE346" s="27" t="s">
        <v>8</v>
      </c>
      <c r="NF346" s="27" t="s">
        <v>7</v>
      </c>
      <c r="NG346" s="27" t="s">
        <v>8</v>
      </c>
      <c r="OX346" s="27" t="s">
        <v>7</v>
      </c>
    </row>
    <row r="347" spans="1:414" x14ac:dyDescent="0.25">
      <c r="A347" s="7">
        <v>115.88873515294425</v>
      </c>
      <c r="B347"/>
      <c r="C347"/>
      <c r="D347"/>
      <c r="E347"/>
      <c r="AK347" s="27" t="s">
        <v>8</v>
      </c>
      <c r="AM347" s="27" t="s">
        <v>8</v>
      </c>
      <c r="AN347" s="27" t="s">
        <v>7</v>
      </c>
      <c r="AO347" s="27" t="s">
        <v>8</v>
      </c>
      <c r="IS347" s="27" t="s">
        <v>8</v>
      </c>
      <c r="IT347" s="27" t="s">
        <v>7</v>
      </c>
      <c r="JG347" s="27" t="s">
        <v>8</v>
      </c>
      <c r="JN347" s="27" t="s">
        <v>7</v>
      </c>
      <c r="JO347" s="27" t="s">
        <v>8</v>
      </c>
      <c r="JP347" s="27" t="s">
        <v>7</v>
      </c>
      <c r="JQ347" s="27" t="s">
        <v>8</v>
      </c>
      <c r="JR347" s="27" t="s">
        <v>7</v>
      </c>
      <c r="JS347" s="27" t="s">
        <v>8</v>
      </c>
      <c r="JV347" s="27" t="s">
        <v>7</v>
      </c>
      <c r="JW347" s="27" t="s">
        <v>8</v>
      </c>
      <c r="KZ347" s="27" t="s">
        <v>7</v>
      </c>
      <c r="LA347" s="27" t="s">
        <v>8</v>
      </c>
      <c r="LB347" s="27" t="s">
        <v>7</v>
      </c>
      <c r="LC347" s="27" t="s">
        <v>8</v>
      </c>
      <c r="LP347" s="27" t="s">
        <v>7</v>
      </c>
      <c r="LQ347" s="27" t="s">
        <v>8</v>
      </c>
      <c r="LS347" s="27" t="s">
        <v>8</v>
      </c>
      <c r="LT347" s="27" t="s">
        <v>7</v>
      </c>
      <c r="LU347" s="27" t="s">
        <v>8</v>
      </c>
      <c r="LV347" s="27" t="s">
        <v>7</v>
      </c>
      <c r="LW347" s="27" t="s">
        <v>8</v>
      </c>
      <c r="LX347" s="27" t="s">
        <v>7</v>
      </c>
      <c r="ME347" s="27" t="s">
        <v>8</v>
      </c>
      <c r="MF347" s="27" t="s">
        <v>7</v>
      </c>
      <c r="MG347" s="27" t="s">
        <v>8</v>
      </c>
      <c r="MZ347" s="27" t="s">
        <v>7</v>
      </c>
      <c r="NA347" s="27" t="s">
        <v>8</v>
      </c>
      <c r="NB347" s="27" t="s">
        <v>7</v>
      </c>
      <c r="NE347" s="27" t="s">
        <v>8</v>
      </c>
      <c r="NF347" s="27" t="s">
        <v>7</v>
      </c>
      <c r="NG347" s="27" t="s">
        <v>8</v>
      </c>
      <c r="OX347" s="27" t="s">
        <v>7</v>
      </c>
    </row>
    <row r="348" spans="1:414" x14ac:dyDescent="0.25">
      <c r="A348" s="7">
        <v>113.61640701269044</v>
      </c>
      <c r="B348"/>
      <c r="C348"/>
      <c r="D348"/>
      <c r="E348"/>
      <c r="AI348" s="27" t="s">
        <v>8</v>
      </c>
      <c r="AK348" s="27" t="s">
        <v>8</v>
      </c>
      <c r="AL348" s="27" t="s">
        <v>7</v>
      </c>
      <c r="AM348" s="27" t="s">
        <v>8</v>
      </c>
      <c r="AN348" s="27" t="s">
        <v>7</v>
      </c>
      <c r="AO348" s="27" t="s">
        <v>8</v>
      </c>
      <c r="AP348" s="27" t="s">
        <v>7</v>
      </c>
      <c r="IS348" s="27" t="s">
        <v>8</v>
      </c>
      <c r="IT348" s="27" t="s">
        <v>7</v>
      </c>
      <c r="IU348" s="27" t="s">
        <v>8</v>
      </c>
      <c r="JG348" s="27" t="s">
        <v>8</v>
      </c>
      <c r="JN348" s="27" t="s">
        <v>7</v>
      </c>
      <c r="JO348" s="27" t="s">
        <v>8</v>
      </c>
      <c r="JP348" s="27" t="s">
        <v>7</v>
      </c>
      <c r="JR348" s="27" t="s">
        <v>7</v>
      </c>
      <c r="JS348" s="27" t="s">
        <v>8</v>
      </c>
      <c r="JV348" s="27" t="s">
        <v>7</v>
      </c>
      <c r="KZ348" s="27" t="s">
        <v>7</v>
      </c>
      <c r="LA348" s="27" t="s">
        <v>8</v>
      </c>
      <c r="LB348" s="27" t="s">
        <v>7</v>
      </c>
      <c r="LC348" s="27" t="s">
        <v>8</v>
      </c>
      <c r="LP348" s="27" t="s">
        <v>7</v>
      </c>
      <c r="LQ348" s="27" t="s">
        <v>8</v>
      </c>
      <c r="LR348" s="27" t="s">
        <v>7</v>
      </c>
      <c r="LS348" s="27" t="s">
        <v>8</v>
      </c>
      <c r="LT348" s="27" t="s">
        <v>7</v>
      </c>
      <c r="LV348" s="27" t="s">
        <v>7</v>
      </c>
      <c r="LW348" s="27" t="s">
        <v>8</v>
      </c>
      <c r="LX348" s="27" t="s">
        <v>7</v>
      </c>
      <c r="ME348" s="27" t="s">
        <v>8</v>
      </c>
      <c r="MF348" s="27" t="s">
        <v>7</v>
      </c>
      <c r="MG348" s="27" t="s">
        <v>8</v>
      </c>
      <c r="MZ348" s="27" t="s">
        <v>7</v>
      </c>
      <c r="NA348" s="27" t="s">
        <v>8</v>
      </c>
      <c r="NB348" s="27" t="s">
        <v>7</v>
      </c>
      <c r="NC348" s="27" t="s">
        <v>8</v>
      </c>
      <c r="NE348" s="27" t="s">
        <v>8</v>
      </c>
      <c r="NF348" s="27" t="s">
        <v>7</v>
      </c>
      <c r="OX348" s="27" t="s">
        <v>7</v>
      </c>
    </row>
    <row r="349" spans="1:414" x14ac:dyDescent="0.25">
      <c r="A349" s="7">
        <v>111.38863432616711</v>
      </c>
      <c r="B349"/>
      <c r="C349"/>
      <c r="D349"/>
      <c r="E349"/>
      <c r="AI349" s="27" t="s">
        <v>8</v>
      </c>
      <c r="AJ349" s="27" t="s">
        <v>7</v>
      </c>
      <c r="AK349" s="27" t="s">
        <v>8</v>
      </c>
      <c r="AL349" s="27" t="s">
        <v>7</v>
      </c>
      <c r="AM349" s="27" t="s">
        <v>8</v>
      </c>
      <c r="AN349" s="27" t="s">
        <v>7</v>
      </c>
      <c r="AO349" s="27" t="s">
        <v>8</v>
      </c>
      <c r="AP349" s="27" t="s">
        <v>7</v>
      </c>
      <c r="IS349" s="27" t="s">
        <v>8</v>
      </c>
      <c r="IT349" s="27" t="s">
        <v>7</v>
      </c>
      <c r="IU349" s="27" t="s">
        <v>8</v>
      </c>
      <c r="IV349" s="27" t="s">
        <v>7</v>
      </c>
      <c r="IW349" s="27" t="s">
        <v>8</v>
      </c>
      <c r="JG349" s="27" t="s">
        <v>8</v>
      </c>
      <c r="JN349" s="27" t="s">
        <v>7</v>
      </c>
      <c r="JO349" s="27" t="s">
        <v>8</v>
      </c>
      <c r="JR349" s="27" t="s">
        <v>7</v>
      </c>
      <c r="JS349" s="27" t="s">
        <v>8</v>
      </c>
      <c r="KZ349" s="27" t="s">
        <v>7</v>
      </c>
      <c r="LA349" s="27" t="s">
        <v>8</v>
      </c>
      <c r="LB349" s="27" t="s">
        <v>7</v>
      </c>
      <c r="LC349" s="27" t="s">
        <v>8</v>
      </c>
      <c r="LP349" s="27" t="s">
        <v>7</v>
      </c>
      <c r="LQ349" s="27" t="s">
        <v>8</v>
      </c>
      <c r="LR349" s="27" t="s">
        <v>7</v>
      </c>
      <c r="LS349" s="27" t="s">
        <v>8</v>
      </c>
      <c r="LV349" s="27" t="s">
        <v>7</v>
      </c>
      <c r="LX349" s="27" t="s">
        <v>7</v>
      </c>
      <c r="ME349" s="27" t="s">
        <v>8</v>
      </c>
      <c r="MF349" s="27" t="s">
        <v>7</v>
      </c>
      <c r="MZ349" s="27" t="s">
        <v>7</v>
      </c>
      <c r="NA349" s="27" t="s">
        <v>8</v>
      </c>
      <c r="NB349" s="27" t="s">
        <v>7</v>
      </c>
      <c r="NC349" s="27" t="s">
        <v>8</v>
      </c>
      <c r="ND349" s="27" t="s">
        <v>7</v>
      </c>
      <c r="NE349" s="27" t="s">
        <v>8</v>
      </c>
      <c r="OX349" s="27" t="s">
        <v>7</v>
      </c>
    </row>
    <row r="350" spans="1:414" x14ac:dyDescent="0.25">
      <c r="A350" s="7">
        <v>109.20454345702657</v>
      </c>
      <c r="B350"/>
      <c r="C350"/>
      <c r="D350"/>
      <c r="E350"/>
      <c r="AI350" s="27" t="s">
        <v>8</v>
      </c>
      <c r="AJ350" s="27" t="s">
        <v>7</v>
      </c>
      <c r="AK350" s="27" t="s">
        <v>8</v>
      </c>
      <c r="AL350" s="27" t="s">
        <v>7</v>
      </c>
      <c r="AM350" s="27" t="s">
        <v>8</v>
      </c>
      <c r="AN350" s="27" t="s">
        <v>7</v>
      </c>
      <c r="AO350" s="27" t="s">
        <v>8</v>
      </c>
      <c r="AP350" s="27" t="s">
        <v>7</v>
      </c>
      <c r="IS350" s="27" t="s">
        <v>8</v>
      </c>
      <c r="IT350" s="27" t="s">
        <v>7</v>
      </c>
      <c r="IU350" s="27" t="s">
        <v>8</v>
      </c>
      <c r="IV350" s="27" t="s">
        <v>7</v>
      </c>
      <c r="IW350" s="27" t="s">
        <v>8</v>
      </c>
      <c r="IX350" s="27" t="s">
        <v>7</v>
      </c>
      <c r="JG350" s="27" t="s">
        <v>8</v>
      </c>
      <c r="JN350" s="27" t="s">
        <v>7</v>
      </c>
      <c r="JO350" s="27" t="s">
        <v>8</v>
      </c>
      <c r="JR350" s="27" t="s">
        <v>7</v>
      </c>
      <c r="JS350" s="27" t="s">
        <v>8</v>
      </c>
      <c r="KZ350" s="27" t="s">
        <v>7</v>
      </c>
      <c r="LA350" s="27" t="s">
        <v>8</v>
      </c>
      <c r="LB350" s="27" t="s">
        <v>7</v>
      </c>
      <c r="LC350" s="27" t="s">
        <v>8</v>
      </c>
      <c r="LP350" s="27" t="s">
        <v>7</v>
      </c>
      <c r="LQ350" s="27" t="s">
        <v>8</v>
      </c>
      <c r="LR350" s="27" t="s">
        <v>7</v>
      </c>
      <c r="LS350" s="27" t="s">
        <v>8</v>
      </c>
      <c r="LX350" s="27" t="s">
        <v>7</v>
      </c>
      <c r="MC350" s="27" t="s">
        <v>8</v>
      </c>
      <c r="ME350" s="27" t="s">
        <v>8</v>
      </c>
      <c r="MZ350" s="27" t="s">
        <v>7</v>
      </c>
      <c r="NB350" s="27" t="s">
        <v>7</v>
      </c>
      <c r="NC350" s="27" t="s">
        <v>8</v>
      </c>
      <c r="ND350" s="27" t="s">
        <v>7</v>
      </c>
      <c r="NE350" s="27" t="s">
        <v>8</v>
      </c>
      <c r="OX350" s="27" t="s">
        <v>7</v>
      </c>
    </row>
    <row r="351" spans="1:414" x14ac:dyDescent="0.25">
      <c r="A351" s="7">
        <v>107.06327789904566</v>
      </c>
      <c r="B351"/>
      <c r="C351"/>
      <c r="D351"/>
      <c r="E351"/>
      <c r="AI351" s="27" t="s">
        <v>8</v>
      </c>
      <c r="AJ351" s="27" t="s">
        <v>7</v>
      </c>
      <c r="AL351" s="27" t="s">
        <v>7</v>
      </c>
      <c r="AM351" s="27" t="s">
        <v>8</v>
      </c>
      <c r="AN351" s="27" t="s">
        <v>7</v>
      </c>
      <c r="AO351" s="27" t="s">
        <v>8</v>
      </c>
      <c r="AP351" s="27" t="s">
        <v>7</v>
      </c>
      <c r="IQ351" s="27" t="s">
        <v>8</v>
      </c>
      <c r="IS351" s="27" t="s">
        <v>8</v>
      </c>
      <c r="IT351" s="27" t="s">
        <v>7</v>
      </c>
      <c r="IU351" s="27" t="s">
        <v>8</v>
      </c>
      <c r="IV351" s="27" t="s">
        <v>7</v>
      </c>
      <c r="IW351" s="27" t="s">
        <v>8</v>
      </c>
      <c r="IX351" s="27" t="s">
        <v>7</v>
      </c>
      <c r="JG351" s="27" t="s">
        <v>8</v>
      </c>
      <c r="JN351" s="27" t="s">
        <v>7</v>
      </c>
      <c r="JO351" s="27" t="s">
        <v>8</v>
      </c>
      <c r="JR351" s="27" t="s">
        <v>7</v>
      </c>
      <c r="JS351" s="27" t="s">
        <v>8</v>
      </c>
      <c r="KZ351" s="27" t="s">
        <v>7</v>
      </c>
      <c r="LA351" s="27" t="s">
        <v>8</v>
      </c>
      <c r="LB351" s="27" t="s">
        <v>7</v>
      </c>
      <c r="LC351" s="27" t="s">
        <v>8</v>
      </c>
      <c r="LP351" s="27" t="s">
        <v>7</v>
      </c>
      <c r="LQ351" s="27" t="s">
        <v>8</v>
      </c>
      <c r="LR351" s="27" t="s">
        <v>7</v>
      </c>
      <c r="LS351" s="27" t="s">
        <v>8</v>
      </c>
      <c r="LX351" s="27" t="s">
        <v>7</v>
      </c>
      <c r="MC351" s="27" t="s">
        <v>8</v>
      </c>
      <c r="MD351" s="27" t="s">
        <v>7</v>
      </c>
      <c r="ME351" s="27" t="s">
        <v>8</v>
      </c>
      <c r="NB351" s="27" t="s">
        <v>7</v>
      </c>
      <c r="NC351" s="27" t="s">
        <v>8</v>
      </c>
      <c r="ND351" s="27" t="s">
        <v>7</v>
      </c>
      <c r="NE351" s="27" t="s">
        <v>8</v>
      </c>
      <c r="OX351" s="27" t="s">
        <v>7</v>
      </c>
    </row>
    <row r="352" spans="1:414" x14ac:dyDescent="0.25">
      <c r="A352" s="7">
        <v>104.96399794024084</v>
      </c>
      <c r="B352"/>
      <c r="C352"/>
      <c r="D352"/>
      <c r="E352"/>
      <c r="AI352" s="27" t="s">
        <v>8</v>
      </c>
      <c r="AL352" s="27" t="s">
        <v>7</v>
      </c>
      <c r="AN352" s="27" t="s">
        <v>7</v>
      </c>
      <c r="AO352" s="27" t="s">
        <v>8</v>
      </c>
      <c r="AP352" s="27" t="s">
        <v>7</v>
      </c>
      <c r="AQ352" s="27" t="s">
        <v>8</v>
      </c>
      <c r="AS352" s="27" t="s">
        <v>8</v>
      </c>
      <c r="IQ352" s="27" t="s">
        <v>8</v>
      </c>
      <c r="IR352" s="27" t="s">
        <v>7</v>
      </c>
      <c r="IS352" s="27" t="s">
        <v>8</v>
      </c>
      <c r="IT352" s="27" t="s">
        <v>7</v>
      </c>
      <c r="IU352" s="27" t="s">
        <v>8</v>
      </c>
      <c r="IV352" s="27" t="s">
        <v>7</v>
      </c>
      <c r="IW352" s="27" t="s">
        <v>8</v>
      </c>
      <c r="IX352" s="27" t="s">
        <v>7</v>
      </c>
      <c r="JG352" s="27" t="s">
        <v>8</v>
      </c>
      <c r="JN352" s="27" t="s">
        <v>7</v>
      </c>
      <c r="JR352" s="27" t="s">
        <v>7</v>
      </c>
      <c r="KZ352" s="27" t="s">
        <v>7</v>
      </c>
      <c r="LA352" s="27" t="s">
        <v>8</v>
      </c>
      <c r="LB352" s="27" t="s">
        <v>7</v>
      </c>
      <c r="LC352" s="27" t="s">
        <v>8</v>
      </c>
      <c r="LP352" s="27" t="s">
        <v>7</v>
      </c>
      <c r="LQ352" s="27" t="s">
        <v>8</v>
      </c>
      <c r="LR352" s="27" t="s">
        <v>7</v>
      </c>
      <c r="LS352" s="27" t="s">
        <v>8</v>
      </c>
      <c r="LX352" s="27" t="s">
        <v>7</v>
      </c>
      <c r="LY352" s="27" t="s">
        <v>8</v>
      </c>
      <c r="MC352" s="27" t="s">
        <v>8</v>
      </c>
      <c r="MD352" s="27" t="s">
        <v>7</v>
      </c>
      <c r="ME352" s="27" t="s">
        <v>8</v>
      </c>
      <c r="NB352" s="27" t="s">
        <v>7</v>
      </c>
      <c r="NC352" s="27" t="s">
        <v>8</v>
      </c>
      <c r="ND352" s="27" t="s">
        <v>7</v>
      </c>
      <c r="NE352" s="27" t="s">
        <v>8</v>
      </c>
      <c r="OX352" s="27" t="s">
        <v>7</v>
      </c>
    </row>
    <row r="353" spans="1:418" x14ac:dyDescent="0.25">
      <c r="A353" s="7">
        <v>102.90588033356946</v>
      </c>
      <c r="B353"/>
      <c r="C353"/>
      <c r="D353"/>
      <c r="E353"/>
      <c r="AI353" s="27" t="s">
        <v>8</v>
      </c>
      <c r="AN353" s="27" t="s">
        <v>7</v>
      </c>
      <c r="AO353" s="27" t="s">
        <v>8</v>
      </c>
      <c r="AP353" s="27" t="s">
        <v>7</v>
      </c>
      <c r="AQ353" s="27" t="s">
        <v>8</v>
      </c>
      <c r="AR353" s="27" t="s">
        <v>7</v>
      </c>
      <c r="AS353" s="27" t="s">
        <v>8</v>
      </c>
      <c r="AT353" s="27" t="s">
        <v>7</v>
      </c>
      <c r="IQ353" s="27" t="s">
        <v>8</v>
      </c>
      <c r="IR353" s="27" t="s">
        <v>7</v>
      </c>
      <c r="IS353" s="27" t="s">
        <v>8</v>
      </c>
      <c r="IT353" s="27" t="s">
        <v>7</v>
      </c>
      <c r="IU353" s="27" t="s">
        <v>8</v>
      </c>
      <c r="IV353" s="27" t="s">
        <v>7</v>
      </c>
      <c r="IW353" s="27" t="s">
        <v>8</v>
      </c>
      <c r="IX353" s="27" t="s">
        <v>7</v>
      </c>
      <c r="JG353" s="27" t="s">
        <v>8</v>
      </c>
      <c r="KZ353" s="27" t="s">
        <v>7</v>
      </c>
      <c r="LA353" s="27" t="s">
        <v>8</v>
      </c>
      <c r="LB353" s="27" t="s">
        <v>7</v>
      </c>
      <c r="LC353" s="27" t="s">
        <v>8</v>
      </c>
      <c r="LP353" s="27" t="s">
        <v>7</v>
      </c>
      <c r="LQ353" s="27" t="s">
        <v>8</v>
      </c>
      <c r="LR353" s="27" t="s">
        <v>7</v>
      </c>
      <c r="LS353" s="27" t="s">
        <v>8</v>
      </c>
      <c r="LX353" s="27" t="s">
        <v>7</v>
      </c>
      <c r="LY353" s="27" t="s">
        <v>8</v>
      </c>
      <c r="LZ353" s="27" t="s">
        <v>7</v>
      </c>
      <c r="MC353" s="27" t="s">
        <v>8</v>
      </c>
      <c r="MD353" s="27" t="s">
        <v>7</v>
      </c>
      <c r="ME353" s="27" t="s">
        <v>8</v>
      </c>
      <c r="NB353" s="27" t="s">
        <v>7</v>
      </c>
      <c r="ND353" s="27" t="s">
        <v>7</v>
      </c>
      <c r="NE353" s="27" t="s">
        <v>8</v>
      </c>
      <c r="OX353" s="27" t="s">
        <v>7</v>
      </c>
    </row>
    <row r="354" spans="1:418" x14ac:dyDescent="0.25">
      <c r="A354" s="7">
        <v>100.88811797408771</v>
      </c>
      <c r="B354"/>
      <c r="C354"/>
      <c r="D354"/>
      <c r="E354"/>
      <c r="AI354" s="27" t="s">
        <v>8</v>
      </c>
      <c r="AN354" s="27" t="s">
        <v>7</v>
      </c>
      <c r="AO354" s="27" t="s">
        <v>8</v>
      </c>
      <c r="AP354" s="27" t="s">
        <v>7</v>
      </c>
      <c r="AQ354" s="27" t="s">
        <v>8</v>
      </c>
      <c r="AR354" s="27" t="s">
        <v>7</v>
      </c>
      <c r="AS354" s="27" t="s">
        <v>8</v>
      </c>
      <c r="AT354" s="27" t="s">
        <v>7</v>
      </c>
      <c r="GE354" s="27" t="s">
        <v>8</v>
      </c>
      <c r="IQ354" s="27" t="s">
        <v>8</v>
      </c>
      <c r="IR354" s="27" t="s">
        <v>7</v>
      </c>
      <c r="IS354" s="27" t="s">
        <v>8</v>
      </c>
      <c r="IT354" s="27" t="s">
        <v>7</v>
      </c>
      <c r="IU354" s="27" t="s">
        <v>8</v>
      </c>
      <c r="IV354" s="27" t="s">
        <v>7</v>
      </c>
      <c r="IW354" s="27" t="s">
        <v>8</v>
      </c>
      <c r="IX354" s="27" t="s">
        <v>7</v>
      </c>
      <c r="JG354" s="27" t="s">
        <v>8</v>
      </c>
      <c r="KZ354" s="27" t="s">
        <v>7</v>
      </c>
      <c r="LB354" s="27" t="s">
        <v>7</v>
      </c>
      <c r="LC354" s="27" t="s">
        <v>8</v>
      </c>
      <c r="LP354" s="27" t="s">
        <v>7</v>
      </c>
      <c r="LQ354" s="27" t="s">
        <v>8</v>
      </c>
      <c r="LR354" s="27" t="s">
        <v>7</v>
      </c>
      <c r="LS354" s="27" t="s">
        <v>8</v>
      </c>
      <c r="LX354" s="27" t="s">
        <v>7</v>
      </c>
      <c r="LY354" s="27" t="s">
        <v>8</v>
      </c>
      <c r="LZ354" s="27" t="s">
        <v>7</v>
      </c>
      <c r="MC354" s="27" t="s">
        <v>8</v>
      </c>
      <c r="MD354" s="27" t="s">
        <v>7</v>
      </c>
      <c r="ME354" s="27" t="s">
        <v>8</v>
      </c>
      <c r="ND354" s="27" t="s">
        <v>7</v>
      </c>
      <c r="OX354" s="27" t="s">
        <v>7</v>
      </c>
    </row>
    <row r="355" spans="1:418" x14ac:dyDescent="0.25">
      <c r="A355" s="7">
        <v>98.909919582438931</v>
      </c>
      <c r="B355"/>
      <c r="C355"/>
      <c r="D355"/>
      <c r="E355"/>
      <c r="AI355" s="27" t="s">
        <v>8</v>
      </c>
      <c r="AN355" s="27" t="s">
        <v>7</v>
      </c>
      <c r="AP355" s="27" t="s">
        <v>7</v>
      </c>
      <c r="AQ355" s="27" t="s">
        <v>8</v>
      </c>
      <c r="AR355" s="27" t="s">
        <v>7</v>
      </c>
      <c r="AT355" s="27" t="s">
        <v>7</v>
      </c>
      <c r="GE355" s="27" t="s">
        <v>8</v>
      </c>
      <c r="GF355" s="27" t="s">
        <v>7</v>
      </c>
      <c r="GG355" s="27" t="s">
        <v>8</v>
      </c>
      <c r="IQ355" s="27" t="s">
        <v>8</v>
      </c>
      <c r="IR355" s="27" t="s">
        <v>7</v>
      </c>
      <c r="IS355" s="27" t="s">
        <v>8</v>
      </c>
      <c r="IT355" s="27" t="s">
        <v>7</v>
      </c>
      <c r="IU355" s="27" t="s">
        <v>8</v>
      </c>
      <c r="IV355" s="27" t="s">
        <v>7</v>
      </c>
      <c r="IX355" s="27" t="s">
        <v>7</v>
      </c>
      <c r="JE355" s="27" t="s">
        <v>8</v>
      </c>
      <c r="JG355" s="27" t="s">
        <v>8</v>
      </c>
      <c r="LB355" s="27" t="s">
        <v>7</v>
      </c>
      <c r="LC355" s="27" t="s">
        <v>8</v>
      </c>
      <c r="LP355" s="27" t="s">
        <v>7</v>
      </c>
      <c r="LQ355" s="27" t="s">
        <v>8</v>
      </c>
      <c r="LR355" s="27" t="s">
        <v>7</v>
      </c>
      <c r="LS355" s="27" t="s">
        <v>8</v>
      </c>
      <c r="LX355" s="27" t="s">
        <v>7</v>
      </c>
      <c r="LZ355" s="27" t="s">
        <v>7</v>
      </c>
      <c r="MA355" s="27" t="s">
        <v>8</v>
      </c>
      <c r="MC355" s="27" t="s">
        <v>8</v>
      </c>
      <c r="MD355" s="27" t="s">
        <v>7</v>
      </c>
      <c r="OX355" s="27" t="s">
        <v>7</v>
      </c>
      <c r="PA355" s="27" t="s">
        <v>8</v>
      </c>
    </row>
    <row r="356" spans="1:418" x14ac:dyDescent="0.25">
      <c r="A356" s="7">
        <v>96.970509394547975</v>
      </c>
      <c r="B356"/>
      <c r="C356"/>
      <c r="D356"/>
      <c r="E356"/>
      <c r="AC356" s="27" t="s">
        <v>8</v>
      </c>
      <c r="AI356" s="27" t="s">
        <v>8</v>
      </c>
      <c r="AP356" s="27" t="s">
        <v>7</v>
      </c>
      <c r="AT356" s="27" t="s">
        <v>7</v>
      </c>
      <c r="GE356" s="27" t="s">
        <v>8</v>
      </c>
      <c r="GF356" s="27" t="s">
        <v>7</v>
      </c>
      <c r="GG356" s="27" t="s">
        <v>8</v>
      </c>
      <c r="GH356" s="27" t="s">
        <v>7</v>
      </c>
      <c r="IQ356" s="27" t="s">
        <v>8</v>
      </c>
      <c r="IR356" s="27" t="s">
        <v>7</v>
      </c>
      <c r="IS356" s="27" t="s">
        <v>8</v>
      </c>
      <c r="IT356" s="27" t="s">
        <v>7</v>
      </c>
      <c r="IU356" s="27" t="s">
        <v>8</v>
      </c>
      <c r="IX356" s="27" t="s">
        <v>7</v>
      </c>
      <c r="JE356" s="27" t="s">
        <v>8</v>
      </c>
      <c r="JF356" s="27" t="s">
        <v>7</v>
      </c>
      <c r="JG356" s="27" t="s">
        <v>8</v>
      </c>
      <c r="LB356" s="27" t="s">
        <v>7</v>
      </c>
      <c r="LC356" s="27" t="s">
        <v>8</v>
      </c>
      <c r="LP356" s="27" t="s">
        <v>7</v>
      </c>
      <c r="LQ356" s="27" t="s">
        <v>8</v>
      </c>
      <c r="LR356" s="27" t="s">
        <v>7</v>
      </c>
      <c r="LZ356" s="27" t="s">
        <v>7</v>
      </c>
      <c r="MA356" s="27" t="s">
        <v>8</v>
      </c>
      <c r="MB356" s="27" t="s">
        <v>7</v>
      </c>
      <c r="MC356" s="27" t="s">
        <v>8</v>
      </c>
      <c r="OX356" s="27" t="s">
        <v>7</v>
      </c>
      <c r="OY356" s="27" t="s">
        <v>8</v>
      </c>
      <c r="PA356" s="27" t="s">
        <v>8</v>
      </c>
      <c r="PB356" s="27" t="s">
        <v>7</v>
      </c>
    </row>
    <row r="357" spans="1:418" x14ac:dyDescent="0.25">
      <c r="A357" s="7">
        <v>95.069126857399979</v>
      </c>
      <c r="B357"/>
      <c r="C357"/>
      <c r="D357"/>
      <c r="E357"/>
      <c r="AC357" s="27" t="s">
        <v>8</v>
      </c>
      <c r="AD357" s="27" t="s">
        <v>7</v>
      </c>
      <c r="AI357" s="27" t="s">
        <v>8</v>
      </c>
      <c r="AT357" s="27" t="s">
        <v>7</v>
      </c>
      <c r="GE357" s="27" t="s">
        <v>8</v>
      </c>
      <c r="GF357" s="27" t="s">
        <v>7</v>
      </c>
      <c r="GG357" s="27" t="s">
        <v>8</v>
      </c>
      <c r="GH357" s="27" t="s">
        <v>7</v>
      </c>
      <c r="IQ357" s="27" t="s">
        <v>8</v>
      </c>
      <c r="IR357" s="27" t="s">
        <v>7</v>
      </c>
      <c r="IS357" s="27" t="s">
        <v>8</v>
      </c>
      <c r="IT357" s="27" t="s">
        <v>7</v>
      </c>
      <c r="IX357" s="27" t="s">
        <v>7</v>
      </c>
      <c r="IY357" s="27" t="s">
        <v>8</v>
      </c>
      <c r="JC357" s="27" t="s">
        <v>8</v>
      </c>
      <c r="JE357" s="27" t="s">
        <v>8</v>
      </c>
      <c r="JF357" s="27" t="s">
        <v>7</v>
      </c>
      <c r="JG357" s="27" t="s">
        <v>8</v>
      </c>
      <c r="LB357" s="27" t="s">
        <v>7</v>
      </c>
      <c r="LC357" s="27" t="s">
        <v>8</v>
      </c>
      <c r="LP357" s="27" t="s">
        <v>7</v>
      </c>
      <c r="LQ357" s="27" t="s">
        <v>8</v>
      </c>
      <c r="LZ357" s="27" t="s">
        <v>7</v>
      </c>
      <c r="MA357" s="27" t="s">
        <v>8</v>
      </c>
      <c r="MB357" s="27" t="s">
        <v>7</v>
      </c>
      <c r="MC357" s="27" t="s">
        <v>8</v>
      </c>
      <c r="OX357" s="27" t="s">
        <v>7</v>
      </c>
      <c r="OY357" s="27" t="s">
        <v>8</v>
      </c>
      <c r="OZ357" s="27" t="s">
        <v>7</v>
      </c>
      <c r="PA357" s="27" t="s">
        <v>8</v>
      </c>
      <c r="PB357" s="27" t="s">
        <v>7</v>
      </c>
    </row>
    <row r="358" spans="1:418" x14ac:dyDescent="0.25">
      <c r="A358" s="7">
        <v>93.205026330784293</v>
      </c>
      <c r="B358"/>
      <c r="C358"/>
      <c r="D358"/>
      <c r="E358"/>
      <c r="AC358" s="27" t="s">
        <v>8</v>
      </c>
      <c r="AD358" s="27" t="s">
        <v>7</v>
      </c>
      <c r="AI358" s="27" t="s">
        <v>8</v>
      </c>
      <c r="AT358" s="27" t="s">
        <v>7</v>
      </c>
      <c r="AU358" s="27" t="s">
        <v>8</v>
      </c>
      <c r="GC358" s="27" t="s">
        <v>8</v>
      </c>
      <c r="GE358" s="27" t="s">
        <v>8</v>
      </c>
      <c r="GF358" s="27" t="s">
        <v>7</v>
      </c>
      <c r="GG358" s="27" t="s">
        <v>8</v>
      </c>
      <c r="GH358" s="27" t="s">
        <v>7</v>
      </c>
      <c r="IQ358" s="27" t="s">
        <v>8</v>
      </c>
      <c r="IR358" s="27" t="s">
        <v>7</v>
      </c>
      <c r="IS358" s="27" t="s">
        <v>8</v>
      </c>
      <c r="IX358" s="27" t="s">
        <v>7</v>
      </c>
      <c r="IY358" s="27" t="s">
        <v>8</v>
      </c>
      <c r="IZ358" s="27" t="s">
        <v>7</v>
      </c>
      <c r="JC358" s="27" t="s">
        <v>8</v>
      </c>
      <c r="JD358" s="27" t="s">
        <v>7</v>
      </c>
      <c r="JE358" s="27" t="s">
        <v>8</v>
      </c>
      <c r="JF358" s="27" t="s">
        <v>7</v>
      </c>
      <c r="JG358" s="27" t="s">
        <v>8</v>
      </c>
      <c r="LB358" s="27" t="s">
        <v>7</v>
      </c>
      <c r="LC358" s="27" t="s">
        <v>8</v>
      </c>
      <c r="LP358" s="27" t="s">
        <v>7</v>
      </c>
      <c r="LQ358" s="27" t="s">
        <v>8</v>
      </c>
      <c r="LZ358" s="27" t="s">
        <v>7</v>
      </c>
      <c r="MB358" s="27" t="s">
        <v>7</v>
      </c>
      <c r="MC358" s="27" t="s">
        <v>8</v>
      </c>
      <c r="OX358" s="27" t="s">
        <v>7</v>
      </c>
      <c r="OY358" s="27" t="s">
        <v>8</v>
      </c>
      <c r="OZ358" s="27" t="s">
        <v>7</v>
      </c>
      <c r="PA358" s="27" t="s">
        <v>8</v>
      </c>
      <c r="PB358" s="27" t="s">
        <v>7</v>
      </c>
    </row>
    <row r="359" spans="1:418" x14ac:dyDescent="0.25">
      <c r="A359" s="7">
        <v>91.377476794886562</v>
      </c>
      <c r="B359"/>
      <c r="C359"/>
      <c r="D359"/>
      <c r="E359"/>
      <c r="AC359" s="27" t="s">
        <v>8</v>
      </c>
      <c r="AD359" s="27" t="s">
        <v>7</v>
      </c>
      <c r="AE359" s="27" t="s">
        <v>8</v>
      </c>
      <c r="AI359" s="27" t="s">
        <v>8</v>
      </c>
      <c r="AT359" s="27" t="s">
        <v>7</v>
      </c>
      <c r="AU359" s="27" t="s">
        <v>8</v>
      </c>
      <c r="AV359" s="27" t="s">
        <v>7</v>
      </c>
      <c r="GC359" s="27" t="s">
        <v>8</v>
      </c>
      <c r="GD359" s="27" t="s">
        <v>7</v>
      </c>
      <c r="GE359" s="27" t="s">
        <v>8</v>
      </c>
      <c r="GF359" s="27" t="s">
        <v>7</v>
      </c>
      <c r="GG359" s="27" t="s">
        <v>8</v>
      </c>
      <c r="GH359" s="27" t="s">
        <v>7</v>
      </c>
      <c r="IQ359" s="27" t="s">
        <v>8</v>
      </c>
      <c r="IR359" s="27" t="s">
        <v>7</v>
      </c>
      <c r="IS359" s="27" t="s">
        <v>8</v>
      </c>
      <c r="IX359" s="27" t="s">
        <v>7</v>
      </c>
      <c r="IY359" s="27" t="s">
        <v>8</v>
      </c>
      <c r="IZ359" s="27" t="s">
        <v>7</v>
      </c>
      <c r="JC359" s="27" t="s">
        <v>8</v>
      </c>
      <c r="JD359" s="27" t="s">
        <v>7</v>
      </c>
      <c r="JE359" s="27" t="s">
        <v>8</v>
      </c>
      <c r="JF359" s="27" t="s">
        <v>7</v>
      </c>
      <c r="JG359" s="27" t="s">
        <v>8</v>
      </c>
      <c r="LB359" s="27" t="s">
        <v>7</v>
      </c>
      <c r="LC359" s="27" t="s">
        <v>8</v>
      </c>
      <c r="LP359" s="27" t="s">
        <v>7</v>
      </c>
      <c r="LQ359" s="27" t="s">
        <v>8</v>
      </c>
      <c r="MB359" s="27" t="s">
        <v>7</v>
      </c>
      <c r="MC359" s="27" t="s">
        <v>8</v>
      </c>
      <c r="OX359" s="27" t="s">
        <v>7</v>
      </c>
      <c r="OY359" s="27" t="s">
        <v>8</v>
      </c>
      <c r="OZ359" s="27" t="s">
        <v>7</v>
      </c>
      <c r="PA359" s="27" t="s">
        <v>8</v>
      </c>
      <c r="PB359" s="27" t="s">
        <v>7</v>
      </c>
    </row>
    <row r="360" spans="1:418" x14ac:dyDescent="0.25">
      <c r="A360" s="7">
        <v>89.58576156361427</v>
      </c>
      <c r="B360"/>
      <c r="C360"/>
      <c r="D360"/>
      <c r="E360"/>
      <c r="AC360" s="27" t="s">
        <v>8</v>
      </c>
      <c r="AD360" s="27" t="s">
        <v>7</v>
      </c>
      <c r="AE360" s="27" t="s">
        <v>8</v>
      </c>
      <c r="AF360" s="27" t="s">
        <v>7</v>
      </c>
      <c r="AI360" s="27" t="s">
        <v>8</v>
      </c>
      <c r="AT360" s="27" t="s">
        <v>7</v>
      </c>
      <c r="AU360" s="27" t="s">
        <v>8</v>
      </c>
      <c r="AV360" s="27" t="s">
        <v>7</v>
      </c>
      <c r="GC360" s="27" t="s">
        <v>8</v>
      </c>
      <c r="GD360" s="27" t="s">
        <v>7</v>
      </c>
      <c r="GE360" s="27" t="s">
        <v>8</v>
      </c>
      <c r="GF360" s="27" t="s">
        <v>7</v>
      </c>
      <c r="GG360" s="27" t="s">
        <v>8</v>
      </c>
      <c r="GH360" s="27" t="s">
        <v>7</v>
      </c>
      <c r="GK360" s="27" t="s">
        <v>8</v>
      </c>
      <c r="HY360" s="27" t="s">
        <v>8</v>
      </c>
      <c r="IQ360" s="27" t="s">
        <v>8</v>
      </c>
      <c r="IR360" s="27" t="s">
        <v>7</v>
      </c>
      <c r="IS360" s="27" t="s">
        <v>8</v>
      </c>
      <c r="IX360" s="27" t="s">
        <v>7</v>
      </c>
      <c r="IY360" s="27" t="s">
        <v>8</v>
      </c>
      <c r="IZ360" s="27" t="s">
        <v>7</v>
      </c>
      <c r="JA360" s="27" t="s">
        <v>8</v>
      </c>
      <c r="JC360" s="27" t="s">
        <v>8</v>
      </c>
      <c r="JD360" s="27" t="s">
        <v>7</v>
      </c>
      <c r="JF360" s="27" t="s">
        <v>7</v>
      </c>
      <c r="LB360" s="27" t="s">
        <v>7</v>
      </c>
      <c r="LC360" s="27" t="s">
        <v>8</v>
      </c>
      <c r="LP360" s="27" t="s">
        <v>7</v>
      </c>
      <c r="LQ360" s="27" t="s">
        <v>8</v>
      </c>
      <c r="MB360" s="18" t="s">
        <v>7</v>
      </c>
      <c r="MC360" s="27" t="s">
        <v>8</v>
      </c>
      <c r="OX360" s="27" t="s">
        <v>7</v>
      </c>
      <c r="OY360" s="27" t="s">
        <v>8</v>
      </c>
      <c r="OZ360" s="27" t="s">
        <v>7</v>
      </c>
      <c r="PA360" s="27" t="s">
        <v>8</v>
      </c>
      <c r="PB360" s="27" t="s">
        <v>7</v>
      </c>
    </row>
    <row r="361" spans="1:418" x14ac:dyDescent="0.25">
      <c r="A361" s="7">
        <v>87.829178003543404</v>
      </c>
      <c r="B361"/>
      <c r="C361"/>
      <c r="D361"/>
      <c r="E361"/>
      <c r="AA361" s="27" t="s">
        <v>8</v>
      </c>
      <c r="AC361" s="27" t="s">
        <v>8</v>
      </c>
      <c r="AD361" s="27" t="s">
        <v>7</v>
      </c>
      <c r="AE361" s="27" t="s">
        <v>8</v>
      </c>
      <c r="AF361" s="27" t="s">
        <v>7</v>
      </c>
      <c r="AI361" s="27" t="s">
        <v>8</v>
      </c>
      <c r="AT361" s="27" t="s">
        <v>7</v>
      </c>
      <c r="AU361" s="27" t="s">
        <v>8</v>
      </c>
      <c r="AV361" s="27" t="s">
        <v>7</v>
      </c>
      <c r="GC361" s="27" t="s">
        <v>8</v>
      </c>
      <c r="GD361" s="27" t="s">
        <v>7</v>
      </c>
      <c r="GE361" s="27" t="s">
        <v>8</v>
      </c>
      <c r="GF361" s="27" t="s">
        <v>7</v>
      </c>
      <c r="GH361" s="27" t="s">
        <v>7</v>
      </c>
      <c r="GI361" s="27" t="s">
        <v>8</v>
      </c>
      <c r="GK361" s="27" t="s">
        <v>8</v>
      </c>
      <c r="GL361" s="27" t="s">
        <v>7</v>
      </c>
      <c r="HY361" s="27" t="s">
        <v>8</v>
      </c>
      <c r="HZ361" s="27" t="s">
        <v>7</v>
      </c>
      <c r="IQ361" s="27" t="s">
        <v>8</v>
      </c>
      <c r="IR361" s="27" t="s">
        <v>7</v>
      </c>
      <c r="IS361" s="27" t="s">
        <v>8</v>
      </c>
      <c r="IX361" s="27" t="s">
        <v>7</v>
      </c>
      <c r="IY361" s="27" t="s">
        <v>8</v>
      </c>
      <c r="IZ361" s="27" t="s">
        <v>7</v>
      </c>
      <c r="JA361" s="27" t="s">
        <v>8</v>
      </c>
      <c r="JB361" s="27" t="s">
        <v>7</v>
      </c>
      <c r="JC361" s="27" t="s">
        <v>8</v>
      </c>
      <c r="LB361" s="27" t="s">
        <v>7</v>
      </c>
      <c r="LP361" s="27" t="s">
        <v>7</v>
      </c>
      <c r="MB361" s="27" t="s">
        <v>7</v>
      </c>
      <c r="MC361" s="27" t="s">
        <v>8</v>
      </c>
      <c r="OX361" s="27" t="s">
        <v>7</v>
      </c>
      <c r="OY361" s="27" t="s">
        <v>8</v>
      </c>
      <c r="OZ361" s="27" t="s">
        <v>7</v>
      </c>
      <c r="PA361" s="27" t="s">
        <v>8</v>
      </c>
      <c r="PB361" s="27" t="s">
        <v>7</v>
      </c>
    </row>
    <row r="362" spans="1:418" x14ac:dyDescent="0.25">
      <c r="A362" s="7">
        <v>86.107037258375883</v>
      </c>
      <c r="B362"/>
      <c r="C362"/>
      <c r="D362"/>
      <c r="E362"/>
      <c r="AA362" s="27" t="s">
        <v>8</v>
      </c>
      <c r="AB362" s="27" t="s">
        <v>7</v>
      </c>
      <c r="AC362" s="27" t="s">
        <v>8</v>
      </c>
      <c r="AD362" s="27" t="s">
        <v>7</v>
      </c>
      <c r="AE362" s="27" t="s">
        <v>8</v>
      </c>
      <c r="AF362" s="27" t="s">
        <v>7</v>
      </c>
      <c r="AI362" s="27" t="s">
        <v>8</v>
      </c>
      <c r="AT362" s="27" t="s">
        <v>7</v>
      </c>
      <c r="AV362" s="27" t="s">
        <v>7</v>
      </c>
      <c r="GC362" s="27" t="s">
        <v>8</v>
      </c>
      <c r="GD362" s="27" t="s">
        <v>7</v>
      </c>
      <c r="GE362" s="27" t="s">
        <v>8</v>
      </c>
      <c r="GH362" s="27" t="s">
        <v>7</v>
      </c>
      <c r="GI362" s="27" t="s">
        <v>8</v>
      </c>
      <c r="GJ362" s="27" t="s">
        <v>7</v>
      </c>
      <c r="GK362" s="27" t="s">
        <v>8</v>
      </c>
      <c r="GL362" s="27" t="s">
        <v>7</v>
      </c>
      <c r="HY362" s="27" t="s">
        <v>8</v>
      </c>
      <c r="HZ362" s="27" t="s">
        <v>7</v>
      </c>
      <c r="IQ362" s="27" t="s">
        <v>8</v>
      </c>
      <c r="IR362" s="27" t="s">
        <v>7</v>
      </c>
      <c r="IS362" s="27" t="s">
        <v>8</v>
      </c>
      <c r="IX362" s="27" t="s">
        <v>7</v>
      </c>
      <c r="IY362" s="27" t="s">
        <v>8</v>
      </c>
      <c r="IZ362" s="27" t="s">
        <v>7</v>
      </c>
      <c r="JA362" s="27" t="s">
        <v>8</v>
      </c>
      <c r="JB362" s="27" t="s">
        <v>7</v>
      </c>
      <c r="JC362" s="27" t="s">
        <v>8</v>
      </c>
      <c r="MB362" s="27" t="s">
        <v>7</v>
      </c>
      <c r="MC362" s="27" t="s">
        <v>8</v>
      </c>
      <c r="OX362" s="27" t="s">
        <v>7</v>
      </c>
      <c r="OY362" s="27" t="s">
        <v>8</v>
      </c>
      <c r="OZ362" s="27" t="s">
        <v>7</v>
      </c>
      <c r="PA362" s="27" t="s">
        <v>8</v>
      </c>
      <c r="PB362" s="27" t="s">
        <v>7</v>
      </c>
    </row>
    <row r="363" spans="1:418" x14ac:dyDescent="0.25">
      <c r="A363" s="7">
        <v>84.418663978799884</v>
      </c>
      <c r="B363"/>
      <c r="C363"/>
      <c r="D363"/>
      <c r="E363"/>
      <c r="AA363" s="27" t="s">
        <v>8</v>
      </c>
      <c r="AB363" s="27" t="s">
        <v>7</v>
      </c>
      <c r="AC363" s="27" t="s">
        <v>8</v>
      </c>
      <c r="AD363" s="27" t="s">
        <v>7</v>
      </c>
      <c r="AE363" s="27" t="s">
        <v>8</v>
      </c>
      <c r="AF363" s="27" t="s">
        <v>7</v>
      </c>
      <c r="AG363" s="27" t="s">
        <v>8</v>
      </c>
      <c r="AI363" s="27" t="s">
        <v>8</v>
      </c>
      <c r="AV363" s="27" t="s">
        <v>7</v>
      </c>
      <c r="GC363" s="27" t="s">
        <v>8</v>
      </c>
      <c r="GD363" s="27" t="s">
        <v>7</v>
      </c>
      <c r="GE363" s="27" t="s">
        <v>8</v>
      </c>
      <c r="GH363" s="27" t="s">
        <v>7</v>
      </c>
      <c r="GI363" s="27" t="s">
        <v>8</v>
      </c>
      <c r="GJ363" s="27" t="s">
        <v>7</v>
      </c>
      <c r="GK363" s="27" t="s">
        <v>8</v>
      </c>
      <c r="GL363" s="27" t="s">
        <v>7</v>
      </c>
      <c r="GO363" s="27" t="s">
        <v>8</v>
      </c>
      <c r="GS363" s="27" t="s">
        <v>8</v>
      </c>
      <c r="HY363" s="27" t="s">
        <v>8</v>
      </c>
      <c r="HZ363" s="27" t="s">
        <v>7</v>
      </c>
      <c r="IQ363" s="27" t="s">
        <v>8</v>
      </c>
      <c r="IR363" s="27" t="s">
        <v>7</v>
      </c>
      <c r="IX363" s="27" t="s">
        <v>7</v>
      </c>
      <c r="IY363" s="27" t="s">
        <v>8</v>
      </c>
      <c r="IZ363" s="27" t="s">
        <v>7</v>
      </c>
      <c r="JA363" s="27" t="s">
        <v>8</v>
      </c>
      <c r="JB363" s="27" t="s">
        <v>7</v>
      </c>
      <c r="JC363" s="27" t="s">
        <v>8</v>
      </c>
      <c r="MB363" s="27" t="s">
        <v>7</v>
      </c>
      <c r="OX363" s="27" t="s">
        <v>7</v>
      </c>
      <c r="OZ363" s="27" t="s">
        <v>7</v>
      </c>
      <c r="PA363" s="27" t="s">
        <v>8</v>
      </c>
    </row>
    <row r="364" spans="1:418" x14ac:dyDescent="0.25">
      <c r="A364" s="7">
        <v>82.763396057646943</v>
      </c>
      <c r="B364"/>
      <c r="C364"/>
      <c r="D364"/>
      <c r="E364"/>
      <c r="AA364" s="27" t="s">
        <v>8</v>
      </c>
      <c r="AB364" s="27" t="s">
        <v>7</v>
      </c>
      <c r="AC364" s="27" t="s">
        <v>8</v>
      </c>
      <c r="AD364" s="27" t="s">
        <v>7</v>
      </c>
      <c r="AF364" s="27" t="s">
        <v>7</v>
      </c>
      <c r="AG364" s="27" t="s">
        <v>8</v>
      </c>
      <c r="AH364" s="27" t="s">
        <v>7</v>
      </c>
      <c r="AI364" s="27" t="s">
        <v>8</v>
      </c>
      <c r="AV364" s="27" t="s">
        <v>7</v>
      </c>
      <c r="GC364" s="27" t="s">
        <v>8</v>
      </c>
      <c r="GD364" s="27" t="s">
        <v>7</v>
      </c>
      <c r="GE364" s="27" t="s">
        <v>8</v>
      </c>
      <c r="GH364" s="27" t="s">
        <v>7</v>
      </c>
      <c r="GI364" s="27" t="s">
        <v>8</v>
      </c>
      <c r="GJ364" s="27" t="s">
        <v>7</v>
      </c>
      <c r="GK364" s="27" t="s">
        <v>8</v>
      </c>
      <c r="GL364" s="27" t="s">
        <v>7</v>
      </c>
      <c r="GO364" s="27" t="s">
        <v>8</v>
      </c>
      <c r="GP364" s="27" t="s">
        <v>7</v>
      </c>
      <c r="GS364" s="27" t="s">
        <v>8</v>
      </c>
      <c r="GT364" s="27" t="s">
        <v>7</v>
      </c>
      <c r="HY364" s="27" t="s">
        <v>8</v>
      </c>
      <c r="HZ364" s="27" t="s">
        <v>7</v>
      </c>
      <c r="IQ364" s="27" t="s">
        <v>8</v>
      </c>
      <c r="IX364" s="27" t="s">
        <v>7</v>
      </c>
      <c r="IY364" s="27" t="s">
        <v>8</v>
      </c>
      <c r="IZ364" s="27" t="s">
        <v>7</v>
      </c>
      <c r="JA364" s="27" t="s">
        <v>8</v>
      </c>
      <c r="JB364" s="27" t="s">
        <v>7</v>
      </c>
      <c r="OZ364" s="27" t="s">
        <v>7</v>
      </c>
    </row>
    <row r="365" spans="1:418" x14ac:dyDescent="0.25">
      <c r="A365" s="7">
        <v>81.140584370242095</v>
      </c>
      <c r="B365"/>
      <c r="C365"/>
      <c r="D365"/>
      <c r="E365"/>
      <c r="W365" s="27" t="s">
        <v>8</v>
      </c>
      <c r="AA365" s="27" t="s">
        <v>8</v>
      </c>
      <c r="AB365" s="27" t="s">
        <v>7</v>
      </c>
      <c r="AC365" s="27" t="s">
        <v>8</v>
      </c>
      <c r="AF365" s="27" t="s">
        <v>7</v>
      </c>
      <c r="AG365" s="27" t="s">
        <v>8</v>
      </c>
      <c r="AH365" s="27" t="s">
        <v>7</v>
      </c>
      <c r="AI365" s="27" t="s">
        <v>8</v>
      </c>
      <c r="AV365" s="27" t="s">
        <v>7</v>
      </c>
      <c r="GC365" s="27" t="s">
        <v>8</v>
      </c>
      <c r="GD365" s="27" t="s">
        <v>7</v>
      </c>
      <c r="GE365" s="27" t="s">
        <v>8</v>
      </c>
      <c r="GH365" s="27" t="s">
        <v>7</v>
      </c>
      <c r="GI365" s="27" t="s">
        <v>8</v>
      </c>
      <c r="GJ365" s="27" t="s">
        <v>7</v>
      </c>
      <c r="GL365" s="27" t="s">
        <v>7</v>
      </c>
      <c r="GM365" s="27" t="s">
        <v>8</v>
      </c>
      <c r="GO365" s="27" t="s">
        <v>8</v>
      </c>
      <c r="GP365" s="27" t="s">
        <v>7</v>
      </c>
      <c r="GS365" s="27" t="s">
        <v>8</v>
      </c>
      <c r="GT365" s="27" t="s">
        <v>7</v>
      </c>
      <c r="HY365" s="27" t="s">
        <v>8</v>
      </c>
      <c r="HZ365" s="27" t="s">
        <v>7</v>
      </c>
      <c r="IC365" s="27" t="s">
        <v>8</v>
      </c>
      <c r="IQ365" s="27" t="s">
        <v>8</v>
      </c>
      <c r="IX365" s="27" t="s">
        <v>7</v>
      </c>
      <c r="IY365" s="27" t="s">
        <v>8</v>
      </c>
      <c r="IZ365" s="27" t="s">
        <v>7</v>
      </c>
      <c r="JA365" s="27" t="s">
        <v>8</v>
      </c>
    </row>
    <row r="366" spans="1:418" x14ac:dyDescent="0.25">
      <c r="A366" s="7">
        <v>79.549592519845191</v>
      </c>
      <c r="B366"/>
      <c r="C366"/>
      <c r="D366"/>
      <c r="E366"/>
      <c r="W366" s="27" t="s">
        <v>8</v>
      </c>
      <c r="X366" s="27" t="s">
        <v>7</v>
      </c>
      <c r="AA366" s="27" t="s">
        <v>8</v>
      </c>
      <c r="AB366" s="27" t="s">
        <v>7</v>
      </c>
      <c r="AF366" s="27" t="s">
        <v>7</v>
      </c>
      <c r="AG366" s="27" t="s">
        <v>8</v>
      </c>
      <c r="AH366" s="27" t="s">
        <v>7</v>
      </c>
      <c r="AI366" s="27" t="s">
        <v>8</v>
      </c>
      <c r="AV366" s="27" t="s">
        <v>7</v>
      </c>
      <c r="AW366" s="27" t="s">
        <v>8</v>
      </c>
      <c r="AY366" s="27" t="s">
        <v>8</v>
      </c>
      <c r="GC366" s="27" t="s">
        <v>8</v>
      </c>
      <c r="GD366" s="27" t="s">
        <v>7</v>
      </c>
      <c r="GE366" s="27" t="s">
        <v>8</v>
      </c>
      <c r="GH366" s="27" t="s">
        <v>7</v>
      </c>
      <c r="GI366" s="27" t="s">
        <v>8</v>
      </c>
      <c r="GL366" s="27" t="s">
        <v>7</v>
      </c>
      <c r="GM366" s="27" t="s">
        <v>8</v>
      </c>
      <c r="GN366" s="27" t="s">
        <v>7</v>
      </c>
      <c r="GO366" s="27" t="s">
        <v>8</v>
      </c>
      <c r="GP366" s="27" t="s">
        <v>7</v>
      </c>
      <c r="GS366" s="27" t="s">
        <v>8</v>
      </c>
      <c r="GT366" s="27" t="s">
        <v>7</v>
      </c>
      <c r="HY366" s="27" t="s">
        <v>8</v>
      </c>
      <c r="HZ366" s="27" t="s">
        <v>7</v>
      </c>
      <c r="IC366" s="27" t="s">
        <v>8</v>
      </c>
      <c r="ID366" s="27" t="s">
        <v>7</v>
      </c>
      <c r="IQ366" s="27" t="s">
        <v>8</v>
      </c>
      <c r="IX366" s="27" t="s">
        <v>7</v>
      </c>
      <c r="IY366" s="27" t="s">
        <v>8</v>
      </c>
      <c r="IZ366" s="27" t="s">
        <v>7</v>
      </c>
      <c r="JA366" s="27" t="s">
        <v>8</v>
      </c>
    </row>
    <row r="367" spans="1:418" x14ac:dyDescent="0.25">
      <c r="A367" s="7">
        <v>77.989796588083522</v>
      </c>
      <c r="B367"/>
      <c r="C367"/>
      <c r="D367"/>
      <c r="E367"/>
      <c r="W367" s="27" t="s">
        <v>8</v>
      </c>
      <c r="X367" s="27" t="s">
        <v>7</v>
      </c>
      <c r="Y367" s="27" t="s">
        <v>8</v>
      </c>
      <c r="AA367" s="27" t="s">
        <v>8</v>
      </c>
      <c r="AF367" s="27" t="s">
        <v>7</v>
      </c>
      <c r="AG367" s="27" t="s">
        <v>8</v>
      </c>
      <c r="AH367" s="27" t="s">
        <v>7</v>
      </c>
      <c r="AI367" s="27" t="s">
        <v>8</v>
      </c>
      <c r="AV367" s="27" t="s">
        <v>7</v>
      </c>
      <c r="AW367" s="27" t="s">
        <v>8</v>
      </c>
      <c r="AX367" s="27" t="s">
        <v>7</v>
      </c>
      <c r="AY367" s="27" t="s">
        <v>8</v>
      </c>
      <c r="AZ367" s="27" t="s">
        <v>7</v>
      </c>
      <c r="GC367" s="27" t="s">
        <v>8</v>
      </c>
      <c r="GD367" s="27" t="s">
        <v>7</v>
      </c>
      <c r="GE367" s="27" t="s">
        <v>8</v>
      </c>
      <c r="GH367" s="27" t="s">
        <v>7</v>
      </c>
      <c r="GI367" s="27" t="s">
        <v>8</v>
      </c>
      <c r="GL367" s="27" t="s">
        <v>7</v>
      </c>
      <c r="GM367" s="27" t="s">
        <v>8</v>
      </c>
      <c r="GN367" s="27" t="s">
        <v>7</v>
      </c>
      <c r="GO367" s="27" t="s">
        <v>8</v>
      </c>
      <c r="GP367" s="27" t="s">
        <v>7</v>
      </c>
      <c r="GS367" s="27" t="s">
        <v>8</v>
      </c>
      <c r="GT367" s="27" t="s">
        <v>7</v>
      </c>
      <c r="HY367" s="27" t="s">
        <v>8</v>
      </c>
      <c r="HZ367" s="27" t="s">
        <v>7</v>
      </c>
      <c r="IC367" s="27" t="s">
        <v>8</v>
      </c>
      <c r="ID367" s="27" t="s">
        <v>7</v>
      </c>
      <c r="IG367" s="27" t="s">
        <v>8</v>
      </c>
      <c r="IQ367" s="27" t="s">
        <v>8</v>
      </c>
      <c r="IX367" s="27" t="s">
        <v>7</v>
      </c>
      <c r="IY367" s="27" t="s">
        <v>8</v>
      </c>
      <c r="IZ367" s="27" t="s">
        <v>7</v>
      </c>
      <c r="JA367" s="27" t="s">
        <v>8</v>
      </c>
    </row>
    <row r="368" spans="1:418" x14ac:dyDescent="0.25">
      <c r="A368" s="7">
        <v>76.460584890277957</v>
      </c>
      <c r="B368"/>
      <c r="C368"/>
      <c r="D368"/>
      <c r="E368"/>
      <c r="G368" s="27" t="s">
        <v>8</v>
      </c>
      <c r="W368" s="27" t="s">
        <v>8</v>
      </c>
      <c r="X368" s="27" t="s">
        <v>7</v>
      </c>
      <c r="Y368" s="27" t="s">
        <v>8</v>
      </c>
      <c r="Z368" s="27" t="s">
        <v>7</v>
      </c>
      <c r="AA368" s="27" t="s">
        <v>8</v>
      </c>
      <c r="AF368" s="27" t="s">
        <v>7</v>
      </c>
      <c r="AH368" s="27" t="s">
        <v>7</v>
      </c>
      <c r="AV368" s="27" t="s">
        <v>7</v>
      </c>
      <c r="AW368" s="27" t="s">
        <v>8</v>
      </c>
      <c r="AX368" s="27" t="s">
        <v>7</v>
      </c>
      <c r="AY368" s="27" t="s">
        <v>8</v>
      </c>
      <c r="AZ368" s="27" t="s">
        <v>7</v>
      </c>
      <c r="GC368" s="27" t="s">
        <v>8</v>
      </c>
      <c r="GD368" s="27" t="s">
        <v>7</v>
      </c>
      <c r="GE368" s="27" t="s">
        <v>8</v>
      </c>
      <c r="GH368" s="27" t="s">
        <v>7</v>
      </c>
      <c r="GL368" s="27" t="s">
        <v>7</v>
      </c>
      <c r="GM368" s="27" t="s">
        <v>8</v>
      </c>
      <c r="GN368" s="27" t="s">
        <v>7</v>
      </c>
      <c r="GO368" s="27" t="s">
        <v>8</v>
      </c>
      <c r="GP368" s="27" t="s">
        <v>7</v>
      </c>
      <c r="GQ368" s="27" t="s">
        <v>8</v>
      </c>
      <c r="GS368" s="27" t="s">
        <v>8</v>
      </c>
      <c r="GT368" s="27" t="s">
        <v>7</v>
      </c>
      <c r="HY368" s="27" t="s">
        <v>8</v>
      </c>
      <c r="HZ368" s="27" t="s">
        <v>7</v>
      </c>
      <c r="IA368" s="27" t="s">
        <v>8</v>
      </c>
      <c r="IC368" s="27" t="s">
        <v>8</v>
      </c>
      <c r="ID368" s="27" t="s">
        <v>7</v>
      </c>
      <c r="IE368" s="27" t="s">
        <v>8</v>
      </c>
      <c r="IG368" s="27" t="s">
        <v>8</v>
      </c>
      <c r="IH368" s="27" t="s">
        <v>7</v>
      </c>
      <c r="II368" s="27" t="s">
        <v>8</v>
      </c>
      <c r="IQ368" s="27" t="s">
        <v>8</v>
      </c>
      <c r="IX368" s="27" t="s">
        <v>7</v>
      </c>
      <c r="IZ368" s="27" t="s">
        <v>7</v>
      </c>
    </row>
    <row r="369" spans="1:251" x14ac:dyDescent="0.25">
      <c r="A369" s="7">
        <v>74.961357735566622</v>
      </c>
      <c r="B369"/>
      <c r="C369"/>
      <c r="D369"/>
      <c r="E369"/>
      <c r="G369" s="27" t="s">
        <v>8</v>
      </c>
      <c r="H369" s="27" t="s">
        <v>7</v>
      </c>
      <c r="I369" s="27" t="s">
        <v>8</v>
      </c>
      <c r="W369" s="27" t="s">
        <v>8</v>
      </c>
      <c r="X369" s="27" t="s">
        <v>7</v>
      </c>
      <c r="Y369" s="27" t="s">
        <v>8</v>
      </c>
      <c r="Z369" s="27" t="s">
        <v>7</v>
      </c>
      <c r="AA369" s="27" t="s">
        <v>8</v>
      </c>
      <c r="AV369" s="27" t="s">
        <v>7</v>
      </c>
      <c r="AW369" s="27" t="s">
        <v>8</v>
      </c>
      <c r="AX369" s="27" t="s">
        <v>7</v>
      </c>
      <c r="AY369" s="27" t="s">
        <v>8</v>
      </c>
      <c r="AZ369" s="27" t="s">
        <v>7</v>
      </c>
      <c r="DS369" s="27" t="s">
        <v>8</v>
      </c>
      <c r="GC369" s="27" t="s">
        <v>8</v>
      </c>
      <c r="GD369" s="27" t="s">
        <v>7</v>
      </c>
      <c r="GL369" s="27" t="s">
        <v>7</v>
      </c>
      <c r="GM369" s="27" t="s">
        <v>8</v>
      </c>
      <c r="GN369" s="27" t="s">
        <v>7</v>
      </c>
      <c r="GO369" s="27" t="s">
        <v>8</v>
      </c>
      <c r="GP369" s="27" t="s">
        <v>7</v>
      </c>
      <c r="GQ369" s="27" t="s">
        <v>8</v>
      </c>
      <c r="GR369" s="27" t="s">
        <v>7</v>
      </c>
      <c r="GS369" s="27" t="s">
        <v>8</v>
      </c>
      <c r="GT369" s="27" t="s">
        <v>7</v>
      </c>
      <c r="HI369" s="27" t="s">
        <v>8</v>
      </c>
      <c r="HY369" s="27" t="s">
        <v>8</v>
      </c>
      <c r="HZ369" s="27" t="s">
        <v>7</v>
      </c>
      <c r="IA369" s="27" t="s">
        <v>8</v>
      </c>
      <c r="IB369" s="27" t="s">
        <v>7</v>
      </c>
      <c r="IC369" s="27" t="s">
        <v>8</v>
      </c>
      <c r="ID369" s="27" t="s">
        <v>7</v>
      </c>
      <c r="IE369" s="27" t="s">
        <v>8</v>
      </c>
      <c r="IF369" s="27" t="s">
        <v>7</v>
      </c>
      <c r="IG369" s="27" t="s">
        <v>8</v>
      </c>
      <c r="IH369" s="27" t="s">
        <v>7</v>
      </c>
      <c r="II369" s="27" t="s">
        <v>8</v>
      </c>
      <c r="IJ369" s="27" t="s">
        <v>7</v>
      </c>
      <c r="IQ369" s="27" t="s">
        <v>8</v>
      </c>
    </row>
    <row r="370" spans="1:251" x14ac:dyDescent="0.25">
      <c r="A370" s="7">
        <v>73.491527191731976</v>
      </c>
      <c r="B370"/>
      <c r="C370"/>
      <c r="D370"/>
      <c r="E370"/>
      <c r="G370" s="27" t="s">
        <v>8</v>
      </c>
      <c r="H370" s="27" t="s">
        <v>7</v>
      </c>
      <c r="I370" s="27" t="s">
        <v>8</v>
      </c>
      <c r="J370" s="27" t="s">
        <v>7</v>
      </c>
      <c r="K370" s="27" t="s">
        <v>8</v>
      </c>
      <c r="W370" s="27" t="s">
        <v>8</v>
      </c>
      <c r="X370" s="27" t="s">
        <v>7</v>
      </c>
      <c r="Y370" s="27" t="s">
        <v>8</v>
      </c>
      <c r="Z370" s="27" t="s">
        <v>7</v>
      </c>
      <c r="AA370" s="27" t="s">
        <v>8</v>
      </c>
      <c r="AV370" s="27" t="s">
        <v>7</v>
      </c>
      <c r="AW370" s="27" t="s">
        <v>8</v>
      </c>
      <c r="AX370" s="27" t="s">
        <v>7</v>
      </c>
      <c r="AY370" s="27" t="s">
        <v>8</v>
      </c>
      <c r="AZ370" s="27" t="s">
        <v>7</v>
      </c>
      <c r="DS370" s="27" t="s">
        <v>8</v>
      </c>
      <c r="DT370" s="27" t="s">
        <v>7</v>
      </c>
      <c r="GC370" s="27" t="s">
        <v>8</v>
      </c>
      <c r="GL370" s="27" t="s">
        <v>7</v>
      </c>
      <c r="GN370" s="27" t="s">
        <v>7</v>
      </c>
      <c r="GO370" s="27" t="s">
        <v>8</v>
      </c>
      <c r="GP370" s="27" t="s">
        <v>7</v>
      </c>
      <c r="GQ370" s="27" t="s">
        <v>8</v>
      </c>
      <c r="GR370" s="27" t="s">
        <v>7</v>
      </c>
      <c r="GS370" s="27" t="s">
        <v>8</v>
      </c>
      <c r="GT370" s="27" t="s">
        <v>7</v>
      </c>
      <c r="HI370" s="27" t="s">
        <v>8</v>
      </c>
      <c r="HJ370" s="27" t="s">
        <v>7</v>
      </c>
      <c r="HY370" s="27" t="s">
        <v>8</v>
      </c>
      <c r="HZ370" s="27" t="s">
        <v>7</v>
      </c>
      <c r="IA370" s="27" t="s">
        <v>8</v>
      </c>
      <c r="IB370" s="27" t="s">
        <v>7</v>
      </c>
      <c r="IC370" s="27" t="s">
        <v>8</v>
      </c>
      <c r="ID370" s="27" t="s">
        <v>7</v>
      </c>
      <c r="IE370" s="27" t="s">
        <v>8</v>
      </c>
      <c r="IF370" s="27" t="s">
        <v>7</v>
      </c>
      <c r="IG370" s="27" t="s">
        <v>8</v>
      </c>
      <c r="IH370" s="27" t="s">
        <v>7</v>
      </c>
      <c r="II370" s="27" t="s">
        <v>8</v>
      </c>
      <c r="IJ370" s="27" t="s">
        <v>7</v>
      </c>
      <c r="IO370" s="27" t="s">
        <v>8</v>
      </c>
      <c r="IQ370" s="27" t="s">
        <v>8</v>
      </c>
    </row>
    <row r="371" spans="1:251" x14ac:dyDescent="0.25">
      <c r="A371" s="7">
        <v>72.050516854639184</v>
      </c>
      <c r="B371"/>
      <c r="C371"/>
      <c r="D371"/>
      <c r="E371"/>
      <c r="G371" s="27" t="s">
        <v>8</v>
      </c>
      <c r="H371" s="27" t="s">
        <v>7</v>
      </c>
      <c r="I371" s="27" t="s">
        <v>8</v>
      </c>
      <c r="J371" s="27" t="s">
        <v>7</v>
      </c>
      <c r="K371" s="27" t="s">
        <v>8</v>
      </c>
      <c r="L371" s="27" t="s">
        <v>7</v>
      </c>
      <c r="W371" s="27" t="s">
        <v>8</v>
      </c>
      <c r="X371" s="27" t="s">
        <v>7</v>
      </c>
      <c r="Y371" s="27" t="s">
        <v>8</v>
      </c>
      <c r="Z371" s="27" t="s">
        <v>7</v>
      </c>
      <c r="AA371" s="27" t="s">
        <v>8</v>
      </c>
      <c r="AV371" s="27" t="s">
        <v>7</v>
      </c>
      <c r="AW371" s="27" t="s">
        <v>8</v>
      </c>
      <c r="AX371" s="27" t="s">
        <v>7</v>
      </c>
      <c r="AZ371" s="27" t="s">
        <v>7</v>
      </c>
      <c r="DO371" s="27" t="s">
        <v>8</v>
      </c>
      <c r="DQ371" s="27" t="s">
        <v>8</v>
      </c>
      <c r="DS371" s="27" t="s">
        <v>8</v>
      </c>
      <c r="DT371" s="27" t="s">
        <v>7</v>
      </c>
      <c r="GC371" s="27" t="s">
        <v>8</v>
      </c>
      <c r="GN371" s="27" t="s">
        <v>7</v>
      </c>
      <c r="GP371" s="27" t="s">
        <v>7</v>
      </c>
      <c r="GR371" s="27" t="s">
        <v>7</v>
      </c>
      <c r="GS371" s="27" t="s">
        <v>8</v>
      </c>
      <c r="GT371" s="27" t="s">
        <v>7</v>
      </c>
      <c r="HI371" s="27" t="s">
        <v>8</v>
      </c>
      <c r="HJ371" s="27" t="s">
        <v>7</v>
      </c>
      <c r="HY371" s="27" t="s">
        <v>8</v>
      </c>
      <c r="HZ371" s="27" t="s">
        <v>7</v>
      </c>
      <c r="IA371" s="27" t="s">
        <v>8</v>
      </c>
      <c r="IB371" s="27" t="s">
        <v>7</v>
      </c>
      <c r="ID371" s="27" t="s">
        <v>7</v>
      </c>
      <c r="IE371" s="27" t="s">
        <v>8</v>
      </c>
      <c r="IF371" s="27" t="s">
        <v>7</v>
      </c>
      <c r="IG371" s="27" t="s">
        <v>8</v>
      </c>
      <c r="IH371" s="27" t="s">
        <v>7</v>
      </c>
      <c r="IJ371" s="27" t="s">
        <v>7</v>
      </c>
      <c r="IO371" s="27" t="s">
        <v>8</v>
      </c>
      <c r="IP371" s="27" t="s">
        <v>7</v>
      </c>
      <c r="IQ371" s="27" t="s">
        <v>8</v>
      </c>
    </row>
    <row r="372" spans="1:251" x14ac:dyDescent="0.25">
      <c r="A372" s="7">
        <v>70.637761622195271</v>
      </c>
      <c r="B372"/>
      <c r="C372"/>
      <c r="D372"/>
      <c r="E372"/>
      <c r="G372" s="27" t="s">
        <v>8</v>
      </c>
      <c r="H372" s="27" t="s">
        <v>7</v>
      </c>
      <c r="I372" s="27" t="s">
        <v>8</v>
      </c>
      <c r="J372" s="27" t="s">
        <v>7</v>
      </c>
      <c r="K372" s="27" t="s">
        <v>8</v>
      </c>
      <c r="L372" s="27" t="s">
        <v>7</v>
      </c>
      <c r="M372" s="27" t="s">
        <v>8</v>
      </c>
      <c r="O372" s="27" t="s">
        <v>8</v>
      </c>
      <c r="Q372" s="27" t="s">
        <v>8</v>
      </c>
      <c r="W372" s="27" t="s">
        <v>8</v>
      </c>
      <c r="X372" s="27" t="s">
        <v>7</v>
      </c>
      <c r="Y372" s="27" t="s">
        <v>8</v>
      </c>
      <c r="Z372" s="27" t="s">
        <v>7</v>
      </c>
      <c r="AA372" s="27" t="s">
        <v>8</v>
      </c>
      <c r="AV372" s="27" t="s">
        <v>7</v>
      </c>
      <c r="AW372" s="27" t="s">
        <v>8</v>
      </c>
      <c r="AZ372" s="27" t="s">
        <v>7</v>
      </c>
      <c r="DO372" s="27" t="s">
        <v>8</v>
      </c>
      <c r="DP372" s="27" t="s">
        <v>7</v>
      </c>
      <c r="DQ372" s="27" t="s">
        <v>8</v>
      </c>
      <c r="DR372" s="27" t="s">
        <v>7</v>
      </c>
      <c r="DS372" s="27" t="s">
        <v>8</v>
      </c>
      <c r="DT372" s="27" t="s">
        <v>7</v>
      </c>
      <c r="GC372" s="27" t="s">
        <v>8</v>
      </c>
      <c r="GR372" s="27" t="s">
        <v>7</v>
      </c>
      <c r="GT372" s="27" t="s">
        <v>7</v>
      </c>
      <c r="HI372" s="27" t="s">
        <v>8</v>
      </c>
      <c r="HJ372" s="27" t="s">
        <v>7</v>
      </c>
      <c r="HY372" s="27" t="s">
        <v>8</v>
      </c>
      <c r="HZ372" s="27" t="s">
        <v>7</v>
      </c>
      <c r="IA372" s="27" t="s">
        <v>8</v>
      </c>
      <c r="ID372" s="27" t="s">
        <v>7</v>
      </c>
      <c r="IE372" s="27" t="s">
        <v>8</v>
      </c>
      <c r="IF372" s="27" t="s">
        <v>7</v>
      </c>
      <c r="IG372" s="27" t="s">
        <v>8</v>
      </c>
      <c r="IJ372" s="27" t="s">
        <v>7</v>
      </c>
      <c r="IK372" s="27" t="s">
        <v>8</v>
      </c>
      <c r="IO372" s="27" t="s">
        <v>8</v>
      </c>
      <c r="IP372" s="27" t="s">
        <v>7</v>
      </c>
      <c r="IQ372" s="27" t="s">
        <v>8</v>
      </c>
    </row>
    <row r="373" spans="1:251" x14ac:dyDescent="0.25">
      <c r="A373" s="7">
        <v>69.252707472740454</v>
      </c>
      <c r="B373"/>
      <c r="C373"/>
      <c r="D373"/>
      <c r="E373"/>
      <c r="G373" s="27" t="s">
        <v>8</v>
      </c>
      <c r="H373" s="27" t="s">
        <v>7</v>
      </c>
      <c r="I373" s="27" t="s">
        <v>8</v>
      </c>
      <c r="J373" s="27" t="s">
        <v>7</v>
      </c>
      <c r="L373" s="27" t="s">
        <v>7</v>
      </c>
      <c r="M373" s="27" t="s">
        <v>8</v>
      </c>
      <c r="N373" s="27" t="s">
        <v>7</v>
      </c>
      <c r="O373" s="27" t="s">
        <v>8</v>
      </c>
      <c r="P373" s="27" t="s">
        <v>7</v>
      </c>
      <c r="Q373" s="27" t="s">
        <v>8</v>
      </c>
      <c r="R373" s="27" t="s">
        <v>7</v>
      </c>
      <c r="W373" s="27" t="s">
        <v>8</v>
      </c>
      <c r="X373" s="27" t="s">
        <v>7</v>
      </c>
      <c r="Y373" s="27" t="s">
        <v>8</v>
      </c>
      <c r="Z373" s="27" t="s">
        <v>7</v>
      </c>
      <c r="AA373" s="27" t="s">
        <v>8</v>
      </c>
      <c r="AV373" s="27" t="s">
        <v>7</v>
      </c>
      <c r="AW373" s="27" t="s">
        <v>8</v>
      </c>
      <c r="AZ373" s="27" t="s">
        <v>7</v>
      </c>
      <c r="DI373" s="27" t="s">
        <v>8</v>
      </c>
      <c r="DO373" s="27" t="s">
        <v>8</v>
      </c>
      <c r="DP373" s="27" t="s">
        <v>7</v>
      </c>
      <c r="DQ373" s="27" t="s">
        <v>8</v>
      </c>
      <c r="DR373" s="27" t="s">
        <v>7</v>
      </c>
      <c r="DS373" s="27" t="s">
        <v>8</v>
      </c>
      <c r="DT373" s="27" t="s">
        <v>7</v>
      </c>
      <c r="GC373" s="27" t="s">
        <v>8</v>
      </c>
      <c r="GT373" s="27" t="s">
        <v>7</v>
      </c>
      <c r="HI373" s="27" t="s">
        <v>8</v>
      </c>
      <c r="HJ373" s="27" t="s">
        <v>7</v>
      </c>
      <c r="HY373" s="27" t="s">
        <v>8</v>
      </c>
      <c r="HZ373" s="27" t="s">
        <v>7</v>
      </c>
      <c r="IA373" s="27" t="s">
        <v>8</v>
      </c>
      <c r="ID373" s="27" t="s">
        <v>7</v>
      </c>
      <c r="IF373" s="27" t="s">
        <v>7</v>
      </c>
      <c r="IG373" s="27" t="s">
        <v>8</v>
      </c>
      <c r="IJ373" s="27" t="s">
        <v>7</v>
      </c>
      <c r="IK373" s="27" t="s">
        <v>8</v>
      </c>
      <c r="IL373" s="27" t="s">
        <v>7</v>
      </c>
      <c r="IO373" s="27" t="s">
        <v>8</v>
      </c>
      <c r="IP373" s="27" t="s">
        <v>7</v>
      </c>
      <c r="IQ373" s="27" t="s">
        <v>8</v>
      </c>
    </row>
    <row r="374" spans="1:251" x14ac:dyDescent="0.25">
      <c r="A374" s="7">
        <v>67.894811247784759</v>
      </c>
      <c r="B374"/>
      <c r="C374"/>
      <c r="D374"/>
      <c r="E374"/>
      <c r="G374" s="27" t="s">
        <v>8</v>
      </c>
      <c r="H374" s="27" t="s">
        <v>7</v>
      </c>
      <c r="I374" s="27" t="s">
        <v>8</v>
      </c>
      <c r="L374" s="27" t="s">
        <v>7</v>
      </c>
      <c r="M374" s="27" t="s">
        <v>8</v>
      </c>
      <c r="N374" s="27" t="s">
        <v>7</v>
      </c>
      <c r="O374" s="27" t="s">
        <v>8</v>
      </c>
      <c r="P374" s="27" t="s">
        <v>7</v>
      </c>
      <c r="Q374" s="27" t="s">
        <v>8</v>
      </c>
      <c r="R374" s="27" t="s">
        <v>7</v>
      </c>
      <c r="W374" s="27" t="s">
        <v>8</v>
      </c>
      <c r="X374" s="27" t="s">
        <v>7</v>
      </c>
      <c r="Y374" s="27" t="s">
        <v>8</v>
      </c>
      <c r="Z374" s="27" t="s">
        <v>7</v>
      </c>
      <c r="AV374" s="27" t="s">
        <v>7</v>
      </c>
      <c r="AW374" s="27" t="s">
        <v>8</v>
      </c>
      <c r="AZ374" s="27" t="s">
        <v>7</v>
      </c>
      <c r="BA374" s="27" t="s">
        <v>8</v>
      </c>
      <c r="DI374" s="27" t="s">
        <v>8</v>
      </c>
      <c r="DJ374" s="27" t="s">
        <v>7</v>
      </c>
      <c r="DK374" s="27" t="s">
        <v>8</v>
      </c>
      <c r="DM374" s="27" t="s">
        <v>8</v>
      </c>
      <c r="DO374" s="27" t="s">
        <v>8</v>
      </c>
      <c r="DP374" s="27" t="s">
        <v>7</v>
      </c>
      <c r="DQ374" s="27" t="s">
        <v>8</v>
      </c>
      <c r="DR374" s="27" t="s">
        <v>7</v>
      </c>
      <c r="DT374" s="27" t="s">
        <v>7</v>
      </c>
      <c r="DW374" s="27" t="s">
        <v>8</v>
      </c>
      <c r="GC374" s="27" t="s">
        <v>8</v>
      </c>
      <c r="GT374" s="27" t="s">
        <v>7</v>
      </c>
      <c r="HC374" s="27" t="s">
        <v>8</v>
      </c>
      <c r="HI374" s="27" t="s">
        <v>8</v>
      </c>
      <c r="HJ374" s="27" t="s">
        <v>7</v>
      </c>
      <c r="HY374" s="27" t="s">
        <v>8</v>
      </c>
      <c r="HZ374" s="27" t="s">
        <v>7</v>
      </c>
      <c r="IA374" s="27" t="s">
        <v>8</v>
      </c>
      <c r="IF374" s="27" t="s">
        <v>7</v>
      </c>
      <c r="IG374" s="27" t="s">
        <v>8</v>
      </c>
      <c r="IJ374" s="27" t="s">
        <v>7</v>
      </c>
      <c r="IK374" s="27" t="s">
        <v>8</v>
      </c>
      <c r="IL374" s="27" t="s">
        <v>7</v>
      </c>
      <c r="IO374" s="27" t="s">
        <v>8</v>
      </c>
      <c r="IP374" s="27" t="s">
        <v>7</v>
      </c>
      <c r="IQ374" s="27" t="s">
        <v>8</v>
      </c>
    </row>
    <row r="375" spans="1:251" x14ac:dyDescent="0.25">
      <c r="A375" s="7">
        <v>66.563540439004669</v>
      </c>
      <c r="B375"/>
      <c r="C375"/>
      <c r="D375"/>
      <c r="E375"/>
      <c r="G375" s="27" t="s">
        <v>8</v>
      </c>
      <c r="H375" s="27" t="s">
        <v>7</v>
      </c>
      <c r="I375" s="27" t="s">
        <v>8</v>
      </c>
      <c r="L375" s="27" t="s">
        <v>7</v>
      </c>
      <c r="M375" s="27" t="s">
        <v>8</v>
      </c>
      <c r="N375" s="27" t="s">
        <v>7</v>
      </c>
      <c r="P375" s="27" t="s">
        <v>7</v>
      </c>
      <c r="R375" s="27" t="s">
        <v>7</v>
      </c>
      <c r="W375" s="27" t="s">
        <v>8</v>
      </c>
      <c r="X375" s="27" t="s">
        <v>7</v>
      </c>
      <c r="AV375" s="27" t="s">
        <v>7</v>
      </c>
      <c r="AW375" s="27" t="s">
        <v>8</v>
      </c>
      <c r="AZ375" s="27" t="s">
        <v>7</v>
      </c>
      <c r="BA375" s="27" t="s">
        <v>8</v>
      </c>
      <c r="BB375" s="27" t="s">
        <v>7</v>
      </c>
      <c r="BC375" s="27" t="s">
        <v>8</v>
      </c>
      <c r="DI375" s="27" t="s">
        <v>8</v>
      </c>
      <c r="DJ375" s="27" t="s">
        <v>7</v>
      </c>
      <c r="DK375" s="27" t="s">
        <v>8</v>
      </c>
      <c r="DL375" s="27" t="s">
        <v>7</v>
      </c>
      <c r="DM375" s="27" t="s">
        <v>8</v>
      </c>
      <c r="DN375" s="27" t="s">
        <v>7</v>
      </c>
      <c r="DO375" s="27" t="s">
        <v>8</v>
      </c>
      <c r="DP375" s="27" t="s">
        <v>7</v>
      </c>
      <c r="DT375" s="27" t="s">
        <v>7</v>
      </c>
      <c r="DW375" s="27" t="s">
        <v>8</v>
      </c>
      <c r="DX375" s="27" t="s">
        <v>7</v>
      </c>
      <c r="GC375" s="27" t="s">
        <v>8</v>
      </c>
      <c r="GT375" s="27" t="s">
        <v>7</v>
      </c>
      <c r="HA375" s="27" t="s">
        <v>8</v>
      </c>
      <c r="HC375" s="27" t="s">
        <v>8</v>
      </c>
      <c r="HD375" s="27" t="s">
        <v>7</v>
      </c>
      <c r="HI375" s="27" t="s">
        <v>8</v>
      </c>
      <c r="HJ375" s="27" t="s">
        <v>7</v>
      </c>
      <c r="HM375" s="27" t="s">
        <v>8</v>
      </c>
      <c r="HW375" s="27" t="s">
        <v>8</v>
      </c>
      <c r="HY375" s="27" t="s">
        <v>8</v>
      </c>
      <c r="HZ375" s="27" t="s">
        <v>7</v>
      </c>
      <c r="IA375" s="27" t="s">
        <v>8</v>
      </c>
      <c r="IF375" s="27" t="s">
        <v>7</v>
      </c>
      <c r="IG375" s="27" t="s">
        <v>8</v>
      </c>
      <c r="IJ375" s="27" t="s">
        <v>7</v>
      </c>
      <c r="IK375" s="27" t="s">
        <v>8</v>
      </c>
      <c r="IL375" s="27" t="s">
        <v>7</v>
      </c>
      <c r="IO375" s="27" t="s">
        <v>8</v>
      </c>
      <c r="IP375" s="27" t="s">
        <v>7</v>
      </c>
      <c r="IQ375" s="27" t="s">
        <v>8</v>
      </c>
    </row>
    <row r="376" spans="1:251" x14ac:dyDescent="0.25">
      <c r="A376" s="7">
        <v>65.258372979416336</v>
      </c>
      <c r="B376"/>
      <c r="C376"/>
      <c r="D376"/>
      <c r="E376"/>
      <c r="G376" s="27" t="s">
        <v>8</v>
      </c>
      <c r="H376" s="27" t="s">
        <v>7</v>
      </c>
      <c r="L376" s="27" t="s">
        <v>7</v>
      </c>
      <c r="M376" s="27" t="s">
        <v>8</v>
      </c>
      <c r="R376" s="27" t="s">
        <v>7</v>
      </c>
      <c r="U376" s="27" t="s">
        <v>8</v>
      </c>
      <c r="W376" s="27" t="s">
        <v>8</v>
      </c>
      <c r="AV376" s="27" t="s">
        <v>7</v>
      </c>
      <c r="AW376" s="27" t="s">
        <v>8</v>
      </c>
      <c r="AZ376" s="27" t="s">
        <v>7</v>
      </c>
      <c r="BA376" s="27" t="s">
        <v>8</v>
      </c>
      <c r="BB376" s="27" t="s">
        <v>7</v>
      </c>
      <c r="BC376" s="27" t="s">
        <v>8</v>
      </c>
      <c r="BD376" s="27" t="s">
        <v>7</v>
      </c>
      <c r="DC376" s="27" t="s">
        <v>8</v>
      </c>
      <c r="DI376" s="27" t="s">
        <v>8</v>
      </c>
      <c r="DJ376" s="27" t="s">
        <v>7</v>
      </c>
      <c r="DK376" s="27" t="s">
        <v>8</v>
      </c>
      <c r="DL376" s="27" t="s">
        <v>7</v>
      </c>
      <c r="DM376" s="27" t="s">
        <v>8</v>
      </c>
      <c r="DN376" s="27" t="s">
        <v>7</v>
      </c>
      <c r="DO376" s="27" t="s">
        <v>8</v>
      </c>
      <c r="DT376" s="27" t="s">
        <v>7</v>
      </c>
      <c r="DU376" s="27" t="s">
        <v>8</v>
      </c>
      <c r="DW376" s="27" t="s">
        <v>8</v>
      </c>
      <c r="DX376" s="27" t="s">
        <v>7</v>
      </c>
      <c r="GC376" s="27" t="s">
        <v>8</v>
      </c>
      <c r="GT376" s="27" t="s">
        <v>7</v>
      </c>
      <c r="HA376" s="27" t="s">
        <v>8</v>
      </c>
      <c r="HB376" s="27" t="s">
        <v>7</v>
      </c>
      <c r="HC376" s="27" t="s">
        <v>8</v>
      </c>
      <c r="HD376" s="27" t="s">
        <v>7</v>
      </c>
      <c r="HG376" s="27" t="s">
        <v>8</v>
      </c>
      <c r="HI376" s="27" t="s">
        <v>8</v>
      </c>
      <c r="HJ376" s="27" t="s">
        <v>7</v>
      </c>
      <c r="HK376" s="27" t="s">
        <v>8</v>
      </c>
      <c r="HM376" s="27" t="s">
        <v>8</v>
      </c>
      <c r="HN376" s="27" t="s">
        <v>7</v>
      </c>
      <c r="HO376" s="27" t="s">
        <v>8</v>
      </c>
      <c r="HU376" s="27" t="s">
        <v>8</v>
      </c>
      <c r="HW376" s="27" t="s">
        <v>8</v>
      </c>
      <c r="HX376" s="27" t="s">
        <v>7</v>
      </c>
      <c r="HY376" s="27" t="s">
        <v>8</v>
      </c>
      <c r="HZ376" s="27" t="s">
        <v>7</v>
      </c>
      <c r="IA376" s="27" t="s">
        <v>8</v>
      </c>
      <c r="IF376" s="27" t="s">
        <v>7</v>
      </c>
      <c r="IG376" s="27" t="s">
        <v>8</v>
      </c>
      <c r="IJ376" s="27" t="s">
        <v>7</v>
      </c>
      <c r="IK376" s="27" t="s">
        <v>8</v>
      </c>
      <c r="IL376" s="27" t="s">
        <v>7</v>
      </c>
      <c r="IO376" s="27" t="s">
        <v>8</v>
      </c>
      <c r="IP376" s="27" t="s">
        <v>7</v>
      </c>
      <c r="IQ376" s="27" t="s">
        <v>8</v>
      </c>
    </row>
    <row r="377" spans="1:251" x14ac:dyDescent="0.25">
      <c r="A377" s="7">
        <v>63.978797038643471</v>
      </c>
      <c r="B377"/>
      <c r="C377"/>
      <c r="D377"/>
      <c r="E377"/>
      <c r="G377" s="27" t="s">
        <v>8</v>
      </c>
      <c r="L377" s="27" t="s">
        <v>7</v>
      </c>
      <c r="R377" s="27" t="s">
        <v>7</v>
      </c>
      <c r="S377" s="27" t="s">
        <v>8</v>
      </c>
      <c r="U377" s="27" t="s">
        <v>8</v>
      </c>
      <c r="V377" s="27" t="s">
        <v>7</v>
      </c>
      <c r="W377" s="27" t="s">
        <v>8</v>
      </c>
      <c r="AV377" s="27" t="s">
        <v>7</v>
      </c>
      <c r="AZ377" s="27" t="s">
        <v>7</v>
      </c>
      <c r="BB377" s="27" t="s">
        <v>7</v>
      </c>
      <c r="BC377" s="27" t="s">
        <v>8</v>
      </c>
      <c r="BD377" s="27" t="s">
        <v>7</v>
      </c>
      <c r="DC377" s="27" t="s">
        <v>8</v>
      </c>
      <c r="DD377" s="27" t="s">
        <v>7</v>
      </c>
      <c r="DI377" s="27" t="s">
        <v>8</v>
      </c>
      <c r="DJ377" s="27" t="s">
        <v>7</v>
      </c>
      <c r="DK377" s="27" t="s">
        <v>8</v>
      </c>
      <c r="DL377" s="27" t="s">
        <v>7</v>
      </c>
      <c r="DN377" s="27" t="s">
        <v>7</v>
      </c>
      <c r="DO377" s="27" t="s">
        <v>8</v>
      </c>
      <c r="DT377" s="27" t="s">
        <v>7</v>
      </c>
      <c r="DU377" s="27" t="s">
        <v>8</v>
      </c>
      <c r="DV377" s="27" t="s">
        <v>7</v>
      </c>
      <c r="DW377" s="27" t="s">
        <v>8</v>
      </c>
      <c r="DX377" s="27" t="s">
        <v>7</v>
      </c>
      <c r="DY377" s="27" t="s">
        <v>8</v>
      </c>
      <c r="GC377" s="27" t="s">
        <v>8</v>
      </c>
      <c r="GT377" s="27" t="s">
        <v>7</v>
      </c>
      <c r="GW377" s="27" t="s">
        <v>8</v>
      </c>
      <c r="HA377" s="27" t="s">
        <v>8</v>
      </c>
      <c r="HB377" s="27" t="s">
        <v>7</v>
      </c>
      <c r="HC377" s="27" t="s">
        <v>8</v>
      </c>
      <c r="HD377" s="27" t="s">
        <v>7</v>
      </c>
      <c r="HG377" s="27" t="s">
        <v>8</v>
      </c>
      <c r="HH377" s="27" t="s">
        <v>7</v>
      </c>
      <c r="HI377" s="27" t="s">
        <v>8</v>
      </c>
      <c r="HJ377" s="27" t="s">
        <v>7</v>
      </c>
      <c r="HK377" s="27" t="s">
        <v>8</v>
      </c>
      <c r="HL377" s="27" t="s">
        <v>7</v>
      </c>
      <c r="HM377" s="27" t="s">
        <v>8</v>
      </c>
      <c r="HN377" s="27" t="s">
        <v>7</v>
      </c>
      <c r="HO377" s="27" t="s">
        <v>8</v>
      </c>
      <c r="HP377" s="27" t="s">
        <v>7</v>
      </c>
      <c r="HU377" s="27" t="s">
        <v>8</v>
      </c>
      <c r="HV377" s="27" t="s">
        <v>7</v>
      </c>
      <c r="HW377" s="27" t="s">
        <v>8</v>
      </c>
      <c r="HX377" s="27" t="s">
        <v>7</v>
      </c>
      <c r="HY377" s="27" t="s">
        <v>8</v>
      </c>
      <c r="HZ377" s="27" t="s">
        <v>7</v>
      </c>
      <c r="IF377" s="27" t="s">
        <v>7</v>
      </c>
      <c r="IG377" s="27" t="s">
        <v>8</v>
      </c>
      <c r="IJ377" s="27" t="s">
        <v>7</v>
      </c>
      <c r="IK377" s="27" t="s">
        <v>8</v>
      </c>
      <c r="IL377" s="27" t="s">
        <v>7</v>
      </c>
      <c r="IM377" s="27" t="s">
        <v>8</v>
      </c>
      <c r="IO377" s="27" t="s">
        <v>8</v>
      </c>
      <c r="IP377" s="27" t="s">
        <v>7</v>
      </c>
      <c r="IQ377" s="27" t="s">
        <v>8</v>
      </c>
    </row>
    <row r="378" spans="1:251" x14ac:dyDescent="0.25">
      <c r="A378" s="7">
        <v>62.724310822199477</v>
      </c>
      <c r="B378"/>
      <c r="C378"/>
      <c r="D378"/>
      <c r="E378"/>
      <c r="G378" s="27" t="s">
        <v>8</v>
      </c>
      <c r="R378" s="27" t="s">
        <v>7</v>
      </c>
      <c r="S378" s="27" t="s">
        <v>8</v>
      </c>
      <c r="T378" s="27" t="s">
        <v>7</v>
      </c>
      <c r="U378" s="27" t="s">
        <v>8</v>
      </c>
      <c r="V378" s="27" t="s">
        <v>7</v>
      </c>
      <c r="W378" s="27" t="s">
        <v>8</v>
      </c>
      <c r="BB378" s="27" t="s">
        <v>7</v>
      </c>
      <c r="BC378" s="27" t="s">
        <v>8</v>
      </c>
      <c r="BD378" s="27" t="s">
        <v>7</v>
      </c>
      <c r="DC378" s="27" t="s">
        <v>8</v>
      </c>
      <c r="DD378" s="27" t="s">
        <v>7</v>
      </c>
      <c r="DI378" s="27" t="s">
        <v>8</v>
      </c>
      <c r="DJ378" s="27" t="s">
        <v>7</v>
      </c>
      <c r="DN378" s="27" t="s">
        <v>7</v>
      </c>
      <c r="DT378" s="27" t="s">
        <v>7</v>
      </c>
      <c r="DU378" s="27" t="s">
        <v>8</v>
      </c>
      <c r="DV378" s="27" t="s">
        <v>7</v>
      </c>
      <c r="DW378" s="27" t="s">
        <v>8</v>
      </c>
      <c r="DX378" s="27" t="s">
        <v>7</v>
      </c>
      <c r="DY378" s="27" t="s">
        <v>8</v>
      </c>
      <c r="DZ378" s="27" t="s">
        <v>7</v>
      </c>
      <c r="FS378" s="27" t="s">
        <v>8</v>
      </c>
      <c r="FY378" s="27" t="s">
        <v>8</v>
      </c>
      <c r="GA378" s="27" t="s">
        <v>8</v>
      </c>
      <c r="GC378" s="27" t="s">
        <v>8</v>
      </c>
      <c r="GT378" s="27" t="s">
        <v>7</v>
      </c>
      <c r="GW378" s="27" t="s">
        <v>8</v>
      </c>
      <c r="GX378" s="27" t="s">
        <v>7</v>
      </c>
      <c r="GY378" s="27" t="s">
        <v>8</v>
      </c>
      <c r="HA378" s="27" t="s">
        <v>8</v>
      </c>
      <c r="HB378" s="27" t="s">
        <v>7</v>
      </c>
      <c r="HC378" s="27" t="s">
        <v>8</v>
      </c>
      <c r="HD378" s="27" t="s">
        <v>7</v>
      </c>
      <c r="HE378" s="27" t="s">
        <v>8</v>
      </c>
      <c r="HG378" s="27" t="s">
        <v>8</v>
      </c>
      <c r="HH378" s="27" t="s">
        <v>7</v>
      </c>
      <c r="HI378" s="27" t="s">
        <v>8</v>
      </c>
      <c r="HJ378" s="27" t="s">
        <v>7</v>
      </c>
      <c r="HK378" s="27" t="s">
        <v>8</v>
      </c>
      <c r="HL378" s="27" t="s">
        <v>7</v>
      </c>
      <c r="HM378" s="27" t="s">
        <v>8</v>
      </c>
      <c r="HN378" s="27" t="s">
        <v>7</v>
      </c>
      <c r="HO378" s="27" t="s">
        <v>8</v>
      </c>
      <c r="HP378" s="27" t="s">
        <v>7</v>
      </c>
      <c r="HS378" s="27" t="s">
        <v>8</v>
      </c>
      <c r="HU378" s="27" t="s">
        <v>8</v>
      </c>
      <c r="HV378" s="27" t="s">
        <v>7</v>
      </c>
      <c r="HW378" s="27" t="s">
        <v>8</v>
      </c>
      <c r="HX378" s="27" t="s">
        <v>7</v>
      </c>
      <c r="HY378" s="27" t="s">
        <v>8</v>
      </c>
      <c r="IF378" s="27" t="s">
        <v>7</v>
      </c>
      <c r="IJ378" s="27" t="s">
        <v>7</v>
      </c>
      <c r="IK378" s="27" t="s">
        <v>8</v>
      </c>
      <c r="IL378" s="27" t="s">
        <v>7</v>
      </c>
      <c r="IM378" s="27" t="s">
        <v>8</v>
      </c>
      <c r="IN378" s="27" t="s">
        <v>7</v>
      </c>
      <c r="IO378" s="27" t="s">
        <v>8</v>
      </c>
      <c r="IP378" s="27" t="s">
        <v>7</v>
      </c>
      <c r="IQ378" s="27" t="s">
        <v>8</v>
      </c>
    </row>
    <row r="379" spans="1:251" x14ac:dyDescent="0.25">
      <c r="A379" s="7">
        <v>61.494422374705366</v>
      </c>
      <c r="B379"/>
      <c r="C379"/>
      <c r="D379"/>
      <c r="E379"/>
      <c r="G379" s="27" t="s">
        <v>8</v>
      </c>
      <c r="R379" s="27" t="s">
        <v>7</v>
      </c>
      <c r="S379" s="27" t="s">
        <v>8</v>
      </c>
      <c r="T379" s="27" t="s">
        <v>7</v>
      </c>
      <c r="U379" s="27" t="s">
        <v>8</v>
      </c>
      <c r="V379" s="27" t="s">
        <v>7</v>
      </c>
      <c r="W379" s="27" t="s">
        <v>8</v>
      </c>
      <c r="BB379" s="27" t="s">
        <v>7</v>
      </c>
      <c r="BD379" s="27" t="s">
        <v>7</v>
      </c>
      <c r="DC379" s="27" t="s">
        <v>8</v>
      </c>
      <c r="DD379" s="27" t="s">
        <v>7</v>
      </c>
      <c r="DI379" s="27" t="s">
        <v>8</v>
      </c>
      <c r="DT379" s="27" t="s">
        <v>7</v>
      </c>
      <c r="DU379" s="27" t="s">
        <v>8</v>
      </c>
      <c r="DV379" s="27" t="s">
        <v>7</v>
      </c>
      <c r="DW379" s="27" t="s">
        <v>8</v>
      </c>
      <c r="DX379" s="27" t="s">
        <v>7</v>
      </c>
      <c r="DY379" s="27" t="s">
        <v>8</v>
      </c>
      <c r="DZ379" s="27" t="s">
        <v>7</v>
      </c>
      <c r="FS379" s="27" t="s">
        <v>8</v>
      </c>
      <c r="FT379" s="27" t="s">
        <v>7</v>
      </c>
      <c r="FY379" s="27" t="s">
        <v>8</v>
      </c>
      <c r="FZ379" s="27" t="s">
        <v>7</v>
      </c>
      <c r="GA379" s="27" t="s">
        <v>8</v>
      </c>
      <c r="GB379" s="27" t="s">
        <v>7</v>
      </c>
      <c r="GC379" s="27" t="s">
        <v>8</v>
      </c>
      <c r="GT379" s="27" t="s">
        <v>7</v>
      </c>
      <c r="GU379" s="27" t="s">
        <v>8</v>
      </c>
      <c r="GW379" s="27" t="s">
        <v>8</v>
      </c>
      <c r="GX379" s="27" t="s">
        <v>7</v>
      </c>
      <c r="GY379" s="27" t="s">
        <v>8</v>
      </c>
      <c r="GZ379" s="27" t="s">
        <v>7</v>
      </c>
      <c r="HA379" s="27" t="s">
        <v>8</v>
      </c>
      <c r="HB379" s="27" t="s">
        <v>7</v>
      </c>
      <c r="HC379" s="27" t="s">
        <v>8</v>
      </c>
      <c r="HD379" s="27" t="s">
        <v>7</v>
      </c>
      <c r="HE379" s="27" t="s">
        <v>8</v>
      </c>
      <c r="HF379" s="27" t="s">
        <v>7</v>
      </c>
      <c r="HG379" s="27" t="s">
        <v>8</v>
      </c>
      <c r="HH379" s="27" t="s">
        <v>7</v>
      </c>
      <c r="HI379" s="27" t="s">
        <v>8</v>
      </c>
      <c r="HJ379" s="27" t="s">
        <v>7</v>
      </c>
      <c r="HL379" s="27" t="s">
        <v>7</v>
      </c>
      <c r="HM379" s="27" t="s">
        <v>8</v>
      </c>
      <c r="HN379" s="27" t="s">
        <v>7</v>
      </c>
      <c r="HP379" s="27" t="s">
        <v>7</v>
      </c>
      <c r="HS379" s="27" t="s">
        <v>8</v>
      </c>
      <c r="HT379" s="27" t="s">
        <v>7</v>
      </c>
      <c r="HU379" s="27" t="s">
        <v>8</v>
      </c>
      <c r="HV379" s="27" t="s">
        <v>7</v>
      </c>
      <c r="HW379" s="27" t="s">
        <v>8</v>
      </c>
      <c r="HX379" s="27" t="s">
        <v>7</v>
      </c>
      <c r="HY379" s="27" t="s">
        <v>8</v>
      </c>
      <c r="IJ379" s="27" t="s">
        <v>7</v>
      </c>
      <c r="IK379" s="27" t="s">
        <v>8</v>
      </c>
      <c r="IL379" s="27" t="s">
        <v>7</v>
      </c>
      <c r="IM379" s="27" t="s">
        <v>8</v>
      </c>
      <c r="IN379" s="27" t="s">
        <v>7</v>
      </c>
      <c r="IO379" s="27" t="s">
        <v>8</v>
      </c>
      <c r="IP379" s="27" t="s">
        <v>7</v>
      </c>
    </row>
    <row r="380" spans="1:251" x14ac:dyDescent="0.25">
      <c r="A380" s="7">
        <v>60.288649386966043</v>
      </c>
      <c r="B380"/>
      <c r="C380"/>
      <c r="D380"/>
      <c r="E380"/>
      <c r="G380" s="27" t="s">
        <v>8</v>
      </c>
      <c r="R380" s="27" t="s">
        <v>7</v>
      </c>
      <c r="S380" s="27" t="s">
        <v>8</v>
      </c>
      <c r="T380" s="27" t="s">
        <v>7</v>
      </c>
      <c r="U380" s="27" t="s">
        <v>8</v>
      </c>
      <c r="V380" s="27" t="s">
        <v>7</v>
      </c>
      <c r="W380" s="27" t="s">
        <v>8</v>
      </c>
      <c r="BD380" s="27" t="s">
        <v>7</v>
      </c>
      <c r="BE380" s="27" t="s">
        <v>8</v>
      </c>
      <c r="DC380" s="27" t="s">
        <v>8</v>
      </c>
      <c r="DD380" s="27" t="s">
        <v>7</v>
      </c>
      <c r="DI380" s="27" t="s">
        <v>8</v>
      </c>
      <c r="DT380" s="27" t="s">
        <v>7</v>
      </c>
      <c r="DU380" s="27" t="s">
        <v>8</v>
      </c>
      <c r="DV380" s="27" t="s">
        <v>7</v>
      </c>
      <c r="DX380" s="27" t="s">
        <v>7</v>
      </c>
      <c r="DY380" s="27" t="s">
        <v>8</v>
      </c>
      <c r="DZ380" s="27" t="s">
        <v>7</v>
      </c>
      <c r="FS380" s="27" t="s">
        <v>8</v>
      </c>
      <c r="FT380" s="27" t="s">
        <v>7</v>
      </c>
      <c r="FY380" s="27" t="s">
        <v>8</v>
      </c>
      <c r="FZ380" s="27" t="s">
        <v>7</v>
      </c>
      <c r="GA380" s="27" t="s">
        <v>8</v>
      </c>
      <c r="GB380" s="27" t="s">
        <v>7</v>
      </c>
      <c r="GC380" s="27" t="s">
        <v>8</v>
      </c>
      <c r="GT380" s="27" t="s">
        <v>7</v>
      </c>
      <c r="GU380" s="27" t="s">
        <v>8</v>
      </c>
      <c r="GV380" s="27" t="s">
        <v>7</v>
      </c>
      <c r="GW380" s="27" t="s">
        <v>8</v>
      </c>
      <c r="GX380" s="27" t="s">
        <v>7</v>
      </c>
      <c r="GY380" s="27" t="s">
        <v>8</v>
      </c>
      <c r="GZ380" s="27" t="s">
        <v>7</v>
      </c>
      <c r="HA380" s="27" t="s">
        <v>8</v>
      </c>
      <c r="HB380" s="27" t="s">
        <v>7</v>
      </c>
      <c r="HC380" s="27" t="s">
        <v>8</v>
      </c>
      <c r="HD380" s="27" t="s">
        <v>7</v>
      </c>
      <c r="HE380" s="27" t="s">
        <v>8</v>
      </c>
      <c r="HF380" s="27" t="s">
        <v>7</v>
      </c>
      <c r="HG380" s="27" t="s">
        <v>8</v>
      </c>
      <c r="HH380" s="27" t="s">
        <v>7</v>
      </c>
      <c r="HI380" s="27" t="s">
        <v>8</v>
      </c>
      <c r="HL380" s="27" t="s">
        <v>7</v>
      </c>
      <c r="HM380" s="27" t="s">
        <v>8</v>
      </c>
      <c r="HP380" s="27" t="s">
        <v>7</v>
      </c>
      <c r="HS380" s="27" t="s">
        <v>8</v>
      </c>
      <c r="HT380" s="27" t="s">
        <v>7</v>
      </c>
      <c r="HU380" s="27" t="s">
        <v>8</v>
      </c>
      <c r="HV380" s="27" t="s">
        <v>7</v>
      </c>
      <c r="HX380" s="27" t="s">
        <v>7</v>
      </c>
      <c r="IJ380" s="27" t="s">
        <v>7</v>
      </c>
      <c r="IK380" s="27" t="s">
        <v>8</v>
      </c>
      <c r="IL380" s="27" t="s">
        <v>7</v>
      </c>
      <c r="IM380" s="27" t="s">
        <v>8</v>
      </c>
      <c r="IN380" s="27" t="s">
        <v>7</v>
      </c>
      <c r="IO380" s="27" t="s">
        <v>8</v>
      </c>
    </row>
    <row r="381" spans="1:251" x14ac:dyDescent="0.25">
      <c r="A381" s="7">
        <v>59.106519006829451</v>
      </c>
      <c r="B381"/>
      <c r="C381"/>
      <c r="D381"/>
      <c r="E381"/>
      <c r="G381" s="27" t="s">
        <v>8</v>
      </c>
      <c r="R381" s="27" t="s">
        <v>7</v>
      </c>
      <c r="S381" s="27" t="s">
        <v>8</v>
      </c>
      <c r="T381" s="27" t="s">
        <v>7</v>
      </c>
      <c r="U381" s="27" t="s">
        <v>8</v>
      </c>
      <c r="V381" s="27" t="s">
        <v>7</v>
      </c>
      <c r="BD381" s="27" t="s">
        <v>7</v>
      </c>
      <c r="BE381" s="27" t="s">
        <v>8</v>
      </c>
      <c r="BF381" s="27" t="s">
        <v>7</v>
      </c>
      <c r="DC381" s="27" t="s">
        <v>8</v>
      </c>
      <c r="DD381" s="27" t="s">
        <v>7</v>
      </c>
      <c r="DI381" s="27" t="s">
        <v>8</v>
      </c>
      <c r="DT381" s="27" t="s">
        <v>7</v>
      </c>
      <c r="DU381" s="27" t="s">
        <v>8</v>
      </c>
      <c r="DX381" s="27" t="s">
        <v>7</v>
      </c>
      <c r="DY381" s="27" t="s">
        <v>8</v>
      </c>
      <c r="DZ381" s="27" t="s">
        <v>7</v>
      </c>
      <c r="FS381" s="27" t="s">
        <v>8</v>
      </c>
      <c r="FT381" s="27" t="s">
        <v>7</v>
      </c>
      <c r="FY381" s="27" t="s">
        <v>8</v>
      </c>
      <c r="FZ381" s="27" t="s">
        <v>7</v>
      </c>
      <c r="GB381" s="27" t="s">
        <v>7</v>
      </c>
      <c r="GC381" s="27" t="s">
        <v>8</v>
      </c>
      <c r="GT381" s="27" t="s">
        <v>7</v>
      </c>
      <c r="GU381" s="27" t="s">
        <v>8</v>
      </c>
      <c r="GV381" s="27" t="s">
        <v>7</v>
      </c>
      <c r="GW381" s="27" t="s">
        <v>8</v>
      </c>
      <c r="GX381" s="27" t="s">
        <v>7</v>
      </c>
      <c r="GY381" s="27" t="s">
        <v>8</v>
      </c>
      <c r="GZ381" s="27" t="s">
        <v>7</v>
      </c>
      <c r="HB381" s="27" t="s">
        <v>7</v>
      </c>
      <c r="HC381" s="27" t="s">
        <v>8</v>
      </c>
      <c r="HD381" s="27" t="s">
        <v>7</v>
      </c>
      <c r="HF381" s="27" t="s">
        <v>7</v>
      </c>
      <c r="HH381" s="27" t="s">
        <v>7</v>
      </c>
      <c r="HL381" s="27" t="s">
        <v>7</v>
      </c>
      <c r="HM381" s="27" t="s">
        <v>8</v>
      </c>
      <c r="HP381" s="27" t="s">
        <v>7</v>
      </c>
      <c r="HQ381" s="27" t="s">
        <v>8</v>
      </c>
      <c r="HS381" s="27" t="s">
        <v>8</v>
      </c>
      <c r="HT381" s="27" t="s">
        <v>7</v>
      </c>
      <c r="HU381" s="27" t="s">
        <v>8</v>
      </c>
      <c r="IJ381" s="27" t="s">
        <v>7</v>
      </c>
      <c r="IK381" s="27" t="s">
        <v>8</v>
      </c>
      <c r="IL381" s="27" t="s">
        <v>7</v>
      </c>
      <c r="IM381" s="27" t="s">
        <v>8</v>
      </c>
      <c r="IN381" s="27" t="s">
        <v>7</v>
      </c>
      <c r="IO381" s="27" t="s">
        <v>8</v>
      </c>
    </row>
    <row r="382" spans="1:251" x14ac:dyDescent="0.25">
      <c r="A382" s="7">
        <v>57.947567653754362</v>
      </c>
      <c r="B382"/>
      <c r="C382"/>
      <c r="D382"/>
      <c r="E382" t="s">
        <v>8</v>
      </c>
      <c r="G382" s="27" t="s">
        <v>8</v>
      </c>
      <c r="R382" s="27" t="s">
        <v>7</v>
      </c>
      <c r="T382" s="27" t="s">
        <v>7</v>
      </c>
      <c r="U382" s="27" t="s">
        <v>8</v>
      </c>
      <c r="BD382" s="27" t="s">
        <v>7</v>
      </c>
      <c r="BE382" s="27" t="s">
        <v>8</v>
      </c>
      <c r="BF382" s="27" t="s">
        <v>7</v>
      </c>
      <c r="DA382" s="27" t="s">
        <v>8</v>
      </c>
      <c r="DC382" s="27" t="s">
        <v>8</v>
      </c>
      <c r="DD382" s="27" t="s">
        <v>7</v>
      </c>
      <c r="DG382" s="27" t="s">
        <v>8</v>
      </c>
      <c r="DI382" s="27" t="s">
        <v>8</v>
      </c>
      <c r="DT382" s="27" t="s">
        <v>7</v>
      </c>
      <c r="DU382" s="27" t="s">
        <v>8</v>
      </c>
      <c r="DX382" s="27" t="s">
        <v>7</v>
      </c>
      <c r="DZ382" s="27" t="s">
        <v>7</v>
      </c>
      <c r="FS382" s="27" t="s">
        <v>8</v>
      </c>
      <c r="FT382" s="27" t="s">
        <v>7</v>
      </c>
      <c r="FW382" s="27" t="s">
        <v>8</v>
      </c>
      <c r="FY382" s="27" t="s">
        <v>8</v>
      </c>
      <c r="GB382" s="27" t="s">
        <v>7</v>
      </c>
      <c r="GC382" s="27" t="s">
        <v>8</v>
      </c>
      <c r="GT382" s="27" t="s">
        <v>7</v>
      </c>
      <c r="GU382" s="27" t="s">
        <v>8</v>
      </c>
      <c r="GV382" s="27" t="s">
        <v>7</v>
      </c>
      <c r="GW382" s="27" t="s">
        <v>8</v>
      </c>
      <c r="GX382" s="27" t="s">
        <v>7</v>
      </c>
      <c r="HB382" s="27" t="s">
        <v>7</v>
      </c>
      <c r="HC382" s="27" t="s">
        <v>8</v>
      </c>
      <c r="HL382" s="27" t="s">
        <v>7</v>
      </c>
      <c r="HM382" s="27" t="s">
        <v>8</v>
      </c>
      <c r="HP382" s="27" t="s">
        <v>7</v>
      </c>
      <c r="HQ382" s="27" t="s">
        <v>8</v>
      </c>
      <c r="HR382" s="27" t="s">
        <v>7</v>
      </c>
      <c r="HS382" s="27" t="s">
        <v>8</v>
      </c>
      <c r="HT382" s="27" t="s">
        <v>7</v>
      </c>
      <c r="HU382" s="27" t="s">
        <v>8</v>
      </c>
      <c r="IJ382" s="27" t="s">
        <v>7</v>
      </c>
      <c r="IK382" s="27" t="s">
        <v>8</v>
      </c>
      <c r="IL382" s="27" t="s">
        <v>7</v>
      </c>
      <c r="IM382" s="27" t="s">
        <v>8</v>
      </c>
      <c r="IN382" s="27" t="s">
        <v>7</v>
      </c>
    </row>
    <row r="383" spans="1:251" x14ac:dyDescent="0.25">
      <c r="A383" s="7">
        <v>56.811340837014079</v>
      </c>
      <c r="B383"/>
      <c r="C383"/>
      <c r="D383"/>
      <c r="E383" t="s">
        <v>8</v>
      </c>
      <c r="F383" s="27" t="s">
        <v>7</v>
      </c>
      <c r="G383" s="27" t="s">
        <v>8</v>
      </c>
      <c r="T383" s="27" t="s">
        <v>7</v>
      </c>
      <c r="U383" s="27" t="s">
        <v>8</v>
      </c>
      <c r="BD383" s="27" t="s">
        <v>7</v>
      </c>
      <c r="BF383" s="27" t="s">
        <v>7</v>
      </c>
      <c r="DA383" s="27" t="s">
        <v>8</v>
      </c>
      <c r="DB383" s="27" t="s">
        <v>7</v>
      </c>
      <c r="DC383" s="27" t="s">
        <v>8</v>
      </c>
      <c r="DD383" s="27" t="s">
        <v>7</v>
      </c>
      <c r="DG383" s="27" t="s">
        <v>8</v>
      </c>
      <c r="DH383" s="27" t="s">
        <v>7</v>
      </c>
      <c r="DI383" s="27" t="s">
        <v>8</v>
      </c>
      <c r="DT383" s="27" t="s">
        <v>7</v>
      </c>
      <c r="DU383" s="27" t="s">
        <v>8</v>
      </c>
      <c r="DZ383" s="27" t="s">
        <v>7</v>
      </c>
      <c r="FS383" s="27" t="s">
        <v>8</v>
      </c>
      <c r="FT383" s="27" t="s">
        <v>7</v>
      </c>
      <c r="FU383" s="27" t="s">
        <v>8</v>
      </c>
      <c r="FW383" s="27" t="s">
        <v>8</v>
      </c>
      <c r="FX383" s="27" t="s">
        <v>7</v>
      </c>
      <c r="FY383" s="27" t="s">
        <v>8</v>
      </c>
      <c r="GB383" s="27" t="s">
        <v>7</v>
      </c>
      <c r="GT383" s="27" t="s">
        <v>7</v>
      </c>
      <c r="GU383" s="27" t="s">
        <v>8</v>
      </c>
      <c r="GV383" s="27" t="s">
        <v>7</v>
      </c>
      <c r="GW383" s="27" t="s">
        <v>8</v>
      </c>
      <c r="HB383" s="27" t="s">
        <v>7</v>
      </c>
      <c r="HC383" s="27" t="s">
        <v>8</v>
      </c>
      <c r="HL383" s="27" t="s">
        <v>7</v>
      </c>
      <c r="HP383" s="27" t="s">
        <v>7</v>
      </c>
      <c r="HQ383" s="27" t="s">
        <v>8</v>
      </c>
      <c r="HR383" s="27" t="s">
        <v>7</v>
      </c>
      <c r="HS383" s="27" t="s">
        <v>8</v>
      </c>
      <c r="HT383" s="27" t="s">
        <v>7</v>
      </c>
      <c r="IJ383" s="27" t="s">
        <v>7</v>
      </c>
      <c r="IK383" s="27" t="s">
        <v>8</v>
      </c>
      <c r="IL383" s="27" t="s">
        <v>7</v>
      </c>
      <c r="IM383" s="27" t="s">
        <v>8</v>
      </c>
    </row>
    <row r="384" spans="1:251" x14ac:dyDescent="0.25">
      <c r="A384" s="7">
        <v>55.69739297746478</v>
      </c>
      <c r="B384"/>
      <c r="C384"/>
      <c r="D384"/>
      <c r="E384" t="s">
        <v>8</v>
      </c>
      <c r="F384" s="27" t="s">
        <v>7</v>
      </c>
      <c r="G384" s="27" t="s">
        <v>8</v>
      </c>
      <c r="T384" s="27" t="s">
        <v>7</v>
      </c>
      <c r="BF384" s="27" t="s">
        <v>7</v>
      </c>
      <c r="DA384" s="27" t="s">
        <v>8</v>
      </c>
      <c r="DB384" s="27" t="s">
        <v>7</v>
      </c>
      <c r="DC384" s="27" t="s">
        <v>8</v>
      </c>
      <c r="DD384" s="27" t="s">
        <v>7</v>
      </c>
      <c r="DE384" s="27" t="s">
        <v>8</v>
      </c>
      <c r="DG384" s="27" t="s">
        <v>8</v>
      </c>
      <c r="DH384" s="27" t="s">
        <v>7</v>
      </c>
      <c r="DI384" s="27" t="s">
        <v>8</v>
      </c>
      <c r="DT384" s="27" t="s">
        <v>7</v>
      </c>
      <c r="DU384" s="27" t="s">
        <v>8</v>
      </c>
      <c r="DZ384" s="27" t="s">
        <v>7</v>
      </c>
      <c r="FI384" s="27" t="s">
        <v>8</v>
      </c>
      <c r="FS384" s="27" t="s">
        <v>8</v>
      </c>
      <c r="FT384" s="27" t="s">
        <v>7</v>
      </c>
      <c r="FU384" s="27" t="s">
        <v>8</v>
      </c>
      <c r="FV384" s="27" t="s">
        <v>7</v>
      </c>
      <c r="FW384" s="27" t="s">
        <v>8</v>
      </c>
      <c r="FX384" s="27" t="s">
        <v>7</v>
      </c>
      <c r="FY384" s="27" t="s">
        <v>8</v>
      </c>
      <c r="GT384" s="27" t="s">
        <v>7</v>
      </c>
      <c r="GU384" s="27" t="s">
        <v>8</v>
      </c>
      <c r="GV384" s="27" t="s">
        <v>7</v>
      </c>
      <c r="GW384" s="27" t="s">
        <v>8</v>
      </c>
      <c r="HB384" s="27" t="s">
        <v>7</v>
      </c>
      <c r="HC384" s="27" t="s">
        <v>8</v>
      </c>
      <c r="HP384" s="27" t="s">
        <v>7</v>
      </c>
      <c r="HQ384" s="27" t="s">
        <v>8</v>
      </c>
      <c r="HR384" s="27" t="s">
        <v>7</v>
      </c>
      <c r="HS384" s="27" t="s">
        <v>8</v>
      </c>
      <c r="IJ384" s="27" t="s">
        <v>7</v>
      </c>
      <c r="IK384" s="27" t="s">
        <v>8</v>
      </c>
      <c r="IL384" s="27" t="s">
        <v>7</v>
      </c>
      <c r="IM384" s="27" t="s">
        <v>8</v>
      </c>
    </row>
    <row r="385" spans="1:246" x14ac:dyDescent="0.25">
      <c r="A385" s="7">
        <v>54.605287232808607</v>
      </c>
      <c r="B385"/>
      <c r="C385"/>
      <c r="D385"/>
      <c r="E385" t="s">
        <v>8</v>
      </c>
      <c r="F385" s="27" t="s">
        <v>7</v>
      </c>
      <c r="G385" s="27" t="s">
        <v>8</v>
      </c>
      <c r="BF385" s="27" t="s">
        <v>7</v>
      </c>
      <c r="DA385" s="27" t="s">
        <v>8</v>
      </c>
      <c r="DB385" s="27" t="s">
        <v>7</v>
      </c>
      <c r="DC385" s="27" t="s">
        <v>8</v>
      </c>
      <c r="DD385" s="27" t="s">
        <v>7</v>
      </c>
      <c r="DE385" s="27" t="s">
        <v>8</v>
      </c>
      <c r="DF385" s="27" t="s">
        <v>7</v>
      </c>
      <c r="DG385" s="27" t="s">
        <v>8</v>
      </c>
      <c r="DH385" s="27" t="s">
        <v>7</v>
      </c>
      <c r="DT385" s="27" t="s">
        <v>7</v>
      </c>
      <c r="DZ385" s="27" t="s">
        <v>7</v>
      </c>
      <c r="EA385" s="27" t="s">
        <v>8</v>
      </c>
      <c r="FI385" s="27" t="s">
        <v>8</v>
      </c>
      <c r="FJ385" s="27" t="s">
        <v>7</v>
      </c>
      <c r="FK385" s="27" t="s">
        <v>8</v>
      </c>
      <c r="FM385" s="27" t="s">
        <v>8</v>
      </c>
      <c r="FS385" s="27" t="s">
        <v>8</v>
      </c>
      <c r="FT385" s="27" t="s">
        <v>7</v>
      </c>
      <c r="FU385" s="27" t="s">
        <v>8</v>
      </c>
      <c r="FV385" s="27" t="s">
        <v>7</v>
      </c>
      <c r="FW385" s="27" t="s">
        <v>8</v>
      </c>
      <c r="FX385" s="27" t="s">
        <v>7</v>
      </c>
      <c r="GT385" s="27" t="s">
        <v>7</v>
      </c>
      <c r="GU385" s="27" t="s">
        <v>8</v>
      </c>
      <c r="GV385" s="27" t="s">
        <v>7</v>
      </c>
      <c r="GW385" s="27" t="s">
        <v>8</v>
      </c>
      <c r="HB385" s="27" t="s">
        <v>7</v>
      </c>
      <c r="HC385" s="27" t="s">
        <v>8</v>
      </c>
      <c r="HP385" s="27" t="s">
        <v>7</v>
      </c>
      <c r="HR385" s="27" t="s">
        <v>7</v>
      </c>
      <c r="HS385" s="27" t="s">
        <v>8</v>
      </c>
      <c r="IJ385" s="27" t="s">
        <v>7</v>
      </c>
      <c r="IK385" s="27" t="s">
        <v>8</v>
      </c>
      <c r="IL385" s="27" t="s">
        <v>7</v>
      </c>
    </row>
    <row r="386" spans="1:246" x14ac:dyDescent="0.25">
      <c r="A386" s="7">
        <v>53.534595326282947</v>
      </c>
      <c r="B386"/>
      <c r="C386"/>
      <c r="D386"/>
      <c r="E386" t="s">
        <v>8</v>
      </c>
      <c r="F386" s="27" t="s">
        <v>7</v>
      </c>
      <c r="BF386" s="27" t="s">
        <v>7</v>
      </c>
      <c r="BG386" s="27" t="s">
        <v>8</v>
      </c>
      <c r="BI386" s="27" t="s">
        <v>8</v>
      </c>
      <c r="DA386" s="27" t="s">
        <v>8</v>
      </c>
      <c r="DB386" s="27" t="s">
        <v>7</v>
      </c>
      <c r="DC386" s="27" t="s">
        <v>8</v>
      </c>
      <c r="DD386" s="27" t="s">
        <v>7</v>
      </c>
      <c r="DE386" s="27" t="s">
        <v>8</v>
      </c>
      <c r="DF386" s="27" t="s">
        <v>7</v>
      </c>
      <c r="DG386" s="27" t="s">
        <v>8</v>
      </c>
      <c r="DZ386" s="27" t="s">
        <v>7</v>
      </c>
      <c r="EA386" s="27" t="s">
        <v>8</v>
      </c>
      <c r="EB386" s="27" t="s">
        <v>7</v>
      </c>
      <c r="FI386" s="27" t="s">
        <v>8</v>
      </c>
      <c r="FJ386" s="27" t="s">
        <v>7</v>
      </c>
      <c r="FK386" s="27" t="s">
        <v>8</v>
      </c>
      <c r="FL386" s="27" t="s">
        <v>7</v>
      </c>
      <c r="FM386" s="27" t="s">
        <v>8</v>
      </c>
      <c r="FN386" s="27" t="s">
        <v>7</v>
      </c>
      <c r="FQ386" s="27" t="s">
        <v>8</v>
      </c>
      <c r="FS386" s="27" t="s">
        <v>8</v>
      </c>
      <c r="FT386" s="27" t="s">
        <v>7</v>
      </c>
      <c r="FV386" s="27" t="s">
        <v>7</v>
      </c>
      <c r="FW386" s="27" t="s">
        <v>8</v>
      </c>
      <c r="GT386" s="27" t="s">
        <v>7</v>
      </c>
      <c r="GU386" s="27" t="s">
        <v>8</v>
      </c>
      <c r="GV386" s="27" t="s">
        <v>7</v>
      </c>
      <c r="GW386" s="27" t="s">
        <v>8</v>
      </c>
      <c r="HB386" s="27" t="s">
        <v>7</v>
      </c>
      <c r="HC386" s="27" t="s">
        <v>8</v>
      </c>
      <c r="HR386" s="27" t="s">
        <v>7</v>
      </c>
      <c r="HS386" s="27" t="s">
        <v>8</v>
      </c>
      <c r="IJ386" s="27" t="s">
        <v>7</v>
      </c>
      <c r="IK386" s="27" t="s">
        <v>8</v>
      </c>
    </row>
    <row r="387" spans="1:246" x14ac:dyDescent="0.25">
      <c r="A387" s="7">
        <v>52.484897378708773</v>
      </c>
      <c r="B387"/>
      <c r="C387"/>
      <c r="D387"/>
      <c r="E387" t="s">
        <v>8</v>
      </c>
      <c r="BF387" s="27" t="s">
        <v>7</v>
      </c>
      <c r="BG387" s="27" t="s">
        <v>8</v>
      </c>
      <c r="BH387" s="27" t="s">
        <v>7</v>
      </c>
      <c r="BI387" s="27" t="s">
        <v>8</v>
      </c>
      <c r="BJ387" s="27" t="s">
        <v>7</v>
      </c>
      <c r="BO387" s="27" t="s">
        <v>8</v>
      </c>
      <c r="DA387" s="27" t="s">
        <v>8</v>
      </c>
      <c r="DB387" s="27" t="s">
        <v>7</v>
      </c>
      <c r="DC387" s="27" t="s">
        <v>8</v>
      </c>
      <c r="DD387" s="27" t="s">
        <v>7</v>
      </c>
      <c r="DE387" s="27" t="s">
        <v>8</v>
      </c>
      <c r="DF387" s="27" t="s">
        <v>7</v>
      </c>
      <c r="DG387" s="27" t="s">
        <v>8</v>
      </c>
      <c r="DZ387" s="27" t="s">
        <v>7</v>
      </c>
      <c r="EA387" s="27" t="s">
        <v>8</v>
      </c>
      <c r="EB387" s="27" t="s">
        <v>7</v>
      </c>
      <c r="EC387" s="27" t="s">
        <v>8</v>
      </c>
      <c r="EE387" s="27" t="s">
        <v>8</v>
      </c>
      <c r="FI387" s="27" t="s">
        <v>8</v>
      </c>
      <c r="FJ387" s="27" t="s">
        <v>7</v>
      </c>
      <c r="FK387" s="27" t="s">
        <v>8</v>
      </c>
      <c r="FL387" s="27" t="s">
        <v>7</v>
      </c>
      <c r="FM387" s="27" t="s">
        <v>8</v>
      </c>
      <c r="FN387" s="27" t="s">
        <v>7</v>
      </c>
      <c r="FO387" s="27" t="s">
        <v>8</v>
      </c>
      <c r="FQ387" s="27" t="s">
        <v>8</v>
      </c>
      <c r="FR387" s="27" t="s">
        <v>7</v>
      </c>
      <c r="FS387" s="27" t="s">
        <v>8</v>
      </c>
      <c r="FV387" s="27" t="s">
        <v>7</v>
      </c>
      <c r="FW387" s="27" t="s">
        <v>8</v>
      </c>
      <c r="GT387" s="27" t="s">
        <v>7</v>
      </c>
      <c r="GU387" s="27" t="s">
        <v>8</v>
      </c>
      <c r="GV387" s="27" t="s">
        <v>7</v>
      </c>
      <c r="HB387" s="27" t="s">
        <v>7</v>
      </c>
      <c r="HC387" s="27" t="s">
        <v>8</v>
      </c>
      <c r="HR387" s="27" t="s">
        <v>7</v>
      </c>
      <c r="IJ387" s="27" t="s">
        <v>7</v>
      </c>
      <c r="IK387" s="27" t="s">
        <v>8</v>
      </c>
    </row>
    <row r="388" spans="1:246" x14ac:dyDescent="0.25">
      <c r="A388" s="7">
        <v>51.455781743832127</v>
      </c>
      <c r="B388"/>
      <c r="C388"/>
      <c r="D388"/>
      <c r="E388" t="s">
        <v>8</v>
      </c>
      <c r="BF388" s="27" t="s">
        <v>7</v>
      </c>
      <c r="BG388" s="27" t="s">
        <v>8</v>
      </c>
      <c r="BH388" s="27" t="s">
        <v>7</v>
      </c>
      <c r="BI388" s="27" t="s">
        <v>8</v>
      </c>
      <c r="BJ388" s="27" t="s">
        <v>7</v>
      </c>
      <c r="BO388" s="27" t="s">
        <v>8</v>
      </c>
      <c r="BP388" s="27" t="s">
        <v>7</v>
      </c>
      <c r="DA388" s="27" t="s">
        <v>8</v>
      </c>
      <c r="DB388" s="27" t="s">
        <v>7</v>
      </c>
      <c r="DC388" s="27" t="s">
        <v>8</v>
      </c>
      <c r="DD388" s="27" t="s">
        <v>7</v>
      </c>
      <c r="DE388" s="27" t="s">
        <v>8</v>
      </c>
      <c r="DF388" s="27" t="s">
        <v>7</v>
      </c>
      <c r="DG388" s="27" t="s">
        <v>8</v>
      </c>
      <c r="DZ388" s="27" t="s">
        <v>7</v>
      </c>
      <c r="EA388" s="27" t="s">
        <v>8</v>
      </c>
      <c r="EB388" s="27" t="s">
        <v>7</v>
      </c>
      <c r="EC388" s="27" t="s">
        <v>8</v>
      </c>
      <c r="ED388" s="27" t="s">
        <v>7</v>
      </c>
      <c r="EE388" s="27" t="s">
        <v>8</v>
      </c>
      <c r="EF388" s="27" t="s">
        <v>7</v>
      </c>
      <c r="FI388" s="27" t="s">
        <v>8</v>
      </c>
      <c r="FJ388" s="27" t="s">
        <v>7</v>
      </c>
      <c r="FL388" s="27" t="s">
        <v>7</v>
      </c>
      <c r="FM388" s="27" t="s">
        <v>8</v>
      </c>
      <c r="FN388" s="27" t="s">
        <v>7</v>
      </c>
      <c r="FO388" s="27" t="s">
        <v>8</v>
      </c>
      <c r="FP388" s="27" t="s">
        <v>7</v>
      </c>
      <c r="FQ388" s="27" t="s">
        <v>8</v>
      </c>
      <c r="FR388" s="27" t="s">
        <v>7</v>
      </c>
      <c r="FS388" s="27" t="s">
        <v>8</v>
      </c>
      <c r="FV388" s="27" t="s">
        <v>7</v>
      </c>
      <c r="FW388" s="27" t="s">
        <v>8</v>
      </c>
      <c r="GT388" s="27" t="s">
        <v>7</v>
      </c>
      <c r="HB388" s="27" t="s">
        <v>7</v>
      </c>
      <c r="HC388" s="27" t="s">
        <v>8</v>
      </c>
      <c r="IJ388" s="27" t="s">
        <v>7</v>
      </c>
      <c r="IK388" s="27" t="s">
        <v>8</v>
      </c>
    </row>
    <row r="389" spans="1:246" x14ac:dyDescent="0.25">
      <c r="A389" s="7">
        <v>50.446844846894244</v>
      </c>
      <c r="B389"/>
      <c r="C389"/>
      <c r="D389"/>
      <c r="E389" t="s">
        <v>8</v>
      </c>
      <c r="BF389" s="27" t="s">
        <v>7</v>
      </c>
      <c r="BG389" s="27" t="s">
        <v>8</v>
      </c>
      <c r="BH389" s="27" t="s">
        <v>7</v>
      </c>
      <c r="BI389" s="27" t="s">
        <v>8</v>
      </c>
      <c r="BJ389" s="27" t="s">
        <v>7</v>
      </c>
      <c r="BO389" s="27" t="s">
        <v>8</v>
      </c>
      <c r="BP389" s="27" t="s">
        <v>7</v>
      </c>
      <c r="DA389" s="27" t="s">
        <v>8</v>
      </c>
      <c r="DB389" s="27" t="s">
        <v>7</v>
      </c>
      <c r="DC389" s="27" t="s">
        <v>8</v>
      </c>
      <c r="DD389" s="27" t="s">
        <v>7</v>
      </c>
      <c r="DE389" s="27" t="s">
        <v>8</v>
      </c>
      <c r="DF389" s="27" t="s">
        <v>7</v>
      </c>
      <c r="DG389" s="27" t="s">
        <v>8</v>
      </c>
      <c r="DZ389" s="27" t="s">
        <v>7</v>
      </c>
      <c r="EA389" s="27" t="s">
        <v>8</v>
      </c>
      <c r="EB389" s="27" t="s">
        <v>7</v>
      </c>
      <c r="EC389" s="27" t="s">
        <v>8</v>
      </c>
      <c r="ED389" s="27" t="s">
        <v>7</v>
      </c>
      <c r="EE389" s="27" t="s">
        <v>8</v>
      </c>
      <c r="EF389" s="27" t="s">
        <v>7</v>
      </c>
      <c r="FE389" s="27" t="s">
        <v>8</v>
      </c>
      <c r="FI389" s="27" t="s">
        <v>8</v>
      </c>
      <c r="FL389" s="27" t="s">
        <v>7</v>
      </c>
      <c r="FN389" s="27" t="s">
        <v>7</v>
      </c>
      <c r="FO389" s="27" t="s">
        <v>8</v>
      </c>
      <c r="FP389" s="27" t="s">
        <v>7</v>
      </c>
      <c r="FQ389" s="27" t="s">
        <v>8</v>
      </c>
      <c r="FR389" s="27" t="s">
        <v>7</v>
      </c>
      <c r="FV389" s="27" t="s">
        <v>7</v>
      </c>
      <c r="HB389" s="27" t="s">
        <v>7</v>
      </c>
      <c r="IJ389" s="27" t="s">
        <v>7</v>
      </c>
      <c r="IK389" s="27" t="s">
        <v>8</v>
      </c>
    </row>
    <row r="390" spans="1:246" x14ac:dyDescent="0.25">
      <c r="A390" s="7">
        <v>49.457691026366902</v>
      </c>
      <c r="B390"/>
      <c r="C390"/>
      <c r="D390"/>
      <c r="E390" t="s">
        <v>8</v>
      </c>
      <c r="BF390" s="27" t="s">
        <v>7</v>
      </c>
      <c r="BG390" s="27" t="s">
        <v>8</v>
      </c>
      <c r="BH390" s="27" t="s">
        <v>7</v>
      </c>
      <c r="BI390" s="27" t="s">
        <v>8</v>
      </c>
      <c r="BJ390" s="27" t="s">
        <v>7</v>
      </c>
      <c r="BO390" s="27" t="s">
        <v>8</v>
      </c>
      <c r="BP390" s="27" t="s">
        <v>7</v>
      </c>
      <c r="DA390" s="27" t="s">
        <v>8</v>
      </c>
      <c r="DB390" s="27" t="s">
        <v>7</v>
      </c>
      <c r="DC390" s="27" t="s">
        <v>8</v>
      </c>
      <c r="DD390" s="27" t="s">
        <v>7</v>
      </c>
      <c r="DE390" s="27" t="s">
        <v>8</v>
      </c>
      <c r="DF390" s="27" t="s">
        <v>7</v>
      </c>
      <c r="DG390" s="27" t="s">
        <v>8</v>
      </c>
      <c r="DZ390" s="27" t="s">
        <v>7</v>
      </c>
      <c r="EA390" s="27" t="s">
        <v>8</v>
      </c>
      <c r="EB390" s="27" t="s">
        <v>7</v>
      </c>
      <c r="EC390" s="27" t="s">
        <v>8</v>
      </c>
      <c r="ED390" s="27" t="s">
        <v>7</v>
      </c>
      <c r="EF390" s="27" t="s">
        <v>7</v>
      </c>
      <c r="FC390" s="27" t="s">
        <v>8</v>
      </c>
      <c r="FE390" s="27" t="s">
        <v>8</v>
      </c>
      <c r="FF390" s="27" t="s">
        <v>7</v>
      </c>
      <c r="FI390" s="27" t="s">
        <v>8</v>
      </c>
      <c r="FN390" s="27" t="s">
        <v>7</v>
      </c>
      <c r="FO390" s="27" t="s">
        <v>8</v>
      </c>
      <c r="FP390" s="27" t="s">
        <v>7</v>
      </c>
      <c r="FQ390" s="27" t="s">
        <v>8</v>
      </c>
      <c r="IJ390" s="27" t="s">
        <v>7</v>
      </c>
      <c r="IK390" s="27" t="s">
        <v>8</v>
      </c>
    </row>
    <row r="391" spans="1:246" x14ac:dyDescent="0.25">
      <c r="A391" s="7">
        <v>48.487932378791079</v>
      </c>
      <c r="B391"/>
      <c r="C391"/>
      <c r="D391"/>
      <c r="E391" t="s">
        <v>8</v>
      </c>
      <c r="BF391" s="27" t="s">
        <v>7</v>
      </c>
      <c r="BG391" s="27" t="s">
        <v>8</v>
      </c>
      <c r="BH391" s="27" t="s">
        <v>7</v>
      </c>
      <c r="BJ391" s="27" t="s">
        <v>7</v>
      </c>
      <c r="BM391" s="27" t="s">
        <v>8</v>
      </c>
      <c r="BO391" s="27" t="s">
        <v>8</v>
      </c>
      <c r="BP391" s="27" t="s">
        <v>7</v>
      </c>
      <c r="DA391" s="27" t="s">
        <v>8</v>
      </c>
      <c r="DB391" s="27" t="s">
        <v>7</v>
      </c>
      <c r="DD391" s="27" t="s">
        <v>7</v>
      </c>
      <c r="DF391" s="27" t="s">
        <v>7</v>
      </c>
      <c r="DG391" s="27" t="s">
        <v>8</v>
      </c>
      <c r="DZ391" s="27" t="s">
        <v>7</v>
      </c>
      <c r="EB391" s="27" t="s">
        <v>7</v>
      </c>
      <c r="EF391" s="27" t="s">
        <v>7</v>
      </c>
      <c r="ES391" s="27" t="s">
        <v>8</v>
      </c>
      <c r="EW391" s="27" t="s">
        <v>8</v>
      </c>
      <c r="FC391" s="27" t="s">
        <v>8</v>
      </c>
      <c r="FD391" s="27" t="s">
        <v>7</v>
      </c>
      <c r="FE391" s="27" t="s">
        <v>8</v>
      </c>
      <c r="FF391" s="27" t="s">
        <v>7</v>
      </c>
      <c r="FI391" s="27" t="s">
        <v>8</v>
      </c>
      <c r="FN391" s="27" t="s">
        <v>7</v>
      </c>
      <c r="FP391" s="27" t="s">
        <v>7</v>
      </c>
      <c r="IJ391" s="27" t="s">
        <v>7</v>
      </c>
      <c r="IK391" s="27" t="s">
        <v>8</v>
      </c>
    </row>
    <row r="392" spans="1:246" x14ac:dyDescent="0.25">
      <c r="A392" s="7">
        <v>47.537188606657921</v>
      </c>
      <c r="B392"/>
      <c r="C392"/>
      <c r="D392"/>
      <c r="E392" t="s">
        <v>8</v>
      </c>
      <c r="BF392" s="27" t="s">
        <v>7</v>
      </c>
      <c r="BJ392" s="27" t="s">
        <v>7</v>
      </c>
      <c r="BK392" s="27" t="s">
        <v>8</v>
      </c>
      <c r="BM392" s="27" t="s">
        <v>8</v>
      </c>
      <c r="BN392" s="27" t="s">
        <v>7</v>
      </c>
      <c r="BO392" s="27" t="s">
        <v>8</v>
      </c>
      <c r="BP392" s="27" t="s">
        <v>7</v>
      </c>
      <c r="DA392" s="27" t="s">
        <v>8</v>
      </c>
      <c r="DF392" s="27" t="s">
        <v>7</v>
      </c>
      <c r="DG392" s="27" t="s">
        <v>8</v>
      </c>
      <c r="EF392" s="27" t="s">
        <v>7</v>
      </c>
      <c r="ES392" s="27" t="s">
        <v>8</v>
      </c>
      <c r="ET392" s="27" t="s">
        <v>7</v>
      </c>
      <c r="EW392" s="27" t="s">
        <v>8</v>
      </c>
      <c r="EX392" s="27" t="s">
        <v>7</v>
      </c>
      <c r="FC392" s="27" t="s">
        <v>8</v>
      </c>
      <c r="FD392" s="27" t="s">
        <v>7</v>
      </c>
      <c r="FE392" s="27" t="s">
        <v>8</v>
      </c>
      <c r="FF392" s="27" t="s">
        <v>7</v>
      </c>
      <c r="FG392" s="27" t="s">
        <v>8</v>
      </c>
      <c r="FI392" s="27" t="s">
        <v>8</v>
      </c>
      <c r="IJ392" s="27" t="s">
        <v>7</v>
      </c>
    </row>
    <row r="393" spans="1:246" x14ac:dyDescent="0.25">
      <c r="A393" s="7">
        <v>46.605086869272469</v>
      </c>
      <c r="B393"/>
      <c r="C393"/>
      <c r="D393"/>
      <c r="E393" t="s">
        <v>8</v>
      </c>
      <c r="BJ393" s="27" t="s">
        <v>7</v>
      </c>
      <c r="BK393" s="27" t="s">
        <v>8</v>
      </c>
      <c r="BL393" s="27" t="s">
        <v>7</v>
      </c>
      <c r="BM393" s="27" t="s">
        <v>8</v>
      </c>
      <c r="BN393" s="27" t="s">
        <v>7</v>
      </c>
      <c r="BO393" s="27" t="s">
        <v>8</v>
      </c>
      <c r="BP393" s="27" t="s">
        <v>7</v>
      </c>
      <c r="DA393" s="27" t="s">
        <v>8</v>
      </c>
      <c r="DF393" s="27" t="s">
        <v>7</v>
      </c>
      <c r="EF393" s="27" t="s">
        <v>7</v>
      </c>
      <c r="ES393" s="27" t="s">
        <v>8</v>
      </c>
      <c r="ET393" s="27" t="s">
        <v>7</v>
      </c>
      <c r="EW393" s="27" t="s">
        <v>8</v>
      </c>
      <c r="EX393" s="27" t="s">
        <v>7</v>
      </c>
      <c r="FA393" s="27" t="s">
        <v>8</v>
      </c>
      <c r="FC393" s="27" t="s">
        <v>8</v>
      </c>
      <c r="FD393" s="27" t="s">
        <v>7</v>
      </c>
      <c r="FF393" s="27" t="s">
        <v>7</v>
      </c>
      <c r="FG393" s="27" t="s">
        <v>8</v>
      </c>
      <c r="FH393" s="27" t="s">
        <v>7</v>
      </c>
      <c r="FI393" s="27" t="s">
        <v>8</v>
      </c>
    </row>
    <row r="394" spans="1:246" x14ac:dyDescent="0.25">
      <c r="A394" s="7">
        <v>45.691261636541633</v>
      </c>
      <c r="B394"/>
      <c r="C394"/>
      <c r="D394"/>
      <c r="E394" t="s">
        <v>8</v>
      </c>
      <c r="BJ394" s="27" t="s">
        <v>7</v>
      </c>
      <c r="BK394" s="27" t="s">
        <v>8</v>
      </c>
      <c r="BL394" s="27" t="s">
        <v>7</v>
      </c>
      <c r="BM394" s="27" t="s">
        <v>8</v>
      </c>
      <c r="BN394" s="27" t="s">
        <v>7</v>
      </c>
      <c r="BO394" s="27" t="s">
        <v>8</v>
      </c>
      <c r="BP394" s="27" t="s">
        <v>7</v>
      </c>
      <c r="DA394" s="27" t="s">
        <v>8</v>
      </c>
      <c r="EF394" s="27" t="s">
        <v>7</v>
      </c>
      <c r="ES394" s="27" t="s">
        <v>8</v>
      </c>
      <c r="ET394" s="27" t="s">
        <v>7</v>
      </c>
      <c r="EU394" s="27" t="s">
        <v>8</v>
      </c>
      <c r="EW394" s="27" t="s">
        <v>8</v>
      </c>
      <c r="EX394" s="27" t="s">
        <v>7</v>
      </c>
      <c r="FA394" s="27" t="s">
        <v>8</v>
      </c>
      <c r="FB394" s="27" t="s">
        <v>7</v>
      </c>
      <c r="FC394" s="27" t="s">
        <v>8</v>
      </c>
      <c r="FF394" s="27" t="s">
        <v>7</v>
      </c>
      <c r="FG394" s="27" t="s">
        <v>8</v>
      </c>
      <c r="FH394" s="27" t="s">
        <v>7</v>
      </c>
      <c r="FI394" s="27" t="s">
        <v>8</v>
      </c>
    </row>
    <row r="395" spans="1:246" x14ac:dyDescent="0.25">
      <c r="A395" s="7">
        <v>44.795354545629053</v>
      </c>
      <c r="B395"/>
      <c r="C395"/>
      <c r="D395"/>
      <c r="E395" t="s">
        <v>8</v>
      </c>
      <c r="BJ395" s="27" t="s">
        <v>7</v>
      </c>
      <c r="BK395" s="27" t="s">
        <v>8</v>
      </c>
      <c r="BL395" s="27" t="s">
        <v>7</v>
      </c>
      <c r="BN395" s="27" t="s">
        <v>7</v>
      </c>
      <c r="BO395" s="27" t="s">
        <v>8</v>
      </c>
      <c r="BP395" s="27" t="s">
        <v>7</v>
      </c>
      <c r="DA395" s="27" t="s">
        <v>8</v>
      </c>
      <c r="EF395" s="27" t="s">
        <v>7</v>
      </c>
      <c r="ES395" s="27" t="s">
        <v>8</v>
      </c>
      <c r="ET395" s="27" t="s">
        <v>7</v>
      </c>
      <c r="EU395" s="27" t="s">
        <v>8</v>
      </c>
      <c r="EV395" s="27" t="s">
        <v>7</v>
      </c>
      <c r="EW395" s="27" t="s">
        <v>8</v>
      </c>
      <c r="EX395" s="27" t="s">
        <v>7</v>
      </c>
      <c r="EY395" s="27" t="s">
        <v>8</v>
      </c>
      <c r="FA395" s="27" t="s">
        <v>8</v>
      </c>
      <c r="FB395" s="27" t="s">
        <v>7</v>
      </c>
      <c r="FC395" s="27" t="s">
        <v>8</v>
      </c>
      <c r="FF395" s="27" t="s">
        <v>7</v>
      </c>
      <c r="FH395" s="27" t="s">
        <v>7</v>
      </c>
    </row>
    <row r="396" spans="1:246" x14ac:dyDescent="0.25">
      <c r="A396" s="7">
        <v>43.917014260420636</v>
      </c>
      <c r="B396"/>
      <c r="C396"/>
      <c r="D396"/>
      <c r="E396" t="s">
        <v>8</v>
      </c>
      <c r="BJ396" s="27" t="s">
        <v>7</v>
      </c>
      <c r="BN396" s="27" t="s">
        <v>7</v>
      </c>
      <c r="BP396" s="27" t="s">
        <v>7</v>
      </c>
      <c r="DA396" s="27" t="s">
        <v>8</v>
      </c>
      <c r="EF396" s="27" t="s">
        <v>7</v>
      </c>
      <c r="ES396" s="27" t="s">
        <v>8</v>
      </c>
      <c r="ET396" s="27" t="s">
        <v>7</v>
      </c>
      <c r="EU396" s="27" t="s">
        <v>8</v>
      </c>
      <c r="EV396" s="27" t="s">
        <v>7</v>
      </c>
      <c r="EW396" s="27" t="s">
        <v>8</v>
      </c>
      <c r="EX396" s="27" t="s">
        <v>7</v>
      </c>
      <c r="EY396" s="27" t="s">
        <v>8</v>
      </c>
      <c r="EZ396" s="27" t="s">
        <v>7</v>
      </c>
      <c r="FA396" s="27" t="s">
        <v>8</v>
      </c>
      <c r="FB396" s="27" t="s">
        <v>7</v>
      </c>
      <c r="FC396" s="27" t="s">
        <v>8</v>
      </c>
    </row>
    <row r="397" spans="1:246" x14ac:dyDescent="0.25">
      <c r="A397" s="7">
        <v>43.055896333745721</v>
      </c>
      <c r="B397"/>
      <c r="C397"/>
      <c r="D397"/>
      <c r="E397" t="s">
        <v>8</v>
      </c>
      <c r="BP397" s="27" t="s">
        <v>7</v>
      </c>
      <c r="DA397" s="27" t="s">
        <v>8</v>
      </c>
      <c r="EF397" s="27" t="s">
        <v>7</v>
      </c>
      <c r="ES397" s="27" t="s">
        <v>8</v>
      </c>
      <c r="ET397" s="27" t="s">
        <v>7</v>
      </c>
      <c r="EU397" s="27" t="s">
        <v>8</v>
      </c>
      <c r="EV397" s="27" t="s">
        <v>7</v>
      </c>
      <c r="EX397" s="27" t="s">
        <v>7</v>
      </c>
      <c r="EY397" s="27" t="s">
        <v>8</v>
      </c>
      <c r="EZ397" s="27" t="s">
        <v>7</v>
      </c>
      <c r="FA397" s="27" t="s">
        <v>8</v>
      </c>
      <c r="FB397" s="27" t="s">
        <v>7</v>
      </c>
      <c r="FC397" s="27" t="s">
        <v>8</v>
      </c>
    </row>
    <row r="398" spans="1:246" x14ac:dyDescent="0.25">
      <c r="A398" s="7">
        <v>42.211663072299729</v>
      </c>
      <c r="B398"/>
      <c r="C398"/>
      <c r="D398"/>
      <c r="E398" t="s">
        <v>8</v>
      </c>
      <c r="BP398" s="27" t="s">
        <v>7</v>
      </c>
      <c r="DA398" s="27" t="s">
        <v>8</v>
      </c>
      <c r="EF398" s="27" t="s">
        <v>7</v>
      </c>
      <c r="EG398" s="27" t="s">
        <v>8</v>
      </c>
      <c r="ES398" s="27" t="s">
        <v>8</v>
      </c>
      <c r="ET398" s="27" t="s">
        <v>7</v>
      </c>
      <c r="EU398" s="27" t="s">
        <v>8</v>
      </c>
      <c r="EX398" s="27" t="s">
        <v>7</v>
      </c>
      <c r="EZ398" s="27" t="s">
        <v>7</v>
      </c>
      <c r="FA398" s="27" t="s">
        <v>8</v>
      </c>
      <c r="FB398" s="27" t="s">
        <v>7</v>
      </c>
      <c r="FC398" s="27" t="s">
        <v>8</v>
      </c>
    </row>
    <row r="399" spans="1:246" x14ac:dyDescent="0.25">
      <c r="A399" s="7">
        <v>41.383983404215421</v>
      </c>
      <c r="B399"/>
      <c r="C399"/>
      <c r="D399"/>
      <c r="E399" t="s">
        <v>8</v>
      </c>
      <c r="BP399" s="27" t="s">
        <v>7</v>
      </c>
      <c r="BY399" s="27" t="s">
        <v>8</v>
      </c>
      <c r="DA399" s="27" t="s">
        <v>8</v>
      </c>
      <c r="EF399" s="27" t="s">
        <v>7</v>
      </c>
      <c r="EG399" s="27" t="s">
        <v>8</v>
      </c>
      <c r="EH399" s="27" t="s">
        <v>7</v>
      </c>
      <c r="EO399" s="27" t="s">
        <v>8</v>
      </c>
      <c r="ES399" s="27" t="s">
        <v>8</v>
      </c>
      <c r="ET399" s="27" t="s">
        <v>7</v>
      </c>
      <c r="EU399" s="27" t="s">
        <v>8</v>
      </c>
      <c r="EZ399" s="27" t="s">
        <v>7</v>
      </c>
      <c r="FB399" s="27" t="s">
        <v>7</v>
      </c>
      <c r="FC399" s="27" t="s">
        <v>8</v>
      </c>
    </row>
    <row r="400" spans="1:246" x14ac:dyDescent="0.25">
      <c r="A400" s="7">
        <v>40.572532749230803</v>
      </c>
      <c r="B400"/>
      <c r="C400"/>
      <c r="D400"/>
      <c r="E400" t="s">
        <v>8</v>
      </c>
      <c r="BP400" s="27" t="s">
        <v>7</v>
      </c>
      <c r="BS400" s="27" t="s">
        <v>8</v>
      </c>
      <c r="BY400" s="27" t="s">
        <v>8</v>
      </c>
      <c r="BZ400" s="27" t="s">
        <v>7</v>
      </c>
      <c r="DA400" s="27" t="s">
        <v>8</v>
      </c>
      <c r="EF400" s="27" t="s">
        <v>7</v>
      </c>
      <c r="EG400" s="27" t="s">
        <v>8</v>
      </c>
      <c r="EH400" s="27" t="s">
        <v>7</v>
      </c>
      <c r="EO400" s="27" t="s">
        <v>8</v>
      </c>
      <c r="EP400" s="27" t="s">
        <v>7</v>
      </c>
      <c r="ES400" s="27" t="s">
        <v>8</v>
      </c>
      <c r="ET400" s="27" t="s">
        <v>7</v>
      </c>
      <c r="FB400" s="27" t="s">
        <v>7</v>
      </c>
      <c r="FC400" s="27" t="s">
        <v>8</v>
      </c>
    </row>
    <row r="401" spans="1:159" x14ac:dyDescent="0.25">
      <c r="A401" s="7">
        <v>39.776992891402749</v>
      </c>
      <c r="B401"/>
      <c r="C401"/>
      <c r="D401"/>
      <c r="E401" t="s">
        <v>8</v>
      </c>
      <c r="BP401" s="27" t="s">
        <v>7</v>
      </c>
      <c r="BS401" s="27" t="s">
        <v>8</v>
      </c>
      <c r="BT401" s="27" t="s">
        <v>7</v>
      </c>
      <c r="BU401" s="27" t="s">
        <v>8</v>
      </c>
      <c r="BY401" s="27" t="s">
        <v>8</v>
      </c>
      <c r="BZ401" s="27" t="s">
        <v>7</v>
      </c>
      <c r="DA401" s="27" t="s">
        <v>8</v>
      </c>
      <c r="EF401" s="27" t="s">
        <v>7</v>
      </c>
      <c r="EG401" s="27" t="s">
        <v>8</v>
      </c>
      <c r="EH401" s="27" t="s">
        <v>7</v>
      </c>
      <c r="EO401" s="27" t="s">
        <v>8</v>
      </c>
      <c r="EP401" s="27" t="s">
        <v>7</v>
      </c>
      <c r="ES401" s="27" t="s">
        <v>8</v>
      </c>
      <c r="FB401" s="27" t="s">
        <v>7</v>
      </c>
      <c r="FC401" s="27" t="s">
        <v>8</v>
      </c>
    </row>
    <row r="402" spans="1:159" x14ac:dyDescent="0.25">
      <c r="A402" s="7">
        <v>38.997051854316418</v>
      </c>
      <c r="B402"/>
      <c r="C402"/>
      <c r="D402"/>
      <c r="E402" t="s">
        <v>8</v>
      </c>
      <c r="BP402" s="27" t="s">
        <v>7</v>
      </c>
      <c r="BQ402" s="27" t="s">
        <v>8</v>
      </c>
      <c r="BS402" s="27" t="s">
        <v>8</v>
      </c>
      <c r="BT402" s="27" t="s">
        <v>7</v>
      </c>
      <c r="BU402" s="27" t="s">
        <v>8</v>
      </c>
      <c r="BV402" s="27" t="s">
        <v>7</v>
      </c>
      <c r="BY402" s="27" t="s">
        <v>8</v>
      </c>
      <c r="BZ402" s="27" t="s">
        <v>7</v>
      </c>
      <c r="CA402" s="27" t="s">
        <v>8</v>
      </c>
      <c r="DA402" s="27" t="s">
        <v>8</v>
      </c>
      <c r="EF402" s="27" t="s">
        <v>7</v>
      </c>
      <c r="EH402" s="27" t="s">
        <v>7</v>
      </c>
      <c r="EO402" s="27" t="s">
        <v>8</v>
      </c>
      <c r="EP402" s="27" t="s">
        <v>7</v>
      </c>
      <c r="ES402" s="27" t="s">
        <v>8</v>
      </c>
      <c r="FB402" s="27" t="s">
        <v>7</v>
      </c>
      <c r="FC402" s="27" t="s">
        <v>8</v>
      </c>
    </row>
    <row r="403" spans="1:159" x14ac:dyDescent="0.25">
      <c r="A403" s="7">
        <v>38.232403778741585</v>
      </c>
      <c r="B403"/>
      <c r="C403"/>
      <c r="D403"/>
      <c r="E403" t="s">
        <v>8</v>
      </c>
      <c r="BP403" s="27" t="s">
        <v>7</v>
      </c>
      <c r="BQ403" s="27" t="s">
        <v>8</v>
      </c>
      <c r="BR403" s="27" t="s">
        <v>7</v>
      </c>
      <c r="BS403" s="27" t="s">
        <v>8</v>
      </c>
      <c r="BT403" s="27" t="s">
        <v>7</v>
      </c>
      <c r="BU403" s="27" t="s">
        <v>8</v>
      </c>
      <c r="BV403" s="27" t="s">
        <v>7</v>
      </c>
      <c r="BW403" s="27" t="s">
        <v>8</v>
      </c>
      <c r="BY403" s="27" t="s">
        <v>8</v>
      </c>
      <c r="BZ403" s="27" t="s">
        <v>7</v>
      </c>
      <c r="CA403" s="27" t="s">
        <v>8</v>
      </c>
      <c r="CB403" s="27" t="s">
        <v>7</v>
      </c>
      <c r="CC403" s="27" t="s">
        <v>8</v>
      </c>
      <c r="DA403" s="27" t="s">
        <v>8</v>
      </c>
      <c r="EH403" s="27" t="s">
        <v>7</v>
      </c>
      <c r="EO403" s="27" t="s">
        <v>8</v>
      </c>
      <c r="EP403" s="27" t="s">
        <v>7</v>
      </c>
      <c r="ES403" s="27" t="s">
        <v>8</v>
      </c>
      <c r="FB403" s="27" t="s">
        <v>7</v>
      </c>
    </row>
    <row r="404" spans="1:159" x14ac:dyDescent="0.25">
      <c r="A404" s="7">
        <v>37.48274880268783</v>
      </c>
      <c r="B404"/>
      <c r="C404"/>
      <c r="D404"/>
      <c r="E404" t="s">
        <v>8</v>
      </c>
      <c r="BP404" s="27" t="s">
        <v>7</v>
      </c>
      <c r="BQ404" s="27" t="s">
        <v>8</v>
      </c>
      <c r="BR404" s="27" t="s">
        <v>7</v>
      </c>
      <c r="BS404" s="27" t="s">
        <v>8</v>
      </c>
      <c r="BT404" s="27" t="s">
        <v>7</v>
      </c>
      <c r="BU404" s="27" t="s">
        <v>8</v>
      </c>
      <c r="BV404" s="27" t="s">
        <v>7</v>
      </c>
      <c r="BW404" s="27" t="s">
        <v>8</v>
      </c>
      <c r="BX404" s="27" t="s">
        <v>7</v>
      </c>
      <c r="BY404" s="27" t="s">
        <v>8</v>
      </c>
      <c r="BZ404" s="27" t="s">
        <v>7</v>
      </c>
      <c r="CA404" s="27" t="s">
        <v>8</v>
      </c>
      <c r="CB404" s="27" t="s">
        <v>7</v>
      </c>
      <c r="CC404" s="27" t="s">
        <v>8</v>
      </c>
      <c r="CD404" s="27" t="s">
        <v>7</v>
      </c>
      <c r="DA404" s="27" t="s">
        <v>8</v>
      </c>
      <c r="EH404" s="27" t="s">
        <v>7</v>
      </c>
      <c r="EO404" s="27" t="s">
        <v>8</v>
      </c>
      <c r="EP404" s="27" t="s">
        <v>7</v>
      </c>
      <c r="EQ404" s="27" t="s">
        <v>8</v>
      </c>
      <c r="ES404" s="27" t="s">
        <v>8</v>
      </c>
    </row>
    <row r="405" spans="1:159" x14ac:dyDescent="0.25">
      <c r="A405" s="7">
        <v>36.747792943811596</v>
      </c>
      <c r="B405"/>
      <c r="C405"/>
      <c r="D405"/>
      <c r="E405" t="s">
        <v>8</v>
      </c>
      <c r="BP405" s="27" t="s">
        <v>7</v>
      </c>
      <c r="BQ405" s="27" t="s">
        <v>8</v>
      </c>
      <c r="BR405" s="27" t="s">
        <v>7</v>
      </c>
      <c r="BS405" s="27" t="s">
        <v>8</v>
      </c>
      <c r="BT405" s="27" t="s">
        <v>7</v>
      </c>
      <c r="BV405" s="27" t="s">
        <v>7</v>
      </c>
      <c r="BW405" s="27" t="s">
        <v>8</v>
      </c>
      <c r="BX405" s="27" t="s">
        <v>7</v>
      </c>
      <c r="BY405" s="27" t="s">
        <v>8</v>
      </c>
      <c r="BZ405" s="27" t="s">
        <v>7</v>
      </c>
      <c r="CB405" s="27" t="s">
        <v>7</v>
      </c>
      <c r="CC405" s="27" t="s">
        <v>8</v>
      </c>
      <c r="CD405" s="27" t="s">
        <v>7</v>
      </c>
      <c r="CY405" s="27" t="s">
        <v>8</v>
      </c>
      <c r="DA405" s="27" t="s">
        <v>8</v>
      </c>
      <c r="EH405" s="27" t="s">
        <v>7</v>
      </c>
      <c r="EO405" s="27" t="s">
        <v>8</v>
      </c>
      <c r="EP405" s="27" t="s">
        <v>7</v>
      </c>
      <c r="EQ405" s="27" t="s">
        <v>8</v>
      </c>
      <c r="ER405" s="27" t="s">
        <v>7</v>
      </c>
      <c r="ES405" s="27" t="s">
        <v>8</v>
      </c>
    </row>
    <row r="406" spans="1:159" x14ac:dyDescent="0.25">
      <c r="A406" s="7">
        <v>36.027247984129012</v>
      </c>
      <c r="B406"/>
      <c r="C406"/>
      <c r="D406"/>
      <c r="E406" t="s">
        <v>8</v>
      </c>
      <c r="BP406" s="27" t="s">
        <v>7</v>
      </c>
      <c r="BQ406" s="27" t="s">
        <v>8</v>
      </c>
      <c r="BR406" s="27" t="s">
        <v>7</v>
      </c>
      <c r="BS406" s="27" t="s">
        <v>8</v>
      </c>
      <c r="BV406" s="27" t="s">
        <v>7</v>
      </c>
      <c r="BW406" s="27" t="s">
        <v>8</v>
      </c>
      <c r="BX406" s="27" t="s">
        <v>7</v>
      </c>
      <c r="BY406" s="27" t="s">
        <v>8</v>
      </c>
      <c r="CB406" s="27" t="s">
        <v>7</v>
      </c>
      <c r="CD406" s="27" t="s">
        <v>7</v>
      </c>
      <c r="CY406" s="27" t="s">
        <v>8</v>
      </c>
      <c r="CZ406" s="27" t="s">
        <v>7</v>
      </c>
      <c r="DA406" s="27" t="s">
        <v>8</v>
      </c>
      <c r="EH406" s="27" t="s">
        <v>7</v>
      </c>
      <c r="EK406" s="27" t="s">
        <v>8</v>
      </c>
      <c r="EO406" s="27" t="s">
        <v>8</v>
      </c>
      <c r="EP406" s="27" t="s">
        <v>7</v>
      </c>
      <c r="EQ406" s="27" t="s">
        <v>8</v>
      </c>
      <c r="ER406" s="27" t="s">
        <v>7</v>
      </c>
      <c r="ES406" s="27" t="s">
        <v>8</v>
      </c>
    </row>
    <row r="407" spans="1:159" x14ac:dyDescent="0.25">
      <c r="A407" s="7">
        <v>35.320831356989224</v>
      </c>
      <c r="B407"/>
      <c r="C407"/>
      <c r="D407"/>
      <c r="E407" t="s">
        <v>8</v>
      </c>
      <c r="BP407" s="27" t="s">
        <v>7</v>
      </c>
      <c r="BQ407" s="27" t="s">
        <v>8</v>
      </c>
      <c r="BR407" s="27" t="s">
        <v>7</v>
      </c>
      <c r="BS407" s="27" t="s">
        <v>8</v>
      </c>
      <c r="BV407" s="27" t="s">
        <v>7</v>
      </c>
      <c r="BX407" s="27" t="s">
        <v>7</v>
      </c>
      <c r="BY407" s="27" t="s">
        <v>8</v>
      </c>
      <c r="CD407" s="27" t="s">
        <v>7</v>
      </c>
      <c r="CY407" s="27" t="s">
        <v>8</v>
      </c>
      <c r="CZ407" s="27" t="s">
        <v>7</v>
      </c>
      <c r="DA407" s="27" t="s">
        <v>8</v>
      </c>
      <c r="EH407" s="27" t="s">
        <v>7</v>
      </c>
      <c r="EK407" s="27" t="s">
        <v>8</v>
      </c>
      <c r="EL407" s="27" t="s">
        <v>7</v>
      </c>
      <c r="EO407" s="27" t="s">
        <v>8</v>
      </c>
      <c r="EP407" s="27" t="s">
        <v>7</v>
      </c>
      <c r="EQ407" s="27" t="s">
        <v>8</v>
      </c>
      <c r="ER407" s="27" t="s">
        <v>7</v>
      </c>
      <c r="ES407" s="27" t="s">
        <v>8</v>
      </c>
    </row>
    <row r="408" spans="1:159" x14ac:dyDescent="0.25">
      <c r="A408" s="7">
        <v>34.628266036263945</v>
      </c>
      <c r="B408"/>
      <c r="C408"/>
      <c r="D408"/>
      <c r="E408" t="s">
        <v>8</v>
      </c>
      <c r="BP408" s="27" t="s">
        <v>7</v>
      </c>
      <c r="BQ408" s="27" t="s">
        <v>8</v>
      </c>
      <c r="BR408" s="27" t="s">
        <v>7</v>
      </c>
      <c r="BS408" s="27" t="s">
        <v>8</v>
      </c>
      <c r="BX408" s="27" t="s">
        <v>7</v>
      </c>
      <c r="BY408" s="27" t="s">
        <v>8</v>
      </c>
      <c r="CD408" s="27" t="s">
        <v>7</v>
      </c>
      <c r="CY408" s="27" t="s">
        <v>8</v>
      </c>
      <c r="CZ408" s="27" t="s">
        <v>7</v>
      </c>
      <c r="EH408" s="27" t="s">
        <v>7</v>
      </c>
      <c r="EK408" s="27" t="s">
        <v>8</v>
      </c>
      <c r="EL408" s="27" t="s">
        <v>7</v>
      </c>
      <c r="EO408" s="27" t="s">
        <v>8</v>
      </c>
      <c r="EP408" s="27" t="s">
        <v>7</v>
      </c>
      <c r="ER408" s="27" t="s">
        <v>7</v>
      </c>
      <c r="ES408" s="27" t="s">
        <v>8</v>
      </c>
    </row>
    <row r="409" spans="1:159" x14ac:dyDescent="0.25">
      <c r="A409" s="7">
        <v>33.949280427709752</v>
      </c>
      <c r="B409"/>
      <c r="C409"/>
      <c r="D409"/>
      <c r="E409" t="s">
        <v>8</v>
      </c>
      <c r="BP409" s="27" t="s">
        <v>7</v>
      </c>
      <c r="BQ409" s="27" t="s">
        <v>8</v>
      </c>
      <c r="BR409" s="27" t="s">
        <v>7</v>
      </c>
      <c r="BS409" s="27" t="s">
        <v>8</v>
      </c>
      <c r="BX409" s="27" t="s">
        <v>7</v>
      </c>
      <c r="BY409" s="27" t="s">
        <v>8</v>
      </c>
      <c r="CD409" s="27" t="s">
        <v>7</v>
      </c>
      <c r="CY409" s="27" t="s">
        <v>8</v>
      </c>
      <c r="EH409" s="27" t="s">
        <v>7</v>
      </c>
      <c r="EK409" s="27" t="s">
        <v>8</v>
      </c>
      <c r="EL409" s="27" t="s">
        <v>7</v>
      </c>
      <c r="EO409" s="27" t="s">
        <v>8</v>
      </c>
      <c r="ER409" s="27" t="s">
        <v>7</v>
      </c>
    </row>
    <row r="410" spans="1:159" x14ac:dyDescent="0.25">
      <c r="A410" s="7">
        <v>33.28360826246054</v>
      </c>
      <c r="B410"/>
      <c r="C410"/>
      <c r="D410"/>
      <c r="E410" t="s">
        <v>8</v>
      </c>
      <c r="BP410" s="27" t="s">
        <v>7</v>
      </c>
      <c r="BQ410" s="27" t="s">
        <v>8</v>
      </c>
      <c r="BR410" s="27" t="s">
        <v>7</v>
      </c>
      <c r="BX410" s="27" t="s">
        <v>7</v>
      </c>
      <c r="BY410" s="27" t="s">
        <v>8</v>
      </c>
      <c r="CD410" s="27" t="s">
        <v>7</v>
      </c>
      <c r="CM410" s="27" t="s">
        <v>8</v>
      </c>
      <c r="CO410" s="27" t="s">
        <v>8</v>
      </c>
      <c r="CY410" s="27" t="s">
        <v>8</v>
      </c>
      <c r="EH410" s="27" t="s">
        <v>7</v>
      </c>
      <c r="EK410" s="27" t="s">
        <v>8</v>
      </c>
      <c r="EL410" s="27" t="s">
        <v>7</v>
      </c>
      <c r="EO410" s="27" t="s">
        <v>8</v>
      </c>
    </row>
    <row r="411" spans="1:159" x14ac:dyDescent="0.25">
      <c r="A411" s="7">
        <v>32.630988492608374</v>
      </c>
      <c r="B411"/>
      <c r="C411"/>
      <c r="D411"/>
      <c r="E411" t="s">
        <v>8</v>
      </c>
      <c r="BP411" s="27" t="s">
        <v>7</v>
      </c>
      <c r="BQ411" s="27" t="s">
        <v>8</v>
      </c>
      <c r="BX411" s="27" t="s">
        <v>7</v>
      </c>
      <c r="BY411" s="27" t="s">
        <v>8</v>
      </c>
      <c r="CD411" s="27" t="s">
        <v>7</v>
      </c>
      <c r="CM411" s="27" t="s">
        <v>8</v>
      </c>
      <c r="CN411" s="27" t="s">
        <v>7</v>
      </c>
      <c r="CO411" s="27" t="s">
        <v>8</v>
      </c>
      <c r="CP411" s="27" t="s">
        <v>7</v>
      </c>
      <c r="CW411" s="27" t="s">
        <v>8</v>
      </c>
      <c r="CY411" s="27" t="s">
        <v>8</v>
      </c>
      <c r="EH411" s="27" t="s">
        <v>7</v>
      </c>
      <c r="EK411" s="27" t="s">
        <v>8</v>
      </c>
      <c r="EL411" s="27" t="s">
        <v>7</v>
      </c>
      <c r="EM411" s="27" t="s">
        <v>8</v>
      </c>
      <c r="EO411" s="27" t="s">
        <v>8</v>
      </c>
    </row>
    <row r="412" spans="1:159" x14ac:dyDescent="0.25">
      <c r="A412" s="7">
        <v>31.99116518883174</v>
      </c>
      <c r="B412"/>
      <c r="C412"/>
      <c r="D412"/>
      <c r="E412" t="s">
        <v>8</v>
      </c>
      <c r="BP412" s="27" t="s">
        <v>7</v>
      </c>
      <c r="BQ412" s="27" t="s">
        <v>8</v>
      </c>
      <c r="BX412" s="27" t="s">
        <v>7</v>
      </c>
      <c r="CD412" s="27" t="s">
        <v>7</v>
      </c>
      <c r="CK412" s="27" t="s">
        <v>8</v>
      </c>
      <c r="CM412" s="27" t="s">
        <v>8</v>
      </c>
      <c r="CN412" s="27" t="s">
        <v>7</v>
      </c>
      <c r="CO412" s="27" t="s">
        <v>8</v>
      </c>
      <c r="CP412" s="27" t="s">
        <v>7</v>
      </c>
      <c r="CW412" s="27" t="s">
        <v>8</v>
      </c>
      <c r="CX412" s="27" t="s">
        <v>7</v>
      </c>
      <c r="CY412" s="27" t="s">
        <v>8</v>
      </c>
      <c r="EH412" s="27" t="s">
        <v>7</v>
      </c>
      <c r="EK412" s="27" t="s">
        <v>8</v>
      </c>
      <c r="EL412" s="27" t="s">
        <v>7</v>
      </c>
      <c r="EM412" s="27" t="s">
        <v>8</v>
      </c>
      <c r="EN412" s="27" t="s">
        <v>7</v>
      </c>
      <c r="EO412" s="27" t="s">
        <v>8</v>
      </c>
    </row>
    <row r="413" spans="1:159" x14ac:dyDescent="0.25">
      <c r="A413" s="7">
        <v>31.363887440031117</v>
      </c>
      <c r="B413"/>
      <c r="C413"/>
      <c r="D413"/>
      <c r="E413" t="s">
        <v>8</v>
      </c>
      <c r="BP413" s="27" t="s">
        <v>7</v>
      </c>
      <c r="BQ413" s="27" t="s">
        <v>8</v>
      </c>
      <c r="CD413" s="27" t="s">
        <v>7</v>
      </c>
      <c r="CK413" s="27" t="s">
        <v>8</v>
      </c>
      <c r="CL413" s="27" t="s">
        <v>7</v>
      </c>
      <c r="CM413" s="27" t="s">
        <v>8</v>
      </c>
      <c r="CN413" s="27" t="s">
        <v>7</v>
      </c>
      <c r="CO413" s="27" t="s">
        <v>8</v>
      </c>
      <c r="CP413" s="27" t="s">
        <v>7</v>
      </c>
      <c r="CW413" s="27" t="s">
        <v>8</v>
      </c>
      <c r="CX413" s="27" t="s">
        <v>7</v>
      </c>
      <c r="CY413" s="27" t="s">
        <v>8</v>
      </c>
      <c r="EH413" s="27" t="s">
        <v>7</v>
      </c>
      <c r="EK413" s="27" t="s">
        <v>8</v>
      </c>
      <c r="EL413" s="27" t="s">
        <v>7</v>
      </c>
      <c r="EM413" s="27" t="s">
        <v>8</v>
      </c>
      <c r="EN413" s="27" t="s">
        <v>7</v>
      </c>
      <c r="EO413" s="27" t="s">
        <v>8</v>
      </c>
    </row>
    <row r="414" spans="1:159" x14ac:dyDescent="0.25">
      <c r="A414" s="7">
        <v>30.748909254932467</v>
      </c>
      <c r="B414"/>
      <c r="C414"/>
      <c r="D414"/>
      <c r="E414" t="s">
        <v>8</v>
      </c>
      <c r="BP414" s="27" t="s">
        <v>7</v>
      </c>
      <c r="BQ414" s="27" t="s">
        <v>8</v>
      </c>
      <c r="CD414" s="27" t="s">
        <v>7</v>
      </c>
      <c r="CI414" s="27" t="s">
        <v>8</v>
      </c>
      <c r="CK414" s="27" t="s">
        <v>8</v>
      </c>
      <c r="CL414" s="27" t="s">
        <v>7</v>
      </c>
      <c r="CM414" s="27" t="s">
        <v>8</v>
      </c>
      <c r="CN414" s="27" t="s">
        <v>7</v>
      </c>
      <c r="CP414" s="27" t="s">
        <v>7</v>
      </c>
      <c r="CW414" s="27" t="s">
        <v>8</v>
      </c>
      <c r="CX414" s="27" t="s">
        <v>7</v>
      </c>
      <c r="CY414" s="27" t="s">
        <v>8</v>
      </c>
      <c r="EH414" s="27" t="s">
        <v>7</v>
      </c>
      <c r="EK414" s="27" t="s">
        <v>8</v>
      </c>
      <c r="EL414" s="27" t="s">
        <v>7</v>
      </c>
      <c r="EM414" s="27" t="s">
        <v>8</v>
      </c>
      <c r="EN414" s="27" t="s">
        <v>7</v>
      </c>
      <c r="EO414" s="27" t="s">
        <v>8</v>
      </c>
    </row>
    <row r="415" spans="1:159" x14ac:dyDescent="0.25">
      <c r="A415" s="7">
        <v>30.145989465620065</v>
      </c>
      <c r="B415"/>
      <c r="C415"/>
      <c r="D415"/>
      <c r="E415" t="s">
        <v>8</v>
      </c>
      <c r="BP415" s="27" t="s">
        <v>7</v>
      </c>
      <c r="CD415" s="27" t="s">
        <v>7</v>
      </c>
      <c r="CI415" s="27" t="s">
        <v>8</v>
      </c>
      <c r="CJ415" s="27" t="s">
        <v>7</v>
      </c>
      <c r="CK415" s="27" t="s">
        <v>8</v>
      </c>
      <c r="CL415" s="27" t="s">
        <v>7</v>
      </c>
      <c r="CM415" s="27" t="s">
        <v>8</v>
      </c>
      <c r="CP415" s="27" t="s">
        <v>7</v>
      </c>
      <c r="CW415" s="27" t="s">
        <v>8</v>
      </c>
      <c r="CX415" s="27" t="s">
        <v>7</v>
      </c>
      <c r="EH415" s="27" t="s">
        <v>7</v>
      </c>
      <c r="EK415" s="27" t="s">
        <v>8</v>
      </c>
      <c r="EL415" s="27" t="s">
        <v>7</v>
      </c>
      <c r="EM415" s="27" t="s">
        <v>8</v>
      </c>
      <c r="EN415" s="27" t="s">
        <v>7</v>
      </c>
      <c r="EO415" s="27" t="s">
        <v>8</v>
      </c>
    </row>
    <row r="416" spans="1:159" x14ac:dyDescent="0.25">
      <c r="A416" s="7">
        <v>29.55489163296085</v>
      </c>
      <c r="B416"/>
      <c r="C416"/>
      <c r="D416"/>
      <c r="E416" t="s">
        <v>8</v>
      </c>
      <c r="CD416" s="27" t="s">
        <v>7</v>
      </c>
      <c r="CE416" s="27" t="s">
        <v>8</v>
      </c>
      <c r="CG416" s="27" t="s">
        <v>8</v>
      </c>
      <c r="CI416" s="27" t="s">
        <v>8</v>
      </c>
      <c r="CJ416" s="27" t="s">
        <v>7</v>
      </c>
      <c r="CK416" s="27" t="s">
        <v>8</v>
      </c>
      <c r="CL416" s="27" t="s">
        <v>7</v>
      </c>
      <c r="CP416" s="27" t="s">
        <v>7</v>
      </c>
      <c r="CQ416" s="27" t="s">
        <v>8</v>
      </c>
      <c r="CS416" s="27" t="s">
        <v>8</v>
      </c>
      <c r="CU416" s="27" t="s">
        <v>8</v>
      </c>
      <c r="CW416" s="27" t="s">
        <v>8</v>
      </c>
      <c r="EH416" s="27" t="s">
        <v>7</v>
      </c>
      <c r="EK416" s="27" t="s">
        <v>8</v>
      </c>
      <c r="EL416" s="27" t="s">
        <v>7</v>
      </c>
      <c r="EN416" s="27" t="s">
        <v>7</v>
      </c>
      <c r="EO416" s="27" t="s">
        <v>8</v>
      </c>
    </row>
    <row r="417" spans="1:145" x14ac:dyDescent="0.25">
      <c r="A417" s="7">
        <v>28.975383953883185</v>
      </c>
      <c r="B417"/>
      <c r="C417"/>
      <c r="D417"/>
      <c r="E417" t="s">
        <v>8</v>
      </c>
      <c r="CD417" s="27" t="s">
        <v>7</v>
      </c>
      <c r="CE417" s="27" t="s">
        <v>8</v>
      </c>
      <c r="CF417" s="27" t="s">
        <v>7</v>
      </c>
      <c r="CG417" s="27" t="s">
        <v>8</v>
      </c>
      <c r="CH417" s="27" t="s">
        <v>7</v>
      </c>
      <c r="CI417" s="27" t="s">
        <v>8</v>
      </c>
      <c r="CJ417" s="27" t="s">
        <v>7</v>
      </c>
      <c r="CK417" s="27" t="s">
        <v>8</v>
      </c>
      <c r="CP417" s="27" t="s">
        <v>7</v>
      </c>
      <c r="CQ417" s="27" t="s">
        <v>8</v>
      </c>
      <c r="CR417" s="27" t="s">
        <v>7</v>
      </c>
      <c r="CS417" s="27" t="s">
        <v>8</v>
      </c>
      <c r="CT417" s="27" t="s">
        <v>7</v>
      </c>
      <c r="CU417" s="27" t="s">
        <v>8</v>
      </c>
      <c r="CV417" s="27" t="s">
        <v>7</v>
      </c>
      <c r="CW417" s="27" t="s">
        <v>8</v>
      </c>
      <c r="EH417" s="27" t="s">
        <v>7</v>
      </c>
      <c r="EK417" s="27" t="s">
        <v>8</v>
      </c>
      <c r="EN417" s="27" t="s">
        <v>7</v>
      </c>
      <c r="EO417" s="27" t="s">
        <v>8</v>
      </c>
    </row>
    <row r="418" spans="1:145" x14ac:dyDescent="0.25">
      <c r="A418" s="7">
        <v>28.407239170473709</v>
      </c>
      <c r="B418"/>
      <c r="C418"/>
      <c r="D418"/>
      <c r="E418" t="s">
        <v>8</v>
      </c>
      <c r="CD418" s="27" t="s">
        <v>7</v>
      </c>
      <c r="CE418" s="27" t="s">
        <v>8</v>
      </c>
      <c r="CF418" s="27" t="s">
        <v>7</v>
      </c>
      <c r="CG418" s="27" t="s">
        <v>8</v>
      </c>
      <c r="CH418" s="27" t="s">
        <v>7</v>
      </c>
      <c r="CI418" s="27" t="s">
        <v>8</v>
      </c>
      <c r="CJ418" s="27" t="s">
        <v>7</v>
      </c>
      <c r="CP418" s="27" t="s">
        <v>7</v>
      </c>
      <c r="CQ418" s="27" t="s">
        <v>8</v>
      </c>
      <c r="CR418" s="27" t="s">
        <v>7</v>
      </c>
      <c r="CS418" s="27" t="s">
        <v>8</v>
      </c>
      <c r="CT418" s="27" t="s">
        <v>7</v>
      </c>
      <c r="CU418" s="27" t="s">
        <v>8</v>
      </c>
      <c r="CV418" s="27" t="s">
        <v>7</v>
      </c>
      <c r="CW418" s="27" t="s">
        <v>8</v>
      </c>
      <c r="EH418" s="27" t="s">
        <v>7</v>
      </c>
      <c r="EK418" s="27" t="s">
        <v>8</v>
      </c>
      <c r="EN418" s="27" t="s">
        <v>7</v>
      </c>
    </row>
    <row r="419" spans="1:145" x14ac:dyDescent="0.25">
      <c r="A419" s="7">
        <v>27.850234480856578</v>
      </c>
      <c r="B419"/>
      <c r="C419"/>
      <c r="D419"/>
      <c r="E419" t="s">
        <v>8</v>
      </c>
      <c r="CD419" s="27" t="s">
        <v>7</v>
      </c>
      <c r="CF419" s="27" t="s">
        <v>7</v>
      </c>
      <c r="CG419" s="27" t="s">
        <v>8</v>
      </c>
      <c r="CH419" s="27" t="s">
        <v>7</v>
      </c>
      <c r="CI419" s="27" t="s">
        <v>8</v>
      </c>
      <c r="CP419" s="27" t="s">
        <v>7</v>
      </c>
      <c r="CQ419" s="27" t="s">
        <v>8</v>
      </c>
      <c r="CR419" s="27" t="s">
        <v>7</v>
      </c>
      <c r="CT419" s="27" t="s">
        <v>7</v>
      </c>
      <c r="CU419" s="27" t="s">
        <v>8</v>
      </c>
      <c r="CV419" s="27" t="s">
        <v>7</v>
      </c>
      <c r="CW419" s="27" t="s">
        <v>8</v>
      </c>
      <c r="EH419" s="27" t="s">
        <v>7</v>
      </c>
      <c r="EK419" s="27" t="s">
        <v>8</v>
      </c>
    </row>
    <row r="420" spans="1:145" x14ac:dyDescent="0.25">
      <c r="A420" s="7">
        <v>27.304151451820175</v>
      </c>
      <c r="B420"/>
      <c r="C420"/>
      <c r="D420"/>
      <c r="E420" t="s">
        <v>8</v>
      </c>
      <c r="CF420" s="27" t="s">
        <v>7</v>
      </c>
      <c r="CG420" s="27" t="s">
        <v>8</v>
      </c>
      <c r="CH420" s="27" t="s">
        <v>7</v>
      </c>
      <c r="CI420" s="27" t="s">
        <v>8</v>
      </c>
      <c r="CP420" s="27" t="s">
        <v>7</v>
      </c>
      <c r="CQ420" s="27" t="s">
        <v>8</v>
      </c>
      <c r="CT420" s="27" t="s">
        <v>7</v>
      </c>
      <c r="CV420" s="27" t="s">
        <v>7</v>
      </c>
      <c r="CW420" s="27" t="s">
        <v>8</v>
      </c>
      <c r="EH420" s="27" t="s">
        <v>7</v>
      </c>
      <c r="EI420" s="27" t="s">
        <v>8</v>
      </c>
      <c r="EK420" s="27" t="s">
        <v>8</v>
      </c>
    </row>
    <row r="421" spans="1:145" x14ac:dyDescent="0.25">
      <c r="A421" s="7">
        <v>26.768775933157034</v>
      </c>
      <c r="B421"/>
      <c r="C421"/>
      <c r="D421"/>
      <c r="E421" t="s">
        <v>8</v>
      </c>
      <c r="CF421" s="27" t="s">
        <v>7</v>
      </c>
      <c r="CG421" s="27" t="s">
        <v>8</v>
      </c>
      <c r="CH421" s="27" t="s">
        <v>7</v>
      </c>
      <c r="CP421" s="27" t="s">
        <v>7</v>
      </c>
      <c r="CQ421" s="27" t="s">
        <v>8</v>
      </c>
      <c r="CV421" s="27" t="s">
        <v>7</v>
      </c>
      <c r="EH421" s="27" t="s">
        <v>7</v>
      </c>
      <c r="EI421" s="27" t="s">
        <v>8</v>
      </c>
      <c r="EJ421" s="27" t="s">
        <v>7</v>
      </c>
      <c r="EK421" s="27" t="s">
        <v>8</v>
      </c>
    </row>
    <row r="422" spans="1:145" x14ac:dyDescent="0.25">
      <c r="A422" s="7">
        <v>26.243897973683367</v>
      </c>
      <c r="B422"/>
      <c r="C422"/>
      <c r="D422"/>
      <c r="E422" t="s">
        <v>8</v>
      </c>
      <c r="CF422" s="27" t="s">
        <v>7</v>
      </c>
      <c r="CG422" s="27" t="s">
        <v>8</v>
      </c>
      <c r="CP422" s="27" t="s">
        <v>7</v>
      </c>
      <c r="EH422" s="27" t="s">
        <v>7</v>
      </c>
      <c r="EI422" s="27" t="s">
        <v>8</v>
      </c>
      <c r="EJ422" s="27" t="s">
        <v>7</v>
      </c>
      <c r="EK422" s="27" t="s">
        <v>8</v>
      </c>
    </row>
    <row r="423" spans="1:145" x14ac:dyDescent="0.25">
      <c r="A423" s="7">
        <v>25.729311738905263</v>
      </c>
      <c r="B423"/>
      <c r="C423"/>
      <c r="D423"/>
      <c r="E423" t="s">
        <v>8</v>
      </c>
      <c r="CF423" s="27" t="s">
        <v>7</v>
      </c>
      <c r="CG423" s="27" t="s">
        <v>8</v>
      </c>
      <c r="EH423" s="27" t="s">
        <v>7</v>
      </c>
      <c r="EI423" s="27" t="s">
        <v>8</v>
      </c>
      <c r="EJ423" s="27" t="s">
        <v>7</v>
      </c>
      <c r="EK423" s="27" t="s">
        <v>8</v>
      </c>
    </row>
    <row r="424" spans="1:145" x14ac:dyDescent="0.25">
      <c r="A424" s="7">
        <v>25.224815430299277</v>
      </c>
      <c r="B424"/>
      <c r="C424"/>
      <c r="D424"/>
      <c r="E424" t="s">
        <v>8</v>
      </c>
      <c r="CF424" s="27" t="s">
        <v>7</v>
      </c>
      <c r="EH424" s="27" t="s">
        <v>7</v>
      </c>
      <c r="EI424" s="27" t="s">
        <v>8</v>
      </c>
      <c r="EJ424" s="27" t="s">
        <v>7</v>
      </c>
      <c r="EK424" s="27" t="s">
        <v>8</v>
      </c>
    </row>
    <row r="425" spans="1:145" x14ac:dyDescent="0.25">
      <c r="A425" s="7">
        <v>24.73021120617576</v>
      </c>
      <c r="B425"/>
      <c r="C425"/>
      <c r="D425"/>
      <c r="E425" t="s">
        <v>8</v>
      </c>
      <c r="EH425" s="27" t="s">
        <v>7</v>
      </c>
      <c r="EI425" s="27" t="s">
        <v>8</v>
      </c>
      <c r="EJ425" s="27" t="s">
        <v>7</v>
      </c>
      <c r="EK425" s="27" t="s">
        <v>8</v>
      </c>
    </row>
    <row r="426" spans="1:145" x14ac:dyDescent="0.25">
      <c r="A426" s="7">
        <v>24.24530510409388</v>
      </c>
      <c r="B426"/>
      <c r="C426"/>
      <c r="D426"/>
      <c r="E426" t="s">
        <v>8</v>
      </c>
      <c r="EH426" s="27" t="s">
        <v>7</v>
      </c>
      <c r="EI426" s="27" t="s">
        <v>8</v>
      </c>
      <c r="EJ426" s="27" t="s">
        <v>7</v>
      </c>
      <c r="EK426" s="27" t="s">
        <v>8</v>
      </c>
    </row>
    <row r="427" spans="1:145" x14ac:dyDescent="0.25">
      <c r="A427" s="7">
        <v>23.769906964797922</v>
      </c>
      <c r="B427"/>
      <c r="C427"/>
      <c r="D427"/>
      <c r="E427" t="s">
        <v>8</v>
      </c>
      <c r="EH427" s="27" t="s">
        <v>7</v>
      </c>
      <c r="EI427" s="27" t="s">
        <v>8</v>
      </c>
      <c r="EJ427" s="27" t="s">
        <v>7</v>
      </c>
      <c r="EK427" s="27" t="s">
        <v>8</v>
      </c>
    </row>
    <row r="428" spans="1:145" x14ac:dyDescent="0.25">
      <c r="A428" s="7">
        <v>23.303830357645023</v>
      </c>
      <c r="B428"/>
      <c r="C428"/>
      <c r="D428"/>
      <c r="E428" t="s">
        <v>8</v>
      </c>
      <c r="EH428" s="27" t="s">
        <v>7</v>
      </c>
      <c r="EI428" s="27" t="s">
        <v>8</v>
      </c>
      <c r="EJ428" s="27" t="s">
        <v>7</v>
      </c>
      <c r="EK428" s="27" t="s">
        <v>8</v>
      </c>
    </row>
    <row r="429" spans="1:145" x14ac:dyDescent="0.25">
      <c r="A429" s="7">
        <v>22.84689250749512</v>
      </c>
      <c r="B429"/>
      <c r="C429"/>
      <c r="D429"/>
      <c r="E429" t="s">
        <v>8</v>
      </c>
      <c r="EH429" s="27" t="s">
        <v>7</v>
      </c>
      <c r="EI429" s="27" t="s">
        <v>8</v>
      </c>
      <c r="EJ429" s="27" t="s">
        <v>7</v>
      </c>
      <c r="EK429" s="27" t="s">
        <v>8</v>
      </c>
    </row>
    <row r="430" spans="1:145" x14ac:dyDescent="0.25">
      <c r="A430" s="7">
        <v>22.398914223034431</v>
      </c>
      <c r="B430"/>
      <c r="C430"/>
      <c r="D430"/>
      <c r="E430" t="s">
        <v>8</v>
      </c>
      <c r="EH430" s="27" t="s">
        <v>7</v>
      </c>
      <c r="EI430" s="27" t="s">
        <v>8</v>
      </c>
      <c r="EJ430" s="27" t="s">
        <v>7</v>
      </c>
      <c r="EK430" s="27" t="s">
        <v>8</v>
      </c>
    </row>
    <row r="431" spans="1:145" x14ac:dyDescent="0.25">
      <c r="A431" s="7">
        <v>21.959719826504344</v>
      </c>
      <c r="B431"/>
      <c r="C431"/>
      <c r="D431"/>
      <c r="E431" t="s">
        <v>8</v>
      </c>
      <c r="EH431" s="27" t="s">
        <v>7</v>
      </c>
      <c r="EI431" s="27" t="s">
        <v>8</v>
      </c>
      <c r="EJ431" s="27" t="s">
        <v>7</v>
      </c>
      <c r="EK431" s="27" t="s">
        <v>8</v>
      </c>
    </row>
    <row r="432" spans="1:145" x14ac:dyDescent="0.25">
      <c r="A432" s="7">
        <v>21.52913708480818</v>
      </c>
      <c r="B432"/>
      <c r="C432"/>
      <c r="D432"/>
      <c r="E432" t="s">
        <v>8</v>
      </c>
      <c r="EH432" s="27" t="s">
        <v>7</v>
      </c>
      <c r="EI432" s="27" t="s">
        <v>8</v>
      </c>
      <c r="EJ432" s="27" t="s">
        <v>7</v>
      </c>
    </row>
    <row r="433" spans="1:139" x14ac:dyDescent="0.25">
      <c r="A433" s="7">
        <v>21.106997141968804</v>
      </c>
      <c r="B433"/>
      <c r="C433"/>
      <c r="D433"/>
      <c r="E433" t="s">
        <v>8</v>
      </c>
      <c r="EH433" s="27" t="s">
        <v>7</v>
      </c>
      <c r="EI433" s="27" t="s">
        <v>8</v>
      </c>
    </row>
    <row r="434" spans="1:139" x14ac:dyDescent="0.25">
      <c r="A434" s="7">
        <v>20.693134452910591</v>
      </c>
      <c r="B434"/>
      <c r="C434"/>
      <c r="D434"/>
      <c r="E434" t="s">
        <v>8</v>
      </c>
      <c r="EH434" s="27" t="s">
        <v>7</v>
      </c>
      <c r="EI434" s="27" t="s">
        <v>8</v>
      </c>
    </row>
    <row r="435" spans="1:139" x14ac:dyDescent="0.25">
      <c r="A435" s="7">
        <v>20.287386718539796</v>
      </c>
      <c r="B435"/>
      <c r="C435"/>
      <c r="D435"/>
      <c r="E435" t="s">
        <v>8</v>
      </c>
      <c r="EH435" s="27" t="s">
        <v>7</v>
      </c>
      <c r="EI435" s="27" t="s">
        <v>8</v>
      </c>
    </row>
    <row r="436" spans="1:139" x14ac:dyDescent="0.25">
      <c r="A436" s="7">
        <v>19.889594822097838</v>
      </c>
      <c r="B436"/>
      <c r="C436"/>
      <c r="D436"/>
      <c r="E436" t="s">
        <v>8</v>
      </c>
      <c r="EH436" s="27" t="s">
        <v>7</v>
      </c>
      <c r="EI436" s="27" t="s">
        <v>8</v>
      </c>
    </row>
    <row r="437" spans="1:139" x14ac:dyDescent="0.25">
      <c r="A437" s="7">
        <v>19.499602766762585</v>
      </c>
      <c r="B437"/>
      <c r="C437"/>
      <c r="D437"/>
      <c r="E437" t="s">
        <v>8</v>
      </c>
      <c r="EH437" s="27" t="s">
        <v>7</v>
      </c>
      <c r="EI437" s="27" t="s">
        <v>8</v>
      </c>
    </row>
    <row r="438" spans="1:139" x14ac:dyDescent="0.25">
      <c r="A438" s="7">
        <v>19.117257614473122</v>
      </c>
      <c r="B438"/>
      <c r="C438"/>
      <c r="D438"/>
      <c r="E438" t="s">
        <v>8</v>
      </c>
      <c r="EH438" s="27" t="s">
        <v>7</v>
      </c>
      <c r="EI438" s="27" t="s">
        <v>8</v>
      </c>
    </row>
    <row r="439" spans="1:139" x14ac:dyDescent="0.25">
      <c r="A439" s="7">
        <v>18.74240942595404</v>
      </c>
      <c r="B439"/>
      <c r="C439"/>
      <c r="D439"/>
      <c r="E439" t="s">
        <v>8</v>
      </c>
      <c r="EH439" s="27" t="s">
        <v>7</v>
      </c>
      <c r="EI439" s="27" t="s">
        <v>8</v>
      </c>
    </row>
    <row r="440" spans="1:139" x14ac:dyDescent="0.25">
      <c r="A440" s="7">
        <v>18.374911201915726</v>
      </c>
      <c r="B440"/>
      <c r="C440"/>
      <c r="D440"/>
      <c r="E440" t="s">
        <v>8</v>
      </c>
      <c r="EH440" s="27" t="s">
        <v>7</v>
      </c>
      <c r="EI440" s="27" t="s">
        <v>8</v>
      </c>
    </row>
    <row r="441" spans="1:139" x14ac:dyDescent="0.25">
      <c r="A441" s="7">
        <v>18.014618825407574</v>
      </c>
      <c r="B441"/>
      <c r="C441"/>
      <c r="D441"/>
      <c r="E441" t="s">
        <v>8</v>
      </c>
      <c r="EH441" s="27" t="s">
        <v>7</v>
      </c>
      <c r="EI441" s="27" t="s">
        <v>8</v>
      </c>
    </row>
    <row r="442" spans="1:139" x14ac:dyDescent="0.25">
      <c r="A442" s="7">
        <v>17.661391005301542</v>
      </c>
      <c r="B442"/>
      <c r="C442"/>
      <c r="D442"/>
      <c r="E442" t="s">
        <v>8</v>
      </c>
      <c r="EH442" s="27" t="s">
        <v>7</v>
      </c>
      <c r="EI442" s="27" t="s">
        <v>8</v>
      </c>
    </row>
    <row r="443" spans="1:139" x14ac:dyDescent="0.25">
      <c r="A443" s="7">
        <v>17.315089220883866</v>
      </c>
      <c r="B443"/>
      <c r="C443"/>
      <c r="D443"/>
      <c r="E443" t="s">
        <v>8</v>
      </c>
      <c r="EH443" s="27" t="s">
        <v>7</v>
      </c>
    </row>
    <row r="444" spans="1:139" x14ac:dyDescent="0.25">
      <c r="A444" s="7">
        <v>16.975577667533202</v>
      </c>
      <c r="B444"/>
      <c r="C444"/>
      <c r="D444"/>
      <c r="E444" t="s">
        <v>8</v>
      </c>
    </row>
    <row r="445" spans="1:139" x14ac:dyDescent="0.25">
      <c r="A445" s="7">
        <v>16.642723203463923</v>
      </c>
      <c r="B445"/>
      <c r="C445"/>
      <c r="D445"/>
      <c r="E445" t="s">
        <v>8</v>
      </c>
    </row>
    <row r="446" spans="1:139" x14ac:dyDescent="0.25">
      <c r="A446" s="7">
        <v>16.316395297513651</v>
      </c>
      <c r="B446"/>
      <c r="C446"/>
      <c r="D446"/>
      <c r="E446" t="s">
        <v>8</v>
      </c>
    </row>
    <row r="447" spans="1:139" x14ac:dyDescent="0.25">
      <c r="A447" s="7">
        <v>15.996465977954561</v>
      </c>
      <c r="B447"/>
      <c r="C447"/>
      <c r="D447"/>
      <c r="E447" t="s">
        <v>8</v>
      </c>
    </row>
    <row r="448" spans="1:139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49" operator="equal">
      <formula>$U$1</formula>
    </cfRule>
    <cfRule type="cellIs" dxfId="89" priority="1450" operator="equal">
      <formula>$S$1</formula>
    </cfRule>
  </conditionalFormatting>
  <conditionalFormatting sqref="D27">
    <cfRule type="cellIs" dxfId="88" priority="1447" operator="equal">
      <formula>$S$1</formula>
    </cfRule>
    <cfRule type="cellIs" dxfId="87" priority="1448" operator="equal">
      <formula>$U$1</formula>
    </cfRule>
  </conditionalFormatting>
  <conditionalFormatting sqref="C164">
    <cfRule type="cellIs" dxfId="86" priority="1445" operator="equal">
      <formula>$U$1</formula>
    </cfRule>
    <cfRule type="cellIs" dxfId="85" priority="1446" operator="equal">
      <formula>$S$1</formula>
    </cfRule>
  </conditionalFormatting>
  <conditionalFormatting sqref="D164">
    <cfRule type="cellIs" dxfId="84" priority="1443" operator="equal">
      <formula>$S$1</formula>
    </cfRule>
    <cfRule type="cellIs" dxfId="83" priority="1444" operator="equal">
      <formula>$U$1</formula>
    </cfRule>
  </conditionalFormatting>
  <conditionalFormatting sqref="C55">
    <cfRule type="cellIs" dxfId="82" priority="1441" operator="equal">
      <formula>$U$1</formula>
    </cfRule>
    <cfRule type="cellIs" dxfId="81" priority="1442" operator="equal">
      <formula>$S$1</formula>
    </cfRule>
  </conditionalFormatting>
  <conditionalFormatting sqref="D55">
    <cfRule type="cellIs" dxfId="80" priority="1439" operator="equal">
      <formula>$S$1</formula>
    </cfRule>
    <cfRule type="cellIs" dxfId="79" priority="1440" operator="equal">
      <formula>$U$1</formula>
    </cfRule>
  </conditionalFormatting>
  <conditionalFormatting sqref="C89">
    <cfRule type="cellIs" dxfId="78" priority="1437" operator="equal">
      <formula>$U$1</formula>
    </cfRule>
    <cfRule type="cellIs" dxfId="77" priority="1438" operator="equal">
      <formula>$S$1</formula>
    </cfRule>
  </conditionalFormatting>
  <conditionalFormatting sqref="D89">
    <cfRule type="cellIs" dxfId="76" priority="1435" operator="equal">
      <formula>$S$1</formula>
    </cfRule>
    <cfRule type="cellIs" dxfId="75" priority="1436" operator="equal">
      <formula>$U$1</formula>
    </cfRule>
  </conditionalFormatting>
  <conditionalFormatting sqref="C136">
    <cfRule type="cellIs" dxfId="74" priority="1433" operator="equal">
      <formula>$U$1</formula>
    </cfRule>
    <cfRule type="cellIs" dxfId="73" priority="1434" operator="equal">
      <formula>$S$1</formula>
    </cfRule>
  </conditionalFormatting>
  <conditionalFormatting sqref="D136">
    <cfRule type="cellIs" dxfId="72" priority="1431" operator="equal">
      <formula>$S$1</formula>
    </cfRule>
    <cfRule type="cellIs" dxfId="71" priority="1432" operator="equal">
      <formula>$U$1</formula>
    </cfRule>
  </conditionalFormatting>
  <conditionalFormatting sqref="C1">
    <cfRule type="cellIs" dxfId="70" priority="143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185" zoomScale="90" zoomScaleNormal="90" workbookViewId="0">
      <pane xSplit="4" topLeftCell="CN1" activePane="topRight" state="frozen"/>
      <selection activeCell="A109" sqref="A109"/>
      <selection pane="topRight" activeCell="ES214" sqref="ES214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$A$213</v>
      </c>
      <c r="D111" s="1" t="str">
        <f>ADDRESS(C121-1,D121,1,1)</f>
        <v>$ES$213</v>
      </c>
      <c r="E111"/>
    </row>
    <row r="112" spans="1:5" x14ac:dyDescent="0.25">
      <c r="A112" s="30">
        <v>14226.649032170862</v>
      </c>
      <c r="C112" s="1" t="str">
        <f>ADDRESS(C121,1,1,1)</f>
        <v>$A$214</v>
      </c>
      <c r="D112" s="1" t="str">
        <f>ADDRESS(C121,D121-1,1,1)</f>
        <v>$ER$214</v>
      </c>
      <c r="E112"/>
    </row>
    <row r="113" spans="1:5" x14ac:dyDescent="0.25">
      <c r="A113" s="30">
        <v>13549.18955444844</v>
      </c>
      <c r="C113" s="1" t="str">
        <f>ADDRESS(C121+1,1,1,1)</f>
        <v>$A$215</v>
      </c>
      <c r="D113" s="1" t="str">
        <f>ADDRESS(C121-1,D121+1,1,1)</f>
        <v>$ET$213</v>
      </c>
    </row>
    <row r="114" spans="1:5" x14ac:dyDescent="0.25">
      <c r="A114" s="30">
        <v>12903.990051855657</v>
      </c>
      <c r="C114" s="1" t="str">
        <f>ADDRESS(C121,D121,1,1)</f>
        <v>$ES$214</v>
      </c>
      <c r="D114" s="1" t="str">
        <f>ADDRESS(C121+1,D121+1,1,1)</f>
        <v>$ET$215</v>
      </c>
    </row>
    <row r="115" spans="1:5" x14ac:dyDescent="0.25">
      <c r="A115" s="30">
        <v>12289.514335100625</v>
      </c>
      <c r="C115" s="1" t="str">
        <f>ADDRESS(C121+1,D121,1,1)</f>
        <v>$ES$215</v>
      </c>
    </row>
    <row r="116" spans="1:5" x14ac:dyDescent="0.25">
      <c r="A116" s="30">
        <v>11704.2993667625</v>
      </c>
      <c r="C116" s="1">
        <f>C117-1</f>
        <v>213</v>
      </c>
    </row>
    <row r="117" spans="1:5" x14ac:dyDescent="0.25">
      <c r="A117" s="30">
        <v>11146.951777869046</v>
      </c>
      <c r="C117" s="1">
        <f>C121</f>
        <v>214</v>
      </c>
      <c r="D117" s="1">
        <f>D121</f>
        <v>149</v>
      </c>
    </row>
    <row r="118" spans="1:5" x14ac:dyDescent="0.25">
      <c r="A118" s="30">
        <v>10616.144550351471</v>
      </c>
      <c r="C118" s="1">
        <f>C117+1</f>
        <v>215</v>
      </c>
      <c r="D118" s="1">
        <f>D117+1</f>
        <v>150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214</v>
      </c>
      <c r="D121" s="19">
        <v>149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R214</v>
      </c>
      <c r="D123" s="1" t="str">
        <f>"C"&amp;D121</f>
        <v>C149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98.128263281995174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140" x14ac:dyDescent="0.25">
      <c r="A177" s="30">
        <v>596.75790160513361</v>
      </c>
      <c r="E177"/>
    </row>
    <row r="178" spans="1:140" x14ac:dyDescent="0.25">
      <c r="A178" s="30">
        <v>568.34085867155579</v>
      </c>
      <c r="C178" s="7"/>
      <c r="D178"/>
      <c r="E178"/>
    </row>
    <row r="179" spans="1:140" x14ac:dyDescent="0.25">
      <c r="A179" s="30">
        <v>541.27700825862451</v>
      </c>
      <c r="E179"/>
    </row>
    <row r="180" spans="1:140" x14ac:dyDescent="0.25">
      <c r="A180" s="30">
        <v>515.50191262726139</v>
      </c>
      <c r="E180"/>
    </row>
    <row r="181" spans="1:140" x14ac:dyDescent="0.25">
      <c r="A181" s="30">
        <v>490.95420250215363</v>
      </c>
      <c r="C181"/>
      <c r="D181"/>
      <c r="E181"/>
    </row>
    <row r="182" spans="1:140" x14ac:dyDescent="0.25">
      <c r="A182" s="30">
        <v>467.57543095443202</v>
      </c>
      <c r="E182"/>
    </row>
    <row r="183" spans="1:140" x14ac:dyDescent="0.25">
      <c r="A183" s="30">
        <v>445.30993424231622</v>
      </c>
      <c r="E183"/>
    </row>
    <row r="184" spans="1:140" x14ac:dyDescent="0.25">
      <c r="A184" s="30">
        <v>424.10469927839637</v>
      </c>
      <c r="E184"/>
    </row>
    <row r="185" spans="1:140" x14ac:dyDescent="0.25">
      <c r="A185" s="30">
        <v>403.9092374079965</v>
      </c>
      <c r="C185"/>
      <c r="E185"/>
    </row>
    <row r="186" spans="1:140" x14ac:dyDescent="0.25">
      <c r="A186" s="30">
        <v>384.6754641980919</v>
      </c>
      <c r="E186"/>
    </row>
    <row r="187" spans="1:140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CY187" s="32" t="s">
        <v>8</v>
      </c>
    </row>
    <row r="188" spans="1:140" x14ac:dyDescent="0.25">
      <c r="A188" s="30">
        <v>348.91198566720351</v>
      </c>
      <c r="E188"/>
      <c r="CY188" s="27" t="s">
        <v>8</v>
      </c>
      <c r="CZ188" s="32" t="s">
        <v>7</v>
      </c>
    </row>
    <row r="189" spans="1:140" x14ac:dyDescent="0.25">
      <c r="A189" s="30">
        <v>332.29712920686046</v>
      </c>
      <c r="E189"/>
      <c r="CW189" s="27" t="s">
        <v>8</v>
      </c>
      <c r="CY189" s="27" t="s">
        <v>8</v>
      </c>
      <c r="CZ189" s="27" t="s">
        <v>7</v>
      </c>
      <c r="DA189" s="32"/>
    </row>
    <row r="190" spans="1:140" x14ac:dyDescent="0.25">
      <c r="A190" s="30">
        <v>316.47345638748612</v>
      </c>
      <c r="E190"/>
      <c r="CW190" s="27" t="s">
        <v>8</v>
      </c>
      <c r="CX190" s="27" t="s">
        <v>7</v>
      </c>
      <c r="CY190" s="27" t="s">
        <v>8</v>
      </c>
      <c r="CZ190" s="27" t="s">
        <v>7</v>
      </c>
      <c r="DA190" s="27" t="s">
        <v>8</v>
      </c>
      <c r="DB190" s="32"/>
    </row>
    <row r="191" spans="1:140" x14ac:dyDescent="0.25">
      <c r="A191" s="30">
        <v>301.40329179760585</v>
      </c>
      <c r="E191"/>
      <c r="CW191" s="27" t="s">
        <v>8</v>
      </c>
      <c r="CX191" s="27" t="s">
        <v>7</v>
      </c>
      <c r="CY191" s="27" t="s">
        <v>8</v>
      </c>
      <c r="CZ191" s="27" t="s">
        <v>7</v>
      </c>
      <c r="DA191" s="27" t="s">
        <v>8</v>
      </c>
      <c r="DB191" s="27" t="s">
        <v>7</v>
      </c>
      <c r="DC191" s="32"/>
      <c r="EI191" s="27" t="s">
        <v>8</v>
      </c>
    </row>
    <row r="192" spans="1:140" x14ac:dyDescent="0.25">
      <c r="A192" s="30">
        <v>287.05075409295796</v>
      </c>
      <c r="E192"/>
      <c r="CQ192" s="27" t="s">
        <v>8</v>
      </c>
      <c r="CW192" s="27" t="s">
        <v>8</v>
      </c>
      <c r="CX192" s="27" t="s">
        <v>7</v>
      </c>
      <c r="CY192" s="27" t="s">
        <v>8</v>
      </c>
      <c r="CZ192" s="27" t="s">
        <v>7</v>
      </c>
      <c r="DA192" s="27" t="s">
        <v>8</v>
      </c>
      <c r="DB192" s="27" t="s">
        <v>7</v>
      </c>
      <c r="DD192" s="32"/>
      <c r="EI192" s="27" t="s">
        <v>8</v>
      </c>
      <c r="EJ192" s="27" t="s">
        <v>7</v>
      </c>
    </row>
    <row r="193" spans="1:148" x14ac:dyDescent="0.25">
      <c r="A193" s="30">
        <v>273.38167056472184</v>
      </c>
      <c r="E193"/>
      <c r="CQ193" s="27" t="s">
        <v>8</v>
      </c>
      <c r="CR193" s="27" t="s">
        <v>7</v>
      </c>
      <c r="CW193" s="27" t="s">
        <v>8</v>
      </c>
      <c r="CX193" s="27" t="s">
        <v>7</v>
      </c>
      <c r="CZ193" s="27" t="s">
        <v>7</v>
      </c>
      <c r="DA193" s="27" t="s">
        <v>8</v>
      </c>
      <c r="DB193" s="27" t="s">
        <v>7</v>
      </c>
      <c r="DE193" s="32"/>
      <c r="EI193" s="27" t="s">
        <v>8</v>
      </c>
      <c r="EJ193" s="27" t="s">
        <v>7</v>
      </c>
    </row>
    <row r="194" spans="1:148" x14ac:dyDescent="0.25">
      <c r="A194" s="30">
        <v>260.36349577592557</v>
      </c>
      <c r="E194"/>
      <c r="CQ194" s="27" t="s">
        <v>8</v>
      </c>
      <c r="CR194" s="27" t="s">
        <v>7</v>
      </c>
      <c r="CS194" s="27" t="s">
        <v>8</v>
      </c>
      <c r="CW194" s="34" t="s">
        <v>8</v>
      </c>
      <c r="CZ194" s="33" t="s">
        <v>7</v>
      </c>
      <c r="DB194" s="27" t="s">
        <v>7</v>
      </c>
      <c r="DF194" s="32"/>
      <c r="EI194" s="27" t="s">
        <v>8</v>
      </c>
      <c r="EJ194" s="27" t="s">
        <v>7</v>
      </c>
    </row>
    <row r="195" spans="1:148" x14ac:dyDescent="0.25">
      <c r="A195" s="30">
        <v>247.96523407231004</v>
      </c>
      <c r="E195"/>
      <c r="CQ195" s="27" t="s">
        <v>8</v>
      </c>
      <c r="CR195" s="27" t="s">
        <v>7</v>
      </c>
      <c r="CS195" s="27" t="s">
        <v>8</v>
      </c>
      <c r="CT195" s="27" t="s">
        <v>7</v>
      </c>
      <c r="CU195" s="27" t="s">
        <v>8</v>
      </c>
      <c r="CW195" s="27" t="s">
        <v>8</v>
      </c>
      <c r="DB195" s="27" t="s">
        <v>7</v>
      </c>
      <c r="DG195" s="32"/>
      <c r="EI195" s="27" t="s">
        <v>8</v>
      </c>
      <c r="EJ195" s="27" t="s">
        <v>7</v>
      </c>
      <c r="EK195" s="27" t="s">
        <v>8</v>
      </c>
    </row>
    <row r="196" spans="1:148" x14ac:dyDescent="0.25">
      <c r="A196" s="30">
        <v>236.15736578315241</v>
      </c>
      <c r="E196"/>
      <c r="CQ196" s="27" t="s">
        <v>8</v>
      </c>
      <c r="CR196" s="27" t="s">
        <v>7</v>
      </c>
      <c r="CS196" s="27" t="s">
        <v>8</v>
      </c>
      <c r="CT196" s="27" t="s">
        <v>7</v>
      </c>
      <c r="CU196" s="27" t="s">
        <v>8</v>
      </c>
      <c r="CV196" s="27" t="s">
        <v>7</v>
      </c>
      <c r="CW196" s="27" t="s">
        <v>8</v>
      </c>
      <c r="DB196" s="27" t="s">
        <v>7</v>
      </c>
      <c r="DH196" s="32"/>
      <c r="EG196" s="27" t="s">
        <v>8</v>
      </c>
      <c r="EI196" s="27" t="s">
        <v>8</v>
      </c>
      <c r="EJ196" s="27" t="s">
        <v>7</v>
      </c>
      <c r="EK196" s="27" t="s">
        <v>8</v>
      </c>
      <c r="EL196" s="27" t="s">
        <v>7</v>
      </c>
    </row>
    <row r="197" spans="1:148" x14ac:dyDescent="0.25">
      <c r="A197" s="30">
        <v>224.91177693633563</v>
      </c>
      <c r="E197"/>
      <c r="CQ197" s="27" t="s">
        <v>8</v>
      </c>
      <c r="CR197" s="27" t="s">
        <v>7</v>
      </c>
      <c r="CS197" s="27" t="s">
        <v>8</v>
      </c>
      <c r="CT197" s="27" t="s">
        <v>7</v>
      </c>
      <c r="CU197" s="27" t="s">
        <v>8</v>
      </c>
      <c r="CV197" s="27" t="s">
        <v>7</v>
      </c>
      <c r="CW197" s="27" t="s">
        <v>8</v>
      </c>
      <c r="DB197" s="32" t="s">
        <v>7</v>
      </c>
      <c r="DI197" s="32"/>
      <c r="EG197" s="27" t="s">
        <v>8</v>
      </c>
      <c r="EH197" s="27" t="s">
        <v>7</v>
      </c>
      <c r="EI197" s="27" t="s">
        <v>8</v>
      </c>
      <c r="EJ197" s="27" t="s">
        <v>7</v>
      </c>
      <c r="EK197" s="27" t="s">
        <v>8</v>
      </c>
      <c r="EL197" s="27" t="s">
        <v>7</v>
      </c>
    </row>
    <row r="198" spans="1:148" x14ac:dyDescent="0.25">
      <c r="A198" s="30">
        <v>214.20169232031964</v>
      </c>
      <c r="E198"/>
      <c r="CQ198" s="27" t="s">
        <v>8</v>
      </c>
      <c r="CR198" s="27" t="s">
        <v>7</v>
      </c>
      <c r="CS198" s="27" t="s">
        <v>8</v>
      </c>
      <c r="CT198" s="27" t="s">
        <v>7</v>
      </c>
      <c r="CV198" s="27" t="s">
        <v>7</v>
      </c>
      <c r="CW198" s="27" t="s">
        <v>8</v>
      </c>
      <c r="DA198" s="32"/>
      <c r="DB198" s="27" t="s">
        <v>7</v>
      </c>
      <c r="DJ198" s="32"/>
      <c r="EE198" s="27" t="s">
        <v>8</v>
      </c>
      <c r="EG198" s="27" t="s">
        <v>8</v>
      </c>
      <c r="EH198" s="27" t="s">
        <v>7</v>
      </c>
      <c r="EI198" s="27" t="s">
        <v>8</v>
      </c>
      <c r="EJ198" s="27" t="s">
        <v>7</v>
      </c>
      <c r="EL198" s="27" t="s">
        <v>7</v>
      </c>
    </row>
    <row r="199" spans="1:148" x14ac:dyDescent="0.25">
      <c r="A199" s="30">
        <v>204.00161173363773</v>
      </c>
      <c r="E199"/>
      <c r="CQ199" s="27" t="s">
        <v>8</v>
      </c>
      <c r="CR199" s="27" t="s">
        <v>7</v>
      </c>
      <c r="CS199" s="27" t="s">
        <v>8</v>
      </c>
      <c r="CV199" s="33" t="s">
        <v>7</v>
      </c>
      <c r="CW199" s="27" t="s">
        <v>8</v>
      </c>
      <c r="CZ199" s="32"/>
      <c r="DB199" s="27" t="s">
        <v>7</v>
      </c>
      <c r="DK199" s="32"/>
      <c r="EE199" s="27" t="s">
        <v>8</v>
      </c>
      <c r="EF199" s="27" t="s">
        <v>7</v>
      </c>
      <c r="EG199" s="27" t="s">
        <v>8</v>
      </c>
      <c r="EH199" s="27" t="s">
        <v>7</v>
      </c>
      <c r="EL199" s="27" t="s">
        <v>7</v>
      </c>
    </row>
    <row r="200" spans="1:148" x14ac:dyDescent="0.25">
      <c r="A200" s="30">
        <v>194.28724927013116</v>
      </c>
      <c r="E200"/>
      <c r="CO200" s="27" t="s">
        <v>8</v>
      </c>
      <c r="CQ200" s="27" t="s">
        <v>8</v>
      </c>
      <c r="CR200" s="27" t="s">
        <v>7</v>
      </c>
      <c r="CV200" s="27" t="s">
        <v>7</v>
      </c>
      <c r="CW200" s="27" t="s">
        <v>8</v>
      </c>
      <c r="CY200" s="32"/>
      <c r="DB200" s="27" t="s">
        <v>7</v>
      </c>
      <c r="DC200" s="27" t="s">
        <v>8</v>
      </c>
      <c r="DL200" s="32"/>
      <c r="EE200" s="27" t="s">
        <v>8</v>
      </c>
      <c r="EF200" s="27" t="s">
        <v>7</v>
      </c>
      <c r="EG200" s="27" t="s">
        <v>8</v>
      </c>
      <c r="EL200" s="27" t="s">
        <v>7</v>
      </c>
      <c r="EM200" s="27" t="s">
        <v>8</v>
      </c>
    </row>
    <row r="201" spans="1:148" x14ac:dyDescent="0.25">
      <c r="A201" s="30">
        <v>185.03547549536299</v>
      </c>
      <c r="E201"/>
      <c r="CE201" s="35" t="s">
        <v>8</v>
      </c>
      <c r="CG201" s="35" t="s">
        <v>8</v>
      </c>
      <c r="CO201" s="27" t="s">
        <v>8</v>
      </c>
      <c r="CP201" s="27" t="s">
        <v>7</v>
      </c>
      <c r="CQ201" s="27" t="s">
        <v>8</v>
      </c>
      <c r="CV201" s="27" t="s">
        <v>7</v>
      </c>
      <c r="CW201" s="27" t="s">
        <v>8</v>
      </c>
      <c r="CX201" s="32"/>
      <c r="DB201" s="27" t="s">
        <v>7</v>
      </c>
      <c r="DC201" s="27" t="s">
        <v>8</v>
      </c>
      <c r="DD201" s="27" t="s">
        <v>7</v>
      </c>
      <c r="DG201" s="27" t="s">
        <v>8</v>
      </c>
      <c r="DM201" s="32"/>
      <c r="EA201" s="27" t="s">
        <v>8</v>
      </c>
      <c r="EC201" s="27" t="s">
        <v>8</v>
      </c>
      <c r="EE201" s="27" t="s">
        <v>8</v>
      </c>
      <c r="EF201" s="27" t="s">
        <v>7</v>
      </c>
      <c r="EG201" s="27" t="s">
        <v>8</v>
      </c>
      <c r="EL201" s="27" t="s">
        <v>7</v>
      </c>
      <c r="EM201" s="27" t="s">
        <v>8</v>
      </c>
      <c r="EN201" s="27" t="s">
        <v>7</v>
      </c>
    </row>
    <row r="202" spans="1:148" x14ac:dyDescent="0.25">
      <c r="A202" s="30">
        <v>176.22426237653616</v>
      </c>
      <c r="E202"/>
      <c r="CE202" s="27" t="s">
        <v>8</v>
      </c>
      <c r="CF202" s="27" t="s">
        <v>7</v>
      </c>
      <c r="CG202" s="27" t="s">
        <v>8</v>
      </c>
      <c r="CH202" s="27" t="s">
        <v>7</v>
      </c>
      <c r="CO202" s="27" t="s">
        <v>8</v>
      </c>
      <c r="CP202" s="27" t="s">
        <v>7</v>
      </c>
      <c r="CQ202" s="27" t="s">
        <v>8</v>
      </c>
      <c r="CV202" s="32" t="s">
        <v>7</v>
      </c>
      <c r="CW202" s="32" t="s">
        <v>8</v>
      </c>
      <c r="DB202" s="27" t="s">
        <v>7</v>
      </c>
      <c r="DC202" s="27" t="s">
        <v>8</v>
      </c>
      <c r="DD202" s="27" t="s">
        <v>7</v>
      </c>
      <c r="DG202" s="27" t="s">
        <v>8</v>
      </c>
      <c r="DH202" s="27" t="s">
        <v>7</v>
      </c>
      <c r="DN202" s="32"/>
      <c r="EA202" s="27" t="s">
        <v>8</v>
      </c>
      <c r="EB202" s="27" t="s">
        <v>7</v>
      </c>
      <c r="EC202" s="27" t="s">
        <v>8</v>
      </c>
      <c r="ED202" s="27" t="s">
        <v>7</v>
      </c>
      <c r="EE202" s="27" t="s">
        <v>8</v>
      </c>
      <c r="EF202" s="27" t="s">
        <v>7</v>
      </c>
      <c r="EG202" s="27" t="s">
        <v>8</v>
      </c>
      <c r="EL202" s="27" t="s">
        <v>7</v>
      </c>
      <c r="EM202" s="27" t="s">
        <v>8</v>
      </c>
      <c r="EN202" s="27" t="s">
        <v>7</v>
      </c>
    </row>
    <row r="203" spans="1:148" x14ac:dyDescent="0.25">
      <c r="A203" s="30">
        <v>167.83263083479633</v>
      </c>
      <c r="C203" s="7"/>
      <c r="D203"/>
      <c r="E203"/>
      <c r="CE203" s="27" t="s">
        <v>8</v>
      </c>
      <c r="CF203" s="27" t="s">
        <v>7</v>
      </c>
      <c r="CG203" s="27" t="s">
        <v>8</v>
      </c>
      <c r="CH203" s="27" t="s">
        <v>7</v>
      </c>
      <c r="CO203" s="27" t="s">
        <v>8</v>
      </c>
      <c r="CP203" s="27" t="s">
        <v>7</v>
      </c>
      <c r="CU203" s="32"/>
      <c r="CV203" s="27" t="s">
        <v>7</v>
      </c>
      <c r="DB203" s="27" t="s">
        <v>7</v>
      </c>
      <c r="DC203" s="27" t="s">
        <v>8</v>
      </c>
      <c r="DD203" s="27" t="s">
        <v>7</v>
      </c>
      <c r="DG203" s="34" t="s">
        <v>8</v>
      </c>
      <c r="DH203" s="27" t="s">
        <v>7</v>
      </c>
      <c r="DI203" s="27" t="s">
        <v>8</v>
      </c>
      <c r="DO203" s="32"/>
      <c r="DU203" s="27" t="s">
        <v>8</v>
      </c>
      <c r="DW203" s="27" t="s">
        <v>8</v>
      </c>
      <c r="EA203" s="27" t="s">
        <v>8</v>
      </c>
      <c r="EB203" s="27" t="s">
        <v>7</v>
      </c>
      <c r="EC203" s="27" t="s">
        <v>8</v>
      </c>
      <c r="ED203" s="27" t="s">
        <v>7</v>
      </c>
      <c r="EE203" s="27" t="s">
        <v>8</v>
      </c>
      <c r="EF203" s="27" t="s">
        <v>7</v>
      </c>
      <c r="EG203" s="27" t="s">
        <v>8</v>
      </c>
      <c r="EL203" s="27" t="s">
        <v>7</v>
      </c>
      <c r="EM203" s="27" t="s">
        <v>8</v>
      </c>
      <c r="EN203" s="27" t="s">
        <v>7</v>
      </c>
      <c r="EO203" s="27" t="s">
        <v>8</v>
      </c>
    </row>
    <row r="204" spans="1:148" x14ac:dyDescent="0.25">
      <c r="A204" s="30">
        <v>159.84060079504411</v>
      </c>
      <c r="E204"/>
      <c r="CE204" s="27" t="s">
        <v>8</v>
      </c>
      <c r="CF204" s="27" t="s">
        <v>7</v>
      </c>
      <c r="CG204" s="27" t="s">
        <v>8</v>
      </c>
      <c r="CH204" s="27" t="s">
        <v>7</v>
      </c>
      <c r="CK204" s="35" t="s">
        <v>8</v>
      </c>
      <c r="CM204" s="35" t="s">
        <v>8</v>
      </c>
      <c r="CO204" s="27" t="s">
        <v>8</v>
      </c>
      <c r="CT204" s="32"/>
      <c r="DB204" s="27" t="s">
        <v>7</v>
      </c>
      <c r="DC204" s="27" t="s">
        <v>8</v>
      </c>
      <c r="DD204" s="27" t="s">
        <v>7</v>
      </c>
      <c r="DE204" s="27" t="s">
        <v>8</v>
      </c>
      <c r="DG204" s="27" t="s">
        <v>8</v>
      </c>
      <c r="DH204" s="27" t="s">
        <v>7</v>
      </c>
      <c r="DI204" s="27" t="s">
        <v>8</v>
      </c>
      <c r="DJ204" s="27" t="s">
        <v>7</v>
      </c>
      <c r="DP204" s="32"/>
      <c r="DS204" s="27" t="s">
        <v>8</v>
      </c>
      <c r="DU204" s="27" t="s">
        <v>8</v>
      </c>
      <c r="DV204" s="27" t="s">
        <v>7</v>
      </c>
      <c r="DW204" s="27" t="s">
        <v>8</v>
      </c>
      <c r="DX204" s="27" t="s">
        <v>7</v>
      </c>
      <c r="EA204" s="27" t="s">
        <v>8</v>
      </c>
      <c r="EB204" s="27" t="s">
        <v>7</v>
      </c>
      <c r="EC204" s="27" t="s">
        <v>8</v>
      </c>
      <c r="ED204" s="27" t="s">
        <v>7</v>
      </c>
      <c r="EF204" s="27" t="s">
        <v>7</v>
      </c>
      <c r="EG204" s="27" t="s">
        <v>8</v>
      </c>
      <c r="EL204" s="27" t="s">
        <v>7</v>
      </c>
      <c r="EM204" s="27" t="s">
        <v>8</v>
      </c>
      <c r="EN204" s="27" t="s">
        <v>7</v>
      </c>
      <c r="EO204" s="27" t="s">
        <v>8</v>
      </c>
      <c r="EP204" s="27" t="s">
        <v>7</v>
      </c>
    </row>
    <row r="205" spans="1:148" x14ac:dyDescent="0.25">
      <c r="A205" s="30">
        <v>152.22914361432771</v>
      </c>
      <c r="E205"/>
      <c r="CE205" s="27" t="s">
        <v>8</v>
      </c>
      <c r="CF205" s="27" t="s">
        <v>7</v>
      </c>
      <c r="CG205" s="27" t="s">
        <v>8</v>
      </c>
      <c r="CH205" s="27" t="s">
        <v>7</v>
      </c>
      <c r="CK205" s="27" t="s">
        <v>8</v>
      </c>
      <c r="CL205" s="27" t="s">
        <v>7</v>
      </c>
      <c r="CM205" s="27" t="s">
        <v>8</v>
      </c>
      <c r="CN205" s="27" t="s">
        <v>7</v>
      </c>
      <c r="CO205" s="27" t="s">
        <v>8</v>
      </c>
      <c r="CS205" s="32"/>
      <c r="DB205" s="27" t="s">
        <v>7</v>
      </c>
      <c r="DC205" s="27" t="s">
        <v>8</v>
      </c>
      <c r="DD205" s="27" t="s">
        <v>7</v>
      </c>
      <c r="DE205" s="27" t="s">
        <v>8</v>
      </c>
      <c r="DF205" s="27" t="s">
        <v>7</v>
      </c>
      <c r="DG205" s="27" t="s">
        <v>8</v>
      </c>
      <c r="DH205" s="27" t="s">
        <v>7</v>
      </c>
      <c r="DI205" s="27" t="s">
        <v>8</v>
      </c>
      <c r="DJ205" s="27" t="s">
        <v>7</v>
      </c>
      <c r="DQ205" s="32"/>
      <c r="DS205" s="27" t="s">
        <v>8</v>
      </c>
      <c r="DT205" s="27" t="s">
        <v>7</v>
      </c>
      <c r="DU205" s="27" t="s">
        <v>8</v>
      </c>
      <c r="DV205" s="27" t="s">
        <v>7</v>
      </c>
      <c r="DW205" s="27" t="s">
        <v>8</v>
      </c>
      <c r="DX205" s="27" t="s">
        <v>7</v>
      </c>
      <c r="EA205" s="27" t="s">
        <v>8</v>
      </c>
      <c r="EB205" s="27" t="s">
        <v>7</v>
      </c>
      <c r="EC205" s="27" t="s">
        <v>8</v>
      </c>
      <c r="EF205" s="27" t="s">
        <v>7</v>
      </c>
      <c r="EG205" s="27" t="s">
        <v>8</v>
      </c>
      <c r="EL205" s="27" t="s">
        <v>7</v>
      </c>
      <c r="EM205" s="27" t="s">
        <v>8</v>
      </c>
      <c r="EN205" s="27" t="s">
        <v>7</v>
      </c>
      <c r="EO205" s="27" t="s">
        <v>8</v>
      </c>
      <c r="EP205" s="27" t="s">
        <v>7</v>
      </c>
      <c r="EQ205" s="27" t="s">
        <v>8</v>
      </c>
    </row>
    <row r="206" spans="1:148" x14ac:dyDescent="0.25">
      <c r="A206" s="30">
        <v>144.98013677555019</v>
      </c>
      <c r="C206"/>
      <c r="D206"/>
      <c r="E206"/>
      <c r="CE206" s="27" t="s">
        <v>8</v>
      </c>
      <c r="CF206" s="27" t="s">
        <v>7</v>
      </c>
      <c r="CG206" s="27" t="s">
        <v>8</v>
      </c>
      <c r="CH206" s="27" t="s">
        <v>7</v>
      </c>
      <c r="CK206" s="27" t="s">
        <v>8</v>
      </c>
      <c r="CL206" s="27" t="s">
        <v>7</v>
      </c>
      <c r="CM206" s="27" t="s">
        <v>8</v>
      </c>
      <c r="CN206" s="27" t="s">
        <v>7</v>
      </c>
      <c r="CO206" s="27" t="s">
        <v>8</v>
      </c>
      <c r="CR206" s="32"/>
      <c r="DB206" s="27" t="s">
        <v>7</v>
      </c>
      <c r="DC206" s="27" t="s">
        <v>8</v>
      </c>
      <c r="DD206" s="27" t="s">
        <v>7</v>
      </c>
      <c r="DE206" s="27" t="s">
        <v>8</v>
      </c>
      <c r="DF206" s="27" t="s">
        <v>7</v>
      </c>
      <c r="DG206" s="27" t="s">
        <v>8</v>
      </c>
      <c r="DH206" s="27" t="s">
        <v>7</v>
      </c>
      <c r="DI206" s="27" t="s">
        <v>8</v>
      </c>
      <c r="DJ206" s="27" t="s">
        <v>7</v>
      </c>
      <c r="DK206" s="35" t="s">
        <v>8</v>
      </c>
      <c r="DM206" s="35" t="s">
        <v>8</v>
      </c>
      <c r="DR206" s="32"/>
      <c r="DS206" s="27" t="s">
        <v>8</v>
      </c>
      <c r="DT206" s="27" t="s">
        <v>7</v>
      </c>
      <c r="DU206" s="27" t="s">
        <v>8</v>
      </c>
      <c r="DV206" s="27" t="s">
        <v>7</v>
      </c>
      <c r="DX206" s="27" t="s">
        <v>7</v>
      </c>
      <c r="DY206" s="27" t="s">
        <v>8</v>
      </c>
      <c r="EA206" s="27" t="s">
        <v>8</v>
      </c>
      <c r="EB206" s="27" t="s">
        <v>7</v>
      </c>
      <c r="EF206" s="27" t="s">
        <v>7</v>
      </c>
      <c r="EL206" s="27" t="s">
        <v>7</v>
      </c>
      <c r="EN206" s="27" t="s">
        <v>7</v>
      </c>
      <c r="EP206" s="27" t="s">
        <v>7</v>
      </c>
      <c r="EQ206" s="27" t="s">
        <v>8</v>
      </c>
      <c r="ER206" s="27" t="s">
        <v>7</v>
      </c>
    </row>
    <row r="207" spans="1:148" x14ac:dyDescent="0.25">
      <c r="A207" s="30">
        <v>138.07632073861922</v>
      </c>
      <c r="E207"/>
      <c r="CE207" s="27" t="s">
        <v>8</v>
      </c>
      <c r="CF207" s="27" t="s">
        <v>7</v>
      </c>
      <c r="CG207" s="27" t="s">
        <v>8</v>
      </c>
      <c r="CH207" s="27" t="s">
        <v>7</v>
      </c>
      <c r="CI207" s="27" t="s">
        <v>8</v>
      </c>
      <c r="CK207" s="27" t="s">
        <v>8</v>
      </c>
      <c r="CL207" s="27" t="s">
        <v>7</v>
      </c>
      <c r="CM207" s="27" t="s">
        <v>8</v>
      </c>
      <c r="CN207" s="27" t="s">
        <v>7</v>
      </c>
      <c r="CO207" s="27" t="s">
        <v>8</v>
      </c>
      <c r="CQ207" s="32"/>
      <c r="DB207" s="27" t="s">
        <v>7</v>
      </c>
      <c r="DC207" s="27" t="s">
        <v>8</v>
      </c>
      <c r="DD207" s="27" t="s">
        <v>7</v>
      </c>
      <c r="DF207" s="27" t="s">
        <v>7</v>
      </c>
      <c r="DG207" s="27" t="s">
        <v>8</v>
      </c>
      <c r="DH207" s="27" t="s">
        <v>7</v>
      </c>
      <c r="DJ207" s="27" t="s">
        <v>7</v>
      </c>
      <c r="DK207" s="27" t="s">
        <v>8</v>
      </c>
      <c r="DL207" s="27" t="s">
        <v>7</v>
      </c>
      <c r="DM207" s="27" t="s">
        <v>8</v>
      </c>
      <c r="DN207" s="27" t="s">
        <v>7</v>
      </c>
      <c r="DS207" s="34" t="s">
        <v>8</v>
      </c>
      <c r="DT207" s="27" t="s">
        <v>7</v>
      </c>
      <c r="DX207" s="27" t="s">
        <v>7</v>
      </c>
      <c r="DY207" s="27" t="s">
        <v>8</v>
      </c>
      <c r="DZ207" s="27" t="s">
        <v>7</v>
      </c>
      <c r="EA207" s="27" t="s">
        <v>8</v>
      </c>
      <c r="EP207" s="27" t="s">
        <v>7</v>
      </c>
      <c r="EQ207" s="27" t="s">
        <v>8</v>
      </c>
      <c r="ER207" s="27" t="s">
        <v>7</v>
      </c>
    </row>
    <row r="208" spans="1:148" x14ac:dyDescent="0.25">
      <c r="A208" s="30">
        <v>131.50125784630401</v>
      </c>
      <c r="E208"/>
      <c r="CE208" s="27" t="s">
        <v>8</v>
      </c>
      <c r="CF208" s="27" t="s">
        <v>7</v>
      </c>
      <c r="CG208" s="27" t="s">
        <v>8</v>
      </c>
      <c r="CH208" s="27" t="s">
        <v>7</v>
      </c>
      <c r="CI208" s="27" t="s">
        <v>8</v>
      </c>
      <c r="CJ208" s="27" t="s">
        <v>7</v>
      </c>
      <c r="CK208" s="27" t="s">
        <v>8</v>
      </c>
      <c r="CL208" s="27" t="s">
        <v>7</v>
      </c>
      <c r="CN208" s="27" t="s">
        <v>7</v>
      </c>
      <c r="CO208" s="27" t="s">
        <v>8</v>
      </c>
      <c r="CP208" s="32"/>
      <c r="DB208" s="27" t="s">
        <v>7</v>
      </c>
      <c r="DC208" s="27" t="s">
        <v>8</v>
      </c>
      <c r="DF208" s="27" t="s">
        <v>7</v>
      </c>
      <c r="DG208" s="27" t="s">
        <v>8</v>
      </c>
      <c r="DJ208" s="33" t="s">
        <v>7</v>
      </c>
      <c r="DK208" s="27" t="s">
        <v>8</v>
      </c>
      <c r="DL208" s="27" t="s">
        <v>7</v>
      </c>
      <c r="DM208" s="27" t="s">
        <v>8</v>
      </c>
      <c r="DN208" s="27" t="s">
        <v>7</v>
      </c>
      <c r="DQ208" s="27" t="s">
        <v>8</v>
      </c>
      <c r="DS208" s="27" t="s">
        <v>8</v>
      </c>
      <c r="DT208" s="32"/>
      <c r="DX208" s="27" t="s">
        <v>7</v>
      </c>
      <c r="DY208" s="27" t="s">
        <v>8</v>
      </c>
      <c r="DZ208" s="27" t="s">
        <v>7</v>
      </c>
      <c r="EA208" s="27" t="s">
        <v>8</v>
      </c>
      <c r="EP208" s="27" t="s">
        <v>7</v>
      </c>
      <c r="ER208" s="27" t="s">
        <v>7</v>
      </c>
    </row>
    <row r="209" spans="1:149" x14ac:dyDescent="0.25">
      <c r="A209" s="30">
        <v>125.23929318695619</v>
      </c>
      <c r="E209"/>
      <c r="K209" s="27" t="s">
        <v>8</v>
      </c>
      <c r="CE209" s="27" t="s">
        <v>8</v>
      </c>
      <c r="CF209" s="27" t="s">
        <v>7</v>
      </c>
      <c r="CH209" s="27" t="s">
        <v>7</v>
      </c>
      <c r="CI209" s="27" t="s">
        <v>8</v>
      </c>
      <c r="CJ209" s="27" t="s">
        <v>7</v>
      </c>
      <c r="CK209" s="27" t="s">
        <v>8</v>
      </c>
      <c r="CN209" s="32" t="s">
        <v>7</v>
      </c>
      <c r="CO209" s="32" t="s">
        <v>8</v>
      </c>
      <c r="DB209" s="27" t="s">
        <v>7</v>
      </c>
      <c r="DC209" s="27" t="s">
        <v>8</v>
      </c>
      <c r="DF209" s="27" t="s">
        <v>7</v>
      </c>
      <c r="DG209" s="27" t="s">
        <v>8</v>
      </c>
      <c r="DJ209" s="27" t="s">
        <v>7</v>
      </c>
      <c r="DK209" s="27" t="s">
        <v>8</v>
      </c>
      <c r="DL209" s="27" t="s">
        <v>7</v>
      </c>
      <c r="DM209" s="27" t="s">
        <v>8</v>
      </c>
      <c r="DN209" s="27" t="s">
        <v>7</v>
      </c>
      <c r="DQ209" s="27" t="s">
        <v>8</v>
      </c>
      <c r="DR209" s="27" t="s">
        <v>7</v>
      </c>
      <c r="DS209" s="27" t="s">
        <v>8</v>
      </c>
      <c r="DU209" s="32"/>
      <c r="DX209" s="27" t="s">
        <v>7</v>
      </c>
      <c r="DY209" s="27" t="s">
        <v>8</v>
      </c>
      <c r="DZ209" s="27" t="s">
        <v>7</v>
      </c>
      <c r="EA209" s="27" t="s">
        <v>8</v>
      </c>
      <c r="ER209" s="27" t="s">
        <v>7</v>
      </c>
    </row>
    <row r="210" spans="1:149" x14ac:dyDescent="0.25">
      <c r="A210" s="30">
        <v>119.27551732091065</v>
      </c>
      <c r="C210"/>
      <c r="E210"/>
      <c r="K210" s="27" t="s">
        <v>8</v>
      </c>
      <c r="L210" s="27" t="s">
        <v>7</v>
      </c>
      <c r="BY210" s="27" t="s">
        <v>8</v>
      </c>
      <c r="CE210" s="27" t="s">
        <v>8</v>
      </c>
      <c r="CH210" s="27" t="s">
        <v>7</v>
      </c>
      <c r="CI210" s="27" t="s">
        <v>8</v>
      </c>
      <c r="CJ210" s="27" t="s">
        <v>7</v>
      </c>
      <c r="CK210" s="27" t="s">
        <v>8</v>
      </c>
      <c r="CM210" s="32"/>
      <c r="CN210" s="27" t="s">
        <v>7</v>
      </c>
      <c r="DB210" s="27" t="s">
        <v>7</v>
      </c>
      <c r="DC210" s="27" t="s">
        <v>8</v>
      </c>
      <c r="DF210" s="27" t="s">
        <v>7</v>
      </c>
      <c r="DG210" s="27" t="s">
        <v>8</v>
      </c>
      <c r="DJ210" s="35" t="s">
        <v>7</v>
      </c>
      <c r="DL210" s="35" t="s">
        <v>7</v>
      </c>
      <c r="DN210" s="27" t="s">
        <v>7</v>
      </c>
      <c r="DQ210" s="34" t="s">
        <v>8</v>
      </c>
      <c r="DR210" s="27" t="s">
        <v>7</v>
      </c>
      <c r="DS210" s="27" t="s">
        <v>8</v>
      </c>
      <c r="DX210" s="27" t="s">
        <v>7</v>
      </c>
      <c r="DZ210" s="27" t="s">
        <v>7</v>
      </c>
      <c r="EA210" s="27" t="s">
        <v>8</v>
      </c>
      <c r="ER210" s="27" t="s">
        <v>7</v>
      </c>
    </row>
    <row r="211" spans="1:149" x14ac:dyDescent="0.25">
      <c r="A211" s="30">
        <v>113.59573078181967</v>
      </c>
      <c r="E211"/>
      <c r="K211" s="27" t="s">
        <v>8</v>
      </c>
      <c r="L211" s="27" t="s">
        <v>7</v>
      </c>
      <c r="M211" s="27" t="s">
        <v>8</v>
      </c>
      <c r="BY211" s="27" t="s">
        <v>8</v>
      </c>
      <c r="BZ211" s="27" t="s">
        <v>7</v>
      </c>
      <c r="CA211" s="27" t="s">
        <v>8</v>
      </c>
      <c r="CE211" s="27" t="s">
        <v>8</v>
      </c>
      <c r="CH211" s="27" t="s">
        <v>7</v>
      </c>
      <c r="CI211" s="27" t="s">
        <v>8</v>
      </c>
      <c r="CJ211" s="27" t="s">
        <v>7</v>
      </c>
      <c r="CK211" s="27" t="s">
        <v>8</v>
      </c>
      <c r="CL211" s="32"/>
      <c r="DB211" s="27" t="s">
        <v>7</v>
      </c>
      <c r="DC211" s="27" t="s">
        <v>8</v>
      </c>
      <c r="DF211" s="27" t="s">
        <v>7</v>
      </c>
      <c r="DG211" s="27" t="s">
        <v>8</v>
      </c>
      <c r="DN211" s="27" t="s">
        <v>7</v>
      </c>
      <c r="DO211" s="27" t="s">
        <v>8</v>
      </c>
      <c r="DQ211" s="27" t="s">
        <v>8</v>
      </c>
      <c r="DR211" s="27" t="s">
        <v>7</v>
      </c>
      <c r="DS211" s="27" t="s">
        <v>8</v>
      </c>
      <c r="DZ211" s="27" t="s">
        <v>7</v>
      </c>
      <c r="EA211" s="27" t="s">
        <v>8</v>
      </c>
      <c r="ER211" s="27" t="s">
        <v>7</v>
      </c>
    </row>
    <row r="212" spans="1:149" x14ac:dyDescent="0.25">
      <c r="A212" s="30">
        <v>108.18641026839968</v>
      </c>
      <c r="E212"/>
      <c r="K212" s="27" t="s">
        <v>8</v>
      </c>
      <c r="L212" s="27" t="s">
        <v>7</v>
      </c>
      <c r="M212" s="27" t="s">
        <v>8</v>
      </c>
      <c r="N212" s="27" t="s">
        <v>7</v>
      </c>
      <c r="BW212" s="27" t="s">
        <v>8</v>
      </c>
      <c r="BY212" s="27" t="s">
        <v>8</v>
      </c>
      <c r="BZ212" s="27" t="s">
        <v>7</v>
      </c>
      <c r="CA212" s="27" t="s">
        <v>8</v>
      </c>
      <c r="CB212" s="27" t="s">
        <v>7</v>
      </c>
      <c r="CE212" s="27" t="s">
        <v>8</v>
      </c>
      <c r="CH212" s="27" t="s">
        <v>7</v>
      </c>
      <c r="CJ212" s="27" t="s">
        <v>7</v>
      </c>
      <c r="CK212" s="32"/>
      <c r="DB212" s="27" t="s">
        <v>7</v>
      </c>
      <c r="DC212" s="27" t="s">
        <v>8</v>
      </c>
      <c r="DF212" s="27" t="s">
        <v>7</v>
      </c>
      <c r="DG212" s="27" t="s">
        <v>8</v>
      </c>
      <c r="DN212" s="27" t="s">
        <v>7</v>
      </c>
      <c r="DO212" s="27" t="s">
        <v>8</v>
      </c>
      <c r="DP212" s="27" t="s">
        <v>7</v>
      </c>
      <c r="DQ212" s="27" t="s">
        <v>8</v>
      </c>
      <c r="DR212" s="27" t="s">
        <v>7</v>
      </c>
      <c r="DS212" s="27" t="s">
        <v>8</v>
      </c>
      <c r="DZ212" s="27" t="s">
        <v>7</v>
      </c>
      <c r="EA212" s="27" t="s">
        <v>8</v>
      </c>
      <c r="ER212" s="27" t="s">
        <v>7</v>
      </c>
    </row>
    <row r="213" spans="1:149" x14ac:dyDescent="0.25">
      <c r="A213" s="30">
        <v>103.03467644609493</v>
      </c>
      <c r="E213"/>
      <c r="K213" s="27" t="s">
        <v>8</v>
      </c>
      <c r="L213" s="27" t="s">
        <v>7</v>
      </c>
      <c r="M213" s="27" t="s">
        <v>8</v>
      </c>
      <c r="N213" s="27" t="s">
        <v>7</v>
      </c>
      <c r="BW213" s="27" t="s">
        <v>8</v>
      </c>
      <c r="BX213" s="27" t="s">
        <v>7</v>
      </c>
      <c r="BY213" s="27" t="s">
        <v>8</v>
      </c>
      <c r="BZ213" s="27" t="s">
        <v>7</v>
      </c>
      <c r="CA213" s="27" t="s">
        <v>8</v>
      </c>
      <c r="CB213" s="27" t="s">
        <v>7</v>
      </c>
      <c r="CE213" s="27" t="s">
        <v>8</v>
      </c>
      <c r="CJ213" s="32"/>
      <c r="DB213" s="27" t="s">
        <v>7</v>
      </c>
      <c r="DF213" s="27" t="s">
        <v>7</v>
      </c>
      <c r="DG213" s="27" t="s">
        <v>8</v>
      </c>
      <c r="DN213" s="27" t="s">
        <v>7</v>
      </c>
      <c r="DO213" s="27" t="s">
        <v>8</v>
      </c>
      <c r="DP213" s="27" t="s">
        <v>7</v>
      </c>
      <c r="DQ213" s="27" t="s">
        <v>8</v>
      </c>
      <c r="DR213" s="27" t="s">
        <v>7</v>
      </c>
      <c r="DS213" s="27" t="s">
        <v>8</v>
      </c>
      <c r="DZ213" s="27" t="s">
        <v>7</v>
      </c>
      <c r="ER213" s="27" t="s">
        <v>7</v>
      </c>
    </row>
    <row r="214" spans="1:149" x14ac:dyDescent="0.25">
      <c r="A214" s="30">
        <v>98.128263281995174</v>
      </c>
      <c r="E214"/>
      <c r="I214" s="27" t="s">
        <v>8</v>
      </c>
      <c r="K214" s="27" t="s">
        <v>8</v>
      </c>
      <c r="L214" s="27" t="s">
        <v>7</v>
      </c>
      <c r="N214" s="27" t="s">
        <v>7</v>
      </c>
      <c r="AW214" s="27" t="s">
        <v>8</v>
      </c>
      <c r="BW214" s="27" t="s">
        <v>8</v>
      </c>
      <c r="BX214" s="27" t="s">
        <v>7</v>
      </c>
      <c r="BY214" s="27" t="s">
        <v>8</v>
      </c>
      <c r="BZ214" s="27" t="s">
        <v>7</v>
      </c>
      <c r="CB214" s="27" t="s">
        <v>7</v>
      </c>
      <c r="CE214" s="27" t="s">
        <v>8</v>
      </c>
      <c r="CI214" s="32"/>
      <c r="DF214" s="27" t="s">
        <v>7</v>
      </c>
      <c r="DG214" s="27" t="s">
        <v>8</v>
      </c>
      <c r="DN214" s="27" t="s">
        <v>7</v>
      </c>
      <c r="DO214" s="27" t="s">
        <v>8</v>
      </c>
      <c r="DP214" s="27" t="s">
        <v>7</v>
      </c>
      <c r="DR214" s="27" t="s">
        <v>7</v>
      </c>
      <c r="DS214" s="27" t="s">
        <v>8</v>
      </c>
      <c r="DU214" s="32"/>
      <c r="ER214" s="27" t="s">
        <v>7</v>
      </c>
      <c r="ES214" s="27" t="s">
        <v>8</v>
      </c>
    </row>
    <row r="215" spans="1:149" x14ac:dyDescent="0.25">
      <c r="A215" s="30">
        <v>93.455488839995397</v>
      </c>
      <c r="E215"/>
      <c r="I215" s="27" t="s">
        <v>8</v>
      </c>
      <c r="J215" s="27" t="s">
        <v>7</v>
      </c>
      <c r="K215" s="27" t="s">
        <v>8</v>
      </c>
      <c r="N215" s="27" t="s">
        <v>7</v>
      </c>
      <c r="AU215" s="27" t="s">
        <v>8</v>
      </c>
      <c r="AW215" s="27" t="s">
        <v>8</v>
      </c>
      <c r="AX215" s="27" t="s">
        <v>7</v>
      </c>
      <c r="BW215" s="27" t="s">
        <v>8</v>
      </c>
      <c r="BX215" s="27" t="s">
        <v>7</v>
      </c>
      <c r="BY215" s="27" t="s">
        <v>8</v>
      </c>
      <c r="CB215" s="27" t="s">
        <v>7</v>
      </c>
      <c r="CC215" s="27" t="s">
        <v>8</v>
      </c>
      <c r="CE215" s="27" t="s">
        <v>8</v>
      </c>
      <c r="CH215" s="32"/>
      <c r="DF215" s="27" t="s">
        <v>7</v>
      </c>
      <c r="DG215" s="27" t="s">
        <v>8</v>
      </c>
      <c r="DN215" s="27" t="s">
        <v>7</v>
      </c>
      <c r="DO215" s="27" t="s">
        <v>8</v>
      </c>
      <c r="DR215" s="33" t="s">
        <v>7</v>
      </c>
      <c r="DS215" s="27" t="s">
        <v>8</v>
      </c>
      <c r="DT215" s="32"/>
      <c r="ER215" s="27" t="s">
        <v>7</v>
      </c>
      <c r="ES215" s="27" t="s">
        <v>8</v>
      </c>
    </row>
    <row r="216" spans="1:149" x14ac:dyDescent="0.25">
      <c r="A216" s="30">
        <v>89.005227466662276</v>
      </c>
      <c r="E216"/>
      <c r="I216" s="27" t="s">
        <v>8</v>
      </c>
      <c r="J216" s="27" t="s">
        <v>7</v>
      </c>
      <c r="K216" s="27" t="s">
        <v>8</v>
      </c>
      <c r="N216" s="27" t="s">
        <v>7</v>
      </c>
      <c r="AU216" s="27" t="s">
        <v>8</v>
      </c>
      <c r="AV216" s="27" t="s">
        <v>7</v>
      </c>
      <c r="AW216" s="27" t="s">
        <v>8</v>
      </c>
      <c r="AX216" s="27" t="s">
        <v>7</v>
      </c>
      <c r="AY216" s="27" t="s">
        <v>8</v>
      </c>
      <c r="BM216" s="27" t="s">
        <v>8</v>
      </c>
      <c r="BW216" s="27" t="s">
        <v>8</v>
      </c>
      <c r="BX216" s="27" t="s">
        <v>7</v>
      </c>
      <c r="BY216" s="27" t="s">
        <v>8</v>
      </c>
      <c r="CB216" s="27" t="s">
        <v>7</v>
      </c>
      <c r="CC216" s="27" t="s">
        <v>8</v>
      </c>
      <c r="CD216" s="27" t="s">
        <v>7</v>
      </c>
      <c r="CE216" s="27" t="s">
        <v>8</v>
      </c>
      <c r="CG216" s="32"/>
      <c r="DF216" s="27" t="s">
        <v>7</v>
      </c>
      <c r="DN216" s="27" t="s">
        <v>7</v>
      </c>
      <c r="DR216" s="18" t="s">
        <v>7</v>
      </c>
      <c r="DS216" s="32" t="s">
        <v>8</v>
      </c>
      <c r="ER216" s="27" t="s">
        <v>7</v>
      </c>
      <c r="ES216" s="27" t="s">
        <v>8</v>
      </c>
    </row>
    <row r="217" spans="1:149" x14ac:dyDescent="0.25">
      <c r="A217" s="30">
        <v>84.766883301583121</v>
      </c>
      <c r="E217"/>
      <c r="I217" s="27" t="s">
        <v>8</v>
      </c>
      <c r="J217" s="27" t="s">
        <v>7</v>
      </c>
      <c r="K217" s="27" t="s">
        <v>8</v>
      </c>
      <c r="N217" s="27" t="s">
        <v>7</v>
      </c>
      <c r="AU217" s="27" t="s">
        <v>8</v>
      </c>
      <c r="AV217" s="27" t="s">
        <v>7</v>
      </c>
      <c r="AW217" s="27" t="s">
        <v>8</v>
      </c>
      <c r="AX217" s="27" t="s">
        <v>7</v>
      </c>
      <c r="AY217" s="27" t="s">
        <v>8</v>
      </c>
      <c r="AZ217" s="27" t="s">
        <v>7</v>
      </c>
      <c r="BA217" s="27" t="s">
        <v>8</v>
      </c>
      <c r="BC217" s="27" t="s">
        <v>8</v>
      </c>
      <c r="BM217" s="27" t="s">
        <v>8</v>
      </c>
      <c r="BN217" s="27" t="s">
        <v>7</v>
      </c>
      <c r="BW217" s="27" t="s">
        <v>8</v>
      </c>
      <c r="BX217" s="27" t="s">
        <v>7</v>
      </c>
      <c r="CB217" s="27" t="s">
        <v>7</v>
      </c>
      <c r="CC217" s="27" t="s">
        <v>8</v>
      </c>
      <c r="CD217" s="27" t="s">
        <v>7</v>
      </c>
      <c r="CE217" s="27" t="s">
        <v>8</v>
      </c>
      <c r="CF217" s="32"/>
      <c r="DR217" s="32" t="s">
        <v>7</v>
      </c>
      <c r="ER217" s="27" t="s">
        <v>7</v>
      </c>
    </row>
    <row r="218" spans="1:149" x14ac:dyDescent="0.25">
      <c r="A218" s="30">
        <v>80.730365049126775</v>
      </c>
      <c r="E218"/>
      <c r="G218" s="27" t="s">
        <v>8</v>
      </c>
      <c r="I218" s="27" t="s">
        <v>8</v>
      </c>
      <c r="J218" s="27" t="s">
        <v>7</v>
      </c>
      <c r="K218" s="27" t="s">
        <v>8</v>
      </c>
      <c r="N218" s="27" t="s">
        <v>7</v>
      </c>
      <c r="AU218" s="27" t="s">
        <v>8</v>
      </c>
      <c r="AV218" s="27" t="s">
        <v>7</v>
      </c>
      <c r="AW218" s="27" t="s">
        <v>8</v>
      </c>
      <c r="AX218" s="27" t="s">
        <v>7</v>
      </c>
      <c r="AY218" s="27" t="s">
        <v>8</v>
      </c>
      <c r="AZ218" s="27" t="s">
        <v>7</v>
      </c>
      <c r="BA218" s="27" t="s">
        <v>8</v>
      </c>
      <c r="BB218" s="27" t="s">
        <v>7</v>
      </c>
      <c r="BC218" s="27" t="s">
        <v>8</v>
      </c>
      <c r="BD218" s="27" t="s">
        <v>7</v>
      </c>
      <c r="BM218" s="27" t="s">
        <v>8</v>
      </c>
      <c r="BN218" s="27" t="s">
        <v>7</v>
      </c>
      <c r="BO218" s="27" t="s">
        <v>8</v>
      </c>
      <c r="BW218" s="27" t="s">
        <v>8</v>
      </c>
      <c r="CB218" s="27" t="s">
        <v>7</v>
      </c>
      <c r="CC218" s="32" t="s">
        <v>8</v>
      </c>
      <c r="CD218" s="27" t="s">
        <v>7</v>
      </c>
      <c r="CE218" s="32" t="s">
        <v>8</v>
      </c>
    </row>
    <row r="219" spans="1:149" x14ac:dyDescent="0.25">
      <c r="A219" s="30">
        <v>76.886061951549308</v>
      </c>
      <c r="E219" t="s">
        <v>8</v>
      </c>
      <c r="G219" s="27" t="s">
        <v>8</v>
      </c>
      <c r="H219" s="27" t="s">
        <v>7</v>
      </c>
      <c r="I219" s="27" t="s">
        <v>8</v>
      </c>
      <c r="J219" s="27" t="s">
        <v>7</v>
      </c>
      <c r="N219" s="27" t="s">
        <v>7</v>
      </c>
      <c r="O219" s="27" t="s">
        <v>8</v>
      </c>
      <c r="AU219" s="27" t="s">
        <v>8</v>
      </c>
      <c r="AV219" s="27" t="s">
        <v>7</v>
      </c>
      <c r="AX219" s="27" t="s">
        <v>7</v>
      </c>
      <c r="AZ219" s="27" t="s">
        <v>7</v>
      </c>
      <c r="BA219" s="27" t="s">
        <v>8</v>
      </c>
      <c r="BB219" s="27" t="s">
        <v>7</v>
      </c>
      <c r="BC219" s="27" t="s">
        <v>8</v>
      </c>
      <c r="BD219" s="27" t="s">
        <v>7</v>
      </c>
      <c r="BM219" s="27" t="s">
        <v>8</v>
      </c>
      <c r="BN219" s="27" t="s">
        <v>7</v>
      </c>
      <c r="BO219" s="27" t="s">
        <v>8</v>
      </c>
      <c r="BP219" s="27" t="s">
        <v>7</v>
      </c>
      <c r="BQ219" s="27" t="s">
        <v>8</v>
      </c>
      <c r="BW219" s="27" t="s">
        <v>8</v>
      </c>
      <c r="CB219" s="35" t="s">
        <v>7</v>
      </c>
      <c r="CD219" s="35" t="s">
        <v>7</v>
      </c>
    </row>
    <row r="220" spans="1:149" x14ac:dyDescent="0.25">
      <c r="A220" s="30">
        <v>73.22482090623744</v>
      </c>
      <c r="E220" t="s">
        <v>8</v>
      </c>
      <c r="F220" s="27" t="s">
        <v>7</v>
      </c>
      <c r="G220" s="27" t="s">
        <v>8</v>
      </c>
      <c r="H220" s="27" t="s">
        <v>7</v>
      </c>
      <c r="I220" s="27" t="s">
        <v>8</v>
      </c>
      <c r="N220" s="27" t="s">
        <v>7</v>
      </c>
      <c r="O220" s="27" t="s">
        <v>8</v>
      </c>
      <c r="P220" s="27" t="s">
        <v>7</v>
      </c>
      <c r="AE220" s="27" t="s">
        <v>8</v>
      </c>
      <c r="AU220" s="27" t="s">
        <v>8</v>
      </c>
      <c r="AZ220" s="27" t="s">
        <v>7</v>
      </c>
      <c r="BB220" s="27" t="s">
        <v>7</v>
      </c>
      <c r="BD220" s="27" t="s">
        <v>7</v>
      </c>
      <c r="BI220" s="27" t="s">
        <v>8</v>
      </c>
      <c r="BM220" s="27" t="s">
        <v>8</v>
      </c>
      <c r="BN220" s="27" t="s">
        <v>7</v>
      </c>
      <c r="BO220" s="27" t="s">
        <v>8</v>
      </c>
      <c r="BP220" s="27" t="s">
        <v>7</v>
      </c>
      <c r="BQ220" s="27" t="s">
        <v>8</v>
      </c>
      <c r="BR220" s="27" t="s">
        <v>7</v>
      </c>
      <c r="BU220" s="27" t="s">
        <v>8</v>
      </c>
      <c r="BW220" s="27" t="s">
        <v>8</v>
      </c>
      <c r="CA220" s="32"/>
    </row>
    <row r="221" spans="1:149" x14ac:dyDescent="0.25">
      <c r="A221" s="30">
        <v>69.737924672607079</v>
      </c>
      <c r="E221" t="s">
        <v>8</v>
      </c>
      <c r="F221" s="27" t="s">
        <v>7</v>
      </c>
      <c r="G221" s="27" t="s">
        <v>8</v>
      </c>
      <c r="H221" s="27" t="s">
        <v>7</v>
      </c>
      <c r="I221" s="27" t="s">
        <v>8</v>
      </c>
      <c r="N221" s="27" t="s">
        <v>7</v>
      </c>
      <c r="O221" s="27" t="s">
        <v>8</v>
      </c>
      <c r="P221" s="27" t="s">
        <v>7</v>
      </c>
      <c r="AE221" s="27" t="s">
        <v>8</v>
      </c>
      <c r="AF221" s="27" t="s">
        <v>7</v>
      </c>
      <c r="AU221" s="27" t="s">
        <v>8</v>
      </c>
      <c r="BD221" s="27" t="s">
        <v>7</v>
      </c>
      <c r="BI221" s="27" t="s">
        <v>8</v>
      </c>
      <c r="BJ221" s="27" t="s">
        <v>7</v>
      </c>
      <c r="BM221" s="27" t="s">
        <v>8</v>
      </c>
      <c r="BN221" s="27" t="s">
        <v>7</v>
      </c>
      <c r="BO221" s="27" t="s">
        <v>8</v>
      </c>
      <c r="BP221" s="27" t="s">
        <v>7</v>
      </c>
      <c r="BQ221" s="27" t="s">
        <v>8</v>
      </c>
      <c r="BR221" s="27" t="s">
        <v>7</v>
      </c>
      <c r="BS221" s="27" t="s">
        <v>8</v>
      </c>
      <c r="BU221" s="27" t="s">
        <v>8</v>
      </c>
      <c r="BV221" s="27" t="s">
        <v>7</v>
      </c>
      <c r="BW221" s="27" t="s">
        <v>8</v>
      </c>
      <c r="BZ221" s="32"/>
    </row>
    <row r="222" spans="1:149" x14ac:dyDescent="0.25">
      <c r="A222" s="30">
        <v>66.417071116768639</v>
      </c>
      <c r="E222" t="s">
        <v>8</v>
      </c>
      <c r="F222" s="27" t="s">
        <v>7</v>
      </c>
      <c r="G222" s="27" t="s">
        <v>8</v>
      </c>
      <c r="H222" s="27" t="s">
        <v>7</v>
      </c>
      <c r="N222" s="27" t="s">
        <v>7</v>
      </c>
      <c r="P222" s="27" t="s">
        <v>7</v>
      </c>
      <c r="AE222" s="27" t="s">
        <v>8</v>
      </c>
      <c r="AF222" s="27" t="s">
        <v>7</v>
      </c>
      <c r="AG222" s="27" t="s">
        <v>8</v>
      </c>
      <c r="AU222" s="27" t="s">
        <v>8</v>
      </c>
      <c r="BD222" s="27" t="s">
        <v>7</v>
      </c>
      <c r="BG222" s="27" t="s">
        <v>8</v>
      </c>
      <c r="BI222" s="27" t="s">
        <v>8</v>
      </c>
      <c r="BJ222" s="27" t="s">
        <v>7</v>
      </c>
      <c r="BK222" s="27" t="s">
        <v>8</v>
      </c>
      <c r="BM222" s="27" t="s">
        <v>8</v>
      </c>
      <c r="BN222" s="27" t="s">
        <v>7</v>
      </c>
      <c r="BP222" s="27" t="s">
        <v>7</v>
      </c>
      <c r="BQ222" s="27" t="s">
        <v>8</v>
      </c>
      <c r="BR222" s="27" t="s">
        <v>7</v>
      </c>
      <c r="BS222" s="27" t="s">
        <v>8</v>
      </c>
      <c r="BT222" s="27" t="s">
        <v>7</v>
      </c>
      <c r="BU222" s="27" t="s">
        <v>8</v>
      </c>
      <c r="BV222" s="27" t="s">
        <v>7</v>
      </c>
      <c r="BW222" s="27" t="s">
        <v>8</v>
      </c>
      <c r="BY222" s="32"/>
    </row>
    <row r="223" spans="1:149" x14ac:dyDescent="0.25">
      <c r="A223" s="30">
        <v>63.254353444541557</v>
      </c>
      <c r="E223" t="s">
        <v>8</v>
      </c>
      <c r="F223" s="27" t="s">
        <v>7</v>
      </c>
      <c r="G223" s="27" t="s">
        <v>8</v>
      </c>
      <c r="P223" s="27" t="s">
        <v>7</v>
      </c>
      <c r="AC223" s="27" t="s">
        <v>8</v>
      </c>
      <c r="AE223" s="27" t="s">
        <v>8</v>
      </c>
      <c r="AF223" s="27" t="s">
        <v>7</v>
      </c>
      <c r="AG223" s="27" t="s">
        <v>8</v>
      </c>
      <c r="AH223" s="27" t="s">
        <v>7</v>
      </c>
      <c r="AU223" s="27" t="s">
        <v>8</v>
      </c>
      <c r="BD223" s="27" t="s">
        <v>7</v>
      </c>
      <c r="BG223" s="27" t="s">
        <v>8</v>
      </c>
      <c r="BH223" s="27" t="s">
        <v>7</v>
      </c>
      <c r="BI223" s="27" t="s">
        <v>8</v>
      </c>
      <c r="BJ223" s="27" t="s">
        <v>7</v>
      </c>
      <c r="BK223" s="27" t="s">
        <v>8</v>
      </c>
      <c r="BL223" s="27" t="s">
        <v>7</v>
      </c>
      <c r="BM223" s="27" t="s">
        <v>8</v>
      </c>
      <c r="BP223" s="27" t="s">
        <v>7</v>
      </c>
      <c r="BR223" s="27" t="s">
        <v>7</v>
      </c>
      <c r="BS223" s="27" t="s">
        <v>8</v>
      </c>
      <c r="BT223" s="27" t="s">
        <v>7</v>
      </c>
      <c r="BU223" s="27" t="s">
        <v>8</v>
      </c>
      <c r="BV223" s="27" t="s">
        <v>7</v>
      </c>
      <c r="BX223" s="32"/>
    </row>
    <row r="224" spans="1:149" x14ac:dyDescent="0.25">
      <c r="A224" s="30">
        <v>60.242241375753864</v>
      </c>
      <c r="E224" t="s">
        <v>8</v>
      </c>
      <c r="F224" s="27" t="s">
        <v>7</v>
      </c>
      <c r="G224" s="27" t="s">
        <v>8</v>
      </c>
      <c r="P224" s="27" t="s">
        <v>7</v>
      </c>
      <c r="AC224" s="27" t="s">
        <v>8</v>
      </c>
      <c r="AD224" s="27" t="s">
        <v>7</v>
      </c>
      <c r="AE224" s="27" t="s">
        <v>8</v>
      </c>
      <c r="AF224" s="27" t="s">
        <v>7</v>
      </c>
      <c r="AG224" s="27" t="s">
        <v>8</v>
      </c>
      <c r="AH224" s="27" t="s">
        <v>7</v>
      </c>
      <c r="AS224" s="27" t="s">
        <v>8</v>
      </c>
      <c r="AU224" s="27" t="s">
        <v>8</v>
      </c>
      <c r="BD224" s="27" t="s">
        <v>7</v>
      </c>
      <c r="BE224" s="27" t="s">
        <v>8</v>
      </c>
      <c r="BG224" s="27" t="s">
        <v>8</v>
      </c>
      <c r="BH224" s="27" t="s">
        <v>7</v>
      </c>
      <c r="BI224" s="27" t="s">
        <v>8</v>
      </c>
      <c r="BJ224" s="27" t="s">
        <v>7</v>
      </c>
      <c r="BK224" s="27" t="s">
        <v>8</v>
      </c>
      <c r="BL224" s="27" t="s">
        <v>7</v>
      </c>
      <c r="BM224" s="27" t="s">
        <v>8</v>
      </c>
      <c r="BR224" s="27" t="s">
        <v>7</v>
      </c>
      <c r="BS224" s="27" t="s">
        <v>8</v>
      </c>
      <c r="BT224" s="27" t="s">
        <v>7</v>
      </c>
      <c r="BU224" s="27" t="s">
        <v>8</v>
      </c>
      <c r="BW224" s="32"/>
    </row>
    <row r="225" spans="1:74" x14ac:dyDescent="0.25">
      <c r="A225" s="30">
        <v>57.373563215003678</v>
      </c>
      <c r="E225" t="s">
        <v>8</v>
      </c>
      <c r="F225" s="27" t="s">
        <v>7</v>
      </c>
      <c r="P225" s="27" t="s">
        <v>7</v>
      </c>
      <c r="AA225" s="27" t="s">
        <v>8</v>
      </c>
      <c r="AC225" s="27" t="s">
        <v>8</v>
      </c>
      <c r="AD225" s="27" t="s">
        <v>7</v>
      </c>
      <c r="AE225" s="27" t="s">
        <v>8</v>
      </c>
      <c r="AF225" s="27" t="s">
        <v>7</v>
      </c>
      <c r="AG225" s="27" t="s">
        <v>8</v>
      </c>
      <c r="AH225" s="27" t="s">
        <v>7</v>
      </c>
      <c r="AS225" s="27" t="s">
        <v>8</v>
      </c>
      <c r="AT225" s="27" t="s">
        <v>7</v>
      </c>
      <c r="AU225" s="27" t="s">
        <v>8</v>
      </c>
      <c r="BD225" s="27" t="s">
        <v>7</v>
      </c>
      <c r="BE225" s="27" t="s">
        <v>8</v>
      </c>
      <c r="BF225" s="27" t="s">
        <v>7</v>
      </c>
      <c r="BG225" s="27" t="s">
        <v>8</v>
      </c>
      <c r="BH225" s="27" t="s">
        <v>7</v>
      </c>
      <c r="BI225" s="27" t="s">
        <v>8</v>
      </c>
      <c r="BJ225" s="27" t="s">
        <v>7</v>
      </c>
      <c r="BL225" s="27" t="s">
        <v>7</v>
      </c>
      <c r="BM225" s="27" t="s">
        <v>8</v>
      </c>
      <c r="BR225" s="27" t="s">
        <v>7</v>
      </c>
      <c r="BS225" s="27" t="s">
        <v>8</v>
      </c>
      <c r="BT225" s="27" t="s">
        <v>7</v>
      </c>
      <c r="BU225" s="27" t="s">
        <v>8</v>
      </c>
      <c r="BV225" s="32"/>
    </row>
    <row r="226" spans="1:74" x14ac:dyDescent="0.25">
      <c r="A226" s="30">
        <v>54.641488776193974</v>
      </c>
      <c r="E226" t="s">
        <v>8</v>
      </c>
      <c r="P226" s="27" t="s">
        <v>7</v>
      </c>
      <c r="AA226" s="27" t="s">
        <v>8</v>
      </c>
      <c r="AB226" s="27" t="s">
        <v>7</v>
      </c>
      <c r="AC226" s="27" t="s">
        <v>8</v>
      </c>
      <c r="AD226" s="27" t="s">
        <v>7</v>
      </c>
      <c r="AE226" s="27" t="s">
        <v>8</v>
      </c>
      <c r="AF226" s="27" t="s">
        <v>7</v>
      </c>
      <c r="AH226" s="27" t="s">
        <v>7</v>
      </c>
      <c r="AS226" s="27" t="s">
        <v>8</v>
      </c>
      <c r="AT226" s="27" t="s">
        <v>7</v>
      </c>
      <c r="AU226" s="27" t="s">
        <v>8</v>
      </c>
      <c r="BD226" s="27" t="s">
        <v>7</v>
      </c>
      <c r="BE226" s="27" t="s">
        <v>8</v>
      </c>
      <c r="BF226" s="27" t="s">
        <v>7</v>
      </c>
      <c r="BG226" s="27" t="s">
        <v>8</v>
      </c>
      <c r="BH226" s="27" t="s">
        <v>7</v>
      </c>
      <c r="BI226" s="27" t="s">
        <v>8</v>
      </c>
      <c r="BL226" s="27" t="s">
        <v>7</v>
      </c>
      <c r="BM226" s="27" t="s">
        <v>8</v>
      </c>
      <c r="BR226" s="27" t="s">
        <v>7</v>
      </c>
      <c r="BS226" s="27" t="s">
        <v>8</v>
      </c>
      <c r="BT226" s="27" t="s">
        <v>7</v>
      </c>
      <c r="BU226" s="32"/>
    </row>
    <row r="227" spans="1:74" x14ac:dyDescent="0.25">
      <c r="A227" s="30">
        <v>52.039513120184736</v>
      </c>
      <c r="E227" t="s">
        <v>8</v>
      </c>
      <c r="P227" s="27" t="s">
        <v>7</v>
      </c>
      <c r="Q227" s="27" t="s">
        <v>8</v>
      </c>
      <c r="AA227" s="27" t="s">
        <v>8</v>
      </c>
      <c r="AB227" s="27" t="s">
        <v>7</v>
      </c>
      <c r="AC227" s="27" t="s">
        <v>8</v>
      </c>
      <c r="AD227" s="27" t="s">
        <v>7</v>
      </c>
      <c r="AE227" s="27" t="s">
        <v>8</v>
      </c>
      <c r="AH227" s="27" t="s">
        <v>7</v>
      </c>
      <c r="AS227" s="27" t="s">
        <v>8</v>
      </c>
      <c r="AT227" s="27" t="s">
        <v>7</v>
      </c>
      <c r="BD227" s="27" t="s">
        <v>7</v>
      </c>
      <c r="BF227" s="27" t="s">
        <v>7</v>
      </c>
      <c r="BH227" s="27" t="s">
        <v>7</v>
      </c>
      <c r="BL227" s="27" t="s">
        <v>7</v>
      </c>
      <c r="BR227" s="27" t="s">
        <v>7</v>
      </c>
      <c r="BS227" s="27" t="s">
        <v>8</v>
      </c>
      <c r="BT227" s="32"/>
    </row>
    <row r="228" spans="1:74" x14ac:dyDescent="0.25">
      <c r="A228" s="30">
        <v>49.561441066842605</v>
      </c>
      <c r="C228" s="7"/>
      <c r="D228"/>
      <c r="E228" t="s">
        <v>8</v>
      </c>
      <c r="P228" s="27" t="s">
        <v>7</v>
      </c>
      <c r="Q228" s="27" t="s">
        <v>8</v>
      </c>
      <c r="R228" s="27" t="s">
        <v>7</v>
      </c>
      <c r="AA228" s="27" t="s">
        <v>8</v>
      </c>
      <c r="AB228" s="27" t="s">
        <v>7</v>
      </c>
      <c r="AD228" s="27" t="s">
        <v>7</v>
      </c>
      <c r="AE228" s="27" t="s">
        <v>8</v>
      </c>
      <c r="AH228" s="27" t="s">
        <v>7</v>
      </c>
      <c r="AS228" s="27" t="s">
        <v>8</v>
      </c>
      <c r="BR228" s="27" t="s">
        <v>7</v>
      </c>
      <c r="BS228" s="32" t="s">
        <v>8</v>
      </c>
    </row>
    <row r="229" spans="1:74" x14ac:dyDescent="0.25">
      <c r="A229" s="30">
        <v>47.201372444612005</v>
      </c>
      <c r="E229" t="s">
        <v>8</v>
      </c>
      <c r="P229" s="27" t="s">
        <v>7</v>
      </c>
      <c r="Q229" s="27" t="s">
        <v>8</v>
      </c>
      <c r="R229" s="27" t="s">
        <v>7</v>
      </c>
      <c r="AA229" s="27" t="s">
        <v>8</v>
      </c>
      <c r="AD229" s="27" t="s">
        <v>7</v>
      </c>
      <c r="AH229" s="27" t="s">
        <v>7</v>
      </c>
      <c r="AO229" s="27" t="s">
        <v>8</v>
      </c>
      <c r="AQ229" s="27" t="s">
        <v>8</v>
      </c>
      <c r="AS229" s="27" t="s">
        <v>8</v>
      </c>
      <c r="BR229" s="32" t="s">
        <v>7</v>
      </c>
    </row>
    <row r="230" spans="1:74" x14ac:dyDescent="0.25">
      <c r="A230" s="30">
        <v>44.95368804248762</v>
      </c>
      <c r="E230" t="s">
        <v>8</v>
      </c>
      <c r="P230" s="27" t="s">
        <v>7</v>
      </c>
      <c r="R230" s="27" t="s">
        <v>7</v>
      </c>
      <c r="AA230" s="27" t="s">
        <v>8</v>
      </c>
      <c r="AH230" s="27" t="s">
        <v>7</v>
      </c>
      <c r="AO230" s="27" t="s">
        <v>8</v>
      </c>
      <c r="AP230" s="27" t="s">
        <v>7</v>
      </c>
      <c r="AQ230" s="27" t="s">
        <v>8</v>
      </c>
      <c r="AR230" s="27" t="s">
        <v>7</v>
      </c>
      <c r="AS230" s="27" t="s">
        <v>8</v>
      </c>
    </row>
    <row r="231" spans="1:74" x14ac:dyDescent="0.25">
      <c r="A231" s="30">
        <v>42.81303623094059</v>
      </c>
      <c r="C231"/>
      <c r="D231"/>
      <c r="E231" t="s">
        <v>8</v>
      </c>
      <c r="R231" s="27" t="s">
        <v>7</v>
      </c>
      <c r="AA231" s="27" t="s">
        <v>8</v>
      </c>
      <c r="AH231" s="27" t="s">
        <v>7</v>
      </c>
      <c r="AO231" s="27" t="s">
        <v>8</v>
      </c>
      <c r="AP231" s="27" t="s">
        <v>7</v>
      </c>
      <c r="AQ231" s="27" t="s">
        <v>8</v>
      </c>
      <c r="AR231" s="27" t="s">
        <v>7</v>
      </c>
      <c r="AS231" s="27" t="s">
        <v>8</v>
      </c>
    </row>
    <row r="232" spans="1:74" x14ac:dyDescent="0.25">
      <c r="A232" s="30">
        <v>40.774320219943419</v>
      </c>
      <c r="E232" t="s">
        <v>8</v>
      </c>
      <c r="R232" s="27" t="s">
        <v>7</v>
      </c>
      <c r="U232" s="27" t="s">
        <v>8</v>
      </c>
      <c r="W232" s="27" t="s">
        <v>8</v>
      </c>
      <c r="AA232" s="27" t="s">
        <v>8</v>
      </c>
      <c r="AH232" s="27" t="s">
        <v>7</v>
      </c>
      <c r="AM232" s="27" t="s">
        <v>8</v>
      </c>
      <c r="AO232" s="27" t="s">
        <v>8</v>
      </c>
      <c r="AP232" s="27" t="s">
        <v>7</v>
      </c>
      <c r="AR232" s="27" t="s">
        <v>7</v>
      </c>
      <c r="AS232" s="27" t="s">
        <v>8</v>
      </c>
    </row>
    <row r="233" spans="1:74" x14ac:dyDescent="0.25">
      <c r="A233" s="30">
        <v>38.832685923755633</v>
      </c>
      <c r="E233" t="s">
        <v>8</v>
      </c>
      <c r="R233" s="27" t="s">
        <v>7</v>
      </c>
      <c r="S233" s="27" t="s">
        <v>8</v>
      </c>
      <c r="U233" s="27" t="s">
        <v>8</v>
      </c>
      <c r="V233" s="27" t="s">
        <v>7</v>
      </c>
      <c r="W233" s="27" t="s">
        <v>8</v>
      </c>
      <c r="X233" s="27" t="s">
        <v>7</v>
      </c>
      <c r="AA233" s="27" t="s">
        <v>8</v>
      </c>
      <c r="AH233" s="27" t="s">
        <v>7</v>
      </c>
      <c r="AM233" s="27" t="s">
        <v>8</v>
      </c>
      <c r="AN233" s="27" t="s">
        <v>7</v>
      </c>
      <c r="AO233" s="27" t="s">
        <v>8</v>
      </c>
      <c r="AR233" s="27" t="s">
        <v>7</v>
      </c>
    </row>
    <row r="234" spans="1:74" x14ac:dyDescent="0.25">
      <c r="A234" s="30">
        <v>36.983510403576794</v>
      </c>
      <c r="E234" t="s">
        <v>8</v>
      </c>
      <c r="R234" s="27" t="s">
        <v>7</v>
      </c>
      <c r="S234" s="27" t="s">
        <v>8</v>
      </c>
      <c r="T234" s="27" t="s">
        <v>7</v>
      </c>
      <c r="U234" s="27" t="s">
        <v>8</v>
      </c>
      <c r="V234" s="27" t="s">
        <v>7</v>
      </c>
      <c r="W234" s="27" t="s">
        <v>8</v>
      </c>
      <c r="X234" s="27" t="s">
        <v>7</v>
      </c>
      <c r="AA234" s="27" t="s">
        <v>8</v>
      </c>
      <c r="AH234" s="27" t="s">
        <v>7</v>
      </c>
      <c r="AM234" s="27" t="s">
        <v>8</v>
      </c>
      <c r="AN234" s="27" t="s">
        <v>7</v>
      </c>
      <c r="AO234" s="27" t="s">
        <v>8</v>
      </c>
    </row>
    <row r="235" spans="1:74" x14ac:dyDescent="0.25">
      <c r="A235" s="30">
        <v>35.222390860549325</v>
      </c>
      <c r="C235"/>
      <c r="E235" t="s">
        <v>8</v>
      </c>
      <c r="R235" s="27" t="s">
        <v>7</v>
      </c>
      <c r="S235" s="27" t="s">
        <v>8</v>
      </c>
      <c r="T235" s="27" t="s">
        <v>7</v>
      </c>
      <c r="U235" s="27" t="s">
        <v>8</v>
      </c>
      <c r="V235" s="27" t="s">
        <v>7</v>
      </c>
      <c r="W235" s="27" t="s">
        <v>8</v>
      </c>
      <c r="X235" s="27" t="s">
        <v>7</v>
      </c>
      <c r="AA235" s="27" t="s">
        <v>8</v>
      </c>
      <c r="AH235" s="27" t="s">
        <v>7</v>
      </c>
      <c r="AK235" s="27" t="s">
        <v>8</v>
      </c>
      <c r="AM235" s="27" t="s">
        <v>8</v>
      </c>
      <c r="AN235" s="27" t="s">
        <v>7</v>
      </c>
    </row>
    <row r="236" spans="1:74" x14ac:dyDescent="0.25">
      <c r="A236" s="30">
        <v>33.545134152904119</v>
      </c>
      <c r="E236" t="s">
        <v>8</v>
      </c>
      <c r="R236" s="27" t="s">
        <v>7</v>
      </c>
      <c r="S236" s="27" t="s">
        <v>8</v>
      </c>
      <c r="T236" s="27" t="s">
        <v>7</v>
      </c>
      <c r="V236" s="27" t="s">
        <v>7</v>
      </c>
      <c r="W236" s="27" t="s">
        <v>8</v>
      </c>
      <c r="X236" s="27" t="s">
        <v>7</v>
      </c>
      <c r="Y236" s="27" t="s">
        <v>8</v>
      </c>
      <c r="AA236" s="27" t="s">
        <v>8</v>
      </c>
      <c r="AH236" s="27" t="s">
        <v>7</v>
      </c>
      <c r="AK236" s="27" t="s">
        <v>8</v>
      </c>
      <c r="AL236" s="27" t="s">
        <v>7</v>
      </c>
      <c r="AM236" s="27" t="s">
        <v>8</v>
      </c>
    </row>
    <row r="237" spans="1:74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R237" s="27" t="s">
        <v>7</v>
      </c>
      <c r="S237" s="27" t="s">
        <v>8</v>
      </c>
      <c r="V237" s="27" t="s">
        <v>7</v>
      </c>
      <c r="X237" s="27" t="s">
        <v>7</v>
      </c>
      <c r="Y237" s="27" t="s">
        <v>8</v>
      </c>
      <c r="Z237" s="27" t="s">
        <v>7</v>
      </c>
      <c r="AA237" s="27" t="s">
        <v>8</v>
      </c>
      <c r="AH237" s="27" t="s">
        <v>7</v>
      </c>
      <c r="AK237" s="27" t="s">
        <v>8</v>
      </c>
      <c r="AL237" s="27" t="s">
        <v>7</v>
      </c>
      <c r="AM237" s="27" t="s">
        <v>8</v>
      </c>
    </row>
    <row r="238" spans="1:74" x14ac:dyDescent="0.25">
      <c r="A238" s="30">
        <v>30.426425535513939</v>
      </c>
      <c r="E238" t="s">
        <v>8</v>
      </c>
      <c r="R238" s="27" t="s">
        <v>7</v>
      </c>
      <c r="X238" s="27" t="s">
        <v>7</v>
      </c>
      <c r="Y238" s="27" t="s">
        <v>8</v>
      </c>
      <c r="Z238" s="27" t="s">
        <v>7</v>
      </c>
      <c r="AA238" s="27" t="s">
        <v>8</v>
      </c>
      <c r="AH238" s="27" t="s">
        <v>7</v>
      </c>
      <c r="AK238" s="27" t="s">
        <v>8</v>
      </c>
      <c r="AL238" s="27" t="s">
        <v>7</v>
      </c>
      <c r="AM238" s="27" t="s">
        <v>8</v>
      </c>
    </row>
    <row r="239" spans="1:74" x14ac:dyDescent="0.25">
      <c r="A239" s="30">
        <v>28.977548129060892</v>
      </c>
      <c r="E239" t="s">
        <v>8</v>
      </c>
      <c r="X239" s="27" t="s">
        <v>7</v>
      </c>
      <c r="Y239" s="27" t="s">
        <v>8</v>
      </c>
      <c r="Z239" s="27" t="s">
        <v>7</v>
      </c>
      <c r="AA239" s="27" t="s">
        <v>8</v>
      </c>
      <c r="AH239" s="27" t="s">
        <v>7</v>
      </c>
      <c r="AK239" s="27" t="s">
        <v>8</v>
      </c>
      <c r="AL239" s="27" t="s">
        <v>7</v>
      </c>
    </row>
    <row r="240" spans="1:74" x14ac:dyDescent="0.25">
      <c r="A240" s="30">
        <v>27.597664884819896</v>
      </c>
      <c r="E240" s="29" t="s">
        <v>8</v>
      </c>
      <c r="X240" s="27" t="s">
        <v>7</v>
      </c>
      <c r="Y240" s="27" t="s">
        <v>8</v>
      </c>
      <c r="Z240" s="27" t="s">
        <v>7</v>
      </c>
      <c r="AA240" s="27" t="s">
        <v>8</v>
      </c>
      <c r="AH240" s="27" t="s">
        <v>7</v>
      </c>
      <c r="AI240" s="27" t="s">
        <v>8</v>
      </c>
      <c r="AK240" s="27" t="s">
        <v>8</v>
      </c>
    </row>
    <row r="241" spans="1:37" x14ac:dyDescent="0.25">
      <c r="A241" s="30">
        <v>26.283490366495137</v>
      </c>
      <c r="B241"/>
      <c r="C241"/>
      <c r="D241"/>
      <c r="E241" t="s">
        <v>8</v>
      </c>
      <c r="X241" s="27" t="s">
        <v>7</v>
      </c>
      <c r="Z241" s="27" t="s">
        <v>7</v>
      </c>
      <c r="AH241" s="27" t="s">
        <v>7</v>
      </c>
      <c r="AI241" s="27" t="s">
        <v>8</v>
      </c>
      <c r="AJ241" s="27" t="s">
        <v>7</v>
      </c>
      <c r="AK241" s="27" t="s">
        <v>8</v>
      </c>
    </row>
    <row r="242" spans="1:37" x14ac:dyDescent="0.25">
      <c r="A242" s="30">
        <v>25.031895587138223</v>
      </c>
      <c r="B242"/>
      <c r="C242"/>
      <c r="D242"/>
      <c r="E242" t="s">
        <v>8</v>
      </c>
      <c r="AH242" s="27" t="s">
        <v>7</v>
      </c>
      <c r="AI242" s="27" t="s">
        <v>8</v>
      </c>
      <c r="AJ242" s="27" t="s">
        <v>7</v>
      </c>
      <c r="AK242" s="27" t="s">
        <v>8</v>
      </c>
    </row>
    <row r="243" spans="1:37" x14ac:dyDescent="0.25">
      <c r="A243" s="30">
        <v>23.839900559179259</v>
      </c>
      <c r="B243"/>
      <c r="C243"/>
      <c r="D243"/>
      <c r="E243" t="s">
        <v>8</v>
      </c>
      <c r="AH243" s="27" t="s">
        <v>7</v>
      </c>
      <c r="AI243" s="27" t="s">
        <v>8</v>
      </c>
      <c r="AJ243" s="27" t="s">
        <v>7</v>
      </c>
      <c r="AK243" s="27" t="s">
        <v>8</v>
      </c>
    </row>
    <row r="244" spans="1:37" x14ac:dyDescent="0.25">
      <c r="A244" s="30">
        <v>22.704667199218342</v>
      </c>
      <c r="B244"/>
      <c r="C244"/>
      <c r="D244"/>
      <c r="E244" t="s">
        <v>8</v>
      </c>
      <c r="AH244" s="27" t="s">
        <v>7</v>
      </c>
      <c r="AI244" s="27" t="s">
        <v>8</v>
      </c>
      <c r="AJ244" s="27" t="s">
        <v>7</v>
      </c>
      <c r="AK244" s="27" t="s">
        <v>8</v>
      </c>
    </row>
    <row r="245" spans="1:37" x14ac:dyDescent="0.25">
      <c r="A245" s="30">
        <v>21.623492570684135</v>
      </c>
      <c r="B245"/>
      <c r="C245"/>
      <c r="D245"/>
      <c r="E245" t="s">
        <v>8</v>
      </c>
      <c r="AH245" s="27" t="s">
        <v>7</v>
      </c>
      <c r="AI245" s="27" t="s">
        <v>8</v>
      </c>
      <c r="AJ245" s="27" t="s">
        <v>7</v>
      </c>
    </row>
    <row r="246" spans="1:37" x14ac:dyDescent="0.25">
      <c r="A246" s="30">
        <v>20.593802448270605</v>
      </c>
      <c r="B246"/>
      <c r="C246"/>
      <c r="D246"/>
      <c r="E246" t="s">
        <v>8</v>
      </c>
      <c r="AH246" s="27" t="s">
        <v>7</v>
      </c>
      <c r="AI246" s="27" t="s">
        <v>8</v>
      </c>
    </row>
    <row r="247" spans="1:37" x14ac:dyDescent="0.25">
      <c r="A247" s="30">
        <v>19.613145188829147</v>
      </c>
      <c r="B247"/>
      <c r="C247"/>
      <c r="D247"/>
      <c r="E247" t="s">
        <v>8</v>
      </c>
      <c r="AH247" s="27" t="s">
        <v>7</v>
      </c>
      <c r="AI247" s="27" t="s">
        <v>8</v>
      </c>
    </row>
    <row r="248" spans="1:37" x14ac:dyDescent="0.25">
      <c r="A248" s="30">
        <v>18.679185894122998</v>
      </c>
      <c r="B248"/>
      <c r="C248"/>
      <c r="D248"/>
      <c r="E248" t="s">
        <v>8</v>
      </c>
      <c r="AH248" s="27" t="s">
        <v>7</v>
      </c>
      <c r="AI248" s="27" t="s">
        <v>8</v>
      </c>
    </row>
    <row r="249" spans="1:37" x14ac:dyDescent="0.25">
      <c r="A249" s="30">
        <v>17.78970085154571</v>
      </c>
      <c r="B249"/>
      <c r="C249"/>
      <c r="D249"/>
      <c r="E249" t="s">
        <v>8</v>
      </c>
      <c r="AH249" s="27" t="s">
        <v>7</v>
      </c>
    </row>
    <row r="250" spans="1:37" x14ac:dyDescent="0.25">
      <c r="A250" s="30">
        <v>16.942572239567344</v>
      </c>
      <c r="B250"/>
      <c r="C250"/>
      <c r="D250"/>
      <c r="E250" t="s">
        <v>8</v>
      </c>
    </row>
    <row r="251" spans="1:37" x14ac:dyDescent="0.25">
      <c r="A251" s="30">
        <v>16.135783085302233</v>
      </c>
      <c r="B251"/>
      <c r="C251"/>
      <c r="D251"/>
      <c r="E251" t="s">
        <v>8</v>
      </c>
    </row>
    <row r="252" spans="1:37" x14ac:dyDescent="0.25">
      <c r="A252" s="30">
        <v>15.367412462192602</v>
      </c>
      <c r="B252"/>
      <c r="C252"/>
      <c r="D252"/>
      <c r="E252" t="s">
        <v>8</v>
      </c>
    </row>
    <row r="253" spans="1:37" x14ac:dyDescent="0.25">
      <c r="A253" s="30">
        <v>14.635630916373906</v>
      </c>
      <c r="B253"/>
      <c r="C253"/>
      <c r="D253"/>
      <c r="E253" t="s">
        <v>8</v>
      </c>
    </row>
    <row r="254" spans="1:37" x14ac:dyDescent="0.25">
      <c r="A254" s="30">
        <v>13.938696110832291</v>
      </c>
      <c r="B254"/>
      <c r="C254"/>
      <c r="D254"/>
      <c r="E254" t="s">
        <v>8</v>
      </c>
    </row>
    <row r="255" spans="1:37" x14ac:dyDescent="0.25">
      <c r="A255" s="30">
        <v>13.274948676983135</v>
      </c>
      <c r="E255" t="s">
        <v>8</v>
      </c>
    </row>
    <row r="256" spans="1:37" x14ac:dyDescent="0.25">
      <c r="A256" s="30">
        <v>12.64280826379346</v>
      </c>
      <c r="E256" t="s">
        <v>8</v>
      </c>
    </row>
    <row r="257" spans="1:5" x14ac:dyDescent="0.25">
      <c r="A257" s="30">
        <v>12.04076977504139</v>
      </c>
      <c r="B257"/>
      <c r="C257"/>
      <c r="D257"/>
      <c r="E257" t="s">
        <v>8</v>
      </c>
    </row>
    <row r="258" spans="1:5" x14ac:dyDescent="0.25">
      <c r="A258" s="30">
        <v>11.467399785753704</v>
      </c>
      <c r="B258"/>
      <c r="C258"/>
      <c r="D258"/>
      <c r="E258" t="s">
        <v>8</v>
      </c>
    </row>
    <row r="259" spans="1:5" x14ac:dyDescent="0.25">
      <c r="A259" s="30">
        <v>10.921333129289241</v>
      </c>
      <c r="B259"/>
      <c r="C259"/>
      <c r="D259"/>
      <c r="E259" t="s">
        <v>8</v>
      </c>
    </row>
    <row r="260" spans="1:5" x14ac:dyDescent="0.25">
      <c r="A260" s="30">
        <v>10.401269646942135</v>
      </c>
      <c r="B260"/>
      <c r="C260"/>
      <c r="D260"/>
      <c r="E260" t="s">
        <v>8</v>
      </c>
    </row>
    <row r="261" spans="1:5" x14ac:dyDescent="0.25">
      <c r="A261" s="30">
        <v>9.9059710923258422</v>
      </c>
      <c r="B261"/>
      <c r="C261"/>
      <c r="D261"/>
      <c r="E261" t="s">
        <v>8</v>
      </c>
    </row>
    <row r="262" spans="1:5" x14ac:dyDescent="0.25">
      <c r="A262" s="30">
        <v>9.4342581831674686</v>
      </c>
      <c r="B262"/>
      <c r="C262"/>
      <c r="D262"/>
      <c r="E262" t="s">
        <v>8</v>
      </c>
    </row>
    <row r="263" spans="1:5" x14ac:dyDescent="0.25">
      <c r="A263" s="30">
        <v>8.9850077934928265</v>
      </c>
      <c r="B263"/>
      <c r="C263"/>
      <c r="D263"/>
      <c r="E263" t="s">
        <v>8</v>
      </c>
    </row>
    <row r="264" spans="1:5" x14ac:dyDescent="0.25">
      <c r="A264" s="30">
        <v>8.5571502795169767</v>
      </c>
      <c r="B264"/>
      <c r="C264"/>
      <c r="D264"/>
      <c r="E264" t="s">
        <v>8</v>
      </c>
    </row>
    <row r="265" spans="1:5" x14ac:dyDescent="0.25">
      <c r="A265" s="30">
        <v>8.1496669328733109</v>
      </c>
      <c r="B265"/>
      <c r="C265"/>
      <c r="D265"/>
      <c r="E265" t="s">
        <v>8</v>
      </c>
    </row>
    <row r="266" spans="1:5" x14ac:dyDescent="0.25">
      <c r="A266" s="30">
        <v>7.7615875551174378</v>
      </c>
      <c r="B266"/>
      <c r="C266"/>
      <c r="D266"/>
      <c r="E266" t="s">
        <v>8</v>
      </c>
    </row>
    <row r="267" spans="1:5" x14ac:dyDescent="0.25">
      <c r="A267" s="30">
        <v>7.3919881477308929</v>
      </c>
      <c r="B267"/>
      <c r="C267"/>
      <c r="D267"/>
      <c r="E267" t="s">
        <v>8</v>
      </c>
    </row>
    <row r="268" spans="1:5" x14ac:dyDescent="0.25">
      <c r="A268" s="30">
        <v>7.0399887121246598</v>
      </c>
      <c r="B268"/>
      <c r="C268"/>
      <c r="D268"/>
      <c r="E268" t="s">
        <v>8</v>
      </c>
    </row>
    <row r="269" spans="1:5" x14ac:dyDescent="0.25">
      <c r="A269" s="30">
        <v>6.7047511544044376</v>
      </c>
      <c r="B269"/>
      <c r="C269"/>
      <c r="D269"/>
      <c r="E269" t="s">
        <v>8</v>
      </c>
    </row>
    <row r="270" spans="1:5" x14ac:dyDescent="0.25">
      <c r="A270" s="30">
        <v>6.3854772899089882</v>
      </c>
      <c r="B270"/>
      <c r="C270"/>
      <c r="D270"/>
      <c r="E270" t="s">
        <v>8</v>
      </c>
    </row>
    <row r="271" spans="1:5" x14ac:dyDescent="0.25">
      <c r="A271" s="30">
        <v>6.0814069427704647</v>
      </c>
      <c r="B271"/>
      <c r="C271"/>
      <c r="D271"/>
      <c r="E271" t="s">
        <v>8</v>
      </c>
    </row>
    <row r="272" spans="1:5" x14ac:dyDescent="0.25">
      <c r="A272" s="30">
        <v>5.7918161359718709</v>
      </c>
      <c r="B272"/>
      <c r="C272"/>
      <c r="D272"/>
      <c r="E272" t="s">
        <v>8</v>
      </c>
    </row>
    <row r="273" spans="1:5" x14ac:dyDescent="0.25">
      <c r="A273" s="30">
        <v>5.5160153675922574</v>
      </c>
      <c r="B273"/>
      <c r="C273"/>
      <c r="D273"/>
      <c r="E273" t="s">
        <v>8</v>
      </c>
    </row>
    <row r="274" spans="1:5" x14ac:dyDescent="0.25">
      <c r="A274" s="30">
        <v>5.2533479691354827</v>
      </c>
      <c r="B274"/>
      <c r="C274"/>
      <c r="D274"/>
      <c r="E274" t="s">
        <v>8</v>
      </c>
    </row>
    <row r="275" spans="1:5" x14ac:dyDescent="0.25">
      <c r="A275" s="30">
        <v>5.0031885420337927</v>
      </c>
      <c r="B275"/>
      <c r="C275"/>
      <c r="D275"/>
      <c r="E275" t="s">
        <v>8</v>
      </c>
    </row>
    <row r="276" spans="1:5" x14ac:dyDescent="0.25">
      <c r="A276" s="30">
        <v>4.7649414686036122</v>
      </c>
      <c r="B276"/>
      <c r="C276"/>
      <c r="D276"/>
      <c r="E276" t="s">
        <v>8</v>
      </c>
    </row>
    <row r="277" spans="1:5" x14ac:dyDescent="0.25">
      <c r="A277" s="30">
        <v>4.5380394939082018</v>
      </c>
      <c r="B277"/>
      <c r="C277"/>
      <c r="D277"/>
      <c r="E277" t="s">
        <v>8</v>
      </c>
    </row>
    <row r="278" spans="1:5" x14ac:dyDescent="0.25">
      <c r="A278" s="30">
        <v>4.3219423751506678</v>
      </c>
      <c r="B278"/>
      <c r="C278"/>
      <c r="D278"/>
      <c r="E278" t="s">
        <v>8</v>
      </c>
    </row>
    <row r="279" spans="1:5" x14ac:dyDescent="0.25">
      <c r="A279" s="30">
        <v>4.1161355953815884</v>
      </c>
      <c r="B279"/>
      <c r="C279"/>
      <c r="D279"/>
      <c r="E279" t="s">
        <v>8</v>
      </c>
    </row>
    <row r="280" spans="1:5" x14ac:dyDescent="0.25">
      <c r="A280" s="30">
        <v>3.9201291384586554</v>
      </c>
      <c r="B280"/>
      <c r="C280"/>
      <c r="D280"/>
      <c r="E280" t="s">
        <v>8</v>
      </c>
    </row>
    <row r="281" spans="1:5" x14ac:dyDescent="0.25">
      <c r="A281" s="30">
        <v>3.7334563223415764</v>
      </c>
      <c r="B281"/>
      <c r="C281"/>
      <c r="D281"/>
      <c r="E281" t="s">
        <v>8</v>
      </c>
    </row>
    <row r="282" spans="1:5" x14ac:dyDescent="0.25">
      <c r="A282" s="30">
        <v>3.5556726879443583</v>
      </c>
      <c r="B282"/>
      <c r="C282"/>
      <c r="D282"/>
      <c r="E282" t="s">
        <v>8</v>
      </c>
    </row>
    <row r="283" spans="1:5" x14ac:dyDescent="0.25">
      <c r="A283" s="30">
        <v>3.3863549408993889</v>
      </c>
      <c r="B283"/>
      <c r="C283"/>
      <c r="D283"/>
      <c r="E283" t="s">
        <v>8</v>
      </c>
    </row>
    <row r="284" spans="1:5" x14ac:dyDescent="0.25">
      <c r="A284" s="30">
        <v>3.2250999437137038</v>
      </c>
      <c r="B284"/>
      <c r="C284"/>
      <c r="D284"/>
      <c r="E284" t="s">
        <v>8</v>
      </c>
    </row>
    <row r="285" spans="1:5" x14ac:dyDescent="0.25">
      <c r="A285" s="30">
        <v>3.0715237559178128</v>
      </c>
      <c r="B285"/>
      <c r="C285"/>
      <c r="D285"/>
      <c r="E285" t="s">
        <v>8</v>
      </c>
    </row>
    <row r="286" spans="1:5" x14ac:dyDescent="0.25">
      <c r="A286" s="30">
        <v>2.9252607199217264</v>
      </c>
      <c r="B286"/>
      <c r="C286"/>
      <c r="D286"/>
      <c r="E286" t="s">
        <v>8</v>
      </c>
    </row>
    <row r="287" spans="1:5" x14ac:dyDescent="0.25">
      <c r="A287" s="30">
        <v>2.7859625904016441</v>
      </c>
      <c r="B287"/>
      <c r="C287"/>
      <c r="D287"/>
      <c r="E287" t="s">
        <v>8</v>
      </c>
    </row>
    <row r="288" spans="1:5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1464" operator="equal">
      <formula>$U$1</formula>
    </cfRule>
    <cfRule type="cellIs" dxfId="67" priority="1465" operator="equal">
      <formula>$S$1</formula>
    </cfRule>
  </conditionalFormatting>
  <conditionalFormatting sqref="D136">
    <cfRule type="cellIs" dxfId="66" priority="1462" operator="equal">
      <formula>$S$1</formula>
    </cfRule>
    <cfRule type="cellIs" dxfId="65" priority="1463" operator="equal">
      <formula>$U$1</formula>
    </cfRule>
  </conditionalFormatting>
  <conditionalFormatting sqref="C162">
    <cfRule type="cellIs" dxfId="64" priority="1460" operator="equal">
      <formula>$U$1</formula>
    </cfRule>
    <cfRule type="cellIs" dxfId="63" priority="1461" operator="equal">
      <formula>$S$1</formula>
    </cfRule>
  </conditionalFormatting>
  <conditionalFormatting sqref="D162">
    <cfRule type="cellIs" dxfId="62" priority="1458" operator="equal">
      <formula>$S$1</formula>
    </cfRule>
    <cfRule type="cellIs" dxfId="61" priority="1459" operator="equal">
      <formula>$U$1</formula>
    </cfRule>
  </conditionalFormatting>
  <conditionalFormatting sqref="C187">
    <cfRule type="cellIs" dxfId="60" priority="1456" operator="equal">
      <formula>$U$1</formula>
    </cfRule>
    <cfRule type="cellIs" dxfId="59" priority="1457" operator="equal">
      <formula>$S$1</formula>
    </cfRule>
  </conditionalFormatting>
  <conditionalFormatting sqref="D187">
    <cfRule type="cellIs" dxfId="58" priority="1454" operator="equal">
      <formula>$S$1</formula>
    </cfRule>
    <cfRule type="cellIs" dxfId="57" priority="1455" operator="equal">
      <formula>$U$1</formula>
    </cfRule>
  </conditionalFormatting>
  <conditionalFormatting sqref="C212">
    <cfRule type="cellIs" dxfId="56" priority="1452" operator="equal">
      <formula>$U$1</formula>
    </cfRule>
    <cfRule type="cellIs" dxfId="55" priority="1453" operator="equal">
      <formula>$S$1</formula>
    </cfRule>
  </conditionalFormatting>
  <conditionalFormatting sqref="D212">
    <cfRule type="cellIs" dxfId="54" priority="1450" operator="equal">
      <formula>$S$1</formula>
    </cfRule>
    <cfRule type="cellIs" dxfId="53" priority="1451" operator="equal">
      <formula>$U$1</formula>
    </cfRule>
  </conditionalFormatting>
  <conditionalFormatting sqref="C237">
    <cfRule type="cellIs" dxfId="52" priority="1448" operator="equal">
      <formula>$U$1</formula>
    </cfRule>
    <cfRule type="cellIs" dxfId="51" priority="1449" operator="equal">
      <formula>$S$1</formula>
    </cfRule>
  </conditionalFormatting>
  <conditionalFormatting sqref="D237">
    <cfRule type="cellIs" dxfId="50" priority="1446" operator="equal">
      <formula>$S$1</formula>
    </cfRule>
    <cfRule type="cellIs" dxfId="49" priority="1447" operator="equal">
      <formula>$U$1</formula>
    </cfRule>
  </conditionalFormatting>
  <conditionalFormatting sqref="C106">
    <cfRule type="cellIs" dxfId="48" priority="1444" operator="equal">
      <formula>$U$1</formula>
    </cfRule>
    <cfRule type="cellIs" dxfId="47" priority="1445" operator="equal">
      <formula>$S$1</formula>
    </cfRule>
  </conditionalFormatting>
  <conditionalFormatting sqref="D106">
    <cfRule type="cellIs" dxfId="46" priority="1442" operator="equal">
      <formula>$S$1</formula>
    </cfRule>
    <cfRule type="cellIs" dxfId="45" priority="1443" operator="equal">
      <formula>$U$1</formula>
    </cfRule>
  </conditionalFormatting>
  <conditionalFormatting sqref="C81">
    <cfRule type="cellIs" dxfId="44" priority="1440" operator="equal">
      <formula>$U$1</formula>
    </cfRule>
    <cfRule type="cellIs" dxfId="43" priority="1441" operator="equal">
      <formula>$S$1</formula>
    </cfRule>
  </conditionalFormatting>
  <conditionalFormatting sqref="D81">
    <cfRule type="cellIs" dxfId="42" priority="1438" operator="equal">
      <formula>$S$1</formula>
    </cfRule>
    <cfRule type="cellIs" dxfId="41" priority="1439" operator="equal">
      <formula>$U$1</formula>
    </cfRule>
  </conditionalFormatting>
  <conditionalFormatting sqref="C56">
    <cfRule type="cellIs" dxfId="40" priority="1436" operator="equal">
      <formula>$U$1</formula>
    </cfRule>
    <cfRule type="cellIs" dxfId="39" priority="1437" operator="equal">
      <formula>$S$1</formula>
    </cfRule>
  </conditionalFormatting>
  <conditionalFormatting sqref="D56">
    <cfRule type="cellIs" dxfId="38" priority="1434" operator="equal">
      <formula>$S$1</formula>
    </cfRule>
    <cfRule type="cellIs" dxfId="37" priority="1435" operator="equal">
      <formula>$U$1</formula>
    </cfRule>
  </conditionalFormatting>
  <conditionalFormatting sqref="C31">
    <cfRule type="cellIs" dxfId="36" priority="1432" operator="equal">
      <formula>$U$1</formula>
    </cfRule>
    <cfRule type="cellIs" dxfId="35" priority="1433" operator="equal">
      <formula>$S$1</formula>
    </cfRule>
  </conditionalFormatting>
  <conditionalFormatting sqref="D31">
    <cfRule type="cellIs" dxfId="34" priority="1430" operator="equal">
      <formula>$S$1</formula>
    </cfRule>
    <cfRule type="cellIs" dxfId="33" priority="143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92" zoomScale="90" zoomScaleNormal="90" workbookViewId="0">
      <pane xSplit="4" topLeftCell="H1" activePane="topRight" state="frozen"/>
      <selection activeCell="A109" sqref="A109"/>
      <selection pane="topRight" activeCell="AR111" sqref="AR111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29" x14ac:dyDescent="0.25">
      <c r="A81" s="30">
        <v>1538.9933993880372</v>
      </c>
      <c r="E81"/>
    </row>
    <row r="82" spans="1:29" x14ac:dyDescent="0.25">
      <c r="A82" s="30">
        <v>1399.0849085345792</v>
      </c>
      <c r="E82"/>
    </row>
    <row r="83" spans="1:29" x14ac:dyDescent="0.25">
      <c r="A83" s="30">
        <v>1271.8953713950718</v>
      </c>
      <c r="E83"/>
    </row>
    <row r="84" spans="1:29" x14ac:dyDescent="0.25">
      <c r="A84" s="30">
        <v>1156.2685194500652</v>
      </c>
      <c r="E84"/>
    </row>
    <row r="85" spans="1:29" x14ac:dyDescent="0.25">
      <c r="A85" s="30">
        <v>1051.1531995000591</v>
      </c>
      <c r="E85"/>
    </row>
    <row r="86" spans="1:29" x14ac:dyDescent="0.25">
      <c r="A86" s="30">
        <v>955.59381772732638</v>
      </c>
      <c r="E86"/>
    </row>
    <row r="87" spans="1:29" x14ac:dyDescent="0.25">
      <c r="A87" s="30">
        <v>868.72165247938756</v>
      </c>
      <c r="E87"/>
    </row>
    <row r="88" spans="1:29" x14ac:dyDescent="0.25">
      <c r="A88" s="30">
        <v>789.74695679944318</v>
      </c>
      <c r="E88"/>
    </row>
    <row r="89" spans="1:29" x14ac:dyDescent="0.25">
      <c r="A89" s="30">
        <v>717.95177890858463</v>
      </c>
      <c r="E89"/>
    </row>
    <row r="90" spans="1:29" x14ac:dyDescent="0.25">
      <c r="A90" s="30">
        <v>652.68343537144051</v>
      </c>
      <c r="E90"/>
    </row>
    <row r="91" spans="1:29" x14ac:dyDescent="0.25">
      <c r="A91" s="30">
        <v>593.34857761040041</v>
      </c>
      <c r="E91"/>
    </row>
    <row r="92" spans="1:29" x14ac:dyDescent="0.25">
      <c r="A92" s="30">
        <v>539.40779782763673</v>
      </c>
      <c r="C92" s="1" t="s">
        <v>15</v>
      </c>
      <c r="E92"/>
    </row>
    <row r="93" spans="1:29" x14ac:dyDescent="0.25">
      <c r="A93" s="30">
        <v>490.37072529785149</v>
      </c>
      <c r="C93" s="7">
        <v>0.11167815779424731</v>
      </c>
      <c r="D93"/>
      <c r="E93"/>
    </row>
    <row r="94" spans="1:29" x14ac:dyDescent="0.25">
      <c r="A94" s="30">
        <v>445.79156845259223</v>
      </c>
      <c r="E94"/>
    </row>
    <row r="95" spans="1:29" x14ac:dyDescent="0.25">
      <c r="A95" s="30">
        <v>405.26506222962928</v>
      </c>
      <c r="C95" s="1" t="s">
        <v>11</v>
      </c>
      <c r="D95" s="1" t="s">
        <v>12</v>
      </c>
      <c r="E95"/>
    </row>
    <row r="96" spans="1:29" x14ac:dyDescent="0.25">
      <c r="A96" s="30">
        <v>368.42278384511752</v>
      </c>
      <c r="C96"/>
      <c r="D96"/>
      <c r="E96"/>
      <c r="AC96" s="32" t="s">
        <v>8</v>
      </c>
    </row>
    <row r="97" spans="1:44" x14ac:dyDescent="0.25">
      <c r="A97" s="30">
        <v>334.92980349556137</v>
      </c>
      <c r="E97"/>
      <c r="AC97" s="27" t="s">
        <v>8</v>
      </c>
      <c r="AD97" s="32" t="s">
        <v>7</v>
      </c>
    </row>
    <row r="98" spans="1:44" x14ac:dyDescent="0.25">
      <c r="A98" s="30">
        <v>304.48163954141938</v>
      </c>
      <c r="C98" s="1" t="s">
        <v>13</v>
      </c>
      <c r="E98"/>
      <c r="AC98" s="27" t="s">
        <v>8</v>
      </c>
      <c r="AD98" s="27" t="s">
        <v>7</v>
      </c>
      <c r="AE98" s="32"/>
      <c r="AO98" s="27" t="s">
        <v>8</v>
      </c>
    </row>
    <row r="99" spans="1:44" x14ac:dyDescent="0.25">
      <c r="A99" s="30">
        <v>276.80149049219943</v>
      </c>
      <c r="C99" s="1">
        <f>C88</f>
        <v>0</v>
      </c>
      <c r="E99"/>
      <c r="Y99" s="27" t="s">
        <v>8</v>
      </c>
      <c r="AC99" s="34" t="s">
        <v>8</v>
      </c>
      <c r="AD99" s="27" t="s">
        <v>7</v>
      </c>
      <c r="AF99" s="32"/>
      <c r="AO99" s="27" t="s">
        <v>8</v>
      </c>
      <c r="AP99" s="27" t="s">
        <v>7</v>
      </c>
    </row>
    <row r="100" spans="1:44" x14ac:dyDescent="0.25">
      <c r="A100" s="30">
        <v>251.63771862927217</v>
      </c>
      <c r="C100"/>
      <c r="D100"/>
      <c r="E100"/>
      <c r="Y100" s="27" t="s">
        <v>8</v>
      </c>
      <c r="Z100" s="27" t="s">
        <v>7</v>
      </c>
      <c r="AA100" s="27" t="s">
        <v>8</v>
      </c>
      <c r="AC100" s="27" t="s">
        <v>8</v>
      </c>
      <c r="AD100" s="27" t="s">
        <v>7</v>
      </c>
      <c r="AG100" s="32"/>
      <c r="AO100" s="27" t="s">
        <v>8</v>
      </c>
      <c r="AP100" s="27" t="s">
        <v>7</v>
      </c>
    </row>
    <row r="101" spans="1:44" x14ac:dyDescent="0.25">
      <c r="A101" s="30">
        <v>228.76156239024741</v>
      </c>
      <c r="C101" s="1" t="s">
        <v>14</v>
      </c>
      <c r="E101"/>
      <c r="Y101" s="27" t="s">
        <v>8</v>
      </c>
      <c r="Z101" s="27" t="s">
        <v>7</v>
      </c>
      <c r="AA101" s="27" t="s">
        <v>8</v>
      </c>
      <c r="AB101" s="27" t="s">
        <v>7</v>
      </c>
      <c r="AC101" s="27" t="s">
        <v>8</v>
      </c>
      <c r="AD101" s="27" t="s">
        <v>7</v>
      </c>
      <c r="AH101" s="32"/>
      <c r="AO101" s="27" t="s">
        <v>8</v>
      </c>
      <c r="AP101" s="27" t="s">
        <v>7</v>
      </c>
    </row>
    <row r="102" spans="1:44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Y102" s="27" t="s">
        <v>8</v>
      </c>
      <c r="Z102" s="27" t="s">
        <v>7</v>
      </c>
      <c r="AA102" s="27" t="s">
        <v>8</v>
      </c>
      <c r="AB102" s="27" t="s">
        <v>7</v>
      </c>
      <c r="AC102" s="27" t="s">
        <v>8</v>
      </c>
      <c r="AD102" s="27" t="s">
        <v>7</v>
      </c>
      <c r="AI102" s="32"/>
      <c r="AM102" s="27" t="s">
        <v>8</v>
      </c>
      <c r="AO102" s="27" t="s">
        <v>8</v>
      </c>
      <c r="AP102" s="27" t="s">
        <v>7</v>
      </c>
    </row>
    <row r="103" spans="1:44" x14ac:dyDescent="0.25">
      <c r="A103" s="30">
        <v>189.05914247127882</v>
      </c>
      <c r="E103"/>
      <c r="S103" s="35" t="s">
        <v>8</v>
      </c>
      <c r="U103" s="35" t="s">
        <v>8</v>
      </c>
      <c r="Y103" s="27" t="s">
        <v>8</v>
      </c>
      <c r="Z103" s="27" t="s">
        <v>7</v>
      </c>
      <c r="AB103" s="27" t="s">
        <v>7</v>
      </c>
      <c r="AC103" s="27" t="s">
        <v>8</v>
      </c>
      <c r="AD103" s="27" t="s">
        <v>7</v>
      </c>
      <c r="AE103" s="27" t="s">
        <v>8</v>
      </c>
      <c r="AJ103" s="32"/>
      <c r="AM103" s="27" t="s">
        <v>8</v>
      </c>
      <c r="AN103" s="27" t="s">
        <v>7</v>
      </c>
      <c r="AO103" s="27" t="s">
        <v>8</v>
      </c>
      <c r="AP103" s="27" t="s">
        <v>7</v>
      </c>
      <c r="AQ103" s="27" t="s">
        <v>8</v>
      </c>
    </row>
    <row r="104" spans="1:44" x14ac:dyDescent="0.25">
      <c r="A104" s="30">
        <v>171.87194770116255</v>
      </c>
      <c r="E104"/>
      <c r="S104" s="27" t="s">
        <v>8</v>
      </c>
      <c r="T104" s="27" t="s">
        <v>7</v>
      </c>
      <c r="U104" s="27" t="s">
        <v>8</v>
      </c>
      <c r="V104" s="27" t="s">
        <v>7</v>
      </c>
      <c r="Y104" s="34" t="s">
        <v>8</v>
      </c>
      <c r="AB104" s="33" t="s">
        <v>7</v>
      </c>
      <c r="AD104" s="27" t="s">
        <v>7</v>
      </c>
      <c r="AE104" s="27" t="s">
        <v>8</v>
      </c>
      <c r="AF104" s="27" t="s">
        <v>7</v>
      </c>
      <c r="AG104" s="27" t="s">
        <v>8</v>
      </c>
      <c r="AK104" s="32" t="s">
        <v>8</v>
      </c>
      <c r="AM104" s="27" t="s">
        <v>8</v>
      </c>
      <c r="AN104" s="27" t="s">
        <v>7</v>
      </c>
      <c r="AO104" s="27" t="s">
        <v>8</v>
      </c>
      <c r="AP104" s="27" t="s">
        <v>7</v>
      </c>
      <c r="AQ104" s="27" t="s">
        <v>8</v>
      </c>
      <c r="AR104" s="27" t="s">
        <v>7</v>
      </c>
    </row>
    <row r="105" spans="1:44" x14ac:dyDescent="0.25">
      <c r="A105" s="30">
        <v>156.24722518287504</v>
      </c>
      <c r="E105"/>
      <c r="S105" s="27" t="s">
        <v>8</v>
      </c>
      <c r="T105" s="27" t="s">
        <v>7</v>
      </c>
      <c r="U105" s="27" t="s">
        <v>8</v>
      </c>
      <c r="V105" s="27" t="s">
        <v>7</v>
      </c>
      <c r="W105" s="27" t="s">
        <v>8</v>
      </c>
      <c r="Y105" s="27" t="s">
        <v>8</v>
      </c>
      <c r="AD105" s="36" t="s">
        <v>7</v>
      </c>
      <c r="AE105" s="27" t="s">
        <v>8</v>
      </c>
      <c r="AF105" s="27" t="s">
        <v>7</v>
      </c>
      <c r="AG105" s="27" t="s">
        <v>8</v>
      </c>
      <c r="AH105" s="27" t="s">
        <v>7</v>
      </c>
      <c r="AK105" s="27" t="s">
        <v>8</v>
      </c>
      <c r="AL105" s="32" t="s">
        <v>7</v>
      </c>
      <c r="AM105" s="27" t="s">
        <v>8</v>
      </c>
      <c r="AN105" s="27" t="s">
        <v>7</v>
      </c>
      <c r="AO105" s="27" t="s">
        <v>8</v>
      </c>
      <c r="AP105" s="27" t="s">
        <v>7</v>
      </c>
      <c r="AQ105" s="27" t="s">
        <v>8</v>
      </c>
      <c r="AR105" s="27" t="s">
        <v>7</v>
      </c>
    </row>
    <row r="106" spans="1:44" x14ac:dyDescent="0.25">
      <c r="A106" s="30">
        <v>142.04293198443185</v>
      </c>
      <c r="E106"/>
      <c r="S106" s="27" t="s">
        <v>8</v>
      </c>
      <c r="T106" s="27" t="s">
        <v>7</v>
      </c>
      <c r="U106" s="27" t="s">
        <v>8</v>
      </c>
      <c r="V106" s="27" t="s">
        <v>7</v>
      </c>
      <c r="W106" s="27" t="s">
        <v>8</v>
      </c>
      <c r="X106" s="27" t="s">
        <v>7</v>
      </c>
      <c r="Y106" s="27" t="s">
        <v>8</v>
      </c>
      <c r="AD106" s="27" t="s">
        <v>7</v>
      </c>
      <c r="AE106" s="27" t="s">
        <v>8</v>
      </c>
      <c r="AF106" s="27" t="s">
        <v>7</v>
      </c>
      <c r="AG106" s="27" t="s">
        <v>8</v>
      </c>
      <c r="AH106" s="27" t="s">
        <v>7</v>
      </c>
      <c r="AK106" s="27" t="s">
        <v>8</v>
      </c>
      <c r="AL106" s="27" t="s">
        <v>7</v>
      </c>
      <c r="AM106" s="32" t="s">
        <v>8</v>
      </c>
      <c r="AN106" s="27" t="s">
        <v>7</v>
      </c>
      <c r="AP106" s="27" t="s">
        <v>7</v>
      </c>
      <c r="AR106" s="27" t="s">
        <v>7</v>
      </c>
    </row>
    <row r="107" spans="1:44" x14ac:dyDescent="0.25">
      <c r="A107" s="30">
        <v>129.1299381676653</v>
      </c>
      <c r="E107"/>
      <c r="S107" s="27" t="s">
        <v>8</v>
      </c>
      <c r="T107" s="27" t="s">
        <v>7</v>
      </c>
      <c r="V107" s="27" t="s">
        <v>7</v>
      </c>
      <c r="W107" s="27" t="s">
        <v>8</v>
      </c>
      <c r="X107" s="27" t="s">
        <v>7</v>
      </c>
      <c r="Y107" s="27" t="s">
        <v>8</v>
      </c>
      <c r="AD107" s="27" t="s">
        <v>7</v>
      </c>
      <c r="AE107" s="27" t="s">
        <v>8</v>
      </c>
      <c r="AF107" s="27" t="s">
        <v>7</v>
      </c>
      <c r="AG107" s="27" t="s">
        <v>8</v>
      </c>
      <c r="AH107" s="27" t="s">
        <v>7</v>
      </c>
      <c r="AI107" s="27" t="s">
        <v>8</v>
      </c>
      <c r="AK107" s="27" t="s">
        <v>8</v>
      </c>
      <c r="AL107" s="27" t="s">
        <v>7</v>
      </c>
      <c r="AM107" s="27" t="s">
        <v>8</v>
      </c>
      <c r="AR107" s="27" t="s">
        <v>7</v>
      </c>
    </row>
    <row r="108" spans="1:44" x14ac:dyDescent="0.25">
      <c r="A108" s="30">
        <v>117.39085287969573</v>
      </c>
      <c r="E108" t="s">
        <v>8</v>
      </c>
      <c r="Q108" s="27" t="s">
        <v>8</v>
      </c>
      <c r="S108" s="27" t="s">
        <v>8</v>
      </c>
      <c r="V108" s="33" t="s">
        <v>7</v>
      </c>
      <c r="W108" s="27" t="s">
        <v>8</v>
      </c>
      <c r="X108" s="27" t="s">
        <v>7</v>
      </c>
      <c r="AD108" s="32" t="s">
        <v>7</v>
      </c>
      <c r="AE108" s="27" t="s">
        <v>8</v>
      </c>
      <c r="AF108" s="27" t="s">
        <v>7</v>
      </c>
      <c r="AG108" s="27" t="s">
        <v>8</v>
      </c>
      <c r="AH108" s="27" t="s">
        <v>7</v>
      </c>
      <c r="AI108" s="27" t="s">
        <v>8</v>
      </c>
      <c r="AJ108" s="27" t="s">
        <v>7</v>
      </c>
      <c r="AK108" s="27" t="s">
        <v>8</v>
      </c>
      <c r="AL108" s="27" t="s">
        <v>7</v>
      </c>
      <c r="AM108" s="32" t="s">
        <v>8</v>
      </c>
      <c r="AR108" s="27" t="s">
        <v>7</v>
      </c>
    </row>
    <row r="109" spans="1:44" x14ac:dyDescent="0.25">
      <c r="A109" s="30">
        <v>106.71895716335975</v>
      </c>
      <c r="E109" t="s">
        <v>8</v>
      </c>
      <c r="F109" s="27" t="s">
        <v>7</v>
      </c>
      <c r="Q109" s="27" t="s">
        <v>8</v>
      </c>
      <c r="R109" s="27" t="s">
        <v>7</v>
      </c>
      <c r="S109" s="27" t="s">
        <v>8</v>
      </c>
      <c r="V109" s="27" t="s">
        <v>7</v>
      </c>
      <c r="AC109" s="32"/>
      <c r="AD109" s="27" t="s">
        <v>7</v>
      </c>
      <c r="AF109" s="27" t="s">
        <v>7</v>
      </c>
      <c r="AG109" s="27" t="s">
        <v>8</v>
      </c>
      <c r="AH109" s="27" t="s">
        <v>7</v>
      </c>
      <c r="AI109" s="27" t="s">
        <v>8</v>
      </c>
      <c r="AJ109" s="27" t="s">
        <v>7</v>
      </c>
      <c r="AK109" s="27" t="s">
        <v>8</v>
      </c>
      <c r="AL109" s="32" t="s">
        <v>7</v>
      </c>
      <c r="AR109" s="27" t="s">
        <v>7</v>
      </c>
    </row>
    <row r="110" spans="1:44" x14ac:dyDescent="0.25">
      <c r="A110" s="30">
        <v>97.017233784872488</v>
      </c>
      <c r="E110" t="s">
        <v>8</v>
      </c>
      <c r="F110" s="27" t="s">
        <v>7</v>
      </c>
      <c r="K110" s="27" t="s">
        <v>8</v>
      </c>
      <c r="Q110" s="34" t="s">
        <v>8</v>
      </c>
      <c r="R110" s="27" t="s">
        <v>7</v>
      </c>
      <c r="S110" s="27" t="s">
        <v>8</v>
      </c>
      <c r="AB110" s="32"/>
      <c r="AF110" s="27" t="s">
        <v>7</v>
      </c>
      <c r="AG110" s="27" t="s">
        <v>8</v>
      </c>
      <c r="AH110" s="27" t="s">
        <v>7</v>
      </c>
      <c r="AI110" s="27" t="s">
        <v>8</v>
      </c>
      <c r="AJ110" s="18" t="s">
        <v>7</v>
      </c>
      <c r="AK110" s="32" t="s">
        <v>8</v>
      </c>
      <c r="AR110" s="27" t="s">
        <v>7</v>
      </c>
    </row>
    <row r="111" spans="1:44" x14ac:dyDescent="0.25">
      <c r="A111" s="30">
        <v>88.197485258974979</v>
      </c>
      <c r="C111" s="1" t="str">
        <f>ADDRESS(C121-1,1,1,1)</f>
        <v>$A$110</v>
      </c>
      <c r="D111" s="1" t="str">
        <f>ADDRESS(C121-1,D121,1,1)</f>
        <v>$AR$110</v>
      </c>
      <c r="E111" t="s">
        <v>8</v>
      </c>
      <c r="F111" s="27" t="s">
        <v>7</v>
      </c>
      <c r="K111" s="27" t="s">
        <v>8</v>
      </c>
      <c r="L111" s="27" t="s">
        <v>7</v>
      </c>
      <c r="O111" s="27" t="s">
        <v>8</v>
      </c>
      <c r="Q111" s="27" t="s">
        <v>8</v>
      </c>
      <c r="R111" s="27" t="s">
        <v>7</v>
      </c>
      <c r="S111" s="27" t="s">
        <v>8</v>
      </c>
      <c r="AA111" s="32"/>
      <c r="AF111" s="35" t="s">
        <v>7</v>
      </c>
      <c r="AH111" s="35" t="s">
        <v>7</v>
      </c>
      <c r="AJ111" s="35" t="s">
        <v>7</v>
      </c>
      <c r="AR111" s="27" t="s">
        <v>7</v>
      </c>
    </row>
    <row r="112" spans="1:44" x14ac:dyDescent="0.25">
      <c r="A112" s="30">
        <v>80.179532053613613</v>
      </c>
      <c r="C112" s="1" t="str">
        <f>ADDRESS(C121,1,1,1)</f>
        <v>$A$111</v>
      </c>
      <c r="D112" s="1" t="str">
        <f>ADDRESS(C121,D121-1,1,1)</f>
        <v>$AQ$111</v>
      </c>
      <c r="E112" t="s">
        <v>8</v>
      </c>
      <c r="F112" s="27" t="s">
        <v>7</v>
      </c>
      <c r="K112" s="27" t="s">
        <v>8</v>
      </c>
      <c r="L112" s="27" t="s">
        <v>7</v>
      </c>
      <c r="O112" s="27" t="s">
        <v>8</v>
      </c>
      <c r="P112" s="27" t="s">
        <v>7</v>
      </c>
      <c r="Q112" s="27" t="s">
        <v>8</v>
      </c>
      <c r="R112" s="27" t="s">
        <v>7</v>
      </c>
      <c r="Z112" s="32"/>
    </row>
    <row r="113" spans="1:25" x14ac:dyDescent="0.25">
      <c r="A113" s="30">
        <v>72.890483685103277</v>
      </c>
      <c r="C113" s="1" t="str">
        <f>ADDRESS(C121+1,1,1,1)</f>
        <v>$A$112</v>
      </c>
      <c r="D113" s="1" t="str">
        <f>ADDRESS(C121-1,D121+1,1,1)</f>
        <v>$AS$110</v>
      </c>
      <c r="E113" s="1" t="s">
        <v>8</v>
      </c>
      <c r="F113" s="27" t="s">
        <v>7</v>
      </c>
      <c r="I113" s="27" t="s">
        <v>8</v>
      </c>
      <c r="K113" s="27" t="s">
        <v>8</v>
      </c>
      <c r="L113" s="27" t="s">
        <v>7</v>
      </c>
      <c r="M113" s="27" t="s">
        <v>8</v>
      </c>
      <c r="O113" s="27" t="s">
        <v>8</v>
      </c>
      <c r="P113" s="27" t="s">
        <v>7</v>
      </c>
      <c r="Q113" s="27" t="s">
        <v>8</v>
      </c>
      <c r="Y113" s="32"/>
    </row>
    <row r="114" spans="1:25" x14ac:dyDescent="0.25">
      <c r="A114" s="30">
        <v>66.26407607736661</v>
      </c>
      <c r="C114" s="1" t="str">
        <f>ADDRESS(C121,D121,1,1)</f>
        <v>$AR$111</v>
      </c>
      <c r="D114" s="1" t="str">
        <f>ADDRESS(C121+1,D121+1,1,1)</f>
        <v>$AS$112</v>
      </c>
      <c r="E114" s="1" t="s">
        <v>8</v>
      </c>
      <c r="F114" s="27" t="s">
        <v>7</v>
      </c>
      <c r="I114" s="27" t="s">
        <v>8</v>
      </c>
      <c r="J114" s="27" t="s">
        <v>7</v>
      </c>
      <c r="K114" s="27" t="s">
        <v>8</v>
      </c>
      <c r="L114" s="27" t="s">
        <v>7</v>
      </c>
      <c r="M114" s="27" t="s">
        <v>8</v>
      </c>
      <c r="N114" s="27" t="s">
        <v>7</v>
      </c>
      <c r="O114" s="27" t="s">
        <v>8</v>
      </c>
      <c r="P114" s="27" t="s">
        <v>7</v>
      </c>
      <c r="Q114" s="27" t="s">
        <v>8</v>
      </c>
      <c r="X114" s="32"/>
    </row>
    <row r="115" spans="1:25" x14ac:dyDescent="0.25">
      <c r="A115" s="30">
        <v>60.240069161242367</v>
      </c>
      <c r="C115" s="1" t="str">
        <f>ADDRESS(C121+1,D121,1,1)</f>
        <v>$AR$112</v>
      </c>
      <c r="E115" s="1" t="s">
        <v>8</v>
      </c>
      <c r="F115" s="27" t="s">
        <v>7</v>
      </c>
      <c r="I115" s="27" t="s">
        <v>8</v>
      </c>
      <c r="J115" s="27" t="s">
        <v>7</v>
      </c>
      <c r="K115" s="27" t="s">
        <v>8</v>
      </c>
      <c r="L115" s="27" t="s">
        <v>7</v>
      </c>
      <c r="M115" s="27" t="s">
        <v>8</v>
      </c>
      <c r="N115" s="27" t="s">
        <v>7</v>
      </c>
      <c r="O115" s="27" t="s">
        <v>8</v>
      </c>
      <c r="P115" s="27" t="s">
        <v>7</v>
      </c>
      <c r="Q115" s="27" t="s">
        <v>8</v>
      </c>
      <c r="W115" s="32"/>
    </row>
    <row r="116" spans="1:25" x14ac:dyDescent="0.25">
      <c r="A116" s="30">
        <v>54.763699237493057</v>
      </c>
      <c r="C116" s="1">
        <f>C117-1</f>
        <v>110</v>
      </c>
      <c r="E116" s="1" t="s">
        <v>8</v>
      </c>
      <c r="F116" s="27" t="s">
        <v>7</v>
      </c>
      <c r="I116" s="27" t="s">
        <v>8</v>
      </c>
      <c r="J116" s="27" t="s">
        <v>7</v>
      </c>
      <c r="K116" s="27" t="s">
        <v>8</v>
      </c>
      <c r="L116" s="35" t="s">
        <v>7</v>
      </c>
      <c r="N116" s="35" t="s">
        <v>7</v>
      </c>
      <c r="P116" s="27" t="s">
        <v>7</v>
      </c>
      <c r="Q116" s="27" t="s">
        <v>8</v>
      </c>
      <c r="V116" s="32"/>
    </row>
    <row r="117" spans="1:25" x14ac:dyDescent="0.25">
      <c r="A117" s="30">
        <v>49.785181124993684</v>
      </c>
      <c r="C117" s="1">
        <f>C121</f>
        <v>111</v>
      </c>
      <c r="D117" s="1">
        <f>D121</f>
        <v>44</v>
      </c>
      <c r="E117" s="1" t="s">
        <v>8</v>
      </c>
      <c r="F117" s="27" t="s">
        <v>7</v>
      </c>
      <c r="I117" s="27" t="s">
        <v>8</v>
      </c>
      <c r="J117" s="27" t="s">
        <v>7</v>
      </c>
      <c r="K117" s="27" t="s">
        <v>8</v>
      </c>
      <c r="P117" s="33" t="s">
        <v>7</v>
      </c>
      <c r="U117" s="32"/>
    </row>
    <row r="118" spans="1:25" x14ac:dyDescent="0.25">
      <c r="A118" s="30">
        <v>45.259255568176073</v>
      </c>
      <c r="C118" s="1">
        <f>C117+1</f>
        <v>112</v>
      </c>
      <c r="D118" s="1">
        <f>D117+1</f>
        <v>45</v>
      </c>
      <c r="E118" s="1" t="s">
        <v>8</v>
      </c>
      <c r="F118" s="27" t="s">
        <v>7</v>
      </c>
      <c r="I118" s="27" t="s">
        <v>8</v>
      </c>
      <c r="J118" s="27" t="s">
        <v>7</v>
      </c>
      <c r="K118" s="27" t="s">
        <v>8</v>
      </c>
      <c r="T118" s="32"/>
    </row>
    <row r="119" spans="1:25" x14ac:dyDescent="0.25">
      <c r="A119" s="30">
        <v>41.144777789250973</v>
      </c>
      <c r="E119" s="1" t="s">
        <v>8</v>
      </c>
      <c r="F119" s="27" t="s">
        <v>7</v>
      </c>
      <c r="G119" s="27" t="s">
        <v>8</v>
      </c>
      <c r="I119" s="27" t="s">
        <v>8</v>
      </c>
      <c r="J119" s="27" t="s">
        <v>7</v>
      </c>
      <c r="K119" s="27" t="s">
        <v>8</v>
      </c>
      <c r="S119" s="32"/>
    </row>
    <row r="120" spans="1:25" x14ac:dyDescent="0.25">
      <c r="A120" s="30">
        <v>37.404343444773609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  <c r="R120" s="32"/>
    </row>
    <row r="121" spans="1:25" x14ac:dyDescent="0.25">
      <c r="A121" s="30">
        <v>34.003948586157826</v>
      </c>
      <c r="C121" s="18">
        <v>111</v>
      </c>
      <c r="D121" s="19">
        <v>44</v>
      </c>
      <c r="E121" s="18" t="s">
        <v>8</v>
      </c>
      <c r="F121" s="27" t="s">
        <v>7</v>
      </c>
      <c r="G121" s="27" t="s">
        <v>8</v>
      </c>
      <c r="H121" s="27" t="s">
        <v>7</v>
      </c>
      <c r="I121" s="27" t="s">
        <v>8</v>
      </c>
      <c r="J121" s="27" t="s">
        <v>7</v>
      </c>
      <c r="K121" s="27" t="s">
        <v>8</v>
      </c>
      <c r="Q121" s="32"/>
    </row>
    <row r="122" spans="1:25" x14ac:dyDescent="0.25">
      <c r="A122" s="30">
        <v>30.912680532870748</v>
      </c>
      <c r="C122" s="1" t="str">
        <f>INDEX(1:1048576,C117,D117)</f>
        <v>O</v>
      </c>
      <c r="E122" s="1" t="s">
        <v>8</v>
      </c>
      <c r="F122" s="27" t="s">
        <v>7</v>
      </c>
      <c r="H122" s="27" t="s">
        <v>7</v>
      </c>
      <c r="I122" s="27" t="s">
        <v>8</v>
      </c>
      <c r="J122" s="27" t="s">
        <v>7</v>
      </c>
      <c r="K122" s="27" t="s">
        <v>8</v>
      </c>
      <c r="P122" s="32"/>
    </row>
    <row r="123" spans="1:25" x14ac:dyDescent="0.25">
      <c r="A123" s="30">
        <v>28.102436848064315</v>
      </c>
      <c r="C123" s="1" t="str">
        <f>"R"&amp;C121</f>
        <v>R111</v>
      </c>
      <c r="D123" s="1" t="str">
        <f>"C"&amp;D121</f>
        <v>C44</v>
      </c>
      <c r="E123" s="1" t="s">
        <v>8</v>
      </c>
      <c r="H123" s="27" t="s">
        <v>7</v>
      </c>
      <c r="I123" s="27" t="s">
        <v>8</v>
      </c>
      <c r="J123" s="27" t="s">
        <v>7</v>
      </c>
      <c r="K123" s="27" t="s">
        <v>8</v>
      </c>
      <c r="O123" s="32"/>
    </row>
    <row r="124" spans="1:25" x14ac:dyDescent="0.25">
      <c r="A124" s="30">
        <v>25.547669861876649</v>
      </c>
      <c r="C124" s="1">
        <f>SUM(C130:D130)</f>
        <v>0</v>
      </c>
      <c r="D124" s="1">
        <f>IF(C124=0,0,1)</f>
        <v>0</v>
      </c>
      <c r="E124" s="1" t="s">
        <v>8</v>
      </c>
      <c r="H124" s="27" t="s">
        <v>7</v>
      </c>
      <c r="J124" s="27" t="s">
        <v>7</v>
      </c>
      <c r="K124" s="27" t="s">
        <v>8</v>
      </c>
      <c r="N124" s="32"/>
    </row>
    <row r="125" spans="1:25" x14ac:dyDescent="0.25">
      <c r="A125" s="30">
        <v>23.225154419887861</v>
      </c>
      <c r="E125" s="1" t="s">
        <v>8</v>
      </c>
      <c r="J125" s="27" t="s">
        <v>7</v>
      </c>
      <c r="K125" s="27" t="s">
        <v>8</v>
      </c>
      <c r="M125" s="32"/>
    </row>
    <row r="126" spans="1:25" x14ac:dyDescent="0.25">
      <c r="A126" s="30">
        <v>21.113776745352599</v>
      </c>
      <c r="C126" s="1" t="s">
        <v>10</v>
      </c>
      <c r="E126" s="1" t="s">
        <v>8</v>
      </c>
      <c r="J126" s="27" t="s">
        <v>7</v>
      </c>
      <c r="K126" s="27" t="s">
        <v>8</v>
      </c>
      <c r="L126" s="32"/>
    </row>
    <row r="127" spans="1:25" x14ac:dyDescent="0.25">
      <c r="A127" s="30">
        <v>19.194342495775089</v>
      </c>
      <c r="C127" s="30">
        <v>88.197485258974979</v>
      </c>
      <c r="D127"/>
      <c r="E127" s="1" t="s">
        <v>8</v>
      </c>
      <c r="J127" s="27" t="s">
        <v>7</v>
      </c>
      <c r="K127" s="32" t="s">
        <v>8</v>
      </c>
    </row>
    <row r="128" spans="1:25" x14ac:dyDescent="0.25">
      <c r="A128" s="30">
        <v>17.449402268886445</v>
      </c>
      <c r="E128" s="1" t="s">
        <v>8</v>
      </c>
      <c r="J128" s="32" t="s">
        <v>7</v>
      </c>
    </row>
    <row r="129" spans="1:5" x14ac:dyDescent="0.25">
      <c r="A129" s="30">
        <v>15.863092971714948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14.420993610649951</v>
      </c>
      <c r="C130" s="6"/>
      <c r="D130" s="6"/>
      <c r="E130" t="s">
        <v>8</v>
      </c>
    </row>
    <row r="131" spans="1:5" x14ac:dyDescent="0.25">
      <c r="A131" s="30">
        <v>13.109994191499954</v>
      </c>
      <c r="E131" t="s">
        <v>8</v>
      </c>
    </row>
    <row r="132" spans="1:5" x14ac:dyDescent="0.25">
      <c r="A132" s="30">
        <v>11.918176537727231</v>
      </c>
      <c r="C132" s="1" t="s">
        <v>13</v>
      </c>
      <c r="E132" t="s">
        <v>8</v>
      </c>
    </row>
    <row r="133" spans="1:5" x14ac:dyDescent="0.25">
      <c r="A133" s="30">
        <v>10.834705943388391</v>
      </c>
      <c r="C133" s="1" t="str">
        <f>C122</f>
        <v>O</v>
      </c>
      <c r="E133" t="s">
        <v>8</v>
      </c>
    </row>
    <row r="134" spans="1:5" x14ac:dyDescent="0.25">
      <c r="A134" s="30">
        <v>9.849732675807628</v>
      </c>
      <c r="C134"/>
      <c r="D134"/>
      <c r="E134" t="s">
        <v>8</v>
      </c>
    </row>
    <row r="135" spans="1:5" x14ac:dyDescent="0.25">
      <c r="A135" s="30">
        <v>8.9543024325523888</v>
      </c>
      <c r="C135" s="1" t="s">
        <v>14</v>
      </c>
      <c r="E135" t="s">
        <v>8</v>
      </c>
    </row>
    <row r="136" spans="1:5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</row>
    <row r="137" spans="1:5" x14ac:dyDescent="0.25">
      <c r="A137" s="30">
        <v>7.4002499442581717</v>
      </c>
      <c r="E137" t="s">
        <v>8</v>
      </c>
    </row>
    <row r="138" spans="1:5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6.1159090448414632</v>
      </c>
      <c r="E139" t="s">
        <v>8</v>
      </c>
    </row>
    <row r="140" spans="1:5" x14ac:dyDescent="0.25">
      <c r="A140" s="30">
        <v>5.5599173134922388</v>
      </c>
      <c r="C140" s="1">
        <v>0</v>
      </c>
      <c r="E140" t="s">
        <v>8</v>
      </c>
    </row>
    <row r="141" spans="1:5" x14ac:dyDescent="0.25">
      <c r="A141" s="30">
        <v>5.0544702849929442</v>
      </c>
      <c r="C141" s="1">
        <v>1</v>
      </c>
      <c r="E141" t="s">
        <v>8</v>
      </c>
    </row>
    <row r="142" spans="1:5" x14ac:dyDescent="0.25">
      <c r="A142" s="30">
        <v>4.594972986357222</v>
      </c>
      <c r="C142" s="1">
        <v>2</v>
      </c>
      <c r="E142" t="s">
        <v>8</v>
      </c>
    </row>
    <row r="143" spans="1:5" x14ac:dyDescent="0.25">
      <c r="A143" s="30">
        <v>4.1772481694156562</v>
      </c>
      <c r="C143" s="1">
        <v>3</v>
      </c>
      <c r="E143" t="s">
        <v>8</v>
      </c>
    </row>
    <row r="144" spans="1:5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1448" operator="equal">
      <formula>$U$1</formula>
    </cfRule>
    <cfRule type="cellIs" dxfId="30" priority="1449" operator="equal">
      <formula>$S$1</formula>
    </cfRule>
  </conditionalFormatting>
  <conditionalFormatting sqref="D136">
    <cfRule type="cellIs" dxfId="29" priority="1446" operator="equal">
      <formula>$S$1</formula>
    </cfRule>
    <cfRule type="cellIs" dxfId="28" priority="1447" operator="equal">
      <formula>$U$1</formula>
    </cfRule>
  </conditionalFormatting>
  <conditionalFormatting sqref="C102">
    <cfRule type="cellIs" dxfId="27" priority="1444" operator="equal">
      <formula>$U$1</formula>
    </cfRule>
    <cfRule type="cellIs" dxfId="26" priority="1445" operator="equal">
      <formula>$S$1</formula>
    </cfRule>
  </conditionalFormatting>
  <conditionalFormatting sqref="D102">
    <cfRule type="cellIs" dxfId="25" priority="1442" operator="equal">
      <formula>$S$1</formula>
    </cfRule>
    <cfRule type="cellIs" dxfId="24" priority="1443" operator="equal">
      <formula>$U$1</formula>
    </cfRule>
  </conditionalFormatting>
  <conditionalFormatting sqref="C77">
    <cfRule type="cellIs" dxfId="23" priority="1440" operator="equal">
      <formula>$U$1</formula>
    </cfRule>
    <cfRule type="cellIs" dxfId="22" priority="1441" operator="equal">
      <formula>$S$1</formula>
    </cfRule>
  </conditionalFormatting>
  <conditionalFormatting sqref="D77">
    <cfRule type="cellIs" dxfId="21" priority="1438" operator="equal">
      <formula>$S$1</formula>
    </cfRule>
    <cfRule type="cellIs" dxfId="20" priority="1439" operator="equal">
      <formula>$U$1</formula>
    </cfRule>
  </conditionalFormatting>
  <conditionalFormatting sqref="C52">
    <cfRule type="cellIs" dxfId="19" priority="1436" operator="equal">
      <formula>$U$1</formula>
    </cfRule>
    <cfRule type="cellIs" dxfId="18" priority="1437" operator="equal">
      <formula>$S$1</formula>
    </cfRule>
  </conditionalFormatting>
  <conditionalFormatting sqref="D52">
    <cfRule type="cellIs" dxfId="17" priority="1434" operator="equal">
      <formula>$S$1</formula>
    </cfRule>
    <cfRule type="cellIs" dxfId="16" priority="1435" operator="equal">
      <formula>$U$1</formula>
    </cfRule>
  </conditionalFormatting>
  <conditionalFormatting sqref="C26">
    <cfRule type="cellIs" dxfId="15" priority="1432" operator="equal">
      <formula>$U$1</formula>
    </cfRule>
    <cfRule type="cellIs" dxfId="14" priority="1433" operator="equal">
      <formula>$S$1</formula>
    </cfRule>
  </conditionalFormatting>
  <conditionalFormatting sqref="D26">
    <cfRule type="cellIs" dxfId="13" priority="1430" operator="equal">
      <formula>$S$1</formula>
    </cfRule>
    <cfRule type="cellIs" dxfId="12" priority="143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89.005227466662276</v>
      </c>
      <c r="F3" s="30">
        <v>103.03467644609493</v>
      </c>
      <c r="G3" s="30">
        <v>131.50125784630401</v>
      </c>
      <c r="H3" s="25">
        <f>IF(G3="","",(3*(G3-F3))+E3)</f>
        <v>174.40497166728952</v>
      </c>
      <c r="I3" s="7"/>
      <c r="J3" s="7">
        <f>(E3+G3)/2</f>
        <v>110.25324265648314</v>
      </c>
      <c r="K3" s="7">
        <f>H3/2</f>
        <v>87.202485833644758</v>
      </c>
      <c r="M3" s="26">
        <f>IF(OR(J3="",H3=""),"",H3/J3)</f>
        <v>1.5818579795488139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84.766883301583121</v>
      </c>
      <c r="F4" s="30">
        <v>89.005227466662276</v>
      </c>
      <c r="G4" s="30">
        <v>159.84060079504411</v>
      </c>
      <c r="H4" s="25">
        <f t="shared" ref="H4:H25" si="0">IF(G4="","",(3*(G4-F4))+E4)</f>
        <v>297.27300328672862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2022-01-28T01:23:34Z</dcterms:modified>
</cp:coreProperties>
</file>